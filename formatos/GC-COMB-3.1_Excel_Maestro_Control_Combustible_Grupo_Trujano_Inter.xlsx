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2bd38c19ee70afa/Escritorio/Proyecto fenix/"/>
    </mc:Choice>
  </mc:AlternateContent>
  <xr:revisionPtr revIDLastSave="875" documentId="8_{C8FEC6AC-F1AA-4090-9629-EF28AB89140C}" xr6:coauthVersionLast="47" xr6:coauthVersionMax="47" xr10:uidLastSave="{E9A74F34-E012-4C17-A6E8-7461A301DC28}"/>
  <bookViews>
    <workbookView xWindow="-108" yWindow="-108" windowWidth="23256" windowHeight="12456" activeTab="1" xr2:uid="{00000000-000D-0000-FFFF-FFFF00000000}"/>
  </bookViews>
  <sheets>
    <sheet name="Dashboard" sheetId="12" r:id="rId17"/>
    <sheet name="Dashboard_Ejecutivo" sheetId="11" r:id="rId2"/>
    <sheet name="Captura_Pegaso" sheetId="2" r:id="rId3"/>
    <sheet name="Captura_Marimba_M01" sheetId="3" r:id="rId4"/>
    <sheet name="Solicitudes" sheetId="10" r:id="rId5"/>
    <sheet name="Captura_Obra" sheetId="4" r:id="rId6"/>
    <sheet name="Conciliacion" sheetId="5" r:id="rId7"/>
    <sheet name="Catalogos" sheetId="6" r:id="rId8"/>
    <sheet name="Formatos_Fisicos" sheetId="7" r:id="rId9"/>
    <sheet name="Instrucciones" sheetId="8" r:id="rId10"/>
    <sheet name="Base_Datos" sheetId="13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<sst xmlns="http://schemas.openxmlformats.org/spreadsheetml/2006/main">
  <si>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DASHBOARD EJECUTIVO DE COMBUSTIBLE | GRUPO TRUJANO</t>
  </si>
  <si>
    <t>Indicador</t>
  </si>
  <si>
    <t>Litros</t>
  </si>
  <si>
    <t>Obra</t>
  </si>
  <si>
    <t>Costo</t>
  </si>
  <si>
    <t>Entradas Pegaso</t>
  </si>
  <si>
    <t>México-Toluca</t>
  </si>
  <si>
    <t>Salidas Pegaso</t>
  </si>
  <si>
    <t>Lerma - Tres Marías</t>
  </si>
  <si>
    <t>Suministrado Marimba</t>
  </si>
  <si>
    <t>Chamapa-Lechería</t>
  </si>
  <si>
    <t>Reconocido por Obras</t>
  </si>
  <si>
    <t>TOTAL</t>
  </si>
  <si>
    <t>Diferencia Total</t>
  </si>
  <si>
    <t>Lectura Ejecutiva</t>
  </si>
  <si>
    <t>1. Revisar primero la diferencia total. Si es diferente de 0, bajar a conciliación.</t>
  </si>
  <si>
    <t>2. Pegaso debe cuadrar entradas contra factura/remisión de gasolinera.</t>
  </si>
  <si>
    <t>3. Marimba M-01 debe cuadrar entradas recibidas contra salidas de Pegaso.</t>
  </si>
  <si>
    <t>4. Obra debe reconocer los litros suministrados por Marimba y Pegaso directo.</t>
  </si>
  <si>
    <t>5. El costo se calcula con costo/litro capturado.</t>
  </si>
  <si>
    <t>6. La documentación física debe firmarse y archivarse semanalmente.</t>
  </si>
  <si>
    <t>GC-COMB-001 | BITÁCORA DE INVENTARIO PEGASO</t>
  </si>
  <si>
    <t>Responsable:</t>
  </si>
  <si>
    <t>Semana:</t>
  </si>
  <si>
    <t>Fecha entrega:</t>
  </si>
  <si>
    <t>Tanque:</t>
  </si>
  <si>
    <t>Pegaso</t>
  </si>
  <si>
    <t>Costo por litro base:</t>
  </si>
  <si>
    <t>Fecha</t>
  </si>
  <si>
    <t>Tipo Movimiento</t>
  </si>
  <si>
    <t>Origen/Destino</t>
  </si>
  <si>
    <t>Equipo/Económico</t>
  </si>
  <si>
    <t>Entrada (L)</t>
  </si>
  <si>
    <t>Salida (L)</t>
  </si>
  <si>
    <t>Existencia Teórica</t>
  </si>
  <si>
    <t>Costo/L</t>
  </si>
  <si>
    <t>Importe</t>
  </si>
  <si>
    <t>Observaciones</t>
  </si>
  <si>
    <t>GC-COMB-002 | BITÁCORA DE SUMINISTRO DE MARIMBA M-01</t>
  </si>
  <si>
    <t>Operador:</t>
  </si>
  <si>
    <t>Marimba:</t>
  </si>
  <si>
    <t>M-01</t>
  </si>
  <si>
    <t>Costo/L base:</t>
  </si>
  <si>
    <t>Movimiento</t>
  </si>
  <si>
    <t>Origen/Obra</t>
  </si>
  <si>
    <t>Equipo</t>
  </si>
  <si>
    <t>Económico</t>
  </si>
  <si>
    <t>Firma/Validación</t>
  </si>
  <si>
    <t>GC-COMB-003 | BITÁCORA DE CONTROL DE COMBUSTIBLE DE OBRA</t>
  </si>
  <si>
    <t>Ingeniero:</t>
  </si>
  <si>
    <t>Obra:</t>
  </si>
  <si>
    <t>Fuente</t>
  </si>
  <si>
    <t>Litros Recibidos</t>
  </si>
  <si>
    <t>Actividad Ejecutada</t>
  </si>
  <si>
    <t>Incidencia</t>
  </si>
  <si>
    <t>CONCILIACIÓN SEMANAL / MENSUAL</t>
  </si>
  <si>
    <t>Concepto</t>
  </si>
  <si>
    <t>Entradas a Pegaso</t>
  </si>
  <si>
    <t>Salidas Pegaso a Marimba</t>
  </si>
  <si>
    <t>Salidas Pegaso directo a Máquinas</t>
  </si>
  <si>
    <t>Entradas registradas en Marimba</t>
  </si>
  <si>
    <t>Salidas Marimba a Obra</t>
  </si>
  <si>
    <t>Litros reconocidos por Obras</t>
  </si>
  <si>
    <t>Diferencia Pegaso vs Marimba</t>
  </si>
  <si>
    <t>Diferencia Marimba vs Obra</t>
  </si>
  <si>
    <t>Diferencia Total a Revisar</t>
  </si>
  <si>
    <t>% Consumo</t>
  </si>
  <si>
    <t>Validación Corporativa</t>
  </si>
  <si>
    <t>Revisó Gobierno Corporativo</t>
  </si>
  <si>
    <t>Estatus</t>
  </si>
  <si>
    <t>□ Correcto  □ Observado  □ Pendiente</t>
  </si>
  <si>
    <t>Firma</t>
  </si>
  <si>
    <t>CATÁLOGOS OFICIALES - CONTROL DE COMBUSTIBLE</t>
  </si>
  <si>
    <t>Código Obra</t>
  </si>
  <si>
    <t>Código</t>
  </si>
  <si>
    <t>Fuente / Origen</t>
  </si>
  <si>
    <t>Tipo de Equipo</t>
  </si>
  <si>
    <t>MT</t>
  </si>
  <si>
    <t>GAS</t>
  </si>
  <si>
    <t>Gasolinera Huixquilucan</t>
  </si>
  <si>
    <t>FR-01</t>
  </si>
  <si>
    <t>Fresadora</t>
  </si>
  <si>
    <t>L3M</t>
  </si>
  <si>
    <t>PEG</t>
  </si>
  <si>
    <t>Tanque Pegaso</t>
  </si>
  <si>
    <t>CP-01</t>
  </si>
  <si>
    <t>Compactador</t>
  </si>
  <si>
    <t>CL</t>
  </si>
  <si>
    <t>M01</t>
  </si>
  <si>
    <t>Marimba M-01</t>
  </si>
  <si>
    <t>EX-01</t>
  </si>
  <si>
    <t>Excavadora</t>
  </si>
  <si>
    <t>DIR</t>
  </si>
  <si>
    <t>Carga directa</t>
  </si>
  <si>
    <t>RT-01</t>
  </si>
  <si>
    <t>Retroexcavadora</t>
  </si>
  <si>
    <t>Otro</t>
  </si>
  <si>
    <t>MG-01</t>
  </si>
  <si>
    <t>Motoconformadora</t>
  </si>
  <si>
    <t>PT-01</t>
  </si>
  <si>
    <t>Petrolizadora</t>
  </si>
  <si>
    <t>PP-01</t>
  </si>
  <si>
    <t>Pipa</t>
  </si>
  <si>
    <t>CM-01</t>
  </si>
  <si>
    <t>Camión</t>
  </si>
  <si>
    <t>CR-01</t>
  </si>
  <si>
    <t>Cargador</t>
  </si>
  <si>
    <t>FORMATOS FÍSICOS PARA IMPRESIÓN Y FIRMA</t>
  </si>
  <si>
    <t>GC-COMB-001 BITÁCORA PEGASO</t>
  </si>
  <si>
    <t>Existencia Inicial:</t>
  </si>
  <si>
    <t>Existencia Final Física:</t>
  </si>
  <si>
    <t>Fecha Entrega:</t>
  </si>
  <si>
    <t>Firma:</t>
  </si>
  <si>
    <t>GC-COMB-002 BITÁCORA MARIMBA M-01</t>
  </si>
  <si>
    <t>Inventario Inicial:</t>
  </si>
  <si>
    <t>Inventario Final:</t>
  </si>
  <si>
    <t>GC-COMB-003 BITÁCORA DE OBRA</t>
  </si>
  <si>
    <t>Actividad</t>
  </si>
  <si>
    <t>PROCEDIMIENTO OPERATIVO GC-COMB-01</t>
  </si>
  <si>
    <t>1</t>
  </si>
  <si>
    <t>Gasolinera → Pegaso</t>
  </si>
  <si>
    <t>Vigilante registra entrada en GC-COMB-001 con factura/remisión y litros recibidos.</t>
  </si>
  <si>
    <t>2</t>
  </si>
  <si>
    <t>Pegaso → Marimba M-01</t>
  </si>
  <si>
    <t>Vigilante registra salida en GC-COMB-001. Operador de Marimba registra entrada en GC-COMB-002.</t>
  </si>
  <si>
    <t>3</t>
  </si>
  <si>
    <t>Pegaso → Máquina</t>
  </si>
  <si>
    <t>Vigilante registra salida directa en GC-COMB-001. Ingeniero registra recepción en GC-COMB-003.</t>
  </si>
  <si>
    <t>4</t>
  </si>
  <si>
    <t>Marimba → Obras/Máquinas</t>
  </si>
  <si>
    <t>Operador registra cada suministro en GC-COMB-002. Ingeniero reconoce litros por obra en GC-COMB-003.</t>
  </si>
  <si>
    <t>5</t>
  </si>
  <si>
    <t>Obras actuales</t>
  </si>
  <si>
    <t>México-Toluca, Lerma - Tres Marías y Chamapa-Lechería.</t>
  </si>
  <si>
    <t>6</t>
  </si>
  <si>
    <t>Horómetro</t>
  </si>
  <si>
    <t>No es obligatorio porque no funciona en la mayoría de equipos. El control principal será por litros, obra, equipo, actividad e incidencia.</t>
  </si>
  <si>
    <t>7</t>
  </si>
  <si>
    <t>Capturar costo/litro en cada registro para obtener costo por obra y costo total semanal.</t>
  </si>
  <si>
    <t>8</t>
  </si>
  <si>
    <t>Cierre semanal</t>
  </si>
  <si>
    <t>Todos entregan bitácoras físicas firmadas. Gobierno Corporativo captura y revisa conciliación.</t>
  </si>
  <si>
    <t>9</t>
  </si>
  <si>
    <t>Alertas</t>
  </si>
  <si>
    <t>Si la diferencia total es distinta de cero, revisar Pegaso vs Marimba y Marimba/Pegaso vs Obra.</t>
  </si>
  <si>
    <t>10</t>
  </si>
  <si>
    <t>Reunión lunes</t>
  </si>
  <si>
    <t>Usar Dashboard para mostrar consumo, costo y diferencias al Ing. Pepe.</t>
  </si>
  <si>
    <t>Responsables</t>
  </si>
  <si>
    <t>Vigilante Pegaso = inventario / Operador Marimba = distribución / Ingeniero = validación de obra / Gobierno Corporativo = conciliación y pago.</t>
  </si>
  <si>
    <t>Documentación soporte</t>
  </si>
  <si>
    <t>Factura, remisión, bitácoras físicas firmadas, evidencias de incidencias cuando existan.</t>
  </si>
  <si>
    <t>Nota</t>
  </si>
  <si>
    <t>Este archivo no usa macros. Funciona con fórmulas, catálogos y validaciones para evitar dependencia de VBA.</t>
  </si>
  <si>
    <t>Salida Directa Máquina</t>
  </si>
  <si>
    <t>Salida a Obra</t>
  </si>
  <si>
    <t>Pegaso Directo</t>
  </si>
  <si>
    <t xml:space="preserve">Ingeniero Responsable </t>
  </si>
  <si>
    <t>Operador (firma)</t>
  </si>
  <si>
    <t>GC-COMB-003 | BITÁCORA DE SOLICITUDES DE COMBUSTIBLE DE OBRA</t>
  </si>
  <si>
    <t>Vogel</t>
  </si>
  <si>
    <t>VG-01</t>
  </si>
  <si>
    <t>Litros Solicitados</t>
  </si>
  <si>
    <t>PR-01</t>
  </si>
  <si>
    <t>Perfiladora</t>
  </si>
  <si>
    <t>Barredora</t>
  </si>
  <si>
    <t>BR-01</t>
  </si>
  <si>
    <t>NM-01</t>
  </si>
  <si>
    <t>OT-01</t>
  </si>
  <si>
    <t>Fecha de Trabajo</t>
  </si>
  <si>
    <t>Fecha de Solicitud</t>
  </si>
  <si>
    <t>Perfiladora Wirgent</t>
  </si>
  <si>
    <t>PR-02</t>
  </si>
  <si>
    <t>Perfiladora Cat-PM</t>
  </si>
  <si>
    <t>PR-03</t>
  </si>
  <si>
    <t>Barredora Broce</t>
  </si>
  <si>
    <t>BR-02</t>
  </si>
  <si>
    <t>Retroexcavadora Jonh Deere</t>
  </si>
  <si>
    <t>RT-02</t>
  </si>
  <si>
    <t>Buggy Trasnfer</t>
  </si>
  <si>
    <t>BG-01</t>
  </si>
  <si>
    <t>Neuomatico</t>
  </si>
  <si>
    <t>Vogele Guion</t>
  </si>
  <si>
    <t>VG-02</t>
  </si>
  <si>
    <t>Tandem Hamm</t>
  </si>
  <si>
    <t>TD-01</t>
  </si>
  <si>
    <t>Neuomatico Dynapac</t>
  </si>
  <si>
    <t>NM-02</t>
  </si>
  <si>
    <t>Petrolizadora Elton</t>
  </si>
  <si>
    <t>PT-02</t>
  </si>
  <si>
    <t>Camion de Impacto</t>
  </si>
  <si>
    <t>CI-01</t>
  </si>
  <si>
    <t>Maxilihgs</t>
  </si>
  <si>
    <t>MX-01</t>
  </si>
  <si>
    <t>Compresor</t>
  </si>
  <si>
    <t>CPR-01</t>
  </si>
  <si>
    <t>Rastrillador</t>
  </si>
  <si>
    <t>RS-01</t>
  </si>
  <si>
    <t>Limpieza</t>
  </si>
  <si>
    <t>LP-01</t>
  </si>
  <si>
    <t>Doble Rodillo</t>
  </si>
  <si>
    <t>DR-01</t>
  </si>
  <si>
    <t>Segunda solicitud, el dia 7/06/2026, no se relizo la carga</t>
  </si>
  <si>
    <t>Solicitante</t>
  </si>
  <si>
    <t>Ingeniero</t>
  </si>
  <si>
    <t>Samuel Ortega</t>
  </si>
  <si>
    <t>Apolinar</t>
  </si>
  <si>
    <t>Francisco Javier</t>
  </si>
  <si>
    <t>Diego Carreola Monroy</t>
  </si>
  <si>
    <t>Economico</t>
  </si>
  <si>
    <t>Bacheo Toluca</t>
  </si>
  <si>
    <t>Bidones</t>
  </si>
  <si>
    <t>BD-01</t>
  </si>
  <si>
    <t>No aplica</t>
  </si>
  <si>
    <t>Planta Asfalto Pegaso</t>
  </si>
  <si>
    <t>Planta Asfaltos</t>
  </si>
  <si>
    <t>Otr</t>
  </si>
  <si>
    <t>PayLoder</t>
  </si>
  <si>
    <t>PL-01</t>
  </si>
  <si>
    <t>BT</t>
  </si>
  <si>
    <t>NP</t>
  </si>
  <si>
    <t>PAP</t>
  </si>
  <si>
    <t>PAH</t>
  </si>
  <si>
    <t>Diego Carreola</t>
  </si>
  <si>
    <t>Planta Asflato Huixquilucan</t>
  </si>
  <si>
    <t>Entrada</t>
  </si>
  <si>
    <t>Cuerpo a (Pausada)</t>
  </si>
  <si>
    <t>Peticiones por Día y Obra</t>
  </si>
  <si>
    <t>Salidas Marimba por Día y Obra</t>
  </si>
  <si>
    <t>Salidas Pegaso a Obra</t>
  </si>
  <si>
    <t>Consumo Total en Obra</t>
  </si>
  <si>
    <t>Resumen Semanal por Obra</t>
  </si>
  <si>
    <t>Costo Estimado ($)</t>
  </si>
  <si>
    <t>Costo Surtido ($)</t>
  </si>
  <si>
    <t>2026-06-07</t>
  </si>
  <si>
    <t>2026-06-08</t>
  </si>
  <si>
    <t>2026-06-09</t>
  </si>
  <si>
    <t>2026-06-10</t>
  </si>
  <si>
    <t>2026-06-11</t>
  </si>
  <si>
    <t>2026-06-12</t>
  </si>
  <si>
    <t>Costos por Día (Petición vs Surtido)</t>
  </si>
  <si>
    <t>Costos por Obra (Petición vs Surtido)</t>
  </si>
  <si>
    <t>Totales Generales por Día</t>
  </si>
  <si>
    <t>Totales Generales por Obra</t>
  </si>
  <si>
    <t>Reporte de Discrepancias (Faltantes/Sobrantes)</t>
  </si>
  <si>
    <t>Costo Solicitado ($)</t>
  </si>
  <si>
    <t>Litros Totales</t>
  </si>
  <si>
    <t>Costo Total ($)</t>
  </si>
  <si>
    <t>Litros Surtidos</t>
  </si>
  <si>
    <t>Discrepancia (L)</t>
  </si>
  <si>
    <t xml:space="preserve">DASHBOARD EJECUTIVO DE CONTROL DE COMBUSTIBLE | GRUPO TRUJANO</t>
  </si>
  <si>
    <t xml:space="preserve">FILTROS DEL DASHBOARD (Celdas en amarillo editables en Excel)</t>
  </si>
  <si>
    <t xml:space="preserve">Obra Seleccionada:</t>
  </si>
  <si>
    <t xml:space="preserve">Fecha Inicio (Lunes):</t>
  </si>
  <si>
    <t xml:space="preserve">Precio Diésel ($/L):</t>
  </si>
  <si>
    <t xml:space="preserve">COMPARATIVA: SOLICITADO (PETICIONES) VS ENTREGADO EN OBRA</t>
  </si>
  <si>
    <t xml:space="preserve">Día</t>
  </si>
  <si>
    <t xml:space="preserve">Lts Solicitados</t>
  </si>
  <si>
    <t xml:space="preserve">Lts Recibidos Obra</t>
  </si>
  <si>
    <t xml:space="preserve">Dif. Litros (Obra-Sol)</t>
  </si>
  <si>
    <t xml:space="preserve">Costo Solicitado</t>
  </si>
  <si>
    <t xml:space="preserve">Costo Real Obra</t>
  </si>
  <si>
    <t xml:space="preserve">Dif. Costo (Real-Sol)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</si>
  <si>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</si>
  <si>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</si>
  <si>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</si>
  <si>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</si>
  <si>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</si>
  <si>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</si>
  <si>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TOTAL SEMANAL</t>
  </si>
  <si>
    <t xml:space="preserve">CONCILIACIÓN FÍSICA Y DISCREPANCIAS (OBRA VS MARIMBA Y PEGASO)</t>
  </si>
  <si>
    <t xml:space="preserve">Obra Recibió (M)</t>
  </si>
  <si>
    <t xml:space="preserve">Marimba Despachó</t>
  </si>
  <si>
    <t xml:space="preserve">Dif. Marimba</t>
  </si>
  <si>
    <t xml:space="preserve">Obra Recibió (P)</t>
  </si>
  <si>
    <t xml:space="preserve">Pegaso Despachó</t>
  </si>
  <si>
    <t xml:space="preserve">Dif. Pegaso</t>
  </si>
  <si>
    <t xml:space="preserve">Dif. Total (L)</t>
  </si>
  <si>
    <t xml:space="preserve">Obras Dropdown</t>
  </si>
  <si>
    <t xml:space="preserve">Semanas Dropdown</t>
  </si>
  <si>
    <t xml:space="preserve">Todas</t>
  </si>
  <si>
    <t xml:space="preserve">ID_TICKET</t>
  </si>
  <si>
    <t xml:space="preserve">SEMANA</t>
  </si>
  <si>
    <t xml:space="preserve">FECHA</t>
  </si>
  <si>
    <t xml:space="preserve">OBRA</t>
  </si>
  <si>
    <t xml:space="preserve">TIPO_REGISTRO</t>
  </si>
  <si>
    <t xml:space="preserve">EQUIPO_CONCEPTO</t>
  </si>
  <si>
    <t xml:space="preserve">LITROS</t>
  </si>
  <si>
    <t xml:space="preserve">PRECIO_UNITARIO</t>
  </si>
  <si>
    <t xml:space="preserve">COSTO_TOTAL</t>
  </si>
  <si>
    <t xml:space="preserve">CATEGORIA</t>
  </si>
  <si>
    <t xml:space="preserve">OBSERVACIONES</t>
  </si>
  <si>
    <t xml:space="preserve">1. Solicitud</t>
  </si>
  <si>
    <t xml:space="preserve">DIESEL</t>
  </si>
  <si>
    <t xml:space="preserve">Generador</t>
  </si>
  <si>
    <t xml:space="preserve">Criba Roja</t>
  </si>
  <si>
    <t xml:space="preserve">Tandem CAT</t>
  </si>
  <si>
    <t xml:space="preserve">PERFILADORA RODATEC RX600E</t>
  </si>
  <si>
    <t xml:space="preserve">BARREDORA LAYMOR SM400</t>
  </si>
  <si>
    <t xml:space="preserve">RETROEXCAVADORA JHONDEREE 310 K</t>
  </si>
  <si>
    <t xml:space="preserve">PAVIMENTADORA VOGELE 1800-3 I</t>
  </si>
  <si>
    <t xml:space="preserve">DOBLE RODILLO RAD ROLLER FILY-325 PRO</t>
  </si>
  <si>
    <t xml:space="preserve">NEUMATICO / COMPACTADOR DE NEUMATICOS DINAPAC CP271</t>
  </si>
  <si>
    <t xml:space="preserve">IMPACTO FORD 4300</t>
  </si>
  <si>
    <t xml:space="preserve">COMPRESOR SULLIVAN PALATEK D2010</t>
  </si>
  <si>
    <t xml:space="preserve">PETROLIZADORA INTERNATIONAL</t>
  </si>
  <si>
    <t xml:space="preserve">GENERADOR</t>
  </si>
  <si>
    <t xml:space="preserve">RETROEXCAVADORA CASE 580 N</t>
  </si>
  <si>
    <t xml:space="preserve">MAXILIGHT</t>
  </si>
  <si>
    <t xml:space="preserve">CRIBA ROJA</t>
  </si>
  <si>
    <t xml:space="preserve">TANDEM DOBLE RODILLO / VIBROCOMPACTOR RODILLO CAT CB54</t>
  </si>
  <si>
    <t xml:space="preserve">NEUMATICO VOLVO PT-240R</t>
  </si>
  <si>
    <t xml:space="preserve">BARREDORA BROCE BROOM KR350</t>
  </si>
  <si>
    <t xml:space="preserve">HOMBRE A BORDO</t>
  </si>
  <si>
    <t xml:space="preserve">LIMPIEZA</t>
  </si>
  <si>
    <t xml:space="preserve">PAYLODER</t>
  </si>
  <si>
    <t xml:space="preserve">CALDERA TECNO</t>
  </si>
  <si>
    <t xml:space="preserve">CALDERA TRIASO</t>
  </si>
  <si>
    <t xml:space="preserve">PIPA DE AGUA (IMPACTO 01) FORD</t>
  </si>
  <si>
    <t xml:space="preserve">Planta Asfalto Huixquilucan</t>
  </si>
  <si>
    <t xml:space="preserve">GENERADOR PLANTA AMMANN</t>
  </si>
  <si>
    <t xml:space="preserve">TORRE DE LUZ MAXILIGHT</t>
  </si>
  <si>
    <t xml:space="preserve">CALDERA</t>
  </si>
  <si>
    <t xml:space="preserve">CARGADOR CASE 821 F</t>
  </si>
  <si>
    <t xml:space="preserve">CRIBA RAP</t>
  </si>
  <si>
    <t xml:space="preserve">DOBLE RODILLO/VIBROCOMPACTADOR DE RODILLOS HAMM 120HD VV</t>
  </si>
  <si>
    <t xml:space="preserve">BARREDORA BROCE RJ350</t>
  </si>
  <si>
    <t xml:space="preserve">BIDONES</t>
  </si>
  <si>
    <t xml:space="preserve">MOTOCONFORMADORA CAT 120H</t>
  </si>
  <si>
    <t xml:space="preserve">VIBROCOMPACTADOR CATERPILLAR CB66B</t>
  </si>
  <si>
    <t xml:space="preserve">2. Consumo Real</t>
  </si>
  <si>
    <t xml:space="preserve"/>
  </si>
  <si>
    <t xml:space="preserve">Maquinaria Pegaso</t>
  </si>
  <si>
    <t xml:space="preserve">PERFILADORA WIRGENT-W200i</t>
  </si>
  <si>
    <t xml:space="preserve">RETROEXCAVADORA JHONDEREE 310SK</t>
  </si>
  <si>
    <t xml:space="preserve">PAVIMENTADORA  VOGELE 1800-3 i</t>
  </si>
  <si>
    <t xml:space="preserve">PAVIMENTADORA  VOGELE SJ 1800-3</t>
  </si>
  <si>
    <t xml:space="preserve">PETROLIZADORA    INTERNATIONAL</t>
  </si>
  <si>
    <t xml:space="preserve">DOBLE RODILLO/VIBROCOMPACTADOR DE RODILLOS HAMM 140HD</t>
  </si>
  <si>
    <t xml:space="preserve">GENERADOR AMMANN</t>
  </si>
  <si>
    <t xml:space="preserve">PERFILADORA RODATEC RX600-4-4008</t>
  </si>
  <si>
    <t xml:space="preserve">Dragones</t>
  </si>
  <si>
    <t xml:space="preserve">PAVIMENTADORA VOGELE SJ 1800-3</t>
  </si>
  <si>
    <t xml:space="preserve">PAVIMENTADORA VOGELE 1800-2 SJ</t>
  </si>
  <si>
    <t xml:space="preserve">COMPRESOR  SULLIVAN PALATEK D2010</t>
  </si>
  <si>
    <t xml:space="preserve">PAVIMENTADORA  VOGELE 1800-2 SJ</t>
  </si>
  <si>
    <t xml:space="preserve">MOTOCONFORMADORA RENTADA</t>
  </si>
  <si>
    <t xml:space="preserve">AUTOTANQUE(QUEMADOR)</t>
  </si>
  <si>
    <t xml:space="preserve">Providencia</t>
  </si>
  <si>
    <t xml:space="preserve">NEUMATICO VOLVO PT-125R</t>
  </si>
  <si>
    <t xml:space="preserve">CAMION DE SELLO</t>
  </si>
  <si>
    <t xml:space="preserve">3. Carga Almacen (Pipa)</t>
  </si>
  <si>
    <t xml:space="preserve">Ticket: Bidones</t>
  </si>
  <si>
    <t xml:space="preserve">Carga Tanque Fijo</t>
  </si>
  <si>
    <t xml:space="preserve">Ticket: Retroexcavadora</t>
  </si>
  <si>
    <t xml:space="preserve">Ticket: Doble Rodillo</t>
  </si>
  <si>
    <t xml:space="preserve">Ticket: Petrolizadora</t>
  </si>
  <si>
    <t xml:space="preserve">Ticket: PayLoder</t>
  </si>
  <si>
    <t xml:space="preserve">Ticket: Compresor</t>
  </si>
  <si>
    <t xml:space="preserve">Ticket: Camion de Impacto</t>
  </si>
  <si>
    <t xml:space="preserve">Ticket: Vogel</t>
  </si>
  <si>
    <t xml:space="preserve">Ticket: Neuomatico</t>
  </si>
  <si>
    <t xml:space="preserve">Ticket: Barredora Broce</t>
  </si>
  <si>
    <t xml:space="preserve">Ticket: BIDONES</t>
  </si>
  <si>
    <t xml:space="preserve">Ticket: TANDEM DOBLE RODILLO / VIBROCOMPACTOR RODILLO CAT CB54</t>
  </si>
  <si>
    <t xml:space="preserve">Ticket: PAYLODER</t>
  </si>
  <si>
    <t xml:space="preserve">Ticket: DOBLE RODILLO/VIBROCOMPACTADOR DE RODILLOS HAMM 140HD</t>
  </si>
  <si>
    <t xml:space="preserve">Ticket: PETROLIZADORA    INTERNATIONAL</t>
  </si>
  <si>
    <t xml:space="preserve">Ticket: BARREDORA LAYMOR SM400</t>
  </si>
  <si>
    <t xml:space="preserve">Ticket: LIMPIEZA</t>
  </si>
  <si>
    <t xml:space="preserve">Ticket: RETROEXCAVADORA JHONDEREE 310SK</t>
  </si>
  <si>
    <t xml:space="preserve">Ticket: PIPA DE AGUA (IMPACTO 01) FORD</t>
  </si>
  <si>
    <t xml:space="preserve">Ticket: PETROLIZADORA (IMPACTO 04) FORD F800</t>
  </si>
  <si>
    <t xml:space="preserve">Ticket: PERFILADORA RODATEC RX600-4-4008</t>
  </si>
  <si>
    <t xml:space="preserve">Ticket: PAVIMENTADORA  VOGELE 1800-3 i</t>
  </si>
  <si>
    <t xml:space="preserve">Ticket: IMPACTO FORD 4300</t>
  </si>
  <si>
    <t xml:space="preserve">Ticket: NEUMATICO / COMPACTADOR DE NEUMATICOS DINAPAC CP271</t>
  </si>
  <si>
    <t xml:space="preserve">Ticket: RETROEXCAVADORA CASE 580 N</t>
  </si>
  <si>
    <t xml:space="preserve">Ticket: PERFILADORA RODATEC RX600E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</si>
</sst>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\$#,##0.00"/>
    <numFmt numFmtId="165" formatCode="&quot;$&quot;#,##0.00"/>
    <numFmt numFmtId="166" formatCode="yyyy-mm-dd"/>
    <numFmt numFmtId="167" formatCode="$#,##0.00"/>
    <numFmt numFmtId="168" formatCode="dd/mm/yyyy"/>
  </numFmts>
  <fonts>
    <font>
      <sz val="11"/>
      <name val="Carlito"/>
    </font>
    <font>
      <sz val="11"/>
      <color theme="1"/>
      <name val="Calibri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sz val="8"/>
      <name val="Carlito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FF"/>
      <name val="Segoe UI"/>
    </font>
    <font>
      <b/>
      <sz val="11"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sz val="11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sz val="11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b/>
      <sz val="10"/>
      <color rgb="FFFFFF"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b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b/>
      <name val="Segoe UI"/>
    </font>
    <font>
      <b/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>
      <name val="Segoe UI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002060"/>
      </patternFill>
    </fill>
    <fill>
      <patternFill patternType="solid">
        <fgColor rgb="D9D9D9"/>
      </patternFill>
    </fill>
    <fill/>
    <fill/>
    <fill/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FFF2CC"/>
      </patternFill>
    </fill>
    <fill>
      <patternFill patternType="solid">
        <fgColor rgb="D9D9D9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>
      <patternFill patternType="solid">
        <fgColor rgb="4F81BD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B8CCE4"/>
      </patternFill>
    </fill>
    <fill>
      <patternFill patternType="solid">
        <fgColor rgb="D9D9D9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>
      <patternFill patternType="solid">
        <fgColor rgb="31859C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>
      <patternFill patternType="solid">
        <fgColor rgb="B7DEE8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/>
    <xf numFmtId="4" fontId="0" fillId="0" borderId="0" xfId="0" applyNumberFormat="1"/>
    <xf numFmtId="164" fontId="0" fillId="0" borderId="0" xfId="0" applyNumberFormat="1"/>
    <xf numFmtId="4" fontId="3" fillId="2" borderId="0" xfId="0" applyNumberFormat="1" applyFont="1" applyFill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0" borderId="0" xfId="1" applyFont="1"/>
    <xf numFmtId="0" fontId="1" fillId="0" borderId="0" xfId="1"/>
    <xf numFmtId="0" fontId="6" fillId="3" borderId="1" xfId="1" applyFont="1" applyFill="1" applyBorder="1" applyAlignment="1">
      <alignment horizontal="center"/>
    </xf>
    <xf numFmtId="0" fontId="1" fillId="0" borderId="1" xfId="1" applyBorder="1"/>
    <xf numFmtId="165" fontId="1" fillId="0" borderId="1" xfId="1" applyNumberFormat="1" applyBorder="1"/>
    <xf numFmtId="0" fontId="7" fillId="0" borderId="0" xfId="1" applyFont="1"/>
    <xf numFmtId="0" fontId="6" fillId="4" borderId="1" xfId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5" fontId="1" fillId="0" borderId="0" xfId="1" applyNumberFormat="1"/>
    <xf fontId="8" fillId="5" borderId="2" applyFont="1" applyFill="1" applyBorder="1">
      <alignment horizontal="center" vertical="center"/>
    </xf>
    <xf fontId="9" fillId="6" borderId="3" applyFont="1" applyFill="1" applyBorder="1">
      <alignment vertical="center"/>
    </xf>
    <xf fontId="10" fillId="7" borderId="4" applyFont="1" applyFill="1" applyBorder="1">
      <alignment horizontal="right"/>
    </xf>
    <xf fontId="11" fillId="8" borderId="5" applyFont="1" applyFill="1" applyBorder="1">
      <alignment horizontal="right"/>
    </xf>
    <xf fontId="12" fillId="9" borderId="6" applyFont="1" applyFill="1" applyBorder="1">
      <alignment horizontal="right"/>
    </xf>
    <xf fontId="13" fillId="10" borderId="7" applyFont="1" applyFill="1" applyBorder="1"/>
    <xf fontId="14" fillId="11" borderId="8" applyFont="1" applyFill="1" applyBorder="1" numFmtId="166"/>
    <xf fontId="15" fillId="12" borderId="9" applyFont="1" applyFill="1" applyBorder="1" numFmtId="167"/>
    <xf fontId="16" fillId="13" borderId="10" applyFont="1" applyFill="1" applyBorder="1">
      <alignment vertical="center"/>
    </xf>
    <xf fontId="17" fillId="14" borderId="11" applyFont="1" applyFill="1" applyBorder="1">
      <alignment horizontal="center" vertical="center"/>
    </xf>
    <xf fontId="18" fillId="15" borderId="12" applyFont="1" applyFill="1" applyBorder="1">
      <alignment horizontal="center" vertical="center"/>
    </xf>
    <xf fontId="19" fillId="16" borderId="13" applyFont="1" applyFill="1" applyBorder="1">
      <alignment horizontal="center" vertical="center"/>
    </xf>
    <xf fontId="20" fillId="17" borderId="14" applyFont="1" applyFill="1" applyBorder="1">
      <alignment horizontal="center" vertical="center"/>
    </xf>
    <xf fontId="21" fillId="18" borderId="15" applyFont="1" applyFill="1" applyBorder="1">
      <alignment horizontal="center" vertical="center"/>
    </xf>
    <xf fontId="22" fillId="19" borderId="16" applyFont="1" applyFill="1" applyBorder="1">
      <alignment horizontal="center" vertical="center"/>
    </xf>
    <xf fontId="23" fillId="20" borderId="17" applyFont="1" applyFill="1" applyBorder="1">
      <alignment horizontal="center" vertical="center"/>
    </xf>
    <xf fontId="24" fillId="21" borderId="18" applyFont="1" applyFill="1" applyBorder="1">
      <alignment horizontal="center" vertical="center"/>
    </xf>
    <xf fontId="25" fillId="22" borderId="19" applyFont="1" applyFill="1" applyBorder="1">
      <alignment horizontal="center"/>
    </xf>
    <xf fontId="26" fillId="23" borderId="20" applyFont="1" applyFill="1" applyBorder="1" numFmtId="166">
      <alignment horizontal="center"/>
    </xf>
    <xf fontId="27" fillId="24" borderId="21" applyFont="1" applyFill="1" applyBorder="1" numFmtId="3"/>
    <xf fontId="28" fillId="25" borderId="22" applyFont="1" applyFill="1" applyBorder="1" numFmtId="3"/>
    <xf fontId="29" fillId="26" borderId="23" applyFont="1" applyFill="1" applyBorder="1" numFmtId="3"/>
    <xf fontId="30" fillId="27" borderId="24" applyFont="1" applyFill="1" applyBorder="1" numFmtId="167"/>
    <xf fontId="31" fillId="28" borderId="25" applyFont="1" applyFill="1" applyBorder="1" numFmtId="167"/>
    <xf fontId="32" fillId="29" borderId="26" applyFont="1" applyFill="1" applyBorder="1" numFmtId="167"/>
    <xf fontId="33" fillId="30" borderId="27" applyFont="1" applyFill="1" applyBorder="1">
      <alignment horizontal="center"/>
    </xf>
    <xf fontId="34" fillId="31" borderId="28" applyFont="1" applyFill="1" applyBorder="1" numFmtId="166">
      <alignment horizontal="center"/>
    </xf>
    <xf fontId="35" fillId="32" borderId="29" applyFont="1" applyFill="1" applyBorder="1" numFmtId="3"/>
    <xf fontId="36" fillId="33" borderId="30" applyFont="1" applyFill="1" applyBorder="1" numFmtId="3"/>
    <xf fontId="37" fillId="34" borderId="31" applyFont="1" applyFill="1" applyBorder="1" numFmtId="3"/>
    <xf fontId="38" fillId="35" borderId="32" applyFont="1" applyFill="1" applyBorder="1" numFmtId="167"/>
    <xf fontId="39" fillId="36" borderId="33" applyFont="1" applyFill="1" applyBorder="1" numFmtId="167"/>
    <xf fontId="40" fillId="37" borderId="34" applyFont="1" applyFill="1" applyBorder="1" numFmtId="167"/>
    <xf fontId="41" fillId="38" borderId="35" applyFont="1" applyFill="1" applyBorder="1">
      <alignment horizontal="center"/>
    </xf>
    <xf fontId="42" fillId="39" borderId="36" applyFont="1" applyFill="1" applyBorder="1" numFmtId="166">
      <alignment horizontal="center"/>
    </xf>
    <xf fontId="43" fillId="40" borderId="37" applyFont="1" applyFill="1" applyBorder="1" numFmtId="3"/>
    <xf fontId="44" fillId="41" borderId="38" applyFont="1" applyFill="1" applyBorder="1" numFmtId="3"/>
    <xf fontId="45" fillId="42" borderId="39" applyFont="1" applyFill="1" applyBorder="1" numFmtId="3"/>
    <xf fontId="46" fillId="43" borderId="40" applyFont="1" applyFill="1" applyBorder="1" numFmtId="167"/>
    <xf fontId="47" fillId="44" borderId="41" applyFont="1" applyFill="1" applyBorder="1" numFmtId="167"/>
    <xf fontId="48" fillId="45" borderId="42" applyFont="1" applyFill="1" applyBorder="1" numFmtId="167"/>
    <xf fontId="49" fillId="46" borderId="43" applyFont="1" applyFill="1" applyBorder="1">
      <alignment horizontal="center"/>
    </xf>
    <xf fontId="50" fillId="47" borderId="44" applyFont="1" applyFill="1" applyBorder="1" numFmtId="166">
      <alignment horizontal="center"/>
    </xf>
    <xf fontId="51" fillId="48" borderId="45" applyFont="1" applyFill="1" applyBorder="1" numFmtId="3"/>
    <xf fontId="52" fillId="49" borderId="46" applyFont="1" applyFill="1" applyBorder="1" numFmtId="3"/>
    <xf fontId="53" fillId="50" borderId="47" applyFont="1" applyFill="1" applyBorder="1" numFmtId="3"/>
    <xf fontId="54" fillId="51" borderId="48" applyFont="1" applyFill="1" applyBorder="1" numFmtId="167"/>
    <xf fontId="55" fillId="52" borderId="49" applyFont="1" applyFill="1" applyBorder="1" numFmtId="167"/>
    <xf fontId="56" fillId="53" borderId="50" applyFont="1" applyFill="1" applyBorder="1" numFmtId="167"/>
    <xf fontId="57" fillId="54" borderId="51" applyFont="1" applyFill="1" applyBorder="1">
      <alignment horizontal="center"/>
    </xf>
    <xf fontId="58" fillId="55" borderId="52" applyFont="1" applyFill="1" applyBorder="1" numFmtId="166">
      <alignment horizontal="center"/>
    </xf>
    <xf fontId="59" fillId="56" borderId="53" applyFont="1" applyFill="1" applyBorder="1" numFmtId="3"/>
    <xf fontId="60" fillId="57" borderId="54" applyFont="1" applyFill="1" applyBorder="1" numFmtId="3"/>
    <xf fontId="61" fillId="58" borderId="55" applyFont="1" applyFill="1" applyBorder="1" numFmtId="3"/>
    <xf fontId="62" fillId="59" borderId="56" applyFont="1" applyFill="1" applyBorder="1" numFmtId="167"/>
    <xf fontId="63" fillId="60" borderId="57" applyFont="1" applyFill="1" applyBorder="1" numFmtId="167"/>
    <xf fontId="64" fillId="61" borderId="58" applyFont="1" applyFill="1" applyBorder="1" numFmtId="167"/>
    <xf fontId="65" fillId="62" borderId="59" applyFont="1" applyFill="1" applyBorder="1">
      <alignment horizontal="center"/>
    </xf>
    <xf fontId="66" fillId="63" borderId="60" applyFont="1" applyFill="1" applyBorder="1" numFmtId="166">
      <alignment horizontal="center"/>
    </xf>
    <xf fontId="67" fillId="64" borderId="61" applyFont="1" applyFill="1" applyBorder="1" numFmtId="3"/>
    <xf fontId="68" fillId="65" borderId="62" applyFont="1" applyFill="1" applyBorder="1" numFmtId="3"/>
    <xf fontId="69" fillId="66" borderId="63" applyFont="1" applyFill="1" applyBorder="1" numFmtId="3"/>
    <xf fontId="70" fillId="67" borderId="64" applyFont="1" applyFill="1" applyBorder="1" numFmtId="167"/>
    <xf fontId="71" fillId="68" borderId="65" applyFont="1" applyFill="1" applyBorder="1" numFmtId="167"/>
    <xf fontId="72" fillId="69" borderId="66" applyFont="1" applyFill="1" applyBorder="1" numFmtId="167"/>
    <xf fontId="73" fillId="70" borderId="67" applyFont="1" applyFill="1" applyBorder="1">
      <alignment horizontal="center"/>
    </xf>
    <xf fontId="74" fillId="71" borderId="68" applyFont="1" applyFill="1" applyBorder="1"/>
    <xf fontId="75" fillId="72" borderId="69" applyFont="1" applyFill="1" applyBorder="1" numFmtId="3"/>
    <xf fontId="76" fillId="73" borderId="70" applyFont="1" applyFill="1" applyBorder="1" numFmtId="3"/>
    <xf fontId="77" fillId="74" borderId="71" applyFont="1" applyFill="1" applyBorder="1" numFmtId="3"/>
    <xf fontId="78" fillId="75" borderId="72" applyFont="1" applyFill="1" applyBorder="1" numFmtId="167"/>
    <xf fontId="79" fillId="76" borderId="73" applyFont="1" applyFill="1" applyBorder="1" numFmtId="167"/>
    <xf fontId="80" fillId="77" borderId="74" applyFont="1" applyFill="1" applyBorder="1" numFmtId="167"/>
    <xf fontId="81" fillId="78" borderId="75" applyFont="1" applyFill="1" applyBorder="1">
      <alignment vertical="center"/>
    </xf>
    <xf fontId="82" fillId="79" borderId="76" applyFont="1" applyFill="1" applyBorder="1">
      <alignment horizontal="center" vertical="center"/>
    </xf>
    <xf fontId="83" fillId="80" borderId="77" applyFont="1" applyFill="1" applyBorder="1">
      <alignment horizontal="center" vertical="center"/>
    </xf>
    <xf fontId="84" fillId="81" borderId="78" applyFont="1" applyFill="1" applyBorder="1">
      <alignment horizontal="center" vertical="center"/>
    </xf>
    <xf fontId="85" fillId="82" borderId="79" applyFont="1" applyFill="1" applyBorder="1">
      <alignment horizontal="center" vertical="center"/>
    </xf>
    <xf fontId="86" fillId="83" borderId="80" applyFont="1" applyFill="1" applyBorder="1">
      <alignment horizontal="center" vertical="center"/>
    </xf>
    <xf fontId="87" fillId="84" borderId="81" applyFont="1" applyFill="1" applyBorder="1">
      <alignment horizontal="center" vertical="center"/>
    </xf>
    <xf fontId="88" fillId="85" borderId="82" applyFont="1" applyFill="1" applyBorder="1">
      <alignment horizontal="center" vertical="center"/>
    </xf>
    <xf fontId="89" fillId="86" borderId="83" applyFont="1" applyFill="1" applyBorder="1">
      <alignment horizontal="center" vertical="center"/>
    </xf>
    <xf fontId="90" fillId="87" borderId="84" applyFont="1" applyFill="1" applyBorder="1">
      <alignment horizontal="center" vertical="center"/>
    </xf>
    <xf fontId="91" fillId="88" borderId="85" applyFont="1" applyFill="1" applyBorder="1">
      <alignment horizontal="center"/>
    </xf>
    <xf fontId="92" fillId="89" borderId="86" applyFont="1" applyFill="1" applyBorder="1" numFmtId="166">
      <alignment horizontal="center"/>
    </xf>
    <xf fontId="93" fillId="90" borderId="87" applyFont="1" applyFill="1" applyBorder="1" numFmtId="3"/>
    <xf fontId="94" fillId="91" borderId="88" applyFont="1" applyFill="1" applyBorder="1" numFmtId="3"/>
    <xf fontId="95" fillId="92" borderId="89" applyFont="1" applyFill="1" applyBorder="1" numFmtId="3"/>
    <xf fontId="96" fillId="93" borderId="90" applyFont="1" applyFill="1" applyBorder="1" numFmtId="3"/>
    <xf fontId="97" fillId="94" borderId="91" applyFont="1" applyFill="1" applyBorder="1" numFmtId="3"/>
    <xf fontId="98" fillId="95" borderId="92" applyFont="1" applyFill="1" applyBorder="1" numFmtId="3"/>
    <xf fontId="99" fillId="96" borderId="93" applyFont="1" applyFill="1" applyBorder="1" numFmtId="3"/>
    <xf fontId="100" fillId="97" borderId="94" applyFont="1" applyFill="1" applyBorder="1">
      <alignment horizontal="center"/>
    </xf>
    <xf fontId="101" fillId="98" borderId="95" applyFont="1" applyFill="1" applyBorder="1" numFmtId="166">
      <alignment horizontal="center"/>
    </xf>
    <xf fontId="102" fillId="99" borderId="96" applyFont="1" applyFill="1" applyBorder="1" numFmtId="3"/>
    <xf fontId="103" fillId="100" borderId="97" applyFont="1" applyFill="1" applyBorder="1" numFmtId="3"/>
    <xf fontId="104" fillId="101" borderId="98" applyFont="1" applyFill="1" applyBorder="1" numFmtId="3"/>
    <xf fontId="105" fillId="102" borderId="99" applyFont="1" applyFill="1" applyBorder="1" numFmtId="3"/>
    <xf fontId="106" fillId="103" borderId="100" applyFont="1" applyFill="1" applyBorder="1" numFmtId="3"/>
    <xf fontId="107" fillId="104" borderId="101" applyFont="1" applyFill="1" applyBorder="1" numFmtId="3"/>
    <xf fontId="108" fillId="105" borderId="102" applyFont="1" applyFill="1" applyBorder="1" numFmtId="3"/>
    <xf fontId="109" fillId="106" borderId="103" applyFont="1" applyFill="1" applyBorder="1">
      <alignment horizontal="center"/>
    </xf>
    <xf fontId="110" fillId="107" borderId="104" applyFont="1" applyFill="1" applyBorder="1" numFmtId="166">
      <alignment horizontal="center"/>
    </xf>
    <xf fontId="111" fillId="108" borderId="105" applyFont="1" applyFill="1" applyBorder="1" numFmtId="3"/>
    <xf fontId="112" fillId="109" borderId="106" applyFont="1" applyFill="1" applyBorder="1" numFmtId="3"/>
    <xf fontId="113" fillId="110" borderId="107" applyFont="1" applyFill="1" applyBorder="1" numFmtId="3"/>
    <xf fontId="114" fillId="111" borderId="108" applyFont="1" applyFill="1" applyBorder="1" numFmtId="3"/>
    <xf fontId="115" fillId="112" borderId="109" applyFont="1" applyFill="1" applyBorder="1" numFmtId="3"/>
    <xf fontId="116" fillId="113" borderId="110" applyFont="1" applyFill="1" applyBorder="1" numFmtId="3"/>
    <xf fontId="117" fillId="114" borderId="111" applyFont="1" applyFill="1" applyBorder="1" numFmtId="3"/>
    <xf fontId="118" fillId="115" borderId="112" applyFont="1" applyFill="1" applyBorder="1">
      <alignment horizontal="center"/>
    </xf>
    <xf fontId="119" fillId="116" borderId="113" applyFont="1" applyFill="1" applyBorder="1" numFmtId="166">
      <alignment horizontal="center"/>
    </xf>
    <xf fontId="120" fillId="117" borderId="114" applyFont="1" applyFill="1" applyBorder="1" numFmtId="3"/>
    <xf fontId="121" fillId="118" borderId="115" applyFont="1" applyFill="1" applyBorder="1" numFmtId="3"/>
    <xf fontId="122" fillId="119" borderId="116" applyFont="1" applyFill="1" applyBorder="1" numFmtId="3"/>
    <xf fontId="123" fillId="120" borderId="117" applyFont="1" applyFill="1" applyBorder="1" numFmtId="3"/>
    <xf fontId="124" fillId="121" borderId="118" applyFont="1" applyFill="1" applyBorder="1" numFmtId="3"/>
    <xf fontId="125" fillId="122" borderId="119" applyFont="1" applyFill="1" applyBorder="1" numFmtId="3"/>
    <xf fontId="126" fillId="123" borderId="120" applyFont="1" applyFill="1" applyBorder="1" numFmtId="3"/>
    <xf fontId="127" fillId="124" borderId="121" applyFont="1" applyFill="1" applyBorder="1">
      <alignment horizontal="center"/>
    </xf>
    <xf fontId="128" fillId="125" borderId="122" applyFont="1" applyFill="1" applyBorder="1" numFmtId="166">
      <alignment horizontal="center"/>
    </xf>
    <xf fontId="129" fillId="126" borderId="123" applyFont="1" applyFill="1" applyBorder="1" numFmtId="3"/>
    <xf fontId="130" fillId="127" borderId="124" applyFont="1" applyFill="1" applyBorder="1" numFmtId="3"/>
    <xf fontId="131" fillId="128" borderId="125" applyFont="1" applyFill="1" applyBorder="1" numFmtId="3"/>
    <xf fontId="132" fillId="129" borderId="126" applyFont="1" applyFill="1" applyBorder="1" numFmtId="3"/>
    <xf fontId="133" fillId="130" borderId="127" applyFont="1" applyFill="1" applyBorder="1" numFmtId="3"/>
    <xf fontId="134" fillId="131" borderId="128" applyFont="1" applyFill="1" applyBorder="1" numFmtId="3"/>
    <xf fontId="135" fillId="132" borderId="129" applyFont="1" applyFill="1" applyBorder="1" numFmtId="3"/>
    <xf fontId="136" fillId="133" borderId="130" applyFont="1" applyFill="1" applyBorder="1">
      <alignment horizontal="center"/>
    </xf>
    <xf fontId="137" fillId="134" borderId="131" applyFont="1" applyFill="1" applyBorder="1" numFmtId="166">
      <alignment horizontal="center"/>
    </xf>
    <xf fontId="138" fillId="135" borderId="132" applyFont="1" applyFill="1" applyBorder="1" numFmtId="3"/>
    <xf fontId="139" fillId="136" borderId="133" applyFont="1" applyFill="1" applyBorder="1" numFmtId="3"/>
    <xf fontId="140" fillId="137" borderId="134" applyFont="1" applyFill="1" applyBorder="1" numFmtId="3"/>
    <xf fontId="141" fillId="138" borderId="135" applyFont="1" applyFill="1" applyBorder="1" numFmtId="3"/>
    <xf fontId="142" fillId="139" borderId="136" applyFont="1" applyFill="1" applyBorder="1" numFmtId="3"/>
    <xf fontId="143" fillId="140" borderId="137" applyFont="1" applyFill="1" applyBorder="1" numFmtId="3"/>
    <xf fontId="144" fillId="141" borderId="138" applyFont="1" applyFill="1" applyBorder="1" numFmtId="3"/>
    <xf fontId="145" fillId="142" borderId="139" applyFont="1" applyFill="1" applyBorder="1">
      <alignment horizontal="center"/>
    </xf>
    <xf fontId="146" fillId="143" borderId="140" applyFont="1" applyFill="1" applyBorder="1" numFmtId="3"/>
    <xf fontId="147" fillId="144" borderId="141" applyFont="1" applyFill="1" applyBorder="1" numFmtId="3"/>
    <xf fontId="148" fillId="145" borderId="142" applyFont="1" applyFill="1" applyBorder="1" numFmtId="3"/>
    <xf fontId="149" fillId="146" borderId="143" applyFont="1" applyFill="1" applyBorder="1" numFmtId="3"/>
    <xf fontId="150" fillId="147" borderId="144" applyFont="1" applyFill="1" applyBorder="1" numFmtId="3"/>
    <xf fontId="151" fillId="148" borderId="145" applyFont="1" applyFill="1" applyBorder="1" numFmtId="3"/>
    <xf fontId="152" fillId="149" borderId="146" applyFont="1" applyFill="1" applyBorder="1" numFmtId="3"/>
    <xf fontId="153" fillId="150" borderId="147" applyFont="1" applyFill="1" applyBorder="1" numFmtId="3"/>
    <xf fontId="154" fillId="151" borderId="148" applyFont="1" applyFill="1" applyBorder="1"/>
    <xf fontId="155" fillId="152" borderId="149" applyFont="1" applyFill="1" applyBorder="1"/>
    <xf fontId="156" fillId="153" borderId="150" applyFont="1" applyFill="1" applyBorder="1"/>
    <xf fontId="157" fillId="154" borderId="151" applyFont="1" applyFill="1" applyBorder="1"/>
    <xf fontId="158" fillId="155" borderId="152" applyFont="1" applyFill="1" applyBorder="1"/>
    <xf fontId="159" fillId="156" borderId="153" applyFont="1" applyFill="1" applyBorder="1"/>
    <xf fontId="160" fillId="157" borderId="154" applyFont="1" applyFill="1" applyBorder="1"/>
    <xf fontId="161" fillId="158" borderId="155" applyFont="1" applyFill="1" applyBorder="1"/>
    <xf fontId="162" fillId="159" borderId="156" applyFont="1" applyFill="1" applyBorder="1"/>
    <xf fontId="163" fillId="160" borderId="157" applyFont="1" applyFill="1" applyBorder="1"/>
    <xf fontId="164" fillId="161" borderId="158" applyFont="1" applyFill="1" applyBorder="1"/>
    <xf fontId="165" fillId="162" borderId="159" applyFont="1" applyFill="1" applyBorder="1"/>
    <xf fontId="166" fillId="163" borderId="160" applyFont="1" applyFill="1" applyBorder="1"/>
    <xf fontId="167" fillId="164" borderId="161" applyFont="1" applyFill="1" applyBorder="1"/>
    <xf fontId="168" fillId="165" borderId="162" applyFont="1" applyFill="1" applyBorder="1"/>
    <xf fontId="169" fillId="166" borderId="163" applyFont="1" applyFill="1" applyBorder="1"/>
    <xf fontId="170" fillId="167" borderId="164" applyFont="1" applyFill="1" applyBorder="1"/>
    <xf fontId="171" fillId="168" borderId="165" applyFont="1" applyFill="1" applyBorder="1"/>
    <xf fontId="172" fillId="169" borderId="166" applyFont="1" applyFill="1" applyBorder="1"/>
    <xf fontId="173" fillId="170" borderId="167" applyFont="1" applyFill="1" applyBorder="1"/>
    <xf fontId="174" fillId="171" borderId="168" applyFont="1" applyFill="1" applyBorder="1"/>
    <xf fontId="175" fillId="172" borderId="169" applyFont="1" applyFill="1" applyBorder="1"/>
    <xf fontId="176" fillId="173" borderId="170" applyFont="1" applyFill="1" applyBorder="1"/>
    <xf fontId="177" fillId="174" borderId="171" applyFont="1" applyFill="1" applyBorder="1"/>
    <xf fontId="178" fillId="175" borderId="172" applyFont="1" applyFill="1" applyBorder="1"/>
    <xf fontId="179" fillId="176" borderId="173" applyFont="1" applyFill="1" applyBorder="1"/>
    <xf fontId="180" fillId="177" borderId="174" applyFont="1" applyFill="1" applyBorder="1"/>
    <xf fontId="181" fillId="178" borderId="175" applyFont="1" applyFill="1" applyBorder="1"/>
    <xf fontId="182" fillId="179" borderId="176" applyFont="1" applyFill="1" applyBorder="1"/>
    <xf fontId="183" fillId="180" borderId="177" applyFont="1" applyFill="1" applyBorder="1"/>
    <xf fontId="184" fillId="181" borderId="178" applyFont="1" applyFill="1" applyBorder="1"/>
    <xf fontId="185" fillId="182" borderId="179" applyFont="1" applyFill="1" applyBorder="1"/>
    <xf fontId="186" fillId="183" borderId="180" applyFont="1" applyFill="1" applyBorder="1"/>
    <xf fontId="187" fillId="184" borderId="181" applyFont="1" applyFill="1" applyBorder="1"/>
    <xf fontId="188" fillId="185" borderId="182" applyFont="1" applyFill="1" applyBorder="1"/>
    <xf fontId="189" fillId="186" borderId="183" applyFont="1" applyFill="1" applyBorder="1"/>
    <xf fontId="190" fillId="187" borderId="184" applyFont="1" applyFill="1" applyBorder="1"/>
    <xf fontId="191" fillId="188" borderId="185" applyFont="1" applyFill="1" applyBorder="1"/>
    <xf fontId="192" fillId="189" borderId="186" applyFont="1" applyFill="1" applyBorder="1"/>
    <xf fontId="193" fillId="190" borderId="187" applyFont="1" applyFill="1" applyBorder="1"/>
    <xf fontId="194" fillId="191" borderId="188" applyFont="1" applyFill="1" applyBorder="1"/>
    <xf fontId="195" fillId="192" borderId="189" applyFont="1" applyFill="1" applyBorder="1"/>
    <xf fontId="196" fillId="193" borderId="190" applyFont="1" applyFill="1" applyBorder="1"/>
    <xf fontId="197" fillId="194" borderId="191" applyFont="1" applyFill="1" applyBorder="1"/>
    <xf fontId="198" fillId="195" borderId="192" applyFont="1" applyFill="1" applyBorder="1"/>
    <xf fontId="199" fillId="196" borderId="193" applyFont="1" applyFill="1" applyBorder="1"/>
    <xf fontId="200" fillId="197" borderId="194" applyFont="1" applyFill="1" applyBorder="1"/>
    <xf fontId="201" fillId="198" borderId="195" applyFont="1" applyFill="1" applyBorder="1"/>
    <xf fontId="202" fillId="199" borderId="196" applyFont="1" applyFill="1" applyBorder="1"/>
    <xf fontId="203" fillId="200" borderId="197" applyFont="1" applyFill="1" applyBorder="1"/>
    <xf fontId="204" fillId="201" borderId="198" applyFont="1" applyFill="1" applyBorder="1"/>
    <xf fontId="205" fillId="202" borderId="199" applyFont="1" applyFill="1" applyBorder="1"/>
    <xf fontId="206" fillId="203" borderId="200" applyFont="1" applyFill="1" applyBorder="1"/>
    <xf fontId="207" fillId="204" borderId="201" applyFont="1" applyFill="1" applyBorder="1"/>
    <xf fontId="208" fillId="205" borderId="202" applyFont="1" applyFill="1" applyBorder="1"/>
    <xf fontId="209" fillId="206" borderId="203" applyFont="1" applyFill="1" applyBorder="1"/>
    <xf fontId="210" fillId="207" borderId="204" applyFont="1" applyFill="1" applyBorder="1"/>
    <xf fontId="211" fillId="208" borderId="205" applyFont="1" applyFill="1" applyBorder="1"/>
    <xf fontId="212" fillId="209" borderId="206" applyFont="1" applyFill="1" applyBorder="1"/>
    <xf fontId="213" fillId="210" borderId="207" applyFont="1" applyFill="1" applyBorder="1"/>
    <xf fontId="214" fillId="211" borderId="208" applyFont="1" applyFill="1" applyBorder="1"/>
    <xf fontId="215" fillId="212" borderId="209" applyFont="1" applyFill="1" applyBorder="1"/>
    <xf fontId="216" fillId="213" borderId="210" applyFont="1" applyFill="1" applyBorder="1"/>
    <xf fontId="217" fillId="214" borderId="211" applyFont="1" applyFill="1" applyBorder="1"/>
    <xf fontId="218" fillId="215" borderId="212" applyFont="1" applyFill="1" applyBorder="1"/>
    <xf fontId="219" fillId="216" borderId="213" applyFont="1" applyFill="1" applyBorder="1"/>
    <xf fontId="220" fillId="217" borderId="214" applyFont="1" applyFill="1" applyBorder="1"/>
    <xf fontId="221" fillId="218" borderId="215" applyFont="1" applyFill="1" applyBorder="1"/>
    <xf fontId="222" fillId="219" borderId="216" applyFont="1" applyFill="1" applyBorder="1"/>
    <xf fontId="223" fillId="220" borderId="217" applyFont="1" applyFill="1" applyBorder="1"/>
    <xf fontId="224" fillId="221" borderId="218" applyFont="1" applyFill="1" applyBorder="1"/>
    <xf fontId="225" fillId="222" borderId="219" applyFont="1" applyFill="1" applyBorder="1"/>
    <xf fontId="226" fillId="223" borderId="220" applyFont="1" applyFill="1" applyBorder="1"/>
    <xf fontId="227" fillId="224" borderId="221" applyFont="1" applyFill="1" applyBorder="1"/>
    <xf fontId="228" fillId="225" borderId="222" applyFont="1" applyFill="1" applyBorder="1"/>
    <xf fontId="229" fillId="226" borderId="223" applyFont="1" applyFill="1" applyBorder="1"/>
    <xf fontId="230" fillId="227" borderId="224" applyFont="1" applyFill="1" applyBorder="1"/>
    <xf fontId="231" fillId="228" borderId="225" applyFont="1" applyFill="1" applyBorder="1"/>
    <xf fontId="232" fillId="229" borderId="226" applyFont="1" applyFill="1" applyBorder="1"/>
    <xf fontId="233" fillId="230" borderId="227" applyFont="1" applyFill="1" applyBorder="1"/>
    <xf fontId="234" fillId="231" borderId="228" applyFont="1" applyFill="1" applyBorder="1"/>
    <xf fontId="235" fillId="232" borderId="229" applyFont="1" applyFill="1" applyBorder="1"/>
    <xf fontId="236" fillId="233" borderId="230" applyFont="1" applyFill="1" applyBorder="1"/>
    <xf fontId="237" fillId="234" borderId="231" applyFont="1" applyFill="1" applyBorder="1"/>
    <xf fontId="238" fillId="235" borderId="232" applyFont="1" applyFill="1" applyBorder="1"/>
    <xf fontId="239" fillId="236" borderId="233" applyFont="1" applyFill="1" applyBorder="1"/>
    <xf fontId="240" fillId="237" borderId="234" applyFont="1" applyFill="1" applyBorder="1"/>
    <xf fontId="241" fillId="238" borderId="235" applyFont="1" applyFill="1" applyBorder="1"/>
    <xf fontId="242" fillId="239" borderId="236" applyFont="1" applyFill="1" applyBorder="1"/>
    <xf fontId="243" fillId="240" borderId="237" applyFont="1" applyFill="1" applyBorder="1"/>
    <xf fontId="244" fillId="241" borderId="238" applyFont="1" applyFill="1" applyBorder="1"/>
    <xf fontId="245" fillId="242" borderId="239" applyFont="1" applyFill="1" applyBorder="1"/>
    <xf fontId="246" fillId="243" borderId="240" applyFont="1" applyFill="1" applyBorder="1"/>
    <xf fontId="247" fillId="244" borderId="241" applyFont="1" applyFill="1" applyBorder="1"/>
    <xf fontId="248" fillId="245" borderId="242" applyFont="1" applyFill="1" applyBorder="1"/>
    <xf fontId="249" fillId="246" borderId="243" applyFont="1" applyFill="1" applyBorder="1"/>
    <xf fontId="250" fillId="247" borderId="244" applyFont="1" applyFill="1" applyBorder="1"/>
    <xf fontId="251" fillId="248" borderId="245" applyFont="1" applyFill="1" applyBorder="1"/>
    <xf fontId="252" fillId="249" borderId="246" applyFont="1" applyFill="1" applyBorder="1"/>
    <xf fontId="253" fillId="250" borderId="247" applyFont="1" applyFill="1" applyBorder="1"/>
    <xf fontId="254" fillId="251" borderId="248" applyFont="1" applyFill="1" applyBorder="1"/>
    <xf fontId="255" fillId="252" borderId="249" applyFont="1" applyFill="1" applyBorder="1"/>
    <xf fontId="256" fillId="253" borderId="250" applyFont="1" applyFill="1" applyBorder="1"/>
    <xf fontId="257" fillId="254" borderId="251" applyFont="1" applyFill="1" applyBorder="1"/>
    <xf fontId="258" fillId="255" borderId="252" applyFont="1" applyFill="1" applyBorder="1"/>
    <xf fontId="259" fillId="256" borderId="253" applyFont="1" applyFill="1" applyBorder="1"/>
    <xf fontId="260" fillId="257" borderId="254" applyFont="1" applyFill="1" applyBorder="1"/>
    <xf fontId="261" fillId="258" borderId="255" applyFont="1" applyFill="1" applyBorder="1"/>
    <xf fontId="262" fillId="259" borderId="256" applyFont="1" applyFill="1" applyBorder="1"/>
    <xf fontId="263" fillId="260" borderId="257" applyFont="1" applyFill="1" applyBorder="1"/>
    <xf fontId="264" fillId="261" borderId="258" applyFont="1" applyFill="1" applyBorder="1"/>
    <xf fontId="265" fillId="262" borderId="259" applyFont="1" applyFill="1" applyBorder="1"/>
    <xf fontId="266" fillId="263" borderId="260" applyFont="1" applyFill="1" applyBorder="1"/>
    <xf fontId="267" fillId="264" borderId="261" applyFont="1" applyFill="1" applyBorder="1"/>
    <xf fontId="268" fillId="265" borderId="262" applyFont="1" applyFill="1" applyBorder="1"/>
    <xf fontId="269" fillId="266" borderId="263" applyFont="1" applyFill="1" applyBorder="1"/>
    <xf fontId="270" fillId="267" borderId="264" applyFont="1" applyFill="1" applyBorder="1"/>
    <xf fontId="271" fillId="268" borderId="265" applyFont="1" applyFill="1" applyBorder="1"/>
    <xf fontId="272" fillId="269" borderId="266" applyFont="1" applyFill="1" applyBorder="1"/>
    <xf fontId="273" fillId="270" borderId="267" applyFont="1" applyFill="1" applyBorder="1"/>
    <xf fontId="274" fillId="271" borderId="268" applyFont="1" applyFill="1" applyBorder="1"/>
    <xf fontId="275" fillId="272" borderId="269" applyFont="1" applyFill="1" applyBorder="1"/>
    <xf fontId="276" fillId="273" borderId="270" applyFont="1" applyFill="1" applyBorder="1"/>
    <xf fontId="277" fillId="274" borderId="271" applyFont="1" applyFill="1" applyBorder="1"/>
    <xf fontId="278" fillId="275" borderId="272" applyFont="1" applyFill="1" applyBorder="1"/>
    <xf fontId="279" fillId="276" borderId="273" applyFont="1" applyFill="1" applyBorder="1"/>
    <xf fontId="280" fillId="277" borderId="274" applyFont="1" applyFill="1" applyBorder="1"/>
    <xf fontId="281" fillId="278" borderId="275" applyFont="1" applyFill="1" applyBorder="1"/>
    <xf fontId="282" fillId="279" borderId="276" applyFont="1" applyFill="1" applyBorder="1"/>
    <xf fontId="283" fillId="280" borderId="277" applyFont="1" applyFill="1" applyBorder="1"/>
    <xf fontId="284" fillId="281" borderId="278" applyFont="1" applyFill="1" applyBorder="1"/>
    <xf fontId="285" fillId="282" borderId="279" applyFont="1" applyFill="1" applyBorder="1"/>
    <xf fontId="286" fillId="283" borderId="280" applyFont="1" applyFill="1" applyBorder="1"/>
    <xf fontId="287" fillId="284" borderId="281" applyFont="1" applyFill="1" applyBorder="1"/>
    <xf fontId="288" fillId="285" borderId="282" applyFont="1" applyFill="1" applyBorder="1"/>
    <xf fontId="289" fillId="286" borderId="283" applyFont="1" applyFill="1" applyBorder="1"/>
    <xf fontId="290" fillId="287" borderId="284" applyFont="1" applyFill="1" applyBorder="1"/>
    <xf fontId="291" fillId="288" borderId="285" applyFont="1" applyFill="1" applyBorder="1"/>
    <xf fontId="292" fillId="289" borderId="286" applyFont="1" applyFill="1" applyBorder="1"/>
    <xf fontId="293" fillId="290" borderId="287" applyFont="1" applyFill="1" applyBorder="1"/>
    <xf fontId="294" fillId="291" borderId="288" applyFont="1" applyFill="1" applyBorder="1"/>
    <xf fontId="295" fillId="292" borderId="289" applyFont="1" applyFill="1" applyBorder="1"/>
    <xf fontId="296" fillId="293" borderId="290" applyFont="1" applyFill="1" applyBorder="1"/>
    <xf fontId="297" fillId="294" borderId="291" applyFont="1" applyFill="1" applyBorder="1"/>
    <xf fontId="298" fillId="295" borderId="292" applyFont="1" applyFill="1" applyBorder="1"/>
    <xf fontId="299" fillId="296" borderId="293" applyFont="1" applyFill="1" applyBorder="1"/>
    <xf fontId="300" fillId="297" borderId="294" applyFont="1" applyFill="1" applyBorder="1"/>
    <xf fontId="301" fillId="298" borderId="295" applyFont="1" applyFill="1" applyBorder="1"/>
    <xf fontId="302" fillId="299" borderId="296" applyFont="1" applyFill="1" applyBorder="1"/>
    <xf fontId="303" fillId="300" borderId="297" applyFont="1" applyFill="1" applyBorder="1"/>
    <xf fontId="304" fillId="301" borderId="298" applyFont="1" applyFill="1" applyBorder="1"/>
    <xf fontId="305" fillId="302" borderId="299" applyFont="1" applyFill="1" applyBorder="1"/>
    <xf fontId="306" fillId="303" borderId="300" applyFont="1" applyFill="1" applyBorder="1"/>
    <xf fontId="307" fillId="304" borderId="301" applyFont="1" applyFill="1" applyBorder="1"/>
    <xf fontId="308" fillId="305" borderId="302" applyFont="1" applyFill="1" applyBorder="1"/>
    <xf fontId="309" fillId="306" borderId="303" applyFont="1" applyFill="1" applyBorder="1"/>
    <xf fontId="310" fillId="307" borderId="304" applyFont="1" applyFill="1" applyBorder="1"/>
    <xf fontId="311" fillId="308" borderId="305" applyFont="1" applyFill="1" applyBorder="1"/>
    <xf fontId="312" fillId="309" borderId="306" applyFont="1" applyFill="1" applyBorder="1"/>
    <xf fontId="313" fillId="310" borderId="307" applyFont="1" applyFill="1" applyBorder="1"/>
    <xf fontId="314" fillId="311" borderId="308" applyFont="1" applyFill="1" applyBorder="1"/>
    <xf fontId="315" fillId="312" borderId="309" applyFont="1" applyFill="1" applyBorder="1"/>
    <xf fontId="316" fillId="313" borderId="310" applyFont="1" applyFill="1" applyBorder="1"/>
    <xf fontId="317" fillId="314" borderId="311" applyFont="1" applyFill="1" applyBorder="1"/>
    <xf fontId="318" fillId="315" borderId="312" applyFont="1" applyFill="1" applyBorder="1"/>
    <xf fontId="319" fillId="316" borderId="313" applyFont="1" applyFill="1" applyBorder="1"/>
    <xf fontId="320" fillId="317" borderId="314" applyFont="1" applyFill="1" applyBorder="1"/>
    <xf fontId="321" fillId="318" borderId="315" applyFont="1" applyFill="1" applyBorder="1"/>
    <xf fontId="322" fillId="319" borderId="316" applyFont="1" applyFill="1" applyBorder="1"/>
    <xf fontId="323" fillId="320" borderId="317" applyFont="1" applyFill="1" applyBorder="1"/>
    <xf fontId="324" fillId="321" borderId="318" applyFont="1" applyFill="1" applyBorder="1"/>
    <xf fontId="325" fillId="322" borderId="319" applyFont="1" applyFill="1" applyBorder="1" numFmtId="166"/>
    <xf fontId="326" fillId="323" borderId="320" applyFont="1" applyFill="1" applyBorder="1" numFmtId="166"/>
    <xf fontId="327" fillId="324" borderId="321" applyFont="1" applyFill="1" applyBorder="1" numFmtId="166"/>
    <xf fontId="328" fillId="325" borderId="322" applyFont="1" applyFill="1" applyBorder="1" numFmtId="166"/>
    <xf fontId="329" fillId="326" borderId="323" applyFont="1" applyFill="1" applyBorder="1" numFmtId="166"/>
    <xf fontId="330" fillId="327" borderId="324" applyFont="1" applyFill="1" applyBorder="1" numFmtId="166"/>
    <xf fontId="331" fillId="328" borderId="325" applyFont="1" applyFill="1" applyBorder="1" numFmtId="166"/>
    <xf fontId="332" fillId="329" borderId="326" applyFont="1" applyFill="1" applyBorder="1" numFmtId="166"/>
    <xf fontId="333" fillId="330" borderId="327" applyFont="1" applyFill="1" applyBorder="1" numFmtId="166"/>
    <xf fontId="334" fillId="331" borderId="328" applyFont="1" applyFill="1" applyBorder="1" numFmtId="166"/>
    <xf fontId="335" fillId="332" borderId="329" applyFont="1" applyFill="1" applyBorder="1" numFmtId="166"/>
    <xf fontId="336" fillId="333" borderId="330" applyFont="1" applyFill="1" applyBorder="1" numFmtId="166"/>
    <xf fontId="337" fillId="334" borderId="331" applyFont="1" applyFill="1" applyBorder="1" numFmtId="166"/>
    <xf fontId="338" fillId="335" borderId="332" applyFont="1" applyFill="1" applyBorder="1" numFmtId="166"/>
    <xf fontId="339" fillId="336" borderId="333" applyFont="1" applyFill="1" applyBorder="1" numFmtId="166"/>
    <xf fontId="340" fillId="337" borderId="334" applyFont="1" applyFill="1" applyBorder="1" numFmtId="166"/>
    <xf fontId="341" fillId="338" borderId="335" applyFont="1" applyFill="1" applyBorder="1" numFmtId="166"/>
    <xf fontId="342" fillId="339" borderId="336" applyFont="1" applyFill="1" applyBorder="1" numFmtId="166"/>
    <xf fontId="343" fillId="340" borderId="337" applyFont="1" applyFill="1" applyBorder="1" numFmtId="166"/>
    <xf fontId="344" fillId="341" borderId="338" applyFont="1" applyFill="1" applyBorder="1" numFmtId="166"/>
    <xf fontId="345" fillId="342" borderId="339" applyFont="1" applyFill="1" applyBorder="1" numFmtId="166"/>
    <xf fontId="346" fillId="343" borderId="340" applyFont="1" applyFill="1" applyBorder="1" numFmtId="166"/>
    <xf fontId="347" fillId="344" borderId="341" applyFont="1" applyFill="1" applyBorder="1" numFmtId="166"/>
    <xf fontId="348" fillId="345" borderId="342" applyFont="1" applyFill="1" applyBorder="1" numFmtId="166"/>
    <xf fontId="349" fillId="346" borderId="343" applyFont="1" applyFill="1" applyBorder="1" numFmtId="166"/>
    <xf fontId="350" fillId="347" borderId="344" applyFont="1" applyFill="1" applyBorder="1" numFmtId="166"/>
    <xf fontId="351" fillId="348" borderId="345" applyFont="1" applyFill="1" applyBorder="1" numFmtId="166"/>
    <xf fontId="352" fillId="349" borderId="346" applyFont="1" applyFill="1" applyBorder="1" numFmtId="166"/>
    <xf fontId="353" fillId="350" borderId="347" applyFont="1" applyFill="1" applyBorder="1" numFmtId="166"/>
    <xf fontId="354" fillId="351" borderId="348" applyFont="1" applyFill="1" applyBorder="1" numFmtId="166"/>
    <xf fontId="355" fillId="352" borderId="349" applyFont="1" applyFill="1" applyBorder="1"/>
    <xf fontId="356" fillId="353" borderId="350" applyFont="1" applyFill="1" applyBorder="1"/>
    <xf fontId="357" fillId="354" borderId="351" applyFont="1" applyFill="1" applyBorder="1"/>
    <xf fontId="358" fillId="355" borderId="352" applyFont="1" applyFill="1" applyBorder="1"/>
    <xf fontId="359" fillId="356" borderId="353" applyFont="1" applyFill="1" applyBorder="1"/>
    <xf fontId="360" fillId="357" borderId="354" applyFont="1" applyFill="1" applyBorder="1"/>
    <xf fontId="361" fillId="358" borderId="355" applyFont="1" applyFill="1" applyBorder="1"/>
    <xf fontId="362" fillId="359" borderId="356" applyFont="1" applyFill="1" applyBorder="1"/>
    <xf fontId="363" fillId="360" borderId="357" applyFont="1" applyFill="1" applyBorder="1"/>
    <xf fontId="364" fillId="361" borderId="358" applyFont="1" applyFill="1" applyBorder="1"/>
    <xf fontId="365" fillId="362" borderId="359" applyFont="1" applyFill="1" applyBorder="1"/>
    <xf fontId="366" fillId="363" borderId="360" applyFont="1" applyFill="1" applyBorder="1"/>
    <xf fontId="367" fillId="364" borderId="361" applyFont="1" applyFill="1" applyBorder="1"/>
    <xf fontId="368" fillId="365" borderId="362" applyFont="1" applyFill="1" applyBorder="1"/>
    <xf fontId="369" fillId="366" borderId="363" applyFont="1" applyFill="1" applyBorder="1"/>
    <xf fontId="370" fillId="367" borderId="364" applyFont="1" applyFill="1" applyBorder="1"/>
    <xf fontId="371" fillId="368" borderId="365" applyFont="1" applyFill="1" applyBorder="1"/>
    <xf fontId="372" fillId="369" borderId="366" applyFont="1" applyFill="1" applyBorder="1"/>
    <xf fontId="373" fillId="370" borderId="367" applyFont="1" applyFill="1" applyBorder="1"/>
    <xf fontId="374" fillId="371" borderId="368" applyFont="1" applyFill="1" applyBorder="1"/>
    <xf fontId="375" fillId="372" borderId="369" applyFont="1" applyFill="1" applyBorder="1"/>
    <xf fontId="376" fillId="373" borderId="370" applyFont="1" applyFill="1" applyBorder="1"/>
    <xf fontId="377" fillId="374" borderId="371" applyFont="1" applyFill="1" applyBorder="1"/>
    <xf fontId="378" fillId="375" borderId="372" applyFont="1" applyFill="1" applyBorder="1"/>
    <xf fontId="379" fillId="376" borderId="373" applyFont="1" applyFill="1" applyBorder="1"/>
    <xf fontId="380" fillId="377" borderId="374" applyFont="1" applyFill="1" applyBorder="1"/>
    <xf fontId="381" fillId="378" borderId="375" applyFont="1" applyFill="1" applyBorder="1"/>
    <xf fontId="382" fillId="379" borderId="376" applyFont="1" applyFill="1" applyBorder="1"/>
    <xf fontId="383" fillId="380" borderId="377" applyFont="1" applyFill="1" applyBorder="1"/>
    <xf fontId="384" fillId="381" borderId="378" applyFont="1" applyFill="1" applyBorder="1"/>
    <xf fontId="385" fillId="382" borderId="379" applyFont="1" applyFill="1" applyBorder="1"/>
    <xf fontId="386" fillId="383" borderId="380" applyFont="1" applyFill="1" applyBorder="1"/>
    <xf fontId="387" fillId="384" borderId="381" applyFont="1" applyFill="1" applyBorder="1"/>
    <xf fontId="388" fillId="385" borderId="382" applyFont="1" applyFill="1" applyBorder="1"/>
    <xf fontId="389" fillId="386" borderId="383" applyFont="1" applyFill="1" applyBorder="1"/>
    <xf fontId="390" fillId="387" borderId="384" applyFont="1" applyFill="1" applyBorder="1"/>
    <xf fontId="391" fillId="388" borderId="385" applyFont="1" applyFill="1" applyBorder="1"/>
    <xf fontId="392" fillId="389" borderId="386" applyFont="1" applyFill="1" applyBorder="1"/>
    <xf fontId="393" fillId="390" borderId="387" applyFont="1" applyFill="1" applyBorder="1" numFmtId="168"/>
    <xf fontId="394" fillId="391" borderId="388" applyFont="1" applyFill="1" applyBorder="1" numFmtId="4"/>
    <xf fontId="395" fillId="392" borderId="389" applyFont="1" applyFill="1" applyBorder="1" numFmtId="165"/>
    <xf fontId="396" fillId="393" borderId="390" applyFont="1" applyFill="1" applyBorder="1" numFmtId="165"/>
    <xf fontId="397" fillId="394" borderId="391" applyFont="1" applyFill="1" applyBorder="1" numFmtId="168"/>
    <xf fontId="398" fillId="395" borderId="392" applyFont="1" applyFill="1" applyBorder="1" numFmtId="4"/>
    <xf fontId="399" fillId="396" borderId="393" applyFont="1" applyFill="1" applyBorder="1" numFmtId="165"/>
    <xf fontId="400" fillId="397" borderId="394" applyFont="1" applyFill="1" applyBorder="1" numFmtId="165"/>
    <xf fontId="401" fillId="398" borderId="395" applyFont="1" applyFill="1" applyBorder="1" numFmtId="168"/>
    <xf fontId="402" fillId="399" borderId="396" applyFont="1" applyFill="1" applyBorder="1" numFmtId="4"/>
    <xf fontId="403" fillId="400" borderId="397" applyFont="1" applyFill="1" applyBorder="1" numFmtId="165"/>
    <xf fontId="404" fillId="401" borderId="398" applyFont="1" applyFill="1" applyBorder="1" numFmtId="165"/>
    <xf fontId="405" fillId="402" borderId="399" applyFont="1" applyFill="1" applyBorder="1" numFmtId="168"/>
    <xf fontId="406" fillId="403" borderId="400" applyFont="1" applyFill="1" applyBorder="1" numFmtId="4"/>
    <xf fontId="407" fillId="404" borderId="401" applyFont="1" applyFill="1" applyBorder="1" numFmtId="165"/>
    <xf fontId="408" fillId="405" borderId="402" applyFont="1" applyFill="1" applyBorder="1" numFmtId="165"/>
    <xf fontId="409" fillId="406" borderId="403" applyFont="1" applyFill="1" applyBorder="1" numFmtId="168"/>
    <xf fontId="410" fillId="407" borderId="404" applyFont="1" applyFill="1" applyBorder="1" numFmtId="4"/>
    <xf fontId="411" fillId="408" borderId="405" applyFont="1" applyFill="1" applyBorder="1" numFmtId="165"/>
    <xf fontId="412" fillId="409" borderId="406" applyFont="1" applyFill="1" applyBorder="1" numFmtId="165"/>
    <xf fontId="413" fillId="410" borderId="407" applyFont="1" applyFill="1" applyBorder="1" numFmtId="168"/>
    <xf fontId="414" fillId="411" borderId="408" applyFont="1" applyFill="1" applyBorder="1" numFmtId="4"/>
    <xf fontId="415" fillId="412" borderId="409" applyFont="1" applyFill="1" applyBorder="1" numFmtId="165"/>
    <xf fontId="416" fillId="413" borderId="410" applyFont="1" applyFill="1" applyBorder="1" numFmtId="165"/>
    <xf fontId="417" fillId="414" borderId="411" applyFont="1" applyFill="1" applyBorder="1" numFmtId="168"/>
    <xf fontId="418" fillId="415" borderId="412" applyFont="1" applyFill="1" applyBorder="1" numFmtId="4"/>
    <xf fontId="419" fillId="416" borderId="413" applyFont="1" applyFill="1" applyBorder="1" numFmtId="165"/>
    <xf fontId="420" fillId="417" borderId="414" applyFont="1" applyFill="1" applyBorder="1" numFmtId="165"/>
    <xf fontId="421" fillId="418" borderId="415" applyFont="1" applyFill="1" applyBorder="1" numFmtId="168"/>
    <xf fontId="422" fillId="419" borderId="416" applyFont="1" applyFill="1" applyBorder="1" numFmtId="4"/>
    <xf fontId="423" fillId="420" borderId="417" applyFont="1" applyFill="1" applyBorder="1" numFmtId="165"/>
    <xf fontId="424" fillId="421" borderId="418" applyFont="1" applyFill="1" applyBorder="1" numFmtId="165"/>
    <xf fontId="425" fillId="422" borderId="419" applyFont="1" applyFill="1" applyBorder="1" numFmtId="168"/>
    <xf fontId="426" fillId="423" borderId="420" applyFont="1" applyFill="1" applyBorder="1" numFmtId="4"/>
    <xf fontId="427" fillId="424" borderId="421" applyFont="1" applyFill="1" applyBorder="1" numFmtId="165"/>
    <xf fontId="428" fillId="425" borderId="422" applyFont="1" applyFill="1" applyBorder="1" numFmtId="165"/>
    <xf fontId="429" fillId="426" borderId="423" applyFont="1" applyFill="1" applyBorder="1" numFmtId="168"/>
    <xf fontId="430" fillId="427" borderId="424" applyFont="1" applyFill="1" applyBorder="1" numFmtId="4"/>
    <xf fontId="431" fillId="428" borderId="425" applyFont="1" applyFill="1" applyBorder="1" numFmtId="165"/>
    <xf fontId="432" fillId="429" borderId="426" applyFont="1" applyFill="1" applyBorder="1" numFmtId="165"/>
    <xf fontId="433" fillId="430" borderId="427" applyFont="1" applyFill="1" applyBorder="1" numFmtId="168"/>
    <xf fontId="434" fillId="431" borderId="428" applyFont="1" applyFill="1" applyBorder="1" numFmtId="4"/>
    <xf fontId="435" fillId="432" borderId="429" applyFont="1" applyFill="1" applyBorder="1" numFmtId="165"/>
    <xf fontId="436" fillId="433" borderId="430" applyFont="1" applyFill="1" applyBorder="1" numFmtId="165"/>
    <xf fontId="437" fillId="434" borderId="431" applyFont="1" applyFill="1" applyBorder="1" numFmtId="168"/>
    <xf fontId="438" fillId="435" borderId="432" applyFont="1" applyFill="1" applyBorder="1" numFmtId="4"/>
    <xf fontId="439" fillId="436" borderId="433" applyFont="1" applyFill="1" applyBorder="1" numFmtId="165"/>
    <xf fontId="440" fillId="437" borderId="434" applyFont="1" applyFill="1" applyBorder="1" numFmtId="165"/>
    <xf fontId="441" fillId="438" borderId="435" applyFont="1" applyFill="1" applyBorder="1" numFmtId="168"/>
    <xf fontId="442" fillId="439" borderId="436" applyFont="1" applyFill="1" applyBorder="1" numFmtId="4"/>
    <xf fontId="443" fillId="440" borderId="437" applyFont="1" applyFill="1" applyBorder="1" numFmtId="165"/>
    <xf fontId="444" fillId="441" borderId="438" applyFont="1" applyFill="1" applyBorder="1" numFmtId="165"/>
    <xf fontId="445" fillId="442" borderId="439" applyFont="1" applyFill="1" applyBorder="1" numFmtId="168"/>
    <xf fontId="446" fillId="443" borderId="440" applyFont="1" applyFill="1" applyBorder="1" numFmtId="4"/>
    <xf fontId="447" fillId="444" borderId="441" applyFont="1" applyFill="1" applyBorder="1" numFmtId="165"/>
    <xf fontId="448" fillId="445" borderId="442" applyFont="1" applyFill="1" applyBorder="1" numFmtId="165"/>
    <xf fontId="449" fillId="446" borderId="443" applyFont="1" applyFill="1" applyBorder="1" numFmtId="168"/>
    <xf fontId="450" fillId="447" borderId="444" applyFont="1" applyFill="1" applyBorder="1" numFmtId="4"/>
    <xf fontId="451" fillId="448" borderId="445" applyFont="1" applyFill="1" applyBorder="1" numFmtId="165"/>
    <xf fontId="452" fillId="449" borderId="446" applyFont="1" applyFill="1" applyBorder="1" numFmtId="165"/>
    <xf fontId="453" fillId="450" borderId="447" applyFont="1" applyFill="1" applyBorder="1" numFmtId="168"/>
    <xf fontId="454" fillId="451" borderId="448" applyFont="1" applyFill="1" applyBorder="1" numFmtId="4"/>
    <xf fontId="455" fillId="452" borderId="449" applyFont="1" applyFill="1" applyBorder="1" numFmtId="165"/>
    <xf fontId="456" fillId="453" borderId="450" applyFont="1" applyFill="1" applyBorder="1" numFmtId="165"/>
    <xf fontId="457" fillId="454" borderId="451" applyFont="1" applyFill="1" applyBorder="1" numFmtId="168"/>
    <xf fontId="458" fillId="455" borderId="452" applyFont="1" applyFill="1" applyBorder="1" numFmtId="4"/>
    <xf fontId="459" fillId="456" borderId="453" applyFont="1" applyFill="1" applyBorder="1" numFmtId="165"/>
    <xf fontId="460" fillId="457" borderId="454" applyFont="1" applyFill="1" applyBorder="1" numFmtId="165"/>
    <xf fontId="461" fillId="458" borderId="455" applyFont="1" applyFill="1" applyBorder="1" numFmtId="168"/>
    <xf fontId="462" fillId="459" borderId="456" applyFont="1" applyFill="1" applyBorder="1" numFmtId="4"/>
    <xf fontId="463" fillId="460" borderId="457" applyFont="1" applyFill="1" applyBorder="1" numFmtId="165"/>
    <xf fontId="464" fillId="461" borderId="458" applyFont="1" applyFill="1" applyBorder="1" numFmtId="165"/>
    <xf fontId="465" fillId="462" borderId="459" applyFont="1" applyFill="1" applyBorder="1" numFmtId="168"/>
    <xf fontId="466" fillId="463" borderId="460" applyFont="1" applyFill="1" applyBorder="1" numFmtId="4"/>
    <xf fontId="467" fillId="464" borderId="461" applyFont="1" applyFill="1" applyBorder="1" numFmtId="165"/>
    <xf fontId="468" fillId="465" borderId="462" applyFont="1" applyFill="1" applyBorder="1" numFmtId="165"/>
    <xf fontId="469" fillId="466" borderId="463" applyFont="1" applyFill="1" applyBorder="1" numFmtId="168"/>
    <xf fontId="470" fillId="467" borderId="464" applyFont="1" applyFill="1" applyBorder="1" numFmtId="4"/>
    <xf fontId="471" fillId="468" borderId="465" applyFont="1" applyFill="1" applyBorder="1" numFmtId="165"/>
    <xf fontId="472" fillId="469" borderId="466" applyFont="1" applyFill="1" applyBorder="1" numFmtId="165"/>
    <xf fontId="473" fillId="470" borderId="467" applyFont="1" applyFill="1" applyBorder="1" numFmtId="168"/>
    <xf fontId="474" fillId="471" borderId="468" applyFont="1" applyFill="1" applyBorder="1" numFmtId="4"/>
    <xf fontId="475" fillId="472" borderId="469" applyFont="1" applyFill="1" applyBorder="1" numFmtId="165"/>
    <xf fontId="476" fillId="473" borderId="470" applyFont="1" applyFill="1" applyBorder="1" numFmtId="165"/>
    <xf fontId="477" fillId="474" borderId="471" applyFont="1" applyFill="1" applyBorder="1" numFmtId="168"/>
    <xf fontId="478" fillId="475" borderId="472" applyFont="1" applyFill="1" applyBorder="1" numFmtId="4"/>
    <xf fontId="479" fillId="476" borderId="473" applyFont="1" applyFill="1" applyBorder="1" numFmtId="165"/>
    <xf fontId="480" fillId="477" borderId="474" applyFont="1" applyFill="1" applyBorder="1" numFmtId="165"/>
    <xf fontId="481" fillId="478" borderId="475" applyFont="1" applyFill="1" applyBorder="1" numFmtId="168"/>
    <xf fontId="482" fillId="479" borderId="476" applyFont="1" applyFill="1" applyBorder="1" numFmtId="4"/>
    <xf fontId="483" fillId="480" borderId="477" applyFont="1" applyFill="1" applyBorder="1" numFmtId="165"/>
    <xf fontId="484" fillId="481" borderId="478" applyFont="1" applyFill="1" applyBorder="1" numFmtId="165"/>
    <xf fontId="485" fillId="482" borderId="479" applyFont="1" applyFill="1" applyBorder="1" numFmtId="168"/>
    <xf fontId="486" fillId="483" borderId="480" applyFont="1" applyFill="1" applyBorder="1" numFmtId="4"/>
    <xf fontId="487" fillId="484" borderId="481" applyFont="1" applyFill="1" applyBorder="1" numFmtId="165"/>
    <xf fontId="488" fillId="485" borderId="482" applyFont="1" applyFill="1" applyBorder="1" numFmtId="165"/>
    <xf fontId="489" fillId="486" borderId="483" applyFont="1" applyFill="1" applyBorder="1" numFmtId="168"/>
    <xf fontId="490" fillId="487" borderId="484" applyFont="1" applyFill="1" applyBorder="1" numFmtId="4"/>
    <xf fontId="491" fillId="488" borderId="485" applyFont="1" applyFill="1" applyBorder="1" numFmtId="165"/>
    <xf fontId="492" fillId="489" borderId="486" applyFont="1" applyFill="1" applyBorder="1" numFmtId="165"/>
    <xf fontId="493" fillId="490" borderId="487" applyFont="1" applyFill="1" applyBorder="1" numFmtId="168"/>
    <xf fontId="494" fillId="491" borderId="488" applyFont="1" applyFill="1" applyBorder="1" numFmtId="4"/>
    <xf fontId="495" fillId="492" borderId="489" applyFont="1" applyFill="1" applyBorder="1" numFmtId="165"/>
    <xf fontId="496" fillId="493" borderId="490" applyFont="1" applyFill="1" applyBorder="1" numFmtId="165"/>
    <xf fontId="497" fillId="494" borderId="491" applyFont="1" applyFill="1" applyBorder="1" numFmtId="168"/>
    <xf fontId="498" fillId="495" borderId="492" applyFont="1" applyFill="1" applyBorder="1" numFmtId="4"/>
    <xf fontId="499" fillId="496" borderId="493" applyFont="1" applyFill="1" applyBorder="1" numFmtId="165"/>
    <xf fontId="500" fillId="497" borderId="494" applyFont="1" applyFill="1" applyBorder="1" numFmtId="165"/>
    <xf fontId="501" fillId="498" borderId="495" applyFont="1" applyFill="1" applyBorder="1" numFmtId="168"/>
    <xf fontId="502" fillId="499" borderId="496" applyFont="1" applyFill="1" applyBorder="1" numFmtId="4"/>
    <xf fontId="503" fillId="500" borderId="497" applyFont="1" applyFill="1" applyBorder="1" numFmtId="165"/>
    <xf fontId="504" fillId="501" borderId="498" applyFont="1" applyFill="1" applyBorder="1" numFmtId="165"/>
    <xf fontId="505" fillId="502" borderId="499" applyFont="1" applyFill="1" applyBorder="1" numFmtId="168"/>
    <xf fontId="506" fillId="503" borderId="500" applyFont="1" applyFill="1" applyBorder="1" numFmtId="4"/>
    <xf fontId="507" fillId="504" borderId="501" applyFont="1" applyFill="1" applyBorder="1" numFmtId="165"/>
    <xf fontId="508" fillId="505" borderId="502" applyFont="1" applyFill="1" applyBorder="1" numFmtId="165"/>
    <xf fontId="509" fillId="506" borderId="503" applyFont="1" applyFill="1" applyBorder="1" numFmtId="168"/>
    <xf fontId="510" fillId="507" borderId="504" applyFont="1" applyFill="1" applyBorder="1" numFmtId="4"/>
    <xf fontId="511" fillId="508" borderId="505" applyFont="1" applyFill="1" applyBorder="1" numFmtId="165"/>
    <xf fontId="512" fillId="509" borderId="506" applyFont="1" applyFill="1" applyBorder="1" numFmtId="165"/>
    <xf fontId="513" fillId="510" borderId="507" applyFont="1" applyFill="1" applyBorder="1" numFmtId="168"/>
    <xf fontId="514" fillId="511" borderId="508" applyFont="1" applyFill="1" applyBorder="1" numFmtId="4"/>
    <xf fontId="515" fillId="512" borderId="509" applyFont="1" applyFill="1" applyBorder="1" numFmtId="165"/>
    <xf fontId="516" fillId="513" borderId="510" applyFont="1" applyFill="1" applyBorder="1" numFmtId="165"/>
    <xf fontId="517" fillId="514" borderId="511" applyFont="1" applyFill="1" applyBorder="1" numFmtId="168"/>
    <xf fontId="518" fillId="515" borderId="512" applyFont="1" applyFill="1" applyBorder="1" numFmtId="4"/>
    <xf fontId="519" fillId="516" borderId="513" applyFont="1" applyFill="1" applyBorder="1" numFmtId="165"/>
    <xf fontId="520" fillId="517" borderId="514" applyFont="1" applyFill="1" applyBorder="1" numFmtId="165"/>
    <xf fontId="521" fillId="518" borderId="515" applyFont="1" applyFill="1" applyBorder="1" numFmtId="168"/>
    <xf fontId="522" fillId="519" borderId="516" applyFont="1" applyFill="1" applyBorder="1" numFmtId="4"/>
    <xf fontId="523" fillId="520" borderId="517" applyFont="1" applyFill="1" applyBorder="1" numFmtId="165"/>
    <xf fontId="524" fillId="521" borderId="518" applyFont="1" applyFill="1" applyBorder="1" numFmtId="165"/>
    <xf fontId="525" fillId="522" borderId="519" applyFont="1" applyFill="1" applyBorder="1" numFmtId="168"/>
    <xf fontId="526" fillId="523" borderId="520" applyFont="1" applyFill="1" applyBorder="1" numFmtId="4"/>
    <xf fontId="527" fillId="524" borderId="521" applyFont="1" applyFill="1" applyBorder="1" numFmtId="165"/>
    <xf fontId="528" fillId="525" borderId="522" applyFont="1" applyFill="1" applyBorder="1" numFmtId="165"/>
    <xf fontId="529" fillId="526" borderId="523" applyFont="1" applyFill="1" applyBorder="1" numFmtId="168"/>
    <xf fontId="530" fillId="527" borderId="524" applyFont="1" applyFill="1" applyBorder="1" numFmtId="4"/>
    <xf fontId="531" fillId="528" borderId="525" applyFont="1" applyFill="1" applyBorder="1" numFmtId="165"/>
    <xf fontId="532" fillId="529" borderId="526" applyFont="1" applyFill="1" applyBorder="1" numFmtId="165"/>
    <xf fontId="533" fillId="530" borderId="527" applyFont="1" applyFill="1" applyBorder="1" numFmtId="168"/>
    <xf fontId="534" fillId="531" borderId="528" applyFont="1" applyFill="1" applyBorder="1" numFmtId="4"/>
    <xf fontId="535" fillId="532" borderId="529" applyFont="1" applyFill="1" applyBorder="1" numFmtId="165"/>
    <xf fontId="536" fillId="533" borderId="530" applyFont="1" applyFill="1" applyBorder="1" numFmtId="165"/>
    <xf fontId="537" fillId="534" borderId="531" applyFont="1" applyFill="1" applyBorder="1" numFmtId="168"/>
    <xf fontId="538" fillId="535" borderId="532" applyFont="1" applyFill="1" applyBorder="1" numFmtId="4"/>
    <xf fontId="539" fillId="536" borderId="533" applyFont="1" applyFill="1" applyBorder="1" numFmtId="165"/>
    <xf fontId="540" fillId="537" borderId="534" applyFont="1" applyFill="1" applyBorder="1" numFmtId="165"/>
    <xf fontId="541" fillId="538" borderId="535" applyFont="1" applyFill="1" applyBorder="1" numFmtId="168"/>
    <xf fontId="542" fillId="539" borderId="536" applyFont="1" applyFill="1" applyBorder="1" numFmtId="4"/>
    <xf fontId="543" fillId="540" borderId="537" applyFont="1" applyFill="1" applyBorder="1" numFmtId="165"/>
    <xf fontId="544" fillId="541" borderId="538" applyFont="1" applyFill="1" applyBorder="1" numFmtId="165"/>
    <xf fontId="545" fillId="542" borderId="539" applyFont="1" applyFill="1" applyBorder="1" numFmtId="168"/>
    <xf fontId="546" fillId="543" borderId="540" applyFont="1" applyFill="1" applyBorder="1" numFmtId="4"/>
    <xf fontId="547" fillId="544" borderId="541" applyFont="1" applyFill="1" applyBorder="1" numFmtId="165"/>
    <xf fontId="548" fillId="545" borderId="542" applyFont="1" applyFill="1" applyBorder="1" numFmtId="165"/>
    <xf fontId="549" fillId="546" borderId="543" applyFont="1" applyFill="1" applyBorder="1" numFmtId="168"/>
    <xf fontId="550" fillId="547" borderId="544" applyFont="1" applyFill="1" applyBorder="1" numFmtId="4"/>
    <xf fontId="551" fillId="548" borderId="545" applyFont="1" applyFill="1" applyBorder="1" numFmtId="165"/>
    <xf fontId="552" fillId="549" borderId="546" applyFont="1" applyFill="1" applyBorder="1" numFmtId="165"/>
    <xf fontId="553" fillId="550" borderId="547" applyFont="1" applyFill="1" applyBorder="1" numFmtId="168"/>
    <xf fontId="554" fillId="551" borderId="548" applyFont="1" applyFill="1" applyBorder="1" numFmtId="4"/>
    <xf fontId="555" fillId="552" borderId="549" applyFont="1" applyFill="1" applyBorder="1" numFmtId="165"/>
    <xf fontId="556" fillId="553" borderId="550" applyFont="1" applyFill="1" applyBorder="1" numFmtId="165"/>
    <xf fontId="557" fillId="554" borderId="551" applyFont="1" applyFill="1" applyBorder="1" numFmtId="168"/>
    <xf fontId="558" fillId="555" borderId="552" applyFont="1" applyFill="1" applyBorder="1" numFmtId="4"/>
    <xf fontId="559" fillId="556" borderId="553" applyFont="1" applyFill="1" applyBorder="1" numFmtId="165"/>
    <xf fontId="560" fillId="557" borderId="554" applyFont="1" applyFill="1" applyBorder="1" numFmtId="165"/>
    <xf fontId="561" fillId="558" borderId="555" applyFont="1" applyFill="1" applyBorder="1" numFmtId="168"/>
    <xf fontId="562" fillId="559" borderId="556" applyFont="1" applyFill="1" applyBorder="1" numFmtId="4"/>
    <xf fontId="563" fillId="560" borderId="557" applyFont="1" applyFill="1" applyBorder="1" numFmtId="165"/>
    <xf fontId="564" fillId="561" borderId="558" applyFont="1" applyFill="1" applyBorder="1" numFmtId="165"/>
    <xf fontId="565" fillId="562" borderId="559" applyFont="1" applyFill="1" applyBorder="1" numFmtId="168"/>
    <xf fontId="566" fillId="563" borderId="560" applyFont="1" applyFill="1" applyBorder="1" numFmtId="4"/>
    <xf fontId="567" fillId="564" borderId="561" applyFont="1" applyFill="1" applyBorder="1" numFmtId="165"/>
    <xf fontId="568" fillId="565" borderId="562" applyFont="1" applyFill="1" applyBorder="1" numFmtId="165"/>
    <xf fontId="569" fillId="566" borderId="563" applyFont="1" applyFill="1" applyBorder="1" numFmtId="168"/>
    <xf fontId="570" fillId="567" borderId="564" applyFont="1" applyFill="1" applyBorder="1" numFmtId="4"/>
    <xf fontId="571" fillId="568" borderId="565" applyFont="1" applyFill="1" applyBorder="1" numFmtId="165"/>
    <xf fontId="572" fillId="569" borderId="566" applyFont="1" applyFill="1" applyBorder="1" numFmtId="165"/>
    <xf fontId="573" fillId="570" borderId="567" applyFont="1" applyFill="1" applyBorder="1" numFmtId="168"/>
    <xf fontId="574" fillId="571" borderId="568" applyFont="1" applyFill="1" applyBorder="1" numFmtId="4"/>
    <xf fontId="575" fillId="572" borderId="569" applyFont="1" applyFill="1" applyBorder="1" numFmtId="165"/>
    <xf fontId="576" fillId="573" borderId="570" applyFont="1" applyFill="1" applyBorder="1" numFmtId="165"/>
    <xf fontId="577" fillId="574" borderId="571" applyFont="1" applyFill="1" applyBorder="1" numFmtId="168"/>
    <xf fontId="578" fillId="575" borderId="572" applyFont="1" applyFill="1" applyBorder="1" numFmtId="4"/>
    <xf fontId="579" fillId="576" borderId="573" applyFont="1" applyFill="1" applyBorder="1" numFmtId="165"/>
    <xf fontId="580" fillId="577" borderId="574" applyFont="1" applyFill="1" applyBorder="1" numFmtId="165"/>
    <xf fontId="581" fillId="578" borderId="575" applyFont="1" applyFill="1" applyBorder="1" numFmtId="168"/>
    <xf fontId="582" fillId="579" borderId="576" applyFont="1" applyFill="1" applyBorder="1" numFmtId="4"/>
    <xf fontId="583" fillId="580" borderId="577" applyFont="1" applyFill="1" applyBorder="1" numFmtId="165"/>
    <xf fontId="584" fillId="581" borderId="578" applyFont="1" applyFill="1" applyBorder="1" numFmtId="165"/>
    <xf fontId="585" fillId="582" borderId="579" applyFont="1" applyFill="1" applyBorder="1" numFmtId="168"/>
    <xf fontId="586" fillId="583" borderId="580" applyFont="1" applyFill="1" applyBorder="1" numFmtId="4"/>
    <xf fontId="587" fillId="584" borderId="581" applyFont="1" applyFill="1" applyBorder="1" numFmtId="165"/>
    <xf fontId="588" fillId="585" borderId="582" applyFont="1" applyFill="1" applyBorder="1" numFmtId="165"/>
    <xf fontId="589" fillId="586" borderId="583" applyFont="1" applyFill="1" applyBorder="1" numFmtId="168"/>
    <xf fontId="590" fillId="587" borderId="584" applyFont="1" applyFill="1" applyBorder="1" numFmtId="4"/>
    <xf fontId="591" fillId="588" borderId="585" applyFont="1" applyFill="1" applyBorder="1" numFmtId="165"/>
    <xf fontId="592" fillId="589" borderId="586" applyFont="1" applyFill="1" applyBorder="1" numFmtId="165"/>
    <xf fontId="593" fillId="590" borderId="587" applyFont="1" applyFill="1" applyBorder="1" numFmtId="168"/>
    <xf fontId="594" fillId="591" borderId="588" applyFont="1" applyFill="1" applyBorder="1" numFmtId="4"/>
    <xf fontId="595" fillId="592" borderId="589" applyFont="1" applyFill="1" applyBorder="1" numFmtId="165"/>
    <xf fontId="596" fillId="593" borderId="590" applyFont="1" applyFill="1" applyBorder="1" numFmtId="165"/>
    <xf fontId="597" fillId="594" borderId="591" applyFont="1" applyFill="1" applyBorder="1" numFmtId="168"/>
    <xf fontId="598" fillId="595" borderId="592" applyFont="1" applyFill="1" applyBorder="1" numFmtId="4"/>
    <xf fontId="599" fillId="596" borderId="593" applyFont="1" applyFill="1" applyBorder="1" numFmtId="165"/>
    <xf fontId="600" fillId="597" borderId="594" applyFont="1" applyFill="1" applyBorder="1" numFmtId="165"/>
    <xf fontId="601" fillId="598" borderId="595" applyFont="1" applyFill="1" applyBorder="1" numFmtId="168"/>
    <xf fontId="602" fillId="599" borderId="596" applyFont="1" applyFill="1" applyBorder="1" numFmtId="4"/>
    <xf fontId="603" fillId="600" borderId="597" applyFont="1" applyFill="1" applyBorder="1" numFmtId="165"/>
    <xf fontId="604" fillId="601" borderId="598" applyFont="1" applyFill="1" applyBorder="1" numFmtId="165"/>
    <xf fontId="605" fillId="602" borderId="599" applyFont="1" applyFill="1" applyBorder="1" numFmtId="168"/>
    <xf fontId="606" fillId="603" borderId="600" applyFont="1" applyFill="1" applyBorder="1" numFmtId="4"/>
    <xf fontId="607" fillId="604" borderId="601" applyFont="1" applyFill="1" applyBorder="1" numFmtId="165"/>
    <xf fontId="608" fillId="605" borderId="602" applyFont="1" applyFill="1" applyBorder="1" numFmtId="165"/>
    <xf fontId="609" fillId="606" borderId="603" applyFont="1" applyFill="1" applyBorder="1" numFmtId="168"/>
    <xf fontId="610" fillId="607" borderId="604" applyFont="1" applyFill="1" applyBorder="1" numFmtId="4"/>
    <xf fontId="611" fillId="608" borderId="605" applyFont="1" applyFill="1" applyBorder="1" numFmtId="165"/>
    <xf fontId="612" fillId="609" borderId="606" applyFont="1" applyFill="1" applyBorder="1" numFmtId="165"/>
    <xf fontId="613" fillId="610" borderId="607" applyFont="1" applyFill="1" applyBorder="1" numFmtId="168"/>
    <xf fontId="614" fillId="611" borderId="608" applyFont="1" applyFill="1" applyBorder="1" numFmtId="4"/>
    <xf fontId="615" fillId="612" borderId="609" applyFont="1" applyFill="1" applyBorder="1" numFmtId="165"/>
    <xf fontId="616" fillId="613" borderId="610" applyFont="1" applyFill="1" applyBorder="1" numFmtId="165"/>
    <xf fontId="617" fillId="614" borderId="611" applyFont="1" applyFill="1" applyBorder="1" numFmtId="168"/>
    <xf fontId="618" fillId="615" borderId="612" applyFont="1" applyFill="1" applyBorder="1" numFmtId="4"/>
    <xf fontId="619" fillId="616" borderId="613" applyFont="1" applyFill="1" applyBorder="1" numFmtId="165"/>
    <xf fontId="620" fillId="617" borderId="614" applyFont="1" applyFill="1" applyBorder="1" numFmtId="165"/>
    <xf fontId="621" fillId="618" borderId="615" applyFont="1" applyFill="1" applyBorder="1" numFmtId="168"/>
    <xf fontId="622" fillId="619" borderId="616" applyFont="1" applyFill="1" applyBorder="1" numFmtId="4"/>
    <xf fontId="623" fillId="620" borderId="617" applyFont="1" applyFill="1" applyBorder="1" numFmtId="165"/>
    <xf fontId="624" fillId="621" borderId="618" applyFont="1" applyFill="1" applyBorder="1" numFmtId="165"/>
    <xf fontId="625" fillId="622" borderId="619" applyFont="1" applyFill="1" applyBorder="1" numFmtId="168"/>
    <xf fontId="626" fillId="623" borderId="620" applyFont="1" applyFill="1" applyBorder="1" numFmtId="4"/>
    <xf fontId="627" fillId="624" borderId="621" applyFont="1" applyFill="1" applyBorder="1" numFmtId="165"/>
    <xf fontId="628" fillId="625" borderId="622" applyFont="1" applyFill="1" applyBorder="1" numFmtId="165"/>
    <xf fontId="629" fillId="626" borderId="623" applyFont="1" applyFill="1" applyBorder="1" numFmtId="168"/>
    <xf fontId="630" fillId="627" borderId="624" applyFont="1" applyFill="1" applyBorder="1" numFmtId="4"/>
    <xf fontId="631" fillId="628" borderId="625" applyFont="1" applyFill="1" applyBorder="1" numFmtId="165"/>
    <xf fontId="632" fillId="629" borderId="626" applyFont="1" applyFill="1" applyBorder="1" numFmtId="165"/>
    <xf fontId="633" fillId="630" borderId="627" applyFont="1" applyFill="1" applyBorder="1" numFmtId="168"/>
    <xf fontId="634" fillId="631" borderId="628" applyFont="1" applyFill="1" applyBorder="1" numFmtId="4"/>
    <xf fontId="635" fillId="632" borderId="629" applyFont="1" applyFill="1" applyBorder="1" numFmtId="165"/>
    <xf fontId="636" fillId="633" borderId="630" applyFont="1" applyFill="1" applyBorder="1" numFmtId="165"/>
    <xf fontId="637" fillId="634" borderId="631" applyFont="1" applyFill="1" applyBorder="1" numFmtId="168"/>
    <xf fontId="638" fillId="635" borderId="632" applyFont="1" applyFill="1" applyBorder="1" numFmtId="4"/>
    <xf fontId="639" fillId="636" borderId="633" applyFont="1" applyFill="1" applyBorder="1" numFmtId="165"/>
    <xf fontId="640" fillId="637" borderId="634" applyFont="1" applyFill="1" applyBorder="1" numFmtId="165"/>
    <xf fontId="641" fillId="638" borderId="635" applyFont="1" applyFill="1" applyBorder="1" numFmtId="168"/>
    <xf fontId="642" fillId="639" borderId="636" applyFont="1" applyFill="1" applyBorder="1" numFmtId="4"/>
    <xf fontId="643" fillId="640" borderId="637" applyFont="1" applyFill="1" applyBorder="1" numFmtId="165"/>
    <xf fontId="644" fillId="641" borderId="638" applyFont="1" applyFill="1" applyBorder="1" numFmtId="165"/>
    <xf fontId="645" fillId="642" borderId="639" applyFont="1" applyFill="1" applyBorder="1" numFmtId="168"/>
    <xf fontId="646" fillId="643" borderId="640" applyFont="1" applyFill="1" applyBorder="1" numFmtId="4"/>
    <xf fontId="647" fillId="644" borderId="641" applyFont="1" applyFill="1" applyBorder="1" numFmtId="165"/>
    <xf fontId="648" fillId="645" borderId="642" applyFont="1" applyFill="1" applyBorder="1" numFmtId="165"/>
    <xf fontId="649" fillId="646" borderId="643" applyFont="1" applyFill="1" applyBorder="1" numFmtId="168"/>
    <xf fontId="650" fillId="647" borderId="644" applyFont="1" applyFill="1" applyBorder="1" numFmtId="4"/>
    <xf fontId="651" fillId="648" borderId="645" applyFont="1" applyFill="1" applyBorder="1" numFmtId="165"/>
    <xf fontId="652" fillId="649" borderId="646" applyFont="1" applyFill="1" applyBorder="1" numFmtId="165"/>
    <xf fontId="653" fillId="650" borderId="647" applyFont="1" applyFill="1" applyBorder="1" numFmtId="168"/>
    <xf fontId="654" fillId="651" borderId="648" applyFont="1" applyFill="1" applyBorder="1" numFmtId="4"/>
    <xf fontId="655" fillId="652" borderId="649" applyFont="1" applyFill="1" applyBorder="1" numFmtId="165"/>
    <xf fontId="656" fillId="653" borderId="650" applyFont="1" applyFill="1" applyBorder="1" numFmtId="165"/>
    <xf fontId="657" fillId="654" borderId="651" applyFont="1" applyFill="1" applyBorder="1" numFmtId="168"/>
    <xf fontId="658" fillId="655" borderId="652" applyFont="1" applyFill="1" applyBorder="1" numFmtId="4"/>
    <xf fontId="659" fillId="656" borderId="653" applyFont="1" applyFill="1" applyBorder="1" numFmtId="165"/>
    <xf fontId="660" fillId="657" borderId="654" applyFont="1" applyFill="1" applyBorder="1" numFmtId="165"/>
    <xf fontId="661" fillId="658" borderId="655" applyFont="1" applyFill="1" applyBorder="1" numFmtId="168"/>
    <xf fontId="662" fillId="659" borderId="656" applyFont="1" applyFill="1" applyBorder="1" numFmtId="4"/>
    <xf fontId="663" fillId="660" borderId="657" applyFont="1" applyFill="1" applyBorder="1" numFmtId="165"/>
    <xf fontId="664" fillId="661" borderId="658" applyFont="1" applyFill="1" applyBorder="1" numFmtId="165"/>
    <xf fontId="665" fillId="662" borderId="659" applyFont="1" applyFill="1" applyBorder="1" numFmtId="168"/>
    <xf fontId="666" fillId="663" borderId="660" applyFont="1" applyFill="1" applyBorder="1" numFmtId="4"/>
    <xf fontId="667" fillId="664" borderId="661" applyFont="1" applyFill="1" applyBorder="1" numFmtId="165"/>
    <xf fontId="668" fillId="665" borderId="662" applyFont="1" applyFill="1" applyBorder="1" numFmtId="165"/>
    <xf fontId="669" fillId="666" borderId="663" applyFont="1" applyFill="1" applyBorder="1" numFmtId="168"/>
    <xf fontId="670" fillId="667" borderId="664" applyFont="1" applyFill="1" applyBorder="1" numFmtId="4"/>
    <xf fontId="671" fillId="668" borderId="665" applyFont="1" applyFill="1" applyBorder="1" numFmtId="165"/>
    <xf fontId="672" fillId="669" borderId="666" applyFont="1" applyFill="1" applyBorder="1" numFmtId="165"/>
    <xf fontId="673" fillId="670" borderId="667" applyFont="1" applyFill="1" applyBorder="1" numFmtId="168"/>
    <xf fontId="674" fillId="671" borderId="668" applyFont="1" applyFill="1" applyBorder="1" numFmtId="4"/>
    <xf fontId="675" fillId="672" borderId="669" applyFont="1" applyFill="1" applyBorder="1" numFmtId="165"/>
    <xf fontId="676" fillId="673" borderId="670" applyFont="1" applyFill="1" applyBorder="1" numFmtId="165"/>
    <xf fontId="677" fillId="674" borderId="671" applyFont="1" applyFill="1" applyBorder="1" numFmtId="168"/>
    <xf fontId="678" fillId="675" borderId="672" applyFont="1" applyFill="1" applyBorder="1" numFmtId="4"/>
    <xf fontId="679" fillId="676" borderId="673" applyFont="1" applyFill="1" applyBorder="1" numFmtId="165"/>
    <xf fontId="680" fillId="677" borderId="674" applyFont="1" applyFill="1" applyBorder="1" numFmtId="165"/>
    <xf fontId="681" fillId="678" borderId="675" applyFont="1" applyFill="1" applyBorder="1" numFmtId="168"/>
    <xf fontId="682" fillId="679" borderId="676" applyFont="1" applyFill="1" applyBorder="1" numFmtId="4"/>
    <xf fontId="683" fillId="680" borderId="677" applyFont="1" applyFill="1" applyBorder="1" numFmtId="165"/>
    <xf fontId="684" fillId="681" borderId="678" applyFont="1" applyFill="1" applyBorder="1" numFmtId="165"/>
    <xf fontId="685" fillId="682" borderId="679" applyFont="1" applyFill="1" applyBorder="1" numFmtId="168"/>
    <xf fontId="686" fillId="683" borderId="680" applyFont="1" applyFill="1" applyBorder="1" numFmtId="4"/>
    <xf fontId="687" fillId="684" borderId="681" applyFont="1" applyFill="1" applyBorder="1" numFmtId="165"/>
    <xf fontId="688" fillId="685" borderId="682" applyFont="1" applyFill="1" applyBorder="1" numFmtId="165"/>
    <xf fontId="689" fillId="686" borderId="683" applyFont="1" applyFill="1" applyBorder="1" numFmtId="168"/>
    <xf fontId="690" fillId="687" borderId="684" applyFont="1" applyFill="1" applyBorder="1" numFmtId="4"/>
    <xf fontId="691" fillId="688" borderId="685" applyFont="1" applyFill="1" applyBorder="1" numFmtId="165"/>
    <xf fontId="692" fillId="689" borderId="686" applyFont="1" applyFill="1" applyBorder="1" numFmtId="165"/>
    <xf fontId="693" fillId="690" borderId="687" applyFont="1" applyFill="1" applyBorder="1" numFmtId="168"/>
    <xf fontId="694" fillId="691" borderId="688" applyFont="1" applyFill="1" applyBorder="1" numFmtId="4"/>
    <xf fontId="695" fillId="692" borderId="689" applyFont="1" applyFill="1" applyBorder="1" numFmtId="165"/>
    <xf fontId="696" fillId="693" borderId="690" applyFont="1" applyFill="1" applyBorder="1" numFmtId="165"/>
    <xf fontId="697" fillId="694" borderId="691" applyFont="1" applyFill="1" applyBorder="1" numFmtId="168"/>
    <xf fontId="698" fillId="695" borderId="692" applyFont="1" applyFill="1" applyBorder="1" numFmtId="4"/>
    <xf fontId="699" fillId="696" borderId="693" applyFont="1" applyFill="1" applyBorder="1" numFmtId="165"/>
    <xf fontId="700" fillId="697" borderId="694" applyFont="1" applyFill="1" applyBorder="1" numFmtId="165"/>
    <xf fontId="701" fillId="698" borderId="695" applyFont="1" applyFill="1" applyBorder="1" numFmtId="168"/>
    <xf fontId="702" fillId="699" borderId="696" applyFont="1" applyFill="1" applyBorder="1" numFmtId="4"/>
    <xf fontId="703" fillId="700" borderId="697" applyFont="1" applyFill="1" applyBorder="1" numFmtId="165"/>
    <xf fontId="704" fillId="701" borderId="698" applyFont="1" applyFill="1" applyBorder="1" numFmtId="165"/>
    <xf fontId="705" fillId="702" borderId="699" applyFont="1" applyFill="1" applyBorder="1" numFmtId="168"/>
    <xf fontId="706" fillId="703" borderId="700" applyFont="1" applyFill="1" applyBorder="1" numFmtId="4"/>
    <xf fontId="707" fillId="704" borderId="701" applyFont="1" applyFill="1" applyBorder="1" numFmtId="165"/>
    <xf fontId="708" fillId="705" borderId="702" applyFont="1" applyFill="1" applyBorder="1" numFmtId="165"/>
    <xf fontId="709" fillId="706" borderId="703" applyFont="1" applyFill="1" applyBorder="1" numFmtId="168"/>
    <xf fontId="710" fillId="707" borderId="704" applyFont="1" applyFill="1" applyBorder="1" numFmtId="4"/>
    <xf fontId="711" fillId="708" borderId="705" applyFont="1" applyFill="1" applyBorder="1" numFmtId="165"/>
    <xf fontId="712" fillId="709" borderId="706" applyFont="1" applyFill="1" applyBorder="1" numFmtId="165"/>
    <xf fontId="713" fillId="710" borderId="707" applyFont="1" applyFill="1" applyBorder="1" numFmtId="168"/>
    <xf fontId="714" fillId="711" borderId="708" applyFont="1" applyFill="1" applyBorder="1" numFmtId="4"/>
    <xf fontId="715" fillId="712" borderId="709" applyFont="1" applyFill="1" applyBorder="1" numFmtId="165"/>
    <xf fontId="716" fillId="713" borderId="710" applyFont="1" applyFill="1" applyBorder="1" numFmtId="165"/>
    <xf fontId="717" fillId="714" borderId="711" applyFont="1" applyFill="1" applyBorder="1" numFmtId="168"/>
    <xf fontId="718" fillId="715" borderId="712" applyFont="1" applyFill="1" applyBorder="1" numFmtId="4"/>
    <xf fontId="719" fillId="716" borderId="713" applyFont="1" applyFill="1" applyBorder="1" numFmtId="165"/>
    <xf fontId="720" fillId="717" borderId="714" applyFont="1" applyFill="1" applyBorder="1" numFmtId="165"/>
    <xf fontId="721" fillId="718" borderId="715" applyFont="1" applyFill="1" applyBorder="1" numFmtId="168"/>
    <xf fontId="722" fillId="719" borderId="716" applyFont="1" applyFill="1" applyBorder="1" numFmtId="4"/>
    <xf fontId="723" fillId="720" borderId="717" applyFont="1" applyFill="1" applyBorder="1" numFmtId="165"/>
    <xf fontId="724" fillId="721" borderId="718" applyFont="1" applyFill="1" applyBorder="1" numFmtId="165"/>
    <xf fontId="725" fillId="722" borderId="719" applyFont="1" applyFill="1" applyBorder="1" numFmtId="168"/>
    <xf fontId="726" fillId="723" borderId="720" applyFont="1" applyFill="1" applyBorder="1" numFmtId="4"/>
    <xf fontId="727" fillId="724" borderId="721" applyFont="1" applyFill="1" applyBorder="1" numFmtId="165"/>
    <xf fontId="728" fillId="725" borderId="722" applyFont="1" applyFill="1" applyBorder="1" numFmtId="165"/>
    <xf fontId="729" fillId="726" borderId="723" applyFont="1" applyFill="1" applyBorder="1" numFmtId="168"/>
    <xf fontId="730" fillId="727" borderId="724" applyFont="1" applyFill="1" applyBorder="1" numFmtId="4"/>
    <xf fontId="731" fillId="728" borderId="725" applyFont="1" applyFill="1" applyBorder="1" numFmtId="165"/>
    <xf fontId="732" fillId="729" borderId="726" applyFont="1" applyFill="1" applyBorder="1" numFmtId="165"/>
    <xf fontId="733" fillId="730" borderId="727" applyFont="1" applyFill="1" applyBorder="1" numFmtId="168"/>
    <xf fontId="734" fillId="731" borderId="728" applyFont="1" applyFill="1" applyBorder="1" numFmtId="4"/>
    <xf fontId="735" fillId="732" borderId="729" applyFont="1" applyFill="1" applyBorder="1" numFmtId="165"/>
    <xf fontId="736" fillId="733" borderId="730" applyFont="1" applyFill="1" applyBorder="1" numFmtId="165"/>
    <xf fontId="737" fillId="734" borderId="731" applyFont="1" applyFill="1" applyBorder="1" numFmtId="168"/>
    <xf fontId="738" fillId="735" borderId="732" applyFont="1" applyFill="1" applyBorder="1" numFmtId="4"/>
    <xf fontId="739" fillId="736" borderId="733" applyFont="1" applyFill="1" applyBorder="1" numFmtId="165"/>
    <xf fontId="740" fillId="737" borderId="734" applyFont="1" applyFill="1" applyBorder="1" numFmtId="165"/>
    <xf fontId="741" fillId="738" borderId="735" applyFont="1" applyFill="1" applyBorder="1" numFmtId="168"/>
    <xf fontId="742" fillId="739" borderId="736" applyFont="1" applyFill="1" applyBorder="1" numFmtId="4"/>
    <xf fontId="743" fillId="740" borderId="737" applyFont="1" applyFill="1" applyBorder="1" numFmtId="165"/>
    <xf fontId="744" fillId="741" borderId="738" applyFont="1" applyFill="1" applyBorder="1" numFmtId="165"/>
    <xf fontId="745" fillId="742" borderId="739" applyFont="1" applyFill="1" applyBorder="1" numFmtId="168"/>
    <xf fontId="746" fillId="743" borderId="740" applyFont="1" applyFill="1" applyBorder="1" numFmtId="4"/>
    <xf fontId="747" fillId="744" borderId="741" applyFont="1" applyFill="1" applyBorder="1" numFmtId="165"/>
    <xf fontId="748" fillId="745" borderId="742" applyFont="1" applyFill="1" applyBorder="1" numFmtId="165"/>
    <xf fontId="749" fillId="746" borderId="743" applyFont="1" applyFill="1" applyBorder="1" numFmtId="168"/>
    <xf fontId="750" fillId="747" borderId="744" applyFont="1" applyFill="1" applyBorder="1" numFmtId="4"/>
    <xf fontId="751" fillId="748" borderId="745" applyFont="1" applyFill="1" applyBorder="1" numFmtId="165"/>
    <xf fontId="752" fillId="749" borderId="746" applyFont="1" applyFill="1" applyBorder="1" numFmtId="165"/>
    <xf fontId="753" fillId="750" borderId="747" applyFont="1" applyFill="1" applyBorder="1" numFmtId="168"/>
    <xf fontId="754" fillId="751" borderId="748" applyFont="1" applyFill="1" applyBorder="1" numFmtId="4"/>
    <xf fontId="755" fillId="752" borderId="749" applyFont="1" applyFill="1" applyBorder="1" numFmtId="165"/>
    <xf fontId="756" fillId="753" borderId="750" applyFont="1" applyFill="1" applyBorder="1" numFmtId="165"/>
    <xf fontId="757" fillId="754" borderId="751" applyFont="1" applyFill="1" applyBorder="1" numFmtId="168"/>
    <xf fontId="758" fillId="755" borderId="752" applyFont="1" applyFill="1" applyBorder="1" numFmtId="4"/>
    <xf fontId="759" fillId="756" borderId="753" applyFont="1" applyFill="1" applyBorder="1" numFmtId="165"/>
    <xf fontId="760" fillId="757" borderId="754" applyFont="1" applyFill="1" applyBorder="1" numFmtId="165"/>
    <xf fontId="761" fillId="758" borderId="755" applyFont="1" applyFill="1" applyBorder="1" numFmtId="168"/>
    <xf fontId="762" fillId="759" borderId="756" applyFont="1" applyFill="1" applyBorder="1" numFmtId="4"/>
    <xf fontId="763" fillId="760" borderId="757" applyFont="1" applyFill="1" applyBorder="1" numFmtId="165"/>
    <xf fontId="764" fillId="761" borderId="758" applyFont="1" applyFill="1" applyBorder="1" numFmtId="165"/>
    <xf fontId="765" fillId="762" borderId="759" applyFont="1" applyFill="1" applyBorder="1" numFmtId="168"/>
    <xf fontId="766" fillId="763" borderId="760" applyFont="1" applyFill="1" applyBorder="1" numFmtId="4"/>
    <xf fontId="767" fillId="764" borderId="761" applyFont="1" applyFill="1" applyBorder="1" numFmtId="165"/>
    <xf fontId="768" fillId="765" borderId="762" applyFont="1" applyFill="1" applyBorder="1" numFmtId="165"/>
    <xf fontId="769" fillId="766" borderId="763" applyFont="1" applyFill="1" applyBorder="1" numFmtId="168"/>
    <xf fontId="770" fillId="767" borderId="764" applyFont="1" applyFill="1" applyBorder="1" numFmtId="4"/>
    <xf fontId="771" fillId="768" borderId="765" applyFont="1" applyFill="1" applyBorder="1" numFmtId="165"/>
    <xf fontId="772" fillId="769" borderId="766" applyFont="1" applyFill="1" applyBorder="1" numFmtId="165"/>
    <xf fontId="773" fillId="770" borderId="767" applyFont="1" applyFill="1" applyBorder="1" numFmtId="168"/>
    <xf fontId="774" fillId="771" borderId="768" applyFont="1" applyFill="1" applyBorder="1" numFmtId="4"/>
    <xf fontId="775" fillId="772" borderId="769" applyFont="1" applyFill="1" applyBorder="1" numFmtId="165"/>
    <xf fontId="776" fillId="773" borderId="770" applyFont="1" applyFill="1" applyBorder="1" numFmtId="165"/>
    <xf fontId="777" fillId="774" borderId="771" applyFont="1" applyFill="1" applyBorder="1" numFmtId="168"/>
    <xf fontId="778" fillId="775" borderId="772" applyFont="1" applyFill="1" applyBorder="1" numFmtId="4"/>
    <xf fontId="779" fillId="776" borderId="773" applyFont="1" applyFill="1" applyBorder="1" numFmtId="165"/>
    <xf fontId="780" fillId="777" borderId="774" applyFont="1" applyFill="1" applyBorder="1" numFmtId="165"/>
    <xf fontId="781" fillId="778" borderId="775" applyFont="1" applyFill="1" applyBorder="1" numFmtId="168"/>
    <xf fontId="782" fillId="779" borderId="776" applyFont="1" applyFill="1" applyBorder="1" numFmtId="4"/>
    <xf fontId="783" fillId="780" borderId="777" applyFont="1" applyFill="1" applyBorder="1" numFmtId="165"/>
    <xf fontId="784" fillId="781" borderId="778" applyFont="1" applyFill="1" applyBorder="1" numFmtId="165"/>
    <xf fontId="785" fillId="782" borderId="779" applyFont="1" applyFill="1" applyBorder="1" numFmtId="168"/>
    <xf fontId="786" fillId="783" borderId="780" applyFont="1" applyFill="1" applyBorder="1" numFmtId="4"/>
    <xf fontId="787" fillId="784" borderId="781" applyFont="1" applyFill="1" applyBorder="1" numFmtId="165"/>
    <xf fontId="788" fillId="785" borderId="782" applyFont="1" applyFill="1" applyBorder="1" numFmtId="165"/>
    <xf fontId="789" fillId="786" borderId="783" applyFont="1" applyFill="1" applyBorder="1" numFmtId="168"/>
    <xf fontId="790" fillId="787" borderId="784" applyFont="1" applyFill="1" applyBorder="1" numFmtId="4"/>
    <xf fontId="791" fillId="788" borderId="785" applyFont="1" applyFill="1" applyBorder="1" numFmtId="165"/>
    <xf fontId="792" fillId="789" borderId="786" applyFont="1" applyFill="1" applyBorder="1" numFmtId="165"/>
    <xf fontId="793" fillId="790" borderId="787" applyFont="1" applyFill="1" applyBorder="1" numFmtId="168"/>
    <xf fontId="794" fillId="791" borderId="788" applyFont="1" applyFill="1" applyBorder="1" numFmtId="4"/>
    <xf fontId="795" fillId="792" borderId="789" applyFont="1" applyFill="1" applyBorder="1" numFmtId="165"/>
    <xf fontId="796" fillId="793" borderId="790" applyFont="1" applyFill="1" applyBorder="1" numFmtId="165"/>
    <xf fontId="797" fillId="794" borderId="791" applyFont="1" applyFill="1" applyBorder="1" numFmtId="168"/>
    <xf fontId="798" fillId="795" borderId="792" applyFont="1" applyFill="1" applyBorder="1" numFmtId="4"/>
    <xf fontId="799" fillId="796" borderId="793" applyFont="1" applyFill="1" applyBorder="1" numFmtId="165"/>
    <xf fontId="800" fillId="797" borderId="794" applyFont="1" applyFill="1" applyBorder="1" numFmtId="165"/>
    <xf fontId="801" fillId="798" borderId="795" applyFont="1" applyFill="1" applyBorder="1" numFmtId="168"/>
    <xf fontId="802" fillId="799" borderId="796" applyFont="1" applyFill="1" applyBorder="1" numFmtId="4"/>
    <xf fontId="803" fillId="800" borderId="797" applyFont="1" applyFill="1" applyBorder="1" numFmtId="165"/>
    <xf fontId="804" fillId="801" borderId="798" applyFont="1" applyFill="1" applyBorder="1" numFmtId="165"/>
    <xf fontId="805" fillId="802" borderId="799" applyFont="1" applyFill="1" applyBorder="1" numFmtId="168"/>
    <xf fontId="806" fillId="803" borderId="800" applyFont="1" applyFill="1" applyBorder="1" numFmtId="4"/>
    <xf fontId="807" fillId="804" borderId="801" applyFont="1" applyFill="1" applyBorder="1" numFmtId="165"/>
    <xf fontId="808" fillId="805" borderId="802" applyFont="1" applyFill="1" applyBorder="1" numFmtId="165"/>
    <xf fontId="809" fillId="806" borderId="803" applyFont="1" applyFill="1" applyBorder="1" numFmtId="168"/>
    <xf fontId="810" fillId="807" borderId="804" applyFont="1" applyFill="1" applyBorder="1" numFmtId="4"/>
    <xf fontId="811" fillId="808" borderId="805" applyFont="1" applyFill="1" applyBorder="1" numFmtId="165"/>
    <xf fontId="812" fillId="809" borderId="806" applyFont="1" applyFill="1" applyBorder="1" numFmtId="165"/>
    <xf fontId="813" fillId="810" borderId="807" applyFont="1" applyFill="1" applyBorder="1" numFmtId="168"/>
    <xf fontId="814" fillId="811" borderId="808" applyFont="1" applyFill="1" applyBorder="1" numFmtId="4"/>
    <xf fontId="815" fillId="812" borderId="809" applyFont="1" applyFill="1" applyBorder="1" numFmtId="165"/>
    <xf fontId="816" fillId="813" borderId="810" applyFont="1" applyFill="1" applyBorder="1" numFmtId="165"/>
    <xf fontId="817" fillId="814" borderId="811" applyFont="1" applyFill="1" applyBorder="1" numFmtId="168"/>
    <xf fontId="818" fillId="815" borderId="812" applyFont="1" applyFill="1" applyBorder="1" numFmtId="4"/>
    <xf fontId="819" fillId="816" borderId="813" applyFont="1" applyFill="1" applyBorder="1" numFmtId="165"/>
    <xf fontId="820" fillId="817" borderId="814" applyFont="1" applyFill="1" applyBorder="1" numFmtId="165"/>
    <xf fontId="821" fillId="818" borderId="815" applyFont="1" applyFill="1" applyBorder="1" numFmtId="168"/>
    <xf fontId="822" fillId="819" borderId="816" applyFont="1" applyFill="1" applyBorder="1" numFmtId="4"/>
    <xf fontId="823" fillId="820" borderId="817" applyFont="1" applyFill="1" applyBorder="1" numFmtId="165"/>
    <xf fontId="824" fillId="821" borderId="818" applyFont="1" applyFill="1" applyBorder="1" numFmtId="165"/>
    <xf fontId="825" fillId="822" borderId="819" applyFont="1" applyFill="1" applyBorder="1" numFmtId="168"/>
    <xf fontId="826" fillId="823" borderId="820" applyFont="1" applyFill="1" applyBorder="1" numFmtId="4"/>
    <xf fontId="827" fillId="824" borderId="821" applyFont="1" applyFill="1" applyBorder="1" numFmtId="165"/>
    <xf fontId="828" fillId="825" borderId="822" applyFont="1" applyFill="1" applyBorder="1" numFmtId="165"/>
    <xf fontId="829" fillId="826" borderId="823" applyFont="1" applyFill="1" applyBorder="1" numFmtId="168"/>
    <xf fontId="830" fillId="827" borderId="824" applyFont="1" applyFill="1" applyBorder="1" numFmtId="4"/>
    <xf fontId="831" fillId="828" borderId="825" applyFont="1" applyFill="1" applyBorder="1" numFmtId="165"/>
    <xf fontId="832" fillId="829" borderId="826" applyFont="1" applyFill="1" applyBorder="1" numFmtId="165"/>
    <xf fontId="833" fillId="830" borderId="827" applyFont="1" applyFill="1" applyBorder="1" numFmtId="168"/>
    <xf fontId="834" fillId="831" borderId="828" applyFont="1" applyFill="1" applyBorder="1" numFmtId="4"/>
    <xf fontId="835" fillId="832" borderId="829" applyFont="1" applyFill="1" applyBorder="1" numFmtId="165"/>
    <xf fontId="836" fillId="833" borderId="830" applyFont="1" applyFill="1" applyBorder="1" numFmtId="165"/>
    <xf fontId="837" fillId="834" borderId="831" applyFont="1" applyFill="1" applyBorder="1" numFmtId="168"/>
    <xf fontId="838" fillId="835" borderId="832" applyFont="1" applyFill="1" applyBorder="1" numFmtId="4"/>
    <xf fontId="839" fillId="836" borderId="833" applyFont="1" applyFill="1" applyBorder="1" numFmtId="165"/>
    <xf fontId="840" fillId="837" borderId="834" applyFont="1" applyFill="1" applyBorder="1" numFmtId="165"/>
    <xf fontId="841" fillId="838" borderId="835" applyFont="1" applyFill="1" applyBorder="1" numFmtId="168"/>
    <xf fontId="842" fillId="839" borderId="836" applyFont="1" applyFill="1" applyBorder="1" numFmtId="4"/>
    <xf fontId="843" fillId="840" borderId="837" applyFont="1" applyFill="1" applyBorder="1" numFmtId="165"/>
    <xf fontId="844" fillId="841" borderId="838" applyFont="1" applyFill="1" applyBorder="1" numFmtId="165"/>
    <xf fontId="845" fillId="842" borderId="839" applyFont="1" applyFill="1" applyBorder="1" numFmtId="168"/>
    <xf fontId="846" fillId="843" borderId="840" applyFont="1" applyFill="1" applyBorder="1" numFmtId="4"/>
    <xf fontId="847" fillId="844" borderId="841" applyFont="1" applyFill="1" applyBorder="1" numFmtId="165"/>
    <xf fontId="848" fillId="845" borderId="842" applyFont="1" applyFill="1" applyBorder="1" numFmtId="165"/>
    <xf fontId="849" fillId="846" borderId="843" applyFont="1" applyFill="1" applyBorder="1" numFmtId="168"/>
    <xf fontId="850" fillId="847" borderId="844" applyFont="1" applyFill="1" applyBorder="1" numFmtId="4"/>
    <xf fontId="851" fillId="848" borderId="845" applyFont="1" applyFill="1" applyBorder="1" numFmtId="165"/>
    <xf fontId="852" fillId="849" borderId="846" applyFont="1" applyFill="1" applyBorder="1" numFmtId="165"/>
    <xf fontId="853" fillId="850" borderId="847" applyFont="1" applyFill="1" applyBorder="1" numFmtId="168"/>
    <xf fontId="854" fillId="851" borderId="848" applyFont="1" applyFill="1" applyBorder="1" numFmtId="4"/>
    <xf fontId="855" fillId="852" borderId="849" applyFont="1" applyFill="1" applyBorder="1" numFmtId="165"/>
    <xf fontId="856" fillId="853" borderId="850" applyFont="1" applyFill="1" applyBorder="1" numFmtId="165"/>
    <xf fontId="857" fillId="854" borderId="851" applyFont="1" applyFill="1" applyBorder="1" numFmtId="168"/>
    <xf fontId="858" fillId="855" borderId="852" applyFont="1" applyFill="1" applyBorder="1" numFmtId="4"/>
    <xf fontId="859" fillId="856" borderId="853" applyFont="1" applyFill="1" applyBorder="1" numFmtId="165"/>
    <xf fontId="860" fillId="857" borderId="854" applyFont="1" applyFill="1" applyBorder="1" numFmtId="165"/>
    <xf fontId="861" fillId="858" borderId="855" applyFont="1" applyFill="1" applyBorder="1" numFmtId="168"/>
    <xf fontId="862" fillId="859" borderId="856" applyFont="1" applyFill="1" applyBorder="1" numFmtId="4"/>
    <xf fontId="863" fillId="860" borderId="857" applyFont="1" applyFill="1" applyBorder="1" numFmtId="165"/>
    <xf fontId="864" fillId="861" borderId="858" applyFont="1" applyFill="1" applyBorder="1" numFmtId="165"/>
    <xf fontId="865" fillId="862" borderId="859" applyFont="1" applyFill="1" applyBorder="1" numFmtId="168"/>
    <xf fontId="866" fillId="863" borderId="860" applyFont="1" applyFill="1" applyBorder="1" numFmtId="4"/>
    <xf fontId="867" fillId="864" borderId="861" applyFont="1" applyFill="1" applyBorder="1" numFmtId="165"/>
    <xf fontId="868" fillId="865" borderId="862" applyFont="1" applyFill="1" applyBorder="1" numFmtId="165"/>
    <xf fontId="869" fillId="866" borderId="863" applyFont="1" applyFill="1" applyBorder="1" numFmtId="168"/>
    <xf fontId="870" fillId="867" borderId="864" applyFont="1" applyFill="1" applyBorder="1" numFmtId="4"/>
    <xf fontId="871" fillId="868" borderId="865" applyFont="1" applyFill="1" applyBorder="1" numFmtId="165"/>
    <xf fontId="872" fillId="869" borderId="866" applyFont="1" applyFill="1" applyBorder="1" numFmtId="165"/>
    <xf fontId="873" fillId="870" borderId="867" applyFont="1" applyFill="1" applyBorder="1" numFmtId="168"/>
    <xf fontId="874" fillId="871" borderId="868" applyFont="1" applyFill="1" applyBorder="1" numFmtId="4"/>
    <xf fontId="875" fillId="872" borderId="869" applyFont="1" applyFill="1" applyBorder="1" numFmtId="165"/>
    <xf fontId="876" fillId="873" borderId="870" applyFont="1" applyFill="1" applyBorder="1" numFmtId="165"/>
    <xf fontId="877" fillId="874" borderId="871" applyFont="1" applyFill="1" applyBorder="1" numFmtId="168"/>
    <xf fontId="878" fillId="875" borderId="872" applyFont="1" applyFill="1" applyBorder="1" numFmtId="4"/>
    <xf fontId="879" fillId="876" borderId="873" applyFont="1" applyFill="1" applyBorder="1" numFmtId="165"/>
    <xf fontId="880" fillId="877" borderId="874" applyFont="1" applyFill="1" applyBorder="1" numFmtId="165"/>
    <xf fontId="881" fillId="878" borderId="875" applyFont="1" applyFill="1" applyBorder="1" numFmtId="168"/>
    <xf fontId="882" fillId="879" borderId="876" applyFont="1" applyFill="1" applyBorder="1" numFmtId="4"/>
    <xf fontId="883" fillId="880" borderId="877" applyFont="1" applyFill="1" applyBorder="1" numFmtId="165"/>
    <xf fontId="884" fillId="881" borderId="878" applyFont="1" applyFill="1" applyBorder="1" numFmtId="165"/>
    <xf fontId="885" fillId="882" borderId="879" applyFont="1" applyFill="1" applyBorder="1" numFmtId="168"/>
    <xf fontId="886" fillId="883" borderId="880" applyFont="1" applyFill="1" applyBorder="1" numFmtId="4"/>
    <xf fontId="887" fillId="884" borderId="881" applyFont="1" applyFill="1" applyBorder="1" numFmtId="165"/>
    <xf fontId="888" fillId="885" borderId="882" applyFont="1" applyFill="1" applyBorder="1" numFmtId="165"/>
    <xf fontId="889" fillId="886" borderId="883" applyFont="1" applyFill="1" applyBorder="1" numFmtId="168"/>
    <xf fontId="890" fillId="887" borderId="884" applyFont="1" applyFill="1" applyBorder="1" numFmtId="4"/>
    <xf fontId="891" fillId="888" borderId="885" applyFont="1" applyFill="1" applyBorder="1" numFmtId="165"/>
    <xf fontId="892" fillId="889" borderId="886" applyFont="1" applyFill="1" applyBorder="1" numFmtId="165"/>
    <xf fontId="893" fillId="890" borderId="887" applyFont="1" applyFill="1" applyBorder="1" numFmtId="168"/>
    <xf fontId="894" fillId="891" borderId="888" applyFont="1" applyFill="1" applyBorder="1" numFmtId="4"/>
    <xf fontId="895" fillId="892" borderId="889" applyFont="1" applyFill="1" applyBorder="1" numFmtId="165"/>
    <xf fontId="896" fillId="893" borderId="890" applyFont="1" applyFill="1" applyBorder="1" numFmtId="165"/>
    <xf fontId="897" fillId="894" borderId="891" applyFont="1" applyFill="1" applyBorder="1" numFmtId="168"/>
    <xf fontId="898" fillId="895" borderId="892" applyFont="1" applyFill="1" applyBorder="1" numFmtId="4"/>
    <xf fontId="899" fillId="896" borderId="893" applyFont="1" applyFill="1" applyBorder="1" numFmtId="165"/>
    <xf fontId="900" fillId="897" borderId="894" applyFont="1" applyFill="1" applyBorder="1" numFmtId="165"/>
    <xf fontId="901" fillId="898" borderId="895" applyFont="1" applyFill="1" applyBorder="1" numFmtId="168"/>
    <xf fontId="902" fillId="899" borderId="896" applyFont="1" applyFill="1" applyBorder="1" numFmtId="4"/>
    <xf fontId="903" fillId="900" borderId="897" applyFont="1" applyFill="1" applyBorder="1" numFmtId="165"/>
    <xf fontId="904" fillId="901" borderId="898" applyFont="1" applyFill="1" applyBorder="1" numFmtId="165"/>
    <xf fontId="905" fillId="902" borderId="899" applyFont="1" applyFill="1" applyBorder="1" numFmtId="168"/>
    <xf fontId="906" fillId="903" borderId="900" applyFont="1" applyFill="1" applyBorder="1" numFmtId="4"/>
    <xf fontId="907" fillId="904" borderId="901" applyFont="1" applyFill="1" applyBorder="1" numFmtId="165"/>
    <xf fontId="908" fillId="905" borderId="902" applyFont="1" applyFill="1" applyBorder="1" numFmtId="165"/>
    <xf fontId="909" fillId="906" borderId="903" applyFont="1" applyFill="1" applyBorder="1" numFmtId="168"/>
    <xf fontId="910" fillId="907" borderId="904" applyFont="1" applyFill="1" applyBorder="1" numFmtId="4"/>
    <xf fontId="911" fillId="908" borderId="905" applyFont="1" applyFill="1" applyBorder="1" numFmtId="165"/>
    <xf fontId="912" fillId="909" borderId="906" applyFont="1" applyFill="1" applyBorder="1" numFmtId="165"/>
    <xf fontId="913" fillId="910" borderId="907" applyFont="1" applyFill="1" applyBorder="1" numFmtId="168"/>
    <xf fontId="914" fillId="911" borderId="908" applyFont="1" applyFill="1" applyBorder="1" numFmtId="4"/>
    <xf fontId="915" fillId="912" borderId="909" applyFont="1" applyFill="1" applyBorder="1" numFmtId="165"/>
    <xf fontId="916" fillId="913" borderId="910" applyFont="1" applyFill="1" applyBorder="1" numFmtId="165"/>
    <xf fontId="917" fillId="914" borderId="911" applyFont="1" applyFill="1" applyBorder="1" numFmtId="168"/>
    <xf fontId="918" fillId="915" borderId="912" applyFont="1" applyFill="1" applyBorder="1" numFmtId="4"/>
    <xf fontId="919" fillId="916" borderId="913" applyFont="1" applyFill="1" applyBorder="1" numFmtId="165"/>
    <xf fontId="920" fillId="917" borderId="914" applyFont="1" applyFill="1" applyBorder="1" numFmtId="165"/>
    <xf fontId="921" fillId="918" borderId="915" applyFont="1" applyFill="1" applyBorder="1" numFmtId="168"/>
    <xf fontId="922" fillId="919" borderId="916" applyFont="1" applyFill="1" applyBorder="1" numFmtId="4"/>
    <xf fontId="923" fillId="920" borderId="917" applyFont="1" applyFill="1" applyBorder="1" numFmtId="165"/>
    <xf fontId="924" fillId="921" borderId="918" applyFont="1" applyFill="1" applyBorder="1" numFmtId="165"/>
    <xf fontId="925" fillId="922" borderId="919" applyFont="1" applyFill="1" applyBorder="1" numFmtId="168"/>
    <xf fontId="926" fillId="923" borderId="920" applyFont="1" applyFill="1" applyBorder="1" numFmtId="4"/>
    <xf fontId="927" fillId="924" borderId="921" applyFont="1" applyFill="1" applyBorder="1" numFmtId="165"/>
    <xf fontId="928" fillId="925" borderId="922" applyFont="1" applyFill="1" applyBorder="1" numFmtId="165"/>
    <xf fontId="929" fillId="926" borderId="923" applyFont="1" applyFill="1" applyBorder="1" numFmtId="168"/>
    <xf fontId="930" fillId="927" borderId="924" applyFont="1" applyFill="1" applyBorder="1" numFmtId="4"/>
    <xf fontId="931" fillId="928" borderId="925" applyFont="1" applyFill="1" applyBorder="1" numFmtId="165"/>
    <xf fontId="932" fillId="929" borderId="926" applyFont="1" applyFill="1" applyBorder="1" numFmtId="165"/>
    <xf fontId="933" fillId="930" borderId="927" applyFont="1" applyFill="1" applyBorder="1" numFmtId="168"/>
    <xf fontId="934" fillId="931" borderId="928" applyFont="1" applyFill="1" applyBorder="1" numFmtId="4"/>
    <xf fontId="935" fillId="932" borderId="929" applyFont="1" applyFill="1" applyBorder="1" numFmtId="165"/>
    <xf fontId="936" fillId="933" borderId="930" applyFont="1" applyFill="1" applyBorder="1" numFmtId="165"/>
    <xf fontId="937" fillId="934" borderId="931" applyFont="1" applyFill="1" applyBorder="1" numFmtId="168"/>
    <xf fontId="938" fillId="935" borderId="932" applyFont="1" applyFill="1" applyBorder="1" numFmtId="4"/>
    <xf fontId="939" fillId="936" borderId="933" applyFont="1" applyFill="1" applyBorder="1" numFmtId="165"/>
    <xf fontId="940" fillId="937" borderId="934" applyFont="1" applyFill="1" applyBorder="1" numFmtId="165"/>
    <xf fontId="941" fillId="938" borderId="935" applyFont="1" applyFill="1" applyBorder="1" numFmtId="168"/>
    <xf fontId="942" fillId="939" borderId="936" applyFont="1" applyFill="1" applyBorder="1" numFmtId="4"/>
    <xf fontId="943" fillId="940" borderId="937" applyFont="1" applyFill="1" applyBorder="1" numFmtId="165"/>
    <xf fontId="944" fillId="941" borderId="938" applyFont="1" applyFill="1" applyBorder="1" numFmtId="165"/>
    <xf fontId="945" fillId="942" borderId="939" applyFont="1" applyFill="1" applyBorder="1" numFmtId="168"/>
    <xf fontId="946" fillId="943" borderId="940" applyFont="1" applyFill="1" applyBorder="1" numFmtId="4"/>
    <xf fontId="947" fillId="944" borderId="941" applyFont="1" applyFill="1" applyBorder="1" numFmtId="165"/>
    <xf fontId="948" fillId="945" borderId="942" applyFont="1" applyFill="1" applyBorder="1" numFmtId="165"/>
    <xf fontId="949" fillId="946" borderId="943" applyFont="1" applyFill="1" applyBorder="1" numFmtId="168"/>
    <xf fontId="950" fillId="947" borderId="944" applyFont="1" applyFill="1" applyBorder="1" numFmtId="4"/>
    <xf fontId="951" fillId="948" borderId="945" applyFont="1" applyFill="1" applyBorder="1" numFmtId="165"/>
    <xf fontId="952" fillId="949" borderId="946" applyFont="1" applyFill="1" applyBorder="1" numFmtId="165"/>
    <xf fontId="953" fillId="950" borderId="947" applyFont="1" applyFill="1" applyBorder="1" numFmtId="168"/>
    <xf fontId="954" fillId="951" borderId="948" applyFont="1" applyFill="1" applyBorder="1" numFmtId="4"/>
    <xf fontId="955" fillId="952" borderId="949" applyFont="1" applyFill="1" applyBorder="1" numFmtId="165"/>
    <xf fontId="956" fillId="953" borderId="950" applyFont="1" applyFill="1" applyBorder="1" numFmtId="165"/>
    <xf fontId="957" fillId="954" borderId="951" applyFont="1" applyFill="1" applyBorder="1" numFmtId="168"/>
    <xf fontId="958" fillId="955" borderId="952" applyFont="1" applyFill="1" applyBorder="1" numFmtId="4"/>
    <xf fontId="959" fillId="956" borderId="953" applyFont="1" applyFill="1" applyBorder="1" numFmtId="165"/>
    <xf fontId="960" fillId="957" borderId="954" applyFont="1" applyFill="1" applyBorder="1" numFmtId="165"/>
    <xf fontId="961" fillId="958" borderId="955" applyFont="1" applyFill="1" applyBorder="1" numFmtId="168"/>
    <xf fontId="962" fillId="959" borderId="956" applyFont="1" applyFill="1" applyBorder="1" numFmtId="4"/>
    <xf fontId="963" fillId="960" borderId="957" applyFont="1" applyFill="1" applyBorder="1" numFmtId="165"/>
    <xf fontId="964" fillId="961" borderId="958" applyFont="1" applyFill="1" applyBorder="1" numFmtId="165"/>
    <xf fontId="965" fillId="962" borderId="959" applyFont="1" applyFill="1" applyBorder="1" numFmtId="168"/>
    <xf fontId="966" fillId="963" borderId="960" applyFont="1" applyFill="1" applyBorder="1" numFmtId="4"/>
    <xf fontId="967" fillId="964" borderId="961" applyFont="1" applyFill="1" applyBorder="1" numFmtId="165"/>
    <xf fontId="968" fillId="965" borderId="962" applyFont="1" applyFill="1" applyBorder="1" numFmtId="165"/>
    <xf fontId="969" fillId="966" borderId="963" applyFont="1" applyFill="1" applyBorder="1" numFmtId="168"/>
    <xf fontId="970" fillId="967" borderId="964" applyFont="1" applyFill="1" applyBorder="1" numFmtId="4"/>
    <xf fontId="971" fillId="968" borderId="965" applyFont="1" applyFill="1" applyBorder="1" numFmtId="165"/>
    <xf fontId="972" fillId="969" borderId="966" applyFont="1" applyFill="1" applyBorder="1" numFmtId="165"/>
    <xf fontId="973" fillId="970" borderId="967" applyFont="1" applyFill="1" applyBorder="1" numFmtId="168"/>
    <xf fontId="974" fillId="971" borderId="968" applyFont="1" applyFill="1" applyBorder="1" numFmtId="4"/>
    <xf fontId="975" fillId="972" borderId="969" applyFont="1" applyFill="1" applyBorder="1" numFmtId="165"/>
    <xf fontId="976" fillId="973" borderId="970" applyFont="1" applyFill="1" applyBorder="1" numFmtId="165"/>
    <xf fontId="977" fillId="974" borderId="971" applyFont="1" applyFill="1" applyBorder="1" numFmtId="168"/>
    <xf fontId="978" fillId="975" borderId="972" applyFont="1" applyFill="1" applyBorder="1" numFmtId="4"/>
    <xf fontId="979" fillId="976" borderId="973" applyFont="1" applyFill="1" applyBorder="1" numFmtId="165"/>
    <xf fontId="980" fillId="977" borderId="974" applyFont="1" applyFill="1" applyBorder="1" numFmtId="165"/>
    <xf fontId="981" fillId="978" borderId="975" applyFont="1" applyFill="1" applyBorder="1" numFmtId="168"/>
    <xf fontId="982" fillId="979" borderId="976" applyFont="1" applyFill="1" applyBorder="1" numFmtId="4"/>
    <xf fontId="983" fillId="980" borderId="977" applyFont="1" applyFill="1" applyBorder="1" numFmtId="165"/>
    <xf fontId="984" fillId="981" borderId="978" applyFont="1" applyFill="1" applyBorder="1" numFmtId="165"/>
    <xf fontId="985" fillId="982" borderId="979" applyFont="1" applyFill="1" applyBorder="1" numFmtId="168"/>
    <xf fontId="986" fillId="983" borderId="980" applyFont="1" applyFill="1" applyBorder="1" numFmtId="4"/>
    <xf fontId="987" fillId="984" borderId="981" applyFont="1" applyFill="1" applyBorder="1" numFmtId="165"/>
    <xf fontId="988" fillId="985" borderId="982" applyFont="1" applyFill="1" applyBorder="1" numFmtId="165"/>
    <xf fontId="989" fillId="986" borderId="983" applyFont="1" applyFill="1" applyBorder="1" numFmtId="168"/>
    <xf fontId="990" fillId="987" borderId="984" applyFont="1" applyFill="1" applyBorder="1" numFmtId="4"/>
    <xf fontId="991" fillId="988" borderId="985" applyFont="1" applyFill="1" applyBorder="1" numFmtId="165"/>
    <xf fontId="992" fillId="989" borderId="986" applyFont="1" applyFill="1" applyBorder="1" numFmtId="165"/>
    <xf fontId="993" fillId="990" borderId="987" applyFont="1" applyFill="1" applyBorder="1" numFmtId="168"/>
    <xf fontId="994" fillId="991" borderId="988" applyFont="1" applyFill="1" applyBorder="1" numFmtId="4"/>
    <xf fontId="995" fillId="992" borderId="989" applyFont="1" applyFill="1" applyBorder="1" numFmtId="165"/>
    <xf fontId="996" fillId="993" borderId="990" applyFont="1" applyFill="1" applyBorder="1" numFmtId="165"/>
    <xf fontId="997" fillId="994" borderId="991" applyFont="1" applyFill="1" applyBorder="1" numFmtId="168"/>
    <xf fontId="998" fillId="995" borderId="992" applyFont="1" applyFill="1" applyBorder="1" numFmtId="4"/>
    <xf fontId="999" fillId="996" borderId="993" applyFont="1" applyFill="1" applyBorder="1" numFmtId="165"/>
    <xf fontId="1000" fillId="997" borderId="994" applyFont="1" applyFill="1" applyBorder="1" numFmtId="165"/>
    <xf fontId="1001" fillId="998" borderId="995" applyFont="1" applyFill="1" applyBorder="1" numFmtId="168"/>
    <xf fontId="1002" fillId="999" borderId="996" applyFont="1" applyFill="1" applyBorder="1" numFmtId="4"/>
    <xf fontId="1003" fillId="1000" borderId="997" applyFont="1" applyFill="1" applyBorder="1" numFmtId="165"/>
    <xf fontId="1004" fillId="1001" borderId="998" applyFont="1" applyFill="1" applyBorder="1" numFmtId="165"/>
    <xf fontId="1005" fillId="1002" borderId="999" applyFont="1" applyFill="1" applyBorder="1" numFmtId="168"/>
    <xf fontId="1006" fillId="1003" borderId="1000" applyFont="1" applyFill="1" applyBorder="1" numFmtId="4"/>
    <xf fontId="1007" fillId="1004" borderId="1001" applyFont="1" applyFill="1" applyBorder="1" numFmtId="165"/>
    <xf fontId="1008" fillId="1005" borderId="1002" applyFont="1" applyFill="1" applyBorder="1" numFmtId="165"/>
    <xf fontId="1009" fillId="1006" borderId="1003" applyFont="1" applyFill="1" applyBorder="1" numFmtId="168"/>
    <xf fontId="1010" fillId="1007" borderId="1004" applyFont="1" applyFill="1" applyBorder="1" numFmtId="4"/>
    <xf fontId="1011" fillId="1008" borderId="1005" applyFont="1" applyFill="1" applyBorder="1" numFmtId="165"/>
    <xf fontId="1012" fillId="1009" borderId="1006" applyFont="1" applyFill="1" applyBorder="1" numFmtId="165"/>
    <xf fontId="1013" fillId="1010" borderId="1007" applyFont="1" applyFill="1" applyBorder="1" numFmtId="168"/>
    <xf fontId="1014" fillId="1011" borderId="1008" applyFont="1" applyFill="1" applyBorder="1" numFmtId="4"/>
    <xf fontId="1015" fillId="1012" borderId="1009" applyFont="1" applyFill="1" applyBorder="1" numFmtId="165"/>
    <xf fontId="1016" fillId="1013" borderId="1010" applyFont="1" applyFill="1" applyBorder="1" numFmtId="165"/>
    <xf fontId="1017" fillId="1014" borderId="1011" applyFont="1" applyFill="1" applyBorder="1" numFmtId="168"/>
    <xf fontId="1018" fillId="1015" borderId="1012" applyFont="1" applyFill="1" applyBorder="1" numFmtId="4"/>
    <xf fontId="1019" fillId="1016" borderId="1013" applyFont="1" applyFill="1" applyBorder="1" numFmtId="165"/>
    <xf fontId="1020" fillId="1017" borderId="1014" applyFont="1" applyFill="1" applyBorder="1" numFmtId="165"/>
    <xf fontId="1021" fillId="1018" borderId="1015" applyFont="1" applyFill="1" applyBorder="1" numFmtId="168"/>
    <xf fontId="1022" fillId="1019" borderId="1016" applyFont="1" applyFill="1" applyBorder="1" numFmtId="4"/>
    <xf fontId="1023" fillId="1020" borderId="1017" applyFont="1" applyFill="1" applyBorder="1" numFmtId="165"/>
    <xf fontId="1024" fillId="1021" borderId="1018" applyFont="1" applyFill="1" applyBorder="1" numFmtId="165"/>
    <xf fontId="1025" fillId="1022" borderId="1019" applyFont="1" applyFill="1" applyBorder="1" numFmtId="168"/>
    <xf fontId="1026" fillId="1023" borderId="1020" applyFont="1" applyFill="1" applyBorder="1" numFmtId="4"/>
    <xf fontId="1027" fillId="1024" borderId="1021" applyFont="1" applyFill="1" applyBorder="1" numFmtId="165"/>
    <xf fontId="1028" fillId="1025" borderId="1022" applyFont="1" applyFill="1" applyBorder="1" numFmtId="165"/>
    <xf fontId="1029" fillId="1026" borderId="1023" applyFont="1" applyFill="1" applyBorder="1" numFmtId="168"/>
    <xf fontId="1030" fillId="1027" borderId="1024" applyFont="1" applyFill="1" applyBorder="1" numFmtId="4"/>
    <xf fontId="1031" fillId="1028" borderId="1025" applyFont="1" applyFill="1" applyBorder="1" numFmtId="165"/>
    <xf fontId="1032" fillId="1029" borderId="1026" applyFont="1" applyFill="1" applyBorder="1" numFmtId="165"/>
    <xf fontId="1033" fillId="1030" borderId="1027" applyFont="1" applyFill="1" applyBorder="1" numFmtId="168"/>
    <xf fontId="1034" fillId="1031" borderId="1028" applyFont="1" applyFill="1" applyBorder="1" numFmtId="4"/>
    <xf fontId="1035" fillId="1032" borderId="1029" applyFont="1" applyFill="1" applyBorder="1" numFmtId="165"/>
    <xf fontId="1036" fillId="1033" borderId="1030" applyFont="1" applyFill="1" applyBorder="1" numFmtId="165"/>
    <xf fontId="1037" fillId="1034" borderId="1031" applyFont="1" applyFill="1" applyBorder="1" numFmtId="168"/>
    <xf fontId="1038" fillId="1035" borderId="1032" applyFont="1" applyFill="1" applyBorder="1" numFmtId="4"/>
    <xf fontId="1039" fillId="1036" borderId="1033" applyFont="1" applyFill="1" applyBorder="1" numFmtId="165"/>
    <xf fontId="1040" fillId="1037" borderId="1034" applyFont="1" applyFill="1" applyBorder="1" numFmtId="165"/>
    <xf fontId="1041" fillId="1038" borderId="1035" applyFont="1" applyFill="1" applyBorder="1" numFmtId="168"/>
    <xf fontId="1042" fillId="1039" borderId="1036" applyFont="1" applyFill="1" applyBorder="1" numFmtId="4"/>
    <xf fontId="1043" fillId="1040" borderId="1037" applyFont="1" applyFill="1" applyBorder="1" numFmtId="165"/>
    <xf fontId="1044" fillId="1041" borderId="1038" applyFont="1" applyFill="1" applyBorder="1" numFmtId="165"/>
    <xf fontId="1045" fillId="1042" borderId="1039" applyFont="1" applyFill="1" applyBorder="1" numFmtId="168"/>
    <xf fontId="1046" fillId="1043" borderId="1040" applyFont="1" applyFill="1" applyBorder="1" numFmtId="4"/>
    <xf fontId="1047" fillId="1044" borderId="1041" applyFont="1" applyFill="1" applyBorder="1" numFmtId="165"/>
    <xf fontId="1048" fillId="1045" borderId="1042" applyFont="1" applyFill="1" applyBorder="1" numFmtId="165"/>
    <xf fontId="1049" fillId="1046" borderId="1043" applyFont="1" applyFill="1" applyBorder="1" numFmtId="168"/>
    <xf fontId="1050" fillId="1047" borderId="1044" applyFont="1" applyFill="1" applyBorder="1" numFmtId="4"/>
    <xf fontId="1051" fillId="1048" borderId="1045" applyFont="1" applyFill="1" applyBorder="1" numFmtId="165"/>
    <xf fontId="1052" fillId="1049" borderId="1046" applyFont="1" applyFill="1" applyBorder="1" numFmtId="165"/>
    <xf fontId="1053" fillId="1050" borderId="1047" applyFont="1" applyFill="1" applyBorder="1" numFmtId="168"/>
    <xf fontId="1054" fillId="1051" borderId="1048" applyFont="1" applyFill="1" applyBorder="1" numFmtId="4"/>
    <xf fontId="1055" fillId="1052" borderId="1049" applyFont="1" applyFill="1" applyBorder="1" numFmtId="165"/>
    <xf fontId="1056" fillId="1053" borderId="1050" applyFont="1" applyFill="1" applyBorder="1" numFmtId="165"/>
    <xf fontId="1057" fillId="1054" borderId="1051" applyFont="1" applyFill="1" applyBorder="1" numFmtId="168"/>
    <xf fontId="1058" fillId="1055" borderId="1052" applyFont="1" applyFill="1" applyBorder="1" numFmtId="4"/>
    <xf fontId="1059" fillId="1056" borderId="1053" applyFont="1" applyFill="1" applyBorder="1" numFmtId="165"/>
    <xf fontId="1060" fillId="1057" borderId="1054" applyFont="1" applyFill="1" applyBorder="1" numFmtId="165"/>
    <xf fontId="1061" fillId="1058" borderId="1055" applyFont="1" applyFill="1" applyBorder="1" numFmtId="168"/>
    <xf fontId="1062" fillId="1059" borderId="1056" applyFont="1" applyFill="1" applyBorder="1" numFmtId="4"/>
    <xf fontId="1063" fillId="1060" borderId="1057" applyFont="1" applyFill="1" applyBorder="1" numFmtId="165"/>
    <xf fontId="1064" fillId="1061" borderId="1058" applyFont="1" applyFill="1" applyBorder="1" numFmtId="165"/>
    <xf fontId="1065" fillId="1062" borderId="1059" applyFont="1" applyFill="1" applyBorder="1" numFmtId="168"/>
    <xf fontId="1066" fillId="1063" borderId="1060" applyFont="1" applyFill="1" applyBorder="1" numFmtId="4"/>
    <xf fontId="1067" fillId="1064" borderId="1061" applyFont="1" applyFill="1" applyBorder="1" numFmtId="165"/>
    <xf fontId="1068" fillId="1065" borderId="1062" applyFont="1" applyFill="1" applyBorder="1" numFmtId="165"/>
    <xf fontId="1069" fillId="1066" borderId="1063" applyFont="1" applyFill="1" applyBorder="1" numFmtId="168"/>
    <xf fontId="1070" fillId="1067" borderId="1064" applyFont="1" applyFill="1" applyBorder="1" numFmtId="4"/>
    <xf fontId="1071" fillId="1068" borderId="1065" applyFont="1" applyFill="1" applyBorder="1" numFmtId="165"/>
    <xf fontId="1072" fillId="1069" borderId="1066" applyFont="1" applyFill="1" applyBorder="1" numFmtId="165"/>
    <xf fontId="1073" fillId="1070" borderId="1067" applyFont="1" applyFill="1" applyBorder="1" numFmtId="168"/>
    <xf fontId="1074" fillId="1071" borderId="1068" applyFont="1" applyFill="1" applyBorder="1" numFmtId="4"/>
    <xf fontId="1075" fillId="1072" borderId="1069" applyFont="1" applyFill="1" applyBorder="1" numFmtId="165"/>
    <xf fontId="1076" fillId="1073" borderId="1070" applyFont="1" applyFill="1" applyBorder="1" numFmtId="165"/>
    <xf fontId="1077" fillId="1074" borderId="1071" applyFont="1" applyFill="1" applyBorder="1" numFmtId="168"/>
    <xf fontId="1078" fillId="1075" borderId="1072" applyFont="1" applyFill="1" applyBorder="1" numFmtId="4"/>
    <xf fontId="1079" fillId="1076" borderId="1073" applyFont="1" applyFill="1" applyBorder="1" numFmtId="165"/>
    <xf fontId="1080" fillId="1077" borderId="1074" applyFont="1" applyFill="1" applyBorder="1" numFmtId="165"/>
    <xf fontId="1081" fillId="1078" borderId="1075" applyFont="1" applyFill="1" applyBorder="1" numFmtId="168"/>
    <xf fontId="1082" fillId="1079" borderId="1076" applyFont="1" applyFill="1" applyBorder="1" numFmtId="4"/>
    <xf fontId="1083" fillId="1080" borderId="1077" applyFont="1" applyFill="1" applyBorder="1" numFmtId="165"/>
    <xf fontId="1084" fillId="1081" borderId="1078" applyFont="1" applyFill="1" applyBorder="1" numFmtId="165"/>
    <xf fontId="1085" fillId="1082" borderId="1079" applyFont="1" applyFill="1" applyBorder="1" numFmtId="168"/>
    <xf fontId="1086" fillId="1083" borderId="1080" applyFont="1" applyFill="1" applyBorder="1" numFmtId="4"/>
    <xf fontId="1087" fillId="1084" borderId="1081" applyFont="1" applyFill="1" applyBorder="1" numFmtId="165"/>
    <xf fontId="1088" fillId="1085" borderId="1082" applyFont="1" applyFill="1" applyBorder="1" numFmtId="165"/>
    <xf fontId="1089" fillId="1086" borderId="1083" applyFont="1" applyFill="1" applyBorder="1" numFmtId="168"/>
    <xf fontId="1090" fillId="1087" borderId="1084" applyFont="1" applyFill="1" applyBorder="1" numFmtId="4"/>
    <xf fontId="1091" fillId="1088" borderId="1085" applyFont="1" applyFill="1" applyBorder="1" numFmtId="165"/>
    <xf fontId="1092" fillId="1089" borderId="1086" applyFont="1" applyFill="1" applyBorder="1" numFmtId="165"/>
    <xf fontId="1093" fillId="1090" borderId="1087" applyFont="1" applyFill="1" applyBorder="1" numFmtId="168"/>
    <xf fontId="1094" fillId="1091" borderId="1088" applyFont="1" applyFill="1" applyBorder="1" numFmtId="4"/>
    <xf fontId="1095" fillId="1092" borderId="1089" applyFont="1" applyFill="1" applyBorder="1" numFmtId="165"/>
    <xf fontId="1096" fillId="1093" borderId="1090" applyFont="1" applyFill="1" applyBorder="1" numFmtId="165"/>
    <xf fontId="1097" fillId="1094" borderId="1091" applyFont="1" applyFill="1" applyBorder="1" numFmtId="168"/>
    <xf fontId="1098" fillId="1095" borderId="1092" applyFont="1" applyFill="1" applyBorder="1" numFmtId="4"/>
    <xf fontId="1099" fillId="1096" borderId="1093" applyFont="1" applyFill="1" applyBorder="1" numFmtId="165"/>
    <xf fontId="1100" fillId="1097" borderId="1094" applyFont="1" applyFill="1" applyBorder="1" numFmtId="165"/>
    <xf fontId="1101" fillId="1098" borderId="1095" applyFont="1" applyFill="1" applyBorder="1" numFmtId="168"/>
    <xf fontId="1102" fillId="1099" borderId="1096" applyFont="1" applyFill="1" applyBorder="1" numFmtId="4"/>
    <xf fontId="1103" fillId="1100" borderId="1097" applyFont="1" applyFill="1" applyBorder="1" numFmtId="165"/>
    <xf fontId="1104" fillId="1101" borderId="1098" applyFont="1" applyFill="1" applyBorder="1" numFmtId="165"/>
    <xf fontId="1105" fillId="1102" borderId="1099" applyFont="1" applyFill="1" applyBorder="1" numFmtId="168"/>
    <xf fontId="1106" fillId="1103" borderId="1100" applyFont="1" applyFill="1" applyBorder="1" numFmtId="4"/>
    <xf fontId="1107" fillId="1104" borderId="1101" applyFont="1" applyFill="1" applyBorder="1" numFmtId="165"/>
    <xf fontId="1108" fillId="1105" borderId="1102" applyFont="1" applyFill="1" applyBorder="1" numFmtId="165"/>
    <xf fontId="1109" fillId="1106" borderId="1103" applyFont="1" applyFill="1" applyBorder="1" numFmtId="168"/>
    <xf fontId="1110" fillId="1107" borderId="1104" applyFont="1" applyFill="1" applyBorder="1" numFmtId="4"/>
    <xf fontId="1111" fillId="1108" borderId="1105" applyFont="1" applyFill="1" applyBorder="1" numFmtId="165"/>
    <xf fontId="1112" fillId="1109" borderId="1106" applyFont="1" applyFill="1" applyBorder="1" numFmtId="165"/>
    <xf fontId="1113" fillId="1110" borderId="1107" applyFont="1" applyFill="1" applyBorder="1" numFmtId="168"/>
    <xf fontId="1114" fillId="1111" borderId="1108" applyFont="1" applyFill="1" applyBorder="1" numFmtId="4"/>
    <xf fontId="1115" fillId="1112" borderId="1109" applyFont="1" applyFill="1" applyBorder="1" numFmtId="165"/>
    <xf fontId="1116" fillId="1113" borderId="1110" applyFont="1" applyFill="1" applyBorder="1" numFmtId="165"/>
    <xf fontId="1117" fillId="1114" borderId="1111" applyFont="1" applyFill="1" applyBorder="1" numFmtId="168"/>
    <xf fontId="1118" fillId="1115" borderId="1112" applyFont="1" applyFill="1" applyBorder="1" numFmtId="4"/>
    <xf fontId="1119" fillId="1116" borderId="1113" applyFont="1" applyFill="1" applyBorder="1" numFmtId="165"/>
    <xf fontId="1120" fillId="1117" borderId="1114" applyFont="1" applyFill="1" applyBorder="1" numFmtId="165"/>
    <xf fontId="1121" fillId="1118" borderId="1115" applyFont="1" applyFill="1" applyBorder="1" numFmtId="168"/>
    <xf fontId="1122" fillId="1119" borderId="1116" applyFont="1" applyFill="1" applyBorder="1" numFmtId="4"/>
    <xf fontId="1123" fillId="1120" borderId="1117" applyFont="1" applyFill="1" applyBorder="1" numFmtId="165"/>
    <xf fontId="1124" fillId="1121" borderId="1118" applyFont="1" applyFill="1" applyBorder="1" numFmtId="165"/>
    <xf fontId="1125" fillId="1122" borderId="1119" applyFont="1" applyFill="1" applyBorder="1" numFmtId="168"/>
    <xf fontId="1126" fillId="1123" borderId="1120" applyFont="1" applyFill="1" applyBorder="1" numFmtId="4"/>
    <xf fontId="1127" fillId="1124" borderId="1121" applyFont="1" applyFill="1" applyBorder="1" numFmtId="165"/>
    <xf fontId="1128" fillId="1125" borderId="1122" applyFont="1" applyFill="1" applyBorder="1" numFmtId="165"/>
    <xf fontId="1129" fillId="1126" borderId="1123" applyFont="1" applyFill="1" applyBorder="1" numFmtId="168"/>
    <xf fontId="1130" fillId="1127" borderId="1124" applyFont="1" applyFill="1" applyBorder="1" numFmtId="4"/>
    <xf fontId="1131" fillId="1128" borderId="1125" applyFont="1" applyFill="1" applyBorder="1" numFmtId="165"/>
    <xf fontId="1132" fillId="1129" borderId="1126" applyFont="1" applyFill="1" applyBorder="1" numFmtId="165"/>
    <xf fontId="1133" fillId="1130" borderId="1127" applyFont="1" applyFill="1" applyBorder="1" numFmtId="168"/>
    <xf fontId="1134" fillId="1131" borderId="1128" applyFont="1" applyFill="1" applyBorder="1" numFmtId="4"/>
    <xf fontId="1135" fillId="1132" borderId="1129" applyFont="1" applyFill="1" applyBorder="1" numFmtId="165"/>
    <xf fontId="1136" fillId="1133" borderId="1130" applyFont="1" applyFill="1" applyBorder="1" numFmtId="165"/>
    <xf fontId="1137" fillId="1134" borderId="1131" applyFont="1" applyFill="1" applyBorder="1" numFmtId="168"/>
    <xf fontId="1138" fillId="1135" borderId="1132" applyFont="1" applyFill="1" applyBorder="1" numFmtId="4"/>
    <xf fontId="1139" fillId="1136" borderId="1133" applyFont="1" applyFill="1" applyBorder="1" numFmtId="165"/>
    <xf fontId="1140" fillId="1137" borderId="1134" applyFont="1" applyFill="1" applyBorder="1" numFmtId="165"/>
    <xf fontId="1141" fillId="1138" borderId="1135" applyFont="1" applyFill="1" applyBorder="1" numFmtId="168"/>
    <xf fontId="1142" fillId="1139" borderId="1136" applyFont="1" applyFill="1" applyBorder="1" numFmtId="4"/>
    <xf fontId="1143" fillId="1140" borderId="1137" applyFont="1" applyFill="1" applyBorder="1" numFmtId="165"/>
    <xf fontId="1144" fillId="1141" borderId="1138" applyFont="1" applyFill="1" applyBorder="1" numFmtId="165"/>
    <xf fontId="1145" fillId="1142" borderId="1139" applyFont="1" applyFill="1" applyBorder="1" numFmtId="168"/>
    <xf fontId="1146" fillId="1143" borderId="1140" applyFont="1" applyFill="1" applyBorder="1" numFmtId="4"/>
    <xf fontId="1147" fillId="1144" borderId="1141" applyFont="1" applyFill="1" applyBorder="1" numFmtId="165"/>
    <xf fontId="1148" fillId="1145" borderId="1142" applyFont="1" applyFill="1" applyBorder="1" numFmtId="165"/>
    <xf fontId="1149" fillId="1146" borderId="1143" applyFont="1" applyFill="1" applyBorder="1" numFmtId="168"/>
    <xf fontId="1150" fillId="1147" borderId="1144" applyFont="1" applyFill="1" applyBorder="1" numFmtId="4"/>
    <xf fontId="1151" fillId="1148" borderId="1145" applyFont="1" applyFill="1" applyBorder="1" numFmtId="165"/>
    <xf fontId="1152" fillId="1149" borderId="1146" applyFont="1" applyFill="1" applyBorder="1" numFmtId="165"/>
    <xf fontId="1153" fillId="1150" borderId="1147" applyFont="1" applyFill="1" applyBorder="1" numFmtId="168"/>
    <xf fontId="1154" fillId="1151" borderId="1148" applyFont="1" applyFill="1" applyBorder="1" numFmtId="4"/>
    <xf fontId="1155" fillId="1152" borderId="1149" applyFont="1" applyFill="1" applyBorder="1" numFmtId="165"/>
    <xf fontId="1156" fillId="1153" borderId="1150" applyFont="1" applyFill="1" applyBorder="1" numFmtId="165"/>
    <xf fontId="1157" fillId="1154" borderId="1151" applyFont="1" applyFill="1" applyBorder="1" numFmtId="168"/>
    <xf fontId="1158" fillId="1155" borderId="1152" applyFont="1" applyFill="1" applyBorder="1" numFmtId="4"/>
    <xf fontId="1159" fillId="1156" borderId="1153" applyFont="1" applyFill="1" applyBorder="1" numFmtId="165"/>
    <xf fontId="1160" fillId="1157" borderId="1154" applyFont="1" applyFill="1" applyBorder="1" numFmtId="165"/>
    <xf fontId="1161" fillId="1158" borderId="1155" applyFont="1" applyFill="1" applyBorder="1" numFmtId="168"/>
    <xf fontId="1162" fillId="1159" borderId="1156" applyFont="1" applyFill="1" applyBorder="1" numFmtId="4"/>
    <xf fontId="1163" fillId="1160" borderId="1157" applyFont="1" applyFill="1" applyBorder="1" numFmtId="165"/>
    <xf fontId="1164" fillId="1161" borderId="1158" applyFont="1" applyFill="1" applyBorder="1" numFmtId="165"/>
    <xf fontId="1165" fillId="1162" borderId="1159" applyFont="1" applyFill="1" applyBorder="1" numFmtId="168"/>
    <xf fontId="1166" fillId="1163" borderId="1160" applyFont="1" applyFill="1" applyBorder="1" numFmtId="4"/>
    <xf fontId="1167" fillId="1164" borderId="1161" applyFont="1" applyFill="1" applyBorder="1" numFmtId="165"/>
    <xf fontId="1168" fillId="1165" borderId="1162" applyFont="1" applyFill="1" applyBorder="1" numFmtId="165"/>
    <xf fontId="1169" fillId="1166" borderId="1163" applyFont="1" applyFill="1" applyBorder="1" numFmtId="168"/>
    <xf fontId="1170" fillId="1167" borderId="1164" applyFont="1" applyFill="1" applyBorder="1" numFmtId="4"/>
    <xf fontId="1171" fillId="1168" borderId="1165" applyFont="1" applyFill="1" applyBorder="1" numFmtId="165"/>
    <xf fontId="1172" fillId="1169" borderId="1166" applyFont="1" applyFill="1" applyBorder="1" numFmtId="165"/>
    <xf fontId="1173" fillId="1170" borderId="1167" applyFont="1" applyFill="1" applyBorder="1" numFmtId="168"/>
    <xf fontId="1174" fillId="1171" borderId="1168" applyFont="1" applyFill="1" applyBorder="1" numFmtId="4"/>
    <xf fontId="1175" fillId="1172" borderId="1169" applyFont="1" applyFill="1" applyBorder="1" numFmtId="165"/>
    <xf fontId="1176" fillId="1173" borderId="1170" applyFont="1" applyFill="1" applyBorder="1" numFmtId="165"/>
    <xf fontId="1177" fillId="1174" borderId="1171" applyFont="1" applyFill="1" applyBorder="1" numFmtId="168"/>
    <xf fontId="1178" fillId="1175" borderId="1172" applyFont="1" applyFill="1" applyBorder="1" numFmtId="4"/>
    <xf fontId="1179" fillId="1176" borderId="1173" applyFont="1" applyFill="1" applyBorder="1" numFmtId="165"/>
    <xf fontId="1180" fillId="1177" borderId="1174" applyFont="1" applyFill="1" applyBorder="1" numFmtId="165"/>
    <xf fontId="1181" fillId="1178" borderId="1175" applyFont="1" applyFill="1" applyBorder="1" numFmtId="168"/>
    <xf fontId="1182" fillId="1179" borderId="1176" applyFont="1" applyFill="1" applyBorder="1" numFmtId="4"/>
    <xf fontId="1183" fillId="1180" borderId="1177" applyFont="1" applyFill="1" applyBorder="1" numFmtId="165"/>
    <xf fontId="1184" fillId="1181" borderId="1178" applyFont="1" applyFill="1" applyBorder="1" numFmtId="165"/>
    <xf fontId="1185" fillId="1182" borderId="1179" applyFont="1" applyFill="1" applyBorder="1" numFmtId="168"/>
    <xf fontId="1186" fillId="1183" borderId="1180" applyFont="1" applyFill="1" applyBorder="1" numFmtId="4"/>
    <xf fontId="1187" fillId="1184" borderId="1181" applyFont="1" applyFill="1" applyBorder="1" numFmtId="165"/>
    <xf fontId="1188" fillId="1185" borderId="1182" applyFont="1" applyFill="1" applyBorder="1" numFmtId="165"/>
    <xf fontId="1189" fillId="1186" borderId="1183" applyFont="1" applyFill="1" applyBorder="1" numFmtId="168"/>
    <xf fontId="1190" fillId="1187" borderId="1184" applyFont="1" applyFill="1" applyBorder="1" numFmtId="4"/>
    <xf fontId="1191" fillId="1188" borderId="1185" applyFont="1" applyFill="1" applyBorder="1" numFmtId="165"/>
    <xf fontId="1192" fillId="1189" borderId="1186" applyFont="1" applyFill="1" applyBorder="1" numFmtId="165"/>
    <xf fontId="1193" fillId="1190" borderId="1187" applyFont="1" applyFill="1" applyBorder="1" numFmtId="168"/>
    <xf fontId="1194" fillId="1191" borderId="1188" applyFont="1" applyFill="1" applyBorder="1" numFmtId="4"/>
    <xf fontId="1195" fillId="1192" borderId="1189" applyFont="1" applyFill="1" applyBorder="1" numFmtId="165"/>
    <xf fontId="1196" fillId="1193" borderId="1190" applyFont="1" applyFill="1" applyBorder="1" numFmtId="165"/>
    <xf fontId="1197" fillId="1194" borderId="1191" applyFont="1" applyFill="1" applyBorder="1" numFmtId="168"/>
    <xf fontId="1198" fillId="1195" borderId="1192" applyFont="1" applyFill="1" applyBorder="1" numFmtId="4"/>
    <xf fontId="1199" fillId="1196" borderId="1193" applyFont="1" applyFill="1" applyBorder="1" numFmtId="165"/>
    <xf fontId="1200" fillId="1197" borderId="1194" applyFont="1" applyFill="1" applyBorder="1" numFmtId="165"/>
    <xf fontId="1201" fillId="1198" borderId="1195" applyFont="1" applyFill="1" applyBorder="1" numFmtId="168"/>
    <xf fontId="1202" fillId="1199" borderId="1196" applyFont="1" applyFill="1" applyBorder="1" numFmtId="4"/>
    <xf fontId="1203" fillId="1200" borderId="1197" applyFont="1" applyFill="1" applyBorder="1" numFmtId="165"/>
    <xf fontId="1204" fillId="1201" borderId="1198" applyFont="1" applyFill="1" applyBorder="1" numFmtId="165"/>
    <xf fontId="1205" fillId="1202" borderId="1199" applyFont="1" applyFill="1" applyBorder="1" numFmtId="168"/>
    <xf fontId="1206" fillId="1203" borderId="1200" applyFont="1" applyFill="1" applyBorder="1" numFmtId="4"/>
    <xf fontId="1207" fillId="1204" borderId="1201" applyFont="1" applyFill="1" applyBorder="1" numFmtId="165"/>
    <xf fontId="1208" fillId="1205" borderId="1202" applyFont="1" applyFill="1" applyBorder="1" numFmtId="165"/>
    <xf fontId="1209" fillId="1206" borderId="1203" applyFont="1" applyFill="1" applyBorder="1" numFmtId="168"/>
    <xf fontId="1210" fillId="1207" borderId="1204" applyFont="1" applyFill="1" applyBorder="1" numFmtId="4"/>
    <xf fontId="1211" fillId="1208" borderId="1205" applyFont="1" applyFill="1" applyBorder="1" numFmtId="165"/>
    <xf fontId="1212" fillId="1209" borderId="1206" applyFont="1" applyFill="1" applyBorder="1" numFmtId="165"/>
    <xf fontId="1213" fillId="1210" borderId="1207" applyFont="1" applyFill="1" applyBorder="1" numFmtId="168"/>
    <xf fontId="1214" fillId="1211" borderId="1208" applyFont="1" applyFill="1" applyBorder="1" numFmtId="4"/>
    <xf fontId="1215" fillId="1212" borderId="1209" applyFont="1" applyFill="1" applyBorder="1" numFmtId="165"/>
    <xf fontId="1216" fillId="1213" borderId="1210" applyFont="1" applyFill="1" applyBorder="1" numFmtId="165"/>
    <xf fontId="1217" fillId="1214" borderId="1211" applyFont="1" applyFill="1" applyBorder="1" numFmtId="168"/>
    <xf fontId="1218" fillId="1215" borderId="1212" applyFont="1" applyFill="1" applyBorder="1" numFmtId="4"/>
    <xf fontId="1219" fillId="1216" borderId="1213" applyFont="1" applyFill="1" applyBorder="1" numFmtId="165"/>
    <xf fontId="1220" fillId="1217" borderId="1214" applyFont="1" applyFill="1" applyBorder="1" numFmtId="165"/>
    <xf fontId="1221" fillId="1218" borderId="1215" applyFont="1" applyFill="1" applyBorder="1" numFmtId="168"/>
    <xf fontId="1222" fillId="1219" borderId="1216" applyFont="1" applyFill="1" applyBorder="1" numFmtId="4"/>
    <xf fontId="1223" fillId="1220" borderId="1217" applyFont="1" applyFill="1" applyBorder="1" numFmtId="165"/>
    <xf fontId="1224" fillId="1221" borderId="1218" applyFont="1" applyFill="1" applyBorder="1" numFmtId="165"/>
    <xf fontId="1225" fillId="1222" borderId="1219" applyFont="1" applyFill="1" applyBorder="1" numFmtId="168"/>
    <xf fontId="1226" fillId="1223" borderId="1220" applyFont="1" applyFill="1" applyBorder="1" numFmtId="4"/>
    <xf fontId="1227" fillId="1224" borderId="1221" applyFont="1" applyFill="1" applyBorder="1" numFmtId="165"/>
    <xf fontId="1228" fillId="1225" borderId="1222" applyFont="1" applyFill="1" applyBorder="1" numFmtId="165"/>
    <xf fontId="1229" fillId="1226" borderId="1223" applyFont="1" applyFill="1" applyBorder="1" numFmtId="168"/>
    <xf fontId="1230" fillId="1227" borderId="1224" applyFont="1" applyFill="1" applyBorder="1" numFmtId="4"/>
    <xf fontId="1231" fillId="1228" borderId="1225" applyFont="1" applyFill="1" applyBorder="1" numFmtId="165"/>
    <xf fontId="1232" fillId="1229" borderId="1226" applyFont="1" applyFill="1" applyBorder="1" numFmtId="165"/>
    <xf fontId="1233" fillId="1230" borderId="1227" applyFont="1" applyFill="1" applyBorder="1" numFmtId="168"/>
    <xf fontId="1234" fillId="1231" borderId="1228" applyFont="1" applyFill="1" applyBorder="1" numFmtId="4"/>
    <xf fontId="1235" fillId="1232" borderId="1229" applyFont="1" applyFill="1" applyBorder="1" numFmtId="165"/>
    <xf fontId="1236" fillId="1233" borderId="1230" applyFont="1" applyFill="1" applyBorder="1" numFmtId="165"/>
    <xf fontId="1237" fillId="1234" borderId="1231" applyFont="1" applyFill="1" applyBorder="1" numFmtId="168"/>
    <xf fontId="1238" fillId="1235" borderId="1232" applyFont="1" applyFill="1" applyBorder="1" numFmtId="4"/>
    <xf fontId="1239" fillId="1236" borderId="1233" applyFont="1" applyFill="1" applyBorder="1" numFmtId="165"/>
    <xf fontId="1240" fillId="1237" borderId="1234" applyFont="1" applyFill="1" applyBorder="1" numFmtId="165"/>
    <xf fontId="1241" fillId="1238" borderId="1235" applyFont="1" applyFill="1" applyBorder="1" numFmtId="168"/>
    <xf fontId="1242" fillId="1239" borderId="1236" applyFont="1" applyFill="1" applyBorder="1" numFmtId="4"/>
    <xf fontId="1243" fillId="1240" borderId="1237" applyFont="1" applyFill="1" applyBorder="1" numFmtId="165"/>
    <xf fontId="1244" fillId="1241" borderId="1238" applyFont="1" applyFill="1" applyBorder="1" numFmtId="165"/>
    <xf fontId="1245" fillId="1242" borderId="1239" applyFont="1" applyFill="1" applyBorder="1" numFmtId="168"/>
    <xf fontId="1246" fillId="1243" borderId="1240" applyFont="1" applyFill="1" applyBorder="1" numFmtId="4"/>
    <xf fontId="1247" fillId="1244" borderId="1241" applyFont="1" applyFill="1" applyBorder="1" numFmtId="165"/>
    <xf fontId="1248" fillId="1245" borderId="1242" applyFont="1" applyFill="1" applyBorder="1" numFmtId="165"/>
    <xf fontId="1249" fillId="1246" borderId="1243" applyFont="1" applyFill="1" applyBorder="1" numFmtId="168"/>
    <xf fontId="1250" fillId="1247" borderId="1244" applyFont="1" applyFill="1" applyBorder="1" numFmtId="4"/>
    <xf fontId="1251" fillId="1248" borderId="1245" applyFont="1" applyFill="1" applyBorder="1" numFmtId="165"/>
    <xf fontId="1252" fillId="1249" borderId="1246" applyFont="1" applyFill="1" applyBorder="1" numFmtId="165"/>
    <xf fontId="1253" fillId="1250" borderId="1247" applyFont="1" applyFill="1" applyBorder="1" numFmtId="168"/>
    <xf fontId="1254" fillId="1251" borderId="1248" applyFont="1" applyFill="1" applyBorder="1" numFmtId="4"/>
    <xf fontId="1255" fillId="1252" borderId="1249" applyFont="1" applyFill="1" applyBorder="1" numFmtId="165"/>
    <xf fontId="1256" fillId="1253" borderId="1250" applyFont="1" applyFill="1" applyBorder="1" numFmtId="165"/>
    <xf fontId="1257" fillId="1254" borderId="1251" applyFont="1" applyFill="1" applyBorder="1" numFmtId="168"/>
    <xf fontId="1258" fillId="1255" borderId="1252" applyFont="1" applyFill="1" applyBorder="1" numFmtId="4"/>
    <xf fontId="1259" fillId="1256" borderId="1253" applyFont="1" applyFill="1" applyBorder="1" numFmtId="165"/>
    <xf fontId="1260" fillId="1257" borderId="1254" applyFont="1" applyFill="1" applyBorder="1" numFmtId="165"/>
    <xf fontId="1261" fillId="1258" borderId="1255" applyFont="1" applyFill="1" applyBorder="1" numFmtId="168"/>
    <xf fontId="1262" fillId="1259" borderId="1256" applyFont="1" applyFill="1" applyBorder="1" numFmtId="4"/>
    <xf fontId="1263" fillId="1260" borderId="1257" applyFont="1" applyFill="1" applyBorder="1" numFmtId="165"/>
    <xf fontId="1264" fillId="1261" borderId="1258" applyFont="1" applyFill="1" applyBorder="1" numFmtId="165"/>
    <xf fontId="1265" fillId="1262" borderId="1259" applyFont="1" applyFill="1" applyBorder="1" numFmtId="168"/>
    <xf fontId="1266" fillId="1263" borderId="1260" applyFont="1" applyFill="1" applyBorder="1" numFmtId="4"/>
    <xf fontId="1267" fillId="1264" borderId="1261" applyFont="1" applyFill="1" applyBorder="1" numFmtId="165"/>
    <xf fontId="1268" fillId="1265" borderId="1262" applyFont="1" applyFill="1" applyBorder="1" numFmtId="165"/>
    <xf fontId="1269" fillId="1266" borderId="1263" applyFont="1" applyFill="1" applyBorder="1" numFmtId="168"/>
    <xf fontId="1270" fillId="1267" borderId="1264" applyFont="1" applyFill="1" applyBorder="1" numFmtId="4"/>
    <xf fontId="1271" fillId="1268" borderId="1265" applyFont="1" applyFill="1" applyBorder="1" numFmtId="165"/>
    <xf fontId="1272" fillId="1269" borderId="1266" applyFont="1" applyFill="1" applyBorder="1" numFmtId="165"/>
    <xf fontId="1273" fillId="1270" borderId="1267" applyFont="1" applyFill="1" applyBorder="1" numFmtId="168"/>
    <xf fontId="1274" fillId="1271" borderId="1268" applyFont="1" applyFill="1" applyBorder="1" numFmtId="4"/>
    <xf fontId="1275" fillId="1272" borderId="1269" applyFont="1" applyFill="1" applyBorder="1" numFmtId="165"/>
    <xf fontId="1276" fillId="1273" borderId="1270" applyFont="1" applyFill="1" applyBorder="1" numFmtId="165"/>
    <xf fontId="1277" fillId="1274" borderId="1271" applyFont="1" applyFill="1" applyBorder="1" numFmtId="168"/>
    <xf fontId="1278" fillId="1275" borderId="1272" applyFont="1" applyFill="1" applyBorder="1" numFmtId="4"/>
    <xf fontId="1279" fillId="1276" borderId="1273" applyFont="1" applyFill="1" applyBorder="1" numFmtId="165"/>
    <xf fontId="1280" fillId="1277" borderId="1274" applyFont="1" applyFill="1" applyBorder="1" numFmtId="165"/>
    <xf fontId="1281" fillId="1278" borderId="1275" applyFont="1" applyFill="1" applyBorder="1" numFmtId="168"/>
    <xf fontId="1282" fillId="1279" borderId="1276" applyFont="1" applyFill="1" applyBorder="1" numFmtId="4"/>
    <xf fontId="1283" fillId="1280" borderId="1277" applyFont="1" applyFill="1" applyBorder="1" numFmtId="165"/>
    <xf fontId="1284" fillId="1281" borderId="1278" applyFont="1" applyFill="1" applyBorder="1" numFmtId="165"/>
    <xf fontId="1285" fillId="1282" borderId="1279" applyFont="1" applyFill="1" applyBorder="1" numFmtId="168"/>
    <xf fontId="1286" fillId="1283" borderId="1280" applyFont="1" applyFill="1" applyBorder="1" numFmtId="4"/>
    <xf fontId="1287" fillId="1284" borderId="1281" applyFont="1" applyFill="1" applyBorder="1" numFmtId="165"/>
    <xf fontId="1288" fillId="1285" borderId="1282" applyFont="1" applyFill="1" applyBorder="1" numFmtId="165"/>
    <xf fontId="1289" fillId="1286" borderId="1283" applyFont="1" applyFill="1" applyBorder="1" numFmtId="168"/>
    <xf fontId="1290" fillId="1287" borderId="1284" applyFont="1" applyFill="1" applyBorder="1" numFmtId="4"/>
    <xf fontId="1291" fillId="1288" borderId="1285" applyFont="1" applyFill="1" applyBorder="1" numFmtId="165"/>
    <xf fontId="1292" fillId="1289" borderId="1286" applyFont="1" applyFill="1" applyBorder="1" numFmtId="165"/>
    <xf fontId="1293" fillId="1290" borderId="1287" applyFont="1" applyFill="1" applyBorder="1" numFmtId="168"/>
    <xf fontId="1294" fillId="1291" borderId="1288" applyFont="1" applyFill="1" applyBorder="1" numFmtId="4"/>
    <xf fontId="1295" fillId="1292" borderId="1289" applyFont="1" applyFill="1" applyBorder="1" numFmtId="165"/>
    <xf fontId="1296" fillId="1293" borderId="1290" applyFont="1" applyFill="1" applyBorder="1" numFmtId="165"/>
    <xf fontId="1297" fillId="1294" borderId="1291" applyFont="1" applyFill="1" applyBorder="1" numFmtId="168"/>
    <xf fontId="1298" fillId="1295" borderId="1292" applyFont="1" applyFill="1" applyBorder="1" numFmtId="4"/>
    <xf fontId="1299" fillId="1296" borderId="1293" applyFont="1" applyFill="1" applyBorder="1" numFmtId="165"/>
    <xf fontId="1300" fillId="1297" borderId="1294" applyFont="1" applyFill="1" applyBorder="1" numFmtId="165"/>
    <xf fontId="1301" fillId="1298" borderId="1295" applyFont="1" applyFill="1" applyBorder="1" numFmtId="168"/>
    <xf fontId="1302" fillId="1299" borderId="1296" applyFont="1" applyFill="1" applyBorder="1" numFmtId="4"/>
    <xf fontId="1303" fillId="1300" borderId="1297" applyFont="1" applyFill="1" applyBorder="1" numFmtId="165"/>
    <xf fontId="1304" fillId="1301" borderId="1298" applyFont="1" applyFill="1" applyBorder="1" numFmtId="165"/>
    <xf fontId="1305" fillId="1302" borderId="1299" applyFont="1" applyFill="1" applyBorder="1" numFmtId="168"/>
    <xf fontId="1306" fillId="1303" borderId="1300" applyFont="1" applyFill="1" applyBorder="1" numFmtId="4"/>
    <xf fontId="1307" fillId="1304" borderId="1301" applyFont="1" applyFill="1" applyBorder="1" numFmtId="165"/>
    <xf fontId="1308" fillId="1305" borderId="1302" applyFont="1" applyFill="1" applyBorder="1" numFmtId="165"/>
    <xf fontId="1309" fillId="1306" borderId="1303" applyFont="1" applyFill="1" applyBorder="1" numFmtId="168"/>
    <xf fontId="1310" fillId="1307" borderId="1304" applyFont="1" applyFill="1" applyBorder="1" numFmtId="4"/>
    <xf fontId="1311" fillId="1308" borderId="1305" applyFont="1" applyFill="1" applyBorder="1" numFmtId="165"/>
    <xf fontId="1312" fillId="1309" borderId="1306" applyFont="1" applyFill="1" applyBorder="1" numFmtId="165"/>
    <xf fontId="1313" fillId="1310" borderId="1307" applyFont="1" applyFill="1" applyBorder="1" numFmtId="168"/>
    <xf fontId="1314" fillId="1311" borderId="1308" applyFont="1" applyFill="1" applyBorder="1" numFmtId="4"/>
    <xf fontId="1315" fillId="1312" borderId="1309" applyFont="1" applyFill="1" applyBorder="1" numFmtId="165"/>
    <xf fontId="1316" fillId="1313" borderId="1310" applyFont="1" applyFill="1" applyBorder="1" numFmtId="165"/>
    <xf fontId="1317" fillId="1314" borderId="1311" applyFont="1" applyFill="1" applyBorder="1" numFmtId="168"/>
    <xf fontId="1318" fillId="1315" borderId="1312" applyFont="1" applyFill="1" applyBorder="1" numFmtId="4"/>
    <xf fontId="1319" fillId="1316" borderId="1313" applyFont="1" applyFill="1" applyBorder="1" numFmtId="165"/>
    <xf fontId="1320" fillId="1317" borderId="1314" applyFont="1" applyFill="1" applyBorder="1" numFmtId="165"/>
    <xf fontId="1321" fillId="1318" borderId="1315" applyFont="1" applyFill="1" applyBorder="1" numFmtId="168"/>
    <xf fontId="1322" fillId="1319" borderId="1316" applyFont="1" applyFill="1" applyBorder="1" numFmtId="4"/>
    <xf fontId="1323" fillId="1320" borderId="1317" applyFont="1" applyFill="1" applyBorder="1" numFmtId="165"/>
    <xf fontId="1324" fillId="1321" borderId="1318" applyFont="1" applyFill="1" applyBorder="1" numFmtId="165"/>
    <xf fontId="1325" fillId="1322" borderId="1319" applyFont="1" applyFill="1" applyBorder="1" numFmtId="168"/>
    <xf fontId="1326" fillId="1323" borderId="1320" applyFont="1" applyFill="1" applyBorder="1" numFmtId="4"/>
    <xf fontId="1327" fillId="1324" borderId="1321" applyFont="1" applyFill="1" applyBorder="1" numFmtId="165"/>
    <xf fontId="1328" fillId="1325" borderId="1322" applyFont="1" applyFill="1" applyBorder="1" numFmtId="165"/>
    <xf fontId="1329" fillId="1326" borderId="1323" applyFont="1" applyFill="1" applyBorder="1" numFmtId="168"/>
    <xf fontId="1330" fillId="1327" borderId="1324" applyFont="1" applyFill="1" applyBorder="1" numFmtId="4"/>
    <xf fontId="1331" fillId="1328" borderId="1325" applyFont="1" applyFill="1" applyBorder="1" numFmtId="165"/>
    <xf fontId="1332" fillId="1329" borderId="1326" applyFont="1" applyFill="1" applyBorder="1" numFmtId="165"/>
    <xf fontId="1333" fillId="1330" borderId="1327" applyFont="1" applyFill="1" applyBorder="1" numFmtId="168"/>
    <xf fontId="1334" fillId="1331" borderId="1328" applyFont="1" applyFill="1" applyBorder="1" numFmtId="4"/>
    <xf fontId="1335" fillId="1332" borderId="1329" applyFont="1" applyFill="1" applyBorder="1" numFmtId="165"/>
    <xf fontId="1336" fillId="1333" borderId="1330" applyFont="1" applyFill="1" applyBorder="1" numFmtId="165"/>
    <xf fontId="1337" fillId="1334" borderId="1331" applyFont="1" applyFill="1" applyBorder="1" numFmtId="168"/>
    <xf fontId="1338" fillId="1335" borderId="1332" applyFont="1" applyFill="1" applyBorder="1" numFmtId="4"/>
    <xf fontId="1339" fillId="1336" borderId="1333" applyFont="1" applyFill="1" applyBorder="1" numFmtId="165"/>
    <xf fontId="1340" fillId="1337" borderId="1334" applyFont="1" applyFill="1" applyBorder="1" numFmtId="165"/>
    <xf fontId="1341" fillId="1338" borderId="1335" applyFont="1" applyFill="1" applyBorder="1" numFmtId="168"/>
    <xf fontId="1342" fillId="1339" borderId="1336" applyFont="1" applyFill="1" applyBorder="1" numFmtId="4"/>
    <xf fontId="1343" fillId="1340" borderId="1337" applyFont="1" applyFill="1" applyBorder="1" numFmtId="165"/>
    <xf fontId="1344" fillId="1341" borderId="1338" applyFont="1" applyFill="1" applyBorder="1" numFmtId="165"/>
    <xf fontId="1345" fillId="1342" borderId="1339" applyFont="1" applyFill="1" applyBorder="1" numFmtId="168"/>
    <xf fontId="1346" fillId="1343" borderId="1340" applyFont="1" applyFill="1" applyBorder="1" numFmtId="4"/>
    <xf fontId="1347" fillId="1344" borderId="1341" applyFont="1" applyFill="1" applyBorder="1" numFmtId="165"/>
    <xf fontId="1348" fillId="1345" borderId="1342" applyFont="1" applyFill="1" applyBorder="1" numFmtId="165"/>
    <xf fontId="1349" fillId="1346" borderId="1343" applyFont="1" applyFill="1" applyBorder="1" numFmtId="168"/>
    <xf fontId="1350" fillId="1347" borderId="1344" applyFont="1" applyFill="1" applyBorder="1" numFmtId="4"/>
    <xf fontId="1351" fillId="1348" borderId="1345" applyFont="1" applyFill="1" applyBorder="1" numFmtId="165"/>
    <xf fontId="1352" fillId="1349" borderId="1346" applyFont="1" applyFill="1" applyBorder="1" numFmtId="165"/>
    <xf fontId="1353" fillId="1350" borderId="1347" applyFont="1" applyFill="1" applyBorder="1" numFmtId="168"/>
    <xf fontId="1354" fillId="1351" borderId="1348" applyFont="1" applyFill="1" applyBorder="1" numFmtId="4"/>
    <xf fontId="1355" fillId="1352" borderId="1349" applyFont="1" applyFill="1" applyBorder="1" numFmtId="165"/>
    <xf fontId="1356" fillId="1353" borderId="1350" applyFont="1" applyFill="1" applyBorder="1" numFmtId="165"/>
    <xf fontId="1357" fillId="1354" borderId="1351" applyFont="1" applyFill="1" applyBorder="1" numFmtId="168"/>
    <xf fontId="1358" fillId="1355" borderId="1352" applyFont="1" applyFill="1" applyBorder="1" numFmtId="4"/>
    <xf fontId="1359" fillId="1356" borderId="1353" applyFont="1" applyFill="1" applyBorder="1" numFmtId="165"/>
    <xf fontId="1360" fillId="1357" borderId="1354" applyFont="1" applyFill="1" applyBorder="1" numFmtId="165"/>
    <xf fontId="1361" fillId="1358" borderId="1355" applyFont="1" applyFill="1" applyBorder="1" numFmtId="168"/>
    <xf fontId="1362" fillId="1359" borderId="1356" applyFont="1" applyFill="1" applyBorder="1" numFmtId="4"/>
    <xf fontId="1363" fillId="1360" borderId="1357" applyFont="1" applyFill="1" applyBorder="1" numFmtId="165"/>
    <xf fontId="1364" fillId="1361" borderId="1358" applyFont="1" applyFill="1" applyBorder="1" numFmtId="165"/>
    <xf fontId="1365" fillId="1362" borderId="1359" applyFont="1" applyFill="1" applyBorder="1" numFmtId="168"/>
    <xf fontId="1366" fillId="1363" borderId="1360" applyFont="1" applyFill="1" applyBorder="1" numFmtId="4"/>
    <xf fontId="1367" fillId="1364" borderId="1361" applyFont="1" applyFill="1" applyBorder="1" numFmtId="165"/>
    <xf fontId="1368" fillId="1365" borderId="1362" applyFont="1" applyFill="1" applyBorder="1" numFmtId="165"/>
    <xf fontId="1369" fillId="1366" borderId="1363" applyFont="1" applyFill="1" applyBorder="1" numFmtId="168"/>
    <xf fontId="1370" fillId="1367" borderId="1364" applyFont="1" applyFill="1" applyBorder="1" numFmtId="4"/>
    <xf fontId="1371" fillId="1368" borderId="1365" applyFont="1" applyFill="1" applyBorder="1" numFmtId="165"/>
    <xf fontId="1372" fillId="1369" borderId="1366" applyFont="1" applyFill="1" applyBorder="1" numFmtId="165"/>
    <xf fontId="1373" fillId="1370" borderId="1367" applyFont="1" applyFill="1" applyBorder="1" numFmtId="168"/>
    <xf fontId="1374" fillId="1371" borderId="1368" applyFont="1" applyFill="1" applyBorder="1" numFmtId="4"/>
    <xf fontId="1375" fillId="1372" borderId="1369" applyFont="1" applyFill="1" applyBorder="1" numFmtId="165"/>
    <xf fontId="1376" fillId="1373" borderId="1370" applyFont="1" applyFill="1" applyBorder="1" numFmtId="165"/>
    <xf fontId="1377" fillId="1374" borderId="1371" applyFont="1" applyFill="1" applyBorder="1" numFmtId="168"/>
    <xf fontId="1378" fillId="1375" borderId="1372" applyFont="1" applyFill="1" applyBorder="1" numFmtId="4"/>
    <xf fontId="1379" fillId="1376" borderId="1373" applyFont="1" applyFill="1" applyBorder="1" numFmtId="165"/>
    <xf fontId="1380" fillId="1377" borderId="1374" applyFont="1" applyFill="1" applyBorder="1" numFmtId="165"/>
    <xf fontId="1381" fillId="1378" borderId="1375" applyFont="1" applyFill="1" applyBorder="1" numFmtId="168"/>
    <xf fontId="1382" fillId="1379" borderId="1376" applyFont="1" applyFill="1" applyBorder="1" numFmtId="4"/>
    <xf fontId="1383" fillId="1380" borderId="1377" applyFont="1" applyFill="1" applyBorder="1" numFmtId="165"/>
    <xf fontId="1384" fillId="1381" borderId="1378" applyFont="1" applyFill="1" applyBorder="1" numFmtId="165"/>
    <xf fontId="1385" fillId="1382" borderId="1379" applyFont="1" applyFill="1" applyBorder="1" numFmtId="168"/>
    <xf fontId="1386" fillId="1383" borderId="1380" applyFont="1" applyFill="1" applyBorder="1" numFmtId="4"/>
    <xf fontId="1387" fillId="1384" borderId="1381" applyFont="1" applyFill="1" applyBorder="1" numFmtId="165"/>
    <xf fontId="1388" fillId="1385" borderId="1382" applyFont="1" applyFill="1" applyBorder="1" numFmtId="165"/>
    <xf fontId="1389" fillId="1386" borderId="1383" applyFont="1" applyFill="1" applyBorder="1" numFmtId="168"/>
    <xf fontId="1390" fillId="1387" borderId="1384" applyFont="1" applyFill="1" applyBorder="1" numFmtId="4"/>
    <xf fontId="1391" fillId="1388" borderId="1385" applyFont="1" applyFill="1" applyBorder="1" numFmtId="165"/>
    <xf fontId="1392" fillId="1389" borderId="1386" applyFont="1" applyFill="1" applyBorder="1" numFmtId="165"/>
    <xf fontId="1393" fillId="1390" borderId="1387" applyFont="1" applyFill="1" applyBorder="1" numFmtId="168"/>
    <xf fontId="1394" fillId="1391" borderId="1388" applyFont="1" applyFill="1" applyBorder="1" numFmtId="4"/>
    <xf fontId="1395" fillId="1392" borderId="1389" applyFont="1" applyFill="1" applyBorder="1" numFmtId="165"/>
    <xf fontId="1396" fillId="1393" borderId="1390" applyFont="1" applyFill="1" applyBorder="1" numFmtId="165"/>
    <xf fontId="1397" fillId="1394" borderId="1391" applyFont="1" applyFill="1" applyBorder="1" numFmtId="168"/>
    <xf fontId="1398" fillId="1395" borderId="1392" applyFont="1" applyFill="1" applyBorder="1" numFmtId="4"/>
    <xf fontId="1399" fillId="1396" borderId="1393" applyFont="1" applyFill="1" applyBorder="1" numFmtId="165"/>
    <xf fontId="1400" fillId="1397" borderId="1394" applyFont="1" applyFill="1" applyBorder="1" numFmtId="165"/>
    <xf fontId="1401" fillId="1398" borderId="1395" applyFont="1" applyFill="1" applyBorder="1" numFmtId="168"/>
    <xf fontId="1402" fillId="1399" borderId="1396" applyFont="1" applyFill="1" applyBorder="1" numFmtId="4"/>
    <xf fontId="1403" fillId="1400" borderId="1397" applyFont="1" applyFill="1" applyBorder="1" numFmtId="165"/>
    <xf fontId="1404" fillId="1401" borderId="1398" applyFont="1" applyFill="1" applyBorder="1" numFmtId="165"/>
    <xf fontId="1405" fillId="1402" borderId="1399" applyFont="1" applyFill="1" applyBorder="1" numFmtId="168"/>
    <xf fontId="1406" fillId="1403" borderId="1400" applyFont="1" applyFill="1" applyBorder="1" numFmtId="4"/>
    <xf fontId="1407" fillId="1404" borderId="1401" applyFont="1" applyFill="1" applyBorder="1" numFmtId="165"/>
    <xf fontId="1408" fillId="1405" borderId="1402" applyFont="1" applyFill="1" applyBorder="1" numFmtId="165"/>
    <xf fontId="1409" fillId="1406" borderId="1403" applyFont="1" applyFill="1" applyBorder="1" numFmtId="168"/>
    <xf fontId="1410" fillId="1407" borderId="1404" applyFont="1" applyFill="1" applyBorder="1" numFmtId="4"/>
    <xf fontId="1411" fillId="1408" borderId="1405" applyFont="1" applyFill="1" applyBorder="1" numFmtId="165"/>
    <xf fontId="1412" fillId="1409" borderId="1406" applyFont="1" applyFill="1" applyBorder="1" numFmtId="165"/>
    <xf fontId="1413" fillId="1410" borderId="1407" applyFont="1" applyFill="1" applyBorder="1" numFmtId="168"/>
    <xf fontId="1414" fillId="1411" borderId="1408" applyFont="1" applyFill="1" applyBorder="1" numFmtId="4"/>
    <xf fontId="1415" fillId="1412" borderId="1409" applyFont="1" applyFill="1" applyBorder="1" numFmtId="165"/>
    <xf fontId="1416" fillId="1413" borderId="1410" applyFont="1" applyFill="1" applyBorder="1" numFmtId="165"/>
    <xf fontId="1417" fillId="1414" borderId="1411" applyFont="1" applyFill="1" applyBorder="1" numFmtId="168"/>
    <xf fontId="1418" fillId="1415" borderId="1412" applyFont="1" applyFill="1" applyBorder="1" numFmtId="4"/>
    <xf fontId="1419" fillId="1416" borderId="1413" applyFont="1" applyFill="1" applyBorder="1" numFmtId="165"/>
    <xf fontId="1420" fillId="1417" borderId="1414" applyFont="1" applyFill="1" applyBorder="1" numFmtId="165"/>
    <xf fontId="1421" fillId="1418" borderId="1415" applyFont="1" applyFill="1" applyBorder="1" numFmtId="168"/>
    <xf fontId="1422" fillId="1419" borderId="1416" applyFont="1" applyFill="1" applyBorder="1" numFmtId="4"/>
    <xf fontId="1423" fillId="1420" borderId="1417" applyFont="1" applyFill="1" applyBorder="1" numFmtId="165"/>
    <xf fontId="1424" fillId="1421" borderId="1418" applyFont="1" applyFill="1" applyBorder="1" numFmtId="165"/>
    <xf fontId="1425" fillId="1422" borderId="1419" applyFont="1" applyFill="1" applyBorder="1" numFmtId="168"/>
    <xf fontId="1426" fillId="1423" borderId="1420" applyFont="1" applyFill="1" applyBorder="1" numFmtId="4"/>
    <xf fontId="1427" fillId="1424" borderId="1421" applyFont="1" applyFill="1" applyBorder="1" numFmtId="165"/>
    <xf fontId="1428" fillId="1425" borderId="1422" applyFont="1" applyFill="1" applyBorder="1" numFmtId="165"/>
    <xf fontId="1429" fillId="1426" borderId="1423" applyFont="1" applyFill="1" applyBorder="1" numFmtId="168"/>
    <xf fontId="1430" fillId="1427" borderId="1424" applyFont="1" applyFill="1" applyBorder="1" numFmtId="4"/>
    <xf fontId="1431" fillId="1428" borderId="1425" applyFont="1" applyFill="1" applyBorder="1" numFmtId="165"/>
    <xf fontId="1432" fillId="1429" borderId="1426" applyFont="1" applyFill="1" applyBorder="1" numFmtId="165"/>
    <xf fontId="1433" fillId="1430" borderId="1427" applyFont="1" applyFill="1" applyBorder="1" numFmtId="168"/>
    <xf fontId="1434" fillId="1431" borderId="1428" applyFont="1" applyFill="1" applyBorder="1" numFmtId="4"/>
    <xf fontId="1435" fillId="1432" borderId="1429" applyFont="1" applyFill="1" applyBorder="1" numFmtId="165"/>
    <xf fontId="1436" fillId="1433" borderId="1430" applyFont="1" applyFill="1" applyBorder="1" numFmtId="165"/>
    <xf fontId="1437" fillId="1434" borderId="1431" applyFont="1" applyFill="1" applyBorder="1" numFmtId="168"/>
    <xf fontId="1438" fillId="1435" borderId="1432" applyFont="1" applyFill="1" applyBorder="1" numFmtId="4"/>
    <xf fontId="1439" fillId="1436" borderId="1433" applyFont="1" applyFill="1" applyBorder="1" numFmtId="165"/>
    <xf fontId="1440" fillId="1437" borderId="1434" applyFont="1" applyFill="1" applyBorder="1" numFmtId="165"/>
    <xf fontId="1441" fillId="1438" borderId="1435" applyFont="1" applyFill="1" applyBorder="1" numFmtId="168"/>
    <xf fontId="1442" fillId="1439" borderId="1436" applyFont="1" applyFill="1" applyBorder="1" numFmtId="4"/>
    <xf fontId="1443" fillId="1440" borderId="1437" applyFont="1" applyFill="1" applyBorder="1" numFmtId="165"/>
    <xf fontId="1444" fillId="1441" borderId="1438" applyFont="1" applyFill="1" applyBorder="1" numFmtId="165"/>
    <xf fontId="1445" fillId="1442" borderId="1439" applyFont="1" applyFill="1" applyBorder="1" numFmtId="168"/>
    <xf fontId="1446" fillId="1443" borderId="1440" applyFont="1" applyFill="1" applyBorder="1" numFmtId="4"/>
    <xf fontId="1447" fillId="1444" borderId="1441" applyFont="1" applyFill="1" applyBorder="1" numFmtId="165"/>
    <xf fontId="1448" fillId="1445" borderId="1442" applyFont="1" applyFill="1" applyBorder="1" numFmtId="165"/>
    <xf fontId="1449" fillId="1446" borderId="1443" applyFont="1" applyFill="1" applyBorder="1" numFmtId="168"/>
    <xf fontId="1450" fillId="1447" borderId="1444" applyFont="1" applyFill="1" applyBorder="1" numFmtId="4"/>
    <xf fontId="1451" fillId="1448" borderId="1445" applyFont="1" applyFill="1" applyBorder="1" numFmtId="165"/>
    <xf fontId="1452" fillId="1449" borderId="1446" applyFont="1" applyFill="1" applyBorder="1" numFmtId="165"/>
    <xf fontId="1453" fillId="1450" borderId="1447" applyFont="1" applyFill="1" applyBorder="1" numFmtId="168"/>
    <xf fontId="1454" fillId="1451" borderId="1448" applyFont="1" applyFill="1" applyBorder="1" numFmtId="4"/>
    <xf fontId="1455" fillId="1452" borderId="1449" applyFont="1" applyFill="1" applyBorder="1" numFmtId="165"/>
    <xf fontId="1456" fillId="1453" borderId="1450" applyFont="1" applyFill="1" applyBorder="1" numFmtId="165"/>
    <xf fontId="1457" fillId="1454" borderId="1451" applyFont="1" applyFill="1" applyBorder="1" numFmtId="168"/>
    <xf fontId="1458" fillId="1455" borderId="1452" applyFont="1" applyFill="1" applyBorder="1" numFmtId="4"/>
    <xf fontId="1459" fillId="1456" borderId="1453" applyFont="1" applyFill="1" applyBorder="1" numFmtId="165"/>
    <xf fontId="1460" fillId="1457" borderId="1454" applyFont="1" applyFill="1" applyBorder="1" numFmtId="165"/>
    <xf fontId="1461" fillId="1458" borderId="1455" applyFont="1" applyFill="1" applyBorder="1" numFmtId="168"/>
    <xf fontId="1462" fillId="1459" borderId="1456" applyFont="1" applyFill="1" applyBorder="1" numFmtId="4"/>
    <xf fontId="1463" fillId="1460" borderId="1457" applyFont="1" applyFill="1" applyBorder="1" numFmtId="165"/>
    <xf fontId="1464" fillId="1461" borderId="1458" applyFont="1" applyFill="1" applyBorder="1" numFmtId="165"/>
    <xf fontId="1465" fillId="1462" borderId="1459" applyFont="1" applyFill="1" applyBorder="1" numFmtId="168"/>
    <xf fontId="1466" fillId="1463" borderId="1460" applyFont="1" applyFill="1" applyBorder="1" numFmtId="4"/>
    <xf fontId="1467" fillId="1464" borderId="1461" applyFont="1" applyFill="1" applyBorder="1" numFmtId="165"/>
    <xf fontId="1468" fillId="1465" borderId="1462" applyFont="1" applyFill="1" applyBorder="1" numFmtId="165"/>
    <xf fontId="1469" fillId="1466" borderId="1463" applyFont="1" applyFill="1" applyBorder="1" numFmtId="168"/>
    <xf fontId="1470" fillId="1467" borderId="1464" applyFont="1" applyFill="1" applyBorder="1" numFmtId="4"/>
    <xf fontId="1471" fillId="1468" borderId="1465" applyFont="1" applyFill="1" applyBorder="1" numFmtId="165"/>
    <xf fontId="1472" fillId="1469" borderId="1466" applyFont="1" applyFill="1" applyBorder="1" numFmtId="165"/>
    <xf fontId="1473" fillId="1470" borderId="1467" applyFont="1" applyFill="1" applyBorder="1" numFmtId="168"/>
    <xf fontId="1474" fillId="1471" borderId="1468" applyFont="1" applyFill="1" applyBorder="1" numFmtId="4"/>
    <xf fontId="1475" fillId="1472" borderId="1469" applyFont="1" applyFill="1" applyBorder="1" numFmtId="165"/>
    <xf fontId="1476" fillId="1473" borderId="1470" applyFont="1" applyFill="1" applyBorder="1" numFmtId="165"/>
    <xf fontId="1477" fillId="1474" borderId="1471" applyFont="1" applyFill="1" applyBorder="1" numFmtId="168"/>
    <xf fontId="1478" fillId="1475" borderId="1472" applyFont="1" applyFill="1" applyBorder="1" numFmtId="4"/>
    <xf fontId="1479" fillId="1476" borderId="1473" applyFont="1" applyFill="1" applyBorder="1" numFmtId="165"/>
    <xf fontId="1480" fillId="1477" borderId="1474" applyFont="1" applyFill="1" applyBorder="1" numFmtId="165"/>
    <xf fontId="1481" fillId="1478" borderId="1475" applyFont="1" applyFill="1" applyBorder="1" numFmtId="168"/>
    <xf fontId="1482" fillId="1479" borderId="1476" applyFont="1" applyFill="1" applyBorder="1" numFmtId="4"/>
    <xf fontId="1483" fillId="1480" borderId="1477" applyFont="1" applyFill="1" applyBorder="1" numFmtId="165"/>
    <xf fontId="1484" fillId="1481" borderId="1478" applyFont="1" applyFill="1" applyBorder="1" numFmtId="165"/>
    <xf fontId="1485" fillId="1482" borderId="1479" applyFont="1" applyFill="1" applyBorder="1" numFmtId="168"/>
    <xf fontId="1486" fillId="1483" borderId="1480" applyFont="1" applyFill="1" applyBorder="1" numFmtId="4"/>
    <xf fontId="1487" fillId="1484" borderId="1481" applyFont="1" applyFill="1" applyBorder="1" numFmtId="165"/>
    <xf fontId="1488" fillId="1485" borderId="1482" applyFont="1" applyFill="1" applyBorder="1" numFmtId="165"/>
    <xf fontId="1489" fillId="1486" borderId="1483" applyFont="1" applyFill="1" applyBorder="1" numFmtId="168"/>
    <xf fontId="1490" fillId="1487" borderId="1484" applyFont="1" applyFill="1" applyBorder="1" numFmtId="4"/>
    <xf fontId="1491" fillId="1488" borderId="1485" applyFont="1" applyFill="1" applyBorder="1" numFmtId="165"/>
    <xf fontId="1492" fillId="1489" borderId="1486" applyFont="1" applyFill="1" applyBorder="1" numFmtId="165"/>
    <xf fontId="1493" fillId="1490" borderId="1487" applyFont="1" applyFill="1" applyBorder="1" numFmtId="168"/>
    <xf fontId="1494" fillId="1491" borderId="1488" applyFont="1" applyFill="1" applyBorder="1" numFmtId="4"/>
    <xf fontId="1495" fillId="1492" borderId="1489" applyFont="1" applyFill="1" applyBorder="1" numFmtId="165"/>
    <xf fontId="1496" fillId="1493" borderId="1490" applyFont="1" applyFill="1" applyBorder="1" numFmtId="165"/>
    <xf fontId="1497" fillId="1494" borderId="1491" applyFont="1" applyFill="1" applyBorder="1" numFmtId="168"/>
    <xf fontId="1498" fillId="1495" borderId="1492" applyFont="1" applyFill="1" applyBorder="1" numFmtId="4"/>
    <xf fontId="1499" fillId="1496" borderId="1493" applyFont="1" applyFill="1" applyBorder="1" numFmtId="165"/>
    <xf fontId="1500" fillId="1497" borderId="1494" applyFont="1" applyFill="1" applyBorder="1" numFmtId="165"/>
    <xf fontId="1501" fillId="1498" borderId="1495" applyFont="1" applyFill="1" applyBorder="1" numFmtId="168"/>
    <xf fontId="1502" fillId="1499" borderId="1496" applyFont="1" applyFill="1" applyBorder="1" numFmtId="4"/>
    <xf fontId="1503" fillId="1500" borderId="1497" applyFont="1" applyFill="1" applyBorder="1" numFmtId="165"/>
    <xf fontId="1504" fillId="1501" borderId="1498" applyFont="1" applyFill="1" applyBorder="1" numFmtId="165"/>
    <xf fontId="1505" fillId="1502" borderId="1499" applyFont="1" applyFill="1" applyBorder="1" numFmtId="168"/>
    <xf fontId="1506" fillId="1503" borderId="1500" applyFont="1" applyFill="1" applyBorder="1" numFmtId="4"/>
    <xf fontId="1507" fillId="1504" borderId="1501" applyFont="1" applyFill="1" applyBorder="1" numFmtId="165"/>
    <xf fontId="1508" fillId="1505" borderId="1502" applyFont="1" applyFill="1" applyBorder="1" numFmtId="165"/>
    <xf fontId="1509" fillId="1506" borderId="1503" applyFont="1" applyFill="1" applyBorder="1" numFmtId="168"/>
    <xf fontId="1510" fillId="1507" borderId="1504" applyFont="1" applyFill="1" applyBorder="1" numFmtId="4"/>
    <xf fontId="1511" fillId="1508" borderId="1505" applyFont="1" applyFill="1" applyBorder="1" numFmtId="165"/>
    <xf fontId="1512" fillId="1509" borderId="1506" applyFont="1" applyFill="1" applyBorder="1" numFmtId="165"/>
    <xf fontId="1513" fillId="1510" borderId="1507" applyFont="1" applyFill="1" applyBorder="1" numFmtId="168"/>
    <xf fontId="1514" fillId="1511" borderId="1508" applyFont="1" applyFill="1" applyBorder="1" numFmtId="4"/>
    <xf fontId="1515" fillId="1512" borderId="1509" applyFont="1" applyFill="1" applyBorder="1" numFmtId="165"/>
    <xf fontId="1516" fillId="1513" borderId="1510" applyFont="1" applyFill="1" applyBorder="1" numFmtId="165"/>
    <xf fontId="1517" fillId="1514" borderId="1511" applyFont="1" applyFill="1" applyBorder="1" numFmtId="168"/>
    <xf fontId="1518" fillId="1515" borderId="1512" applyFont="1" applyFill="1" applyBorder="1" numFmtId="4"/>
    <xf fontId="1519" fillId="1516" borderId="1513" applyFont="1" applyFill="1" applyBorder="1" numFmtId="165"/>
    <xf fontId="1520" fillId="1517" borderId="1514" applyFont="1" applyFill="1" applyBorder="1" numFmtId="165"/>
    <xf fontId="1521" fillId="1518" borderId="1515" applyFont="1" applyFill="1" applyBorder="1" numFmtId="168"/>
    <xf fontId="1522" fillId="1519" borderId="1516" applyFont="1" applyFill="1" applyBorder="1" numFmtId="4"/>
    <xf fontId="1523" fillId="1520" borderId="1517" applyFont="1" applyFill="1" applyBorder="1" numFmtId="165"/>
    <xf fontId="1524" fillId="1521" borderId="1518" applyFont="1" applyFill="1" applyBorder="1" numFmtId="165"/>
    <xf fontId="1525" fillId="1522" borderId="1519" applyFont="1" applyFill="1" applyBorder="1" numFmtId="168"/>
    <xf fontId="1526" fillId="1523" borderId="1520" applyFont="1" applyFill="1" applyBorder="1" numFmtId="4"/>
    <xf fontId="1527" fillId="1524" borderId="1521" applyFont="1" applyFill="1" applyBorder="1" numFmtId="165"/>
    <xf fontId="1528" fillId="1525" borderId="1522" applyFont="1" applyFill="1" applyBorder="1" numFmtId="165"/>
    <xf fontId="1529" fillId="1526" borderId="1523" applyFont="1" applyFill="1" applyBorder="1" numFmtId="168"/>
    <xf fontId="1530" fillId="1527" borderId="1524" applyFont="1" applyFill="1" applyBorder="1" numFmtId="4"/>
    <xf fontId="1531" fillId="1528" borderId="1525" applyFont="1" applyFill="1" applyBorder="1" numFmtId="165"/>
    <xf fontId="1532" fillId="1529" borderId="1526" applyFont="1" applyFill="1" applyBorder="1" numFmtId="165"/>
    <xf fontId="1533" fillId="1530" borderId="1527" applyFont="1" applyFill="1" applyBorder="1" numFmtId="168"/>
    <xf fontId="1534" fillId="1531" borderId="1528" applyFont="1" applyFill="1" applyBorder="1" numFmtId="4"/>
    <xf fontId="1535" fillId="1532" borderId="1529" applyFont="1" applyFill="1" applyBorder="1" numFmtId="165"/>
    <xf fontId="1536" fillId="1533" borderId="1530" applyFont="1" applyFill="1" applyBorder="1" numFmtId="165"/>
    <xf fontId="1537" fillId="1534" borderId="1531" applyFont="1" applyFill="1" applyBorder="1" numFmtId="168"/>
    <xf fontId="1538" fillId="1535" borderId="1532" applyFont="1" applyFill="1" applyBorder="1" numFmtId="4"/>
    <xf fontId="1539" fillId="1536" borderId="1533" applyFont="1" applyFill="1" applyBorder="1" numFmtId="165"/>
    <xf fontId="1540" fillId="1537" borderId="1534" applyFont="1" applyFill="1" applyBorder="1" numFmtId="165"/>
    <xf fontId="1541" fillId="1538" borderId="1535" applyFont="1" applyFill="1" applyBorder="1" numFmtId="168"/>
    <xf fontId="1542" fillId="1539" borderId="1536" applyFont="1" applyFill="1" applyBorder="1" numFmtId="4"/>
    <xf fontId="1543" fillId="1540" borderId="1537" applyFont="1" applyFill="1" applyBorder="1" numFmtId="165"/>
    <xf fontId="1544" fillId="1541" borderId="1538" applyFont="1" applyFill="1" applyBorder="1" numFmtId="165"/>
    <xf fontId="1545" fillId="1542" borderId="1539" applyFont="1" applyFill="1" applyBorder="1" numFmtId="168"/>
    <xf fontId="1546" fillId="1543" borderId="1540" applyFont="1" applyFill="1" applyBorder="1" numFmtId="4"/>
    <xf fontId="1547" fillId="1544" borderId="1541" applyFont="1" applyFill="1" applyBorder="1" numFmtId="165"/>
    <xf fontId="1548" fillId="1545" borderId="1542" applyFont="1" applyFill="1" applyBorder="1" numFmtId="165"/>
    <xf fontId="1549" fillId="1546" borderId="1543" applyFont="1" applyFill="1" applyBorder="1" numFmtId="168"/>
    <xf fontId="1550" fillId="1547" borderId="1544" applyFont="1" applyFill="1" applyBorder="1" numFmtId="4"/>
    <xf fontId="1551" fillId="1548" borderId="1545" applyFont="1" applyFill="1" applyBorder="1" numFmtId="165"/>
    <xf fontId="1552" fillId="1549" borderId="1546" applyFont="1" applyFill="1" applyBorder="1" numFmtId="165"/>
    <xf fontId="1553" fillId="1550" borderId="1547" applyFont="1" applyFill="1" applyBorder="1" numFmtId="168"/>
    <xf fontId="1554" fillId="1551" borderId="1548" applyFont="1" applyFill="1" applyBorder="1" numFmtId="4"/>
    <xf fontId="1555" fillId="1552" borderId="1549" applyFont="1" applyFill="1" applyBorder="1" numFmtId="165"/>
    <xf fontId="1556" fillId="1553" borderId="1550" applyFont="1" applyFill="1" applyBorder="1" numFmtId="165"/>
    <xf fontId="1557" fillId="1554" borderId="1551" applyFont="1" applyFill="1" applyBorder="1" numFmtId="168"/>
    <xf fontId="1558" fillId="1555" borderId="1552" applyFont="1" applyFill="1" applyBorder="1" numFmtId="4"/>
    <xf fontId="1559" fillId="1556" borderId="1553" applyFont="1" applyFill="1" applyBorder="1" numFmtId="165"/>
    <xf fontId="1560" fillId="1557" borderId="1554" applyFont="1" applyFill="1" applyBorder="1" numFmtId="165"/>
    <xf fontId="1561" fillId="1558" borderId="1555" applyFont="1" applyFill="1" applyBorder="1" numFmtId="168"/>
    <xf fontId="1562" fillId="1559" borderId="1556" applyFont="1" applyFill="1" applyBorder="1" numFmtId="4"/>
    <xf fontId="1563" fillId="1560" borderId="1557" applyFont="1" applyFill="1" applyBorder="1" numFmtId="165"/>
    <xf fontId="1564" fillId="1561" borderId="1558" applyFont="1" applyFill="1" applyBorder="1" numFmtId="165"/>
    <xf fontId="1565" fillId="1562" borderId="1559" applyFont="1" applyFill="1" applyBorder="1" numFmtId="168"/>
    <xf fontId="1566" fillId="1563" borderId="1560" applyFont="1" applyFill="1" applyBorder="1" numFmtId="4"/>
    <xf fontId="1567" fillId="1564" borderId="1561" applyFont="1" applyFill="1" applyBorder="1" numFmtId="165"/>
    <xf fontId="1568" fillId="1565" borderId="1562" applyFont="1" applyFill="1" applyBorder="1" numFmtId="165"/>
    <xf fontId="1569" fillId="1566" borderId="1563" applyFont="1" applyFill="1" applyBorder="1" numFmtId="168"/>
    <xf fontId="1570" fillId="1567" borderId="1564" applyFont="1" applyFill="1" applyBorder="1" numFmtId="4"/>
    <xf fontId="1571" fillId="1568" borderId="1565" applyFont="1" applyFill="1" applyBorder="1" numFmtId="165"/>
    <xf fontId="1572" fillId="1569" borderId="1566" applyFont="1" applyFill="1" applyBorder="1" numFmtId="165"/>
    <xf fontId="1573" fillId="1570" borderId="1567" applyFont="1" applyFill="1" applyBorder="1" numFmtId="168"/>
    <xf fontId="1574" fillId="1571" borderId="1568" applyFont="1" applyFill="1" applyBorder="1" numFmtId="4"/>
    <xf fontId="1575" fillId="1572" borderId="1569" applyFont="1" applyFill="1" applyBorder="1" numFmtId="165"/>
    <xf fontId="1576" fillId="1573" borderId="1570" applyFont="1" applyFill="1" applyBorder="1" numFmtId="165"/>
    <xf fontId="1577" fillId="1574" borderId="1571" applyFont="1" applyFill="1" applyBorder="1" numFmtId="168"/>
    <xf fontId="1578" fillId="1575" borderId="1572" applyFont="1" applyFill="1" applyBorder="1" numFmtId="4"/>
    <xf fontId="1579" fillId="1576" borderId="1573" applyFont="1" applyFill="1" applyBorder="1" numFmtId="165"/>
    <xf fontId="1580" fillId="1577" borderId="1574" applyFont="1" applyFill="1" applyBorder="1" numFmtId="165"/>
    <xf fontId="1581" fillId="1578" borderId="1575" applyFont="1" applyFill="1" applyBorder="1" numFmtId="168"/>
    <xf fontId="1582" fillId="1579" borderId="1576" applyFont="1" applyFill="1" applyBorder="1" numFmtId="4"/>
    <xf fontId="1583" fillId="1580" borderId="1577" applyFont="1" applyFill="1" applyBorder="1" numFmtId="165"/>
    <xf fontId="1584" fillId="1581" borderId="1578" applyFont="1" applyFill="1" applyBorder="1" numFmtId="165"/>
    <xf fontId="1585" fillId="1582" borderId="1579" applyFont="1" applyFill="1" applyBorder="1" numFmtId="168"/>
    <xf fontId="1586" fillId="1583" borderId="1580" applyFont="1" applyFill="1" applyBorder="1" numFmtId="4"/>
    <xf fontId="1587" fillId="1584" borderId="1581" applyFont="1" applyFill="1" applyBorder="1" numFmtId="165"/>
    <xf fontId="1588" fillId="1585" borderId="1582" applyFont="1" applyFill="1" applyBorder="1" numFmtId="165"/>
    <xf fontId="1589" fillId="1586" borderId="1583" applyFont="1" applyFill="1" applyBorder="1" numFmtId="168"/>
    <xf fontId="1590" fillId="1587" borderId="1584" applyFont="1" applyFill="1" applyBorder="1" numFmtId="4"/>
    <xf fontId="1591" fillId="1588" borderId="1585" applyFont="1" applyFill="1" applyBorder="1" numFmtId="165"/>
    <xf fontId="1592" fillId="1589" borderId="1586" applyFont="1" applyFill="1" applyBorder="1" numFmtId="165"/>
    <xf fontId="1593" fillId="1590" borderId="1587" applyFont="1" applyFill="1" applyBorder="1" numFmtId="168"/>
    <xf fontId="1594" fillId="1591" borderId="1588" applyFont="1" applyFill="1" applyBorder="1" numFmtId="4"/>
    <xf fontId="1595" fillId="1592" borderId="1589" applyFont="1" applyFill="1" applyBorder="1" numFmtId="165"/>
    <xf fontId="1596" fillId="1593" borderId="1590" applyFont="1" applyFill="1" applyBorder="1" numFmtId="165"/>
    <xf fontId="1597" fillId="1594" borderId="1591" applyFont="1" applyFill="1" applyBorder="1" numFmtId="168"/>
    <xf fontId="1598" fillId="1595" borderId="1592" applyFont="1" applyFill="1" applyBorder="1" numFmtId="4"/>
    <xf fontId="1599" fillId="1596" borderId="1593" applyFont="1" applyFill="1" applyBorder="1" numFmtId="165"/>
    <xf fontId="1600" fillId="1597" borderId="1594" applyFont="1" applyFill="1" applyBorder="1" numFmtId="165"/>
    <xf fontId="1601" fillId="1598" borderId="1595" applyFont="1" applyFill="1" applyBorder="1" numFmtId="168"/>
    <xf fontId="1602" fillId="1599" borderId="1596" applyFont="1" applyFill="1" applyBorder="1" numFmtId="4"/>
    <xf fontId="1603" fillId="1600" borderId="1597" applyFont="1" applyFill="1" applyBorder="1" numFmtId="165"/>
    <xf fontId="1604" fillId="1601" borderId="1598" applyFont="1" applyFill="1" applyBorder="1" numFmtId="165"/>
    <xf fontId="1605" fillId="1602" borderId="1599" applyFont="1" applyFill="1" applyBorder="1" numFmtId="168"/>
    <xf fontId="1606" fillId="1603" borderId="1600" applyFont="1" applyFill="1" applyBorder="1" numFmtId="4"/>
    <xf fontId="1607" fillId="1604" borderId="1601" applyFont="1" applyFill="1" applyBorder="1" numFmtId="165"/>
    <xf fontId="1608" fillId="1605" borderId="1602" applyFont="1" applyFill="1" applyBorder="1" numFmtId="165"/>
    <xf fontId="1609" fillId="1606" borderId="1603" applyFont="1" applyFill="1" applyBorder="1" numFmtId="168"/>
    <xf fontId="1610" fillId="1607" borderId="1604" applyFont="1" applyFill="1" applyBorder="1" numFmtId="4"/>
    <xf fontId="1611" fillId="1608" borderId="1605" applyFont="1" applyFill="1" applyBorder="1" numFmtId="165"/>
    <xf fontId="1612" fillId="1609" borderId="1606" applyFont="1" applyFill="1" applyBorder="1" numFmtId="165"/>
    <xf fontId="1613" fillId="1610" borderId="1607" applyFont="1" applyFill="1" applyBorder="1" numFmtId="168"/>
    <xf fontId="1614" fillId="1611" borderId="1608" applyFont="1" applyFill="1" applyBorder="1" numFmtId="4"/>
    <xf fontId="1615" fillId="1612" borderId="1609" applyFont="1" applyFill="1" applyBorder="1" numFmtId="165"/>
    <xf fontId="1616" fillId="1613" borderId="1610" applyFont="1" applyFill="1" applyBorder="1" numFmtId="165"/>
    <xf fontId="1617" fillId="1614" borderId="1611" applyFont="1" applyFill="1" applyBorder="1" numFmtId="168"/>
    <xf fontId="1618" fillId="1615" borderId="1612" applyFont="1" applyFill="1" applyBorder="1" numFmtId="4"/>
    <xf fontId="1619" fillId="1616" borderId="1613" applyFont="1" applyFill="1" applyBorder="1" numFmtId="165"/>
    <xf fontId="1620" fillId="1617" borderId="1614" applyFont="1" applyFill="1" applyBorder="1" numFmtId="165"/>
    <xf fontId="1621" fillId="1618" borderId="1615" applyFont="1" applyFill="1" applyBorder="1" numFmtId="168"/>
    <xf fontId="1622" fillId="1619" borderId="1616" applyFont="1" applyFill="1" applyBorder="1" numFmtId="4"/>
    <xf fontId="1623" fillId="1620" borderId="1617" applyFont="1" applyFill="1" applyBorder="1" numFmtId="165"/>
    <xf fontId="1624" fillId="1621" borderId="1618" applyFont="1" applyFill="1" applyBorder="1" numFmtId="165"/>
    <xf fontId="1625" fillId="1622" borderId="1619" applyFont="1" applyFill="1" applyBorder="1" numFmtId="168"/>
    <xf fontId="1626" fillId="1623" borderId="1620" applyFont="1" applyFill="1" applyBorder="1" numFmtId="4"/>
    <xf fontId="1627" fillId="1624" borderId="1621" applyFont="1" applyFill="1" applyBorder="1" numFmtId="165"/>
    <xf fontId="1628" fillId="1625" borderId="1622" applyFont="1" applyFill="1" applyBorder="1" numFmtId="165"/>
    <xf fontId="1629" fillId="1626" borderId="1623" applyFont="1" applyFill="1" applyBorder="1" numFmtId="168"/>
    <xf fontId="1630" fillId="1627" borderId="1624" applyFont="1" applyFill="1" applyBorder="1" numFmtId="4"/>
    <xf fontId="1631" fillId="1628" borderId="1625" applyFont="1" applyFill="1" applyBorder="1" numFmtId="165"/>
    <xf fontId="1632" fillId="1629" borderId="1626" applyFont="1" applyFill="1" applyBorder="1" numFmtId="165"/>
    <xf fontId="1633" fillId="1630" borderId="1627" applyFont="1" applyFill="1" applyBorder="1" numFmtId="168"/>
    <xf fontId="1634" fillId="1631" borderId="1628" applyFont="1" applyFill="1" applyBorder="1" numFmtId="4"/>
    <xf fontId="1635" fillId="1632" borderId="1629" applyFont="1" applyFill="1" applyBorder="1" numFmtId="165"/>
    <xf fontId="1636" fillId="1633" borderId="1630" applyFont="1" applyFill="1" applyBorder="1" numFmtId="165"/>
    <xf fontId="1637" fillId="1634" borderId="1631" applyFont="1" applyFill="1" applyBorder="1" numFmtId="168"/>
    <xf fontId="1638" fillId="1635" borderId="1632" applyFont="1" applyFill="1" applyBorder="1" numFmtId="4"/>
    <xf fontId="1639" fillId="1636" borderId="1633" applyFont="1" applyFill="1" applyBorder="1" numFmtId="165"/>
    <xf fontId="1640" fillId="1637" borderId="1634" applyFont="1" applyFill="1" applyBorder="1" numFmtId="165"/>
    <xf fontId="1641" fillId="1638" borderId="1635" applyFont="1" applyFill="1" applyBorder="1" numFmtId="168"/>
    <xf fontId="1642" fillId="1639" borderId="1636" applyFont="1" applyFill="1" applyBorder="1" numFmtId="4"/>
    <xf fontId="1643" fillId="1640" borderId="1637" applyFont="1" applyFill="1" applyBorder="1" numFmtId="165"/>
    <xf fontId="1644" fillId="1641" borderId="1638" applyFont="1" applyFill="1" applyBorder="1" numFmtId="165"/>
    <xf fontId="1645" fillId="1642" borderId="1639" applyFont="1" applyFill="1" applyBorder="1" numFmtId="168"/>
    <xf fontId="1646" fillId="1643" borderId="1640" applyFont="1" applyFill="1" applyBorder="1" numFmtId="4"/>
    <xf fontId="1647" fillId="1644" borderId="1641" applyFont="1" applyFill="1" applyBorder="1" numFmtId="165"/>
    <xf fontId="1648" fillId="1645" borderId="1642" applyFont="1" applyFill="1" applyBorder="1" numFmtId="165"/>
    <xf fontId="1649" fillId="1646" borderId="1643" applyFont="1" applyFill="1" applyBorder="1" numFmtId="168"/>
    <xf fontId="1650" fillId="1647" borderId="1644" applyFont="1" applyFill="1" applyBorder="1" numFmtId="4"/>
    <xf fontId="1651" fillId="1648" borderId="1645" applyFont="1" applyFill="1" applyBorder="1" numFmtId="165"/>
    <xf fontId="1652" fillId="1649" borderId="1646" applyFont="1" applyFill="1" applyBorder="1" numFmtId="165"/>
    <xf fontId="1653" fillId="1650" borderId="1647" applyFont="1" applyFill="1" applyBorder="1" numFmtId="168"/>
    <xf fontId="1654" fillId="1651" borderId="1648" applyFont="1" applyFill="1" applyBorder="1" numFmtId="4"/>
    <xf fontId="1655" fillId="1652" borderId="1649" applyFont="1" applyFill="1" applyBorder="1" numFmtId="165"/>
    <xf fontId="1656" fillId="1653" borderId="1650" applyFont="1" applyFill="1" applyBorder="1" numFmtId="165"/>
    <xf fontId="1657" fillId="1654" borderId="1651" applyFont="1" applyFill="1" applyBorder="1" numFmtId="168"/>
    <xf fontId="1658" fillId="1655" borderId="1652" applyFont="1" applyFill="1" applyBorder="1" numFmtId="4"/>
    <xf fontId="1659" fillId="1656" borderId="1653" applyFont="1" applyFill="1" applyBorder="1" numFmtId="165"/>
    <xf fontId="1660" fillId="1657" borderId="1654" applyFont="1" applyFill="1" applyBorder="1" numFmtId="165"/>
    <xf fontId="1661" fillId="1658" borderId="1655" applyFont="1" applyFill="1" applyBorder="1" numFmtId="168"/>
    <xf fontId="1662" fillId="1659" borderId="1656" applyFont="1" applyFill="1" applyBorder="1" numFmtId="4"/>
    <xf fontId="1663" fillId="1660" borderId="1657" applyFont="1" applyFill="1" applyBorder="1" numFmtId="165"/>
    <xf fontId="1664" fillId="1661" borderId="1658" applyFont="1" applyFill="1" applyBorder="1" numFmtId="165"/>
    <xf fontId="1665" fillId="1662" borderId="1659" applyFont="1" applyFill="1" applyBorder="1" numFmtId="168"/>
    <xf fontId="1666" fillId="1663" borderId="1660" applyFont="1" applyFill="1" applyBorder="1" numFmtId="4"/>
    <xf fontId="1667" fillId="1664" borderId="1661" applyFont="1" applyFill="1" applyBorder="1" numFmtId="165"/>
    <xf fontId="1668" fillId="1665" borderId="1662" applyFont="1" applyFill="1" applyBorder="1" numFmtId="165"/>
    <xf fontId="1669" fillId="1666" borderId="1663" applyFont="1" applyFill="1" applyBorder="1" numFmtId="168"/>
    <xf fontId="1670" fillId="1667" borderId="1664" applyFont="1" applyFill="1" applyBorder="1" numFmtId="4"/>
    <xf fontId="1671" fillId="1668" borderId="1665" applyFont="1" applyFill="1" applyBorder="1" numFmtId="165"/>
    <xf fontId="1672" fillId="1669" borderId="1666" applyFont="1" applyFill="1" applyBorder="1" numFmtId="165"/>
    <xf fontId="1673" fillId="1670" borderId="1667" applyFont="1" applyFill="1" applyBorder="1" numFmtId="168"/>
    <xf fontId="1674" fillId="1671" borderId="1668" applyFont="1" applyFill="1" applyBorder="1" numFmtId="4"/>
    <xf fontId="1675" fillId="1672" borderId="1669" applyFont="1" applyFill="1" applyBorder="1" numFmtId="165"/>
    <xf fontId="1676" fillId="1673" borderId="1670" applyFont="1" applyFill="1" applyBorder="1" numFmtId="165"/>
    <xf fontId="1677" fillId="1674" borderId="1671" applyFont="1" applyFill="1" applyBorder="1" numFmtId="168"/>
    <xf fontId="1678" fillId="1675" borderId="1672" applyFont="1" applyFill="1" applyBorder="1" numFmtId="4"/>
    <xf fontId="1679" fillId="1676" borderId="1673" applyFont="1" applyFill="1" applyBorder="1" numFmtId="165"/>
    <xf fontId="1680" fillId="1677" borderId="1674" applyFont="1" applyFill="1" applyBorder="1" numFmtId="165"/>
    <xf fontId="1681" fillId="1678" borderId="1675" applyFont="1" applyFill="1" applyBorder="1" numFmtId="168"/>
    <xf fontId="1682" fillId="1679" borderId="1676" applyFont="1" applyFill="1" applyBorder="1" numFmtId="4"/>
    <xf fontId="1683" fillId="1680" borderId="1677" applyFont="1" applyFill="1" applyBorder="1" numFmtId="165"/>
    <xf fontId="1684" fillId="1681" borderId="1678" applyFont="1" applyFill="1" applyBorder="1" numFmtId="165"/>
    <xf fontId="1685" fillId="1682" borderId="1679" applyFont="1" applyFill="1" applyBorder="1" numFmtId="168"/>
    <xf fontId="1686" fillId="1683" borderId="1680" applyFont="1" applyFill="1" applyBorder="1" numFmtId="4"/>
    <xf fontId="1687" fillId="1684" borderId="1681" applyFont="1" applyFill="1" applyBorder="1" numFmtId="165"/>
    <xf fontId="1688" fillId="1685" borderId="1682" applyFont="1" applyFill="1" applyBorder="1" numFmtId="165"/>
    <xf fontId="1689" fillId="1686" borderId="1683" applyFont="1" applyFill="1" applyBorder="1" numFmtId="168"/>
    <xf fontId="1690" fillId="1687" borderId="1684" applyFont="1" applyFill="1" applyBorder="1" numFmtId="4"/>
    <xf fontId="1691" fillId="1688" borderId="1685" applyFont="1" applyFill="1" applyBorder="1" numFmtId="165"/>
    <xf fontId="1692" fillId="1689" borderId="1686" applyFont="1" applyFill="1" applyBorder="1" numFmtId="165"/>
    <xf fontId="1693" fillId="1690" borderId="1687" applyFont="1" applyFill="1" applyBorder="1" numFmtId="168"/>
    <xf fontId="1694" fillId="1691" borderId="1688" applyFont="1" applyFill="1" applyBorder="1" numFmtId="4"/>
    <xf fontId="1695" fillId="1692" borderId="1689" applyFont="1" applyFill="1" applyBorder="1" numFmtId="165"/>
    <xf fontId="1696" fillId="1693" borderId="1690" applyFont="1" applyFill="1" applyBorder="1" numFmtId="165"/>
    <xf fontId="1697" fillId="1694" borderId="1691" applyFont="1" applyFill="1" applyBorder="1" numFmtId="168"/>
    <xf fontId="1698" fillId="1695" borderId="1692" applyFont="1" applyFill="1" applyBorder="1" numFmtId="4"/>
    <xf fontId="1699" fillId="1696" borderId="1693" applyFont="1" applyFill="1" applyBorder="1" numFmtId="165"/>
    <xf fontId="1700" fillId="1697" borderId="1694" applyFont="1" applyFill="1" applyBorder="1" numFmtId="165"/>
    <xf fontId="1701" fillId="1698" borderId="1695" applyFont="1" applyFill="1" applyBorder="1" numFmtId="168"/>
    <xf fontId="1702" fillId="1699" borderId="1696" applyFont="1" applyFill="1" applyBorder="1" numFmtId="4"/>
    <xf fontId="1703" fillId="1700" borderId="1697" applyFont="1" applyFill="1" applyBorder="1" numFmtId="165"/>
    <xf fontId="1704" fillId="1701" borderId="1698" applyFont="1" applyFill="1" applyBorder="1" numFmtId="165"/>
    <xf fontId="1705" fillId="1702" borderId="1699" applyFont="1" applyFill="1" applyBorder="1" numFmtId="168"/>
    <xf fontId="1706" fillId="1703" borderId="1700" applyFont="1" applyFill="1" applyBorder="1" numFmtId="4"/>
    <xf fontId="1707" fillId="1704" borderId="1701" applyFont="1" applyFill="1" applyBorder="1" numFmtId="165"/>
    <xf fontId="1708" fillId="1705" borderId="1702" applyFont="1" applyFill="1" applyBorder="1" numFmtId="165"/>
    <xf fontId="1709" fillId="1706" borderId="1703" applyFont="1" applyFill="1" applyBorder="1" numFmtId="168"/>
    <xf fontId="1710" fillId="1707" borderId="1704" applyFont="1" applyFill="1" applyBorder="1" numFmtId="4"/>
    <xf fontId="1711" fillId="1708" borderId="1705" applyFont="1" applyFill="1" applyBorder="1" numFmtId="165"/>
    <xf fontId="1712" fillId="1709" borderId="1706" applyFont="1" applyFill="1" applyBorder="1" numFmtId="165"/>
    <xf fontId="1713" fillId="1710" borderId="1707" applyFont="1" applyFill="1" applyBorder="1" numFmtId="168"/>
    <xf fontId="1714" fillId="1711" borderId="1708" applyFont="1" applyFill="1" applyBorder="1" numFmtId="4"/>
    <xf fontId="1715" fillId="1712" borderId="1709" applyFont="1" applyFill="1" applyBorder="1" numFmtId="165"/>
    <xf fontId="1716" fillId="1713" borderId="1710" applyFont="1" applyFill="1" applyBorder="1" numFmtId="165"/>
    <xf fontId="1717" fillId="1714" borderId="1711" applyFont="1" applyFill="1" applyBorder="1" numFmtId="168"/>
    <xf fontId="1718" fillId="1715" borderId="1712" applyFont="1" applyFill="1" applyBorder="1" numFmtId="4"/>
    <xf fontId="1719" fillId="1716" borderId="1713" applyFont="1" applyFill="1" applyBorder="1" numFmtId="165"/>
    <xf fontId="1720" fillId="1717" borderId="1714" applyFont="1" applyFill="1" applyBorder="1" numFmtId="165"/>
    <xf fontId="1721" fillId="1718" borderId="1715" applyFont="1" applyFill="1" applyBorder="1" numFmtId="168"/>
    <xf fontId="1722" fillId="1719" borderId="1716" applyFont="1" applyFill="1" applyBorder="1" numFmtId="4"/>
    <xf fontId="1723" fillId="1720" borderId="1717" applyFont="1" applyFill="1" applyBorder="1" numFmtId="165"/>
    <xf fontId="1724" fillId="1721" borderId="1718" applyFont="1" applyFill="1" applyBorder="1" numFmtId="165"/>
    <xf fontId="1725" fillId="1722" borderId="1719" applyFont="1" applyFill="1" applyBorder="1" numFmtId="168"/>
    <xf fontId="1726" fillId="1723" borderId="1720" applyFont="1" applyFill="1" applyBorder="1" numFmtId="4"/>
    <xf fontId="1727" fillId="1724" borderId="1721" applyFont="1" applyFill="1" applyBorder="1" numFmtId="165"/>
    <xf fontId="1728" fillId="1725" borderId="1722" applyFont="1" applyFill="1" applyBorder="1" numFmtId="165"/>
    <xf fontId="1729" fillId="1726" borderId="1723" applyFont="1" applyFill="1" applyBorder="1" numFmtId="168"/>
    <xf fontId="1730" fillId="1727" borderId="1724" applyFont="1" applyFill="1" applyBorder="1" numFmtId="4"/>
    <xf fontId="1731" fillId="1728" borderId="1725" applyFont="1" applyFill="1" applyBorder="1" numFmtId="165"/>
    <xf fontId="1732" fillId="1729" borderId="1726" applyFont="1" applyFill="1" applyBorder="1" numFmtId="165"/>
    <xf fontId="1733" fillId="1730" borderId="1727" applyFont="1" applyFill="1" applyBorder="1" numFmtId="168"/>
    <xf fontId="1734" fillId="1731" borderId="1728" applyFont="1" applyFill="1" applyBorder="1" numFmtId="4"/>
    <xf fontId="1735" fillId="1732" borderId="1729" applyFont="1" applyFill="1" applyBorder="1" numFmtId="165"/>
    <xf fontId="1736" fillId="1733" borderId="1730" applyFont="1" applyFill="1" applyBorder="1" numFmtId="165"/>
    <xf fontId="1737" fillId="1734" borderId="1731" applyFont="1" applyFill="1" applyBorder="1" numFmtId="168"/>
    <xf fontId="1738" fillId="1735" borderId="1732" applyFont="1" applyFill="1" applyBorder="1" numFmtId="4"/>
    <xf fontId="1739" fillId="1736" borderId="1733" applyFont="1" applyFill="1" applyBorder="1" numFmtId="165"/>
    <xf fontId="1740" fillId="1737" borderId="1734" applyFont="1" applyFill="1" applyBorder="1" numFmtId="165"/>
    <xf fontId="1741" fillId="1738" borderId="1735" applyFont="1" applyFill="1" applyBorder="1" numFmtId="168"/>
    <xf fontId="1742" fillId="1739" borderId="1736" applyFont="1" applyFill="1" applyBorder="1" numFmtId="4"/>
    <xf fontId="1743" fillId="1740" borderId="1737" applyFont="1" applyFill="1" applyBorder="1" numFmtId="165"/>
    <xf fontId="1744" fillId="1741" borderId="1738" applyFont="1" applyFill="1" applyBorder="1" numFmtId="165"/>
    <xf fontId="1745" fillId="1742" borderId="1739" applyFont="1" applyFill="1" applyBorder="1" numFmtId="168"/>
    <xf fontId="1746" fillId="1743" borderId="1740" applyFont="1" applyFill="1" applyBorder="1" numFmtId="4"/>
    <xf fontId="1747" fillId="1744" borderId="1741" applyFont="1" applyFill="1" applyBorder="1" numFmtId="165"/>
    <xf fontId="1748" fillId="1745" borderId="1742" applyFont="1" applyFill="1" applyBorder="1" numFmtId="165"/>
    <xf fontId="1749" fillId="1746" borderId="1743" applyFont="1" applyFill="1" applyBorder="1" numFmtId="168"/>
    <xf fontId="1750" fillId="1747" borderId="1744" applyFont="1" applyFill="1" applyBorder="1" numFmtId="4"/>
    <xf fontId="1751" fillId="1748" borderId="1745" applyFont="1" applyFill="1" applyBorder="1" numFmtId="165"/>
    <xf fontId="1752" fillId="1749" borderId="1746" applyFont="1" applyFill="1" applyBorder="1" numFmtId="165"/>
    <xf fontId="1753" fillId="1750" borderId="1747" applyFont="1" applyFill="1" applyBorder="1" numFmtId="168"/>
    <xf fontId="1754" fillId="1751" borderId="1748" applyFont="1" applyFill="1" applyBorder="1" numFmtId="4"/>
    <xf fontId="1755" fillId="1752" borderId="1749" applyFont="1" applyFill="1" applyBorder="1" numFmtId="165"/>
    <xf fontId="1756" fillId="1753" borderId="1750" applyFont="1" applyFill="1" applyBorder="1" numFmtId="165"/>
    <xf fontId="1757" fillId="1754" borderId="1751" applyFont="1" applyFill="1" applyBorder="1" numFmtId="168"/>
    <xf fontId="1758" fillId="1755" borderId="1752" applyFont="1" applyFill="1" applyBorder="1" numFmtId="4"/>
    <xf fontId="1759" fillId="1756" borderId="1753" applyFont="1" applyFill="1" applyBorder="1" numFmtId="165"/>
    <xf fontId="1760" fillId="1757" borderId="1754" applyFont="1" applyFill="1" applyBorder="1" numFmtId="165"/>
    <xf fontId="1761" fillId="1758" borderId="1755" applyFont="1" applyFill="1" applyBorder="1" numFmtId="168"/>
    <xf fontId="1762" fillId="1759" borderId="1756" applyFont="1" applyFill="1" applyBorder="1" numFmtId="4"/>
    <xf fontId="1763" fillId="1760" borderId="1757" applyFont="1" applyFill="1" applyBorder="1" numFmtId="165"/>
    <xf fontId="1764" fillId="1761" borderId="1758" applyFont="1" applyFill="1" applyBorder="1" numFmtId="165"/>
    <xf fontId="1765" fillId="1762" borderId="1759" applyFont="1" applyFill="1" applyBorder="1" numFmtId="168"/>
    <xf fontId="1766" fillId="1763" borderId="1760" applyFont="1" applyFill="1" applyBorder="1" numFmtId="4"/>
    <xf fontId="1767" fillId="1764" borderId="1761" applyFont="1" applyFill="1" applyBorder="1" numFmtId="165"/>
    <xf fontId="1768" fillId="1765" borderId="1762" applyFont="1" applyFill="1" applyBorder="1" numFmtId="165"/>
    <xf fontId="1769" fillId="1766" borderId="1763" applyFont="1" applyFill="1" applyBorder="1" numFmtId="168"/>
    <xf fontId="1770" fillId="1767" borderId="1764" applyFont="1" applyFill="1" applyBorder="1" numFmtId="4"/>
    <xf fontId="1771" fillId="1768" borderId="1765" applyFont="1" applyFill="1" applyBorder="1" numFmtId="165"/>
    <xf fontId="1772" fillId="1769" borderId="1766" applyFont="1" applyFill="1" applyBorder="1" numFmtId="165"/>
    <xf fontId="1773" fillId="1770" borderId="1767" applyFont="1" applyFill="1" applyBorder="1" numFmtId="168"/>
    <xf fontId="1774" fillId="1771" borderId="1768" applyFont="1" applyFill="1" applyBorder="1" numFmtId="4"/>
    <xf fontId="1775" fillId="1772" borderId="1769" applyFont="1" applyFill="1" applyBorder="1" numFmtId="165"/>
    <xf fontId="1776" fillId="1773" borderId="1770" applyFont="1" applyFill="1" applyBorder="1" numFmtId="165"/>
    <xf fontId="1777" fillId="1774" borderId="1771" applyFont="1" applyFill="1" applyBorder="1" numFmtId="168"/>
    <xf fontId="1778" fillId="1775" borderId="1772" applyFont="1" applyFill="1" applyBorder="1" numFmtId="4"/>
    <xf fontId="1779" fillId="1776" borderId="1773" applyFont="1" applyFill="1" applyBorder="1" numFmtId="165"/>
    <xf fontId="1780" fillId="1777" borderId="1774" applyFont="1" applyFill="1" applyBorder="1" numFmtId="165"/>
    <xf fontId="1781" fillId="1778" borderId="1775" applyFont="1" applyFill="1" applyBorder="1" numFmtId="168"/>
    <xf fontId="1782" fillId="1779" borderId="1776" applyFont="1" applyFill="1" applyBorder="1" numFmtId="4"/>
    <xf fontId="1783" fillId="1780" borderId="1777" applyFont="1" applyFill="1" applyBorder="1" numFmtId="165"/>
    <xf fontId="1784" fillId="1781" borderId="1778" applyFont="1" applyFill="1" applyBorder="1" numFmtId="165"/>
    <xf fontId="1785" fillId="1782" borderId="1779" applyFont="1" applyFill="1" applyBorder="1" numFmtId="168"/>
    <xf fontId="1786" fillId="1783" borderId="1780" applyFont="1" applyFill="1" applyBorder="1" numFmtId="4"/>
    <xf fontId="1787" fillId="1784" borderId="1781" applyFont="1" applyFill="1" applyBorder="1" numFmtId="165"/>
    <xf fontId="1788" fillId="1785" borderId="1782" applyFont="1" applyFill="1" applyBorder="1" numFmtId="165"/>
    <xf fontId="1789" fillId="1786" borderId="1783" applyFont="1" applyFill="1" applyBorder="1" numFmtId="168"/>
    <xf fontId="1790" fillId="1787" borderId="1784" applyFont="1" applyFill="1" applyBorder="1" numFmtId="4"/>
    <xf fontId="1791" fillId="1788" borderId="1785" applyFont="1" applyFill="1" applyBorder="1" numFmtId="165"/>
    <xf fontId="1792" fillId="1789" borderId="1786" applyFont="1" applyFill="1" applyBorder="1" numFmtId="165"/>
    <xf fontId="1793" fillId="1790" borderId="1787" applyFont="1" applyFill="1" applyBorder="1" numFmtId="168"/>
    <xf fontId="1794" fillId="1791" borderId="1788" applyFont="1" applyFill="1" applyBorder="1" numFmtId="4"/>
    <xf fontId="1795" fillId="1792" borderId="1789" applyFont="1" applyFill="1" applyBorder="1" numFmtId="165"/>
    <xf fontId="1796" fillId="1793" borderId="1790" applyFont="1" applyFill="1" applyBorder="1" numFmtId="165"/>
    <xf fontId="1797" fillId="1794" borderId="1791" applyFont="1" applyFill="1" applyBorder="1" numFmtId="168"/>
    <xf fontId="1798" fillId="1795" borderId="1792" applyFont="1" applyFill="1" applyBorder="1" numFmtId="4"/>
    <xf fontId="1799" fillId="1796" borderId="1793" applyFont="1" applyFill="1" applyBorder="1" numFmtId="165"/>
    <xf fontId="1800" fillId="1797" borderId="1794" applyFont="1" applyFill="1" applyBorder="1" numFmtId="165"/>
    <xf fontId="1801" fillId="1798" borderId="1795" applyFont="1" applyFill="1" applyBorder="1" numFmtId="168"/>
    <xf fontId="1802" fillId="1799" borderId="1796" applyFont="1" applyFill="1" applyBorder="1" numFmtId="4"/>
    <xf fontId="1803" fillId="1800" borderId="1797" applyFont="1" applyFill="1" applyBorder="1" numFmtId="165"/>
    <xf fontId="1804" fillId="1801" borderId="1798" applyFont="1" applyFill="1" applyBorder="1" numFmtId="165"/>
    <xf fontId="1805" fillId="1802" borderId="1799" applyFont="1" applyFill="1" applyBorder="1" numFmtId="168"/>
    <xf fontId="1806" fillId="1803" borderId="1800" applyFont="1" applyFill="1" applyBorder="1" numFmtId="4"/>
    <xf fontId="1807" fillId="1804" borderId="1801" applyFont="1" applyFill="1" applyBorder="1" numFmtId="165"/>
    <xf fontId="1808" fillId="1805" borderId="1802" applyFont="1" applyFill="1" applyBorder="1" numFmtId="165"/>
    <xf fontId="1809" fillId="1806" borderId="1803" applyFont="1" applyFill="1" applyBorder="1" numFmtId="168"/>
    <xf fontId="1810" fillId="1807" borderId="1804" applyFont="1" applyFill="1" applyBorder="1" numFmtId="4"/>
    <xf fontId="1811" fillId="1808" borderId="1805" applyFont="1" applyFill="1" applyBorder="1" numFmtId="165"/>
    <xf fontId="1812" fillId="1809" borderId="1806" applyFont="1" applyFill="1" applyBorder="1" numFmtId="165"/>
    <xf fontId="1813" fillId="1810" borderId="1807" applyFont="1" applyFill="1" applyBorder="1" numFmtId="168"/>
    <xf fontId="1814" fillId="1811" borderId="1808" applyFont="1" applyFill="1" applyBorder="1" numFmtId="4"/>
    <xf fontId="1815" fillId="1812" borderId="1809" applyFont="1" applyFill="1" applyBorder="1" numFmtId="165"/>
    <xf fontId="1816" fillId="1813" borderId="1810" applyFont="1" applyFill="1" applyBorder="1" numFmtId="165"/>
    <xf fontId="1817" fillId="1814" borderId="1811" applyFont="1" applyFill="1" applyBorder="1" numFmtId="168"/>
    <xf fontId="1818" fillId="1815" borderId="1812" applyFont="1" applyFill="1" applyBorder="1" numFmtId="4"/>
    <xf fontId="1819" fillId="1816" borderId="1813" applyFont="1" applyFill="1" applyBorder="1" numFmtId="165"/>
    <xf fontId="1820" fillId="1817" borderId="1814" applyFont="1" applyFill="1" applyBorder="1" numFmtId="165"/>
    <xf fontId="1821" fillId="1818" borderId="1815" applyFont="1" applyFill="1" applyBorder="1" numFmtId="168"/>
    <xf fontId="1822" fillId="1819" borderId="1816" applyFont="1" applyFill="1" applyBorder="1" numFmtId="4"/>
    <xf fontId="1823" fillId="1820" borderId="1817" applyFont="1" applyFill="1" applyBorder="1" numFmtId="165"/>
    <xf fontId="1824" fillId="1821" borderId="1818" applyFont="1" applyFill="1" applyBorder="1" numFmtId="165"/>
    <xf fontId="1825" fillId="1822" borderId="1819" applyFont="1" applyFill="1" applyBorder="1" numFmtId="168"/>
    <xf fontId="1826" fillId="1823" borderId="1820" applyFont="1" applyFill="1" applyBorder="1" numFmtId="4"/>
    <xf fontId="1827" fillId="1824" borderId="1821" applyFont="1" applyFill="1" applyBorder="1" numFmtId="165"/>
    <xf fontId="1828" fillId="1825" borderId="1822" applyFont="1" applyFill="1" applyBorder="1" numFmtId="165"/>
    <xf fontId="1829" fillId="1826" borderId="1823" applyFont="1" applyFill="1" applyBorder="1" numFmtId="168"/>
    <xf fontId="1830" fillId="1827" borderId="1824" applyFont="1" applyFill="1" applyBorder="1" numFmtId="4"/>
    <xf fontId="1831" fillId="1828" borderId="1825" applyFont="1" applyFill="1" applyBorder="1" numFmtId="165"/>
    <xf fontId="1832" fillId="1829" borderId="1826" applyFont="1" applyFill="1" applyBorder="1" numFmtId="165"/>
    <xf fontId="1833" fillId="1830" borderId="1827" applyFont="1" applyFill="1" applyBorder="1" numFmtId="168"/>
    <xf fontId="1834" fillId="1831" borderId="1828" applyFont="1" applyFill="1" applyBorder="1" numFmtId="4"/>
    <xf fontId="1835" fillId="1832" borderId="1829" applyFont="1" applyFill="1" applyBorder="1" numFmtId="165"/>
    <xf fontId="1836" fillId="1833" borderId="1830" applyFont="1" applyFill="1" applyBorder="1" numFmtId="165"/>
    <xf fontId="1837" fillId="1834" borderId="1831" applyFont="1" applyFill="1" applyBorder="1" numFmtId="168"/>
    <xf fontId="1838" fillId="1835" borderId="1832" applyFont="1" applyFill="1" applyBorder="1" numFmtId="4"/>
    <xf fontId="1839" fillId="1836" borderId="1833" applyFont="1" applyFill="1" applyBorder="1" numFmtId="165"/>
    <xf fontId="1840" fillId="1837" borderId="1834" applyFont="1" applyFill="1" applyBorder="1" numFmtId="165"/>
    <xf fontId="1841" fillId="1838" borderId="1835" applyFont="1" applyFill="1" applyBorder="1" numFmtId="168"/>
    <xf fontId="1842" fillId="1839" borderId="1836" applyFont="1" applyFill="1" applyBorder="1" numFmtId="4"/>
    <xf fontId="1843" fillId="1840" borderId="1837" applyFont="1" applyFill="1" applyBorder="1" numFmtId="165"/>
    <xf fontId="1844" fillId="1841" borderId="1838" applyFont="1" applyFill="1" applyBorder="1" numFmtId="165"/>
    <xf fontId="1845" fillId="1842" borderId="1839" applyFont="1" applyFill="1" applyBorder="1" numFmtId="168"/>
    <xf fontId="1846" fillId="1843" borderId="1840" applyFont="1" applyFill="1" applyBorder="1" numFmtId="4"/>
    <xf fontId="1847" fillId="1844" borderId="1841" applyFont="1" applyFill="1" applyBorder="1" numFmtId="165"/>
    <xf fontId="1848" fillId="1845" borderId="1842" applyFont="1" applyFill="1" applyBorder="1" numFmtId="165"/>
    <xf fontId="1849" fillId="1846" borderId="1843" applyFont="1" applyFill="1" applyBorder="1" numFmtId="168"/>
    <xf fontId="1850" fillId="1847" borderId="1844" applyFont="1" applyFill="1" applyBorder="1" numFmtId="4"/>
    <xf fontId="1851" fillId="1848" borderId="1845" applyFont="1" applyFill="1" applyBorder="1" numFmtId="165"/>
    <xf fontId="1852" fillId="1849" borderId="1846" applyFont="1" applyFill="1" applyBorder="1" numFmtId="165"/>
    <xf fontId="1853" fillId="1850" borderId="1847" applyFont="1" applyFill="1" applyBorder="1" numFmtId="168"/>
    <xf fontId="1854" fillId="1851" borderId="1848" applyFont="1" applyFill="1" applyBorder="1" numFmtId="4"/>
    <xf fontId="1855" fillId="1852" borderId="1849" applyFont="1" applyFill="1" applyBorder="1" numFmtId="165"/>
    <xf fontId="1856" fillId="1853" borderId="1850" applyFont="1" applyFill="1" applyBorder="1" numFmtId="165"/>
    <xf fontId="1857" fillId="1854" borderId="1851" applyFont="1" applyFill="1" applyBorder="1" numFmtId="168"/>
    <xf fontId="1858" fillId="1855" borderId="1852" applyFont="1" applyFill="1" applyBorder="1" numFmtId="4"/>
    <xf fontId="1859" fillId="1856" borderId="1853" applyFont="1" applyFill="1" applyBorder="1" numFmtId="165"/>
    <xf fontId="1860" fillId="1857" borderId="1854" applyFont="1" applyFill="1" applyBorder="1" numFmtId="165"/>
    <xf fontId="1861" fillId="1858" borderId="1855" applyFont="1" applyFill="1" applyBorder="1" numFmtId="168"/>
    <xf fontId="1862" fillId="1859" borderId="1856" applyFont="1" applyFill="1" applyBorder="1" numFmtId="4"/>
    <xf fontId="1863" fillId="1860" borderId="1857" applyFont="1" applyFill="1" applyBorder="1" numFmtId="165"/>
    <xf fontId="1864" fillId="1861" borderId="1858" applyFont="1" applyFill="1" applyBorder="1" numFmtId="165"/>
    <xf fontId="1865" fillId="1862" borderId="1859" applyFont="1" applyFill="1" applyBorder="1" numFmtId="168"/>
    <xf fontId="1866" fillId="1863" borderId="1860" applyFont="1" applyFill="1" applyBorder="1" numFmtId="4"/>
    <xf fontId="1867" fillId="1864" borderId="1861" applyFont="1" applyFill="1" applyBorder="1" numFmtId="165"/>
    <xf fontId="1868" fillId="1865" borderId="1862" applyFont="1" applyFill="1" applyBorder="1" numFmtId="165"/>
    <xf fontId="1869" fillId="1866" borderId="1863" applyFont="1" applyFill="1" applyBorder="1" numFmtId="168"/>
    <xf fontId="1870" fillId="1867" borderId="1864" applyFont="1" applyFill="1" applyBorder="1" numFmtId="4"/>
    <xf fontId="1871" fillId="1868" borderId="1865" applyFont="1" applyFill="1" applyBorder="1" numFmtId="165"/>
    <xf fontId="1872" fillId="1869" borderId="1866" applyFont="1" applyFill="1" applyBorder="1" numFmtId="165"/>
    <xf fontId="1873" fillId="1870" borderId="1867" applyFont="1" applyFill="1" applyBorder="1" numFmtId="168"/>
    <xf fontId="1874" fillId="1871" borderId="1868" applyFont="1" applyFill="1" applyBorder="1" numFmtId="4"/>
    <xf fontId="1875" fillId="1872" borderId="1869" applyFont="1" applyFill="1" applyBorder="1" numFmtId="165"/>
    <xf fontId="1876" fillId="1873" borderId="1870" applyFont="1" applyFill="1" applyBorder="1" numFmtId="165"/>
    <xf fontId="1877" fillId="1874" borderId="1871" applyFont="1" applyFill="1" applyBorder="1" numFmtId="168"/>
    <xf fontId="1878" fillId="1875" borderId="1872" applyFont="1" applyFill="1" applyBorder="1" numFmtId="4"/>
    <xf fontId="1879" fillId="1876" borderId="1873" applyFont="1" applyFill="1" applyBorder="1" numFmtId="165"/>
    <xf fontId="1880" fillId="1877" borderId="1874" applyFont="1" applyFill="1" applyBorder="1" numFmtId="165"/>
    <xf fontId="1881" fillId="1878" borderId="1875" applyFont="1" applyFill="1" applyBorder="1" numFmtId="168"/>
    <xf fontId="1882" fillId="1879" borderId="1876" applyFont="1" applyFill="1" applyBorder="1" numFmtId="4"/>
    <xf fontId="1883" fillId="1880" borderId="1877" applyFont="1" applyFill="1" applyBorder="1" numFmtId="165"/>
    <xf fontId="1884" fillId="1881" borderId="1878" applyFont="1" applyFill="1" applyBorder="1" numFmtId="165"/>
    <xf fontId="1885" fillId="1882" borderId="1879" applyFont="1" applyFill="1" applyBorder="1" numFmtId="168"/>
    <xf fontId="1886" fillId="1883" borderId="1880" applyFont="1" applyFill="1" applyBorder="1" numFmtId="4"/>
    <xf fontId="1887" fillId="1884" borderId="1881" applyFont="1" applyFill="1" applyBorder="1" numFmtId="165"/>
    <xf fontId="1888" fillId="1885" borderId="1882" applyFont="1" applyFill="1" applyBorder="1" numFmtId="165"/>
    <xf fontId="1889" fillId="1886" borderId="1883" applyFont="1" applyFill="1" applyBorder="1" numFmtId="168"/>
    <xf fontId="1890" fillId="1887" borderId="1884" applyFont="1" applyFill="1" applyBorder="1" numFmtId="4"/>
    <xf fontId="1891" fillId="1888" borderId="1885" applyFont="1" applyFill="1" applyBorder="1" numFmtId="165"/>
    <xf fontId="1892" fillId="1889" borderId="1886" applyFont="1" applyFill="1" applyBorder="1" numFmtId="165"/>
    <xf fontId="1893" fillId="1890" borderId="1887" applyFont="1" applyFill="1" applyBorder="1" numFmtId="168"/>
    <xf fontId="1894" fillId="1891" borderId="1888" applyFont="1" applyFill="1" applyBorder="1" numFmtId="4"/>
    <xf fontId="1895" fillId="1892" borderId="1889" applyFont="1" applyFill="1" applyBorder="1" numFmtId="165"/>
    <xf fontId="1896" fillId="1893" borderId="1890" applyFont="1" applyFill="1" applyBorder="1" numFmtId="165"/>
    <xf fontId="1897" fillId="1894" borderId="1891" applyFont="1" applyFill="1" applyBorder="1" numFmtId="168"/>
    <xf fontId="1898" fillId="1895" borderId="1892" applyFont="1" applyFill="1" applyBorder="1" numFmtId="4"/>
    <xf fontId="1899" fillId="1896" borderId="1893" applyFont="1" applyFill="1" applyBorder="1" numFmtId="165"/>
    <xf fontId="1900" fillId="1897" borderId="1894" applyFont="1" applyFill="1" applyBorder="1" numFmtId="165"/>
    <xf fontId="1901" fillId="1898" borderId="1895" applyFont="1" applyFill="1" applyBorder="1" numFmtId="168"/>
    <xf fontId="1902" fillId="1899" borderId="1896" applyFont="1" applyFill="1" applyBorder="1" numFmtId="4"/>
    <xf fontId="1903" fillId="1900" borderId="1897" applyFont="1" applyFill="1" applyBorder="1" numFmtId="165"/>
    <xf fontId="1904" fillId="1901" borderId="1898" applyFont="1" applyFill="1" applyBorder="1" numFmtId="165"/>
    <xf fontId="1905" fillId="1902" borderId="1899" applyFont="1" applyFill="1" applyBorder="1" numFmtId="168"/>
    <xf fontId="1906" fillId="1903" borderId="1900" applyFont="1" applyFill="1" applyBorder="1" numFmtId="4"/>
    <xf fontId="1907" fillId="1904" borderId="1901" applyFont="1" applyFill="1" applyBorder="1" numFmtId="165"/>
    <xf fontId="1908" fillId="1905" borderId="1902" applyFont="1" applyFill="1" applyBorder="1" numFmtId="165"/>
    <xf fontId="1909" fillId="1906" borderId="1903" applyFont="1" applyFill="1" applyBorder="1" numFmtId="168"/>
    <xf fontId="1910" fillId="1907" borderId="1904" applyFont="1" applyFill="1" applyBorder="1" numFmtId="4"/>
    <xf fontId="1911" fillId="1908" borderId="1905" applyFont="1" applyFill="1" applyBorder="1" numFmtId="165"/>
    <xf fontId="1912" fillId="1909" borderId="1906" applyFont="1" applyFill="1" applyBorder="1" numFmtId="165"/>
    <xf fontId="1913" fillId="1910" borderId="1907" applyFont="1" applyFill="1" applyBorder="1" numFmtId="168"/>
    <xf fontId="1914" fillId="1911" borderId="1908" applyFont="1" applyFill="1" applyBorder="1" numFmtId="4"/>
    <xf fontId="1915" fillId="1912" borderId="1909" applyFont="1" applyFill="1" applyBorder="1" numFmtId="165"/>
    <xf fontId="1916" fillId="1913" borderId="1910" applyFont="1" applyFill="1" applyBorder="1" numFmtId="165"/>
    <xf fontId="1917" fillId="1914" borderId="1911" applyFont="1" applyFill="1" applyBorder="1" numFmtId="168"/>
    <xf fontId="1918" fillId="1915" borderId="1912" applyFont="1" applyFill="1" applyBorder="1" numFmtId="4"/>
    <xf fontId="1919" fillId="1916" borderId="1913" applyFont="1" applyFill="1" applyBorder="1" numFmtId="165"/>
    <xf fontId="1920" fillId="1917" borderId="1914" applyFont="1" applyFill="1" applyBorder="1" numFmtId="165"/>
    <xf fontId="1921" fillId="1918" borderId="1915" applyFont="1" applyFill="1" applyBorder="1" numFmtId="168"/>
    <xf fontId="1922" fillId="1919" borderId="1916" applyFont="1" applyFill="1" applyBorder="1" numFmtId="4"/>
    <xf fontId="1923" fillId="1920" borderId="1917" applyFont="1" applyFill="1" applyBorder="1" numFmtId="165"/>
    <xf fontId="1924" fillId="1921" borderId="1918" applyFont="1" applyFill="1" applyBorder="1" numFmtId="165"/>
    <xf fontId="1925" fillId="1922" borderId="1919" applyFont="1" applyFill="1" applyBorder="1" numFmtId="168"/>
    <xf fontId="1926" fillId="1923" borderId="1920" applyFont="1" applyFill="1" applyBorder="1" numFmtId="4"/>
    <xf fontId="1927" fillId="1924" borderId="1921" applyFont="1" applyFill="1" applyBorder="1" numFmtId="165"/>
    <xf fontId="1928" fillId="1925" borderId="1922" applyFont="1" applyFill="1" applyBorder="1" numFmtId="165"/>
    <xf fontId="1929" fillId="1926" borderId="1923" applyFont="1" applyFill="1" applyBorder="1" numFmtId="168"/>
    <xf fontId="1930" fillId="1927" borderId="1924" applyFont="1" applyFill="1" applyBorder="1" numFmtId="4"/>
    <xf fontId="1931" fillId="1928" borderId="1925" applyFont="1" applyFill="1" applyBorder="1" numFmtId="165"/>
    <xf fontId="1932" fillId="1929" borderId="1926" applyFont="1" applyFill="1" applyBorder="1" numFmtId="165"/>
    <xf fontId="1933" fillId="1930" borderId="1927" applyFont="1" applyFill="1" applyBorder="1" numFmtId="168"/>
    <xf fontId="1934" fillId="1931" borderId="1928" applyFont="1" applyFill="1" applyBorder="1" numFmtId="4"/>
    <xf fontId="1935" fillId="1932" borderId="1929" applyFont="1" applyFill="1" applyBorder="1" numFmtId="165"/>
    <xf fontId="1936" fillId="1933" borderId="1930" applyFont="1" applyFill="1" applyBorder="1" numFmtId="165"/>
    <xf fontId="1937" fillId="1934" borderId="1931" applyFont="1" applyFill="1" applyBorder="1" numFmtId="168"/>
    <xf fontId="1938" fillId="1935" borderId="1932" applyFont="1" applyFill="1" applyBorder="1" numFmtId="4"/>
    <xf fontId="1939" fillId="1936" borderId="1933" applyFont="1" applyFill="1" applyBorder="1" numFmtId="165"/>
    <xf fontId="1940" fillId="1937" borderId="1934" applyFont="1" applyFill="1" applyBorder="1" numFmtId="165"/>
    <xf fontId="1941" fillId="1938" borderId="1935" applyFont="1" applyFill="1" applyBorder="1" numFmtId="168"/>
    <xf fontId="1942" fillId="1939" borderId="1936" applyFont="1" applyFill="1" applyBorder="1" numFmtId="4"/>
    <xf fontId="1943" fillId="1940" borderId="1937" applyFont="1" applyFill="1" applyBorder="1" numFmtId="165"/>
    <xf fontId="1944" fillId="1941" borderId="1938" applyFont="1" applyFill="1" applyBorder="1" numFmtId="165"/>
    <xf fontId="1945" fillId="1942" borderId="1939" applyFont="1" applyFill="1" applyBorder="1" numFmtId="168"/>
    <xf fontId="1946" fillId="1943" borderId="1940" applyFont="1" applyFill="1" applyBorder="1" numFmtId="4"/>
    <xf fontId="1947" fillId="1944" borderId="1941" applyFont="1" applyFill="1" applyBorder="1" numFmtId="165"/>
    <xf fontId="1948" fillId="1945" borderId="1942" applyFont="1" applyFill="1" applyBorder="1" numFmtId="165"/>
    <xf fontId="1949" fillId="1946" borderId="1943" applyFont="1" applyFill="1" applyBorder="1" numFmtId="168"/>
    <xf fontId="1950" fillId="1947" borderId="1944" applyFont="1" applyFill="1" applyBorder="1" numFmtId="4"/>
    <xf fontId="1951" fillId="1948" borderId="1945" applyFont="1" applyFill="1" applyBorder="1" numFmtId="165"/>
    <xf fontId="1952" fillId="1949" borderId="1946" applyFont="1" applyFill="1" applyBorder="1" numFmtId="165"/>
    <xf fontId="1953" fillId="1950" borderId="1947" applyFont="1" applyFill="1" applyBorder="1" numFmtId="168"/>
    <xf fontId="1954" fillId="1951" borderId="1948" applyFont="1" applyFill="1" applyBorder="1" numFmtId="4"/>
    <xf fontId="1955" fillId="1952" borderId="1949" applyFont="1" applyFill="1" applyBorder="1" numFmtId="165"/>
    <xf fontId="1956" fillId="1953" borderId="1950" applyFont="1" applyFill="1" applyBorder="1" numFmtId="165"/>
    <xf fontId="1957" fillId="1954" borderId="1951" applyFont="1" applyFill="1" applyBorder="1" numFmtId="168"/>
    <xf fontId="1958" fillId="1955" borderId="1952" applyFont="1" applyFill="1" applyBorder="1" numFmtId="4"/>
    <xf fontId="1959" fillId="1956" borderId="1953" applyFont="1" applyFill="1" applyBorder="1" numFmtId="165"/>
    <xf fontId="1960" fillId="1957" borderId="1954" applyFont="1" applyFill="1" applyBorder="1" numFmtId="165"/>
    <xf fontId="1961" fillId="1958" borderId="1955" applyFont="1" applyFill="1" applyBorder="1" numFmtId="168"/>
    <xf fontId="1962" fillId="1959" borderId="1956" applyFont="1" applyFill="1" applyBorder="1" numFmtId="4"/>
    <xf fontId="1963" fillId="1960" borderId="1957" applyFont="1" applyFill="1" applyBorder="1" numFmtId="165"/>
    <xf fontId="1964" fillId="1961" borderId="1958" applyFont="1" applyFill="1" applyBorder="1" numFmtId="165"/>
    <xf fontId="1965" fillId="1962" borderId="1959" applyFont="1" applyFill="1" applyBorder="1" numFmtId="168"/>
    <xf fontId="1966" fillId="1963" borderId="1960" applyFont="1" applyFill="1" applyBorder="1" numFmtId="4"/>
    <xf fontId="1967" fillId="1964" borderId="1961" applyFont="1" applyFill="1" applyBorder="1" numFmtId="165"/>
    <xf fontId="1968" fillId="1965" borderId="1962" applyFont="1" applyFill="1" applyBorder="1" numFmtId="165"/>
    <xf fontId="1969" fillId="1966" borderId="1963" applyFont="1" applyFill="1" applyBorder="1" numFmtId="168"/>
    <xf fontId="1970" fillId="1967" borderId="1964" applyFont="1" applyFill="1" applyBorder="1" numFmtId="4"/>
    <xf fontId="1971" fillId="1968" borderId="1965" applyFont="1" applyFill="1" applyBorder="1" numFmtId="165"/>
    <xf fontId="1972" fillId="1969" borderId="1966" applyFont="1" applyFill="1" applyBorder="1" numFmtId="165"/>
    <xf fontId="1973" fillId="1970" borderId="1967" applyFont="1" applyFill="1" applyBorder="1" numFmtId="168"/>
    <xf fontId="1974" fillId="1971" borderId="1968" applyFont="1" applyFill="1" applyBorder="1" numFmtId="4"/>
    <xf fontId="1975" fillId="1972" borderId="1969" applyFont="1" applyFill="1" applyBorder="1" numFmtId="165"/>
    <xf fontId="1976" fillId="1973" borderId="1970" applyFont="1" applyFill="1" applyBorder="1" numFmtId="165"/>
    <xf fontId="1977" fillId="1974" borderId="1971" applyFont="1" applyFill="1" applyBorder="1" numFmtId="168"/>
    <xf fontId="1978" fillId="1975" borderId="1972" applyFont="1" applyFill="1" applyBorder="1" numFmtId="4"/>
    <xf fontId="1979" fillId="1976" borderId="1973" applyFont="1" applyFill="1" applyBorder="1" numFmtId="165"/>
    <xf fontId="1980" fillId="1977" borderId="1974" applyFont="1" applyFill="1" applyBorder="1" numFmtId="165"/>
    <xf fontId="1981" fillId="1978" borderId="1975" applyFont="1" applyFill="1" applyBorder="1" numFmtId="168"/>
    <xf fontId="1982" fillId="1979" borderId="1976" applyFont="1" applyFill="1" applyBorder="1" numFmtId="4"/>
    <xf fontId="1983" fillId="1980" borderId="1977" applyFont="1" applyFill="1" applyBorder="1" numFmtId="165"/>
    <xf fontId="1984" fillId="1981" borderId="1978" applyFont="1" applyFill="1" applyBorder="1" numFmtId="165"/>
    <xf fontId="1985" fillId="1982" borderId="1979" applyFont="1" applyFill="1" applyBorder="1" numFmtId="168"/>
    <xf fontId="1986" fillId="1983" borderId="1980" applyFont="1" applyFill="1" applyBorder="1" numFmtId="4"/>
    <xf fontId="1987" fillId="1984" borderId="1981" applyFont="1" applyFill="1" applyBorder="1" numFmtId="165"/>
    <xf fontId="1988" fillId="1985" borderId="1982" applyFont="1" applyFill="1" applyBorder="1" numFmtId="165"/>
    <xf fontId="1989" fillId="1986" borderId="1983" applyFont="1" applyFill="1" applyBorder="1" numFmtId="168"/>
    <xf fontId="1990" fillId="1987" borderId="1984" applyFont="1" applyFill="1" applyBorder="1" numFmtId="4"/>
    <xf fontId="1991" fillId="1988" borderId="1985" applyFont="1" applyFill="1" applyBorder="1" numFmtId="165"/>
    <xf fontId="1992" fillId="1989" borderId="1986" applyFont="1" applyFill="1" applyBorder="1" numFmtId="165"/>
    <xf fontId="1993" fillId="1990" borderId="1987" applyFont="1" applyFill="1" applyBorder="1" numFmtId="168"/>
    <xf fontId="1994" fillId="1991" borderId="1988" applyFont="1" applyFill="1" applyBorder="1" numFmtId="4"/>
    <xf fontId="1995" fillId="1992" borderId="1989" applyFont="1" applyFill="1" applyBorder="1" numFmtId="165"/>
    <xf fontId="1996" fillId="1993" borderId="1990" applyFont="1" applyFill="1" applyBorder="1" numFmtId="165"/>
    <xf fontId="1997" fillId="1994" borderId="1991" applyFont="1" applyFill="1" applyBorder="1" numFmtId="168"/>
    <xf fontId="1998" fillId="1995" borderId="1992" applyFont="1" applyFill="1" applyBorder="1" numFmtId="4"/>
    <xf fontId="1999" fillId="1996" borderId="1993" applyFont="1" applyFill="1" applyBorder="1" numFmtId="165"/>
    <xf fontId="2000" fillId="1997" borderId="1994" applyFont="1" applyFill="1" applyBorder="1" numFmtId="165"/>
    <xf fontId="2001" fillId="1998" borderId="1995" applyFont="1" applyFill="1" applyBorder="1" numFmtId="168"/>
    <xf fontId="2002" fillId="1999" borderId="1996" applyFont="1" applyFill="1" applyBorder="1" numFmtId="4"/>
    <xf fontId="2003" fillId="2000" borderId="1997" applyFont="1" applyFill="1" applyBorder="1" numFmtId="165"/>
    <xf fontId="2004" fillId="2001" borderId="1998" applyFont="1" applyFill="1" applyBorder="1" numFmtId="165"/>
    <xf fontId="2005" fillId="2002" borderId="1999" applyFont="1" applyFill="1" applyBorder="1" numFmtId="168"/>
    <xf fontId="2006" fillId="2003" borderId="2000" applyFont="1" applyFill="1" applyBorder="1" numFmtId="4"/>
    <xf fontId="2007" fillId="2004" borderId="2001" applyFont="1" applyFill="1" applyBorder="1" numFmtId="165"/>
    <xf fontId="2008" fillId="2005" borderId="2002" applyFont="1" applyFill="1" applyBorder="1" numFmtId="165"/>
    <xf fontId="2009" fillId="2006" borderId="2003" applyFont="1" applyFill="1" applyBorder="1" numFmtId="168"/>
    <xf fontId="2010" fillId="2007" borderId="2004" applyFont="1" applyFill="1" applyBorder="1" numFmtId="4"/>
    <xf fontId="2011" fillId="2008" borderId="2005" applyFont="1" applyFill="1" applyBorder="1" numFmtId="165"/>
    <xf fontId="2012" fillId="2009" borderId="2006" applyFont="1" applyFill="1" applyBorder="1" numFmtId="165"/>
    <xf fontId="2013" fillId="2010" borderId="2007" applyFont="1" applyFill="1" applyBorder="1" numFmtId="168"/>
    <xf fontId="2014" fillId="2011" borderId="2008" applyFont="1" applyFill="1" applyBorder="1" numFmtId="4"/>
    <xf fontId="2015" fillId="2012" borderId="2009" applyFont="1" applyFill="1" applyBorder="1" numFmtId="165"/>
    <xf fontId="2016" fillId="2013" borderId="2010" applyFont="1" applyFill="1" applyBorder="1" numFmtId="165"/>
    <xf fontId="2017" fillId="2014" borderId="2011" applyFont="1" applyFill="1" applyBorder="1" numFmtId="168"/>
    <xf fontId="2018" fillId="2015" borderId="2012" applyFont="1" applyFill="1" applyBorder="1" numFmtId="4"/>
    <xf fontId="2019" fillId="2016" borderId="2013" applyFont="1" applyFill="1" applyBorder="1" numFmtId="165"/>
    <xf fontId="2020" fillId="2017" borderId="2014" applyFont="1" applyFill="1" applyBorder="1" numFmtId="165"/>
    <xf fontId="2021" fillId="2018" borderId="2015" applyFont="1" applyFill="1" applyBorder="1" numFmtId="168"/>
    <xf fontId="2022" fillId="2019" borderId="2016" applyFont="1" applyFill="1" applyBorder="1" numFmtId="4"/>
    <xf fontId="2023" fillId="2020" borderId="2017" applyFont="1" applyFill="1" applyBorder="1" numFmtId="165"/>
    <xf fontId="2024" fillId="2021" borderId="2018" applyFont="1" applyFill="1" applyBorder="1" numFmtId="165"/>
    <xf fontId="2025" fillId="2022" borderId="2019" applyFont="1" applyFill="1" applyBorder="1" numFmtId="168"/>
    <xf fontId="2026" fillId="2023" borderId="2020" applyFont="1" applyFill="1" applyBorder="1" numFmtId="4"/>
    <xf fontId="2027" fillId="2024" borderId="2021" applyFont="1" applyFill="1" applyBorder="1" numFmtId="165"/>
    <xf fontId="2028" fillId="2025" borderId="2022" applyFont="1" applyFill="1" applyBorder="1" numFmtId="165"/>
    <xf fontId="2029" fillId="2026" borderId="2023" applyFont="1" applyFill="1" applyBorder="1" numFmtId="168"/>
    <xf fontId="2030" fillId="2027" borderId="2024" applyFont="1" applyFill="1" applyBorder="1" numFmtId="4"/>
    <xf fontId="2031" fillId="2028" borderId="2025" applyFont="1" applyFill="1" applyBorder="1" numFmtId="165"/>
    <xf fontId="2032" fillId="2029" borderId="2026" applyFont="1" applyFill="1" applyBorder="1" numFmtId="165"/>
    <xf fontId="2033" fillId="2030" borderId="2027" applyFont="1" applyFill="1" applyBorder="1" numFmtId="168"/>
    <xf fontId="2034" fillId="2031" borderId="2028" applyFont="1" applyFill="1" applyBorder="1" numFmtId="4"/>
    <xf fontId="2035" fillId="2032" borderId="2029" applyFont="1" applyFill="1" applyBorder="1" numFmtId="165"/>
    <xf fontId="2036" fillId="2033" borderId="2030" applyFont="1" applyFill="1" applyBorder="1" numFmtId="165"/>
    <xf fontId="2037" fillId="2034" borderId="2031" applyFont="1" applyFill="1" applyBorder="1" numFmtId="168"/>
    <xf fontId="2038" fillId="2035" borderId="2032" applyFont="1" applyFill="1" applyBorder="1" numFmtId="4"/>
    <xf fontId="2039" fillId="2036" borderId="2033" applyFont="1" applyFill="1" applyBorder="1" numFmtId="165"/>
    <xf fontId="2040" fillId="2037" borderId="2034" applyFont="1" applyFill="1" applyBorder="1" numFmtId="165"/>
    <xf fontId="2041" fillId="2038" borderId="2035" applyFont="1" applyFill="1" applyBorder="1" numFmtId="168"/>
    <xf fontId="2042" fillId="2039" borderId="2036" applyFont="1" applyFill="1" applyBorder="1" numFmtId="4"/>
    <xf fontId="2043" fillId="2040" borderId="2037" applyFont="1" applyFill="1" applyBorder="1" numFmtId="165"/>
    <xf fontId="2044" fillId="2041" borderId="2038" applyFont="1" applyFill="1" applyBorder="1" numFmtId="165"/>
    <xf fontId="2045" fillId="2042" borderId="2039" applyFont="1" applyFill="1" applyBorder="1" numFmtId="168"/>
    <xf fontId="2046" fillId="2043" borderId="2040" applyFont="1" applyFill="1" applyBorder="1" numFmtId="4"/>
    <xf fontId="2047" fillId="2044" borderId="2041" applyFont="1" applyFill="1" applyBorder="1" numFmtId="165"/>
    <xf fontId="2048" fillId="2045" borderId="2042" applyFont="1" applyFill="1" applyBorder="1" numFmtId="165"/>
    <xf fontId="2049" fillId="2046" borderId="2043" applyFont="1" applyFill="1" applyBorder="1" numFmtId="168"/>
    <xf fontId="2050" fillId="2047" borderId="2044" applyFont="1" applyFill="1" applyBorder="1" numFmtId="4"/>
    <xf fontId="2051" fillId="2048" borderId="2045" applyFont="1" applyFill="1" applyBorder="1" numFmtId="165"/>
    <xf fontId="2052" fillId="2049" borderId="2046" applyFont="1" applyFill="1" applyBorder="1" numFmtId="165"/>
    <xf fontId="2053" fillId="2050" borderId="2047" applyFont="1" applyFill="1" applyBorder="1" numFmtId="168"/>
    <xf fontId="2054" fillId="2051" borderId="2048" applyFont="1" applyFill="1" applyBorder="1" numFmtId="4"/>
    <xf fontId="2055" fillId="2052" borderId="2049" applyFont="1" applyFill="1" applyBorder="1" numFmtId="165"/>
    <xf fontId="2056" fillId="2053" borderId="2050" applyFont="1" applyFill="1" applyBorder="1" numFmtId="165"/>
    <xf fontId="2057" fillId="2054" borderId="2051" applyFont="1" applyFill="1" applyBorder="1" numFmtId="168"/>
    <xf fontId="2058" fillId="2055" borderId="2052" applyFont="1" applyFill="1" applyBorder="1" numFmtId="4"/>
    <xf fontId="2059" fillId="2056" borderId="2053" applyFont="1" applyFill="1" applyBorder="1" numFmtId="165"/>
    <xf fontId="2060" fillId="2057" borderId="2054" applyFont="1" applyFill="1" applyBorder="1" numFmtId="165"/>
    <xf fontId="2061" fillId="2058" borderId="2055" applyFont="1" applyFill="1" applyBorder="1" numFmtId="168"/>
    <xf fontId="2062" fillId="2059" borderId="2056" applyFont="1" applyFill="1" applyBorder="1" numFmtId="4"/>
    <xf fontId="2063" fillId="2060" borderId="2057" applyFont="1" applyFill="1" applyBorder="1" numFmtId="165"/>
    <xf fontId="2064" fillId="2061" borderId="2058" applyFont="1" applyFill="1" applyBorder="1" numFmtId="165"/>
    <xf fontId="2065" fillId="2062" borderId="2059" applyFont="1" applyFill="1" applyBorder="1" numFmtId="168"/>
    <xf fontId="2066" fillId="2063" borderId="2060" applyFont="1" applyFill="1" applyBorder="1" numFmtId="4"/>
    <xf fontId="2067" fillId="2064" borderId="2061" applyFont="1" applyFill="1" applyBorder="1" numFmtId="165"/>
    <xf fontId="2068" fillId="2065" borderId="2062" applyFont="1" applyFill="1" applyBorder="1" numFmtId="165"/>
    <xf fontId="2069" fillId="2066" borderId="2063" applyFont="1" applyFill="1" applyBorder="1" numFmtId="168"/>
    <xf fontId="2070" fillId="2067" borderId="2064" applyFont="1" applyFill="1" applyBorder="1" numFmtId="4"/>
    <xf fontId="2071" fillId="2068" borderId="2065" applyFont="1" applyFill="1" applyBorder="1" numFmtId="165"/>
    <xf fontId="2072" fillId="2069" borderId="2066" applyFont="1" applyFill="1" applyBorder="1" numFmtId="165"/>
    <xf fontId="2073" fillId="2070" borderId="2067" applyFont="1" applyFill="1" applyBorder="1" numFmtId="168"/>
    <xf fontId="2074" fillId="2071" borderId="2068" applyFont="1" applyFill="1" applyBorder="1" numFmtId="4"/>
    <xf fontId="2075" fillId="2072" borderId="2069" applyFont="1" applyFill="1" applyBorder="1" numFmtId="165"/>
    <xf fontId="2076" fillId="2073" borderId="2070" applyFont="1" applyFill="1" applyBorder="1" numFmtId="165"/>
    <xf fontId="2077" fillId="2074" borderId="2071" applyFont="1" applyFill="1" applyBorder="1" numFmtId="168"/>
    <xf fontId="2078" fillId="2075" borderId="2072" applyFont="1" applyFill="1" applyBorder="1" numFmtId="4"/>
    <xf fontId="2079" fillId="2076" borderId="2073" applyFont="1" applyFill="1" applyBorder="1" numFmtId="165"/>
    <xf fontId="2080" fillId="2077" borderId="2074" applyFont="1" applyFill="1" applyBorder="1" numFmtId="165"/>
    <xf fontId="2081" fillId="2078" borderId="2075" applyFont="1" applyFill="1" applyBorder="1" numFmtId="168"/>
    <xf fontId="2082" fillId="2079" borderId="2076" applyFont="1" applyFill="1" applyBorder="1" numFmtId="4"/>
    <xf fontId="2083" fillId="2080" borderId="2077" applyFont="1" applyFill="1" applyBorder="1" numFmtId="165"/>
    <xf fontId="2084" fillId="2081" borderId="2078" applyFont="1" applyFill="1" applyBorder="1" numFmtId="165"/>
    <xf fontId="2085" fillId="2082" borderId="2079" applyFont="1" applyFill="1" applyBorder="1" numFmtId="168"/>
    <xf fontId="2086" fillId="2083" borderId="2080" applyFont="1" applyFill="1" applyBorder="1" numFmtId="4"/>
    <xf fontId="2087" fillId="2084" borderId="2081" applyFont="1" applyFill="1" applyBorder="1" numFmtId="165"/>
    <xf fontId="2088" fillId="2085" borderId="2082" applyFont="1" applyFill="1" applyBorder="1" numFmtId="165"/>
    <xf fontId="2089" fillId="2086" borderId="2083" applyFont="1" applyFill="1" applyBorder="1" numFmtId="168"/>
    <xf fontId="2090" fillId="2087" borderId="2084" applyFont="1" applyFill="1" applyBorder="1" numFmtId="4"/>
    <xf fontId="2091" fillId="2088" borderId="2085" applyFont="1" applyFill="1" applyBorder="1" numFmtId="165"/>
    <xf fontId="2092" fillId="2089" borderId="2086" applyFont="1" applyFill="1" applyBorder="1" numFmtId="165"/>
    <xf fontId="2093" fillId="2090" borderId="2087" applyFont="1" applyFill="1" applyBorder="1" numFmtId="168"/>
    <xf fontId="2094" fillId="2091" borderId="2088" applyFont="1" applyFill="1" applyBorder="1" numFmtId="4"/>
    <xf fontId="2095" fillId="2092" borderId="2089" applyFont="1" applyFill="1" applyBorder="1" numFmtId="165"/>
    <xf fontId="2096" fillId="2093" borderId="2090" applyFont="1" applyFill="1" applyBorder="1" numFmtId="165"/>
    <xf fontId="2097" fillId="2094" borderId="2091" applyFont="1" applyFill="1" applyBorder="1" numFmtId="168"/>
    <xf fontId="2098" fillId="2095" borderId="2092" applyFont="1" applyFill="1" applyBorder="1" numFmtId="4"/>
    <xf fontId="2099" fillId="2096" borderId="2093" applyFont="1" applyFill="1" applyBorder="1" numFmtId="165"/>
    <xf fontId="2100" fillId="2097" borderId="2094" applyFont="1" applyFill="1" applyBorder="1" numFmtId="165"/>
    <xf fontId="2101" fillId="2098" borderId="2095" applyFont="1" applyFill="1" applyBorder="1" numFmtId="168"/>
    <xf fontId="2102" fillId="2099" borderId="2096" applyFont="1" applyFill="1" applyBorder="1" numFmtId="4"/>
    <xf fontId="2103" fillId="2100" borderId="2097" applyFont="1" applyFill="1" applyBorder="1" numFmtId="165"/>
    <xf fontId="2104" fillId="2101" borderId="2098" applyFont="1" applyFill="1" applyBorder="1" numFmtId="165"/>
    <xf fontId="2105" fillId="2102" borderId="2099" applyFont="1" applyFill="1" applyBorder="1" numFmtId="168"/>
    <xf fontId="2106" fillId="2103" borderId="2100" applyFont="1" applyFill="1" applyBorder="1" numFmtId="4"/>
    <xf fontId="2107" fillId="2104" borderId="2101" applyFont="1" applyFill="1" applyBorder="1" numFmtId="165"/>
    <xf fontId="2108" fillId="2105" borderId="2102" applyFont="1" applyFill="1" applyBorder="1" numFmtId="165"/>
    <xf fontId="2109" fillId="2106" borderId="2103" applyFont="1" applyFill="1" applyBorder="1" numFmtId="168"/>
    <xf fontId="2110" fillId="2107" borderId="2104" applyFont="1" applyFill="1" applyBorder="1" numFmtId="4"/>
    <xf fontId="2111" fillId="2108" borderId="2105" applyFont="1" applyFill="1" applyBorder="1" numFmtId="165"/>
    <xf fontId="2112" fillId="2109" borderId="2106" applyFont="1" applyFill="1" applyBorder="1" numFmtId="165"/>
    <xf fontId="2113" fillId="2110" borderId="2107" applyFont="1" applyFill="1" applyBorder="1" numFmtId="168"/>
    <xf fontId="2114" fillId="2111" borderId="2108" applyFont="1" applyFill="1" applyBorder="1" numFmtId="4"/>
    <xf fontId="2115" fillId="2112" borderId="2109" applyFont="1" applyFill="1" applyBorder="1" numFmtId="165"/>
    <xf fontId="2116" fillId="2113" borderId="2110" applyFont="1" applyFill="1" applyBorder="1" numFmtId="165"/>
    <xf fontId="2117" fillId="2114" borderId="2111" applyFont="1" applyFill="1" applyBorder="1" numFmtId="168"/>
    <xf fontId="2118" fillId="2115" borderId="2112" applyFont="1" applyFill="1" applyBorder="1" numFmtId="4"/>
    <xf fontId="2119" fillId="2116" borderId="2113" applyFont="1" applyFill="1" applyBorder="1" numFmtId="165"/>
    <xf fontId="2120" fillId="2117" borderId="2114" applyFont="1" applyFill="1" applyBorder="1" numFmtId="165"/>
    <xf fontId="2121" fillId="2118" borderId="2115" applyFont="1" applyFill="1" applyBorder="1" numFmtId="168"/>
    <xf fontId="2122" fillId="2119" borderId="2116" applyFont="1" applyFill="1" applyBorder="1" numFmtId="4"/>
    <xf fontId="2123" fillId="2120" borderId="2117" applyFont="1" applyFill="1" applyBorder="1" numFmtId="165"/>
    <xf fontId="2124" fillId="2121" borderId="2118" applyFont="1" applyFill="1" applyBorder="1" numFmtId="165"/>
    <xf fontId="2125" fillId="2122" borderId="2119" applyFont="1" applyFill="1" applyBorder="1" numFmtId="168"/>
    <xf fontId="2126" fillId="2123" borderId="2120" applyFont="1" applyFill="1" applyBorder="1" numFmtId="4"/>
    <xf fontId="2127" fillId="2124" borderId="2121" applyFont="1" applyFill="1" applyBorder="1" numFmtId="165"/>
    <xf fontId="2128" fillId="2125" borderId="2122" applyFont="1" applyFill="1" applyBorder="1" numFmtId="165"/>
    <xf fontId="2129" fillId="2126" borderId="2123" applyFont="1" applyFill="1" applyBorder="1" numFmtId="168"/>
    <xf fontId="2130" fillId="2127" borderId="2124" applyFont="1" applyFill="1" applyBorder="1" numFmtId="4"/>
    <xf fontId="2131" fillId="2128" borderId="2125" applyFont="1" applyFill="1" applyBorder="1" numFmtId="165"/>
    <xf fontId="2132" fillId="2129" borderId="2126" applyFont="1" applyFill="1" applyBorder="1" numFmtId="165"/>
    <xf fontId="2133" fillId="2130" borderId="2127" applyFont="1" applyFill="1" applyBorder="1" numFmtId="168"/>
    <xf fontId="2134" fillId="2131" borderId="2128" applyFont="1" applyFill="1" applyBorder="1" numFmtId="4"/>
    <xf fontId="2135" fillId="2132" borderId="2129" applyFont="1" applyFill="1" applyBorder="1" numFmtId="165"/>
    <xf fontId="2136" fillId="2133" borderId="2130" applyFont="1" applyFill="1" applyBorder="1" numFmtId="165"/>
    <xf fontId="2137" fillId="2134" borderId="2131" applyFont="1" applyFill="1" applyBorder="1" numFmtId="168"/>
    <xf fontId="2138" fillId="2135" borderId="2132" applyFont="1" applyFill="1" applyBorder="1" numFmtId="4"/>
    <xf fontId="2139" fillId="2136" borderId="2133" applyFont="1" applyFill="1" applyBorder="1" numFmtId="165"/>
    <xf fontId="2140" fillId="2137" borderId="2134" applyFont="1" applyFill="1" applyBorder="1" numFmtId="165"/>
    <xf fontId="2141" fillId="2138" borderId="2135" applyFont="1" applyFill="1" applyBorder="1" numFmtId="168"/>
    <xf fontId="2142" fillId="2139" borderId="2136" applyFont="1" applyFill="1" applyBorder="1" numFmtId="4"/>
    <xf fontId="2143" fillId="2140" borderId="2137" applyFont="1" applyFill="1" applyBorder="1" numFmtId="165"/>
    <xf fontId="2144" fillId="2141" borderId="2138" applyFont="1" applyFill="1" applyBorder="1" numFmtId="165"/>
    <xf fontId="2145" fillId="2142" borderId="2139" applyFont="1" applyFill="1" applyBorder="1" numFmtId="168"/>
    <xf fontId="2146" fillId="2143" borderId="2140" applyFont="1" applyFill="1" applyBorder="1" numFmtId="4"/>
    <xf fontId="2147" fillId="2144" borderId="2141" applyFont="1" applyFill="1" applyBorder="1" numFmtId="165"/>
    <xf fontId="2148" fillId="2145" borderId="2142" applyFont="1" applyFill="1" applyBorder="1" numFmtId="165"/>
    <xf fontId="2149" fillId="2146" borderId="2143" applyFont="1" applyFill="1" applyBorder="1" numFmtId="168"/>
    <xf fontId="2150" fillId="2147" borderId="2144" applyFont="1" applyFill="1" applyBorder="1" numFmtId="4"/>
    <xf fontId="2151" fillId="2148" borderId="2145" applyFont="1" applyFill="1" applyBorder="1" numFmtId="165"/>
    <xf fontId="2152" fillId="2149" borderId="2146" applyFont="1" applyFill="1" applyBorder="1" numFmtId="165"/>
    <xf fontId="2153" fillId="2150" borderId="2147" applyFont="1" applyFill="1" applyBorder="1" numFmtId="168"/>
    <xf fontId="2154" fillId="2151" borderId="2148" applyFont="1" applyFill="1" applyBorder="1" numFmtId="4"/>
    <xf fontId="2155" fillId="2152" borderId="2149" applyFont="1" applyFill="1" applyBorder="1" numFmtId="165"/>
    <xf fontId="2156" fillId="2153" borderId="2150" applyFont="1" applyFill="1" applyBorder="1" numFmtId="165"/>
    <xf fontId="2157" fillId="2154" borderId="2151" applyFont="1" applyFill="1" applyBorder="1" numFmtId="168"/>
    <xf fontId="2158" fillId="2155" borderId="2152" applyFont="1" applyFill="1" applyBorder="1" numFmtId="4"/>
    <xf fontId="2159" fillId="2156" borderId="2153" applyFont="1" applyFill="1" applyBorder="1" numFmtId="165"/>
    <xf fontId="2160" fillId="2157" borderId="2154" applyFont="1" applyFill="1" applyBorder="1" numFmtId="165"/>
    <xf fontId="2161" fillId="2158" borderId="2155" applyFont="1" applyFill="1" applyBorder="1" numFmtId="168"/>
    <xf fontId="2162" fillId="2159" borderId="2156" applyFont="1" applyFill="1" applyBorder="1" numFmtId="4"/>
    <xf fontId="2163" fillId="2160" borderId="2157" applyFont="1" applyFill="1" applyBorder="1" numFmtId="165"/>
    <xf fontId="2164" fillId="2161" borderId="2158" applyFont="1" applyFill="1" applyBorder="1" numFmtId="165"/>
    <xf fontId="2165" fillId="2162" borderId="2159" applyFont="1" applyFill="1" applyBorder="1" numFmtId="168"/>
    <xf fontId="2166" fillId="2163" borderId="2160" applyFont="1" applyFill="1" applyBorder="1" numFmtId="4"/>
    <xf fontId="2167" fillId="2164" borderId="2161" applyFont="1" applyFill="1" applyBorder="1" numFmtId="165"/>
    <xf fontId="2168" fillId="2165" borderId="2162" applyFont="1" applyFill="1" applyBorder="1" numFmtId="165"/>
    <xf fontId="2169" fillId="2166" borderId="2163" applyFont="1" applyFill="1" applyBorder="1" numFmtId="168"/>
    <xf fontId="2170" fillId="2167" borderId="2164" applyFont="1" applyFill="1" applyBorder="1" numFmtId="4"/>
    <xf fontId="2171" fillId="2168" borderId="2165" applyFont="1" applyFill="1" applyBorder="1" numFmtId="165"/>
    <xf fontId="2172" fillId="2169" borderId="2166" applyFont="1" applyFill="1" applyBorder="1" numFmtId="165"/>
    <xf fontId="2173" fillId="2170" borderId="2167" applyFont="1" applyFill="1" applyBorder="1" numFmtId="168"/>
    <xf fontId="2174" fillId="2171" borderId="2168" applyFont="1" applyFill="1" applyBorder="1" numFmtId="4"/>
    <xf fontId="2175" fillId="2172" borderId="2169" applyFont="1" applyFill="1" applyBorder="1" numFmtId="165"/>
    <xf fontId="2176" fillId="2173" borderId="2170" applyFont="1" applyFill="1" applyBorder="1" numFmtId="165"/>
    <xf fontId="2177" fillId="2174" borderId="2171" applyFont="1" applyFill="1" applyBorder="1" numFmtId="168"/>
    <xf fontId="2178" fillId="2175" borderId="2172" applyFont="1" applyFill="1" applyBorder="1" numFmtId="4"/>
    <xf fontId="2179" fillId="2176" borderId="2173" applyFont="1" applyFill="1" applyBorder="1" numFmtId="165"/>
    <xf fontId="2180" fillId="2177" borderId="2174" applyFont="1" applyFill="1" applyBorder="1" numFmtId="165"/>
    <xf fontId="2181" fillId="2178" borderId="2175" applyFont="1" applyFill="1" applyBorder="1" numFmtId="168"/>
    <xf fontId="2182" fillId="2179" borderId="2176" applyFont="1" applyFill="1" applyBorder="1" numFmtId="4"/>
    <xf fontId="2183" fillId="2180" borderId="2177" applyFont="1" applyFill="1" applyBorder="1" numFmtId="165"/>
    <xf fontId="2184" fillId="2181" borderId="2178" applyFont="1" applyFill="1" applyBorder="1" numFmtId="165"/>
    <xf fontId="2185" fillId="2182" borderId="2179" applyFont="1" applyFill="1" applyBorder="1" numFmtId="168"/>
    <xf fontId="2186" fillId="2183" borderId="2180" applyFont="1" applyFill="1" applyBorder="1" numFmtId="4"/>
    <xf fontId="2187" fillId="2184" borderId="2181" applyFont="1" applyFill="1" applyBorder="1" numFmtId="165"/>
    <xf fontId="2188" fillId="2185" borderId="2182" applyFont="1" applyFill="1" applyBorder="1" numFmtId="165"/>
    <xf fontId="2189" fillId="2186" borderId="2183" applyFont="1" applyFill="1" applyBorder="1" numFmtId="168"/>
    <xf fontId="2190" fillId="2187" borderId="2184" applyFont="1" applyFill="1" applyBorder="1" numFmtId="4"/>
    <xf fontId="2191" fillId="2188" borderId="2185" applyFont="1" applyFill="1" applyBorder="1" numFmtId="165"/>
    <xf fontId="2192" fillId="2189" borderId="2186" applyFont="1" applyFill="1" applyBorder="1" numFmtId="165"/>
    <xf fontId="2193" fillId="2190" borderId="2187" applyFont="1" applyFill="1" applyBorder="1" numFmtId="168"/>
    <xf fontId="2194" fillId="2191" borderId="2188" applyFont="1" applyFill="1" applyBorder="1" numFmtId="4"/>
    <xf fontId="2195" fillId="2192" borderId="2189" applyFont="1" applyFill="1" applyBorder="1" numFmtId="165"/>
    <xf fontId="2196" fillId="2193" borderId="2190" applyFont="1" applyFill="1" applyBorder="1" numFmtId="165"/>
    <xf fontId="2197" fillId="2194" borderId="2191" applyFont="1" applyFill="1" applyBorder="1" numFmtId="168"/>
    <xf fontId="2198" fillId="2195" borderId="2192" applyFont="1" applyFill="1" applyBorder="1" numFmtId="4"/>
    <xf fontId="2199" fillId="2196" borderId="2193" applyFont="1" applyFill="1" applyBorder="1" numFmtId="165"/>
    <xf fontId="2200" fillId="2197" borderId="2194" applyFont="1" applyFill="1" applyBorder="1" numFmtId="165"/>
    <xf fontId="2201" fillId="2198" borderId="2195" applyFont="1" applyFill="1" applyBorder="1" numFmtId="168"/>
    <xf fontId="2202" fillId="2199" borderId="2196" applyFont="1" applyFill="1" applyBorder="1" numFmtId="4"/>
    <xf fontId="2203" fillId="2200" borderId="2197" applyFont="1" applyFill="1" applyBorder="1" numFmtId="165"/>
    <xf fontId="2204" fillId="2201" borderId="2198" applyFont="1" applyFill="1" applyBorder="1" numFmtId="165"/>
    <xf fontId="2205" fillId="2202" borderId="2199" applyFont="1" applyFill="1" applyBorder="1" numFmtId="168"/>
    <xf fontId="2206" fillId="2203" borderId="2200" applyFont="1" applyFill="1" applyBorder="1" numFmtId="4"/>
    <xf fontId="2207" fillId="2204" borderId="2201" applyFont="1" applyFill="1" applyBorder="1" numFmtId="165"/>
    <xf fontId="2208" fillId="2205" borderId="2202" applyFont="1" applyFill="1" applyBorder="1" numFmtId="165"/>
    <xf fontId="2209" fillId="2206" borderId="2203" applyFont="1" applyFill="1" applyBorder="1" numFmtId="168"/>
    <xf fontId="2210" fillId="2207" borderId="2204" applyFont="1" applyFill="1" applyBorder="1" numFmtId="4"/>
    <xf fontId="2211" fillId="2208" borderId="2205" applyFont="1" applyFill="1" applyBorder="1" numFmtId="165"/>
    <xf fontId="2212" fillId="2209" borderId="2206" applyFont="1" applyFill="1" applyBorder="1" numFmtId="165"/>
    <xf fontId="2213" fillId="2210" borderId="2207" applyFont="1" applyFill="1" applyBorder="1" numFmtId="168"/>
    <xf fontId="2214" fillId="2211" borderId="2208" applyFont="1" applyFill="1" applyBorder="1" numFmtId="4"/>
    <xf fontId="2215" fillId="2212" borderId="2209" applyFont="1" applyFill="1" applyBorder="1" numFmtId="165"/>
    <xf fontId="2216" fillId="2213" borderId="2210" applyFont="1" applyFill="1" applyBorder="1" numFmtId="165"/>
    <xf fontId="2217" fillId="2214" borderId="2211" applyFont="1" applyFill="1" applyBorder="1" numFmtId="168"/>
    <xf fontId="2218" fillId="2215" borderId="2212" applyFont="1" applyFill="1" applyBorder="1" numFmtId="4"/>
    <xf fontId="2219" fillId="2216" borderId="2213" applyFont="1" applyFill="1" applyBorder="1" numFmtId="165"/>
    <xf fontId="2220" fillId="2217" borderId="2214" applyFont="1" applyFill="1" applyBorder="1" numFmtId="165"/>
    <xf fontId="2221" fillId="2218" borderId="2215" applyFont="1" applyFill="1" applyBorder="1" numFmtId="168"/>
    <xf fontId="2222" fillId="2219" borderId="2216" applyFont="1" applyFill="1" applyBorder="1" numFmtId="4"/>
    <xf fontId="2223" fillId="2220" borderId="2217" applyFont="1" applyFill="1" applyBorder="1" numFmtId="165"/>
    <xf fontId="2224" fillId="2221" borderId="2218" applyFont="1" applyFill="1" applyBorder="1" numFmtId="165"/>
    <xf fontId="2225" fillId="2222" borderId="2219" applyFont="1" applyFill="1" applyBorder="1" numFmtId="168"/>
    <xf fontId="2226" fillId="2223" borderId="2220" applyFont="1" applyFill="1" applyBorder="1" numFmtId="4"/>
    <xf fontId="2227" fillId="2224" borderId="2221" applyFont="1" applyFill="1" applyBorder="1" numFmtId="165"/>
    <xf fontId="2228" fillId="2225" borderId="2222" applyFont="1" applyFill="1" applyBorder="1" numFmtId="165"/>
    <xf fontId="2229" fillId="2226" borderId="2223" applyFont="1" applyFill="1" applyBorder="1" numFmtId="168"/>
    <xf fontId="2230" fillId="2227" borderId="2224" applyFont="1" applyFill="1" applyBorder="1" numFmtId="4"/>
    <xf fontId="2231" fillId="2228" borderId="2225" applyFont="1" applyFill="1" applyBorder="1" numFmtId="165"/>
    <xf fontId="2232" fillId="2229" borderId="2226" applyFont="1" applyFill="1" applyBorder="1" numFmtId="165"/>
    <xf fontId="2233" fillId="2230" borderId="2227" applyFont="1" applyFill="1" applyBorder="1" numFmtId="168"/>
    <xf fontId="2234" fillId="2231" borderId="2228" applyFont="1" applyFill="1" applyBorder="1" numFmtId="4"/>
    <xf fontId="2235" fillId="2232" borderId="2229" applyFont="1" applyFill="1" applyBorder="1" numFmtId="165"/>
    <xf fontId="2236" fillId="2233" borderId="2230" applyFont="1" applyFill="1" applyBorder="1" numFmtId="165"/>
    <xf fontId="2237" fillId="2234" borderId="2231" applyFont="1" applyFill="1" applyBorder="1" numFmtId="168"/>
    <xf fontId="2238" fillId="2235" borderId="2232" applyFont="1" applyFill="1" applyBorder="1" numFmtId="4"/>
    <xf fontId="2239" fillId="2236" borderId="2233" applyFont="1" applyFill="1" applyBorder="1" numFmtId="165"/>
    <xf fontId="2240" fillId="2237" borderId="2234" applyFont="1" applyFill="1" applyBorder="1" numFmtId="165"/>
    <xf fontId="2241" fillId="2238" borderId="2235" applyFont="1" applyFill="1" applyBorder="1" numFmtId="168"/>
    <xf fontId="2242" fillId="2239" borderId="2236" applyFont="1" applyFill="1" applyBorder="1" numFmtId="4"/>
    <xf fontId="2243" fillId="2240" borderId="2237" applyFont="1" applyFill="1" applyBorder="1" numFmtId="165"/>
    <xf fontId="2244" fillId="2241" borderId="2238" applyFont="1" applyFill="1" applyBorder="1" numFmtId="165"/>
    <xf fontId="2245" fillId="2242" borderId="2239" applyFont="1" applyFill="1" applyBorder="1" numFmtId="168"/>
    <xf fontId="2246" fillId="2243" borderId="2240" applyFont="1" applyFill="1" applyBorder="1" numFmtId="4"/>
    <xf fontId="2247" fillId="2244" borderId="2241" applyFont="1" applyFill="1" applyBorder="1" numFmtId="165"/>
    <xf fontId="2248" fillId="2245" borderId="2242" applyFont="1" applyFill="1" applyBorder="1" numFmtId="165"/>
    <xf fontId="2249" fillId="2246" borderId="2243" applyFont="1" applyFill="1" applyBorder="1" numFmtId="168"/>
    <xf fontId="2250" fillId="2247" borderId="2244" applyFont="1" applyFill="1" applyBorder="1" numFmtId="4"/>
    <xf fontId="2251" fillId="2248" borderId="2245" applyFont="1" applyFill="1" applyBorder="1" numFmtId="165"/>
    <xf fontId="2252" fillId="2249" borderId="2246" applyFont="1" applyFill="1" applyBorder="1" numFmtId="165"/>
    <xf fontId="2253" fillId="2250" borderId="2247" applyFont="1" applyFill="1" applyBorder="1" numFmtId="168"/>
    <xf fontId="2254" fillId="2251" borderId="2248" applyFont="1" applyFill="1" applyBorder="1" numFmtId="4"/>
    <xf fontId="2255" fillId="2252" borderId="2249" applyFont="1" applyFill="1" applyBorder="1" numFmtId="165"/>
    <xf fontId="2256" fillId="2253" borderId="2250" applyFont="1" applyFill="1" applyBorder="1" numFmtId="165"/>
    <xf fontId="2257" fillId="2254" borderId="2251" applyFont="1" applyFill="1" applyBorder="1" numFmtId="168"/>
    <xf fontId="2258" fillId="2255" borderId="2252" applyFont="1" applyFill="1" applyBorder="1" numFmtId="4"/>
    <xf fontId="2259" fillId="2256" borderId="2253" applyFont="1" applyFill="1" applyBorder="1" numFmtId="165"/>
    <xf fontId="2260" fillId="2257" borderId="2254" applyFont="1" applyFill="1" applyBorder="1" numFmtId="165"/>
    <xf fontId="2261" fillId="2258" borderId="2255" applyFont="1" applyFill="1" applyBorder="1" numFmtId="168"/>
    <xf fontId="2262" fillId="2259" borderId="2256" applyFont="1" applyFill="1" applyBorder="1" numFmtId="4"/>
    <xf fontId="2263" fillId="2260" borderId="2257" applyFont="1" applyFill="1" applyBorder="1" numFmtId="165"/>
    <xf fontId="2264" fillId="2261" borderId="2258" applyFont="1" applyFill="1" applyBorder="1" numFmtId="165"/>
    <xf fontId="2265" fillId="2262" borderId="2259" applyFont="1" applyFill="1" applyBorder="1" numFmtId="168"/>
    <xf fontId="2266" fillId="2263" borderId="2260" applyFont="1" applyFill="1" applyBorder="1" numFmtId="4"/>
    <xf fontId="2267" fillId="2264" borderId="2261" applyFont="1" applyFill="1" applyBorder="1" numFmtId="165"/>
    <xf fontId="2268" fillId="2265" borderId="2262" applyFont="1" applyFill="1" applyBorder="1" numFmtId="165"/>
    <xf fontId="2269" fillId="2266" borderId="2263" applyFont="1" applyFill="1" applyBorder="1" numFmtId="168"/>
    <xf fontId="2270" fillId="2267" borderId="2264" applyFont="1" applyFill="1" applyBorder="1" numFmtId="4"/>
    <xf fontId="2271" fillId="2268" borderId="2265" applyFont="1" applyFill="1" applyBorder="1" numFmtId="165"/>
    <xf fontId="2272" fillId="2269" borderId="2266" applyFont="1" applyFill="1" applyBorder="1" numFmtId="165"/>
    <xf fontId="2273" fillId="2270" borderId="2267" applyFont="1" applyFill="1" applyBorder="1" numFmtId="168"/>
    <xf fontId="2274" fillId="2271" borderId="2268" applyFont="1" applyFill="1" applyBorder="1" numFmtId="4"/>
    <xf fontId="2275" fillId="2272" borderId="2269" applyFont="1" applyFill="1" applyBorder="1" numFmtId="165"/>
    <xf fontId="2276" fillId="2273" borderId="2270" applyFont="1" applyFill="1" applyBorder="1" numFmtId="165"/>
    <xf fontId="2277" fillId="2274" borderId="2271" applyFont="1" applyFill="1" applyBorder="1" numFmtId="168"/>
    <xf fontId="2278" fillId="2275" borderId="2272" applyFont="1" applyFill="1" applyBorder="1" numFmtId="4"/>
    <xf fontId="2279" fillId="2276" borderId="2273" applyFont="1" applyFill="1" applyBorder="1" numFmtId="165"/>
    <xf fontId="2280" fillId="2277" borderId="2274" applyFont="1" applyFill="1" applyBorder="1" numFmtId="165"/>
    <xf fontId="2281" fillId="2278" borderId="2275" applyFont="1" applyFill="1" applyBorder="1" numFmtId="168"/>
    <xf fontId="2282" fillId="2279" borderId="2276" applyFont="1" applyFill="1" applyBorder="1" numFmtId="4"/>
    <xf fontId="2283" fillId="2280" borderId="2277" applyFont="1" applyFill="1" applyBorder="1" numFmtId="165"/>
    <xf fontId="2284" fillId="2281" borderId="2278" applyFont="1" applyFill="1" applyBorder="1" numFmtId="165"/>
    <xf fontId="2285" fillId="2282" borderId="2279" applyFont="1" applyFill="1" applyBorder="1" numFmtId="168"/>
    <xf fontId="2286" fillId="2283" borderId="2280" applyFont="1" applyFill="1" applyBorder="1" numFmtId="4"/>
    <xf fontId="2287" fillId="2284" borderId="2281" applyFont="1" applyFill="1" applyBorder="1" numFmtId="165"/>
    <xf fontId="2288" fillId="2285" borderId="2282" applyFont="1" applyFill="1" applyBorder="1" numFmtId="165"/>
    <xf fontId="2289" fillId="2286" borderId="2283" applyFont="1" applyFill="1" applyBorder="1" numFmtId="168"/>
    <xf fontId="2290" fillId="2287" borderId="2284" applyFont="1" applyFill="1" applyBorder="1" numFmtId="4"/>
    <xf fontId="2291" fillId="2288" borderId="2285" applyFont="1" applyFill="1" applyBorder="1" numFmtId="165"/>
    <xf fontId="2292" fillId="2289" borderId="2286" applyFont="1" applyFill="1" applyBorder="1" numFmtId="165"/>
    <xf fontId="2293" fillId="2290" borderId="2287" applyFont="1" applyFill="1" applyBorder="1" numFmtId="168"/>
    <xf fontId="2294" fillId="2291" borderId="2288" applyFont="1" applyFill="1" applyBorder="1" numFmtId="4"/>
    <xf fontId="2295" fillId="2292" borderId="2289" applyFont="1" applyFill="1" applyBorder="1" numFmtId="165"/>
    <xf fontId="2296" fillId="2293" borderId="2290" applyFont="1" applyFill="1" applyBorder="1" numFmtId="165"/>
    <xf fontId="2297" fillId="2294" borderId="2291" applyFont="1" applyFill="1" applyBorder="1" numFmtId="168"/>
    <xf fontId="2298" fillId="2295" borderId="2292" applyFont="1" applyFill="1" applyBorder="1" numFmtId="4"/>
    <xf fontId="2299" fillId="2296" borderId="2293" applyFont="1" applyFill="1" applyBorder="1" numFmtId="165"/>
    <xf fontId="2300" fillId="2297" borderId="2294" applyFont="1" applyFill="1" applyBorder="1" numFmtId="165"/>
    <xf fontId="2301" fillId="2298" borderId="2295" applyFont="1" applyFill="1" applyBorder="1" numFmtId="168"/>
    <xf fontId="2302" fillId="2299" borderId="2296" applyFont="1" applyFill="1" applyBorder="1" numFmtId="4"/>
    <xf fontId="2303" fillId="2300" borderId="2297" applyFont="1" applyFill="1" applyBorder="1" numFmtId="165"/>
    <xf fontId="2304" fillId="2301" borderId="2298" applyFont="1" applyFill="1" applyBorder="1" numFmtId="165"/>
    <xf fontId="2305" fillId="2302" borderId="2299" applyFont="1" applyFill="1" applyBorder="1" numFmtId="168"/>
    <xf fontId="2306" fillId="2303" borderId="2300" applyFont="1" applyFill="1" applyBorder="1" numFmtId="4"/>
    <xf fontId="2307" fillId="2304" borderId="2301" applyFont="1" applyFill="1" applyBorder="1" numFmtId="165"/>
    <xf fontId="2308" fillId="2305" borderId="2302" applyFont="1" applyFill="1" applyBorder="1" numFmtId="165"/>
    <xf fontId="2309" fillId="2306" borderId="2303" applyFont="1" applyFill="1" applyBorder="1" numFmtId="168"/>
    <xf fontId="2310" fillId="2307" borderId="2304" applyFont="1" applyFill="1" applyBorder="1" numFmtId="4"/>
    <xf fontId="2311" fillId="2308" borderId="2305" applyFont="1" applyFill="1" applyBorder="1" numFmtId="165"/>
    <xf fontId="2312" fillId="2309" borderId="2306" applyFont="1" applyFill="1" applyBorder="1" numFmtId="165"/>
    <xf fontId="2313" fillId="2310" borderId="2307" applyFont="1" applyFill="1" applyBorder="1" numFmtId="168"/>
    <xf fontId="2314" fillId="2311" borderId="2308" applyFont="1" applyFill="1" applyBorder="1" numFmtId="4"/>
    <xf fontId="2315" fillId="2312" borderId="2309" applyFont="1" applyFill="1" applyBorder="1" numFmtId="165"/>
    <xf fontId="2316" fillId="2313" borderId="2310" applyFont="1" applyFill="1" applyBorder="1" numFmtId="165"/>
    <xf fontId="2317" fillId="2314" borderId="2311" applyFont="1" applyFill="1" applyBorder="1" numFmtId="168"/>
    <xf fontId="2318" fillId="2315" borderId="2312" applyFont="1" applyFill="1" applyBorder="1" numFmtId="4"/>
    <xf fontId="2319" fillId="2316" borderId="2313" applyFont="1" applyFill="1" applyBorder="1" numFmtId="165"/>
    <xf fontId="2320" fillId="2317" borderId="2314" applyFont="1" applyFill="1" applyBorder="1" numFmtId="165"/>
    <xf fontId="2321" fillId="2318" borderId="2315" applyFont="1" applyFill="1" applyBorder="1" numFmtId="168"/>
    <xf fontId="2322" fillId="2319" borderId="2316" applyFont="1" applyFill="1" applyBorder="1" numFmtId="4"/>
    <xf fontId="2323" fillId="2320" borderId="2317" applyFont="1" applyFill="1" applyBorder="1" numFmtId="165"/>
    <xf fontId="2324" fillId="2321" borderId="2318" applyFont="1" applyFill="1" applyBorder="1" numFmtId="165"/>
    <xf fontId="2325" fillId="2322" borderId="2319" applyFont="1" applyFill="1" applyBorder="1" numFmtId="168"/>
    <xf fontId="2326" fillId="2323" borderId="2320" applyFont="1" applyFill="1" applyBorder="1" numFmtId="4"/>
    <xf fontId="2327" fillId="2324" borderId="2321" applyFont="1" applyFill="1" applyBorder="1" numFmtId="165"/>
    <xf fontId="2328" fillId="2325" borderId="2322" applyFont="1" applyFill="1" applyBorder="1" numFmtId="165"/>
    <xf fontId="2329" fillId="2326" borderId="2323" applyFont="1" applyFill="1" applyBorder="1" numFmtId="168"/>
    <xf fontId="2330" fillId="2327" borderId="2324" applyFont="1" applyFill="1" applyBorder="1" numFmtId="4"/>
    <xf fontId="2331" fillId="2328" borderId="2325" applyFont="1" applyFill="1" applyBorder="1" numFmtId="165"/>
    <xf fontId="2332" fillId="2329" borderId="2326" applyFont="1" applyFill="1" applyBorder="1" numFmtId="165"/>
    <xf fontId="2333" fillId="2330" borderId="2327" applyFont="1" applyFill="1" applyBorder="1" numFmtId="168"/>
    <xf fontId="2334" fillId="2331" borderId="2328" applyFont="1" applyFill="1" applyBorder="1" numFmtId="4"/>
    <xf fontId="2335" fillId="2332" borderId="2329" applyFont="1" applyFill="1" applyBorder="1" numFmtId="165"/>
    <xf fontId="2336" fillId="2333" borderId="2330" applyFont="1" applyFill="1" applyBorder="1" numFmtId="165"/>
    <xf fontId="2337" fillId="2334" borderId="2331" applyFont="1" applyFill="1" applyBorder="1" numFmtId="168"/>
    <xf fontId="2338" fillId="2335" borderId="2332" applyFont="1" applyFill="1" applyBorder="1" numFmtId="4"/>
    <xf fontId="2339" fillId="2336" borderId="2333" applyFont="1" applyFill="1" applyBorder="1" numFmtId="165"/>
    <xf fontId="2340" fillId="2337" borderId="2334" applyFont="1" applyFill="1" applyBorder="1" numFmtId="165"/>
    <xf fontId="2341" fillId="2338" borderId="2335" applyFont="1" applyFill="1" applyBorder="1" numFmtId="168"/>
    <xf fontId="2342" fillId="2339" borderId="2336" applyFont="1" applyFill="1" applyBorder="1" numFmtId="4"/>
    <xf fontId="2343" fillId="2340" borderId="2337" applyFont="1" applyFill="1" applyBorder="1" numFmtId="165"/>
    <xf fontId="2344" fillId="2341" borderId="2338" applyFont="1" applyFill="1" applyBorder="1" numFmtId="165"/>
    <xf fontId="2345" fillId="2342" borderId="2339" applyFont="1" applyFill="1" applyBorder="1" numFmtId="168"/>
    <xf fontId="2346" fillId="2343" borderId="2340" applyFont="1" applyFill="1" applyBorder="1" numFmtId="4"/>
    <xf fontId="2347" fillId="2344" borderId="2341" applyFont="1" applyFill="1" applyBorder="1" numFmtId="165"/>
    <xf fontId="2348" fillId="2345" borderId="2342" applyFont="1" applyFill="1" applyBorder="1" numFmtId="165"/>
    <xf fontId="2349" fillId="2346" borderId="2343" applyFont="1" applyFill="1" applyBorder="1" numFmtId="168"/>
    <xf fontId="2350" fillId="2347" borderId="2344" applyFont="1" applyFill="1" applyBorder="1" numFmtId="4"/>
    <xf fontId="2351" fillId="2348" borderId="2345" applyFont="1" applyFill="1" applyBorder="1" numFmtId="165"/>
    <xf fontId="2352" fillId="2349" borderId="2346" applyFont="1" applyFill="1" applyBorder="1" numFmtId="165"/>
    <xf fontId="2353" fillId="2350" borderId="2347" applyFont="1" applyFill="1" applyBorder="1" numFmtId="168"/>
    <xf fontId="2354" fillId="2351" borderId="2348" applyFont="1" applyFill="1" applyBorder="1" numFmtId="4"/>
    <xf fontId="2355" fillId="2352" borderId="2349" applyFont="1" applyFill="1" applyBorder="1" numFmtId="165"/>
    <xf fontId="2356" fillId="2353" borderId="2350" applyFont="1" applyFill="1" applyBorder="1" numFmtId="165"/>
    <xf fontId="2357" fillId="2354" borderId="2351" applyFont="1" applyFill="1" applyBorder="1" numFmtId="168"/>
    <xf fontId="2358" fillId="2355" borderId="2352" applyFont="1" applyFill="1" applyBorder="1" numFmtId="4"/>
    <xf fontId="2359" fillId="2356" borderId="2353" applyFont="1" applyFill="1" applyBorder="1" numFmtId="165"/>
    <xf fontId="2360" fillId="2357" borderId="2354" applyFont="1" applyFill="1" applyBorder="1" numFmtId="165"/>
    <xf fontId="2361" fillId="2358" borderId="2355" applyFont="1" applyFill="1" applyBorder="1" numFmtId="168"/>
    <xf fontId="2362" fillId="2359" borderId="2356" applyFont="1" applyFill="1" applyBorder="1" numFmtId="4"/>
    <xf fontId="2363" fillId="2360" borderId="2357" applyFont="1" applyFill="1" applyBorder="1" numFmtId="165"/>
    <xf fontId="2364" fillId="2361" borderId="2358" applyFont="1" applyFill="1" applyBorder="1" numFmtId="165"/>
    <xf fontId="2365" fillId="2362" borderId="2359" applyFont="1" applyFill="1" applyBorder="1" numFmtId="168"/>
    <xf fontId="2366" fillId="2363" borderId="2360" applyFont="1" applyFill="1" applyBorder="1" numFmtId="4"/>
    <xf fontId="2367" fillId="2364" borderId="2361" applyFont="1" applyFill="1" applyBorder="1" numFmtId="165"/>
    <xf fontId="2368" fillId="2365" borderId="2362" applyFont="1" applyFill="1" applyBorder="1" numFmtId="165"/>
    <xf fontId="2369" fillId="2366" borderId="2363" applyFont="1" applyFill="1" applyBorder="1" numFmtId="168"/>
    <xf fontId="2370" fillId="2367" borderId="2364" applyFont="1" applyFill="1" applyBorder="1" numFmtId="4"/>
    <xf fontId="2371" fillId="2368" borderId="2365" applyFont="1" applyFill="1" applyBorder="1" numFmtId="165"/>
    <xf fontId="2372" fillId="2369" borderId="2366" applyFont="1" applyFill="1" applyBorder="1" numFmtId="165"/>
    <xf fontId="2373" fillId="2370" borderId="2367" applyFont="1" applyFill="1" applyBorder="1" numFmtId="168"/>
    <xf fontId="2374" fillId="2371" borderId="2368" applyFont="1" applyFill="1" applyBorder="1" numFmtId="4"/>
    <xf fontId="2375" fillId="2372" borderId="2369" applyFont="1" applyFill="1" applyBorder="1" numFmtId="165"/>
    <xf fontId="2376" fillId="2373" borderId="2370" applyFont="1" applyFill="1" applyBorder="1" numFmtId="165"/>
    <xf fontId="2377" fillId="2374" borderId="2371" applyFont="1" applyFill="1" applyBorder="1" numFmtId="168"/>
    <xf fontId="2378" fillId="2375" borderId="2372" applyFont="1" applyFill="1" applyBorder="1" numFmtId="4"/>
    <xf fontId="2379" fillId="2376" borderId="2373" applyFont="1" applyFill="1" applyBorder="1" numFmtId="165"/>
    <xf fontId="2380" fillId="2377" borderId="2374" applyFont="1" applyFill="1" applyBorder="1" numFmtId="165"/>
    <xf fontId="2381" fillId="2378" borderId="2375" applyFont="1" applyFill="1" applyBorder="1" numFmtId="168"/>
    <xf fontId="2382" fillId="2379" borderId="2376" applyFont="1" applyFill="1" applyBorder="1" numFmtId="4"/>
    <xf fontId="2383" fillId="2380" borderId="2377" applyFont="1" applyFill="1" applyBorder="1" numFmtId="165"/>
    <xf fontId="2384" fillId="2381" borderId="2378" applyFont="1" applyFill="1" applyBorder="1" numFmtId="165"/>
    <xf fontId="2385" fillId="2382" borderId="2379" applyFont="1" applyFill="1" applyBorder="1" numFmtId="168"/>
    <xf fontId="2386" fillId="2383" borderId="2380" applyFont="1" applyFill="1" applyBorder="1" numFmtId="4"/>
    <xf fontId="2387" fillId="2384" borderId="2381" applyFont="1" applyFill="1" applyBorder="1" numFmtId="165"/>
    <xf fontId="2388" fillId="2385" borderId="2382" applyFont="1" applyFill="1" applyBorder="1" numFmtId="165"/>
    <xf fontId="2389" fillId="2386" borderId="2383" applyFont="1" applyFill="1" applyBorder="1" numFmtId="168"/>
    <xf fontId="2390" fillId="2387" borderId="2384" applyFont="1" applyFill="1" applyBorder="1" numFmtId="4"/>
    <xf fontId="2391" fillId="2388" borderId="2385" applyFont="1" applyFill="1" applyBorder="1" numFmtId="165"/>
    <xf fontId="2392" fillId="2389" borderId="2386" applyFont="1" applyFill="1" applyBorder="1" numFmtId="165"/>
    <xf fontId="2393" fillId="2390" borderId="2387" applyFont="1" applyFill="1" applyBorder="1" numFmtId="168"/>
    <xf fontId="2394" fillId="2391" borderId="2388" applyFont="1" applyFill="1" applyBorder="1" numFmtId="4"/>
    <xf fontId="2395" fillId="2392" borderId="2389" applyFont="1" applyFill="1" applyBorder="1" numFmtId="165"/>
    <xf fontId="2396" fillId="2393" borderId="2390" applyFont="1" applyFill="1" applyBorder="1" numFmtId="165"/>
    <xf fontId="2397" fillId="2394" borderId="2391" applyFont="1" applyFill="1" applyBorder="1" numFmtId="168"/>
    <xf fontId="2398" fillId="2395" borderId="2392" applyFont="1" applyFill="1" applyBorder="1" numFmtId="4"/>
    <xf fontId="2399" fillId="2396" borderId="2393" applyFont="1" applyFill="1" applyBorder="1" numFmtId="165"/>
    <xf fontId="2400" fillId="2397" borderId="2394" applyFont="1" applyFill="1" applyBorder="1" numFmtId="165"/>
    <xf fontId="2401" fillId="2398" borderId="2395" applyFont="1" applyFill="1" applyBorder="1" numFmtId="168"/>
    <xf fontId="2402" fillId="2399" borderId="2396" applyFont="1" applyFill="1" applyBorder="1" numFmtId="4"/>
    <xf fontId="2403" fillId="2400" borderId="2397" applyFont="1" applyFill="1" applyBorder="1" numFmtId="165"/>
    <xf fontId="2404" fillId="2401" borderId="2398" applyFont="1" applyFill="1" applyBorder="1" numFmtId="165"/>
    <xf fontId="2405" fillId="2402" borderId="2399" applyFont="1" applyFill="1" applyBorder="1" numFmtId="168"/>
    <xf fontId="2406" fillId="2403" borderId="2400" applyFont="1" applyFill="1" applyBorder="1" numFmtId="4"/>
    <xf fontId="2407" fillId="2404" borderId="2401" applyFont="1" applyFill="1" applyBorder="1" numFmtId="165"/>
    <xf fontId="2408" fillId="2405" borderId="2402" applyFont="1" applyFill="1" applyBorder="1" numFmtId="165"/>
    <xf fontId="2409" fillId="2406" borderId="2403" applyFont="1" applyFill="1" applyBorder="1" numFmtId="168"/>
    <xf fontId="2410" fillId="2407" borderId="2404" applyFont="1" applyFill="1" applyBorder="1" numFmtId="4"/>
    <xf fontId="2411" fillId="2408" borderId="2405" applyFont="1" applyFill="1" applyBorder="1" numFmtId="165"/>
    <xf fontId="2412" fillId="2409" borderId="2406" applyFont="1" applyFill="1" applyBorder="1" numFmtId="165"/>
    <xf fontId="2413" fillId="2410" borderId="2407" applyFont="1" applyFill="1" applyBorder="1" numFmtId="168"/>
    <xf fontId="2414" fillId="2411" borderId="2408" applyFont="1" applyFill="1" applyBorder="1" numFmtId="4"/>
    <xf fontId="2415" fillId="2412" borderId="2409" applyFont="1" applyFill="1" applyBorder="1" numFmtId="165"/>
    <xf fontId="2416" fillId="2413" borderId="2410" applyFont="1" applyFill="1" applyBorder="1" numFmtId="165"/>
    <xf fontId="2417" fillId="2414" borderId="2411" applyFont="1" applyFill="1" applyBorder="1" numFmtId="168"/>
    <xf fontId="2418" fillId="2415" borderId="2412" applyFont="1" applyFill="1" applyBorder="1" numFmtId="4"/>
    <xf fontId="2419" fillId="2416" borderId="2413" applyFont="1" applyFill="1" applyBorder="1" numFmtId="165"/>
    <xf fontId="2420" fillId="2417" borderId="2414" applyFont="1" applyFill="1" applyBorder="1" numFmtId="165"/>
    <xf fontId="2421" fillId="2418" borderId="2415" applyFont="1" applyFill="1" applyBorder="1" numFmtId="168"/>
    <xf fontId="2422" fillId="2419" borderId="2416" applyFont="1" applyFill="1" applyBorder="1" numFmtId="4"/>
    <xf fontId="2423" fillId="2420" borderId="2417" applyFont="1" applyFill="1" applyBorder="1" numFmtId="165"/>
    <xf fontId="2424" fillId="2421" borderId="2418" applyFont="1" applyFill="1" applyBorder="1" numFmtId="165"/>
    <xf fontId="2425" fillId="2422" borderId="2419" applyFont="1" applyFill="1" applyBorder="1" numFmtId="168"/>
    <xf fontId="2426" fillId="2423" borderId="2420" applyFont="1" applyFill="1" applyBorder="1" numFmtId="4"/>
    <xf fontId="2427" fillId="2424" borderId="2421" applyFont="1" applyFill="1" applyBorder="1" numFmtId="165"/>
    <xf fontId="2428" fillId="2425" borderId="2422" applyFont="1" applyFill="1" applyBorder="1" numFmtId="165"/>
    <xf fontId="2429" fillId="2426" borderId="2423" applyFont="1" applyFill="1" applyBorder="1" numFmtId="168"/>
    <xf fontId="2430" fillId="2427" borderId="2424" applyFont="1" applyFill="1" applyBorder="1" numFmtId="4"/>
    <xf fontId="2431" fillId="2428" borderId="2425" applyFont="1" applyFill="1" applyBorder="1" numFmtId="165"/>
    <xf fontId="2432" fillId="2429" borderId="2426" applyFont="1" applyFill="1" applyBorder="1" numFmtId="165"/>
    <xf fontId="2433" fillId="2430" borderId="2427" applyFont="1" applyFill="1" applyBorder="1" numFmtId="168"/>
    <xf fontId="2434" fillId="2431" borderId="2428" applyFont="1" applyFill="1" applyBorder="1" numFmtId="4"/>
    <xf fontId="2435" fillId="2432" borderId="2429" applyFont="1" applyFill="1" applyBorder="1" numFmtId="165"/>
    <xf fontId="2436" fillId="2433" borderId="2430" applyFont="1" applyFill="1" applyBorder="1" numFmtId="165"/>
    <xf fontId="2437" fillId="2434" borderId="2431" applyFont="1" applyFill="1" applyBorder="1" numFmtId="168"/>
    <xf fontId="2438" fillId="2435" borderId="2432" applyFont="1" applyFill="1" applyBorder="1" numFmtId="4"/>
    <xf fontId="2439" fillId="2436" borderId="2433" applyFont="1" applyFill="1" applyBorder="1" numFmtId="165"/>
    <xf fontId="2440" fillId="2437" borderId="2434" applyFont="1" applyFill="1" applyBorder="1" numFmtId="165"/>
    <xf fontId="2441" fillId="2438" borderId="2435" applyFont="1" applyFill="1" applyBorder="1" numFmtId="168"/>
    <xf fontId="2442" fillId="2439" borderId="2436" applyFont="1" applyFill="1" applyBorder="1" numFmtId="4"/>
    <xf fontId="2443" fillId="2440" borderId="2437" applyFont="1" applyFill="1" applyBorder="1" numFmtId="165"/>
    <xf fontId="2444" fillId="2441" borderId="2438" applyFont="1" applyFill="1" applyBorder="1" numFmtId="165"/>
    <xf fontId="2445" fillId="2442" borderId="2439" applyFont="1" applyFill="1" applyBorder="1" numFmtId="168"/>
    <xf fontId="2446" fillId="2443" borderId="2440" applyFont="1" applyFill="1" applyBorder="1" numFmtId="4"/>
    <xf fontId="2447" fillId="2444" borderId="2441" applyFont="1" applyFill="1" applyBorder="1" numFmtId="165"/>
    <xf fontId="2448" fillId="2445" borderId="2442" applyFont="1" applyFill="1" applyBorder="1" numFmtId="165"/>
    <xf fontId="2449" fillId="2446" borderId="2443" applyFont="1" applyFill="1" applyBorder="1" numFmtId="168"/>
    <xf fontId="2450" fillId="2447" borderId="2444" applyFont="1" applyFill="1" applyBorder="1" numFmtId="4"/>
    <xf fontId="2451" fillId="2448" borderId="2445" applyFont="1" applyFill="1" applyBorder="1" numFmtId="165"/>
    <xf fontId="2452" fillId="2449" borderId="2446" applyFont="1" applyFill="1" applyBorder="1" numFmtId="165"/>
    <xf fontId="2453" fillId="2450" borderId="2447" applyFont="1" applyFill="1" applyBorder="1" numFmtId="168"/>
    <xf fontId="2454" fillId="2451" borderId="2448" applyFont="1" applyFill="1" applyBorder="1" numFmtId="4"/>
    <xf fontId="2455" fillId="2452" borderId="2449" applyFont="1" applyFill="1" applyBorder="1" numFmtId="165"/>
    <xf fontId="2456" fillId="2453" borderId="2450" applyFont="1" applyFill="1" applyBorder="1" numFmtId="165"/>
    <xf fontId="2457" fillId="2454" borderId="2451" applyFont="1" applyFill="1" applyBorder="1" numFmtId="168"/>
    <xf fontId="2458" fillId="2455" borderId="2452" applyFont="1" applyFill="1" applyBorder="1" numFmtId="4"/>
    <xf fontId="2459" fillId="2456" borderId="2453" applyFont="1" applyFill="1" applyBorder="1" numFmtId="165"/>
    <xf fontId="2460" fillId="2457" borderId="2454" applyFont="1" applyFill="1" applyBorder="1" numFmtId="165"/>
    <xf fontId="2461" fillId="2458" borderId="2455" applyFont="1" applyFill="1" applyBorder="1" numFmtId="168"/>
    <xf fontId="2462" fillId="2459" borderId="2456" applyFont="1" applyFill="1" applyBorder="1" numFmtId="4"/>
    <xf fontId="2463" fillId="2460" borderId="2457" applyFont="1" applyFill="1" applyBorder="1" numFmtId="165"/>
    <xf fontId="2464" fillId="2461" borderId="2458" applyFont="1" applyFill="1" applyBorder="1" numFmtId="165"/>
    <xf fontId="2465" fillId="2462" borderId="2459" applyFont="1" applyFill="1" applyBorder="1" numFmtId="168"/>
    <xf fontId="2466" fillId="2463" borderId="2460" applyFont="1" applyFill="1" applyBorder="1" numFmtId="4"/>
    <xf fontId="2467" fillId="2464" borderId="2461" applyFont="1" applyFill="1" applyBorder="1" numFmtId="165"/>
    <xf fontId="2468" fillId="2465" borderId="2462" applyFont="1" applyFill="1" applyBorder="1" numFmtId="165"/>
    <xf fontId="2469" fillId="2466" borderId="2463" applyFont="1" applyFill="1" applyBorder="1" numFmtId="168"/>
    <xf fontId="2470" fillId="2467" borderId="2464" applyFont="1" applyFill="1" applyBorder="1" numFmtId="4"/>
    <xf fontId="2471" fillId="2468" borderId="2465" applyFont="1" applyFill="1" applyBorder="1" numFmtId="165"/>
    <xf fontId="2472" fillId="2469" borderId="2466" applyFont="1" applyFill="1" applyBorder="1" numFmtId="165"/>
    <xf fontId="2473" fillId="2470" borderId="2467" applyFont="1" applyFill="1" applyBorder="1" numFmtId="168"/>
    <xf fontId="2474" fillId="2471" borderId="2468" applyFont="1" applyFill="1" applyBorder="1" numFmtId="4"/>
    <xf fontId="2475" fillId="2472" borderId="2469" applyFont="1" applyFill="1" applyBorder="1" numFmtId="165"/>
    <xf fontId="2476" fillId="2473" borderId="2470" applyFont="1" applyFill="1" applyBorder="1" numFmtId="165"/>
    <xf fontId="2477" fillId="2474" borderId="2471" applyFont="1" applyFill="1" applyBorder="1" numFmtId="168"/>
    <xf fontId="2478" fillId="2475" borderId="2472" applyFont="1" applyFill="1" applyBorder="1" numFmtId="4"/>
    <xf fontId="2479" fillId="2476" borderId="2473" applyFont="1" applyFill="1" applyBorder="1" numFmtId="165"/>
    <xf fontId="2480" fillId="2477" borderId="2474" applyFont="1" applyFill="1" applyBorder="1" numFmtId="165"/>
    <xf fontId="2481" fillId="2478" borderId="2475" applyFont="1" applyFill="1" applyBorder="1" numFmtId="168"/>
    <xf fontId="2482" fillId="2479" borderId="2476" applyFont="1" applyFill="1" applyBorder="1" numFmtId="4"/>
    <xf fontId="2483" fillId="2480" borderId="2477" applyFont="1" applyFill="1" applyBorder="1" numFmtId="165"/>
    <xf fontId="2484" fillId="2481" borderId="2478" applyFont="1" applyFill="1" applyBorder="1" numFmtId="165"/>
    <xf fontId="2485" fillId="2482" borderId="2479" applyFont="1" applyFill="1" applyBorder="1" numFmtId="168"/>
    <xf fontId="2486" fillId="2483" borderId="2480" applyFont="1" applyFill="1" applyBorder="1" numFmtId="4"/>
    <xf fontId="2487" fillId="2484" borderId="2481" applyFont="1" applyFill="1" applyBorder="1" numFmtId="165"/>
    <xf fontId="2488" fillId="2485" borderId="2482" applyFont="1" applyFill="1" applyBorder="1" numFmtId="165"/>
    <xf fontId="2489" fillId="2486" borderId="2483" applyFont="1" applyFill="1" applyBorder="1" numFmtId="168"/>
    <xf fontId="2490" fillId="2487" borderId="2484" applyFont="1" applyFill="1" applyBorder="1" numFmtId="4"/>
    <xf fontId="2491" fillId="2488" borderId="2485" applyFont="1" applyFill="1" applyBorder="1" numFmtId="165"/>
    <xf fontId="2492" fillId="2489" borderId="2486" applyFont="1" applyFill="1" applyBorder="1" numFmtId="165"/>
    <xf fontId="2493" fillId="2490" borderId="2487" applyFont="1" applyFill="1" applyBorder="1" numFmtId="168"/>
    <xf fontId="2494" fillId="2491" borderId="2488" applyFont="1" applyFill="1" applyBorder="1" numFmtId="4"/>
    <xf fontId="2495" fillId="2492" borderId="2489" applyFont="1" applyFill="1" applyBorder="1" numFmtId="165"/>
    <xf fontId="2496" fillId="2493" borderId="2490" applyFont="1" applyFill="1" applyBorder="1" numFmtId="165"/>
    <xf fontId="2497" fillId="2494" borderId="2491" applyFont="1" applyFill="1" applyBorder="1" numFmtId="168"/>
    <xf fontId="2498" fillId="2495" borderId="2492" applyFont="1" applyFill="1" applyBorder="1" numFmtId="4"/>
    <xf fontId="2499" fillId="2496" borderId="2493" applyFont="1" applyFill="1" applyBorder="1" numFmtId="165"/>
    <xf fontId="2500" fillId="2497" borderId="2494" applyFont="1" applyFill="1" applyBorder="1" numFmtId="165"/>
    <xf fontId="2501" fillId="2498" borderId="2495" applyFont="1" applyFill="1" applyBorder="1" numFmtId="168"/>
    <xf fontId="2502" fillId="2499" borderId="2496" applyFont="1" applyFill="1" applyBorder="1" numFmtId="4"/>
    <xf fontId="2503" fillId="2500" borderId="2497" applyFont="1" applyFill="1" applyBorder="1" numFmtId="165"/>
    <xf fontId="2504" fillId="2501" borderId="2498" applyFont="1" applyFill="1" applyBorder="1" numFmtId="165"/>
    <xf fontId="2505" fillId="2502" borderId="2499" applyFont="1" applyFill="1" applyBorder="1" numFmtId="168"/>
    <xf fontId="2506" fillId="2503" borderId="2500" applyFont="1" applyFill="1" applyBorder="1" numFmtId="4"/>
    <xf fontId="2507" fillId="2504" borderId="2501" applyFont="1" applyFill="1" applyBorder="1" numFmtId="165"/>
    <xf fontId="2508" fillId="2505" borderId="2502" applyFont="1" applyFill="1" applyBorder="1" numFmtId="165"/>
    <xf fontId="2509" fillId="2506" borderId="2503" applyFont="1" applyFill="1" applyBorder="1" numFmtId="168"/>
    <xf fontId="2510" fillId="2507" borderId="2504" applyFont="1" applyFill="1" applyBorder="1" numFmtId="4"/>
    <xf fontId="2511" fillId="2508" borderId="2505" applyFont="1" applyFill="1" applyBorder="1" numFmtId="165"/>
    <xf fontId="2512" fillId="2509" borderId="2506" applyFont="1" applyFill="1" applyBorder="1" numFmtId="165"/>
    <xf fontId="2513" fillId="2510" borderId="2507" applyFont="1" applyFill="1" applyBorder="1" numFmtId="168"/>
    <xf fontId="2514" fillId="2511" borderId="2508" applyFont="1" applyFill="1" applyBorder="1" numFmtId="4"/>
    <xf fontId="2515" fillId="2512" borderId="2509" applyFont="1" applyFill="1" applyBorder="1" numFmtId="165"/>
    <xf fontId="2516" fillId="2513" borderId="2510" applyFont="1" applyFill="1" applyBorder="1" numFmtId="165"/>
    <xf fontId="2517" fillId="2514" borderId="2511" applyFont="1" applyFill="1" applyBorder="1" numFmtId="168"/>
    <xf fontId="2518" fillId="2515" borderId="2512" applyFont="1" applyFill="1" applyBorder="1" numFmtId="4"/>
    <xf fontId="2519" fillId="2516" borderId="2513" applyFont="1" applyFill="1" applyBorder="1" numFmtId="165"/>
    <xf fontId="2520" fillId="2517" borderId="2514" applyFont="1" applyFill="1" applyBorder="1" numFmtId="165"/>
    <xf fontId="2521" fillId="2518" borderId="2515" applyFont="1" applyFill="1" applyBorder="1" numFmtId="168"/>
    <xf fontId="2522" fillId="2519" borderId="2516" applyFont="1" applyFill="1" applyBorder="1" numFmtId="4"/>
    <xf fontId="2523" fillId="2520" borderId="2517" applyFont="1" applyFill="1" applyBorder="1" numFmtId="165"/>
    <xf fontId="2524" fillId="2521" borderId="2518" applyFont="1" applyFill="1" applyBorder="1" numFmtId="165"/>
    <xf fontId="2525" fillId="2522" borderId="2519" applyFont="1" applyFill="1" applyBorder="1" numFmtId="168"/>
    <xf fontId="2526" fillId="2523" borderId="2520" applyFont="1" applyFill="1" applyBorder="1" numFmtId="4"/>
    <xf fontId="2527" fillId="2524" borderId="2521" applyFont="1" applyFill="1" applyBorder="1" numFmtId="165"/>
    <xf fontId="2528" fillId="2525" borderId="2522" applyFont="1" applyFill="1" applyBorder="1" numFmtId="165"/>
    <xf fontId="2529" fillId="2526" borderId="2523" applyFont="1" applyFill="1" applyBorder="1" numFmtId="168"/>
    <xf fontId="2530" fillId="2527" borderId="2524" applyFont="1" applyFill="1" applyBorder="1" numFmtId="4"/>
    <xf fontId="2531" fillId="2528" borderId="2525" applyFont="1" applyFill="1" applyBorder="1" numFmtId="165"/>
    <xf fontId="2532" fillId="2529" borderId="2526" applyFont="1" applyFill="1" applyBorder="1" numFmtId="165"/>
    <xf fontId="2533" fillId="2530" borderId="2527" applyFont="1" applyFill="1" applyBorder="1" numFmtId="168"/>
    <xf fontId="2534" fillId="2531" borderId="2528" applyFont="1" applyFill="1" applyBorder="1" numFmtId="4"/>
    <xf fontId="2535" fillId="2532" borderId="2529" applyFont="1" applyFill="1" applyBorder="1" numFmtId="165"/>
    <xf fontId="2536" fillId="2533" borderId="2530" applyFont="1" applyFill="1" applyBorder="1" numFmtId="165"/>
    <xf fontId="2537" fillId="2534" borderId="2531" applyFont="1" applyFill="1" applyBorder="1" numFmtId="168"/>
    <xf fontId="2538" fillId="2535" borderId="2532" applyFont="1" applyFill="1" applyBorder="1" numFmtId="4"/>
    <xf fontId="2539" fillId="2536" borderId="2533" applyFont="1" applyFill="1" applyBorder="1" numFmtId="165"/>
    <xf fontId="2540" fillId="2537" borderId="2534" applyFont="1" applyFill="1" applyBorder="1" numFmtId="165"/>
    <xf fontId="2541" fillId="2538" borderId="2535" applyFont="1" applyFill="1" applyBorder="1" numFmtId="168"/>
    <xf fontId="2542" fillId="2539" borderId="2536" applyFont="1" applyFill="1" applyBorder="1" numFmtId="4"/>
    <xf fontId="2543" fillId="2540" borderId="2537" applyFont="1" applyFill="1" applyBorder="1" numFmtId="165"/>
    <xf fontId="2544" fillId="2541" borderId="2538" applyFont="1" applyFill="1" applyBorder="1" numFmtId="165"/>
    <xf fontId="2545" fillId="2542" borderId="2539" applyFont="1" applyFill="1" applyBorder="1" numFmtId="168"/>
    <xf fontId="2546" fillId="2543" borderId="2540" applyFont="1" applyFill="1" applyBorder="1" numFmtId="4"/>
    <xf fontId="2547" fillId="2544" borderId="2541" applyFont="1" applyFill="1" applyBorder="1" numFmtId="165"/>
    <xf fontId="2548" fillId="2545" borderId="2542" applyFont="1" applyFill="1" applyBorder="1" numFmtId="165"/>
    <xf fontId="2549" fillId="2546" borderId="2543" applyFont="1" applyFill="1" applyBorder="1" numFmtId="168"/>
    <xf fontId="2550" fillId="2547" borderId="2544" applyFont="1" applyFill="1" applyBorder="1" numFmtId="4"/>
    <xf fontId="2551" fillId="2548" borderId="2545" applyFont="1" applyFill="1" applyBorder="1" numFmtId="165"/>
    <xf fontId="2552" fillId="2549" borderId="2546" applyFont="1" applyFill="1" applyBorder="1" numFmtId="165"/>
    <xf fontId="2553" fillId="2550" borderId="2547" applyFont="1" applyFill="1" applyBorder="1" numFmtId="168"/>
    <xf fontId="2554" fillId="2551" borderId="2548" applyFont="1" applyFill="1" applyBorder="1" numFmtId="4"/>
    <xf fontId="2555" fillId="2552" borderId="2549" applyFont="1" applyFill="1" applyBorder="1" numFmtId="165"/>
    <xf fontId="2556" fillId="2553" borderId="2550" applyFont="1" applyFill="1" applyBorder="1" numFmtId="165"/>
    <xf fontId="2557" fillId="2554" borderId="2551" applyFont="1" applyFill="1" applyBorder="1" numFmtId="168"/>
    <xf fontId="2558" fillId="2555" borderId="2552" applyFont="1" applyFill="1" applyBorder="1" numFmtId="4"/>
    <xf fontId="2559" fillId="2556" borderId="2553" applyFont="1" applyFill="1" applyBorder="1" numFmtId="165"/>
    <xf fontId="2560" fillId="2557" borderId="2554" applyFont="1" applyFill="1" applyBorder="1" numFmtId="165"/>
    <xf fontId="2561" fillId="2558" borderId="2555" applyFont="1" applyFill="1" applyBorder="1" numFmtId="168"/>
    <xf fontId="2562" fillId="2559" borderId="2556" applyFont="1" applyFill="1" applyBorder="1" numFmtId="4"/>
    <xf fontId="2563" fillId="2560" borderId="2557" applyFont="1" applyFill="1" applyBorder="1" numFmtId="165"/>
    <xf fontId="2564" fillId="2561" borderId="2558" applyFont="1" applyFill="1" applyBorder="1" numFmtId="165"/>
    <xf fontId="2565" fillId="2562" borderId="2559" applyFont="1" applyFill="1" applyBorder="1" numFmtId="168"/>
    <xf fontId="2566" fillId="2563" borderId="2560" applyFont="1" applyFill="1" applyBorder="1" numFmtId="4"/>
    <xf fontId="2567" fillId="2564" borderId="2561" applyFont="1" applyFill="1" applyBorder="1" numFmtId="165"/>
    <xf fontId="2568" fillId="2565" borderId="2562" applyFont="1" applyFill="1" applyBorder="1" numFmtId="165"/>
    <xf fontId="2569" fillId="2566" borderId="2563" applyFont="1" applyFill="1" applyBorder="1" numFmtId="168"/>
    <xf fontId="2570" fillId="2567" borderId="2564" applyFont="1" applyFill="1" applyBorder="1" numFmtId="4"/>
    <xf fontId="2571" fillId="2568" borderId="2565" applyFont="1" applyFill="1" applyBorder="1" numFmtId="165"/>
    <xf fontId="2572" fillId="2569" borderId="2566" applyFont="1" applyFill="1" applyBorder="1" numFmtId="165"/>
    <xf fontId="2573" fillId="2570" borderId="2567" applyFont="1" applyFill="1" applyBorder="1" numFmtId="168"/>
    <xf fontId="2574" fillId="2571" borderId="2568" applyFont="1" applyFill="1" applyBorder="1" numFmtId="4"/>
    <xf fontId="2575" fillId="2572" borderId="2569" applyFont="1" applyFill="1" applyBorder="1" numFmtId="165"/>
    <xf fontId="2576" fillId="2573" borderId="2570" applyFont="1" applyFill="1" applyBorder="1" numFmtId="165"/>
    <xf fontId="2577" fillId="2574" borderId="2571" applyFont="1" applyFill="1" applyBorder="1" numFmtId="168"/>
    <xf fontId="2578" fillId="2575" borderId="2572" applyFont="1" applyFill="1" applyBorder="1" numFmtId="4"/>
    <xf fontId="2579" fillId="2576" borderId="2573" applyFont="1" applyFill="1" applyBorder="1" numFmtId="165"/>
    <xf fontId="2580" fillId="2577" borderId="2574" applyFont="1" applyFill="1" applyBorder="1" numFmtId="165"/>
    <xf fontId="2581" fillId="2578" borderId="2575" applyFont="1" applyFill="1" applyBorder="1" numFmtId="168"/>
    <xf fontId="2582" fillId="2579" borderId="2576" applyFont="1" applyFill="1" applyBorder="1" numFmtId="4"/>
    <xf fontId="2583" fillId="2580" borderId="2577" applyFont="1" applyFill="1" applyBorder="1" numFmtId="165"/>
    <xf fontId="2584" fillId="2581" borderId="2578" applyFont="1" applyFill="1" applyBorder="1" numFmtId="165"/>
    <xf fontId="2585" fillId="2582" borderId="2579" applyFont="1" applyFill="1" applyBorder="1" numFmtId="168"/>
    <xf fontId="2586" fillId="2583" borderId="2580" applyFont="1" applyFill="1" applyBorder="1" numFmtId="4"/>
    <xf fontId="2587" fillId="2584" borderId="2581" applyFont="1" applyFill="1" applyBorder="1" numFmtId="165"/>
    <xf fontId="2588" fillId="2585" borderId="2582" applyFont="1" applyFill="1" applyBorder="1" numFmtId="165"/>
    <xf fontId="2589" fillId="2586" borderId="2583" applyFont="1" applyFill="1" applyBorder="1" numFmtId="168"/>
    <xf fontId="2590" fillId="2587" borderId="2584" applyFont="1" applyFill="1" applyBorder="1" numFmtId="4"/>
    <xf fontId="2591" fillId="2588" borderId="2585" applyFont="1" applyFill="1" applyBorder="1" numFmtId="165"/>
    <xf fontId="2592" fillId="2589" borderId="2586" applyFont="1" applyFill="1" applyBorder="1" numFmtId="165"/>
    <xf fontId="2593" fillId="2590" borderId="2587" applyFont="1" applyFill="1" applyBorder="1" numFmtId="168"/>
    <xf fontId="2594" fillId="2591" borderId="2588" applyFont="1" applyFill="1" applyBorder="1" numFmtId="4"/>
    <xf fontId="2595" fillId="2592" borderId="2589" applyFont="1" applyFill="1" applyBorder="1" numFmtId="165"/>
    <xf fontId="2596" fillId="2593" borderId="2590" applyFont="1" applyFill="1" applyBorder="1" numFmtId="165"/>
    <xf fontId="2597" fillId="2594" borderId="2591" applyFont="1" applyFill="1" applyBorder="1" numFmtId="168"/>
    <xf fontId="2598" fillId="2595" borderId="2592" applyFont="1" applyFill="1" applyBorder="1" numFmtId="4"/>
    <xf fontId="2599" fillId="2596" borderId="2593" applyFont="1" applyFill="1" applyBorder="1" numFmtId="165"/>
    <xf fontId="2600" fillId="2597" borderId="2594" applyFont="1" applyFill="1" applyBorder="1" numFmtId="165"/>
    <xf fontId="2601" fillId="2598" borderId="2595" applyFont="1" applyFill="1" applyBorder="1" numFmtId="168"/>
    <xf fontId="2602" fillId="2599" borderId="2596" applyFont="1" applyFill="1" applyBorder="1" numFmtId="4"/>
    <xf fontId="2603" fillId="2600" borderId="2597" applyFont="1" applyFill="1" applyBorder="1" numFmtId="165"/>
    <xf fontId="2604" fillId="2601" borderId="2598" applyFont="1" applyFill="1" applyBorder="1" numFmtId="165"/>
    <xf fontId="2605" fillId="2602" borderId="2599" applyFont="1" applyFill="1" applyBorder="1" numFmtId="168"/>
    <xf fontId="2606" fillId="2603" borderId="2600" applyFont="1" applyFill="1" applyBorder="1" numFmtId="4"/>
    <xf fontId="2607" fillId="2604" borderId="2601" applyFont="1" applyFill="1" applyBorder="1" numFmtId="165"/>
    <xf fontId="2608" fillId="2605" borderId="2602" applyFont="1" applyFill="1" applyBorder="1" numFmtId="165"/>
    <xf fontId="2609" fillId="2606" borderId="2603" applyFont="1" applyFill="1" applyBorder="1" numFmtId="168"/>
    <xf fontId="2610" fillId="2607" borderId="2604" applyFont="1" applyFill="1" applyBorder="1" numFmtId="4"/>
    <xf fontId="2611" fillId="2608" borderId="2605" applyFont="1" applyFill="1" applyBorder="1" numFmtId="165"/>
    <xf fontId="2612" fillId="2609" borderId="2606" applyFont="1" applyFill="1" applyBorder="1" numFmtId="165"/>
    <xf fontId="2613" fillId="2610" borderId="2607" applyFont="1" applyFill="1" applyBorder="1" numFmtId="168"/>
    <xf fontId="2614" fillId="2611" borderId="2608" applyFont="1" applyFill="1" applyBorder="1" numFmtId="4"/>
    <xf fontId="2615" fillId="2612" borderId="2609" applyFont="1" applyFill="1" applyBorder="1" numFmtId="165"/>
    <xf fontId="2616" fillId="2613" borderId="2610" applyFont="1" applyFill="1" applyBorder="1" numFmtId="165"/>
    <xf fontId="2617" fillId="2614" borderId="2611" applyFont="1" applyFill="1" applyBorder="1" numFmtId="168"/>
    <xf fontId="2618" fillId="2615" borderId="2612" applyFont="1" applyFill="1" applyBorder="1" numFmtId="4"/>
    <xf fontId="2619" fillId="2616" borderId="2613" applyFont="1" applyFill="1" applyBorder="1" numFmtId="165"/>
    <xf fontId="2620" fillId="2617" borderId="2614" applyFont="1" applyFill="1" applyBorder="1" numFmtId="165"/>
    <xf fontId="2621" fillId="2618" borderId="2615" applyFont="1" applyFill="1" applyBorder="1" numFmtId="168"/>
    <xf fontId="2622" fillId="2619" borderId="2616" applyFont="1" applyFill="1" applyBorder="1" numFmtId="4"/>
    <xf fontId="2623" fillId="2620" borderId="2617" applyFont="1" applyFill="1" applyBorder="1" numFmtId="165"/>
    <xf fontId="2624" fillId="2621" borderId="2618" applyFont="1" applyFill="1" applyBorder="1" numFmtId="165"/>
    <xf fontId="2625" fillId="2622" borderId="2619" applyFont="1" applyFill="1" applyBorder="1" numFmtId="168"/>
    <xf fontId="2626" fillId="2623" borderId="2620" applyFont="1" applyFill="1" applyBorder="1" numFmtId="4"/>
    <xf fontId="2627" fillId="2624" borderId="2621" applyFont="1" applyFill="1" applyBorder="1" numFmtId="165"/>
    <xf fontId="2628" fillId="2625" borderId="2622" applyFont="1" applyFill="1" applyBorder="1" numFmtId="165"/>
    <xf fontId="2629" fillId="2626" borderId="2623" applyFont="1" applyFill="1" applyBorder="1" numFmtId="168"/>
    <xf fontId="2630" fillId="2627" borderId="2624" applyFont="1" applyFill="1" applyBorder="1" numFmtId="4"/>
    <xf fontId="2631" fillId="2628" borderId="2625" applyFont="1" applyFill="1" applyBorder="1" numFmtId="165"/>
    <xf fontId="2632" fillId="2629" borderId="2626" applyFont="1" applyFill="1" applyBorder="1" numFmtId="165"/>
    <xf fontId="2633" fillId="2630" borderId="2627" applyFont="1" applyFill="1" applyBorder="1" numFmtId="168"/>
    <xf fontId="2634" fillId="2631" borderId="2628" applyFont="1" applyFill="1" applyBorder="1" numFmtId="4"/>
    <xf fontId="2635" fillId="2632" borderId="2629" applyFont="1" applyFill="1" applyBorder="1" numFmtId="165"/>
    <xf fontId="2636" fillId="2633" borderId="2630" applyFont="1" applyFill="1" applyBorder="1" numFmtId="165"/>
    <xf fontId="2637" fillId="2634" borderId="2631" applyFont="1" applyFill="1" applyBorder="1" numFmtId="168"/>
    <xf fontId="2638" fillId="2635" borderId="2632" applyFont="1" applyFill="1" applyBorder="1" numFmtId="4"/>
    <xf fontId="2639" fillId="2636" borderId="2633" applyFont="1" applyFill="1" applyBorder="1" numFmtId="165"/>
    <xf fontId="2640" fillId="2637" borderId="2634" applyFont="1" applyFill="1" applyBorder="1" numFmtId="165"/>
    <xf fontId="2641" fillId="2638" borderId="2635" applyFont="1" applyFill="1" applyBorder="1" numFmtId="168"/>
    <xf fontId="2642" fillId="2639" borderId="2636" applyFont="1" applyFill="1" applyBorder="1" numFmtId="4"/>
    <xf fontId="2643" fillId="2640" borderId="2637" applyFont="1" applyFill="1" applyBorder="1" numFmtId="165"/>
    <xf fontId="2644" fillId="2641" borderId="2638" applyFont="1" applyFill="1" applyBorder="1" numFmtId="165"/>
    <xf fontId="2645" fillId="2642" borderId="2639" applyFont="1" applyFill="1" applyBorder="1" numFmtId="168"/>
    <xf fontId="2646" fillId="2643" borderId="2640" applyFont="1" applyFill="1" applyBorder="1" numFmtId="4"/>
    <xf fontId="2647" fillId="2644" borderId="2641" applyFont="1" applyFill="1" applyBorder="1" numFmtId="165"/>
    <xf fontId="2648" fillId="2645" borderId="2642" applyFont="1" applyFill="1" applyBorder="1" numFmtId="165"/>
    <xf fontId="2649" fillId="2646" borderId="2643" applyFont="1" applyFill="1" applyBorder="1" numFmtId="168"/>
    <xf fontId="2650" fillId="2647" borderId="2644" applyFont="1" applyFill="1" applyBorder="1" numFmtId="4"/>
    <xf fontId="2651" fillId="2648" borderId="2645" applyFont="1" applyFill="1" applyBorder="1" numFmtId="165"/>
    <xf fontId="2652" fillId="2649" borderId="2646" applyFont="1" applyFill="1" applyBorder="1" numFmtId="165"/>
    <xf fontId="2653" fillId="2650" borderId="2647" applyFont="1" applyFill="1" applyBorder="1" numFmtId="168"/>
    <xf fontId="2654" fillId="2651" borderId="2648" applyFont="1" applyFill="1" applyBorder="1" numFmtId="4"/>
    <xf fontId="2655" fillId="2652" borderId="2649" applyFont="1" applyFill="1" applyBorder="1" numFmtId="165"/>
    <xf fontId="2656" fillId="2653" borderId="2650" applyFont="1" applyFill="1" applyBorder="1" numFmtId="165"/>
    <xf fontId="2657" fillId="2654" borderId="2651" applyFont="1" applyFill="1" applyBorder="1" numFmtId="168"/>
    <xf fontId="2658" fillId="2655" borderId="2652" applyFont="1" applyFill="1" applyBorder="1" numFmtId="4"/>
    <xf fontId="2659" fillId="2656" borderId="2653" applyFont="1" applyFill="1" applyBorder="1" numFmtId="165"/>
    <xf fontId="2660" fillId="2657" borderId="2654" applyFont="1" applyFill="1" applyBorder="1" numFmtId="165"/>
    <xf fontId="2661" fillId="2658" borderId="2655" applyFont="1" applyFill="1" applyBorder="1" numFmtId="168"/>
    <xf fontId="2662" fillId="2659" borderId="2656" applyFont="1" applyFill="1" applyBorder="1" numFmtId="4"/>
    <xf fontId="2663" fillId="2660" borderId="2657" applyFont="1" applyFill="1" applyBorder="1" numFmtId="165"/>
    <xf fontId="2664" fillId="2661" borderId="2658" applyFont="1" applyFill="1" applyBorder="1" numFmtId="165"/>
    <xf fontId="2665" fillId="2662" borderId="2659" applyFont="1" applyFill="1" applyBorder="1" numFmtId="168"/>
    <xf fontId="2666" fillId="2663" borderId="2660" applyFont="1" applyFill="1" applyBorder="1" numFmtId="4"/>
    <xf fontId="2667" fillId="2664" borderId="2661" applyFont="1" applyFill="1" applyBorder="1" numFmtId="165"/>
    <xf fontId="2668" fillId="2665" borderId="2662" applyFont="1" applyFill="1" applyBorder="1" numFmtId="165"/>
    <xf fontId="2669" fillId="2666" borderId="2663" applyFont="1" applyFill="1" applyBorder="1" numFmtId="168"/>
    <xf fontId="2670" fillId="2667" borderId="2664" applyFont="1" applyFill="1" applyBorder="1" numFmtId="4"/>
    <xf fontId="2671" fillId="2668" borderId="2665" applyFont="1" applyFill="1" applyBorder="1" numFmtId="165"/>
    <xf fontId="2672" fillId="2669" borderId="2666" applyFont="1" applyFill="1" applyBorder="1" numFmtId="165"/>
    <xf fontId="2673" fillId="2670" borderId="2667" applyFont="1" applyFill="1" applyBorder="1" numFmtId="168"/>
    <xf fontId="2674" fillId="2671" borderId="2668" applyFont="1" applyFill="1" applyBorder="1" numFmtId="4"/>
    <xf fontId="2675" fillId="2672" borderId="2669" applyFont="1" applyFill="1" applyBorder="1" numFmtId="165"/>
    <xf fontId="2676" fillId="2673" borderId="2670" applyFont="1" applyFill="1" applyBorder="1" numFmtId="165"/>
    <xf fontId="2677" fillId="2674" borderId="2671" applyFont="1" applyFill="1" applyBorder="1" numFmtId="168"/>
    <xf fontId="2678" fillId="2675" borderId="2672" applyFont="1" applyFill="1" applyBorder="1" numFmtId="4"/>
    <xf fontId="2679" fillId="2676" borderId="2673" applyFont="1" applyFill="1" applyBorder="1" numFmtId="165"/>
    <xf fontId="2680" fillId="2677" borderId="2674" applyFont="1" applyFill="1" applyBorder="1" numFmtId="165"/>
    <xf fontId="2681" fillId="2678" borderId="2675" applyFont="1" applyFill="1" applyBorder="1" numFmtId="168"/>
    <xf fontId="2682" fillId="2679" borderId="2676" applyFont="1" applyFill="1" applyBorder="1" numFmtId="4"/>
    <xf fontId="2683" fillId="2680" borderId="2677" applyFont="1" applyFill="1" applyBorder="1" numFmtId="165"/>
    <xf fontId="2684" fillId="2681" borderId="2678" applyFont="1" applyFill="1" applyBorder="1" numFmtId="165"/>
    <xf fontId="2685" fillId="2682" borderId="2679" applyFont="1" applyFill="1" applyBorder="1" numFmtId="168"/>
    <xf fontId="2686" fillId="2683" borderId="2680" applyFont="1" applyFill="1" applyBorder="1" numFmtId="4"/>
    <xf fontId="2687" fillId="2684" borderId="2681" applyFont="1" applyFill="1" applyBorder="1" numFmtId="165"/>
    <xf fontId="2688" fillId="2685" borderId="2682" applyFont="1" applyFill="1" applyBorder="1" numFmtId="165"/>
    <xf fontId="2689" fillId="2686" borderId="2683" applyFont="1" applyFill="1" applyBorder="1" numFmtId="168"/>
    <xf fontId="2690" fillId="2687" borderId="2684" applyFont="1" applyFill="1" applyBorder="1" numFmtId="4"/>
    <xf fontId="2691" fillId="2688" borderId="2685" applyFont="1" applyFill="1" applyBorder="1" numFmtId="165"/>
    <xf fontId="2692" fillId="2689" borderId="2686" applyFont="1" applyFill="1" applyBorder="1" numFmtId="165"/>
    <xf fontId="2693" fillId="2690" borderId="2687" applyFont="1" applyFill="1" applyBorder="1" numFmtId="168"/>
    <xf fontId="2694" fillId="2691" borderId="2688" applyFont="1" applyFill="1" applyBorder="1" numFmtId="4"/>
    <xf fontId="2695" fillId="2692" borderId="2689" applyFont="1" applyFill="1" applyBorder="1" numFmtId="165"/>
    <xf fontId="2696" fillId="2693" borderId="2690" applyFont="1" applyFill="1" applyBorder="1" numFmtId="165"/>
    <xf fontId="2697" fillId="2694" borderId="2691" applyFont="1" applyFill="1" applyBorder="1" numFmtId="168"/>
    <xf fontId="2698" fillId="2695" borderId="2692" applyFont="1" applyFill="1" applyBorder="1" numFmtId="4"/>
    <xf fontId="2699" fillId="2696" borderId="2693" applyFont="1" applyFill="1" applyBorder="1" numFmtId="165"/>
    <xf fontId="2700" fillId="2697" borderId="2694" applyFont="1" applyFill="1" applyBorder="1" numFmtId="165"/>
    <xf fontId="2701" fillId="2698" borderId="2695" applyFont="1" applyFill="1" applyBorder="1" numFmtId="168"/>
    <xf fontId="2702" fillId="2699" borderId="2696" applyFont="1" applyFill="1" applyBorder="1" numFmtId="4"/>
    <xf fontId="2703" fillId="2700" borderId="2697" applyFont="1" applyFill="1" applyBorder="1" numFmtId="165"/>
    <xf fontId="2704" fillId="2701" borderId="2698" applyFont="1" applyFill="1" applyBorder="1" numFmtId="165"/>
    <xf fontId="2705" fillId="2702" borderId="2699" applyFont="1" applyFill="1" applyBorder="1" numFmtId="168"/>
    <xf fontId="2706" fillId="2703" borderId="2700" applyFont="1" applyFill="1" applyBorder="1" numFmtId="4"/>
    <xf fontId="2707" fillId="2704" borderId="2701" applyFont="1" applyFill="1" applyBorder="1" numFmtId="165"/>
    <xf fontId="2708" fillId="2705" borderId="2702" applyFont="1" applyFill="1" applyBorder="1" numFmtId="165"/>
    <xf fontId="2709" fillId="2706" borderId="2703" applyFont="1" applyFill="1" applyBorder="1" numFmtId="168"/>
    <xf fontId="2710" fillId="2707" borderId="2704" applyFont="1" applyFill="1" applyBorder="1" numFmtId="4"/>
    <xf fontId="2711" fillId="2708" borderId="2705" applyFont="1" applyFill="1" applyBorder="1" numFmtId="165"/>
    <xf fontId="2712" fillId="2709" borderId="2706" applyFont="1" applyFill="1" applyBorder="1" numFmtId="165"/>
    <xf fontId="2713" fillId="2710" borderId="2707" applyFont="1" applyFill="1" applyBorder="1" numFmtId="168"/>
    <xf fontId="2714" fillId="2711" borderId="2708" applyFont="1" applyFill="1" applyBorder="1" numFmtId="4"/>
    <xf fontId="2715" fillId="2712" borderId="2709" applyFont="1" applyFill="1" applyBorder="1" numFmtId="165"/>
    <xf fontId="2716" fillId="2713" borderId="2710" applyFont="1" applyFill="1" applyBorder="1" numFmtId="165"/>
    <xf fontId="2717" fillId="2714" borderId="2711" applyFont="1" applyFill="1" applyBorder="1" numFmtId="168"/>
    <xf fontId="2718" fillId="2715" borderId="2712" applyFont="1" applyFill="1" applyBorder="1" numFmtId="4"/>
    <xf fontId="2719" fillId="2716" borderId="2713" applyFont="1" applyFill="1" applyBorder="1" numFmtId="165"/>
    <xf fontId="2720" fillId="2717" borderId="2714" applyFont="1" applyFill="1" applyBorder="1" numFmtId="165"/>
    <xf fontId="2721" fillId="2718" borderId="2715" applyFont="1" applyFill="1" applyBorder="1" numFmtId="168"/>
    <xf fontId="2722" fillId="2719" borderId="2716" applyFont="1" applyFill="1" applyBorder="1" numFmtId="4"/>
    <xf fontId="2723" fillId="2720" borderId="2717" applyFont="1" applyFill="1" applyBorder="1" numFmtId="165"/>
    <xf fontId="2724" fillId="2721" borderId="2718" applyFont="1" applyFill="1" applyBorder="1" numFmtId="165"/>
    <xf fontId="2725" fillId="2722" borderId="2719" applyFont="1" applyFill="1" applyBorder="1" numFmtId="168"/>
    <xf fontId="2726" fillId="2723" borderId="2720" applyFont="1" applyFill="1" applyBorder="1" numFmtId="4"/>
    <xf fontId="2727" fillId="2724" borderId="2721" applyFont="1" applyFill="1" applyBorder="1" numFmtId="165"/>
    <xf fontId="2728" fillId="2725" borderId="2722" applyFont="1" applyFill="1" applyBorder="1" numFmtId="165"/>
    <xf fontId="2729" fillId="2726" borderId="2723" applyFont="1" applyFill="1" applyBorder="1" numFmtId="168"/>
    <xf fontId="2730" fillId="2727" borderId="2724" applyFont="1" applyFill="1" applyBorder="1" numFmtId="4"/>
    <xf fontId="2731" fillId="2728" borderId="2725" applyFont="1" applyFill="1" applyBorder="1" numFmtId="165"/>
    <xf fontId="2732" fillId="2729" borderId="2726" applyFont="1" applyFill="1" applyBorder="1" numFmtId="165"/>
    <xf fontId="2733" fillId="2730" borderId="2727" applyFont="1" applyFill="1" applyBorder="1" numFmtId="168"/>
    <xf fontId="2734" fillId="2731" borderId="2728" applyFont="1" applyFill="1" applyBorder="1" numFmtId="4"/>
    <xf fontId="2735" fillId="2732" borderId="2729" applyFont="1" applyFill="1" applyBorder="1" numFmtId="165"/>
    <xf fontId="2736" fillId="2733" borderId="2730" applyFont="1" applyFill="1" applyBorder="1" numFmtId="165"/>
    <xf fontId="2737" fillId="2734" borderId="2731" applyFont="1" applyFill="1" applyBorder="1" numFmtId="168"/>
    <xf fontId="2738" fillId="2735" borderId="2732" applyFont="1" applyFill="1" applyBorder="1" numFmtId="4"/>
    <xf fontId="2739" fillId="2736" borderId="2733" applyFont="1" applyFill="1" applyBorder="1" numFmtId="165"/>
    <xf fontId="2740" fillId="2737" borderId="2734" applyFont="1" applyFill="1" applyBorder="1" numFmtId="165"/>
    <xf fontId="2741" fillId="2738" borderId="2735" applyFont="1" applyFill="1" applyBorder="1" numFmtId="168"/>
    <xf fontId="2742" fillId="2739" borderId="2736" applyFont="1" applyFill="1" applyBorder="1" numFmtId="4"/>
    <xf fontId="2743" fillId="2740" borderId="2737" applyFont="1" applyFill="1" applyBorder="1" numFmtId="165"/>
    <xf fontId="2744" fillId="2741" borderId="2738" applyFont="1" applyFill="1" applyBorder="1" numFmtId="165"/>
    <xf fontId="2745" fillId="2742" borderId="2739" applyFont="1" applyFill="1" applyBorder="1" numFmtId="168"/>
    <xf fontId="2746" fillId="2743" borderId="2740" applyFont="1" applyFill="1" applyBorder="1" numFmtId="4"/>
    <xf fontId="2747" fillId="2744" borderId="2741" applyFont="1" applyFill="1" applyBorder="1" numFmtId="165"/>
    <xf fontId="2748" fillId="2745" borderId="2742" applyFont="1" applyFill="1" applyBorder="1" numFmtId="165"/>
    <xf fontId="2749" fillId="2746" borderId="2743" applyFont="1" applyFill="1" applyBorder="1" numFmtId="168"/>
    <xf fontId="2750" fillId="2747" borderId="2744" applyFont="1" applyFill="1" applyBorder="1" numFmtId="4"/>
    <xf fontId="2751" fillId="2748" borderId="2745" applyFont="1" applyFill="1" applyBorder="1" numFmtId="165"/>
    <xf fontId="2752" fillId="2749" borderId="2746" applyFont="1" applyFill="1" applyBorder="1" numFmtId="165"/>
    <xf fontId="2753" fillId="2750" borderId="2747" applyFont="1" applyFill="1" applyBorder="1" numFmtId="168"/>
    <xf fontId="2754" fillId="2751" borderId="2748" applyFont="1" applyFill="1" applyBorder="1" numFmtId="4"/>
    <xf fontId="2755" fillId="2752" borderId="2749" applyFont="1" applyFill="1" applyBorder="1" numFmtId="165"/>
    <xf fontId="2756" fillId="2753" borderId="2750" applyFont="1" applyFill="1" applyBorder="1" numFmtId="165"/>
    <xf fontId="2757" fillId="2754" borderId="2751" applyFont="1" applyFill="1" applyBorder="1" numFmtId="168"/>
    <xf fontId="2758" fillId="2755" borderId="2752" applyFont="1" applyFill="1" applyBorder="1" numFmtId="4"/>
    <xf fontId="2759" fillId="2756" borderId="2753" applyFont="1" applyFill="1" applyBorder="1" numFmtId="165"/>
    <xf fontId="2760" fillId="2757" borderId="2754" applyFont="1" applyFill="1" applyBorder="1" numFmtId="165"/>
    <xf fontId="2761" fillId="2758" borderId="2755" applyFont="1" applyFill="1" applyBorder="1" numFmtId="168"/>
    <xf fontId="2762" fillId="2759" borderId="2756" applyFont="1" applyFill="1" applyBorder="1" numFmtId="4"/>
    <xf fontId="2763" fillId="2760" borderId="2757" applyFont="1" applyFill="1" applyBorder="1" numFmtId="165"/>
    <xf fontId="2764" fillId="2761" borderId="2758" applyFont="1" applyFill="1" applyBorder="1" numFmtId="165"/>
    <xf fontId="2765" fillId="2762" borderId="2759" applyFont="1" applyFill="1" applyBorder="1" numFmtId="168"/>
    <xf fontId="2766" fillId="2763" borderId="2760" applyFont="1" applyFill="1" applyBorder="1" numFmtId="4"/>
    <xf fontId="2767" fillId="2764" borderId="2761" applyFont="1" applyFill="1" applyBorder="1" numFmtId="165"/>
    <xf fontId="2768" fillId="2765" borderId="2762" applyFont="1" applyFill="1" applyBorder="1" numFmtId="165"/>
    <xf fontId="2769" fillId="2766" borderId="2763" applyFont="1" applyFill="1" applyBorder="1" numFmtId="168"/>
    <xf fontId="2770" fillId="2767" borderId="2764" applyFont="1" applyFill="1" applyBorder="1" numFmtId="4"/>
    <xf fontId="2771" fillId="2768" borderId="2765" applyFont="1" applyFill="1" applyBorder="1" numFmtId="165"/>
    <xf fontId="2772" fillId="2769" borderId="2766" applyFont="1" applyFill="1" applyBorder="1" numFmtId="165"/>
    <xf fontId="2773" fillId="2770" borderId="2767" applyFont="1" applyFill="1" applyBorder="1" numFmtId="168"/>
    <xf fontId="2774" fillId="2771" borderId="2768" applyFont="1" applyFill="1" applyBorder="1" numFmtId="4"/>
    <xf fontId="2775" fillId="2772" borderId="2769" applyFont="1" applyFill="1" applyBorder="1" numFmtId="165"/>
    <xf fontId="2776" fillId="2773" borderId="2770" applyFont="1" applyFill="1" applyBorder="1" numFmtId="165"/>
    <xf fontId="2777" fillId="2774" borderId="2771" applyFont="1" applyFill="1" applyBorder="1" numFmtId="168"/>
    <xf fontId="2778" fillId="2775" borderId="2772" applyFont="1" applyFill="1" applyBorder="1" numFmtId="4"/>
    <xf fontId="2779" fillId="2776" borderId="2773" applyFont="1" applyFill="1" applyBorder="1" numFmtId="165"/>
    <xf fontId="2780" fillId="2777" borderId="2774" applyFont="1" applyFill="1" applyBorder="1" numFmtId="165"/>
    <xf fontId="2781" fillId="2778" borderId="2775" applyFont="1" applyFill="1" applyBorder="1" numFmtId="168"/>
    <xf fontId="2782" fillId="2779" borderId="2776" applyFont="1" applyFill="1" applyBorder="1" numFmtId="4"/>
    <xf fontId="2783" fillId="2780" borderId="2777" applyFont="1" applyFill="1" applyBorder="1" numFmtId="165"/>
    <xf fontId="2784" fillId="2781" borderId="2778" applyFont="1" applyFill="1" applyBorder="1" numFmtId="165"/>
    <xf fontId="2785" fillId="2782" borderId="2779" applyFont="1" applyFill="1" applyBorder="1" numFmtId="168"/>
    <xf fontId="2786" fillId="2783" borderId="2780" applyFont="1" applyFill="1" applyBorder="1" numFmtId="4"/>
    <xf fontId="2787" fillId="2784" borderId="2781" applyFont="1" applyFill="1" applyBorder="1" numFmtId="165"/>
    <xf fontId="2788" fillId="2785" borderId="2782" applyFont="1" applyFill="1" applyBorder="1" numFmtId="165"/>
    <xf fontId="2789" fillId="2786" borderId="2783" applyFont="1" applyFill="1" applyBorder="1" numFmtId="168"/>
    <xf fontId="2790" fillId="2787" borderId="2784" applyFont="1" applyFill="1" applyBorder="1" numFmtId="4"/>
    <xf fontId="2791" fillId="2788" borderId="2785" applyFont="1" applyFill="1" applyBorder="1" numFmtId="165"/>
    <xf fontId="2792" fillId="2789" borderId="2786" applyFont="1" applyFill="1" applyBorder="1" numFmtId="165"/>
    <xf fontId="2793" fillId="2790" borderId="2787" applyFont="1" applyFill="1" applyBorder="1" numFmtId="168"/>
    <xf fontId="2794" fillId="2791" borderId="2788" applyFont="1" applyFill="1" applyBorder="1" numFmtId="4"/>
    <xf fontId="2795" fillId="2792" borderId="2789" applyFont="1" applyFill="1" applyBorder="1" numFmtId="165"/>
    <xf fontId="2796" fillId="2793" borderId="2790" applyFont="1" applyFill="1" applyBorder="1" numFmtId="165"/>
    <xf fontId="2797" fillId="2794" borderId="2791" applyFont="1" applyFill="1" applyBorder="1" numFmtId="168"/>
    <xf fontId="2798" fillId="2795" borderId="2792" applyFont="1" applyFill="1" applyBorder="1" numFmtId="4"/>
    <xf fontId="2799" fillId="2796" borderId="2793" applyFont="1" applyFill="1" applyBorder="1" numFmtId="165"/>
    <xf fontId="2800" fillId="2797" borderId="2794" applyFont="1" applyFill="1" applyBorder="1" numFmtId="165"/>
    <xf fontId="2801" fillId="2798" borderId="2795" applyFont="1" applyFill="1" applyBorder="1" numFmtId="168"/>
    <xf fontId="2802" fillId="2799" borderId="2796" applyFont="1" applyFill="1" applyBorder="1" numFmtId="4"/>
    <xf fontId="2803" fillId="2800" borderId="2797" applyFont="1" applyFill="1" applyBorder="1" numFmtId="165"/>
    <xf fontId="2804" fillId="2801" borderId="2798" applyFont="1" applyFill="1" applyBorder="1" numFmtId="165"/>
    <xf fontId="2805" fillId="2802" borderId="2799" applyFont="1" applyFill="1" applyBorder="1" numFmtId="168"/>
    <xf fontId="2806" fillId="2803" borderId="2800" applyFont="1" applyFill="1" applyBorder="1" numFmtId="4"/>
    <xf fontId="2807" fillId="2804" borderId="2801" applyFont="1" applyFill="1" applyBorder="1" numFmtId="165"/>
    <xf fontId="2808" fillId="2805" borderId="2802" applyFont="1" applyFill="1" applyBorder="1" numFmtId="165"/>
    <xf fontId="2809" fillId="2806" borderId="2803" applyFont="1" applyFill="1" applyBorder="1" numFmtId="168"/>
    <xf fontId="2810" fillId="2807" borderId="2804" applyFont="1" applyFill="1" applyBorder="1" numFmtId="4"/>
    <xf fontId="2811" fillId="2808" borderId="2805" applyFont="1" applyFill="1" applyBorder="1" numFmtId="165"/>
    <xf fontId="2812" fillId="2809" borderId="2806" applyFont="1" applyFill="1" applyBorder="1" numFmtId="165"/>
    <xf fontId="2813" fillId="2810" borderId="2807" applyFont="1" applyFill="1" applyBorder="1" numFmtId="168"/>
    <xf fontId="2814" fillId="2811" borderId="2808" applyFont="1" applyFill="1" applyBorder="1" numFmtId="4"/>
    <xf fontId="2815" fillId="2812" borderId="2809" applyFont="1" applyFill="1" applyBorder="1" numFmtId="165"/>
    <xf fontId="2816" fillId="2813" borderId="2810" applyFont="1" applyFill="1" applyBorder="1" numFmtId="165"/>
    <xf fontId="2817" fillId="2814" borderId="2811" applyFont="1" applyFill="1" applyBorder="1" numFmtId="168"/>
    <xf fontId="2818" fillId="2815" borderId="2812" applyFont="1" applyFill="1" applyBorder="1" numFmtId="4"/>
    <xf fontId="2819" fillId="2816" borderId="2813" applyFont="1" applyFill="1" applyBorder="1" numFmtId="165"/>
    <xf fontId="2820" fillId="2817" borderId="2814" applyFont="1" applyFill="1" applyBorder="1" numFmtId="165"/>
    <xf fontId="2821" fillId="2818" borderId="2815" applyFont="1" applyFill="1" applyBorder="1" numFmtId="168"/>
    <xf fontId="2822" fillId="2819" borderId="2816" applyFont="1" applyFill="1" applyBorder="1" numFmtId="4"/>
    <xf fontId="2823" fillId="2820" borderId="2817" applyFont="1" applyFill="1" applyBorder="1" numFmtId="165"/>
    <xf fontId="2824" fillId="2821" borderId="2818" applyFont="1" applyFill="1" applyBorder="1" numFmtId="165"/>
    <xf fontId="2825" fillId="2822" borderId="2819" applyFont="1" applyFill="1" applyBorder="1" numFmtId="168"/>
    <xf fontId="2826" fillId="2823" borderId="2820" applyFont="1" applyFill="1" applyBorder="1" numFmtId="4"/>
    <xf fontId="2827" fillId="2824" borderId="2821" applyFont="1" applyFill="1" applyBorder="1" numFmtId="165"/>
    <xf fontId="2828" fillId="2825" borderId="2822" applyFont="1" applyFill="1" applyBorder="1" numFmtId="165"/>
    <xf fontId="2829" fillId="2826" borderId="2823" applyFont="1" applyFill="1" applyBorder="1" numFmtId="168"/>
    <xf fontId="2830" fillId="2827" borderId="2824" applyFont="1" applyFill="1" applyBorder="1" numFmtId="4"/>
    <xf fontId="2831" fillId="2828" borderId="2825" applyFont="1" applyFill="1" applyBorder="1" numFmtId="165"/>
    <xf fontId="2832" fillId="2829" borderId="2826" applyFont="1" applyFill="1" applyBorder="1" numFmtId="165"/>
    <xf fontId="2833" fillId="2830" borderId="2827" applyFont="1" applyFill="1" applyBorder="1" numFmtId="168"/>
    <xf fontId="2834" fillId="2831" borderId="2828" applyFont="1" applyFill="1" applyBorder="1" numFmtId="4"/>
    <xf fontId="2835" fillId="2832" borderId="2829" applyFont="1" applyFill="1" applyBorder="1" numFmtId="165"/>
    <xf fontId="2836" fillId="2833" borderId="2830" applyFont="1" applyFill="1" applyBorder="1" numFmtId="165"/>
    <xf fontId="2837" fillId="2834" borderId="2831" applyFont="1" applyFill="1" applyBorder="1" numFmtId="168"/>
    <xf fontId="2838" fillId="2835" borderId="2832" applyFont="1" applyFill="1" applyBorder="1" numFmtId="4"/>
    <xf fontId="2839" fillId="2836" borderId="2833" applyFont="1" applyFill="1" applyBorder="1" numFmtId="165"/>
    <xf fontId="2840" fillId="2837" borderId="2834" applyFont="1" applyFill="1" applyBorder="1" numFmtId="165"/>
    <xf fontId="2841" fillId="2838" borderId="2835" applyFont="1" applyFill="1" applyBorder="1" numFmtId="168"/>
    <xf fontId="2842" fillId="2839" borderId="2836" applyFont="1" applyFill="1" applyBorder="1" numFmtId="4"/>
    <xf fontId="2843" fillId="2840" borderId="2837" applyFont="1" applyFill="1" applyBorder="1" numFmtId="165"/>
    <xf fontId="2844" fillId="2841" borderId="2838" applyFont="1" applyFill="1" applyBorder="1" numFmtId="165"/>
    <xf fontId="2845" fillId="2842" borderId="2839" applyFont="1" applyFill="1" applyBorder="1" numFmtId="168"/>
    <xf fontId="2846" fillId="2843" borderId="2840" applyFont="1" applyFill="1" applyBorder="1" numFmtId="4"/>
    <xf fontId="2847" fillId="2844" borderId="2841" applyFont="1" applyFill="1" applyBorder="1" numFmtId="165"/>
    <xf fontId="2848" fillId="2845" borderId="2842" applyFont="1" applyFill="1" applyBorder="1" numFmtId="165"/>
    <xf fontId="2849" fillId="2846" borderId="2843" applyFont="1" applyFill="1" applyBorder="1" numFmtId="168"/>
    <xf fontId="2850" fillId="2847" borderId="2844" applyFont="1" applyFill="1" applyBorder="1" numFmtId="4"/>
    <xf fontId="2851" fillId="2848" borderId="2845" applyFont="1" applyFill="1" applyBorder="1" numFmtId="165"/>
    <xf fontId="2852" fillId="2849" borderId="2846" applyFont="1" applyFill="1" applyBorder="1" numFmtId="165"/>
    <xf fontId="2853" fillId="2850" borderId="2847" applyFont="1" applyFill="1" applyBorder="1" numFmtId="168"/>
    <xf fontId="2854" fillId="2851" borderId="2848" applyFont="1" applyFill="1" applyBorder="1" numFmtId="4"/>
    <xf fontId="2855" fillId="2852" borderId="2849" applyFont="1" applyFill="1" applyBorder="1" numFmtId="165"/>
    <xf fontId="2856" fillId="2853" borderId="2850" applyFont="1" applyFill="1" applyBorder="1" numFmtId="165"/>
    <xf fontId="2857" fillId="2854" borderId="2851" applyFont="1" applyFill="1" applyBorder="1" numFmtId="168"/>
    <xf fontId="2858" fillId="2855" borderId="2852" applyFont="1" applyFill="1" applyBorder="1" numFmtId="4"/>
    <xf fontId="2859" fillId="2856" borderId="2853" applyFont="1" applyFill="1" applyBorder="1" numFmtId="165"/>
    <xf fontId="2860" fillId="2857" borderId="2854" applyFont="1" applyFill="1" applyBorder="1" numFmtId="165"/>
    <xf fontId="2861" fillId="2858" borderId="2855" applyFont="1" applyFill="1" applyBorder="1" numFmtId="168"/>
    <xf fontId="2862" fillId="2859" borderId="2856" applyFont="1" applyFill="1" applyBorder="1" numFmtId="4"/>
    <xf fontId="2863" fillId="2860" borderId="2857" applyFont="1" applyFill="1" applyBorder="1" numFmtId="165"/>
    <xf fontId="2864" fillId="2861" borderId="2858" applyFont="1" applyFill="1" applyBorder="1" numFmtId="165"/>
    <xf fontId="2865" fillId="2862" borderId="2859" applyFont="1" applyFill="1" applyBorder="1" numFmtId="168"/>
    <xf fontId="2866" fillId="2863" borderId="2860" applyFont="1" applyFill="1" applyBorder="1" numFmtId="4"/>
    <xf fontId="2867" fillId="2864" borderId="2861" applyFont="1" applyFill="1" applyBorder="1" numFmtId="165"/>
    <xf fontId="2868" fillId="2865" borderId="2862" applyFont="1" applyFill="1" applyBorder="1" numFmtId="165"/>
    <xf fontId="2869" fillId="2866" borderId="2863" applyFont="1" applyFill="1" applyBorder="1" numFmtId="168"/>
    <xf fontId="2870" fillId="2867" borderId="2864" applyFont="1" applyFill="1" applyBorder="1" numFmtId="4"/>
    <xf fontId="2871" fillId="2868" borderId="2865" applyFont="1" applyFill="1" applyBorder="1" numFmtId="165"/>
    <xf fontId="2872" fillId="2869" borderId="2866" applyFont="1" applyFill="1" applyBorder="1" numFmtId="165"/>
    <xf fontId="2873" fillId="2870" borderId="2867" applyFont="1" applyFill="1" applyBorder="1" numFmtId="168"/>
    <xf fontId="2874" fillId="2871" borderId="2868" applyFont="1" applyFill="1" applyBorder="1" numFmtId="4"/>
    <xf fontId="2875" fillId="2872" borderId="2869" applyFont="1" applyFill="1" applyBorder="1" numFmtId="165"/>
    <xf fontId="2876" fillId="2873" borderId="2870" applyFont="1" applyFill="1" applyBorder="1" numFmtId="165"/>
    <xf fontId="2877" fillId="2874" borderId="2871" applyFont="1" applyFill="1" applyBorder="1" numFmtId="168"/>
    <xf fontId="2878" fillId="2875" borderId="2872" applyFont="1" applyFill="1" applyBorder="1" numFmtId="4"/>
    <xf fontId="2879" fillId="2876" borderId="2873" applyFont="1" applyFill="1" applyBorder="1" numFmtId="165"/>
    <xf fontId="2880" fillId="2877" borderId="2874" applyFont="1" applyFill="1" applyBorder="1" numFmtId="165"/>
    <xf fontId="2881" fillId="2878" borderId="2875" applyFont="1" applyFill="1" applyBorder="1" numFmtId="168"/>
    <xf fontId="2882" fillId="2879" borderId="2876" applyFont="1" applyFill="1" applyBorder="1" numFmtId="4"/>
    <xf fontId="2883" fillId="2880" borderId="2877" applyFont="1" applyFill="1" applyBorder="1" numFmtId="165"/>
    <xf fontId="2884" fillId="2881" borderId="2878" applyFont="1" applyFill="1" applyBorder="1" numFmtId="165"/>
    <xf fontId="2885" fillId="2882" borderId="2879" applyFont="1" applyFill="1" applyBorder="1" numFmtId="168"/>
    <xf fontId="2886" fillId="2883" borderId="2880" applyFont="1" applyFill="1" applyBorder="1" numFmtId="4"/>
    <xf fontId="2887" fillId="2884" borderId="2881" applyFont="1" applyFill="1" applyBorder="1" numFmtId="165"/>
    <xf fontId="2888" fillId="2885" borderId="2882" applyFont="1" applyFill="1" applyBorder="1" numFmtId="165"/>
    <xf fontId="2889" fillId="2886" borderId="2883" applyFont="1" applyFill="1" applyBorder="1" numFmtId="168"/>
    <xf fontId="2890" fillId="2887" borderId="2884" applyFont="1" applyFill="1" applyBorder="1" numFmtId="4"/>
    <xf fontId="2891" fillId="2888" borderId="2885" applyFont="1" applyFill="1" applyBorder="1" numFmtId="165"/>
    <xf fontId="2892" fillId="2889" borderId="2886" applyFont="1" applyFill="1" applyBorder="1" numFmtId="165"/>
    <xf fontId="2893" fillId="2890" borderId="2887" applyFont="1" applyFill="1" applyBorder="1" numFmtId="168"/>
    <xf fontId="2894" fillId="2891" borderId="2888" applyFont="1" applyFill="1" applyBorder="1" numFmtId="4"/>
    <xf fontId="2895" fillId="2892" borderId="2889" applyFont="1" applyFill="1" applyBorder="1" numFmtId="165"/>
    <xf fontId="2896" fillId="2893" borderId="2890" applyFont="1" applyFill="1" applyBorder="1" numFmtId="165"/>
    <xf fontId="2897" fillId="2894" borderId="2891" applyFont="1" applyFill="1" applyBorder="1" numFmtId="168"/>
    <xf fontId="2898" fillId="2895" borderId="2892" applyFont="1" applyFill="1" applyBorder="1" numFmtId="4"/>
    <xf fontId="2899" fillId="2896" borderId="2893" applyFont="1" applyFill="1" applyBorder="1" numFmtId="165"/>
    <xf fontId="2900" fillId="2897" borderId="2894" applyFont="1" applyFill="1" applyBorder="1" numFmtId="165"/>
    <xf fontId="2901" fillId="2898" borderId="2895" applyFont="1" applyFill="1" applyBorder="1" numFmtId="168"/>
    <xf fontId="2902" fillId="2899" borderId="2896" applyFont="1" applyFill="1" applyBorder="1" numFmtId="4"/>
    <xf fontId="2903" fillId="2900" borderId="2897" applyFont="1" applyFill="1" applyBorder="1" numFmtId="165"/>
    <xf fontId="2904" fillId="2901" borderId="2898" applyFont="1" applyFill="1" applyBorder="1" numFmtId="165"/>
    <xf fontId="2905" fillId="2902" borderId="2899" applyFont="1" applyFill="1" applyBorder="1" numFmtId="168"/>
    <xf fontId="2906" fillId="2903" borderId="2900" applyFont="1" applyFill="1" applyBorder="1" numFmtId="4"/>
    <xf fontId="2907" fillId="2904" borderId="2901" applyFont="1" applyFill="1" applyBorder="1" numFmtId="165"/>
    <xf fontId="2908" fillId="2905" borderId="2902" applyFont="1" applyFill="1" applyBorder="1" numFmtId="165"/>
    <xf fontId="2909" fillId="2906" borderId="2903" applyFont="1" applyFill="1" applyBorder="1" numFmtId="168"/>
    <xf fontId="2910" fillId="2907" borderId="2904" applyFont="1" applyFill="1" applyBorder="1" numFmtId="4"/>
    <xf fontId="2911" fillId="2908" borderId="2905" applyFont="1" applyFill="1" applyBorder="1" numFmtId="165"/>
    <xf fontId="2912" fillId="2909" borderId="2906" applyFont="1" applyFill="1" applyBorder="1" numFmtId="165"/>
    <xf fontId="2913" fillId="2910" borderId="2907" applyFont="1" applyFill="1" applyBorder="1" numFmtId="168"/>
    <xf fontId="2914" fillId="2911" borderId="2908" applyFont="1" applyFill="1" applyBorder="1" numFmtId="4"/>
    <xf fontId="2915" fillId="2912" borderId="2909" applyFont="1" applyFill="1" applyBorder="1" numFmtId="165"/>
    <xf fontId="2916" fillId="2913" borderId="2910" applyFont="1" applyFill="1" applyBorder="1" numFmtId="165"/>
    <xf fontId="2917" fillId="2914" borderId="2911" applyFont="1" applyFill="1" applyBorder="1" numFmtId="168"/>
    <xf fontId="2918" fillId="2915" borderId="2912" applyFont="1" applyFill="1" applyBorder="1" numFmtId="4"/>
    <xf fontId="2919" fillId="2916" borderId="2913" applyFont="1" applyFill="1" applyBorder="1" numFmtId="165"/>
    <xf fontId="2920" fillId="2917" borderId="2914" applyFont="1" applyFill="1" applyBorder="1" numFmtId="165"/>
    <xf fontId="2921" fillId="2918" borderId="2915" applyFont="1" applyFill="1" applyBorder="1" numFmtId="168"/>
    <xf fontId="2922" fillId="2919" borderId="2916" applyFont="1" applyFill="1" applyBorder="1" numFmtId="4"/>
    <xf fontId="2923" fillId="2920" borderId="2917" applyFont="1" applyFill="1" applyBorder="1" numFmtId="165"/>
    <xf fontId="2924" fillId="2921" borderId="2918" applyFont="1" applyFill="1" applyBorder="1" numFmtId="165"/>
    <xf fontId="2925" fillId="2922" borderId="2919" applyFont="1" applyFill="1" applyBorder="1" numFmtId="168"/>
    <xf fontId="2926" fillId="2923" borderId="2920" applyFont="1" applyFill="1" applyBorder="1" numFmtId="4"/>
    <xf fontId="2927" fillId="2924" borderId="2921" applyFont="1" applyFill="1" applyBorder="1" numFmtId="165"/>
    <xf fontId="2928" fillId="2925" borderId="2922" applyFont="1" applyFill="1" applyBorder="1" numFmtId="165"/>
    <xf fontId="2929" fillId="2926" borderId="2923" applyFont="1" applyFill="1" applyBorder="1" numFmtId="168"/>
    <xf fontId="2930" fillId="2927" borderId="2924" applyFont="1" applyFill="1" applyBorder="1" numFmtId="4"/>
    <xf fontId="2931" fillId="2928" borderId="2925" applyFont="1" applyFill="1" applyBorder="1" numFmtId="165"/>
    <xf fontId="2932" fillId="2929" borderId="2926" applyFont="1" applyFill="1" applyBorder="1" numFmtId="165"/>
    <xf fontId="2933" fillId="2930" borderId="2927" applyFont="1" applyFill="1" applyBorder="1" numFmtId="168"/>
    <xf fontId="2934" fillId="2931" borderId="2928" applyFont="1" applyFill="1" applyBorder="1" numFmtId="4"/>
    <xf fontId="2935" fillId="2932" borderId="2929" applyFont="1" applyFill="1" applyBorder="1" numFmtId="165"/>
    <xf fontId="2936" fillId="2933" borderId="2930" applyFont="1" applyFill="1" applyBorder="1" numFmtId="165"/>
    <xf fontId="2937" fillId="2934" borderId="2931" applyFont="1" applyFill="1" applyBorder="1" numFmtId="168"/>
    <xf fontId="2938" fillId="2935" borderId="2932" applyFont="1" applyFill="1" applyBorder="1" numFmtId="4"/>
    <xf fontId="2939" fillId="2936" borderId="2933" applyFont="1" applyFill="1" applyBorder="1" numFmtId="165"/>
    <xf fontId="2940" fillId="2937" borderId="2934" applyFont="1" applyFill="1" applyBorder="1" numFmtId="165"/>
    <xf fontId="2941" fillId="2938" borderId="2935" applyFont="1" applyFill="1" applyBorder="1" numFmtId="168"/>
    <xf fontId="2942" fillId="2939" borderId="2936" applyFont="1" applyFill="1" applyBorder="1" numFmtId="4"/>
    <xf fontId="2943" fillId="2940" borderId="2937" applyFont="1" applyFill="1" applyBorder="1" numFmtId="165"/>
    <xf fontId="2944" fillId="2941" borderId="2938" applyFont="1" applyFill="1" applyBorder="1" numFmtId="165"/>
    <xf fontId="2945" fillId="2942" borderId="2939" applyFont="1" applyFill="1" applyBorder="1" numFmtId="168"/>
    <xf fontId="2946" fillId="2943" borderId="2940" applyFont="1" applyFill="1" applyBorder="1" numFmtId="4"/>
    <xf fontId="2947" fillId="2944" borderId="2941" applyFont="1" applyFill="1" applyBorder="1" numFmtId="165"/>
    <xf fontId="2948" fillId="2945" borderId="2942" applyFont="1" applyFill="1" applyBorder="1" numFmtId="165"/>
    <xf fontId="2949" fillId="2946" borderId="2943" applyFont="1" applyFill="1" applyBorder="1" numFmtId="168"/>
    <xf fontId="2950" fillId="2947" borderId="2944" applyFont="1" applyFill="1" applyBorder="1" numFmtId="4"/>
    <xf fontId="2951" fillId="2948" borderId="2945" applyFont="1" applyFill="1" applyBorder="1" numFmtId="165"/>
    <xf fontId="2952" fillId="2949" borderId="2946" applyFont="1" applyFill="1" applyBorder="1" numFmtId="165"/>
    <xf fontId="2953" fillId="2950" borderId="2947" applyFont="1" applyFill="1" applyBorder="1" numFmtId="168"/>
    <xf fontId="2954" fillId="2951" borderId="2948" applyFont="1" applyFill="1" applyBorder="1" numFmtId="4"/>
    <xf fontId="2955" fillId="2952" borderId="2949" applyFont="1" applyFill="1" applyBorder="1" numFmtId="165"/>
    <xf fontId="2956" fillId="2953" borderId="2950" applyFont="1" applyFill="1" applyBorder="1" numFmtId="165"/>
    <xf fontId="2957" fillId="2954" borderId="2951" applyFont="1" applyFill="1" applyBorder="1" numFmtId="168"/>
    <xf fontId="2958" fillId="2955" borderId="2952" applyFont="1" applyFill="1" applyBorder="1" numFmtId="4"/>
    <xf fontId="2959" fillId="2956" borderId="2953" applyFont="1" applyFill="1" applyBorder="1" numFmtId="165"/>
    <xf fontId="2960" fillId="2957" borderId="2954" applyFont="1" applyFill="1" applyBorder="1" numFmtId="165"/>
    <xf fontId="2961" fillId="2958" borderId="2955" applyFont="1" applyFill="1" applyBorder="1" numFmtId="168"/>
    <xf fontId="2962" fillId="2959" borderId="2956" applyFont="1" applyFill="1" applyBorder="1" numFmtId="4"/>
    <xf fontId="2963" fillId="2960" borderId="2957" applyFont="1" applyFill="1" applyBorder="1" numFmtId="165"/>
    <xf fontId="2964" fillId="2961" borderId="2958" applyFont="1" applyFill="1" applyBorder="1" numFmtId="165"/>
    <xf fontId="2965" fillId="2962" borderId="2959" applyFont="1" applyFill="1" applyBorder="1" numFmtId="168"/>
    <xf fontId="2966" fillId="2963" borderId="2960" applyFont="1" applyFill="1" applyBorder="1" numFmtId="4"/>
    <xf fontId="2967" fillId="2964" borderId="2961" applyFont="1" applyFill="1" applyBorder="1" numFmtId="165"/>
    <xf fontId="2968" fillId="2965" borderId="2962" applyFont="1" applyFill="1" applyBorder="1" numFmtId="165"/>
    <xf fontId="2969" fillId="2966" borderId="2963" applyFont="1" applyFill="1" applyBorder="1" numFmtId="168"/>
    <xf fontId="2970" fillId="2967" borderId="2964" applyFont="1" applyFill="1" applyBorder="1" numFmtId="4"/>
    <xf fontId="2971" fillId="2968" borderId="2965" applyFont="1" applyFill="1" applyBorder="1" numFmtId="165"/>
    <xf fontId="2972" fillId="2969" borderId="2966" applyFont="1" applyFill="1" applyBorder="1" numFmtId="165"/>
    <xf fontId="2973" fillId="2970" borderId="2967" applyFont="1" applyFill="1" applyBorder="1" numFmtId="168"/>
    <xf fontId="2974" fillId="2971" borderId="2968" applyFont="1" applyFill="1" applyBorder="1" numFmtId="4"/>
    <xf fontId="2975" fillId="2972" borderId="2969" applyFont="1" applyFill="1" applyBorder="1" numFmtId="165"/>
    <xf fontId="2976" fillId="2973" borderId="2970" applyFont="1" applyFill="1" applyBorder="1" numFmtId="165"/>
    <xf fontId="2977" fillId="2974" borderId="2971" applyFont="1" applyFill="1" applyBorder="1" numFmtId="168"/>
    <xf fontId="2978" fillId="2975" borderId="2972" applyFont="1" applyFill="1" applyBorder="1" numFmtId="4"/>
    <xf fontId="2979" fillId="2976" borderId="2973" applyFont="1" applyFill="1" applyBorder="1" numFmtId="165"/>
    <xf fontId="2980" fillId="2977" borderId="2974" applyFont="1" applyFill="1" applyBorder="1" numFmtId="165"/>
    <xf fontId="2981" fillId="2978" borderId="2975" applyFont="1" applyFill="1" applyBorder="1" numFmtId="168"/>
    <xf fontId="2982" fillId="2979" borderId="2976" applyFont="1" applyFill="1" applyBorder="1" numFmtId="4"/>
    <xf fontId="2983" fillId="2980" borderId="2977" applyFont="1" applyFill="1" applyBorder="1" numFmtId="165"/>
    <xf fontId="2984" fillId="2981" borderId="2978" applyFont="1" applyFill="1" applyBorder="1" numFmtId="165"/>
    <xf fontId="2985" fillId="2982" borderId="2979" applyFont="1" applyFill="1" applyBorder="1" numFmtId="168"/>
    <xf fontId="2986" fillId="2983" borderId="2980" applyFont="1" applyFill="1" applyBorder="1" numFmtId="4"/>
    <xf fontId="2987" fillId="2984" borderId="2981" applyFont="1" applyFill="1" applyBorder="1" numFmtId="165"/>
    <xf fontId="2988" fillId="2985" borderId="2982" applyFont="1" applyFill="1" applyBorder="1" numFmtId="165"/>
    <xf fontId="2989" fillId="2986" borderId="2983" applyFont="1" applyFill="1" applyBorder="1" numFmtId="168"/>
    <xf fontId="2990" fillId="2987" borderId="2984" applyFont="1" applyFill="1" applyBorder="1" numFmtId="4"/>
    <xf fontId="2991" fillId="2988" borderId="2985" applyFont="1" applyFill="1" applyBorder="1" numFmtId="165"/>
    <xf fontId="2992" fillId="2989" borderId="2986" applyFont="1" applyFill="1" applyBorder="1" numFmtId="165"/>
    <xf fontId="2993" fillId="2990" borderId="2987" applyFont="1" applyFill="1" applyBorder="1" numFmtId="168"/>
    <xf fontId="2994" fillId="2991" borderId="2988" applyFont="1" applyFill="1" applyBorder="1" numFmtId="4"/>
    <xf fontId="2995" fillId="2992" borderId="2989" applyFont="1" applyFill="1" applyBorder="1" numFmtId="165"/>
    <xf fontId="2996" fillId="2993" borderId="2990" applyFont="1" applyFill="1" applyBorder="1" numFmtId="165"/>
    <xf fontId="2997" fillId="2994" borderId="2991" applyFont="1" applyFill="1" applyBorder="1" numFmtId="168"/>
    <xf fontId="2998" fillId="2995" borderId="2992" applyFont="1" applyFill="1" applyBorder="1" numFmtId="4"/>
    <xf fontId="2999" fillId="2996" borderId="2993" applyFont="1" applyFill="1" applyBorder="1" numFmtId="165"/>
    <xf fontId="3000" fillId="2997" borderId="2994" applyFont="1" applyFill="1" applyBorder="1" numFmtId="165"/>
    <xf fontId="3001" fillId="2998" borderId="2995" applyFont="1" applyFill="1" applyBorder="1" numFmtId="168"/>
    <xf fontId="3002" fillId="2999" borderId="2996" applyFont="1" applyFill="1" applyBorder="1" numFmtId="4"/>
    <xf fontId="3003" fillId="3000" borderId="2997" applyFont="1" applyFill="1" applyBorder="1" numFmtId="165"/>
    <xf fontId="3004" fillId="3001" borderId="2998" applyFont="1" applyFill="1" applyBorder="1" numFmtId="165"/>
    <xf fontId="3005" fillId="3002" borderId="2999" applyFont="1" applyFill="1" applyBorder="1" numFmtId="168"/>
    <xf fontId="3006" fillId="3003" borderId="3000" applyFont="1" applyFill="1" applyBorder="1" numFmtId="4"/>
    <xf fontId="3007" fillId="3004" borderId="3001" applyFont="1" applyFill="1" applyBorder="1" numFmtId="165"/>
    <xf fontId="3008" fillId="3005" borderId="3002" applyFont="1" applyFill="1" applyBorder="1" numFmtId="165"/>
    <xf fontId="3009" fillId="3006" borderId="3003" applyFont="1" applyFill="1" applyBorder="1" numFmtId="168"/>
    <xf fontId="3010" fillId="3007" borderId="3004" applyFont="1" applyFill="1" applyBorder="1" numFmtId="4"/>
    <xf fontId="3011" fillId="3008" borderId="3005" applyFont="1" applyFill="1" applyBorder="1" numFmtId="165"/>
    <xf fontId="3012" fillId="3009" borderId="3006" applyFont="1" applyFill="1" applyBorder="1" numFmtId="165"/>
    <xf fontId="3013" fillId="3010" borderId="3007" applyFont="1" applyFill="1" applyBorder="1" numFmtId="168"/>
    <xf fontId="3014" fillId="3011" borderId="3008" applyFont="1" applyFill="1" applyBorder="1" numFmtId="4"/>
    <xf fontId="3015" fillId="3012" borderId="3009" applyFont="1" applyFill="1" applyBorder="1" numFmtId="165"/>
    <xf fontId="3016" fillId="3013" borderId="3010" applyFont="1" applyFill="1" applyBorder="1" numFmtId="165"/>
    <xf fontId="3017" fillId="3014" borderId="3011" applyFont="1" applyFill="1" applyBorder="1" numFmtId="168"/>
    <xf fontId="3018" fillId="3015" borderId="3012" applyFont="1" applyFill="1" applyBorder="1" numFmtId="4"/>
    <xf fontId="3019" fillId="3016" borderId="3013" applyFont="1" applyFill="1" applyBorder="1" numFmtId="165"/>
    <xf fontId="3020" fillId="3017" borderId="3014" applyFont="1" applyFill="1" applyBorder="1" numFmtId="165"/>
    <xf fontId="3021" fillId="3018" borderId="3015" applyFont="1" applyFill="1" applyBorder="1" numFmtId="168"/>
    <xf fontId="3022" fillId="3019" borderId="3016" applyFont="1" applyFill="1" applyBorder="1" numFmtId="4"/>
    <xf fontId="3023" fillId="3020" borderId="3017" applyFont="1" applyFill="1" applyBorder="1" numFmtId="165"/>
    <xf fontId="3024" fillId="3021" borderId="3018" applyFont="1" applyFill="1" applyBorder="1" numFmtId="165"/>
    <xf fontId="3025" fillId="3022" borderId="3019" applyFont="1" applyFill="1" applyBorder="1" numFmtId="168"/>
    <xf fontId="3026" fillId="3023" borderId="3020" applyFont="1" applyFill="1" applyBorder="1" numFmtId="4"/>
    <xf fontId="3027" fillId="3024" borderId="3021" applyFont="1" applyFill="1" applyBorder="1" numFmtId="165"/>
    <xf fontId="3028" fillId="3025" borderId="3022" applyFont="1" applyFill="1" applyBorder="1" numFmtId="165"/>
    <xf fontId="3029" fillId="3026" borderId="3023" applyFont="1" applyFill="1" applyBorder="1" numFmtId="168"/>
    <xf fontId="3030" fillId="3027" borderId="3024" applyFont="1" applyFill="1" applyBorder="1" numFmtId="4"/>
    <xf fontId="3031" fillId="3028" borderId="3025" applyFont="1" applyFill="1" applyBorder="1" numFmtId="165"/>
    <xf fontId="3032" fillId="3029" borderId="3026" applyFont="1" applyFill="1" applyBorder="1" numFmtId="165"/>
    <xf fontId="3033" fillId="3030" borderId="3027" applyFont="1" applyFill="1" applyBorder="1" numFmtId="168"/>
    <xf fontId="3034" fillId="3031" borderId="3028" applyFont="1" applyFill="1" applyBorder="1" numFmtId="4"/>
    <xf fontId="3035" fillId="3032" borderId="3029" applyFont="1" applyFill="1" applyBorder="1" numFmtId="165"/>
    <xf fontId="3036" fillId="3033" borderId="3030" applyFont="1" applyFill="1" applyBorder="1" numFmtId="165"/>
    <xf fontId="3037" fillId="3034" borderId="3031" applyFont="1" applyFill="1" applyBorder="1" numFmtId="168"/>
    <xf fontId="3038" fillId="3035" borderId="3032" applyFont="1" applyFill="1" applyBorder="1" numFmtId="4"/>
    <xf fontId="3039" fillId="3036" borderId="3033" applyFont="1" applyFill="1" applyBorder="1" numFmtId="165"/>
    <xf fontId="3040" fillId="3037" borderId="3034" applyFont="1" applyFill="1" applyBorder="1" numFmtId="165"/>
    <xf fontId="3041" fillId="3038" borderId="3035" applyFont="1" applyFill="1" applyBorder="1" numFmtId="168"/>
    <xf fontId="3042" fillId="3039" borderId="3036" applyFont="1" applyFill="1" applyBorder="1" numFmtId="4"/>
    <xf fontId="3043" fillId="3040" borderId="3037" applyFont="1" applyFill="1" applyBorder="1" numFmtId="165"/>
    <xf fontId="3044" fillId="3041" borderId="3038" applyFont="1" applyFill="1" applyBorder="1" numFmtId="165"/>
    <xf fontId="3045" fillId="3042" borderId="3039" applyFont="1" applyFill="1" applyBorder="1" numFmtId="168"/>
    <xf fontId="3046" fillId="3043" borderId="3040" applyFont="1" applyFill="1" applyBorder="1" numFmtId="4"/>
    <xf fontId="3047" fillId="3044" borderId="3041" applyFont="1" applyFill="1" applyBorder="1" numFmtId="165"/>
    <xf fontId="3048" fillId="3045" borderId="3042" applyFont="1" applyFill="1" applyBorder="1" numFmtId="165"/>
    <xf fontId="3049" fillId="3046" borderId="3043" applyFont="1" applyFill="1" applyBorder="1" numFmtId="168"/>
    <xf fontId="3050" fillId="3047" borderId="3044" applyFont="1" applyFill="1" applyBorder="1" numFmtId="4"/>
    <xf fontId="3051" fillId="3048" borderId="3045" applyFont="1" applyFill="1" applyBorder="1" numFmtId="165"/>
    <xf fontId="3052" fillId="3049" borderId="3046" applyFont="1" applyFill="1" applyBorder="1" numFmtId="165"/>
  </cellXfs>
  <cellStyles count="2">
    <cellStyle name="Normal" xfId="0" builtinId="0"/>
    <cellStyle name="Normal 2" xfId="1" xr:uid="{BCCA1864-8AB9-44B7-BD98-57B365AB0C60}"/>
  </cellStyles>
  <dxfs count="7">
    <dxf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Relationship Id="rId17" Type="http://schemas.openxmlformats.org/officeDocument/2006/relationships/worksheet" Target="worksheets/sheet1.xml"/><Relationship Id="rId18" Type="http://schemas.openxmlformats.org/officeDocument/2006/relationships/worksheet" Target="worksheets/sheet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Litros</c:v>
          </c:tx>
          <c:invertIfNegative val="1"/>
          <c:cat>
            <c:strRef>
              <c:f>Dashboard!$D$4:$D$6</c:f>
              <c:strCache>
                <c:ptCount val="3"/>
                <c:pt idx="0">
                  <c:v>México-Toluca</c:v>
                </c:pt>
                <c:pt idx="1">
                  <c:v>Lerma - Tres Marías</c:v>
                </c:pt>
                <c:pt idx="2">
                  <c:v>Chamapa-Lechería</c:v>
                </c:pt>
              </c:strCache>
            </c:strRef>
          </c:cat>
          <c:val>
            <c:numRef>
              <c:f>Dashboard!$E$4:$E$6</c:f>
              <c:numCache>
                <c:formatCode>#,##0.00</c:formatCode>
                <c:ptCount val="3"/>
                <c:pt idx="0">
                  <c:v>1285</c:v>
                </c:pt>
                <c:pt idx="1">
                  <c:v>872</c:v>
                </c:pt>
                <c:pt idx="2">
                  <c:v>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0-485C-850E-CD4FBAC68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Peticiones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Dashboard_Ejecutivo!$D$4</c:f>
              <c:strCache>
                <c:ptCount val="1"/>
                <c:pt idx="0">
                  <c:v>Litros Solicitados</c:v>
                </c:pt>
              </c:strCache>
            </c:strRef>
          </c:tx>
          <c:invertIfNegative val="0"/>
          <c:cat>
            <c:strRef>
              <c:f>Dashboard_Ejecutivo!$B$5:$B$16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Dashboard_Ejecutivo!$D$5:$D$16</c:f>
              <c:numCache>
                <c:formatCode>General</c:formatCode>
                <c:ptCount val="12"/>
                <c:pt idx="0">
                  <c:v>160</c:v>
                </c:pt>
                <c:pt idx="1">
                  <c:v>640</c:v>
                </c:pt>
                <c:pt idx="2">
                  <c:v>100</c:v>
                </c:pt>
                <c:pt idx="3">
                  <c:v>990</c:v>
                </c:pt>
                <c:pt idx="4">
                  <c:v>100</c:v>
                </c:pt>
                <c:pt idx="5">
                  <c:v>790</c:v>
                </c:pt>
                <c:pt idx="6">
                  <c:v>210</c:v>
                </c:pt>
                <c:pt idx="7">
                  <c:v>320</c:v>
                </c:pt>
                <c:pt idx="8">
                  <c:v>70</c:v>
                </c:pt>
                <c:pt idx="9">
                  <c:v>460</c:v>
                </c:pt>
                <c:pt idx="10">
                  <c:v>620</c:v>
                </c:pt>
                <c:pt idx="11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5-4955-817E-309108568BD8}"/>
            </c:ext>
          </c:extLst>
        </c:ser>
        <c:ser>
          <c:idx val="1"/>
          <c:order val="1"/>
          <c:tx>
            <c:strRef>
              <c:f>Dashboard_Ejecutivo!$E$4</c:f>
              <c:strCache>
                <c:ptCount val="1"/>
                <c:pt idx="0">
                  <c:v>Costo Estimado ($)</c:v>
                </c:pt>
              </c:strCache>
            </c:strRef>
          </c:tx>
          <c:invertIfNegative val="0"/>
          <c:cat>
            <c:strRef>
              <c:f>Dashboard_Ejecutivo!$B$5:$B$16</c:f>
              <c:strCache>
                <c:ptCount val="12"/>
                <c:pt idx="0">
                  <c:v>2026-06-07</c:v>
                </c:pt>
                <c:pt idx="1">
                  <c:v>2026-06-07</c:v>
                </c:pt>
                <c:pt idx="2">
                  <c:v>2026-06-08</c:v>
                </c:pt>
                <c:pt idx="3">
                  <c:v>2026-06-08</c:v>
                </c:pt>
                <c:pt idx="4">
                  <c:v>2026-06-09</c:v>
                </c:pt>
                <c:pt idx="5">
                  <c:v>2026-06-09</c:v>
                </c:pt>
                <c:pt idx="6">
                  <c:v>2026-06-09</c:v>
                </c:pt>
                <c:pt idx="7">
                  <c:v>2026-06-10</c:v>
                </c:pt>
                <c:pt idx="8">
                  <c:v>2026-06-11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2026-06-12</c:v>
                </c:pt>
              </c:strCache>
            </c:strRef>
          </c:cat>
          <c:val>
            <c:numRef>
              <c:f>Dashboard_Ejecutivo!$E$5:$E$16</c:f>
              <c:numCache>
                <c:formatCode>"$"#,##0.00</c:formatCode>
                <c:ptCount val="12"/>
                <c:pt idx="0">
                  <c:v>4528</c:v>
                </c:pt>
                <c:pt idx="1">
                  <c:v>18112</c:v>
                </c:pt>
                <c:pt idx="2">
                  <c:v>2830</c:v>
                </c:pt>
                <c:pt idx="3">
                  <c:v>28017</c:v>
                </c:pt>
                <c:pt idx="4">
                  <c:v>2830</c:v>
                </c:pt>
                <c:pt idx="5">
                  <c:v>22357</c:v>
                </c:pt>
                <c:pt idx="6">
                  <c:v>5943</c:v>
                </c:pt>
                <c:pt idx="7">
                  <c:v>9056</c:v>
                </c:pt>
                <c:pt idx="8">
                  <c:v>1981</c:v>
                </c:pt>
                <c:pt idx="9">
                  <c:v>13018</c:v>
                </c:pt>
                <c:pt idx="10">
                  <c:v>17546</c:v>
                </c:pt>
                <c:pt idx="11">
                  <c:v>15282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5-4955-817E-309108568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Salidas Marimba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Dashboard_Ejecutivo!$I$4</c:f>
              <c:strCache>
                <c:ptCount val="1"/>
                <c:pt idx="0">
                  <c:v>Salida (L)</c:v>
                </c:pt>
              </c:strCache>
            </c:strRef>
          </c:tx>
          <c:invertIfNegative val="0"/>
          <c:cat>
            <c:strRef>
              <c:f>Dashboard_Ejecutivo!$G$5:$G$12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Dashboard_Ejecutivo!$I$5:$I$12</c:f>
              <c:numCache>
                <c:formatCode>General</c:formatCode>
                <c:ptCount val="8"/>
                <c:pt idx="0">
                  <c:v>455</c:v>
                </c:pt>
                <c:pt idx="1">
                  <c:v>97</c:v>
                </c:pt>
                <c:pt idx="2">
                  <c:v>369</c:v>
                </c:pt>
                <c:pt idx="3">
                  <c:v>736</c:v>
                </c:pt>
                <c:pt idx="4">
                  <c:v>300</c:v>
                </c:pt>
                <c:pt idx="5">
                  <c:v>256</c:v>
                </c:pt>
                <c:pt idx="6">
                  <c:v>502</c:v>
                </c:pt>
                <c:pt idx="7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B-490F-91B3-6FB220771F47}"/>
            </c:ext>
          </c:extLst>
        </c:ser>
        <c:ser>
          <c:idx val="1"/>
          <c:order val="1"/>
          <c:tx>
            <c:strRef>
              <c:f>Dashboard_Ejecutivo!$J$4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Dashboard_Ejecutivo!$G$5:$G$12</c:f>
              <c:strCache>
                <c:ptCount val="8"/>
                <c:pt idx="0">
                  <c:v>2026-06-08</c:v>
                </c:pt>
                <c:pt idx="1">
                  <c:v>2026-06-08</c:v>
                </c:pt>
                <c:pt idx="2">
                  <c:v>2026-06-08</c:v>
                </c:pt>
                <c:pt idx="3">
                  <c:v>2026-06-09</c:v>
                </c:pt>
                <c:pt idx="4">
                  <c:v>2026-06-10</c:v>
                </c:pt>
                <c:pt idx="5">
                  <c:v>2026-06-11</c:v>
                </c:pt>
                <c:pt idx="6">
                  <c:v>2026-06-12</c:v>
                </c:pt>
                <c:pt idx="7">
                  <c:v>2026-06-12</c:v>
                </c:pt>
              </c:strCache>
            </c:strRef>
          </c:cat>
          <c:val>
            <c:numRef>
              <c:f>Dashboard_Ejecutivo!$J$5:$J$12</c:f>
              <c:numCache>
                <c:formatCode>"$"#,##0.00</c:formatCode>
                <c:ptCount val="8"/>
                <c:pt idx="0">
                  <c:v>12876.5</c:v>
                </c:pt>
                <c:pt idx="1">
                  <c:v>2745.1</c:v>
                </c:pt>
                <c:pt idx="2">
                  <c:v>10442.700000000001</c:v>
                </c:pt>
                <c:pt idx="3">
                  <c:v>20828.8</c:v>
                </c:pt>
                <c:pt idx="4">
                  <c:v>8490</c:v>
                </c:pt>
                <c:pt idx="5">
                  <c:v>7244.8</c:v>
                </c:pt>
                <c:pt idx="6">
                  <c:v>14206.6</c:v>
                </c:pt>
                <c:pt idx="7">
                  <c:v>10188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B-490F-91B3-6FB220771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/ 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Consumo Total Semanal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Dashboard_Ejecutivo!$W$4</c:f>
              <c:strCache>
                <c:ptCount val="1"/>
                <c:pt idx="0">
                  <c:v>Litros Recibidos</c:v>
                </c:pt>
              </c:strCache>
            </c:strRef>
          </c:tx>
          <c:invertIfNegative val="0"/>
          <c:cat>
            <c:strRef>
              <c:f>Dashboard_Ejecutivo!$V$5:$V$9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Dashboard_Ejecutivo!$W$5:$W$9</c:f>
              <c:numCache>
                <c:formatCode>General</c:formatCode>
                <c:ptCount val="5"/>
                <c:pt idx="0">
                  <c:v>200</c:v>
                </c:pt>
                <c:pt idx="1">
                  <c:v>1693</c:v>
                </c:pt>
                <c:pt idx="2">
                  <c:v>872</c:v>
                </c:pt>
                <c:pt idx="3">
                  <c:v>1285</c:v>
                </c:pt>
                <c:pt idx="4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A-4BC3-82EA-419FC4AF9D62}"/>
            </c:ext>
          </c:extLst>
        </c:ser>
        <c:ser>
          <c:idx val="1"/>
          <c:order val="1"/>
          <c:tx>
            <c:strRef>
              <c:f>Dashboard_Ejecutivo!$X$4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Dashboard_Ejecutivo!$V$5:$V$9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Dashboard_Ejecutivo!$X$5:$X$9</c:f>
              <c:numCache>
                <c:formatCode>"$"#,##0.00</c:formatCode>
                <c:ptCount val="5"/>
                <c:pt idx="0">
                  <c:v>5660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2A-4BC3-82EA-419FC4AF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Dashboard_Ejecutivo!$C$37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Dashboard_Ejecutivo!$B$38:$B$43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Dashboard_Ejecutivo!$C$38:$C$43</c:f>
              <c:numCache>
                <c:formatCode>"$"#,##0.00</c:formatCode>
                <c:ptCount val="6"/>
                <c:pt idx="0">
                  <c:v>22640</c:v>
                </c:pt>
                <c:pt idx="1">
                  <c:v>30847</c:v>
                </c:pt>
                <c:pt idx="2">
                  <c:v>31130</c:v>
                </c:pt>
                <c:pt idx="3">
                  <c:v>9056</c:v>
                </c:pt>
                <c:pt idx="4">
                  <c:v>14999</c:v>
                </c:pt>
                <c:pt idx="5">
                  <c:v>32828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F-4BE7-99F7-2D965B12A74E}"/>
            </c:ext>
          </c:extLst>
        </c:ser>
        <c:ser>
          <c:idx val="1"/>
          <c:order val="1"/>
          <c:tx>
            <c:strRef>
              <c:f>Dashboard_Ejecutivo!$D$37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Dashboard_Ejecutivo!$B$38:$B$43</c:f>
              <c:strCache>
                <c:ptCount val="6"/>
                <c:pt idx="0">
                  <c:v>2026-06-07</c:v>
                </c:pt>
                <c:pt idx="1">
                  <c:v>2026-06-08</c:v>
                </c:pt>
                <c:pt idx="2">
                  <c:v>2026-06-09</c:v>
                </c:pt>
                <c:pt idx="3">
                  <c:v>2026-06-10</c:v>
                </c:pt>
                <c:pt idx="4">
                  <c:v>2026-06-11</c:v>
                </c:pt>
                <c:pt idx="5">
                  <c:v>2026-06-12</c:v>
                </c:pt>
              </c:strCache>
            </c:strRef>
          </c:cat>
          <c:val>
            <c:numRef>
              <c:f>Dashboard_Ejecutivo!$D$38:$D$43</c:f>
              <c:numCache>
                <c:formatCode>"$"#,##0.00</c:formatCode>
                <c:ptCount val="6"/>
                <c:pt idx="0">
                  <c:v>0</c:v>
                </c:pt>
                <c:pt idx="1">
                  <c:v>42733</c:v>
                </c:pt>
                <c:pt idx="2">
                  <c:v>25922.799999999999</c:v>
                </c:pt>
                <c:pt idx="3">
                  <c:v>11320</c:v>
                </c:pt>
                <c:pt idx="4">
                  <c:v>30818.7</c:v>
                </c:pt>
                <c:pt idx="5">
                  <c:v>26375.599999999999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F-4BE7-99F7-2D965B12A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Comparativa Costos por Obra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Dashboard_Ejecutivo!$H$37</c:f>
              <c:strCache>
                <c:ptCount val="1"/>
                <c:pt idx="0">
                  <c:v>Costo Solicitado ($)</c:v>
                </c:pt>
              </c:strCache>
            </c:strRef>
          </c:tx>
          <c:invertIfNegative val="0"/>
          <c:cat>
            <c:strRef>
              <c:f>Dashboard_Ejecutivo!$G$38:$G$42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Dashboard_Ejecutivo!$H$38:$H$42</c:f>
              <c:numCache>
                <c:formatCode>"$"#,##0.00</c:formatCode>
                <c:ptCount val="5"/>
                <c:pt idx="0">
                  <c:v>7641</c:v>
                </c:pt>
                <c:pt idx="1">
                  <c:v>67920</c:v>
                </c:pt>
                <c:pt idx="2">
                  <c:v>23489</c:v>
                </c:pt>
                <c:pt idx="3">
                  <c:v>42450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B-4881-B489-5D0800D67203}"/>
            </c:ext>
          </c:extLst>
        </c:ser>
        <c:ser>
          <c:idx val="1"/>
          <c:order val="1"/>
          <c:tx>
            <c:strRef>
              <c:f>Dashboard_Ejecutivo!$I$37</c:f>
              <c:strCache>
                <c:ptCount val="1"/>
                <c:pt idx="0">
                  <c:v>Costo Surtido ($)</c:v>
                </c:pt>
              </c:strCache>
            </c:strRef>
          </c:tx>
          <c:invertIfNegative val="0"/>
          <c:cat>
            <c:strRef>
              <c:f>Dashboard_Ejecutivo!$G$38:$G$42</c:f>
              <c:strCache>
                <c:ptCount val="5"/>
                <c:pt idx="0">
                  <c:v>Bacheo Toluca</c:v>
                </c:pt>
                <c:pt idx="1">
                  <c:v>Chamapa-Lechería</c:v>
                </c:pt>
                <c:pt idx="2">
                  <c:v>Lerma - Tres Marías</c:v>
                </c:pt>
                <c:pt idx="3">
                  <c:v>México-Toluca</c:v>
                </c:pt>
                <c:pt idx="4">
                  <c:v>Planta Asfalto Pegaso</c:v>
                </c:pt>
              </c:strCache>
            </c:strRef>
          </c:cat>
          <c:val>
            <c:numRef>
              <c:f>Dashboard_Ejecutivo!$I$38:$I$42</c:f>
              <c:numCache>
                <c:formatCode>"$"#,##0.00</c:formatCode>
                <c:ptCount val="5"/>
                <c:pt idx="0">
                  <c:v>9905</c:v>
                </c:pt>
                <c:pt idx="1">
                  <c:v>47911.9</c:v>
                </c:pt>
                <c:pt idx="2">
                  <c:v>24677.599999999999</c:v>
                </c:pt>
                <c:pt idx="3">
                  <c:v>36365.5</c:v>
                </c:pt>
                <c:pt idx="4">
                  <c:v>18310.099999999999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4B-4881-B489-5D0800D67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Obra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($)</a:t>
                </a:r>
              </a:p>
            </c:rich>
          </c:tx>
          <c:overlay val="0"/>
        </c:title>
        <c:numFmt formatCode="&quot;$&quot;#,##0.00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17</xdr:row>
      <xdr:rowOff>53340</xdr:rowOff>
    </xdr:from>
    <xdr:to>
      <xdr:col>6</xdr:col>
      <xdr:colOff>220980</xdr:colOff>
      <xdr:row>31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43E3C-B075-4E82-821B-77B252845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502920</xdr:colOff>
      <xdr:row>15</xdr:row>
      <xdr:rowOff>0</xdr:rowOff>
    </xdr:from>
    <xdr:to>
      <xdr:col>13</xdr:col>
      <xdr:colOff>7620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967A1-1FEB-4E6F-B493-B5BA8B2CC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15</xdr:row>
      <xdr:rowOff>0</xdr:rowOff>
    </xdr:from>
    <xdr:to>
      <xdr:col>26</xdr:col>
      <xdr:colOff>142875</xdr:colOff>
      <xdr:row>32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5663C7-0557-43D8-8AC6-A65FEAB30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594360</xdr:colOff>
      <xdr:row>43</xdr:row>
      <xdr:rowOff>144780</xdr:rowOff>
    </xdr:from>
    <xdr:to>
      <xdr:col>6</xdr:col>
      <xdr:colOff>632460</xdr:colOff>
      <xdr:row>61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5D413E-68BD-4E87-9037-E224A4C67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1074420</xdr:colOff>
      <xdr:row>44</xdr:row>
      <xdr:rowOff>7620</xdr:rowOff>
    </xdr:from>
    <xdr:to>
      <xdr:col>12</xdr:col>
      <xdr:colOff>579120</xdr:colOff>
      <xdr:row>61</xdr:row>
      <xdr:rowOff>102870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C4B658-F7D8-4FBF-94AF-11F2369E3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egaso" displayName="TablaPegaso" ref="A4:L206">
  <tableColumns count="12">
    <tableColumn id="1" xr3:uid="{00000000-0010-0000-0000-000001000000}" name="Fecha"/>
    <tableColumn id="2" xr3:uid="{00000000-0010-0000-0000-000002000000}" name="Tipo Movimiento"/>
    <tableColumn id="3" xr3:uid="{00000000-0010-0000-0000-000003000000}" name="Origen/Destino"/>
    <tableColumn id="4" xr3:uid="{00000000-0010-0000-0000-000004000000}" name="Obra"/>
    <tableColumn id="12" xr3:uid="{6FC56168-92C9-4A15-92BB-9B6C0E40C899}" name="Equipo"/>
    <tableColumn id="5" xr3:uid="{00000000-0010-0000-0000-000005000000}" name="Economico" dataDxfId="6">
      <calculatedColumnFormula>VLOOKUP(TablaPegaso[[#This Row],[Equipo]],Catalogos!$I$4:$J$34,2,FALSE)</calculatedColumnFormula>
    </tableColumn>
    <tableColumn id="6" xr3:uid="{00000000-0010-0000-0000-000006000000}" name="Entrada (L)"/>
    <tableColumn id="7" xr3:uid="{00000000-0010-0000-0000-000007000000}" name="Salida (L)"/>
    <tableColumn id="8" xr3:uid="{00000000-0010-0000-0000-000008000000}" name="Existencia Teórica"/>
    <tableColumn id="9" xr3:uid="{00000000-0010-0000-0000-000009000000}" name="Costo/L"/>
    <tableColumn id="10" xr3:uid="{00000000-0010-0000-0000-00000A000000}" name="Importe"/>
    <tableColumn id="11" xr3:uid="{00000000-0010-0000-0000-00000B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Marimba" displayName="TablaMarimba" ref="A4:L204">
  <tableColumns count="12">
    <tableColumn id="1" xr3:uid="{00000000-0010-0000-0100-000001000000}" name="Fecha"/>
    <tableColumn id="2" xr3:uid="{00000000-0010-0000-0100-000002000000}" name="Movimiento"/>
    <tableColumn id="3" xr3:uid="{00000000-0010-0000-0100-000003000000}" name="Origen/Obra"/>
    <tableColumn id="4" xr3:uid="{00000000-0010-0000-0100-000004000000}" name="Equipo"/>
    <tableColumn id="5" xr3:uid="{00000000-0010-0000-0100-000005000000}" name="Económico" dataDxfId="5">
      <calculatedColumnFormula>VLOOKUP(TablaMarimba[[#This Row],[Equipo]],Catalogos!$I$4:$J$34,2,FALSE)</calculatedColumnFormula>
    </tableColumn>
    <tableColumn id="6" xr3:uid="{00000000-0010-0000-0100-000006000000}" name="Entrada (L)"/>
    <tableColumn id="7" xr3:uid="{00000000-0010-0000-0100-000007000000}" name="Salida (L)"/>
    <tableColumn id="8" xr3:uid="{00000000-0010-0000-0100-000008000000}" name="Existencia Teórica"/>
    <tableColumn id="9" xr3:uid="{00000000-0010-0000-0100-000009000000}" name="Costo/L"/>
    <tableColumn id="10" xr3:uid="{00000000-0010-0000-0100-00000A000000}" name="Importe"/>
    <tableColumn id="11" xr3:uid="{00000000-0010-0000-0100-00000B000000}" name="Firma/Validación"/>
    <tableColumn id="12" xr3:uid="{00000000-0010-0000-0100-00000C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51E1A0-46C0-4363-819E-C11C2C696F1C}" name="TablaObra5" displayName="TablaObra5" ref="A4:K306">
  <autoFilter ref="A4:K306" xr:uid="{9851E1A0-46C0-4363-819E-C11C2C696F1C}"/>
  <tableColumns count="11">
    <tableColumn id="1" xr3:uid="{1461E643-B1E3-492E-BC5A-066B8171677D}" name="Fecha de Solicitud"/>
    <tableColumn id="2" xr3:uid="{E50BD36F-ABD4-438F-AA45-39F57D395FF0}" name="Obra"/>
    <tableColumn id="3" xr3:uid="{53E110DB-361B-4AEE-AD5B-CE674074FD06}" name="Fecha de Trabajo"/>
    <tableColumn id="4" xr3:uid="{27E90FDA-03DE-4CAD-A83C-4B98937C8772}" name="Equipo"/>
    <tableColumn id="5" xr3:uid="{BB8BB4E0-3E58-479F-9990-B9C53949B459}" name="Económico" dataDxfId="4">
      <calculatedColumnFormula>VLOOKUP(TablaObra5[[#This Row],[Equipo]],Catalogos!$I$3:$J$34,2,FALSE)</calculatedColumnFormula>
    </tableColumn>
    <tableColumn id="6" xr3:uid="{A8C23F3C-BA7E-4A96-AF9D-0B9C2D8E2ED0}" name="Litros Solicitados"/>
    <tableColumn id="7" xr3:uid="{028C8286-16D5-4B91-A81F-1C92ED643D5D}" name="Costo/L"/>
    <tableColumn id="8" xr3:uid="{6B42E0B4-BE5B-4B8C-9683-6446D1D5811E}" name="Importe">
      <calculatedColumnFormula>IFERROR(F5*G5,0)</calculatedColumnFormula>
    </tableColumn>
    <tableColumn id="9" xr3:uid="{ED06D6D7-0C20-41DA-9A35-599A98082C50}" name="Solicitante" dataDxfId="3">
      <calculatedColumnFormula>VLOOKUP(TablaObra5[[#This Row],[Obra]],Catalogos!$B$3:$C$8,2,FALSE)</calculatedColumnFormula>
    </tableColumn>
    <tableColumn id="10" xr3:uid="{3356B847-A103-4C3D-AA1D-A6F252B567C6}" name="Incidencia"/>
    <tableColumn id="11" xr3:uid="{24ECEB33-E884-4825-9717-D5F9957DA85D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Obra" displayName="TablaObra" ref="A4:K304">
  <autoFilter ref="A4:K304" xr:uid="{00000000-000C-0000-FFFF-FFFF02000000}"/>
  <tableColumns count="11">
    <tableColumn id="1" xr3:uid="{00000000-0010-0000-0200-000001000000}" name="Fecha"/>
    <tableColumn id="2" xr3:uid="{00000000-0010-0000-0200-000002000000}" name="Obra"/>
    <tableColumn id="3" xr3:uid="{00000000-0010-0000-0200-000003000000}" name="Fuente"/>
    <tableColumn id="4" xr3:uid="{00000000-0010-0000-0200-000004000000}" name="Equipo"/>
    <tableColumn id="5" xr3:uid="{00000000-0010-0000-0200-000005000000}" name="Económico" dataDxfId="2">
      <calculatedColumnFormula>VLOOKUP(TablaObra[[#This Row],[Equipo]],Catalogos!I$4:J$34,2,FALSE)</calculatedColumnFormula>
    </tableColumn>
    <tableColumn id="6" xr3:uid="{00000000-0010-0000-0200-000006000000}" name="Litros Recibidos"/>
    <tableColumn id="7" xr3:uid="{00000000-0010-0000-0200-000007000000}" name="Costo/L"/>
    <tableColumn id="8" xr3:uid="{00000000-0010-0000-0200-000008000000}" name="Importe"/>
    <tableColumn id="9" xr3:uid="{00000000-0010-0000-0200-000009000000}" name="Actividad Ejecutada"/>
    <tableColumn id="10" xr3:uid="{00000000-0010-0000-0200-00000A000000}" name="Incidencia"/>
    <tableColumn id="11" xr3:uid="{00000000-0010-0000-0200-00000B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18" customWidth="1"/>
    <col min="2" max="2" width="1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 ht="35" customHeight="1">
      <c r="A1" t="s" s="21">
        <v>250</v>
      </c>
      <c r="B1" s="167"/>
      <c r="C1" s="168"/>
      <c r="D1" s="169"/>
      <c r="E1" s="170"/>
      <c r="F1" s="171"/>
      <c r="G1" s="172"/>
      <c r="H1" s="173"/>
      <c r="I1" s="174"/>
    </row>
    <row r="2">
      <c r="A2" s="175"/>
      <c r="B2" s="176"/>
      <c r="C2" s="177"/>
      <c r="D2" s="178"/>
      <c r="E2" s="179"/>
      <c r="F2" s="180"/>
      <c r="G2" s="181"/>
      <c r="H2" s="182"/>
      <c r="I2" s="183"/>
    </row>
    <row r="3" ht="20" customHeight="1">
      <c r="A3" t="s" s="22">
        <v>251</v>
      </c>
      <c r="B3" s="184"/>
      <c r="C3" s="185"/>
      <c r="D3" s="186"/>
      <c r="E3" s="187"/>
      <c r="F3" s="188"/>
      <c r="G3" s="189"/>
      <c r="H3" s="190"/>
      <c r="I3" s="191"/>
    </row>
    <row r="4">
      <c r="A4" s="192"/>
      <c r="B4" t="s" s="23">
        <v>252</v>
      </c>
      <c r="C4" t="s" s="26">
        <v>6</v>
      </c>
      <c r="D4" s="193"/>
      <c r="E4" s="194"/>
      <c r="F4" s="195"/>
      <c r="G4" s="196"/>
      <c r="H4" s="197"/>
      <c r="I4" s="198"/>
    </row>
    <row r="5">
      <c r="A5" s="199"/>
      <c r="B5" t="s" s="24">
        <v>253</v>
      </c>
      <c r="C5" s="27">
        <v>46181</v>
      </c>
      <c r="D5" s="200"/>
      <c r="E5" s="201"/>
      <c r="F5" s="202"/>
      <c r="G5" s="203"/>
      <c r="H5" s="204"/>
      <c r="I5" s="205"/>
    </row>
    <row r="6">
      <c r="A6" s="206"/>
      <c r="B6" t="s" s="25">
        <v>254</v>
      </c>
      <c r="C6" s="28">
        <v>28.3</v>
      </c>
      <c r="D6" s="207"/>
      <c r="E6" s="208"/>
      <c r="F6" s="209"/>
      <c r="G6" s="210"/>
      <c r="H6" s="211"/>
      <c r="I6" s="212"/>
    </row>
    <row r="7">
      <c r="A7" s="213"/>
      <c r="B7" s="214"/>
      <c r="C7" s="215"/>
      <c r="D7" s="216"/>
      <c r="E7" s="217"/>
      <c r="F7" s="218"/>
      <c r="G7" s="219"/>
      <c r="H7" s="220"/>
      <c r="I7" s="221"/>
    </row>
    <row r="8" ht="20" customHeight="1">
      <c r="A8" t="s" s="29">
        <v>255</v>
      </c>
      <c r="B8" s="222"/>
      <c r="C8" s="223"/>
      <c r="D8" s="224"/>
      <c r="E8" s="225"/>
      <c r="F8" s="226"/>
      <c r="G8" s="227"/>
      <c r="H8" s="228"/>
      <c r="I8" s="229"/>
    </row>
    <row r="9" ht="24" customHeight="1">
      <c r="A9" t="s" s="30">
        <v>256</v>
      </c>
      <c r="B9" t="s" s="31">
        <v>28</v>
      </c>
      <c r="C9" t="s" s="32">
        <v>257</v>
      </c>
      <c r="D9" t="s" s="33">
        <v>258</v>
      </c>
      <c r="E9" t="s" s="34">
        <v>259</v>
      </c>
      <c r="F9" t="s" s="35">
        <v>260</v>
      </c>
      <c r="G9" t="s" s="36">
        <v>261</v>
      </c>
      <c r="H9" t="s" s="37">
        <v>262</v>
      </c>
      <c r="I9" s="230"/>
    </row>
    <row r="10" ht="20" customHeight="1">
      <c r="A10" t="s" s="38">
        <v>263</v>
      </c>
      <c r="B10" s="39">
        <f>C$5</f>
      </c>
      <c r="C10" s="40">
        <f>IF(C$4="Todas", SUMIFS(Solicitudes!F:F, Solicitudes!C:C, B10), SUMIFS(Solicitudes!F:F, Solicitudes!B:B, C$4, Solicitudes!C:C, B10))</f>
      </c>
      <c r="D10" s="41">
        <f>IF(C$4="Todas", SUMIFS(Captura_Obra!F:F, Captura_Obra!A:A, B10), SUMIFS(Captura_Obra!F:F, Captura_Obra!B:B, C$4, Captura_Obra!A:A, B10))</f>
      </c>
      <c r="E10" s="42">
        <f>D10-C10</f>
      </c>
      <c r="F10" s="43">
        <f>C10*C$6</f>
      </c>
      <c r="G10" s="44">
        <f>D10*C$6</f>
      </c>
      <c r="H10" s="45">
        <f>G10-F10</f>
      </c>
      <c r="I10" s="231"/>
    </row>
    <row r="11" ht="20" customHeight="1">
      <c r="A11" t="s" s="46">
        <v>264</v>
      </c>
      <c r="B11" s="47">
        <f>B10+1</f>
      </c>
      <c r="C11" s="48">
        <f>IF(C$4="Todas", SUMIFS(Solicitudes!F:F, Solicitudes!C:C, B11), SUMIFS(Solicitudes!F:F, Solicitudes!B:B, C$4, Solicitudes!C:C, B11))</f>
      </c>
      <c r="D11" s="49">
        <f>IF(C$4="Todas", SUMIFS(Captura_Obra!F:F, Captura_Obra!A:A, B11), SUMIFS(Captura_Obra!F:F, Captura_Obra!B:B, C$4, Captura_Obra!A:A, B11))</f>
      </c>
      <c r="E11" s="50">
        <f>D11-C11</f>
      </c>
      <c r="F11" s="51">
        <f>C11*C$6</f>
      </c>
      <c r="G11" s="52">
        <f>D11*C$6</f>
      </c>
      <c r="H11" s="53">
        <f>G11-F11</f>
      </c>
      <c r="I11" s="232"/>
    </row>
    <row r="12" ht="20" customHeight="1">
      <c r="A12" t="s" s="54">
        <v>265</v>
      </c>
      <c r="B12" s="55">
        <f>B11+1</f>
      </c>
      <c r="C12" s="56">
        <f>IF(C$4="Todas", SUMIFS(Solicitudes!F:F, Solicitudes!C:C, B12), SUMIFS(Solicitudes!F:F, Solicitudes!B:B, C$4, Solicitudes!C:C, B12))</f>
      </c>
      <c r="D12" s="57">
        <f>IF(C$4="Todas", SUMIFS(Captura_Obra!F:F, Captura_Obra!A:A, B12), SUMIFS(Captura_Obra!F:F, Captura_Obra!B:B, C$4, Captura_Obra!A:A, B12))</f>
      </c>
      <c r="E12" s="58">
        <f>D12-C12</f>
      </c>
      <c r="F12" s="59">
        <f>C12*C$6</f>
      </c>
      <c r="G12" s="60">
        <f>D12*C$6</f>
      </c>
      <c r="H12" s="61">
        <f>G12-F12</f>
      </c>
      <c r="I12" s="233"/>
    </row>
    <row r="13" ht="20" customHeight="1">
      <c r="A13" t="s" s="62">
        <v>266</v>
      </c>
      <c r="B13" s="63">
        <f>B12+1</f>
      </c>
      <c r="C13" s="64">
        <f>IF(C$4="Todas", SUMIFS(Solicitudes!F:F, Solicitudes!C:C, B13), SUMIFS(Solicitudes!F:F, Solicitudes!B:B, C$4, Solicitudes!C:C, B13))</f>
      </c>
      <c r="D13" s="65">
        <f>IF(C$4="Todas", SUMIFS(Captura_Obra!F:F, Captura_Obra!A:A, B13), SUMIFS(Captura_Obra!F:F, Captura_Obra!B:B, C$4, Captura_Obra!A:A, B13))</f>
      </c>
      <c r="E13" s="66">
        <f>D13-C13</f>
      </c>
      <c r="F13" s="67">
        <f>C13*C$6</f>
      </c>
      <c r="G13" s="68">
        <f>D13*C$6</f>
      </c>
      <c r="H13" s="69">
        <f>G13-F13</f>
      </c>
      <c r="I13" s="234"/>
    </row>
    <row r="14" ht="20" customHeight="1">
      <c r="A14" t="s" s="70">
        <v>267</v>
      </c>
      <c r="B14" s="71">
        <f>B13+1</f>
      </c>
      <c r="C14" s="72">
        <f>IF(C$4="Todas", SUMIFS(Solicitudes!F:F, Solicitudes!C:C, B14), SUMIFS(Solicitudes!F:F, Solicitudes!B:B, C$4, Solicitudes!C:C, B14))</f>
      </c>
      <c r="D14" s="73">
        <f>IF(C$4="Todas", SUMIFS(Captura_Obra!F:F, Captura_Obra!A:A, B14), SUMIFS(Captura_Obra!F:F, Captura_Obra!B:B, C$4, Captura_Obra!A:A, B14))</f>
      </c>
      <c r="E14" s="74">
        <f>D14-C14</f>
      </c>
      <c r="F14" s="75">
        <f>C14*C$6</f>
      </c>
      <c r="G14" s="76">
        <f>D14*C$6</f>
      </c>
      <c r="H14" s="77">
        <f>G14-F14</f>
      </c>
      <c r="I14" s="235"/>
    </row>
    <row r="15" ht="20" customHeight="1">
      <c r="A15" t="s" s="78">
        <v>268</v>
      </c>
      <c r="B15" s="79">
        <f>B14+1</f>
      </c>
      <c r="C15" s="80">
        <f>IF(C$4="Todas", SUMIFS(Solicitudes!F:F, Solicitudes!C:C, B15), SUMIFS(Solicitudes!F:F, Solicitudes!B:B, C$4, Solicitudes!C:C, B15))</f>
      </c>
      <c r="D15" s="81">
        <f>IF(C$4="Todas", SUMIFS(Captura_Obra!F:F, Captura_Obra!A:A, B15), SUMIFS(Captura_Obra!F:F, Captura_Obra!B:B, C$4, Captura_Obra!A:A, B15))</f>
      </c>
      <c r="E15" s="82">
        <f>D15-C15</f>
      </c>
      <c r="F15" s="83">
        <f>C15*C$6</f>
      </c>
      <c r="G15" s="84">
        <f>D15*C$6</f>
      </c>
      <c r="H15" s="85">
        <f>G15-F15</f>
      </c>
      <c r="I15" s="236"/>
    </row>
    <row r="16" ht="22" customHeight="1">
      <c r="A16" t="s" s="86">
        <v>269</v>
      </c>
      <c r="B16" s="87"/>
      <c r="C16" s="88">
        <f>SUM(C10:C15)</f>
      </c>
      <c r="D16" s="89">
        <f>SUM(D10:D15)</f>
      </c>
      <c r="E16" s="90">
        <f>SUM(E10:E15)</f>
      </c>
      <c r="F16" s="91">
        <f>SUM(F10:F15)</f>
      </c>
      <c r="G16" s="92">
        <f>SUM(G10:G15)</f>
      </c>
      <c r="H16" s="93">
        <f>SUM(H10:H15)</f>
      </c>
      <c r="I16" s="237"/>
    </row>
    <row r="17">
      <c r="A17" s="238"/>
      <c r="B17" s="239"/>
      <c r="C17" s="240"/>
      <c r="D17" s="241"/>
      <c r="E17" s="242"/>
      <c r="F17" s="243"/>
      <c r="G17" s="244"/>
      <c r="H17" s="245"/>
      <c r="I17" s="246"/>
    </row>
    <row r="18">
      <c r="A18" s="247"/>
      <c r="B18" s="248"/>
      <c r="C18" s="249"/>
      <c r="D18" s="250"/>
      <c r="E18" s="251"/>
      <c r="F18" s="252"/>
      <c r="G18" s="253"/>
      <c r="H18" s="254"/>
      <c r="I18" s="255"/>
    </row>
    <row r="19" ht="20" customHeight="1">
      <c r="A19" t="s" s="94">
        <v>270</v>
      </c>
      <c r="B19" s="256"/>
      <c r="C19" s="257"/>
      <c r="D19" s="258"/>
      <c r="E19" s="259"/>
      <c r="F19" s="260"/>
      <c r="G19" s="261"/>
      <c r="H19" s="262"/>
      <c r="I19" s="263"/>
    </row>
    <row r="20" ht="24" customHeight="1">
      <c r="A20" t="s" s="95">
        <v>256</v>
      </c>
      <c r="B20" t="s" s="96">
        <v>28</v>
      </c>
      <c r="C20" t="s" s="97">
        <v>271</v>
      </c>
      <c r="D20" t="s" s="98">
        <v>272</v>
      </c>
      <c r="E20" t="s" s="99">
        <v>273</v>
      </c>
      <c r="F20" t="s" s="100">
        <v>274</v>
      </c>
      <c r="G20" t="s" s="101">
        <v>275</v>
      </c>
      <c r="H20" t="s" s="102">
        <v>276</v>
      </c>
      <c r="I20" t="s" s="103">
        <v>277</v>
      </c>
    </row>
    <row r="21" ht="20" customHeight="1">
      <c r="A21" t="s" s="104">
        <v>263</v>
      </c>
      <c r="B21" s="105">
        <f>B10</f>
      </c>
      <c r="C21" s="106">
        <f>IF(C$4="Todas", SUMIFS(Captura_Obra!F:F, Captura_Obra!A:A, B21, Captura_Obra!C:C, "Marimba M-01"), SUMIFS(Captura_Obra!F:F, Captura_Obra!B:B, C$4, Captura_Obra!A:A, B21, Captura_Obra!C:C, "Marimba M-01"))</f>
      </c>
      <c r="D21" s="107">
        <f>IF(C$4="Todas", SUMIFS(Captura_Marimba_M01!G:G, Captura_Marimba_M01!A:A, B21, Captura_Marimba_M01!B:B, "Salida a Obra"), SUMIFS(Captura_Marimba_M01!G:G, Captura_Marimba_M01!C:C, C$4, Captura_Marimba_M01!A:A, B21, Captura_Marimba_M01!B:B, "Salida a Obra"))</f>
      </c>
      <c r="E21" s="108">
        <f>C21-D21</f>
      </c>
      <c r="F21" s="109">
        <f>IF(C$4="Todas", SUMIFS(Captura_Obra!F:F, Captura_Obra!A:A, B21, Captura_Obra!C:C, "Pegaso Directo"), SUMIFS(Captura_Obra!F:F, Captura_Obra!B:B, C$4, Captura_Obra!A:A, B21, Captura_Obra!C:C, "Pegaso Directo"))</f>
      </c>
      <c r="G21" s="110">
        <f>IF(C$4="Todas", SUMIFS(Captura_Pegaso!H:H, Captura_Pegaso!A:A, B21, Captura_Pegaso!B:B, "Salida Directa Máquina"), SUMIFS(Captura_Pegaso!H:H, Captura_Pegaso!D:D, C$4, Captura_Pegaso!A:A, B21, Captura_Pegaso!B:B, "Salida Directa Máquina"))</f>
      </c>
      <c r="H21" s="111">
        <f>F21-G21</f>
      </c>
      <c r="I21" s="112">
        <f>E21+H21</f>
      </c>
    </row>
    <row r="22" ht="20" customHeight="1">
      <c r="A22" t="s" s="113">
        <v>264</v>
      </c>
      <c r="B22" s="114">
        <f>B11</f>
      </c>
      <c r="C22" s="115">
        <f>IF(C$4="Todas", SUMIFS(Captura_Obra!F:F, Captura_Obra!A:A, B22, Captura_Obra!C:C, "Marimba M-01"), SUMIFS(Captura_Obra!F:F, Captura_Obra!B:B, C$4, Captura_Obra!A:A, B22, Captura_Obra!C:C, "Marimba M-01"))</f>
      </c>
      <c r="D22" s="116">
        <f>IF(C$4="Todas", SUMIFS(Captura_Marimba_M01!G:G, Captura_Marimba_M01!A:A, B22, Captura_Marimba_M01!B:B, "Salida a Obra"), SUMIFS(Captura_Marimba_M01!G:G, Captura_Marimba_M01!C:C, C$4, Captura_Marimba_M01!A:A, B22, Captura_Marimba_M01!B:B, "Salida a Obra"))</f>
      </c>
      <c r="E22" s="117">
        <f>C22-D22</f>
      </c>
      <c r="F22" s="118">
        <f>IF(C$4="Todas", SUMIFS(Captura_Obra!F:F, Captura_Obra!A:A, B22, Captura_Obra!C:C, "Pegaso Directo"), SUMIFS(Captura_Obra!F:F, Captura_Obra!B:B, C$4, Captura_Obra!A:A, B22, Captura_Obra!C:C, "Pegaso Directo"))</f>
      </c>
      <c r="G22" s="119">
        <f>IF(C$4="Todas", SUMIFS(Captura_Pegaso!H:H, Captura_Pegaso!A:A, B22, Captura_Pegaso!B:B, "Salida Directa Máquina"), SUMIFS(Captura_Pegaso!H:H, Captura_Pegaso!D:D, C$4, Captura_Pegaso!A:A, B22, Captura_Pegaso!B:B, "Salida Directa Máquina"))</f>
      </c>
      <c r="H22" s="120">
        <f>F22-G22</f>
      </c>
      <c r="I22" s="121">
        <f>E22+H22</f>
      </c>
    </row>
    <row r="23" ht="20" customHeight="1">
      <c r="A23" t="s" s="122">
        <v>265</v>
      </c>
      <c r="B23" s="123">
        <f>B12</f>
      </c>
      <c r="C23" s="124">
        <f>IF(C$4="Todas", SUMIFS(Captura_Obra!F:F, Captura_Obra!A:A, B23, Captura_Obra!C:C, "Marimba M-01"), SUMIFS(Captura_Obra!F:F, Captura_Obra!B:B, C$4, Captura_Obra!A:A, B23, Captura_Obra!C:C, "Marimba M-01"))</f>
      </c>
      <c r="D23" s="125">
        <f>IF(C$4="Todas", SUMIFS(Captura_Marimba_M01!G:G, Captura_Marimba_M01!A:A, B23, Captura_Marimba_M01!B:B, "Salida a Obra"), SUMIFS(Captura_Marimba_M01!G:G, Captura_Marimba_M01!C:C, C$4, Captura_Marimba_M01!A:A, B23, Captura_Marimba_M01!B:B, "Salida a Obra"))</f>
      </c>
      <c r="E23" s="126">
        <f>C23-D23</f>
      </c>
      <c r="F23" s="127">
        <f>IF(C$4="Todas", SUMIFS(Captura_Obra!F:F, Captura_Obra!A:A, B23, Captura_Obra!C:C, "Pegaso Directo"), SUMIFS(Captura_Obra!F:F, Captura_Obra!B:B, C$4, Captura_Obra!A:A, B23, Captura_Obra!C:C, "Pegaso Directo"))</f>
      </c>
      <c r="G23" s="128">
        <f>IF(C$4="Todas", SUMIFS(Captura_Pegaso!H:H, Captura_Pegaso!A:A, B23, Captura_Pegaso!B:B, "Salida Directa Máquina"), SUMIFS(Captura_Pegaso!H:H, Captura_Pegaso!D:D, C$4, Captura_Pegaso!A:A, B23, Captura_Pegaso!B:B, "Salida Directa Máquina"))</f>
      </c>
      <c r="H23" s="129">
        <f>F23-G23</f>
      </c>
      <c r="I23" s="130">
        <f>E23+H23</f>
      </c>
    </row>
    <row r="24" ht="20" customHeight="1">
      <c r="A24" t="s" s="131">
        <v>266</v>
      </c>
      <c r="B24" s="132">
        <f>B13</f>
      </c>
      <c r="C24" s="133">
        <f>IF(C$4="Todas", SUMIFS(Captura_Obra!F:F, Captura_Obra!A:A, B24, Captura_Obra!C:C, "Marimba M-01"), SUMIFS(Captura_Obra!F:F, Captura_Obra!B:B, C$4, Captura_Obra!A:A, B24, Captura_Obra!C:C, "Marimba M-01"))</f>
      </c>
      <c r="D24" s="134">
        <f>IF(C$4="Todas", SUMIFS(Captura_Marimba_M01!G:G, Captura_Marimba_M01!A:A, B24, Captura_Marimba_M01!B:B, "Salida a Obra"), SUMIFS(Captura_Marimba_M01!G:G, Captura_Marimba_M01!C:C, C$4, Captura_Marimba_M01!A:A, B24, Captura_Marimba_M01!B:B, "Salida a Obra"))</f>
      </c>
      <c r="E24" s="135">
        <f>C24-D24</f>
      </c>
      <c r="F24" s="136">
        <f>IF(C$4="Todas", SUMIFS(Captura_Obra!F:F, Captura_Obra!A:A, B24, Captura_Obra!C:C, "Pegaso Directo"), SUMIFS(Captura_Obra!F:F, Captura_Obra!B:B, C$4, Captura_Obra!A:A, B24, Captura_Obra!C:C, "Pegaso Directo"))</f>
      </c>
      <c r="G24" s="137">
        <f>IF(C$4="Todas", SUMIFS(Captura_Pegaso!H:H, Captura_Pegaso!A:A, B24, Captura_Pegaso!B:B, "Salida Directa Máquina"), SUMIFS(Captura_Pegaso!H:H, Captura_Pegaso!D:D, C$4, Captura_Pegaso!A:A, B24, Captura_Pegaso!B:B, "Salida Directa Máquina"))</f>
      </c>
      <c r="H24" s="138">
        <f>F24-G24</f>
      </c>
      <c r="I24" s="139">
        <f>E24+H24</f>
      </c>
    </row>
    <row r="25" ht="20" customHeight="1">
      <c r="A25" t="s" s="140">
        <v>267</v>
      </c>
      <c r="B25" s="141">
        <f>B14</f>
      </c>
      <c r="C25" s="142">
        <f>IF(C$4="Todas", SUMIFS(Captura_Obra!F:F, Captura_Obra!A:A, B25, Captura_Obra!C:C, "Marimba M-01"), SUMIFS(Captura_Obra!F:F, Captura_Obra!B:B, C$4, Captura_Obra!A:A, B25, Captura_Obra!C:C, "Marimba M-01"))</f>
      </c>
      <c r="D25" s="143">
        <f>IF(C$4="Todas", SUMIFS(Captura_Marimba_M01!G:G, Captura_Marimba_M01!A:A, B25, Captura_Marimba_M01!B:B, "Salida a Obra"), SUMIFS(Captura_Marimba_M01!G:G, Captura_Marimba_M01!C:C, C$4, Captura_Marimba_M01!A:A, B25, Captura_Marimba_M01!B:B, "Salida a Obra"))</f>
      </c>
      <c r="E25" s="144">
        <f>C25-D25</f>
      </c>
      <c r="F25" s="145">
        <f>IF(C$4="Todas", SUMIFS(Captura_Obra!F:F, Captura_Obra!A:A, B25, Captura_Obra!C:C, "Pegaso Directo"), SUMIFS(Captura_Obra!F:F, Captura_Obra!B:B, C$4, Captura_Obra!A:A, B25, Captura_Obra!C:C, "Pegaso Directo"))</f>
      </c>
      <c r="G25" s="146">
        <f>IF(C$4="Todas", SUMIFS(Captura_Pegaso!H:H, Captura_Pegaso!A:A, B25, Captura_Pegaso!B:B, "Salida Directa Máquina"), SUMIFS(Captura_Pegaso!H:H, Captura_Pegaso!D:D, C$4, Captura_Pegaso!A:A, B25, Captura_Pegaso!B:B, "Salida Directa Máquina"))</f>
      </c>
      <c r="H25" s="147">
        <f>F25-G25</f>
      </c>
      <c r="I25" s="148">
        <f>E25+H25</f>
      </c>
    </row>
    <row r="26" ht="20" customHeight="1">
      <c r="A26" t="s" s="149">
        <v>268</v>
      </c>
      <c r="B26" s="150">
        <f>B15</f>
      </c>
      <c r="C26" s="151">
        <f>IF(C$4="Todas", SUMIFS(Captura_Obra!F:F, Captura_Obra!A:A, B26, Captura_Obra!C:C, "Marimba M-01"), SUMIFS(Captura_Obra!F:F, Captura_Obra!B:B, C$4, Captura_Obra!A:A, B26, Captura_Obra!C:C, "Marimba M-01"))</f>
      </c>
      <c r="D26" s="152">
        <f>IF(C$4="Todas", SUMIFS(Captura_Marimba_M01!G:G, Captura_Marimba_M01!A:A, B26, Captura_Marimba_M01!B:B, "Salida a Obra"), SUMIFS(Captura_Marimba_M01!G:G, Captura_Marimba_M01!C:C, C$4, Captura_Marimba_M01!A:A, B26, Captura_Marimba_M01!B:B, "Salida a Obra"))</f>
      </c>
      <c r="E26" s="153">
        <f>C26-D26</f>
      </c>
      <c r="F26" s="154">
        <f>IF(C$4="Todas", SUMIFS(Captura_Obra!F:F, Captura_Obra!A:A, B26, Captura_Obra!C:C, "Pegaso Directo"), SUMIFS(Captura_Obra!F:F, Captura_Obra!B:B, C$4, Captura_Obra!A:A, B26, Captura_Obra!C:C, "Pegaso Directo"))</f>
      </c>
      <c r="G26" s="155">
        <f>IF(C$4="Todas", SUMIFS(Captura_Pegaso!H:H, Captura_Pegaso!A:A, B26, Captura_Pegaso!B:B, "Salida Directa Máquina"), SUMIFS(Captura_Pegaso!H:H, Captura_Pegaso!D:D, C$4, Captura_Pegaso!A:A, B26, Captura_Pegaso!B:B, "Salida Directa Máquina"))</f>
      </c>
      <c r="H26" s="156">
        <f>F26-G26</f>
      </c>
      <c r="I26" s="157">
        <f>E26+H26</f>
      </c>
    </row>
    <row r="27" ht="22" customHeight="1">
      <c r="A27" t="s" s="158">
        <v>269</v>
      </c>
      <c r="B27" s="159"/>
      <c r="C27" s="160">
        <f>SUM(C21:C26)</f>
      </c>
      <c r="D27" s="161">
        <f>SUM(D21:D26)</f>
      </c>
      <c r="E27" s="162">
        <f>SUM(E21:E26)</f>
      </c>
      <c r="F27" s="163">
        <f>SUM(F21:F26)</f>
      </c>
      <c r="G27" s="164">
        <f>SUM(G21:G26)</f>
      </c>
      <c r="H27" s="165">
        <f>SUM(H21:H26)</f>
      </c>
      <c r="I27" s="166">
        <f>SUM(I21:I26)</f>
      </c>
    </row>
    <row r="28">
      <c r="A28" s="264"/>
      <c r="B28" s="265"/>
      <c r="C28" s="266"/>
      <c r="D28" s="267"/>
      <c r="E28" s="268"/>
      <c r="F28" s="269"/>
      <c r="G28" s="270"/>
      <c r="H28" s="271"/>
      <c r="I28" s="272"/>
    </row>
    <row r="29">
      <c r="A29" s="273"/>
      <c r="B29" s="274"/>
      <c r="C29" s="275"/>
      <c r="D29" s="276"/>
      <c r="E29" s="277"/>
      <c r="F29" s="278"/>
      <c r="G29" s="279"/>
      <c r="H29" s="280"/>
      <c r="I29" s="281"/>
    </row>
    <row r="30">
      <c r="A30" s="282"/>
      <c r="B30" s="283"/>
      <c r="C30" s="284"/>
      <c r="D30" s="285"/>
      <c r="E30" s="286"/>
      <c r="F30" s="287"/>
      <c r="G30" s="288"/>
      <c r="H30" s="289"/>
      <c r="I30" s="290"/>
    </row>
    <row r="31">
      <c r="A31" s="291"/>
      <c r="B31" s="292"/>
      <c r="C31" s="293"/>
      <c r="D31" s="294"/>
      <c r="E31" s="295"/>
      <c r="F31" s="296"/>
      <c r="G31" s="297"/>
      <c r="H31" s="298"/>
      <c r="I31" s="299"/>
    </row>
    <row r="32">
      <c r="A32" s="300"/>
      <c r="B32" s="301"/>
      <c r="C32" s="302"/>
      <c r="D32" s="303"/>
      <c r="E32" s="304"/>
      <c r="F32" s="305"/>
      <c r="G32" s="306"/>
      <c r="H32" s="307"/>
      <c r="I32" s="308"/>
    </row>
    <row r="33">
      <c r="A33" s="309"/>
      <c r="B33" s="310"/>
      <c r="C33" s="311"/>
      <c r="D33" s="312"/>
      <c r="E33" s="313"/>
      <c r="F33" s="314"/>
      <c r="G33" s="315"/>
      <c r="H33" s="316"/>
      <c r="I33" s="317"/>
    </row>
    <row r="34">
      <c r="A34" s="318"/>
      <c r="B34" s="319"/>
      <c r="C34" s="320"/>
      <c r="D34" s="321"/>
      <c r="E34" s="322"/>
      <c r="F34" s="323"/>
      <c r="G34" s="324"/>
      <c r="H34" s="325"/>
      <c r="I34" s="326"/>
    </row>
    <row r="35">
      <c r="A35" s="327"/>
      <c r="B35" s="328"/>
      <c r="C35" s="329"/>
      <c r="D35" s="330"/>
      <c r="E35" s="331"/>
      <c r="F35" s="332"/>
      <c r="G35" s="333"/>
      <c r="H35" s="334"/>
      <c r="I35" s="335"/>
    </row>
  </sheetData>
  <mergeCells>
    <mergeCell ref="A1:I1"/>
    <mergeCell ref="A3:I3"/>
    <mergeCell ref="A8:I8"/>
    <mergeCell ref="A19:I19"/>
  </mergeCells>
  <dataValidations>
    <dataValidation type="list" allowBlank="true" showInputMessage="true" prompt="undefined" promptTitle="undefined" showErrorMessage="true" error="undefined" errorTitle="Obra no válida" operator="undefined" sqref="C4">
      <formula1>Catalogos!$K$4:$K$15</formula1>
      <formula2/>
    </dataValidation>
    <dataValidation type="list" allowBlank="true" showInputMessage="true" prompt="undefined" promptTitle="undefined" showErrorMessage="true" error="undefined" errorTitle="Semana no válida" operator="undefined" sqref="C5">
      <formula1>Catalogos!$L$4:$L$33</formula1>
      <formula2/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C530-3CEF-4812-A2D2-C7473890D598}">
  <sheetPr/>
  <sheetViews>
    <sheetView showGridLines="0" tabSelected="1" topLeftCell="P1" zoomScale="118" zoomScaleNormal="80" workbookViewId="0">
      <selection activeCell="X11" sqref="X11"/>
    </sheetView>
  </sheetViews>
  <sheetFormatPr baseColWidth="10" defaultColWidth="8" defaultRowHeight="14.4"/>
  <cols>
    <col min="1" max="1" width="8" style="11"/>
    <col min="2" max="5" width="15" style="11" customWidth="1"/>
    <col min="6" max="6" width="8" style="11"/>
    <col min="7" max="10" width="15" style="11" customWidth="1"/>
    <col min="11" max="11" width="8" style="11"/>
    <col min="12" max="15" width="15" style="11" customWidth="1"/>
    <col min="16" max="16" width="8" style="11"/>
    <col min="17" max="20" width="15" style="11" customWidth="1"/>
    <col min="21" max="21" width="8" style="11"/>
    <col min="22" max="26" width="15" style="11" customWidth="1"/>
    <col min="27" max="16384" width="8" style="11"/>
  </cols>
  <sheetData>
    <row r="2" spans="2:24" ht="18">
      <c r="B2" t="s" s="10">
        <v>227</v>
      </c>
      <c r="G2" t="s" s="10">
        <v>228</v>
      </c>
      <c r="L2" t="s" s="10">
        <v>229</v>
      </c>
      <c r="Q2" t="s" s="10">
        <v>230</v>
      </c>
      <c r="V2" t="s" s="10">
        <v>231</v>
      </c>
    </row>
    <row r="4" spans="2:24">
      <c r="B4" t="s" s="12">
        <v>28</v>
      </c>
      <c r="C4" t="s" s="12">
        <v>3</v>
      </c>
      <c r="D4" t="s" s="12">
        <v>162</v>
      </c>
      <c r="E4" t="s" s="12">
        <v>232</v>
      </c>
      <c r="G4" t="s" s="12">
        <v>28</v>
      </c>
      <c r="H4" t="s" s="12">
        <v>3</v>
      </c>
      <c r="I4" t="s" s="12">
        <v>33</v>
      </c>
      <c r="J4" t="s" s="12">
        <v>233</v>
      </c>
      <c r="L4" t="s" s="12">
        <v>28</v>
      </c>
      <c r="M4" t="s" s="12">
        <v>3</v>
      </c>
      <c r="N4" t="s" s="12">
        <v>33</v>
      </c>
      <c r="O4" t="s" s="12">
        <v>233</v>
      </c>
      <c r="Q4" t="s" s="12">
        <v>28</v>
      </c>
      <c r="R4" t="s" s="12">
        <v>3</v>
      </c>
      <c r="S4" t="s" s="12">
        <v>52</v>
      </c>
      <c r="T4" t="s" s="12">
        <v>233</v>
      </c>
      <c r="V4" t="s" s="12">
        <v>3</v>
      </c>
      <c r="W4" t="s" s="12">
        <v>52</v>
      </c>
      <c r="X4" t="s" s="12">
        <v>233</v>
      </c>
    </row>
    <row r="5" spans="2:24">
      <c r="B5" t="s" s="13">
        <v>234</v>
      </c>
      <c r="C5" t="s" s="13">
        <v>8</v>
      </c>
      <c r="D5" s="13">
        <v>160</v>
      </c>
      <c r="E5" s="14">
        <v>4528</v>
      </c>
      <c r="G5" t="s" s="13">
        <v>235</v>
      </c>
      <c r="H5" t="s" s="13">
        <v>10</v>
      </c>
      <c r="I5" s="13">
        <v>455</v>
      </c>
      <c r="J5" s="14">
        <v>12876.5</v>
      </c>
      <c r="L5" t="s" s="13">
        <v>235</v>
      </c>
      <c r="M5" t="s" s="13">
        <v>210</v>
      </c>
      <c r="N5" s="13">
        <v>180</v>
      </c>
      <c r="O5" s="14">
        <v>5094</v>
      </c>
      <c r="Q5" t="s" s="13">
        <v>235</v>
      </c>
      <c r="R5" t="s" s="13">
        <v>210</v>
      </c>
      <c r="S5" s="13">
        <v>100</v>
      </c>
      <c r="T5" s="14">
        <v>2830</v>
      </c>
      <c r="V5" t="s" s="13">
        <v>210</v>
      </c>
      <c r="W5" s="13">
        <v>200</v>
      </c>
      <c r="X5" s="14">
        <v>5660</v>
      </c>
    </row>
    <row r="6" spans="2:24">
      <c r="B6" t="s" s="13">
        <v>234</v>
      </c>
      <c r="C6" t="s" s="13">
        <v>6</v>
      </c>
      <c r="D6" s="13">
        <v>640</v>
      </c>
      <c r="E6" s="14">
        <v>18112</v>
      </c>
      <c r="G6" t="s" s="13">
        <v>235</v>
      </c>
      <c r="H6" t="s" s="13">
        <v>8</v>
      </c>
      <c r="I6" s="13">
        <v>97</v>
      </c>
      <c r="J6" s="14">
        <v>2745.1</v>
      </c>
      <c r="L6" t="s" s="13">
        <v>235</v>
      </c>
      <c r="M6" t="s" s="13">
        <v>214</v>
      </c>
      <c r="N6" s="13">
        <v>409</v>
      </c>
      <c r="O6" s="14">
        <v>11574.7</v>
      </c>
      <c r="Q6" t="s" s="13">
        <v>235</v>
      </c>
      <c r="R6" t="s" s="13">
        <v>10</v>
      </c>
      <c r="S6" s="13">
        <v>455</v>
      </c>
      <c r="T6" s="14">
        <v>12876.5</v>
      </c>
      <c r="V6" t="s" s="13">
        <v>10</v>
      </c>
      <c r="W6" s="13">
        <v>1693</v>
      </c>
      <c r="X6" s="14">
        <v>47911.9</v>
      </c>
    </row>
    <row r="7" spans="2:24">
      <c r="B7" t="s" s="13">
        <v>235</v>
      </c>
      <c r="C7" t="s" s="13">
        <v>210</v>
      </c>
      <c r="D7" s="13">
        <v>100</v>
      </c>
      <c r="E7" s="14">
        <v>2830</v>
      </c>
      <c r="G7" t="s" s="13">
        <v>235</v>
      </c>
      <c r="H7" t="s" s="13">
        <v>6</v>
      </c>
      <c r="I7" s="13">
        <v>369</v>
      </c>
      <c r="J7" s="14">
        <v>10442.7</v>
      </c>
      <c r="L7" t="s" s="13">
        <v>236</v>
      </c>
      <c r="M7" t="s" s="13">
        <v>8</v>
      </c>
      <c r="N7" s="13">
        <v>180</v>
      </c>
      <c r="O7" s="14">
        <v>5094</v>
      </c>
      <c r="Q7" t="s" s="13">
        <v>235</v>
      </c>
      <c r="R7" t="s" s="13">
        <v>8</v>
      </c>
      <c r="S7" s="13">
        <v>97</v>
      </c>
      <c r="T7" s="14">
        <v>2745.1</v>
      </c>
      <c r="V7" t="s" s="13">
        <v>8</v>
      </c>
      <c r="W7" s="13">
        <v>872</v>
      </c>
      <c r="X7" s="14">
        <v>24677.6</v>
      </c>
    </row>
    <row r="8" spans="2:24">
      <c r="B8" t="s" s="13">
        <v>235</v>
      </c>
      <c r="C8" t="s" s="13">
        <v>10</v>
      </c>
      <c r="D8" s="13">
        <v>990</v>
      </c>
      <c r="E8" s="14">
        <v>28017</v>
      </c>
      <c r="G8" t="s" s="13">
        <v>236</v>
      </c>
      <c r="H8" t="s" s="13">
        <v>10</v>
      </c>
      <c r="I8" s="13">
        <v>736</v>
      </c>
      <c r="J8" s="14">
        <v>20828.8</v>
      </c>
      <c r="L8" t="s" s="13">
        <v>237</v>
      </c>
      <c r="M8" t="s" s="13">
        <v>210</v>
      </c>
      <c r="N8" s="13">
        <v>100</v>
      </c>
      <c r="O8" s="14">
        <v>2830</v>
      </c>
      <c r="Q8" t="s" s="13">
        <v>235</v>
      </c>
      <c r="R8" t="s" s="13">
        <v>6</v>
      </c>
      <c r="S8" s="13">
        <v>369</v>
      </c>
      <c r="T8" s="14">
        <v>10442.7</v>
      </c>
      <c r="V8" t="s" s="13">
        <v>6</v>
      </c>
      <c r="W8" s="13">
        <v>1285</v>
      </c>
      <c r="X8" s="14">
        <v>36365.5</v>
      </c>
    </row>
    <row r="9" spans="2:24">
      <c r="B9" t="s" s="13">
        <v>236</v>
      </c>
      <c r="C9" t="s" s="13">
        <v>210</v>
      </c>
      <c r="D9" s="13">
        <v>100</v>
      </c>
      <c r="E9" s="14">
        <v>2830</v>
      </c>
      <c r="G9" t="s" s="13">
        <v>237</v>
      </c>
      <c r="H9" t="s" s="13">
        <v>6</v>
      </c>
      <c r="I9" s="13">
        <v>300</v>
      </c>
      <c r="J9" s="14">
        <v>8490</v>
      </c>
      <c r="L9" t="s" s="13">
        <v>238</v>
      </c>
      <c r="M9" t="s" s="13">
        <v>8</v>
      </c>
      <c r="N9" s="13">
        <v>595</v>
      </c>
      <c r="O9" s="14">
        <v>16838.5</v>
      </c>
      <c r="Q9" t="s" s="13">
        <v>235</v>
      </c>
      <c r="R9" t="s" s="13">
        <v>214</v>
      </c>
      <c r="S9" s="13">
        <v>409</v>
      </c>
      <c r="T9" s="14">
        <v>11574.7</v>
      </c>
      <c r="V9" t="s" s="13">
        <v>214</v>
      </c>
      <c r="W9" s="13">
        <v>647</v>
      </c>
      <c r="X9" s="14">
        <v>18310.1</v>
      </c>
    </row>
    <row r="10" spans="2:24">
      <c r="B10" t="s" s="13">
        <v>236</v>
      </c>
      <c r="C10" t="s" s="13">
        <v>10</v>
      </c>
      <c r="D10" s="13">
        <v>790</v>
      </c>
      <c r="E10" s="14">
        <v>22357</v>
      </c>
      <c r="G10" t="s" s="13">
        <v>238</v>
      </c>
      <c r="H10" t="s" s="13">
        <v>6</v>
      </c>
      <c r="I10" s="13">
        <v>256</v>
      </c>
      <c r="J10" s="14">
        <v>7244.8</v>
      </c>
      <c r="L10" t="s" s="13">
        <v>238</v>
      </c>
      <c r="M10" t="s" s="13">
        <v>214</v>
      </c>
      <c r="N10" s="13">
        <v>238</v>
      </c>
      <c r="O10" s="14">
        <v>6735.400000000001</v>
      </c>
      <c r="Q10" t="s" s="13">
        <v>236</v>
      </c>
      <c r="R10" t="s" s="13">
        <v>10</v>
      </c>
      <c r="S10" s="13">
        <v>736</v>
      </c>
      <c r="T10" s="14">
        <v>20828.8</v>
      </c>
      <c r="X10" s="20">
        <f>SUM(X5:X9)</f>
      </c>
    </row>
    <row r="11" spans="2:24">
      <c r="B11" t="s" s="13">
        <v>236</v>
      </c>
      <c r="C11" t="s" s="13">
        <v>8</v>
      </c>
      <c r="D11" s="13">
        <v>210</v>
      </c>
      <c r="E11" s="14">
        <v>5943</v>
      </c>
      <c r="G11" t="s" s="13">
        <v>239</v>
      </c>
      <c r="H11" t="s" s="13">
        <v>10</v>
      </c>
      <c r="I11" s="13">
        <v>502</v>
      </c>
      <c r="J11" s="14">
        <v>14206.6</v>
      </c>
      <c r="L11" t="s" s="13">
        <v>239</v>
      </c>
      <c r="M11" t="s" s="13">
        <v>210</v>
      </c>
      <c r="N11" s="13">
        <v>70</v>
      </c>
      <c r="O11" s="14">
        <v>1981</v>
      </c>
      <c r="Q11" t="s" s="13">
        <v>236</v>
      </c>
      <c r="R11" t="s" s="13">
        <v>8</v>
      </c>
      <c r="S11" s="13">
        <v>180</v>
      </c>
      <c r="T11" s="14">
        <v>5094</v>
      </c>
    </row>
    <row r="12" spans="2:24">
      <c r="B12" t="s" s="13">
        <v>237</v>
      </c>
      <c r="C12" t="s" s="13">
        <v>6</v>
      </c>
      <c r="D12" s="13">
        <v>320</v>
      </c>
      <c r="E12" s="14">
        <v>9056</v>
      </c>
      <c r="G12" t="s" s="13">
        <v>239</v>
      </c>
      <c r="H12" t="s" s="13">
        <v>6</v>
      </c>
      <c r="I12" s="13">
        <v>360</v>
      </c>
      <c r="J12" s="14">
        <v>10188</v>
      </c>
      <c r="Q12" t="s" s="13">
        <v>237</v>
      </c>
      <c r="R12" t="s" s="13">
        <v>210</v>
      </c>
      <c r="S12" s="13">
        <v>100</v>
      </c>
      <c r="T12" s="14">
        <v>2830</v>
      </c>
    </row>
    <row r="13" spans="2:24">
      <c r="B13" t="s" s="13">
        <v>238</v>
      </c>
      <c r="C13" t="s" s="13">
        <v>210</v>
      </c>
      <c r="D13" s="13">
        <v>70</v>
      </c>
      <c r="E13" s="14">
        <v>1981</v>
      </c>
      <c r="Q13" t="s" s="13">
        <v>237</v>
      </c>
      <c r="R13" t="s" s="13">
        <v>6</v>
      </c>
      <c r="S13" s="13">
        <v>300</v>
      </c>
      <c r="T13" s="14">
        <v>8490</v>
      </c>
    </row>
    <row r="14" spans="2:24">
      <c r="B14" t="s" s="13">
        <v>238</v>
      </c>
      <c r="C14" t="s" s="13">
        <v>8</v>
      </c>
      <c r="D14" s="13">
        <v>460</v>
      </c>
      <c r="E14" s="14">
        <v>13018</v>
      </c>
      <c r="Q14" t="s" s="13">
        <v>238</v>
      </c>
      <c r="R14" t="s" s="13">
        <v>8</v>
      </c>
      <c r="S14" s="13">
        <v>595</v>
      </c>
      <c r="T14" s="14">
        <v>16838.5</v>
      </c>
    </row>
    <row r="15" spans="2:24">
      <c r="B15" t="s" s="13">
        <v>239</v>
      </c>
      <c r="C15" t="s" s="13">
        <v>10</v>
      </c>
      <c r="D15" s="13">
        <v>620</v>
      </c>
      <c r="E15" s="14">
        <v>17546</v>
      </c>
      <c r="Q15" t="s" s="13">
        <v>238</v>
      </c>
      <c r="R15" t="s" s="13">
        <v>6</v>
      </c>
      <c r="S15" s="13">
        <v>256</v>
      </c>
      <c r="T15" s="14">
        <v>7244.8</v>
      </c>
    </row>
    <row r="16" spans="2:24">
      <c r="B16" t="s" s="13">
        <v>239</v>
      </c>
      <c r="C16" t="s" s="13">
        <v>6</v>
      </c>
      <c r="D16" s="13">
        <v>540</v>
      </c>
      <c r="E16" s="14">
        <v>15282</v>
      </c>
      <c r="Q16" t="s" s="13">
        <v>238</v>
      </c>
      <c r="R16" t="s" s="13">
        <v>214</v>
      </c>
      <c r="S16" s="13">
        <v>238</v>
      </c>
      <c r="T16" s="14">
        <v>6735.400000000001</v>
      </c>
    </row>
    <row r="17" spans="17:20">
      <c r="Q17" t="s" s="13">
        <v>239</v>
      </c>
      <c r="R17" t="s" s="13">
        <v>10</v>
      </c>
      <c r="S17" s="13">
        <v>502</v>
      </c>
      <c r="T17" s="14">
        <v>14206.6</v>
      </c>
    </row>
    <row r="18" spans="17:20">
      <c r="Q18" t="s" s="13">
        <v>239</v>
      </c>
      <c r="R18" t="s" s="13">
        <v>6</v>
      </c>
      <c r="S18" s="13">
        <v>360</v>
      </c>
      <c r="T18" s="14">
        <v>10188</v>
      </c>
    </row>
    <row r="35" spans="2:26" ht="18">
      <c r="B35" t="s" s="10">
        <v>240</v>
      </c>
      <c r="G35" t="s" s="10">
        <v>241</v>
      </c>
      <c r="L35" t="s" s="10">
        <v>242</v>
      </c>
      <c r="Q35" t="s" s="10">
        <v>243</v>
      </c>
      <c r="V35" t="s" s="15">
        <v>244</v>
      </c>
    </row>
    <row r="37" spans="2:26">
      <c r="B37" t="s" s="12">
        <v>28</v>
      </c>
      <c r="C37" t="s" s="12">
        <v>245</v>
      </c>
      <c r="D37" t="s" s="12">
        <v>233</v>
      </c>
      <c r="G37" t="s" s="12">
        <v>3</v>
      </c>
      <c r="H37" t="s" s="12">
        <v>245</v>
      </c>
      <c r="I37" t="s" s="12">
        <v>233</v>
      </c>
      <c r="L37" t="s" s="12">
        <v>28</v>
      </c>
      <c r="M37" t="s" s="12">
        <v>246</v>
      </c>
      <c r="N37" t="s" s="12">
        <v>247</v>
      </c>
      <c r="Q37" t="s" s="12">
        <v>3</v>
      </c>
      <c r="R37" t="s" s="12">
        <v>246</v>
      </c>
      <c r="S37" t="s" s="12">
        <v>247</v>
      </c>
      <c r="V37" t="s" s="16">
        <v>28</v>
      </c>
      <c r="W37" t="s" s="16">
        <v>3</v>
      </c>
      <c r="X37" t="s" s="16">
        <v>248</v>
      </c>
      <c r="Y37" t="s" s="16">
        <v>52</v>
      </c>
      <c r="Z37" t="s" s="16">
        <v>249</v>
      </c>
    </row>
    <row r="38" spans="2:26">
      <c r="B38" t="s" s="13">
        <v>234</v>
      </c>
      <c r="C38" s="14">
        <v>22640</v>
      </c>
      <c r="D38" s="14">
        <v>0</v>
      </c>
      <c r="G38" t="s" s="13">
        <v>210</v>
      </c>
      <c r="H38" s="14">
        <v>7641</v>
      </c>
      <c r="I38" s="14">
        <v>9905</v>
      </c>
      <c r="L38" t="s" s="13">
        <v>235</v>
      </c>
      <c r="M38" s="13">
        <v>1510</v>
      </c>
      <c r="N38" s="14">
        <v>42733</v>
      </c>
      <c r="Q38" t="s" s="13">
        <v>210</v>
      </c>
      <c r="R38" s="13">
        <v>350</v>
      </c>
      <c r="S38" s="14">
        <v>9905</v>
      </c>
      <c r="V38" t="s" s="13">
        <v>235</v>
      </c>
      <c r="W38" t="s" s="13">
        <v>210</v>
      </c>
      <c r="X38" s="13">
        <v>180</v>
      </c>
      <c r="Y38" s="13">
        <v>100</v>
      </c>
      <c r="Z38" s="13">
        <v>80</v>
      </c>
    </row>
    <row r="39" spans="2:26">
      <c r="B39" t="s" s="13">
        <v>235</v>
      </c>
      <c r="C39" s="14">
        <v>30847</v>
      </c>
      <c r="D39" s="14">
        <v>42733</v>
      </c>
      <c r="G39" t="s" s="13">
        <v>10</v>
      </c>
      <c r="H39" s="14">
        <v>67920</v>
      </c>
      <c r="I39" s="14">
        <v>47911.9</v>
      </c>
      <c r="L39" t="s" s="13">
        <v>236</v>
      </c>
      <c r="M39" s="13">
        <v>916</v>
      </c>
      <c r="N39" s="14">
        <v>25922.8</v>
      </c>
      <c r="Q39" t="s" s="13">
        <v>10</v>
      </c>
      <c r="R39" s="13">
        <v>1693</v>
      </c>
      <c r="S39" s="14">
        <v>47911.9</v>
      </c>
      <c r="V39" t="s" s="13">
        <v>239</v>
      </c>
      <c r="W39" t="s" s="13">
        <v>210</v>
      </c>
      <c r="X39" s="13">
        <v>70</v>
      </c>
      <c r="Y39" s="13">
        <v>0</v>
      </c>
      <c r="Z39" s="13">
        <v>70</v>
      </c>
    </row>
    <row r="40" spans="2:26">
      <c r="B40" t="s" s="13">
        <v>236</v>
      </c>
      <c r="C40" s="14">
        <v>31130</v>
      </c>
      <c r="D40" s="14">
        <v>25922.8</v>
      </c>
      <c r="G40" t="s" s="13">
        <v>8</v>
      </c>
      <c r="H40" s="14">
        <v>23489</v>
      </c>
      <c r="I40" s="14">
        <v>24677.6</v>
      </c>
      <c r="L40" t="s" s="13">
        <v>237</v>
      </c>
      <c r="M40" s="13">
        <v>400</v>
      </c>
      <c r="N40" s="14">
        <v>11320</v>
      </c>
      <c r="Q40" t="s" s="13">
        <v>8</v>
      </c>
      <c r="R40" s="13">
        <v>872</v>
      </c>
      <c r="S40" s="14">
        <v>24677.6</v>
      </c>
    </row>
    <row r="41" spans="2:26">
      <c r="B41" t="s" s="13">
        <v>237</v>
      </c>
      <c r="C41" s="14">
        <v>9056</v>
      </c>
      <c r="D41" s="14">
        <v>11320</v>
      </c>
      <c r="G41" t="s" s="13">
        <v>6</v>
      </c>
      <c r="H41" s="14">
        <v>42450</v>
      </c>
      <c r="I41" s="14">
        <v>36365.5</v>
      </c>
      <c r="L41" t="s" s="13">
        <v>238</v>
      </c>
      <c r="M41" s="13">
        <v>1089</v>
      </c>
      <c r="N41" s="14">
        <v>30818.7</v>
      </c>
      <c r="Q41" t="s" s="13">
        <v>6</v>
      </c>
      <c r="R41" s="13">
        <v>1285</v>
      </c>
      <c r="S41" s="14">
        <v>36365.5</v>
      </c>
    </row>
    <row r="42" spans="2:26">
      <c r="B42" t="s" s="13">
        <v>238</v>
      </c>
      <c r="C42" s="14">
        <v>14999</v>
      </c>
      <c r="D42" s="14">
        <v>30818.7</v>
      </c>
      <c r="G42" t="s" s="13">
        <v>214</v>
      </c>
      <c r="H42" s="14">
        <v>0</v>
      </c>
      <c r="I42" s="14">
        <v>18310.1</v>
      </c>
      <c r="L42" t="s" s="13">
        <v>239</v>
      </c>
      <c r="M42" s="13">
        <v>932</v>
      </c>
      <c r="N42" s="14">
        <v>26375.6</v>
      </c>
      <c r="Q42" t="s" s="13">
        <v>214</v>
      </c>
      <c r="R42" s="13">
        <v>647</v>
      </c>
      <c r="S42" s="14">
        <v>18310.1</v>
      </c>
    </row>
    <row r="43" spans="2:26">
      <c r="B43" t="s" s="13">
        <v>239</v>
      </c>
      <c r="C43" s="14">
        <v>32828</v>
      </c>
      <c r="D43" s="14">
        <v>26375.6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workbookViewId="0">
      <selection activeCell="L8" sqref="L8"/>
    </sheetView>
  </sheetViews>
  <sheetFormatPr baseColWidth="10" defaultColWidth="8.796875" defaultRowHeight="13.8"/>
  <cols>
    <col min="1" max="1" width="13" customWidth="1"/>
    <col min="2" max="2" width="18" customWidth="1"/>
    <col min="3" max="3" width="22" customWidth="1"/>
    <col min="4" max="5" width="20" customWidth="1"/>
    <col min="6" max="6" width="18" customWidth="1"/>
    <col min="7" max="8" width="12" customWidth="1"/>
    <col min="9" max="9" width="16" customWidth="1"/>
    <col min="10" max="10" width="12" customWidth="1"/>
    <col min="11" max="11" width="14" customWidth="1"/>
    <col min="12" max="12" width="30" customWidth="1"/>
  </cols>
  <sheetData>
    <row r="1" spans="1:12" ht="22.35" customHeight="1">
      <c r="A1" t="s" s="17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t="s">
        <v>22</v>
      </c>
      <c r="C2" t="s">
        <v>23</v>
      </c>
      <c r="F2" t="s">
        <v>24</v>
      </c>
      <c r="H2" t="s">
        <v>25</v>
      </c>
      <c r="I2" t="s">
        <v>26</v>
      </c>
      <c r="J2" t="s">
        <v>27</v>
      </c>
    </row>
    <row r="4" spans="1:12" ht="27.6">
      <c r="A4" t="s" s="1">
        <v>28</v>
      </c>
      <c r="B4" t="s" s="1">
        <v>29</v>
      </c>
      <c r="C4" t="s" s="1">
        <v>30</v>
      </c>
      <c r="D4" t="s" s="1">
        <v>3</v>
      </c>
      <c r="E4" t="s" s="1">
        <v>45</v>
      </c>
      <c r="F4" t="s" s="1">
        <v>209</v>
      </c>
      <c r="G4" t="s" s="1">
        <v>32</v>
      </c>
      <c r="H4" t="s" s="1">
        <v>33</v>
      </c>
      <c r="I4" t="s" s="1">
        <v>34</v>
      </c>
      <c r="J4" t="s" s="1">
        <v>35</v>
      </c>
      <c r="K4" t="s" s="1">
        <v>36</v>
      </c>
      <c r="L4" t="s" s="1">
        <v>37</v>
      </c>
    </row>
    <row r="5" spans="1:12">
      <c r="A5" s="2">
        <v>46181</v>
      </c>
      <c r="B5" t="s">
        <v>154</v>
      </c>
      <c r="C5" t="s">
        <v>96</v>
      </c>
      <c r="D5" t="s">
        <v>210</v>
      </c>
      <c r="E5" t="s">
        <v>211</v>
      </c>
      <c r="F5">
        <f>VLOOKUP(TablaPegaso[[#This Row],[Equipo]],Catalogos!$I$4:$J$34,2,FALSE)</f>
      </c>
      <c r="G5" s="3"/>
      <c r="H5" s="3">
        <v>100</v>
      </c>
      <c r="I5" s="3">
        <f t="shared" ref="I5:I38" si="0">IF(ROW()=5,G5-H5,I4+G5-H5)</f>
      </c>
      <c r="J5" s="4">
        <v>28.3</v>
      </c>
      <c r="K5" s="4">
        <f t="shared" ref="K5:K38" si="1">IFERROR((G5+H5)*J5,0)</f>
      </c>
    </row>
    <row r="6" spans="1:12">
      <c r="A6" s="2">
        <v>46181</v>
      </c>
      <c r="B6" t="s">
        <v>154</v>
      </c>
      <c r="C6" t="s">
        <v>214</v>
      </c>
      <c r="D6" t="s">
        <v>214</v>
      </c>
      <c r="E6" t="s">
        <v>211</v>
      </c>
      <c r="F6">
        <f>VLOOKUP(TablaPegaso[[#This Row],[Equipo]],Catalogos!$I$4:$J$34,2,FALSE)</f>
      </c>
      <c r="G6" s="3"/>
      <c r="H6" s="3">
        <v>200</v>
      </c>
      <c r="I6" s="3">
        <f t="shared" si="0"/>
      </c>
      <c r="J6" s="4">
        <v>28.3</v>
      </c>
      <c r="K6" s="4">
        <f t="shared" si="1"/>
      </c>
    </row>
    <row r="7" spans="1:12">
      <c r="A7" s="2">
        <v>46181</v>
      </c>
      <c r="B7" t="s">
        <v>154</v>
      </c>
      <c r="C7" t="s">
        <v>215</v>
      </c>
      <c r="D7" t="s">
        <v>214</v>
      </c>
      <c r="E7" t="s">
        <v>211</v>
      </c>
      <c r="F7">
        <f>VLOOKUP(TablaPegaso[[#This Row],[Equipo]],Catalogos!$I$4:$J$34,2,FALSE)</f>
      </c>
      <c r="G7" s="3"/>
      <c r="H7" s="3">
        <v>209</v>
      </c>
      <c r="I7" s="3">
        <f t="shared" si="0"/>
      </c>
      <c r="J7" s="4">
        <v>28.3</v>
      </c>
      <c r="K7" s="4">
        <f t="shared" si="1"/>
      </c>
    </row>
    <row r="8" spans="1:12">
      <c r="A8" s="2">
        <v>46181</v>
      </c>
      <c r="B8" t="s">
        <v>225</v>
      </c>
      <c r="F8">
        <f>VLOOKUP(TablaPegaso[[#This Row],[Equipo]],Catalogos!$I$4:$J$34,2,FALSE)</f>
      </c>
      <c r="G8" s="3">
        <v>2800</v>
      </c>
      <c r="H8" s="3"/>
      <c r="I8" s="3">
        <f t="shared" si="0"/>
      </c>
      <c r="J8" s="4">
        <v>28.3</v>
      </c>
      <c r="K8" s="4">
        <f t="shared" si="1"/>
      </c>
    </row>
    <row r="9" spans="1:12">
      <c r="A9" s="2">
        <v>46181</v>
      </c>
      <c r="B9" t="s">
        <v>154</v>
      </c>
      <c r="C9" t="s">
        <v>93</v>
      </c>
      <c r="D9" t="s">
        <v>210</v>
      </c>
      <c r="E9" t="s">
        <v>211</v>
      </c>
      <c r="F9">
        <f>VLOOKUP(TablaPegaso[[#This Row],[Equipo]],Catalogos!$I$4:$J$34,2,FALSE)</f>
      </c>
      <c r="G9" s="3"/>
      <c r="H9" s="3">
        <v>80</v>
      </c>
      <c r="I9" s="3">
        <f t="shared" si="0"/>
      </c>
      <c r="J9" s="4">
        <v>28.3</v>
      </c>
      <c r="K9" s="4">
        <f t="shared" si="1"/>
      </c>
    </row>
    <row r="10" spans="1:12">
      <c r="A10" s="2">
        <v>46182</v>
      </c>
      <c r="B10" t="s">
        <v>154</v>
      </c>
      <c r="C10" t="s">
        <v>93</v>
      </c>
      <c r="D10" t="s">
        <v>8</v>
      </c>
      <c r="E10" t="s">
        <v>95</v>
      </c>
      <c r="F10">
        <f>VLOOKUP(TablaPegaso[[#This Row],[Equipo]],Catalogos!$I$4:$J$34,2,FALSE)</f>
      </c>
      <c r="G10" s="3"/>
      <c r="H10" s="3">
        <v>70</v>
      </c>
      <c r="I10" s="3">
        <f t="shared" si="0"/>
      </c>
      <c r="J10" s="4">
        <v>28.3</v>
      </c>
      <c r="K10" s="4">
        <f t="shared" si="1"/>
      </c>
    </row>
    <row r="11" spans="1:12">
      <c r="A11" s="2">
        <v>46182</v>
      </c>
      <c r="B11" t="s">
        <v>154</v>
      </c>
      <c r="C11" t="s">
        <v>93</v>
      </c>
      <c r="D11" t="s">
        <v>8</v>
      </c>
      <c r="E11" t="s">
        <v>200</v>
      </c>
      <c r="F11">
        <f>VLOOKUP(TablaPegaso[[#This Row],[Equipo]],Catalogos!$I$4:$J$34,2,FALSE)</f>
      </c>
      <c r="G11" s="3"/>
      <c r="H11" s="3">
        <v>50</v>
      </c>
      <c r="I11" s="3">
        <f t="shared" si="0"/>
      </c>
      <c r="J11" s="4">
        <v>28.3</v>
      </c>
      <c r="K11" s="4">
        <f t="shared" si="1"/>
      </c>
    </row>
    <row r="12" spans="1:12">
      <c r="A12" s="2">
        <v>46182</v>
      </c>
      <c r="B12" t="s">
        <v>154</v>
      </c>
      <c r="C12" t="s">
        <v>93</v>
      </c>
      <c r="D12" t="s">
        <v>8</v>
      </c>
      <c r="E12" t="s">
        <v>100</v>
      </c>
      <c r="F12">
        <f>VLOOKUP(TablaPegaso[[#This Row],[Equipo]],Catalogos!$I$4:$J$34,2,FALSE)</f>
      </c>
      <c r="G12" s="3"/>
      <c r="H12" s="3">
        <v>60</v>
      </c>
      <c r="I12" s="3">
        <f t="shared" si="0"/>
      </c>
      <c r="J12" s="4">
        <v>28.3</v>
      </c>
      <c r="K12" s="4">
        <f t="shared" si="1"/>
      </c>
    </row>
    <row r="13" spans="1:12">
      <c r="A13" s="2">
        <v>46183</v>
      </c>
      <c r="B13" t="s">
        <v>154</v>
      </c>
      <c r="C13" t="s">
        <v>96</v>
      </c>
      <c r="D13" t="s">
        <v>210</v>
      </c>
      <c r="E13" t="s">
        <v>211</v>
      </c>
      <c r="F13">
        <f>VLOOKUP(TablaPegaso[[#This Row],[Equipo]],Catalogos!$I$4:$J$34,2,FALSE)</f>
      </c>
      <c r="G13" s="3"/>
      <c r="H13" s="3">
        <v>100</v>
      </c>
      <c r="I13" s="3">
        <f t="shared" si="0"/>
      </c>
      <c r="J13" s="4">
        <v>28.3</v>
      </c>
      <c r="K13" s="4">
        <f t="shared" si="1"/>
      </c>
    </row>
    <row r="14" spans="1:12">
      <c r="A14" s="2">
        <v>46184</v>
      </c>
      <c r="B14" t="s">
        <v>154</v>
      </c>
      <c r="C14" t="s">
        <v>214</v>
      </c>
      <c r="D14" t="s">
        <v>214</v>
      </c>
      <c r="E14" t="s">
        <v>217</v>
      </c>
      <c r="F14">
        <f>VLOOKUP(TablaPegaso[[#This Row],[Equipo]],Catalogos!$I$4:$J$34,2,FALSE)</f>
      </c>
      <c r="G14" s="3"/>
      <c r="H14" s="3">
        <v>238</v>
      </c>
      <c r="I14" s="3">
        <f t="shared" si="0"/>
      </c>
      <c r="J14" s="4">
        <v>28.3</v>
      </c>
      <c r="K14" s="4">
        <f t="shared" si="1"/>
      </c>
    </row>
    <row r="15" spans="1:12">
      <c r="A15" s="2">
        <v>46184</v>
      </c>
      <c r="B15" t="s">
        <v>154</v>
      </c>
      <c r="C15" t="s">
        <v>93</v>
      </c>
      <c r="D15" t="s">
        <v>8</v>
      </c>
      <c r="E15" t="s">
        <v>100</v>
      </c>
      <c r="F15">
        <f>VLOOKUP(TablaPegaso[[#This Row],[Equipo]],Catalogos!$I$4:$J$34,2,FALSE)</f>
      </c>
      <c r="G15" s="3"/>
      <c r="H15" s="3">
        <v>80</v>
      </c>
      <c r="I15" s="3">
        <f t="shared" si="0"/>
      </c>
      <c r="J15" s="4">
        <v>28.3</v>
      </c>
      <c r="K15" s="4">
        <f t="shared" si="1"/>
      </c>
    </row>
    <row r="16" spans="1:12">
      <c r="A16" s="2">
        <v>46184</v>
      </c>
      <c r="B16" t="s">
        <v>154</v>
      </c>
      <c r="C16" t="s">
        <v>93</v>
      </c>
      <c r="D16" t="s">
        <v>8</v>
      </c>
      <c r="E16" t="s">
        <v>194</v>
      </c>
      <c r="F16">
        <f>VLOOKUP(TablaPegaso[[#This Row],[Equipo]],Catalogos!$I$4:$J$34,2,FALSE)</f>
      </c>
      <c r="G16" s="3"/>
      <c r="H16" s="3">
        <v>50</v>
      </c>
      <c r="I16" s="3">
        <f t="shared" si="0"/>
      </c>
      <c r="J16" s="4">
        <v>28.3</v>
      </c>
      <c r="K16" s="4">
        <f t="shared" si="1"/>
      </c>
    </row>
    <row r="17" spans="1:11">
      <c r="A17" s="2">
        <v>46184</v>
      </c>
      <c r="B17" t="s">
        <v>154</v>
      </c>
      <c r="C17" t="s">
        <v>93</v>
      </c>
      <c r="D17" t="s">
        <v>8</v>
      </c>
      <c r="E17" t="s">
        <v>95</v>
      </c>
      <c r="F17">
        <f>VLOOKUP(TablaPegaso[[#This Row],[Equipo]],Catalogos!$I$4:$J$34,2,FALSE)</f>
      </c>
      <c r="G17" s="3"/>
      <c r="H17" s="3">
        <v>70</v>
      </c>
      <c r="I17" s="3">
        <f t="shared" si="0"/>
      </c>
      <c r="J17" s="4">
        <v>28.3</v>
      </c>
      <c r="K17" s="4">
        <f t="shared" si="1"/>
      </c>
    </row>
    <row r="18" spans="1:11">
      <c r="A18" s="2">
        <v>46184</v>
      </c>
      <c r="B18" t="s">
        <v>154</v>
      </c>
      <c r="C18" t="s">
        <v>93</v>
      </c>
      <c r="D18" t="s">
        <v>8</v>
      </c>
      <c r="E18" t="s">
        <v>190</v>
      </c>
      <c r="F18">
        <f>VLOOKUP(TablaPegaso[[#This Row],[Equipo]],Catalogos!$I$4:$J$34,2,FALSE)</f>
      </c>
      <c r="G18" s="3"/>
      <c r="H18" s="3">
        <v>80</v>
      </c>
      <c r="I18" s="3">
        <f t="shared" si="0"/>
      </c>
      <c r="J18" s="4">
        <v>28.3</v>
      </c>
      <c r="K18" s="4">
        <f t="shared" si="1"/>
      </c>
    </row>
    <row r="19" spans="1:11">
      <c r="A19" s="2">
        <v>46184</v>
      </c>
      <c r="B19" t="s">
        <v>154</v>
      </c>
      <c r="C19" t="s">
        <v>93</v>
      </c>
      <c r="D19" t="s">
        <v>8</v>
      </c>
      <c r="E19" t="s">
        <v>160</v>
      </c>
      <c r="F19">
        <f>VLOOKUP(TablaPegaso[[#This Row],[Equipo]],Catalogos!$I$4:$J$34,2,FALSE)</f>
      </c>
      <c r="G19" s="3"/>
      <c r="H19" s="3">
        <v>185</v>
      </c>
      <c r="I19" s="3">
        <f t="shared" si="0"/>
      </c>
      <c r="J19" s="4">
        <v>28.3</v>
      </c>
      <c r="K19" s="4">
        <f t="shared" si="1"/>
      </c>
    </row>
    <row r="20" spans="1:11">
      <c r="A20" s="2">
        <v>46184</v>
      </c>
      <c r="B20" t="s">
        <v>154</v>
      </c>
      <c r="C20" t="s">
        <v>93</v>
      </c>
      <c r="D20" t="s">
        <v>8</v>
      </c>
      <c r="E20" t="s">
        <v>200</v>
      </c>
      <c r="F20">
        <f>VLOOKUP(TablaPegaso[[#This Row],[Equipo]],Catalogos!$I$4:$J$34,2,FALSE)</f>
      </c>
      <c r="G20" s="3"/>
      <c r="H20" s="3">
        <v>50</v>
      </c>
      <c r="I20" s="3">
        <f t="shared" si="0"/>
      </c>
      <c r="J20" s="4">
        <v>28.3</v>
      </c>
      <c r="K20" s="4">
        <f t="shared" si="1"/>
      </c>
    </row>
    <row r="21" spans="1:11">
      <c r="A21" s="2">
        <v>46184</v>
      </c>
      <c r="B21" t="s">
        <v>154</v>
      </c>
      <c r="C21" t="s">
        <v>93</v>
      </c>
      <c r="D21" t="s">
        <v>8</v>
      </c>
      <c r="E21" t="s">
        <v>200</v>
      </c>
      <c r="F21">
        <f>VLOOKUP(TablaPegaso[[#This Row],[Equipo]],Catalogos!$I$4:$J$34,2,FALSE)</f>
      </c>
      <c r="G21" s="3"/>
      <c r="H21" s="3">
        <v>40</v>
      </c>
      <c r="I21" s="3">
        <f t="shared" si="0"/>
      </c>
      <c r="J21" s="4">
        <v>28.3</v>
      </c>
      <c r="K21" s="4">
        <f t="shared" si="1"/>
      </c>
    </row>
    <row r="22" spans="1:11">
      <c r="A22" s="2">
        <v>46184</v>
      </c>
      <c r="B22" t="s">
        <v>154</v>
      </c>
      <c r="C22" t="s">
        <v>93</v>
      </c>
      <c r="D22" t="s">
        <v>8</v>
      </c>
      <c r="E22" t="s">
        <v>181</v>
      </c>
      <c r="F22">
        <f>VLOOKUP(TablaPegaso[[#This Row],[Equipo]],Catalogos!$I$4:$J$34,2,FALSE)</f>
      </c>
      <c r="G22" s="3"/>
      <c r="H22" s="3">
        <v>40</v>
      </c>
      <c r="I22" s="3">
        <f t="shared" si="0"/>
      </c>
      <c r="J22" s="4">
        <v>28.3</v>
      </c>
      <c r="K22" s="4">
        <f t="shared" si="1"/>
      </c>
    </row>
    <row r="23" spans="1:11">
      <c r="A23" s="2">
        <v>46185</v>
      </c>
      <c r="B23" t="s">
        <v>154</v>
      </c>
      <c r="C23" t="s">
        <v>93</v>
      </c>
      <c r="D23" t="s">
        <v>210</v>
      </c>
      <c r="E23" t="s">
        <v>175</v>
      </c>
      <c r="F23">
        <f>VLOOKUP(TablaPegaso[[#This Row],[Equipo]],Catalogos!$I$4:$J$34,2,FALSE)</f>
      </c>
      <c r="G23" s="3"/>
      <c r="H23" s="3">
        <v>70</v>
      </c>
      <c r="I23" s="3">
        <f t="shared" si="0"/>
      </c>
      <c r="J23" s="4">
        <v>28.3</v>
      </c>
      <c r="K23" s="4">
        <f t="shared" si="1"/>
      </c>
    </row>
    <row r="24" spans="1:11">
      <c r="A24" s="2"/>
      <c r="F24">
        <f>VLOOKUP(TablaPegaso[[#This Row],[Equipo]],Catalogos!$I$4:$J$34,2,FALSE)</f>
      </c>
      <c r="G24" s="3"/>
      <c r="H24" s="3"/>
      <c r="I24" s="3">
        <f t="shared" si="0"/>
      </c>
      <c r="J24" s="4"/>
      <c r="K24" s="4">
        <f t="shared" si="1"/>
      </c>
    </row>
    <row r="25" spans="1:11">
      <c r="A25" s="2"/>
      <c r="F25">
        <f>VLOOKUP(TablaPegaso[[#This Row],[Equipo]],Catalogos!$I$4:$J$34,2,FALSE)</f>
      </c>
      <c r="G25" s="3"/>
      <c r="H25" s="3"/>
      <c r="I25" s="3">
        <f t="shared" si="0"/>
      </c>
      <c r="J25" s="4"/>
      <c r="K25" s="4">
        <f t="shared" si="1"/>
      </c>
    </row>
    <row r="26" spans="1:11">
      <c r="A26" s="2"/>
      <c r="F26">
        <f>VLOOKUP(TablaPegaso[[#This Row],[Equipo]],Catalogos!$I$4:$J$34,2,FALSE)</f>
      </c>
      <c r="G26" s="3"/>
      <c r="H26" s="3"/>
      <c r="I26" s="3">
        <f t="shared" si="0"/>
      </c>
      <c r="J26" s="4"/>
      <c r="K26" s="4">
        <f t="shared" si="1"/>
      </c>
    </row>
    <row r="27" spans="1:11">
      <c r="A27" s="2"/>
      <c r="F27">
        <f>VLOOKUP(TablaPegaso[[#This Row],[Equipo]],Catalogos!$I$4:$J$34,2,FALSE)</f>
      </c>
      <c r="G27" s="3"/>
      <c r="H27" s="3"/>
      <c r="I27" s="3">
        <f t="shared" si="0"/>
      </c>
      <c r="J27" s="4"/>
      <c r="K27" s="4">
        <f t="shared" si="1"/>
      </c>
    </row>
    <row r="28" spans="1:11">
      <c r="A28" s="2"/>
      <c r="F28">
        <f>VLOOKUP(TablaPegaso[[#This Row],[Equipo]],Catalogos!$I$4:$J$34,2,FALSE)</f>
      </c>
      <c r="G28" s="3"/>
      <c r="H28" s="3"/>
      <c r="I28" s="3">
        <f t="shared" si="0"/>
      </c>
      <c r="J28" s="4"/>
      <c r="K28" s="4">
        <f t="shared" si="1"/>
      </c>
    </row>
    <row r="29" spans="1:11">
      <c r="A29" s="2"/>
      <c r="F29">
        <f>VLOOKUP(TablaPegaso[[#This Row],[Equipo]],Catalogos!$I$4:$J$34,2,FALSE)</f>
      </c>
      <c r="G29" s="3"/>
      <c r="H29" s="3"/>
      <c r="I29" s="3">
        <f t="shared" si="0"/>
      </c>
      <c r="J29" s="4"/>
      <c r="K29" s="4">
        <f t="shared" si="1"/>
      </c>
    </row>
    <row r="30" spans="1:11">
      <c r="A30" s="2"/>
      <c r="F30">
        <f>VLOOKUP(TablaPegaso[[#This Row],[Equipo]],Catalogos!$I$4:$J$34,2,FALSE)</f>
      </c>
      <c r="G30" s="3"/>
      <c r="H30" s="3"/>
      <c r="I30" s="3">
        <f t="shared" si="0"/>
      </c>
      <c r="J30" s="4"/>
      <c r="K30" s="4">
        <f t="shared" si="1"/>
      </c>
    </row>
    <row r="31" spans="1:11">
      <c r="A31" s="2"/>
      <c r="F31">
        <f>VLOOKUP(TablaPegaso[[#This Row],[Equipo]],Catalogos!$I$4:$J$34,2,FALSE)</f>
      </c>
      <c r="G31" s="3"/>
      <c r="H31" s="3"/>
      <c r="I31" s="3">
        <f t="shared" si="0"/>
      </c>
      <c r="J31" s="4"/>
      <c r="K31" s="4">
        <f t="shared" si="1"/>
      </c>
    </row>
    <row r="32" spans="1:11">
      <c r="A32" s="2"/>
      <c r="F32">
        <f>VLOOKUP(TablaPegaso[[#This Row],[Equipo]],Catalogos!$I$4:$J$34,2,FALSE)</f>
      </c>
      <c r="G32" s="3"/>
      <c r="H32" s="3"/>
      <c r="I32" s="3">
        <f t="shared" si="0"/>
      </c>
      <c r="J32" s="4"/>
      <c r="K32" s="4">
        <f t="shared" si="1"/>
      </c>
    </row>
    <row r="33" spans="1:11">
      <c r="A33" s="2"/>
      <c r="F33">
        <f>VLOOKUP(TablaPegaso[[#This Row],[Equipo]],Catalogos!$I$4:$J$34,2,FALSE)</f>
      </c>
      <c r="G33" s="3"/>
      <c r="H33" s="3"/>
      <c r="I33" s="3">
        <f t="shared" si="0"/>
      </c>
      <c r="J33" s="4"/>
      <c r="K33" s="4">
        <f t="shared" si="1"/>
      </c>
    </row>
    <row r="34" spans="1:11">
      <c r="A34" s="2"/>
      <c r="F34">
        <f>VLOOKUP(TablaPegaso[[#This Row],[Equipo]],Catalogos!$I$4:$J$34,2,FALSE)</f>
      </c>
      <c r="G34" s="3"/>
      <c r="H34" s="3"/>
      <c r="I34" s="3">
        <f t="shared" si="0"/>
      </c>
      <c r="J34" s="4"/>
      <c r="K34" s="4">
        <f t="shared" si="1"/>
      </c>
    </row>
    <row r="35" spans="1:11">
      <c r="A35" s="2"/>
      <c r="F35">
        <f>VLOOKUP(TablaPegaso[[#This Row],[Equipo]],Catalogos!$I$4:$J$34,2,FALSE)</f>
      </c>
      <c r="G35" s="3"/>
      <c r="H35" s="3"/>
      <c r="I35" s="3">
        <f t="shared" si="0"/>
      </c>
      <c r="J35" s="4"/>
      <c r="K35" s="4">
        <f t="shared" si="1"/>
      </c>
    </row>
    <row r="36" spans="1:11">
      <c r="A36" s="2"/>
      <c r="F36">
        <f>VLOOKUP(TablaPegaso[[#This Row],[Equipo]],Catalogos!$I$4:$J$34,2,FALSE)</f>
      </c>
      <c r="G36" s="3"/>
      <c r="H36" s="3"/>
      <c r="I36" s="3">
        <f t="shared" si="0"/>
      </c>
      <c r="J36" s="4"/>
      <c r="K36" s="4">
        <f t="shared" si="1"/>
      </c>
    </row>
    <row r="37" spans="1:11">
      <c r="A37" s="2"/>
      <c r="F37">
        <f>VLOOKUP(TablaPegaso[[#This Row],[Equipo]],Catalogos!$I$4:$J$34,2,FALSE)</f>
      </c>
      <c r="G37" s="3"/>
      <c r="H37" s="3"/>
      <c r="I37" s="3">
        <f t="shared" si="0"/>
      </c>
      <c r="J37" s="4"/>
      <c r="K37" s="4">
        <f t="shared" si="1"/>
      </c>
    </row>
    <row r="38" spans="1:11">
      <c r="A38" s="2"/>
      <c r="F38">
        <f>VLOOKUP(TablaPegaso[[#This Row],[Equipo]],Catalogos!$I$4:$J$34,2,FALSE)</f>
      </c>
      <c r="G38" s="3"/>
      <c r="H38" s="3"/>
      <c r="I38" s="3">
        <f t="shared" si="0"/>
      </c>
      <c r="J38" s="4"/>
      <c r="K38" s="4">
        <f t="shared" si="1"/>
      </c>
    </row>
    <row r="39" spans="1:11">
      <c r="A39" s="2"/>
      <c r="F39">
        <f>VLOOKUP(TablaPegaso[[#This Row],[Equipo]],Catalogos!$I$4:$J$34,2,FALSE)</f>
      </c>
      <c r="G39" s="3"/>
      <c r="H39" s="3"/>
      <c r="I39" s="3">
        <f t="shared" ref="I39:I70" si="2">IF(ROW()=5,G39-H39,I38+G39-H39)</f>
      </c>
      <c r="J39" s="4"/>
      <c r="K39" s="4">
        <f t="shared" ref="K39:K70" si="3">IFERROR((G39+H39)*J39,0)</f>
      </c>
    </row>
    <row r="40" spans="1:11">
      <c r="A40" s="2"/>
      <c r="F40">
        <f>VLOOKUP(TablaPegaso[[#This Row],[Equipo]],Catalogos!$I$4:$J$34,2,FALSE)</f>
      </c>
      <c r="G40" s="3"/>
      <c r="H40" s="3"/>
      <c r="I40" s="3">
        <f t="shared" si="2"/>
      </c>
      <c r="J40" s="4"/>
      <c r="K40" s="4">
        <f t="shared" si="3"/>
      </c>
    </row>
    <row r="41" spans="1:11">
      <c r="A41" s="2"/>
      <c r="F41">
        <f>VLOOKUP(TablaPegaso[[#This Row],[Equipo]],Catalogos!$I$4:$J$34,2,FALSE)</f>
      </c>
      <c r="G41" s="3"/>
      <c r="H41" s="3"/>
      <c r="I41" s="3">
        <f t="shared" si="2"/>
      </c>
      <c r="J41" s="4"/>
      <c r="K41" s="4">
        <f t="shared" si="3"/>
      </c>
    </row>
    <row r="42" spans="1:11">
      <c r="A42" s="2"/>
      <c r="F42">
        <f>VLOOKUP(TablaPegaso[[#This Row],[Equipo]],Catalogos!$I$4:$J$34,2,FALSE)</f>
      </c>
      <c r="G42" s="3"/>
      <c r="H42" s="3"/>
      <c r="I42" s="3">
        <f t="shared" si="2"/>
      </c>
      <c r="J42" s="4"/>
      <c r="K42" s="4">
        <f t="shared" si="3"/>
      </c>
    </row>
    <row r="43" spans="1:11">
      <c r="A43" s="2"/>
      <c r="F43">
        <f>VLOOKUP(TablaPegaso[[#This Row],[Equipo]],Catalogos!$I$4:$J$34,2,FALSE)</f>
      </c>
      <c r="G43" s="3"/>
      <c r="H43" s="3"/>
      <c r="I43" s="3">
        <f t="shared" si="2"/>
      </c>
      <c r="J43" s="4"/>
      <c r="K43" s="4">
        <f t="shared" si="3"/>
      </c>
    </row>
    <row r="44" spans="1:11">
      <c r="A44" s="2"/>
      <c r="F44">
        <f>VLOOKUP(TablaPegaso[[#This Row],[Equipo]],Catalogos!$I$4:$J$34,2,FALSE)</f>
      </c>
      <c r="G44" s="3"/>
      <c r="H44" s="3"/>
      <c r="I44" s="3">
        <f t="shared" si="2"/>
      </c>
      <c r="J44" s="4"/>
      <c r="K44" s="4">
        <f t="shared" si="3"/>
      </c>
    </row>
    <row r="45" spans="1:11">
      <c r="A45" s="2"/>
      <c r="F45">
        <f>VLOOKUP(TablaPegaso[[#This Row],[Equipo]],Catalogos!$I$4:$J$34,2,FALSE)</f>
      </c>
      <c r="G45" s="3"/>
      <c r="H45" s="3"/>
      <c r="I45" s="3">
        <f t="shared" si="2"/>
      </c>
      <c r="J45" s="4"/>
      <c r="K45" s="4">
        <f t="shared" si="3"/>
      </c>
    </row>
    <row r="46" spans="1:11">
      <c r="A46" s="2"/>
      <c r="F46">
        <f>VLOOKUP(TablaPegaso[[#This Row],[Equipo]],Catalogos!$I$4:$J$34,2,FALSE)</f>
      </c>
      <c r="G46" s="3"/>
      <c r="H46" s="3"/>
      <c r="I46" s="3">
        <f t="shared" si="2"/>
      </c>
      <c r="J46" s="4"/>
      <c r="K46" s="4">
        <f t="shared" si="3"/>
      </c>
    </row>
    <row r="47" spans="1:11">
      <c r="A47" s="2"/>
      <c r="F47">
        <f>VLOOKUP(TablaPegaso[[#This Row],[Equipo]],Catalogos!$I$4:$J$34,2,FALSE)</f>
      </c>
      <c r="G47" s="3"/>
      <c r="H47" s="3"/>
      <c r="I47" s="3">
        <f t="shared" si="2"/>
      </c>
      <c r="J47" s="4"/>
      <c r="K47" s="4">
        <f t="shared" si="3"/>
      </c>
    </row>
    <row r="48" spans="1:11">
      <c r="A48" s="2"/>
      <c r="F48">
        <f>VLOOKUP(TablaPegaso[[#This Row],[Equipo]],Catalogos!$I$4:$J$34,2,FALSE)</f>
      </c>
      <c r="G48" s="3"/>
      <c r="H48" s="3"/>
      <c r="I48" s="3">
        <f t="shared" si="2"/>
      </c>
      <c r="J48" s="4"/>
      <c r="K48" s="4">
        <f t="shared" si="3"/>
      </c>
    </row>
    <row r="49" spans="1:11">
      <c r="A49" s="2"/>
      <c r="F49">
        <f>VLOOKUP(TablaPegaso[[#This Row],[Equipo]],Catalogos!$I$4:$J$34,2,FALSE)</f>
      </c>
      <c r="G49" s="3"/>
      <c r="H49" s="3"/>
      <c r="I49" s="3">
        <f t="shared" si="2"/>
      </c>
      <c r="J49" s="4"/>
      <c r="K49" s="4">
        <f t="shared" si="3"/>
      </c>
    </row>
    <row r="50" spans="1:11">
      <c r="A50" s="2"/>
      <c r="F50">
        <f>VLOOKUP(TablaPegaso[[#This Row],[Equipo]],Catalogos!$I$4:$J$34,2,FALSE)</f>
      </c>
      <c r="G50" s="3"/>
      <c r="H50" s="3"/>
      <c r="I50" s="3">
        <f t="shared" si="2"/>
      </c>
      <c r="J50" s="4"/>
      <c r="K50" s="4">
        <f t="shared" si="3"/>
      </c>
    </row>
    <row r="51" spans="1:11">
      <c r="A51" s="2"/>
      <c r="F51">
        <f>VLOOKUP(TablaPegaso[[#This Row],[Equipo]],Catalogos!$I$4:$J$34,2,FALSE)</f>
      </c>
      <c r="G51" s="3"/>
      <c r="H51" s="3"/>
      <c r="I51" s="3">
        <f t="shared" si="2"/>
      </c>
      <c r="J51" s="4"/>
      <c r="K51" s="4">
        <f t="shared" si="3"/>
      </c>
    </row>
    <row r="52" spans="1:11">
      <c r="A52" s="2"/>
      <c r="F52">
        <f>VLOOKUP(TablaPegaso[[#This Row],[Equipo]],Catalogos!$I$4:$J$34,2,FALSE)</f>
      </c>
      <c r="G52" s="3"/>
      <c r="H52" s="3"/>
      <c r="I52" s="3">
        <f t="shared" si="2"/>
      </c>
      <c r="J52" s="4"/>
      <c r="K52" s="4">
        <f t="shared" si="3"/>
      </c>
    </row>
    <row r="53" spans="1:11">
      <c r="A53" s="2"/>
      <c r="F53">
        <f>VLOOKUP(TablaPegaso[[#This Row],[Equipo]],Catalogos!$I$4:$J$34,2,FALSE)</f>
      </c>
      <c r="G53" s="3"/>
      <c r="H53" s="3"/>
      <c r="I53" s="3">
        <f t="shared" si="2"/>
      </c>
      <c r="J53" s="4"/>
      <c r="K53" s="4">
        <f t="shared" si="3"/>
      </c>
    </row>
    <row r="54" spans="1:11">
      <c r="A54" s="2"/>
      <c r="F54">
        <f>VLOOKUP(TablaPegaso[[#This Row],[Equipo]],Catalogos!$I$4:$J$34,2,FALSE)</f>
      </c>
      <c r="G54" s="3"/>
      <c r="H54" s="3"/>
      <c r="I54" s="3">
        <f t="shared" si="2"/>
      </c>
      <c r="J54" s="4"/>
      <c r="K54" s="4">
        <f t="shared" si="3"/>
      </c>
    </row>
    <row r="55" spans="1:11">
      <c r="A55" s="2"/>
      <c r="F55">
        <f>VLOOKUP(TablaPegaso[[#This Row],[Equipo]],Catalogos!$I$4:$J$34,2,FALSE)</f>
      </c>
      <c r="G55" s="3"/>
      <c r="H55" s="3"/>
      <c r="I55" s="3">
        <f t="shared" si="2"/>
      </c>
      <c r="J55" s="4"/>
      <c r="K55" s="4">
        <f t="shared" si="3"/>
      </c>
    </row>
    <row r="56" spans="1:11">
      <c r="A56" s="2"/>
      <c r="F56">
        <f>VLOOKUP(TablaPegaso[[#This Row],[Equipo]],Catalogos!$I$4:$J$34,2,FALSE)</f>
      </c>
      <c r="G56" s="3"/>
      <c r="H56" s="3"/>
      <c r="I56" s="3">
        <f t="shared" si="2"/>
      </c>
      <c r="J56" s="4"/>
      <c r="K56" s="4">
        <f t="shared" si="3"/>
      </c>
    </row>
    <row r="57" spans="1:11">
      <c r="A57" s="2"/>
      <c r="F57">
        <f>VLOOKUP(TablaPegaso[[#This Row],[Equipo]],Catalogos!$I$4:$J$34,2,FALSE)</f>
      </c>
      <c r="G57" s="3"/>
      <c r="H57" s="3"/>
      <c r="I57" s="3">
        <f t="shared" si="2"/>
      </c>
      <c r="J57" s="4"/>
      <c r="K57" s="4">
        <f t="shared" si="3"/>
      </c>
    </row>
    <row r="58" spans="1:11">
      <c r="A58" s="2"/>
      <c r="F58">
        <f>VLOOKUP(TablaPegaso[[#This Row],[Equipo]],Catalogos!$I$4:$J$34,2,FALSE)</f>
      </c>
      <c r="G58" s="3"/>
      <c r="H58" s="3"/>
      <c r="I58" s="3">
        <f t="shared" si="2"/>
      </c>
      <c r="J58" s="4"/>
      <c r="K58" s="4">
        <f t="shared" si="3"/>
      </c>
    </row>
    <row r="59" spans="1:11">
      <c r="A59" s="2"/>
      <c r="F59">
        <f>VLOOKUP(TablaPegaso[[#This Row],[Equipo]],Catalogos!$I$4:$J$34,2,FALSE)</f>
      </c>
      <c r="G59" s="3"/>
      <c r="H59" s="3"/>
      <c r="I59" s="3">
        <f t="shared" si="2"/>
      </c>
      <c r="J59" s="4"/>
      <c r="K59" s="4">
        <f t="shared" si="3"/>
      </c>
    </row>
    <row r="60" spans="1:11">
      <c r="A60" s="2"/>
      <c r="F60">
        <f>VLOOKUP(TablaPegaso[[#This Row],[Equipo]],Catalogos!$I$4:$J$34,2,FALSE)</f>
      </c>
      <c r="G60" s="3"/>
      <c r="H60" s="3"/>
      <c r="I60" s="3">
        <f t="shared" si="2"/>
      </c>
      <c r="J60" s="4"/>
      <c r="K60" s="4">
        <f t="shared" si="3"/>
      </c>
    </row>
    <row r="61" spans="1:11">
      <c r="A61" s="2"/>
      <c r="F61">
        <f>VLOOKUP(TablaPegaso[[#This Row],[Equipo]],Catalogos!$I$4:$J$34,2,FALSE)</f>
      </c>
      <c r="G61" s="3"/>
      <c r="H61" s="3"/>
      <c r="I61" s="3">
        <f t="shared" si="2"/>
      </c>
      <c r="J61" s="4"/>
      <c r="K61" s="4">
        <f t="shared" si="3"/>
      </c>
    </row>
    <row r="62" spans="1:11">
      <c r="A62" s="2"/>
      <c r="F62">
        <f>VLOOKUP(TablaPegaso[[#This Row],[Equipo]],Catalogos!$I$4:$J$34,2,FALSE)</f>
      </c>
      <c r="G62" s="3"/>
      <c r="H62" s="3"/>
      <c r="I62" s="3">
        <f t="shared" si="2"/>
      </c>
      <c r="J62" s="4"/>
      <c r="K62" s="4">
        <f t="shared" si="3"/>
      </c>
    </row>
    <row r="63" spans="1:11">
      <c r="A63" s="2"/>
      <c r="F63">
        <f>VLOOKUP(TablaPegaso[[#This Row],[Equipo]],Catalogos!$I$4:$J$34,2,FALSE)</f>
      </c>
      <c r="G63" s="3"/>
      <c r="H63" s="3"/>
      <c r="I63" s="3">
        <f t="shared" si="2"/>
      </c>
      <c r="J63" s="4"/>
      <c r="K63" s="4">
        <f t="shared" si="3"/>
      </c>
    </row>
    <row r="64" spans="1:11">
      <c r="A64" s="2"/>
      <c r="F64">
        <f>VLOOKUP(TablaPegaso[[#This Row],[Equipo]],Catalogos!$I$4:$J$34,2,FALSE)</f>
      </c>
      <c r="G64" s="3"/>
      <c r="H64" s="3"/>
      <c r="I64" s="3">
        <f t="shared" si="2"/>
      </c>
      <c r="J64" s="4"/>
      <c r="K64" s="4">
        <f t="shared" si="3"/>
      </c>
    </row>
    <row r="65" spans="1:11">
      <c r="A65" s="2"/>
      <c r="F65">
        <f>VLOOKUP(TablaPegaso[[#This Row],[Equipo]],Catalogos!$I$4:$J$34,2,FALSE)</f>
      </c>
      <c r="G65" s="3"/>
      <c r="H65" s="3"/>
      <c r="I65" s="3">
        <f t="shared" si="2"/>
      </c>
      <c r="J65" s="4"/>
      <c r="K65" s="4">
        <f t="shared" si="3"/>
      </c>
    </row>
    <row r="66" spans="1:11">
      <c r="A66" s="2"/>
      <c r="F66">
        <f>VLOOKUP(TablaPegaso[[#This Row],[Equipo]],Catalogos!$I$4:$J$34,2,FALSE)</f>
      </c>
      <c r="G66" s="3"/>
      <c r="H66" s="3"/>
      <c r="I66" s="3">
        <f t="shared" si="2"/>
      </c>
      <c r="J66" s="4"/>
      <c r="K66" s="4">
        <f t="shared" si="3"/>
      </c>
    </row>
    <row r="67" spans="1:11">
      <c r="A67" s="2"/>
      <c r="F67">
        <f>VLOOKUP(TablaPegaso[[#This Row],[Equipo]],Catalogos!$I$4:$J$34,2,FALSE)</f>
      </c>
      <c r="G67" s="3"/>
      <c r="H67" s="3"/>
      <c r="I67" s="3">
        <f t="shared" si="2"/>
      </c>
      <c r="J67" s="4"/>
      <c r="K67" s="4">
        <f t="shared" si="3"/>
      </c>
    </row>
    <row r="68" spans="1:11">
      <c r="A68" s="2"/>
      <c r="F68">
        <f>VLOOKUP(TablaPegaso[[#This Row],[Equipo]],Catalogos!$I$4:$J$34,2,FALSE)</f>
      </c>
      <c r="G68" s="3"/>
      <c r="H68" s="3"/>
      <c r="I68" s="3">
        <f t="shared" si="2"/>
      </c>
      <c r="J68" s="4"/>
      <c r="K68" s="4">
        <f t="shared" si="3"/>
      </c>
    </row>
    <row r="69" spans="1:11">
      <c r="A69" s="2"/>
      <c r="F69">
        <f>VLOOKUP(TablaPegaso[[#This Row],[Equipo]],Catalogos!$I$4:$J$34,2,FALSE)</f>
      </c>
      <c r="G69" s="3"/>
      <c r="H69" s="3"/>
      <c r="I69" s="3">
        <f t="shared" si="2"/>
      </c>
      <c r="J69" s="4"/>
      <c r="K69" s="4">
        <f t="shared" si="3"/>
      </c>
    </row>
    <row r="70" spans="1:11">
      <c r="A70" s="2"/>
      <c r="F70">
        <f>VLOOKUP(TablaPegaso[[#This Row],[Equipo]],Catalogos!$I$4:$J$34,2,FALSE)</f>
      </c>
      <c r="G70" s="3"/>
      <c r="H70" s="3"/>
      <c r="I70" s="3">
        <f t="shared" si="2"/>
      </c>
      <c r="J70" s="4"/>
      <c r="K70" s="4">
        <f t="shared" si="3"/>
      </c>
    </row>
    <row r="71" spans="1:11">
      <c r="A71" s="2"/>
      <c r="F71">
        <f>VLOOKUP(TablaPegaso[[#This Row],[Equipo]],Catalogos!$I$4:$J$34,2,FALSE)</f>
      </c>
      <c r="G71" s="3"/>
      <c r="H71" s="3"/>
      <c r="I71" s="3">
        <f t="shared" ref="I71:I102" si="4">IF(ROW()=5,G71-H71,I70+G71-H71)</f>
      </c>
      <c r="J71" s="4"/>
      <c r="K71" s="4">
        <f t="shared" ref="K71:K102" si="5">IFERROR((G71+H71)*J71,0)</f>
      </c>
    </row>
    <row r="72" spans="1:11">
      <c r="A72" s="2"/>
      <c r="F72">
        <f>VLOOKUP(TablaPegaso[[#This Row],[Equipo]],Catalogos!$I$4:$J$34,2,FALSE)</f>
      </c>
      <c r="G72" s="3"/>
      <c r="H72" s="3"/>
      <c r="I72" s="3">
        <f t="shared" si="4"/>
      </c>
      <c r="J72" s="4"/>
      <c r="K72" s="4">
        <f t="shared" si="5"/>
      </c>
    </row>
    <row r="73" spans="1:11">
      <c r="A73" s="2"/>
      <c r="F73">
        <f>VLOOKUP(TablaPegaso[[#This Row],[Equipo]],Catalogos!$I$4:$J$34,2,FALSE)</f>
      </c>
      <c r="G73" s="3"/>
      <c r="H73" s="3"/>
      <c r="I73" s="3">
        <f t="shared" si="4"/>
      </c>
      <c r="J73" s="4"/>
      <c r="K73" s="4">
        <f t="shared" si="5"/>
      </c>
    </row>
    <row r="74" spans="1:11">
      <c r="A74" s="2"/>
      <c r="F74">
        <f>VLOOKUP(TablaPegaso[[#This Row],[Equipo]],Catalogos!$I$4:$J$34,2,FALSE)</f>
      </c>
      <c r="G74" s="3"/>
      <c r="H74" s="3"/>
      <c r="I74" s="3">
        <f t="shared" si="4"/>
      </c>
      <c r="J74" s="4"/>
      <c r="K74" s="4">
        <f t="shared" si="5"/>
      </c>
    </row>
    <row r="75" spans="1:11">
      <c r="A75" s="2"/>
      <c r="F75">
        <f>VLOOKUP(TablaPegaso[[#This Row],[Equipo]],Catalogos!$I$4:$J$34,2,FALSE)</f>
      </c>
      <c r="G75" s="3"/>
      <c r="H75" s="3"/>
      <c r="I75" s="3">
        <f t="shared" si="4"/>
      </c>
      <c r="J75" s="4"/>
      <c r="K75" s="4">
        <f t="shared" si="5"/>
      </c>
    </row>
    <row r="76" spans="1:11">
      <c r="A76" s="2"/>
      <c r="F76">
        <f>VLOOKUP(TablaPegaso[[#This Row],[Equipo]],Catalogos!$I$4:$J$34,2,FALSE)</f>
      </c>
      <c r="G76" s="3"/>
      <c r="H76" s="3"/>
      <c r="I76" s="3">
        <f t="shared" si="4"/>
      </c>
      <c r="J76" s="4"/>
      <c r="K76" s="4">
        <f t="shared" si="5"/>
      </c>
    </row>
    <row r="77" spans="1:11">
      <c r="A77" s="2"/>
      <c r="F77">
        <f>VLOOKUP(TablaPegaso[[#This Row],[Equipo]],Catalogos!$I$4:$J$34,2,FALSE)</f>
      </c>
      <c r="G77" s="3"/>
      <c r="H77" s="3"/>
      <c r="I77" s="3">
        <f t="shared" si="4"/>
      </c>
      <c r="J77" s="4"/>
      <c r="K77" s="4">
        <f t="shared" si="5"/>
      </c>
    </row>
    <row r="78" spans="1:11">
      <c r="A78" s="2"/>
      <c r="F78">
        <f>VLOOKUP(TablaPegaso[[#This Row],[Equipo]],Catalogos!$I$4:$J$34,2,FALSE)</f>
      </c>
      <c r="G78" s="3"/>
      <c r="H78" s="3"/>
      <c r="I78" s="3">
        <f t="shared" si="4"/>
      </c>
      <c r="J78" s="4"/>
      <c r="K78" s="4">
        <f t="shared" si="5"/>
      </c>
    </row>
    <row r="79" spans="1:11">
      <c r="A79" s="2"/>
      <c r="F79">
        <f>VLOOKUP(TablaPegaso[[#This Row],[Equipo]],Catalogos!$I$4:$J$34,2,FALSE)</f>
      </c>
      <c r="G79" s="3"/>
      <c r="H79" s="3"/>
      <c r="I79" s="3">
        <f t="shared" si="4"/>
      </c>
      <c r="J79" s="4"/>
      <c r="K79" s="4">
        <f t="shared" si="5"/>
      </c>
    </row>
    <row r="80" spans="1:11">
      <c r="A80" s="2"/>
      <c r="F80">
        <f>VLOOKUP(TablaPegaso[[#This Row],[Equipo]],Catalogos!$I$4:$J$34,2,FALSE)</f>
      </c>
      <c r="G80" s="3"/>
      <c r="H80" s="3"/>
      <c r="I80" s="3">
        <f t="shared" si="4"/>
      </c>
      <c r="J80" s="4"/>
      <c r="K80" s="4">
        <f t="shared" si="5"/>
      </c>
    </row>
    <row r="81" spans="1:11">
      <c r="A81" s="2"/>
      <c r="F81">
        <f>VLOOKUP(TablaPegaso[[#This Row],[Equipo]],Catalogos!$I$4:$J$34,2,FALSE)</f>
      </c>
      <c r="G81" s="3"/>
      <c r="H81" s="3"/>
      <c r="I81" s="3">
        <f t="shared" si="4"/>
      </c>
      <c r="J81" s="4"/>
      <c r="K81" s="4">
        <f t="shared" si="5"/>
      </c>
    </row>
    <row r="82" spans="1:11">
      <c r="A82" s="2"/>
      <c r="F82">
        <f>VLOOKUP(TablaPegaso[[#This Row],[Equipo]],Catalogos!$I$4:$J$34,2,FALSE)</f>
      </c>
      <c r="G82" s="3"/>
      <c r="H82" s="3"/>
      <c r="I82" s="3">
        <f t="shared" si="4"/>
      </c>
      <c r="J82" s="4"/>
      <c r="K82" s="4">
        <f t="shared" si="5"/>
      </c>
    </row>
    <row r="83" spans="1:11">
      <c r="A83" s="2"/>
      <c r="F83">
        <f>VLOOKUP(TablaPegaso[[#This Row],[Equipo]],Catalogos!$I$4:$J$34,2,FALSE)</f>
      </c>
      <c r="G83" s="3"/>
      <c r="H83" s="3"/>
      <c r="I83" s="3">
        <f t="shared" si="4"/>
      </c>
      <c r="J83" s="4"/>
      <c r="K83" s="4">
        <f t="shared" si="5"/>
      </c>
    </row>
    <row r="84" spans="1:11">
      <c r="A84" s="2"/>
      <c r="F84">
        <f>VLOOKUP(TablaPegaso[[#This Row],[Equipo]],Catalogos!$I$4:$J$34,2,FALSE)</f>
      </c>
      <c r="G84" s="3"/>
      <c r="H84" s="3"/>
      <c r="I84" s="3">
        <f t="shared" si="4"/>
      </c>
      <c r="J84" s="4"/>
      <c r="K84" s="4">
        <f t="shared" si="5"/>
      </c>
    </row>
    <row r="85" spans="1:11">
      <c r="A85" s="2"/>
      <c r="F85">
        <f>VLOOKUP(TablaPegaso[[#This Row],[Equipo]],Catalogos!$I$4:$J$34,2,FALSE)</f>
      </c>
      <c r="G85" s="3"/>
      <c r="H85" s="3"/>
      <c r="I85" s="3">
        <f t="shared" si="4"/>
      </c>
      <c r="J85" s="4"/>
      <c r="K85" s="4">
        <f t="shared" si="5"/>
      </c>
    </row>
    <row r="86" spans="1:11">
      <c r="A86" s="2"/>
      <c r="F86">
        <f>VLOOKUP(TablaPegaso[[#This Row],[Equipo]],Catalogos!$I$4:$J$34,2,FALSE)</f>
      </c>
      <c r="G86" s="3"/>
      <c r="H86" s="3"/>
      <c r="I86" s="3">
        <f t="shared" si="4"/>
      </c>
      <c r="J86" s="4"/>
      <c r="K86" s="4">
        <f t="shared" si="5"/>
      </c>
    </row>
    <row r="87" spans="1:11">
      <c r="A87" s="2"/>
      <c r="F87">
        <f>VLOOKUP(TablaPegaso[[#This Row],[Equipo]],Catalogos!$I$4:$J$34,2,FALSE)</f>
      </c>
      <c r="G87" s="3"/>
      <c r="H87" s="3"/>
      <c r="I87" s="3">
        <f t="shared" si="4"/>
      </c>
      <c r="J87" s="4"/>
      <c r="K87" s="4">
        <f t="shared" si="5"/>
      </c>
    </row>
    <row r="88" spans="1:11">
      <c r="A88" s="2"/>
      <c r="F88">
        <f>VLOOKUP(TablaPegaso[[#This Row],[Equipo]],Catalogos!$I$4:$J$34,2,FALSE)</f>
      </c>
      <c r="G88" s="3"/>
      <c r="H88" s="3"/>
      <c r="I88" s="3">
        <f t="shared" si="4"/>
      </c>
      <c r="J88" s="4"/>
      <c r="K88" s="4">
        <f t="shared" si="5"/>
      </c>
    </row>
    <row r="89" spans="1:11">
      <c r="A89" s="2"/>
      <c r="F89">
        <f>VLOOKUP(TablaPegaso[[#This Row],[Equipo]],Catalogos!$I$4:$J$34,2,FALSE)</f>
      </c>
      <c r="G89" s="3"/>
      <c r="H89" s="3"/>
      <c r="I89" s="3">
        <f t="shared" si="4"/>
      </c>
      <c r="J89" s="4"/>
      <c r="K89" s="4">
        <f t="shared" si="5"/>
      </c>
    </row>
    <row r="90" spans="1:11">
      <c r="A90" s="2"/>
      <c r="F90">
        <f>VLOOKUP(TablaPegaso[[#This Row],[Equipo]],Catalogos!$I$4:$J$34,2,FALSE)</f>
      </c>
      <c r="G90" s="3"/>
      <c r="H90" s="3"/>
      <c r="I90" s="3">
        <f t="shared" si="4"/>
      </c>
      <c r="J90" s="4"/>
      <c r="K90" s="4">
        <f t="shared" si="5"/>
      </c>
    </row>
    <row r="91" spans="1:11">
      <c r="A91" s="2"/>
      <c r="F91">
        <f>VLOOKUP(TablaPegaso[[#This Row],[Equipo]],Catalogos!$I$4:$J$34,2,FALSE)</f>
      </c>
      <c r="G91" s="3"/>
      <c r="H91" s="3"/>
      <c r="I91" s="3">
        <f t="shared" si="4"/>
      </c>
      <c r="J91" s="4"/>
      <c r="K91" s="4">
        <f t="shared" si="5"/>
      </c>
    </row>
    <row r="92" spans="1:11">
      <c r="A92" s="2"/>
      <c r="F92">
        <f>VLOOKUP(TablaPegaso[[#This Row],[Equipo]],Catalogos!$I$4:$J$34,2,FALSE)</f>
      </c>
      <c r="G92" s="3"/>
      <c r="H92" s="3"/>
      <c r="I92" s="3">
        <f t="shared" si="4"/>
      </c>
      <c r="J92" s="4"/>
      <c r="K92" s="4">
        <f t="shared" si="5"/>
      </c>
    </row>
    <row r="93" spans="1:11">
      <c r="A93" s="2"/>
      <c r="F93">
        <f>VLOOKUP(TablaPegaso[[#This Row],[Equipo]],Catalogos!$I$4:$J$34,2,FALSE)</f>
      </c>
      <c r="G93" s="3"/>
      <c r="H93" s="3"/>
      <c r="I93" s="3">
        <f t="shared" si="4"/>
      </c>
      <c r="J93" s="4"/>
      <c r="K93" s="4">
        <f t="shared" si="5"/>
      </c>
    </row>
    <row r="94" spans="1:11">
      <c r="A94" s="2"/>
      <c r="F94">
        <f>VLOOKUP(TablaPegaso[[#This Row],[Equipo]],Catalogos!$I$4:$J$34,2,FALSE)</f>
      </c>
      <c r="G94" s="3"/>
      <c r="H94" s="3"/>
      <c r="I94" s="3">
        <f t="shared" si="4"/>
      </c>
      <c r="J94" s="4"/>
      <c r="K94" s="4">
        <f t="shared" si="5"/>
      </c>
    </row>
    <row r="95" spans="1:11">
      <c r="A95" s="2"/>
      <c r="F95">
        <f>VLOOKUP(TablaPegaso[[#This Row],[Equipo]],Catalogos!$I$4:$J$34,2,FALSE)</f>
      </c>
      <c r="G95" s="3"/>
      <c r="H95" s="3"/>
      <c r="I95" s="3">
        <f t="shared" si="4"/>
      </c>
      <c r="J95" s="4"/>
      <c r="K95" s="4">
        <f t="shared" si="5"/>
      </c>
    </row>
    <row r="96" spans="1:11">
      <c r="A96" s="2"/>
      <c r="F96">
        <f>VLOOKUP(TablaPegaso[[#This Row],[Equipo]],Catalogos!$I$4:$J$34,2,FALSE)</f>
      </c>
      <c r="G96" s="3"/>
      <c r="H96" s="3"/>
      <c r="I96" s="3">
        <f t="shared" si="4"/>
      </c>
      <c r="J96" s="4"/>
      <c r="K96" s="4">
        <f t="shared" si="5"/>
      </c>
    </row>
    <row r="97" spans="1:11">
      <c r="A97" s="2"/>
      <c r="F97">
        <f>VLOOKUP(TablaPegaso[[#This Row],[Equipo]],Catalogos!$I$4:$J$34,2,FALSE)</f>
      </c>
      <c r="G97" s="3"/>
      <c r="H97" s="3"/>
      <c r="I97" s="3">
        <f t="shared" si="4"/>
      </c>
      <c r="J97" s="4"/>
      <c r="K97" s="4">
        <f t="shared" si="5"/>
      </c>
    </row>
    <row r="98" spans="1:11">
      <c r="A98" s="2"/>
      <c r="F98">
        <f>VLOOKUP(TablaPegaso[[#This Row],[Equipo]],Catalogos!$I$4:$J$34,2,FALSE)</f>
      </c>
      <c r="G98" s="3"/>
      <c r="H98" s="3"/>
      <c r="I98" s="3">
        <f t="shared" si="4"/>
      </c>
      <c r="J98" s="4"/>
      <c r="K98" s="4">
        <f t="shared" si="5"/>
      </c>
    </row>
    <row r="99" spans="1:11">
      <c r="A99" s="2"/>
      <c r="F99">
        <f>VLOOKUP(TablaPegaso[[#This Row],[Equipo]],Catalogos!$I$4:$J$34,2,FALSE)</f>
      </c>
      <c r="G99" s="3"/>
      <c r="H99" s="3"/>
      <c r="I99" s="3">
        <f t="shared" si="4"/>
      </c>
      <c r="J99" s="4"/>
      <c r="K99" s="4">
        <f t="shared" si="5"/>
      </c>
    </row>
    <row r="100" spans="1:11">
      <c r="A100" s="2"/>
      <c r="F100">
        <f>VLOOKUP(TablaPegaso[[#This Row],[Equipo]],Catalogos!$I$4:$J$34,2,FALSE)</f>
      </c>
      <c r="G100" s="3"/>
      <c r="H100" s="3"/>
      <c r="I100" s="3">
        <f t="shared" si="4"/>
      </c>
      <c r="J100" s="4"/>
      <c r="K100" s="4">
        <f t="shared" si="5"/>
      </c>
    </row>
    <row r="101" spans="1:11">
      <c r="A101" s="2"/>
      <c r="F101">
        <f>VLOOKUP(TablaPegaso[[#This Row],[Equipo]],Catalogos!$I$4:$J$34,2,FALSE)</f>
      </c>
      <c r="G101" s="3"/>
      <c r="H101" s="3"/>
      <c r="I101" s="3">
        <f t="shared" si="4"/>
      </c>
      <c r="J101" s="4"/>
      <c r="K101" s="4">
        <f t="shared" si="5"/>
      </c>
    </row>
    <row r="102" spans="1:11">
      <c r="A102" s="2"/>
      <c r="F102">
        <f>VLOOKUP(TablaPegaso[[#This Row],[Equipo]],Catalogos!$I$4:$J$34,2,FALSE)</f>
      </c>
      <c r="G102" s="3"/>
      <c r="H102" s="3"/>
      <c r="I102" s="3">
        <f t="shared" si="4"/>
      </c>
      <c r="J102" s="4"/>
      <c r="K102" s="4">
        <f t="shared" si="5"/>
      </c>
    </row>
    <row r="103" spans="1:11">
      <c r="A103" s="2"/>
      <c r="F103">
        <f>VLOOKUP(TablaPegaso[[#This Row],[Equipo]],Catalogos!$I$4:$J$34,2,FALSE)</f>
      </c>
      <c r="G103" s="3"/>
      <c r="H103" s="3"/>
      <c r="I103" s="3">
        <f t="shared" ref="I103:I134" si="6">IF(ROW()=5,G103-H103,I102+G103-H103)</f>
      </c>
      <c r="J103" s="4"/>
      <c r="K103" s="4">
        <f t="shared" ref="K103:K134" si="7">IFERROR((G103+H103)*J103,0)</f>
      </c>
    </row>
    <row r="104" spans="1:11">
      <c r="A104" s="2"/>
      <c r="F104">
        <f>VLOOKUP(TablaPegaso[[#This Row],[Equipo]],Catalogos!$I$4:$J$34,2,FALSE)</f>
      </c>
      <c r="G104" s="3"/>
      <c r="H104" s="3"/>
      <c r="I104" s="3">
        <f t="shared" si="6"/>
      </c>
      <c r="J104" s="4"/>
      <c r="K104" s="4">
        <f t="shared" si="7"/>
      </c>
    </row>
    <row r="105" spans="1:11">
      <c r="A105" s="2"/>
      <c r="F105">
        <f>VLOOKUP(TablaPegaso[[#This Row],[Equipo]],Catalogos!$I$4:$J$34,2,FALSE)</f>
      </c>
      <c r="G105" s="3"/>
      <c r="H105" s="3"/>
      <c r="I105" s="3">
        <f t="shared" si="6"/>
      </c>
      <c r="J105" s="4"/>
      <c r="K105" s="4">
        <f t="shared" si="7"/>
      </c>
    </row>
    <row r="106" spans="1:11">
      <c r="A106" s="2"/>
      <c r="F106">
        <f>VLOOKUP(TablaPegaso[[#This Row],[Equipo]],Catalogos!$I$4:$J$34,2,FALSE)</f>
      </c>
      <c r="G106" s="3"/>
      <c r="H106" s="3"/>
      <c r="I106" s="3">
        <f t="shared" si="6"/>
      </c>
      <c r="J106" s="4"/>
      <c r="K106" s="4">
        <f t="shared" si="7"/>
      </c>
    </row>
    <row r="107" spans="1:11">
      <c r="A107" s="2"/>
      <c r="F107">
        <f>VLOOKUP(TablaPegaso[[#This Row],[Equipo]],Catalogos!$I$4:$J$34,2,FALSE)</f>
      </c>
      <c r="G107" s="3"/>
      <c r="H107" s="3"/>
      <c r="I107" s="3">
        <f t="shared" si="6"/>
      </c>
      <c r="J107" s="4"/>
      <c r="K107" s="4">
        <f t="shared" si="7"/>
      </c>
    </row>
    <row r="108" spans="1:11">
      <c r="A108" s="2"/>
      <c r="F108">
        <f>VLOOKUP(TablaPegaso[[#This Row],[Equipo]],Catalogos!$I$4:$J$34,2,FALSE)</f>
      </c>
      <c r="G108" s="3"/>
      <c r="H108" s="3"/>
      <c r="I108" s="3">
        <f t="shared" si="6"/>
      </c>
      <c r="J108" s="4"/>
      <c r="K108" s="4">
        <f t="shared" si="7"/>
      </c>
    </row>
    <row r="109" spans="1:11">
      <c r="A109" s="2"/>
      <c r="F109">
        <f>VLOOKUP(TablaPegaso[[#This Row],[Equipo]],Catalogos!$I$4:$J$34,2,FALSE)</f>
      </c>
      <c r="G109" s="3"/>
      <c r="H109" s="3"/>
      <c r="I109" s="3">
        <f t="shared" si="6"/>
      </c>
      <c r="J109" s="4"/>
      <c r="K109" s="4">
        <f t="shared" si="7"/>
      </c>
    </row>
    <row r="110" spans="1:11">
      <c r="A110" s="2"/>
      <c r="F110">
        <f>VLOOKUP(TablaPegaso[[#This Row],[Equipo]],Catalogos!$I$4:$J$34,2,FALSE)</f>
      </c>
      <c r="G110" s="3"/>
      <c r="H110" s="3"/>
      <c r="I110" s="3">
        <f t="shared" si="6"/>
      </c>
      <c r="J110" s="4"/>
      <c r="K110" s="4">
        <f t="shared" si="7"/>
      </c>
    </row>
    <row r="111" spans="1:11">
      <c r="A111" s="2"/>
      <c r="F111">
        <f>VLOOKUP(TablaPegaso[[#This Row],[Equipo]],Catalogos!$I$4:$J$34,2,FALSE)</f>
      </c>
      <c r="G111" s="3"/>
      <c r="H111" s="3"/>
      <c r="I111" s="3">
        <f t="shared" si="6"/>
      </c>
      <c r="J111" s="4"/>
      <c r="K111" s="4">
        <f t="shared" si="7"/>
      </c>
    </row>
    <row r="112" spans="1:11">
      <c r="A112" s="2"/>
      <c r="F112">
        <f>VLOOKUP(TablaPegaso[[#This Row],[Equipo]],Catalogos!$I$4:$J$34,2,FALSE)</f>
      </c>
      <c r="G112" s="3"/>
      <c r="H112" s="3"/>
      <c r="I112" s="3">
        <f t="shared" si="6"/>
      </c>
      <c r="J112" s="4"/>
      <c r="K112" s="4">
        <f t="shared" si="7"/>
      </c>
    </row>
    <row r="113" spans="1:11">
      <c r="A113" s="2"/>
      <c r="F113">
        <f>VLOOKUP(TablaPegaso[[#This Row],[Equipo]],Catalogos!$I$4:$J$34,2,FALSE)</f>
      </c>
      <c r="G113" s="3"/>
      <c r="H113" s="3"/>
      <c r="I113" s="3">
        <f t="shared" si="6"/>
      </c>
      <c r="J113" s="4"/>
      <c r="K113" s="4">
        <f t="shared" si="7"/>
      </c>
    </row>
    <row r="114" spans="1:11">
      <c r="A114" s="2"/>
      <c r="F114">
        <f>VLOOKUP(TablaPegaso[[#This Row],[Equipo]],Catalogos!$I$4:$J$34,2,FALSE)</f>
      </c>
      <c r="G114" s="3"/>
      <c r="H114" s="3"/>
      <c r="I114" s="3">
        <f t="shared" si="6"/>
      </c>
      <c r="J114" s="4"/>
      <c r="K114" s="4">
        <f t="shared" si="7"/>
      </c>
    </row>
    <row r="115" spans="1:11">
      <c r="A115" s="2"/>
      <c r="F115">
        <f>VLOOKUP(TablaPegaso[[#This Row],[Equipo]],Catalogos!$I$4:$J$34,2,FALSE)</f>
      </c>
      <c r="G115" s="3"/>
      <c r="H115" s="3"/>
      <c r="I115" s="3">
        <f t="shared" si="6"/>
      </c>
      <c r="J115" s="4"/>
      <c r="K115" s="4">
        <f t="shared" si="7"/>
      </c>
    </row>
    <row r="116" spans="1:11">
      <c r="A116" s="2"/>
      <c r="F116">
        <f>VLOOKUP(TablaPegaso[[#This Row],[Equipo]],Catalogos!$I$4:$J$34,2,FALSE)</f>
      </c>
      <c r="G116" s="3"/>
      <c r="H116" s="3"/>
      <c r="I116" s="3">
        <f t="shared" si="6"/>
      </c>
      <c r="J116" s="4"/>
      <c r="K116" s="4">
        <f t="shared" si="7"/>
      </c>
    </row>
    <row r="117" spans="1:11">
      <c r="A117" s="2"/>
      <c r="F117">
        <f>VLOOKUP(TablaPegaso[[#This Row],[Equipo]],Catalogos!$I$4:$J$34,2,FALSE)</f>
      </c>
      <c r="G117" s="3"/>
      <c r="H117" s="3"/>
      <c r="I117" s="3">
        <f t="shared" si="6"/>
      </c>
      <c r="J117" s="4"/>
      <c r="K117" s="4">
        <f t="shared" si="7"/>
      </c>
    </row>
    <row r="118" spans="1:11">
      <c r="A118" s="2"/>
      <c r="F118">
        <f>VLOOKUP(TablaPegaso[[#This Row],[Equipo]],Catalogos!$I$4:$J$34,2,FALSE)</f>
      </c>
      <c r="G118" s="3"/>
      <c r="H118" s="3"/>
      <c r="I118" s="3">
        <f t="shared" si="6"/>
      </c>
      <c r="J118" s="4"/>
      <c r="K118" s="4">
        <f t="shared" si="7"/>
      </c>
    </row>
    <row r="119" spans="1:11">
      <c r="A119" s="2"/>
      <c r="F119">
        <f>VLOOKUP(TablaPegaso[[#This Row],[Equipo]],Catalogos!$I$4:$J$34,2,FALSE)</f>
      </c>
      <c r="G119" s="3"/>
      <c r="H119" s="3"/>
      <c r="I119" s="3">
        <f t="shared" si="6"/>
      </c>
      <c r="J119" s="4"/>
      <c r="K119" s="4">
        <f t="shared" si="7"/>
      </c>
    </row>
    <row r="120" spans="1:11">
      <c r="A120" s="2"/>
      <c r="F120">
        <f>VLOOKUP(TablaPegaso[[#This Row],[Equipo]],Catalogos!$I$4:$J$34,2,FALSE)</f>
      </c>
      <c r="G120" s="3"/>
      <c r="H120" s="3"/>
      <c r="I120" s="3">
        <f t="shared" si="6"/>
      </c>
      <c r="J120" s="4"/>
      <c r="K120" s="4">
        <f t="shared" si="7"/>
      </c>
    </row>
    <row r="121" spans="1:11">
      <c r="A121" s="2"/>
      <c r="F121">
        <f>VLOOKUP(TablaPegaso[[#This Row],[Equipo]],Catalogos!$I$4:$J$34,2,FALSE)</f>
      </c>
      <c r="G121" s="3"/>
      <c r="H121" s="3"/>
      <c r="I121" s="3">
        <f t="shared" si="6"/>
      </c>
      <c r="J121" s="4"/>
      <c r="K121" s="4">
        <f t="shared" si="7"/>
      </c>
    </row>
    <row r="122" spans="1:11">
      <c r="A122" s="2"/>
      <c r="F122">
        <f>VLOOKUP(TablaPegaso[[#This Row],[Equipo]],Catalogos!$I$4:$J$34,2,FALSE)</f>
      </c>
      <c r="G122" s="3"/>
      <c r="H122" s="3"/>
      <c r="I122" s="3">
        <f t="shared" si="6"/>
      </c>
      <c r="J122" s="4"/>
      <c r="K122" s="4">
        <f t="shared" si="7"/>
      </c>
    </row>
    <row r="123" spans="1:11">
      <c r="A123" s="2"/>
      <c r="F123">
        <f>VLOOKUP(TablaPegaso[[#This Row],[Equipo]],Catalogos!$I$4:$J$34,2,FALSE)</f>
      </c>
      <c r="G123" s="3"/>
      <c r="H123" s="3"/>
      <c r="I123" s="3">
        <f t="shared" si="6"/>
      </c>
      <c r="J123" s="4"/>
      <c r="K123" s="4">
        <f t="shared" si="7"/>
      </c>
    </row>
    <row r="124" spans="1:11">
      <c r="A124" s="2"/>
      <c r="F124">
        <f>VLOOKUP(TablaPegaso[[#This Row],[Equipo]],Catalogos!$I$4:$J$34,2,FALSE)</f>
      </c>
      <c r="G124" s="3"/>
      <c r="H124" s="3"/>
      <c r="I124" s="3">
        <f t="shared" si="6"/>
      </c>
      <c r="J124" s="4"/>
      <c r="K124" s="4">
        <f t="shared" si="7"/>
      </c>
    </row>
    <row r="125" spans="1:11">
      <c r="A125" s="2"/>
      <c r="F125">
        <f>VLOOKUP(TablaPegaso[[#This Row],[Equipo]],Catalogos!$I$4:$J$34,2,FALSE)</f>
      </c>
      <c r="G125" s="3"/>
      <c r="H125" s="3"/>
      <c r="I125" s="3">
        <f t="shared" si="6"/>
      </c>
      <c r="J125" s="4"/>
      <c r="K125" s="4">
        <f t="shared" si="7"/>
      </c>
    </row>
    <row r="126" spans="1:11">
      <c r="A126" s="2"/>
      <c r="F126">
        <f>VLOOKUP(TablaPegaso[[#This Row],[Equipo]],Catalogos!$I$4:$J$34,2,FALSE)</f>
      </c>
      <c r="G126" s="3"/>
      <c r="H126" s="3"/>
      <c r="I126" s="3">
        <f t="shared" si="6"/>
      </c>
      <c r="J126" s="4"/>
      <c r="K126" s="4">
        <f t="shared" si="7"/>
      </c>
    </row>
    <row r="127" spans="1:11">
      <c r="A127" s="2"/>
      <c r="F127">
        <f>VLOOKUP(TablaPegaso[[#This Row],[Equipo]],Catalogos!$I$4:$J$34,2,FALSE)</f>
      </c>
      <c r="G127" s="3"/>
      <c r="H127" s="3"/>
      <c r="I127" s="3">
        <f t="shared" si="6"/>
      </c>
      <c r="J127" s="4"/>
      <c r="K127" s="4">
        <f t="shared" si="7"/>
      </c>
    </row>
    <row r="128" spans="1:11">
      <c r="A128" s="2"/>
      <c r="F128">
        <f>VLOOKUP(TablaPegaso[[#This Row],[Equipo]],Catalogos!$I$4:$J$34,2,FALSE)</f>
      </c>
      <c r="G128" s="3"/>
      <c r="H128" s="3"/>
      <c r="I128" s="3">
        <f t="shared" si="6"/>
      </c>
      <c r="J128" s="4"/>
      <c r="K128" s="4">
        <f t="shared" si="7"/>
      </c>
    </row>
    <row r="129" spans="1:11">
      <c r="A129" s="2"/>
      <c r="F129">
        <f>VLOOKUP(TablaPegaso[[#This Row],[Equipo]],Catalogos!$I$4:$J$34,2,FALSE)</f>
      </c>
      <c r="G129" s="3"/>
      <c r="H129" s="3"/>
      <c r="I129" s="3">
        <f t="shared" si="6"/>
      </c>
      <c r="J129" s="4"/>
      <c r="K129" s="4">
        <f t="shared" si="7"/>
      </c>
    </row>
    <row r="130" spans="1:11">
      <c r="A130" s="2"/>
      <c r="F130">
        <f>VLOOKUP(TablaPegaso[[#This Row],[Equipo]],Catalogos!$I$4:$J$34,2,FALSE)</f>
      </c>
      <c r="G130" s="3"/>
      <c r="H130" s="3"/>
      <c r="I130" s="3">
        <f t="shared" si="6"/>
      </c>
      <c r="J130" s="4"/>
      <c r="K130" s="4">
        <f t="shared" si="7"/>
      </c>
    </row>
    <row r="131" spans="1:11">
      <c r="A131" s="2"/>
      <c r="F131">
        <f>VLOOKUP(TablaPegaso[[#This Row],[Equipo]],Catalogos!$I$4:$J$34,2,FALSE)</f>
      </c>
      <c r="G131" s="3"/>
      <c r="H131" s="3"/>
      <c r="I131" s="3">
        <f t="shared" si="6"/>
      </c>
      <c r="J131" s="4"/>
      <c r="K131" s="4">
        <f t="shared" si="7"/>
      </c>
    </row>
    <row r="132" spans="1:11">
      <c r="A132" s="2"/>
      <c r="F132">
        <f>VLOOKUP(TablaPegaso[[#This Row],[Equipo]],Catalogos!$I$4:$J$34,2,FALSE)</f>
      </c>
      <c r="G132" s="3"/>
      <c r="H132" s="3"/>
      <c r="I132" s="3">
        <f t="shared" si="6"/>
      </c>
      <c r="J132" s="4"/>
      <c r="K132" s="4">
        <f t="shared" si="7"/>
      </c>
    </row>
    <row r="133" spans="1:11">
      <c r="A133" s="2"/>
      <c r="F133">
        <f>VLOOKUP(TablaPegaso[[#This Row],[Equipo]],Catalogos!$I$4:$J$34,2,FALSE)</f>
      </c>
      <c r="G133" s="3"/>
      <c r="H133" s="3"/>
      <c r="I133" s="3">
        <f t="shared" si="6"/>
      </c>
      <c r="J133" s="4"/>
      <c r="K133" s="4">
        <f t="shared" si="7"/>
      </c>
    </row>
    <row r="134" spans="1:11">
      <c r="A134" s="2"/>
      <c r="F134">
        <f>VLOOKUP(TablaPegaso[[#This Row],[Equipo]],Catalogos!$I$4:$J$34,2,FALSE)</f>
      </c>
      <c r="G134" s="3"/>
      <c r="H134" s="3"/>
      <c r="I134" s="3">
        <f t="shared" si="6"/>
      </c>
      <c r="J134" s="4"/>
      <c r="K134" s="4">
        <f t="shared" si="7"/>
      </c>
    </row>
    <row r="135" spans="1:11">
      <c r="A135" s="2"/>
      <c r="F135">
        <f>VLOOKUP(TablaPegaso[[#This Row],[Equipo]],Catalogos!$I$4:$J$34,2,FALSE)</f>
      </c>
      <c r="G135" s="3"/>
      <c r="H135" s="3"/>
      <c r="I135" s="3">
        <f t="shared" ref="I135:I166" si="8">IF(ROW()=5,G135-H135,I134+G135-H135)</f>
      </c>
      <c r="J135" s="4"/>
      <c r="K135" s="4">
        <f t="shared" ref="K135:K166" si="9">IFERROR((G135+H135)*J135,0)</f>
      </c>
    </row>
    <row r="136" spans="1:11">
      <c r="A136" s="2"/>
      <c r="F136">
        <f>VLOOKUP(TablaPegaso[[#This Row],[Equipo]],Catalogos!$I$4:$J$34,2,FALSE)</f>
      </c>
      <c r="G136" s="3"/>
      <c r="H136" s="3"/>
      <c r="I136" s="3">
        <f t="shared" si="8"/>
      </c>
      <c r="J136" s="4"/>
      <c r="K136" s="4">
        <f t="shared" si="9"/>
      </c>
    </row>
    <row r="137" spans="1:11">
      <c r="A137" s="2"/>
      <c r="F137">
        <f>VLOOKUP(TablaPegaso[[#This Row],[Equipo]],Catalogos!$I$4:$J$34,2,FALSE)</f>
      </c>
      <c r="G137" s="3"/>
      <c r="H137" s="3"/>
      <c r="I137" s="3">
        <f t="shared" si="8"/>
      </c>
      <c r="J137" s="4"/>
      <c r="K137" s="4">
        <f t="shared" si="9"/>
      </c>
    </row>
    <row r="138" spans="1:11">
      <c r="A138" s="2"/>
      <c r="F138">
        <f>VLOOKUP(TablaPegaso[[#This Row],[Equipo]],Catalogos!$I$4:$J$34,2,FALSE)</f>
      </c>
      <c r="G138" s="3"/>
      <c r="H138" s="3"/>
      <c r="I138" s="3">
        <f t="shared" si="8"/>
      </c>
      <c r="J138" s="4"/>
      <c r="K138" s="4">
        <f t="shared" si="9"/>
      </c>
    </row>
    <row r="139" spans="1:11">
      <c r="A139" s="2"/>
      <c r="F139">
        <f>VLOOKUP(TablaPegaso[[#This Row],[Equipo]],Catalogos!$I$4:$J$34,2,FALSE)</f>
      </c>
      <c r="G139" s="3"/>
      <c r="H139" s="3"/>
      <c r="I139" s="3">
        <f t="shared" si="8"/>
      </c>
      <c r="J139" s="4"/>
      <c r="K139" s="4">
        <f t="shared" si="9"/>
      </c>
    </row>
    <row r="140" spans="1:11">
      <c r="A140" s="2"/>
      <c r="F140">
        <f>VLOOKUP(TablaPegaso[[#This Row],[Equipo]],Catalogos!$I$4:$J$34,2,FALSE)</f>
      </c>
      <c r="G140" s="3"/>
      <c r="H140" s="3"/>
      <c r="I140" s="3">
        <f t="shared" si="8"/>
      </c>
      <c r="J140" s="4"/>
      <c r="K140" s="4">
        <f t="shared" si="9"/>
      </c>
    </row>
    <row r="141" spans="1:11">
      <c r="A141" s="2"/>
      <c r="F141">
        <f>VLOOKUP(TablaPegaso[[#This Row],[Equipo]],Catalogos!$I$4:$J$34,2,FALSE)</f>
      </c>
      <c r="G141" s="3"/>
      <c r="H141" s="3"/>
      <c r="I141" s="3">
        <f t="shared" si="8"/>
      </c>
      <c r="J141" s="4"/>
      <c r="K141" s="4">
        <f t="shared" si="9"/>
      </c>
    </row>
    <row r="142" spans="1:11">
      <c r="A142" s="2"/>
      <c r="F142">
        <f>VLOOKUP(TablaPegaso[[#This Row],[Equipo]],Catalogos!$I$4:$J$34,2,FALSE)</f>
      </c>
      <c r="G142" s="3"/>
      <c r="H142" s="3"/>
      <c r="I142" s="3">
        <f t="shared" si="8"/>
      </c>
      <c r="J142" s="4"/>
      <c r="K142" s="4">
        <f t="shared" si="9"/>
      </c>
    </row>
    <row r="143" spans="1:11">
      <c r="A143" s="2"/>
      <c r="F143">
        <f>VLOOKUP(TablaPegaso[[#This Row],[Equipo]],Catalogos!$I$4:$J$34,2,FALSE)</f>
      </c>
      <c r="G143" s="3"/>
      <c r="H143" s="3"/>
      <c r="I143" s="3">
        <f t="shared" si="8"/>
      </c>
      <c r="J143" s="4"/>
      <c r="K143" s="4">
        <f t="shared" si="9"/>
      </c>
    </row>
    <row r="144" spans="1:11">
      <c r="A144" s="2"/>
      <c r="F144">
        <f>VLOOKUP(TablaPegaso[[#This Row],[Equipo]],Catalogos!$I$4:$J$34,2,FALSE)</f>
      </c>
      <c r="G144" s="3"/>
      <c r="H144" s="3"/>
      <c r="I144" s="3">
        <f t="shared" si="8"/>
      </c>
      <c r="J144" s="4"/>
      <c r="K144" s="4">
        <f t="shared" si="9"/>
      </c>
    </row>
    <row r="145" spans="1:11">
      <c r="A145" s="2"/>
      <c r="F145">
        <f>VLOOKUP(TablaPegaso[[#This Row],[Equipo]],Catalogos!$I$4:$J$34,2,FALSE)</f>
      </c>
      <c r="G145" s="3"/>
      <c r="H145" s="3"/>
      <c r="I145" s="3">
        <f t="shared" si="8"/>
      </c>
      <c r="J145" s="4"/>
      <c r="K145" s="4">
        <f t="shared" si="9"/>
      </c>
    </row>
    <row r="146" spans="1:11">
      <c r="A146" s="2"/>
      <c r="F146">
        <f>VLOOKUP(TablaPegaso[[#This Row],[Equipo]],Catalogos!$I$4:$J$34,2,FALSE)</f>
      </c>
      <c r="G146" s="3"/>
      <c r="H146" s="3"/>
      <c r="I146" s="3">
        <f t="shared" si="8"/>
      </c>
      <c r="J146" s="4"/>
      <c r="K146" s="4">
        <f t="shared" si="9"/>
      </c>
    </row>
    <row r="147" spans="1:11">
      <c r="A147" s="2"/>
      <c r="F147">
        <f>VLOOKUP(TablaPegaso[[#This Row],[Equipo]],Catalogos!$I$4:$J$34,2,FALSE)</f>
      </c>
      <c r="G147" s="3"/>
      <c r="H147" s="3"/>
      <c r="I147" s="3">
        <f t="shared" si="8"/>
      </c>
      <c r="J147" s="4"/>
      <c r="K147" s="4">
        <f t="shared" si="9"/>
      </c>
    </row>
    <row r="148" spans="1:11">
      <c r="A148" s="2"/>
      <c r="F148">
        <f>VLOOKUP(TablaPegaso[[#This Row],[Equipo]],Catalogos!$I$4:$J$34,2,FALSE)</f>
      </c>
      <c r="G148" s="3"/>
      <c r="H148" s="3"/>
      <c r="I148" s="3">
        <f t="shared" si="8"/>
      </c>
      <c r="J148" s="4"/>
      <c r="K148" s="4">
        <f t="shared" si="9"/>
      </c>
    </row>
    <row r="149" spans="1:11">
      <c r="A149" s="2"/>
      <c r="F149">
        <f>VLOOKUP(TablaPegaso[[#This Row],[Equipo]],Catalogos!$I$4:$J$34,2,FALSE)</f>
      </c>
      <c r="G149" s="3"/>
      <c r="H149" s="3"/>
      <c r="I149" s="3">
        <f t="shared" si="8"/>
      </c>
      <c r="J149" s="4"/>
      <c r="K149" s="4">
        <f t="shared" si="9"/>
      </c>
    </row>
    <row r="150" spans="1:11">
      <c r="A150" s="2"/>
      <c r="F150">
        <f>VLOOKUP(TablaPegaso[[#This Row],[Equipo]],Catalogos!$I$4:$J$34,2,FALSE)</f>
      </c>
      <c r="G150" s="3"/>
      <c r="H150" s="3"/>
      <c r="I150" s="3">
        <f t="shared" si="8"/>
      </c>
      <c r="J150" s="4"/>
      <c r="K150" s="4">
        <f t="shared" si="9"/>
      </c>
    </row>
    <row r="151" spans="1:11">
      <c r="A151" s="2"/>
      <c r="F151">
        <f>VLOOKUP(TablaPegaso[[#This Row],[Equipo]],Catalogos!$I$4:$J$34,2,FALSE)</f>
      </c>
      <c r="G151" s="3"/>
      <c r="H151" s="3"/>
      <c r="I151" s="3">
        <f t="shared" si="8"/>
      </c>
      <c r="J151" s="4"/>
      <c r="K151" s="4">
        <f t="shared" si="9"/>
      </c>
    </row>
    <row r="152" spans="1:11">
      <c r="A152" s="2"/>
      <c r="F152">
        <f>VLOOKUP(TablaPegaso[[#This Row],[Equipo]],Catalogos!$I$4:$J$34,2,FALSE)</f>
      </c>
      <c r="G152" s="3"/>
      <c r="H152" s="3"/>
      <c r="I152" s="3">
        <f t="shared" si="8"/>
      </c>
      <c r="J152" s="4"/>
      <c r="K152" s="4">
        <f t="shared" si="9"/>
      </c>
    </row>
    <row r="153" spans="1:11">
      <c r="A153" s="2"/>
      <c r="F153">
        <f>VLOOKUP(TablaPegaso[[#This Row],[Equipo]],Catalogos!$I$4:$J$34,2,FALSE)</f>
      </c>
      <c r="G153" s="3"/>
      <c r="H153" s="3"/>
      <c r="I153" s="3">
        <f t="shared" si="8"/>
      </c>
      <c r="J153" s="4"/>
      <c r="K153" s="4">
        <f t="shared" si="9"/>
      </c>
    </row>
    <row r="154" spans="1:11">
      <c r="A154" s="2"/>
      <c r="F154">
        <f>VLOOKUP(TablaPegaso[[#This Row],[Equipo]],Catalogos!$I$4:$J$34,2,FALSE)</f>
      </c>
      <c r="G154" s="3"/>
      <c r="H154" s="3"/>
      <c r="I154" s="3">
        <f t="shared" si="8"/>
      </c>
      <c r="J154" s="4"/>
      <c r="K154" s="4">
        <f t="shared" si="9"/>
      </c>
    </row>
    <row r="155" spans="1:11">
      <c r="A155" s="2"/>
      <c r="F155">
        <f>VLOOKUP(TablaPegaso[[#This Row],[Equipo]],Catalogos!$I$4:$J$34,2,FALSE)</f>
      </c>
      <c r="G155" s="3"/>
      <c r="H155" s="3"/>
      <c r="I155" s="3">
        <f t="shared" si="8"/>
      </c>
      <c r="J155" s="4"/>
      <c r="K155" s="4">
        <f t="shared" si="9"/>
      </c>
    </row>
    <row r="156" spans="1:11">
      <c r="A156" s="2"/>
      <c r="F156">
        <f>VLOOKUP(TablaPegaso[[#This Row],[Equipo]],Catalogos!$I$4:$J$34,2,FALSE)</f>
      </c>
      <c r="G156" s="3"/>
      <c r="H156" s="3"/>
      <c r="I156" s="3">
        <f t="shared" si="8"/>
      </c>
      <c r="J156" s="4"/>
      <c r="K156" s="4">
        <f t="shared" si="9"/>
      </c>
    </row>
    <row r="157" spans="1:11">
      <c r="A157" s="2"/>
      <c r="F157">
        <f>VLOOKUP(TablaPegaso[[#This Row],[Equipo]],Catalogos!$I$4:$J$34,2,FALSE)</f>
      </c>
      <c r="G157" s="3"/>
      <c r="H157" s="3"/>
      <c r="I157" s="3">
        <f t="shared" si="8"/>
      </c>
      <c r="J157" s="4"/>
      <c r="K157" s="4">
        <f t="shared" si="9"/>
      </c>
    </row>
    <row r="158" spans="1:11">
      <c r="A158" s="2"/>
      <c r="F158">
        <f>VLOOKUP(TablaPegaso[[#This Row],[Equipo]],Catalogos!$I$4:$J$34,2,FALSE)</f>
      </c>
      <c r="G158" s="3"/>
      <c r="H158" s="3"/>
      <c r="I158" s="3">
        <f t="shared" si="8"/>
      </c>
      <c r="J158" s="4"/>
      <c r="K158" s="4">
        <f t="shared" si="9"/>
      </c>
    </row>
    <row r="159" spans="1:11">
      <c r="A159" s="2"/>
      <c r="F159">
        <f>VLOOKUP(TablaPegaso[[#This Row],[Equipo]],Catalogos!$I$4:$J$34,2,FALSE)</f>
      </c>
      <c r="G159" s="3"/>
      <c r="H159" s="3"/>
      <c r="I159" s="3">
        <f t="shared" si="8"/>
      </c>
      <c r="J159" s="4"/>
      <c r="K159" s="4">
        <f t="shared" si="9"/>
      </c>
    </row>
    <row r="160" spans="1:11">
      <c r="A160" s="2"/>
      <c r="F160">
        <f>VLOOKUP(TablaPegaso[[#This Row],[Equipo]],Catalogos!$I$4:$J$34,2,FALSE)</f>
      </c>
      <c r="G160" s="3"/>
      <c r="H160" s="3"/>
      <c r="I160" s="3">
        <f t="shared" si="8"/>
      </c>
      <c r="J160" s="4"/>
      <c r="K160" s="4">
        <f t="shared" si="9"/>
      </c>
    </row>
    <row r="161" spans="1:11">
      <c r="A161" s="2"/>
      <c r="F161">
        <f>VLOOKUP(TablaPegaso[[#This Row],[Equipo]],Catalogos!$I$4:$J$34,2,FALSE)</f>
      </c>
      <c r="G161" s="3"/>
      <c r="H161" s="3"/>
      <c r="I161" s="3">
        <f t="shared" si="8"/>
      </c>
      <c r="J161" s="4"/>
      <c r="K161" s="4">
        <f t="shared" si="9"/>
      </c>
    </row>
    <row r="162" spans="1:11">
      <c r="A162" s="2"/>
      <c r="F162">
        <f>VLOOKUP(TablaPegaso[[#This Row],[Equipo]],Catalogos!$I$4:$J$34,2,FALSE)</f>
      </c>
      <c r="G162" s="3"/>
      <c r="H162" s="3"/>
      <c r="I162" s="3">
        <f t="shared" si="8"/>
      </c>
      <c r="J162" s="4"/>
      <c r="K162" s="4">
        <f t="shared" si="9"/>
      </c>
    </row>
    <row r="163" spans="1:11">
      <c r="A163" s="2"/>
      <c r="F163">
        <f>VLOOKUP(TablaPegaso[[#This Row],[Equipo]],Catalogos!$I$4:$J$34,2,FALSE)</f>
      </c>
      <c r="G163" s="3"/>
      <c r="H163" s="3"/>
      <c r="I163" s="3">
        <f t="shared" si="8"/>
      </c>
      <c r="J163" s="4"/>
      <c r="K163" s="4">
        <f t="shared" si="9"/>
      </c>
    </row>
    <row r="164" spans="1:11">
      <c r="A164" s="2"/>
      <c r="F164">
        <f>VLOOKUP(TablaPegaso[[#This Row],[Equipo]],Catalogos!$I$4:$J$34,2,FALSE)</f>
      </c>
      <c r="G164" s="3"/>
      <c r="H164" s="3"/>
      <c r="I164" s="3">
        <f t="shared" si="8"/>
      </c>
      <c r="J164" s="4"/>
      <c r="K164" s="4">
        <f t="shared" si="9"/>
      </c>
    </row>
    <row r="165" spans="1:11">
      <c r="A165" s="2"/>
      <c r="F165">
        <f>VLOOKUP(TablaPegaso[[#This Row],[Equipo]],Catalogos!$I$4:$J$34,2,FALSE)</f>
      </c>
      <c r="G165" s="3"/>
      <c r="H165" s="3"/>
      <c r="I165" s="3">
        <f t="shared" si="8"/>
      </c>
      <c r="J165" s="4"/>
      <c r="K165" s="4">
        <f t="shared" si="9"/>
      </c>
    </row>
    <row r="166" spans="1:11">
      <c r="A166" s="2"/>
      <c r="F166">
        <f>VLOOKUP(TablaPegaso[[#This Row],[Equipo]],Catalogos!$I$4:$J$34,2,FALSE)</f>
      </c>
      <c r="G166" s="3"/>
      <c r="H166" s="3"/>
      <c r="I166" s="3">
        <f t="shared" si="8"/>
      </c>
      <c r="J166" s="4"/>
      <c r="K166" s="4">
        <f t="shared" si="9"/>
      </c>
    </row>
    <row r="167" spans="1:11">
      <c r="A167" s="2"/>
      <c r="F167">
        <f>VLOOKUP(TablaPegaso[[#This Row],[Equipo]],Catalogos!$I$4:$J$34,2,FALSE)</f>
      </c>
      <c r="G167" s="3"/>
      <c r="H167" s="3"/>
      <c r="I167" s="3">
        <f t="shared" ref="I167:I198" si="10">IF(ROW()=5,G167-H167,I166+G167-H167)</f>
      </c>
      <c r="J167" s="4"/>
      <c r="K167" s="4">
        <f t="shared" ref="K167:K198" si="11">IFERROR((G167+H167)*J167,0)</f>
      </c>
    </row>
    <row r="168" spans="1:11">
      <c r="A168" s="2"/>
      <c r="F168">
        <f>VLOOKUP(TablaPegaso[[#This Row],[Equipo]],Catalogos!$I$4:$J$34,2,FALSE)</f>
      </c>
      <c r="G168" s="3"/>
      <c r="H168" s="3"/>
      <c r="I168" s="3">
        <f t="shared" si="10"/>
      </c>
      <c r="J168" s="4"/>
      <c r="K168" s="4">
        <f t="shared" si="11"/>
      </c>
    </row>
    <row r="169" spans="1:11">
      <c r="A169" s="2"/>
      <c r="F169">
        <f>VLOOKUP(TablaPegaso[[#This Row],[Equipo]],Catalogos!$I$4:$J$34,2,FALSE)</f>
      </c>
      <c r="G169" s="3"/>
      <c r="H169" s="3"/>
      <c r="I169" s="3">
        <f t="shared" si="10"/>
      </c>
      <c r="J169" s="4"/>
      <c r="K169" s="4">
        <f t="shared" si="11"/>
      </c>
    </row>
    <row r="170" spans="1:11">
      <c r="A170" s="2"/>
      <c r="F170">
        <f>VLOOKUP(TablaPegaso[[#This Row],[Equipo]],Catalogos!$I$4:$J$34,2,FALSE)</f>
      </c>
      <c r="G170" s="3"/>
      <c r="H170" s="3"/>
      <c r="I170" s="3">
        <f t="shared" si="10"/>
      </c>
      <c r="J170" s="4"/>
      <c r="K170" s="4">
        <f t="shared" si="11"/>
      </c>
    </row>
    <row r="171" spans="1:11">
      <c r="A171" s="2"/>
      <c r="F171">
        <f>VLOOKUP(TablaPegaso[[#This Row],[Equipo]],Catalogos!$I$4:$J$34,2,FALSE)</f>
      </c>
      <c r="G171" s="3"/>
      <c r="H171" s="3"/>
      <c r="I171" s="3">
        <f t="shared" si="10"/>
      </c>
      <c r="J171" s="4"/>
      <c r="K171" s="4">
        <f t="shared" si="11"/>
      </c>
    </row>
    <row r="172" spans="1:11">
      <c r="A172" s="2"/>
      <c r="F172">
        <f>VLOOKUP(TablaPegaso[[#This Row],[Equipo]],Catalogos!$I$4:$J$34,2,FALSE)</f>
      </c>
      <c r="G172" s="3"/>
      <c r="H172" s="3"/>
      <c r="I172" s="3">
        <f t="shared" si="10"/>
      </c>
      <c r="J172" s="4"/>
      <c r="K172" s="4">
        <f t="shared" si="11"/>
      </c>
    </row>
    <row r="173" spans="1:11">
      <c r="A173" s="2"/>
      <c r="F173">
        <f>VLOOKUP(TablaPegaso[[#This Row],[Equipo]],Catalogos!$I$4:$J$34,2,FALSE)</f>
      </c>
      <c r="G173" s="3"/>
      <c r="H173" s="3"/>
      <c r="I173" s="3">
        <f t="shared" si="10"/>
      </c>
      <c r="J173" s="4"/>
      <c r="K173" s="4">
        <f t="shared" si="11"/>
      </c>
    </row>
    <row r="174" spans="1:11">
      <c r="A174" s="2"/>
      <c r="F174">
        <f>VLOOKUP(TablaPegaso[[#This Row],[Equipo]],Catalogos!$I$4:$J$34,2,FALSE)</f>
      </c>
      <c r="G174" s="3"/>
      <c r="H174" s="3"/>
      <c r="I174" s="3">
        <f t="shared" si="10"/>
      </c>
      <c r="J174" s="4"/>
      <c r="K174" s="4">
        <f t="shared" si="11"/>
      </c>
    </row>
    <row r="175" spans="1:11">
      <c r="A175" s="2"/>
      <c r="F175">
        <f>VLOOKUP(TablaPegaso[[#This Row],[Equipo]],Catalogos!$I$4:$J$34,2,FALSE)</f>
      </c>
      <c r="G175" s="3"/>
      <c r="H175" s="3"/>
      <c r="I175" s="3">
        <f t="shared" si="10"/>
      </c>
      <c r="J175" s="4"/>
      <c r="K175" s="4">
        <f t="shared" si="11"/>
      </c>
    </row>
    <row r="176" spans="1:11">
      <c r="A176" s="2"/>
      <c r="F176">
        <f>VLOOKUP(TablaPegaso[[#This Row],[Equipo]],Catalogos!$I$4:$J$34,2,FALSE)</f>
      </c>
      <c r="G176" s="3"/>
      <c r="H176" s="3"/>
      <c r="I176" s="3">
        <f t="shared" si="10"/>
      </c>
      <c r="J176" s="4"/>
      <c r="K176" s="4">
        <f t="shared" si="11"/>
      </c>
    </row>
    <row r="177" spans="1:11">
      <c r="A177" s="2"/>
      <c r="F177">
        <f>VLOOKUP(TablaPegaso[[#This Row],[Equipo]],Catalogos!$I$4:$J$34,2,FALSE)</f>
      </c>
      <c r="G177" s="3"/>
      <c r="H177" s="3"/>
      <c r="I177" s="3">
        <f t="shared" si="10"/>
      </c>
      <c r="J177" s="4"/>
      <c r="K177" s="4">
        <f t="shared" si="11"/>
      </c>
    </row>
    <row r="178" spans="1:11">
      <c r="A178" s="2"/>
      <c r="F178">
        <f>VLOOKUP(TablaPegaso[[#This Row],[Equipo]],Catalogos!$I$4:$J$34,2,FALSE)</f>
      </c>
      <c r="G178" s="3"/>
      <c r="H178" s="3"/>
      <c r="I178" s="3">
        <f t="shared" si="10"/>
      </c>
      <c r="J178" s="4"/>
      <c r="K178" s="4">
        <f t="shared" si="11"/>
      </c>
    </row>
    <row r="179" spans="1:11">
      <c r="A179" s="2"/>
      <c r="F179">
        <f>VLOOKUP(TablaPegaso[[#This Row],[Equipo]],Catalogos!$I$4:$J$34,2,FALSE)</f>
      </c>
      <c r="G179" s="3"/>
      <c r="H179" s="3"/>
      <c r="I179" s="3">
        <f t="shared" si="10"/>
      </c>
      <c r="J179" s="4"/>
      <c r="K179" s="4">
        <f t="shared" si="11"/>
      </c>
    </row>
    <row r="180" spans="1:11">
      <c r="A180" s="2"/>
      <c r="F180">
        <f>VLOOKUP(TablaPegaso[[#This Row],[Equipo]],Catalogos!$I$4:$J$34,2,FALSE)</f>
      </c>
      <c r="G180" s="3"/>
      <c r="H180" s="3"/>
      <c r="I180" s="3">
        <f t="shared" si="10"/>
      </c>
      <c r="J180" s="4"/>
      <c r="K180" s="4">
        <f t="shared" si="11"/>
      </c>
    </row>
    <row r="181" spans="1:11">
      <c r="A181" s="2"/>
      <c r="F181">
        <f>VLOOKUP(TablaPegaso[[#This Row],[Equipo]],Catalogos!$I$4:$J$34,2,FALSE)</f>
      </c>
      <c r="G181" s="3"/>
      <c r="H181" s="3"/>
      <c r="I181" s="3">
        <f t="shared" si="10"/>
      </c>
      <c r="J181" s="4"/>
      <c r="K181" s="4">
        <f t="shared" si="11"/>
      </c>
    </row>
    <row r="182" spans="1:11">
      <c r="A182" s="2"/>
      <c r="F182">
        <f>VLOOKUP(TablaPegaso[[#This Row],[Equipo]],Catalogos!$I$4:$J$34,2,FALSE)</f>
      </c>
      <c r="G182" s="3"/>
      <c r="H182" s="3"/>
      <c r="I182" s="3">
        <f t="shared" si="10"/>
      </c>
      <c r="J182" s="4"/>
      <c r="K182" s="4">
        <f t="shared" si="11"/>
      </c>
    </row>
    <row r="183" spans="1:11">
      <c r="A183" s="2"/>
      <c r="F183">
        <f>VLOOKUP(TablaPegaso[[#This Row],[Equipo]],Catalogos!$I$4:$J$34,2,FALSE)</f>
      </c>
      <c r="G183" s="3"/>
      <c r="H183" s="3"/>
      <c r="I183" s="3">
        <f t="shared" si="10"/>
      </c>
      <c r="J183" s="4"/>
      <c r="K183" s="4">
        <f t="shared" si="11"/>
      </c>
    </row>
    <row r="184" spans="1:11">
      <c r="A184" s="2"/>
      <c r="F184">
        <f>VLOOKUP(TablaPegaso[[#This Row],[Equipo]],Catalogos!$I$4:$J$34,2,FALSE)</f>
      </c>
      <c r="G184" s="3"/>
      <c r="H184" s="3"/>
      <c r="I184" s="3">
        <f t="shared" si="10"/>
      </c>
      <c r="J184" s="4"/>
      <c r="K184" s="4">
        <f t="shared" si="11"/>
      </c>
    </row>
    <row r="185" spans="1:11">
      <c r="A185" s="2"/>
      <c r="F185">
        <f>VLOOKUP(TablaPegaso[[#This Row],[Equipo]],Catalogos!$I$4:$J$34,2,FALSE)</f>
      </c>
      <c r="G185" s="3"/>
      <c r="H185" s="3"/>
      <c r="I185" s="3">
        <f t="shared" si="10"/>
      </c>
      <c r="J185" s="4"/>
      <c r="K185" s="4">
        <f t="shared" si="11"/>
      </c>
    </row>
    <row r="186" spans="1:11">
      <c r="A186" s="2"/>
      <c r="F186">
        <f>VLOOKUP(TablaPegaso[[#This Row],[Equipo]],Catalogos!$I$4:$J$34,2,FALSE)</f>
      </c>
      <c r="G186" s="3"/>
      <c r="H186" s="3"/>
      <c r="I186" s="3">
        <f t="shared" si="10"/>
      </c>
      <c r="J186" s="4"/>
      <c r="K186" s="4">
        <f t="shared" si="11"/>
      </c>
    </row>
    <row r="187" spans="1:11">
      <c r="A187" s="2"/>
      <c r="F187">
        <f>VLOOKUP(TablaPegaso[[#This Row],[Equipo]],Catalogos!$I$4:$J$34,2,FALSE)</f>
      </c>
      <c r="G187" s="3"/>
      <c r="H187" s="3"/>
      <c r="I187" s="3">
        <f t="shared" si="10"/>
      </c>
      <c r="J187" s="4"/>
      <c r="K187" s="4">
        <f t="shared" si="11"/>
      </c>
    </row>
    <row r="188" spans="1:11">
      <c r="A188" s="2"/>
      <c r="F188">
        <f>VLOOKUP(TablaPegaso[[#This Row],[Equipo]],Catalogos!$I$4:$J$34,2,FALSE)</f>
      </c>
      <c r="G188" s="3"/>
      <c r="H188" s="3"/>
      <c r="I188" s="3">
        <f t="shared" si="10"/>
      </c>
      <c r="J188" s="4"/>
      <c r="K188" s="4">
        <f t="shared" si="11"/>
      </c>
    </row>
    <row r="189" spans="1:11">
      <c r="A189" s="2"/>
      <c r="F189">
        <f>VLOOKUP(TablaPegaso[[#This Row],[Equipo]],Catalogos!$I$4:$J$34,2,FALSE)</f>
      </c>
      <c r="G189" s="3"/>
      <c r="H189" s="3"/>
      <c r="I189" s="3">
        <f t="shared" si="10"/>
      </c>
      <c r="J189" s="4"/>
      <c r="K189" s="4">
        <f t="shared" si="11"/>
      </c>
    </row>
    <row r="190" spans="1:11">
      <c r="A190" s="2"/>
      <c r="F190">
        <f>VLOOKUP(TablaPegaso[[#This Row],[Equipo]],Catalogos!$I$4:$J$34,2,FALSE)</f>
      </c>
      <c r="G190" s="3"/>
      <c r="H190" s="3"/>
      <c r="I190" s="3">
        <f t="shared" si="10"/>
      </c>
      <c r="J190" s="4"/>
      <c r="K190" s="4">
        <f t="shared" si="11"/>
      </c>
    </row>
    <row r="191" spans="1:11">
      <c r="A191" s="2"/>
      <c r="F191">
        <f>VLOOKUP(TablaPegaso[[#This Row],[Equipo]],Catalogos!$I$4:$J$34,2,FALSE)</f>
      </c>
      <c r="G191" s="3"/>
      <c r="H191" s="3"/>
      <c r="I191" s="3">
        <f t="shared" si="10"/>
      </c>
      <c r="J191" s="4"/>
      <c r="K191" s="4">
        <f t="shared" si="11"/>
      </c>
    </row>
    <row r="192" spans="1:11">
      <c r="A192" s="2"/>
      <c r="F192">
        <f>VLOOKUP(TablaPegaso[[#This Row],[Equipo]],Catalogos!$I$4:$J$34,2,FALSE)</f>
      </c>
      <c r="G192" s="3"/>
      <c r="H192" s="3"/>
      <c r="I192" s="3">
        <f t="shared" si="10"/>
      </c>
      <c r="J192" s="4"/>
      <c r="K192" s="4">
        <f t="shared" si="11"/>
      </c>
    </row>
    <row r="193" spans="1:11">
      <c r="A193" s="2"/>
      <c r="F193">
        <f>VLOOKUP(TablaPegaso[[#This Row],[Equipo]],Catalogos!$I$4:$J$34,2,FALSE)</f>
      </c>
      <c r="G193" s="3"/>
      <c r="H193" s="3"/>
      <c r="I193" s="3">
        <f t="shared" si="10"/>
      </c>
      <c r="J193" s="4"/>
      <c r="K193" s="4">
        <f t="shared" si="11"/>
      </c>
    </row>
    <row r="194" spans="1:11">
      <c r="A194" s="2"/>
      <c r="F194">
        <f>VLOOKUP(TablaPegaso[[#This Row],[Equipo]],Catalogos!$I$4:$J$34,2,FALSE)</f>
      </c>
      <c r="G194" s="3"/>
      <c r="H194" s="3"/>
      <c r="I194" s="3">
        <f t="shared" si="10"/>
      </c>
      <c r="J194" s="4"/>
      <c r="K194" s="4">
        <f t="shared" si="11"/>
      </c>
    </row>
    <row r="195" spans="1:11">
      <c r="A195" s="2"/>
      <c r="F195">
        <f>VLOOKUP(TablaPegaso[[#This Row],[Equipo]],Catalogos!$I$4:$J$34,2,FALSE)</f>
      </c>
      <c r="G195" s="3"/>
      <c r="H195" s="3"/>
      <c r="I195" s="3">
        <f t="shared" si="10"/>
      </c>
      <c r="J195" s="4"/>
      <c r="K195" s="4">
        <f t="shared" si="11"/>
      </c>
    </row>
    <row r="196" spans="1:11">
      <c r="A196" s="2"/>
      <c r="F196">
        <f>VLOOKUP(TablaPegaso[[#This Row],[Equipo]],Catalogos!$I$4:$J$34,2,FALSE)</f>
      </c>
      <c r="G196" s="3"/>
      <c r="H196" s="3"/>
      <c r="I196" s="3">
        <f t="shared" si="10"/>
      </c>
      <c r="J196" s="4"/>
      <c r="K196" s="4">
        <f t="shared" si="11"/>
      </c>
    </row>
    <row r="197" spans="1:11">
      <c r="A197" s="2"/>
      <c r="F197">
        <f>VLOOKUP(TablaPegaso[[#This Row],[Equipo]],Catalogos!$I$4:$J$34,2,FALSE)</f>
      </c>
      <c r="G197" s="3"/>
      <c r="H197" s="3"/>
      <c r="I197" s="3">
        <f t="shared" si="10"/>
      </c>
      <c r="J197" s="4"/>
      <c r="K197" s="4">
        <f t="shared" si="11"/>
      </c>
    </row>
    <row r="198" spans="1:11">
      <c r="A198" s="2"/>
      <c r="F198">
        <f>VLOOKUP(TablaPegaso[[#This Row],[Equipo]],Catalogos!$I$4:$J$34,2,FALSE)</f>
      </c>
      <c r="G198" s="3"/>
      <c r="H198" s="3"/>
      <c r="I198" s="3">
        <f t="shared" si="10"/>
      </c>
      <c r="J198" s="4"/>
      <c r="K198" s="4">
        <f t="shared" si="11"/>
      </c>
    </row>
    <row r="199" spans="1:11">
      <c r="A199" s="2"/>
      <c r="F199">
        <f>VLOOKUP(TablaPegaso[[#This Row],[Equipo]],Catalogos!$I$4:$J$34,2,FALSE)</f>
      </c>
      <c r="G199" s="3"/>
      <c r="H199" s="3"/>
      <c r="I199" s="3">
        <f t="shared" ref="I199:I206" si="12">IF(ROW()=5,G199-H199,I198+G199-H199)</f>
      </c>
      <c r="J199" s="4"/>
      <c r="K199" s="4">
        <f t="shared" ref="K199:K206" si="13">IFERROR((G199+H199)*J199,0)</f>
      </c>
    </row>
    <row r="200" spans="1:11">
      <c r="A200" s="2"/>
      <c r="F200">
        <f>VLOOKUP(TablaPegaso[[#This Row],[Equipo]],Catalogos!$I$4:$J$34,2,FALSE)</f>
      </c>
      <c r="G200" s="3"/>
      <c r="H200" s="3"/>
      <c r="I200" s="3">
        <f t="shared" si="12"/>
      </c>
      <c r="J200" s="4"/>
      <c r="K200" s="4">
        <f t="shared" si="13"/>
      </c>
    </row>
    <row r="201" spans="1:11">
      <c r="A201" s="2"/>
      <c r="F201">
        <f>VLOOKUP(TablaPegaso[[#This Row],[Equipo]],Catalogos!$I$4:$J$34,2,FALSE)</f>
      </c>
      <c r="G201" s="3"/>
      <c r="H201" s="3"/>
      <c r="I201" s="3">
        <f t="shared" si="12"/>
      </c>
      <c r="J201" s="4"/>
      <c r="K201" s="4">
        <f t="shared" si="13"/>
      </c>
    </row>
    <row r="202" spans="1:11">
      <c r="A202" s="2"/>
      <c r="F202">
        <f>VLOOKUP(TablaPegaso[[#This Row],[Equipo]],Catalogos!$I$4:$J$34,2,FALSE)</f>
      </c>
      <c r="G202" s="3"/>
      <c r="H202" s="3"/>
      <c r="I202" s="3">
        <f t="shared" si="12"/>
      </c>
      <c r="J202" s="4"/>
      <c r="K202" s="4">
        <f t="shared" si="13"/>
      </c>
    </row>
    <row r="203" spans="1:11">
      <c r="A203" s="2"/>
      <c r="F203">
        <f>VLOOKUP(TablaPegaso[[#This Row],[Equipo]],Catalogos!$I$4:$J$34,2,FALSE)</f>
      </c>
      <c r="G203" s="3"/>
      <c r="H203" s="3"/>
      <c r="I203" s="3">
        <f t="shared" si="12"/>
      </c>
      <c r="J203" s="4"/>
      <c r="K203" s="4">
        <f t="shared" si="13"/>
      </c>
    </row>
    <row r="204" spans="1:11">
      <c r="A204" s="2"/>
      <c r="F204">
        <f>VLOOKUP(TablaPegaso[[#This Row],[Equipo]],Catalogos!$I$4:$J$34,2,FALSE)</f>
      </c>
      <c r="G204" s="3"/>
      <c r="H204" s="3"/>
      <c r="I204" s="3">
        <f t="shared" si="12"/>
      </c>
      <c r="J204" s="4"/>
      <c r="K204" s="4">
        <f t="shared" si="13"/>
      </c>
    </row>
    <row r="205" spans="1:11">
      <c r="A205" s="2"/>
      <c r="F205">
        <f>VLOOKUP(TablaPegaso[[#This Row],[Equipo]],Catalogos!$I$4:$J$34,2,FALSE)</f>
      </c>
      <c r="G205" s="3"/>
      <c r="H205" s="3"/>
      <c r="I205" s="3">
        <f t="shared" si="12"/>
      </c>
      <c r="J205" s="4"/>
      <c r="K205" s="4">
        <f t="shared" si="13"/>
      </c>
    </row>
    <row r="206" spans="1:11">
      <c r="A206" s="2"/>
      <c r="F206">
        <f>VLOOKUP(TablaPegaso[[#This Row],[Equipo]],Catalogos!$I$4:$J$34,2,FALSE)</f>
      </c>
      <c r="G206" s="3"/>
      <c r="H206" s="3"/>
      <c r="I206" s="3">
        <f t="shared" si="12"/>
      </c>
      <c r="J206" s="4"/>
      <c r="K206" s="4">
        <f t="shared" si="13"/>
      </c>
    </row>
  </sheetData>
  <mergeCells count="1">
    <mergeCell ref="A1:L1"/>
  </mergeCells>
  <dataValidations count="1">
    <dataValidation type="list" sqref="B5:B206" xr:uid="{00000000-0002-0000-0100-000000000000}">
      <formula1>"Entrada,Salida a Marimba,Salida Directa Máquina,Ajuste"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2000000}">
          <x14:formula1>
            <xm:f>Catalogos!$F$4:$F$10</xm:f>
          </x14:formula1>
          <xm:sqref>C5:C206</xm:sqref>
        </x14:dataValidation>
        <x14:dataValidation type="list" xr:uid="{7B984EB1-655C-4D3B-8650-CA17F7D94687}">
          <x14:formula1>
            <xm:f>Catalogos!$I$4:$I$34</xm:f>
          </x14:formula1>
          <xm:sqref>E5:E206</xm:sqref>
        </x14:dataValidation>
        <x14:dataValidation type="list" allowBlank="1" showInputMessage="1" showErrorMessage="1" xr:uid="{FB469301-41B0-4BE9-B3E1-9A5865756AE3}">
          <x14:formula1>
            <xm:f>Catalogos!$B$4:$B$8</xm:f>
          </x14:formula1>
          <xm:sqref>D23:D206</xm:sqref>
        </x14:dataValidation>
        <x14:dataValidation type="list" allowBlank="1" showInputMessage="1" showErrorMessage="1" xr:uid="{C1F6665C-5A85-44AD-A8F1-7F889B86B46E}">
          <x14:formula1>
            <xm:f>Catalogos!$B$4:$B$10</xm:f>
          </x14:formula1>
          <xm:sqref>D5:D22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/>
  <sheetViews>
    <sheetView workbookViewId="0">
      <selection activeCell="F36" sqref="F36"/>
    </sheetView>
  </sheetViews>
  <sheetFormatPr baseColWidth="10" defaultColWidth="8.796875" defaultRowHeight="13.8"/>
  <cols>
    <col min="1" max="1" width="13" customWidth="1"/>
    <col min="2" max="2" width="18" customWidth="1"/>
    <col min="3" max="4" width="22" customWidth="1"/>
    <col min="5" max="5" width="14" customWidth="1"/>
    <col min="6" max="7" width="12" customWidth="1"/>
    <col min="8" max="8" width="16" customWidth="1"/>
    <col min="9" max="9" width="12" customWidth="1"/>
    <col min="10" max="10" width="14" customWidth="1"/>
    <col min="11" max="11" width="18" customWidth="1"/>
    <col min="12" max="12" width="30" customWidth="1"/>
  </cols>
  <sheetData>
    <row r="1" spans="1:12" ht="22.35" customHeight="1">
      <c r="A1" t="s" s="17">
        <v>38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t="s">
        <v>39</v>
      </c>
      <c r="C2" t="s">
        <v>23</v>
      </c>
      <c r="E2" t="s">
        <v>24</v>
      </c>
      <c r="G2" t="s">
        <v>40</v>
      </c>
      <c r="H2" t="s">
        <v>41</v>
      </c>
      <c r="I2" t="s">
        <v>42</v>
      </c>
    </row>
    <row r="4" spans="1:12" ht="27.6">
      <c r="A4" t="s" s="1">
        <v>28</v>
      </c>
      <c r="B4" t="s" s="1">
        <v>43</v>
      </c>
      <c r="C4" t="s" s="1">
        <v>44</v>
      </c>
      <c r="D4" t="s" s="1">
        <v>45</v>
      </c>
      <c r="E4" t="s" s="1">
        <v>46</v>
      </c>
      <c r="F4" t="s" s="1">
        <v>32</v>
      </c>
      <c r="G4" t="s" s="1">
        <v>33</v>
      </c>
      <c r="H4" t="s" s="1">
        <v>34</v>
      </c>
      <c r="I4" t="s" s="1">
        <v>35</v>
      </c>
      <c r="J4" t="s" s="1">
        <v>36</v>
      </c>
      <c r="K4" t="s" s="1">
        <v>47</v>
      </c>
      <c r="L4" t="s" s="1">
        <v>37</v>
      </c>
    </row>
    <row r="5" spans="1:12">
      <c r="A5" s="2">
        <v>46181</v>
      </c>
      <c r="B5" t="s">
        <v>155</v>
      </c>
      <c r="C5" t="s">
        <v>6</v>
      </c>
      <c r="D5" t="s">
        <v>181</v>
      </c>
      <c r="E5">
        <f>VLOOKUP(TablaMarimba[[#This Row],[Equipo]],Catalogos!$I$4:$J$34,2,FALSE)</f>
      </c>
      <c r="F5" s="3">
        <v>0</v>
      </c>
      <c r="G5" s="3">
        <v>30</v>
      </c>
      <c r="H5" s="3">
        <f t="shared" ref="H5:H36" si="0">IF(ROW()=5,F5-G5,H4+F5-G5)</f>
      </c>
      <c r="I5" s="4">
        <v>28.3</v>
      </c>
      <c r="J5" s="4">
        <f t="shared" ref="J5:J36" si="1">IFERROR((F5+G5)*I5,0)</f>
      </c>
    </row>
    <row r="6" spans="1:12">
      <c r="A6" s="2">
        <v>46181</v>
      </c>
      <c r="B6" t="s">
        <v>155</v>
      </c>
      <c r="C6" t="s">
        <v>6</v>
      </c>
      <c r="D6" t="s">
        <v>86</v>
      </c>
      <c r="E6">
        <f>VLOOKUP(TablaMarimba[[#This Row],[Equipo]],Catalogos!$I$4:$J$34,2,FALSE)</f>
      </c>
      <c r="F6" s="3"/>
      <c r="G6" s="3">
        <v>32</v>
      </c>
      <c r="H6" s="3">
        <f t="shared" si="0"/>
      </c>
      <c r="I6" s="4">
        <v>28.3</v>
      </c>
      <c r="J6" s="4">
        <f t="shared" si="1"/>
      </c>
    </row>
    <row r="7" spans="1:12">
      <c r="A7" s="2">
        <v>46181</v>
      </c>
      <c r="B7" t="s">
        <v>155</v>
      </c>
      <c r="C7" t="s">
        <v>6</v>
      </c>
      <c r="D7" t="s">
        <v>164</v>
      </c>
      <c r="E7">
        <f>VLOOKUP(TablaMarimba[[#This Row],[Equipo]],Catalogos!$I$4:$J$34,2,FALSE)</f>
      </c>
      <c r="F7" s="3"/>
      <c r="G7" s="3">
        <v>277</v>
      </c>
      <c r="H7" s="3">
        <f t="shared" si="0"/>
      </c>
      <c r="I7" s="4">
        <v>28.3</v>
      </c>
      <c r="J7" s="4">
        <f t="shared" si="1"/>
      </c>
    </row>
    <row r="8" spans="1:12">
      <c r="A8" s="2">
        <v>46181</v>
      </c>
      <c r="B8" t="s">
        <v>155</v>
      </c>
      <c r="C8" t="s">
        <v>6</v>
      </c>
      <c r="D8" t="s">
        <v>95</v>
      </c>
      <c r="E8">
        <f>VLOOKUP(TablaMarimba[[#This Row],[Equipo]],Catalogos!$I$4:$J$34,2,FALSE)</f>
      </c>
      <c r="F8" s="3"/>
      <c r="G8" s="3">
        <v>30</v>
      </c>
      <c r="H8" s="3">
        <f t="shared" si="0"/>
      </c>
      <c r="I8" s="4">
        <v>28.3</v>
      </c>
      <c r="J8" s="4">
        <f t="shared" si="1"/>
      </c>
    </row>
    <row r="9" spans="1:12">
      <c r="A9" s="2">
        <v>46181</v>
      </c>
      <c r="B9" t="s">
        <v>155</v>
      </c>
      <c r="C9" t="s">
        <v>8</v>
      </c>
      <c r="D9" t="s">
        <v>160</v>
      </c>
      <c r="E9">
        <f>VLOOKUP(TablaMarimba[[#This Row],[Equipo]],Catalogos!$I$4:$J$34,2,FALSE)</f>
      </c>
      <c r="F9" s="3"/>
      <c r="G9" s="3">
        <v>97</v>
      </c>
      <c r="H9" s="3">
        <f t="shared" si="0"/>
      </c>
      <c r="I9" s="4">
        <v>28.3</v>
      </c>
      <c r="J9" s="4">
        <f t="shared" si="1"/>
      </c>
    </row>
    <row r="10" spans="1:12">
      <c r="A10" s="2">
        <v>46181</v>
      </c>
      <c r="B10" t="s">
        <v>155</v>
      </c>
      <c r="C10" t="s">
        <v>10</v>
      </c>
      <c r="D10" t="s">
        <v>171</v>
      </c>
      <c r="E10">
        <f>VLOOKUP(TablaMarimba[[#This Row],[Equipo]],Catalogos!$I$4:$J$34,2,FALSE)</f>
      </c>
      <c r="F10" s="3"/>
      <c r="G10" s="3">
        <v>198</v>
      </c>
      <c r="H10" s="3">
        <f t="shared" si="0"/>
      </c>
      <c r="I10" s="4">
        <v>28.3</v>
      </c>
      <c r="J10" s="4">
        <f t="shared" si="1"/>
      </c>
    </row>
    <row r="11" spans="1:12">
      <c r="A11" s="2">
        <v>46181</v>
      </c>
      <c r="B11" t="s">
        <v>155</v>
      </c>
      <c r="C11" t="s">
        <v>10</v>
      </c>
      <c r="D11" t="s">
        <v>192</v>
      </c>
      <c r="E11">
        <f>VLOOKUP(TablaMarimba[[#This Row],[Equipo]],Catalogos!$I$4:$J$34,2,FALSE)</f>
      </c>
      <c r="F11" s="3"/>
      <c r="G11" s="3">
        <v>10</v>
      </c>
      <c r="H11" s="3">
        <f t="shared" si="0"/>
      </c>
      <c r="I11" s="4">
        <v>28.3</v>
      </c>
      <c r="J11" s="4">
        <f t="shared" si="1"/>
      </c>
    </row>
    <row r="12" spans="1:12">
      <c r="A12" s="2">
        <v>46181</v>
      </c>
      <c r="B12" t="s">
        <v>155</v>
      </c>
      <c r="C12" t="s">
        <v>10</v>
      </c>
      <c r="D12" t="s">
        <v>186</v>
      </c>
      <c r="E12">
        <f>VLOOKUP(TablaMarimba[[#This Row],[Equipo]],Catalogos!$I$4:$J$34,2,FALSE)</f>
      </c>
      <c r="F12" s="3"/>
      <c r="G12" s="3">
        <v>27</v>
      </c>
      <c r="H12" s="3">
        <f t="shared" si="0"/>
      </c>
      <c r="I12" s="4">
        <v>28.3</v>
      </c>
      <c r="J12" s="4">
        <f t="shared" si="1"/>
      </c>
    </row>
    <row r="13" spans="1:12">
      <c r="A13" s="2">
        <v>46181</v>
      </c>
      <c r="B13" t="s">
        <v>155</v>
      </c>
      <c r="C13" t="s">
        <v>10</v>
      </c>
      <c r="D13" t="s">
        <v>194</v>
      </c>
      <c r="E13">
        <f>VLOOKUP(TablaMarimba[[#This Row],[Equipo]],Catalogos!$I$4:$J$34,2,FALSE)</f>
      </c>
      <c r="F13" s="3"/>
      <c r="G13" s="3">
        <v>30</v>
      </c>
      <c r="H13" s="3">
        <f t="shared" si="0"/>
      </c>
      <c r="I13" s="4">
        <v>28.3</v>
      </c>
      <c r="J13" s="4">
        <f t="shared" si="1"/>
      </c>
    </row>
    <row r="14" spans="1:12">
      <c r="A14" s="2">
        <v>46181</v>
      </c>
      <c r="B14" t="s">
        <v>155</v>
      </c>
      <c r="C14" t="s">
        <v>10</v>
      </c>
      <c r="D14" t="s">
        <v>177</v>
      </c>
      <c r="E14">
        <f>VLOOKUP(TablaMarimba[[#This Row],[Equipo]],Catalogos!$I$4:$J$34,2,FALSE)</f>
      </c>
      <c r="F14" s="3"/>
      <c r="G14" s="3">
        <v>40</v>
      </c>
      <c r="H14" s="3">
        <f t="shared" si="0"/>
      </c>
      <c r="I14" s="4">
        <v>28.3</v>
      </c>
      <c r="J14" s="4">
        <f t="shared" si="1"/>
      </c>
    </row>
    <row r="15" spans="1:12">
      <c r="A15" s="2">
        <v>46181</v>
      </c>
      <c r="B15" t="s">
        <v>155</v>
      </c>
      <c r="C15" t="s">
        <v>10</v>
      </c>
      <c r="D15" t="s">
        <v>182</v>
      </c>
      <c r="E15">
        <f>VLOOKUP(TablaMarimba[[#This Row],[Equipo]],Catalogos!$I$4:$J$34,2,FALSE)</f>
      </c>
      <c r="F15" s="3"/>
      <c r="G15" s="3">
        <v>120</v>
      </c>
      <c r="H15" s="3">
        <f t="shared" si="0"/>
      </c>
      <c r="I15" s="4">
        <v>28.3</v>
      </c>
      <c r="J15" s="4">
        <f t="shared" si="1"/>
      </c>
    </row>
    <row r="16" spans="1:12">
      <c r="A16" s="2">
        <v>46181</v>
      </c>
      <c r="B16" t="s">
        <v>155</v>
      </c>
      <c r="C16" t="s">
        <v>10</v>
      </c>
      <c r="D16" t="s">
        <v>188</v>
      </c>
      <c r="E16">
        <f>VLOOKUP(TablaMarimba[[#This Row],[Equipo]],Catalogos!$I$4:$J$34,2,FALSE)</f>
      </c>
      <c r="F16" s="3"/>
      <c r="G16" s="3">
        <v>30</v>
      </c>
      <c r="H16" s="3">
        <f t="shared" si="0"/>
      </c>
      <c r="I16" s="4">
        <v>28.3</v>
      </c>
      <c r="J16" s="4">
        <f t="shared" si="1"/>
      </c>
    </row>
    <row r="17" spans="1:10">
      <c r="A17" s="2">
        <v>46182</v>
      </c>
      <c r="B17" t="s">
        <v>155</v>
      </c>
      <c r="C17" t="s">
        <v>10</v>
      </c>
      <c r="D17" t="s">
        <v>175</v>
      </c>
      <c r="E17">
        <f>VLOOKUP(TablaMarimba[[#This Row],[Equipo]],Catalogos!$I$4:$J$34,2,FALSE)</f>
      </c>
      <c r="F17" s="3"/>
      <c r="G17" s="3">
        <v>30</v>
      </c>
      <c r="H17" s="3">
        <f t="shared" si="0"/>
      </c>
      <c r="I17" s="4">
        <v>28.3</v>
      </c>
      <c r="J17" s="4">
        <f t="shared" si="1"/>
      </c>
    </row>
    <row r="18" spans="1:10">
      <c r="A18" s="2">
        <v>46182</v>
      </c>
      <c r="B18" t="s">
        <v>155</v>
      </c>
      <c r="C18" t="s">
        <v>10</v>
      </c>
      <c r="D18" t="s">
        <v>179</v>
      </c>
      <c r="E18">
        <f>VLOOKUP(TablaMarimba[[#This Row],[Equipo]],Catalogos!$I$4:$J$34,2,FALSE)</f>
      </c>
      <c r="F18" s="3"/>
      <c r="G18" s="3">
        <v>100</v>
      </c>
      <c r="H18" s="3">
        <f t="shared" si="0"/>
      </c>
      <c r="I18" s="4">
        <v>28.3</v>
      </c>
      <c r="J18" s="4">
        <f t="shared" si="1"/>
      </c>
    </row>
    <row r="19" spans="1:10">
      <c r="A19" s="2">
        <v>46182</v>
      </c>
      <c r="B19" t="s">
        <v>155</v>
      </c>
      <c r="C19" t="s">
        <v>10</v>
      </c>
      <c r="D19" t="s">
        <v>184</v>
      </c>
      <c r="E19">
        <f>VLOOKUP(TablaMarimba[[#This Row],[Equipo]],Catalogos!$I$4:$J$34,2,FALSE)</f>
      </c>
      <c r="F19" s="3"/>
      <c r="G19" s="3">
        <v>30</v>
      </c>
      <c r="H19" s="3">
        <f t="shared" si="0"/>
      </c>
      <c r="I19" s="4">
        <v>28.3</v>
      </c>
      <c r="J19" s="4">
        <f t="shared" si="1"/>
      </c>
    </row>
    <row r="20" spans="1:10">
      <c r="A20" s="2">
        <v>46182</v>
      </c>
      <c r="B20" t="s">
        <v>155</v>
      </c>
      <c r="C20" t="s">
        <v>10</v>
      </c>
      <c r="D20" t="s">
        <v>171</v>
      </c>
      <c r="E20">
        <f>VLOOKUP(TablaMarimba[[#This Row],[Equipo]],Catalogos!$I$4:$J$34,2,FALSE)</f>
      </c>
      <c r="F20" s="3"/>
      <c r="G20" s="3">
        <v>150</v>
      </c>
      <c r="H20" s="3">
        <f t="shared" si="0"/>
      </c>
      <c r="I20" s="4">
        <v>28.3</v>
      </c>
      <c r="J20" s="4">
        <f t="shared" si="1"/>
      </c>
    </row>
    <row r="21" spans="1:10">
      <c r="A21" s="2">
        <v>46182</v>
      </c>
      <c r="B21" t="s">
        <v>155</v>
      </c>
      <c r="C21" t="s">
        <v>10</v>
      </c>
      <c r="D21" t="s">
        <v>188</v>
      </c>
      <c r="E21">
        <f>VLOOKUP(TablaMarimba[[#This Row],[Equipo]],Catalogos!$I$4:$J$34,2,FALSE)</f>
      </c>
      <c r="F21" s="3"/>
      <c r="G21" s="3">
        <v>50</v>
      </c>
      <c r="H21" s="3">
        <f t="shared" si="0"/>
      </c>
      <c r="I21" s="4">
        <v>28.3</v>
      </c>
      <c r="J21" s="4">
        <f t="shared" si="1"/>
      </c>
    </row>
    <row r="22" spans="1:10">
      <c r="A22" s="2">
        <v>46182</v>
      </c>
      <c r="B22" t="s">
        <v>155</v>
      </c>
      <c r="C22" t="s">
        <v>10</v>
      </c>
      <c r="D22" t="s">
        <v>182</v>
      </c>
      <c r="E22">
        <f>VLOOKUP(TablaMarimba[[#This Row],[Equipo]],Catalogos!$I$4:$J$34,2,FALSE)</f>
      </c>
      <c r="F22" s="3"/>
      <c r="G22" s="3">
        <v>136</v>
      </c>
      <c r="H22" s="3">
        <f t="shared" si="0"/>
      </c>
      <c r="I22" s="4">
        <v>28.3</v>
      </c>
      <c r="J22" s="4">
        <f t="shared" si="1"/>
      </c>
    </row>
    <row r="23" spans="1:10">
      <c r="A23" s="2">
        <v>46182</v>
      </c>
      <c r="B23" t="s">
        <v>155</v>
      </c>
      <c r="C23" t="s">
        <v>10</v>
      </c>
      <c r="D23" t="s">
        <v>184</v>
      </c>
      <c r="E23">
        <f>VLOOKUP(TablaMarimba[[#This Row],[Equipo]],Catalogos!$I$4:$J$34,2,FALSE)</f>
      </c>
      <c r="F23" s="3"/>
      <c r="G23" s="3">
        <v>30</v>
      </c>
      <c r="H23" s="3">
        <f t="shared" si="0"/>
      </c>
      <c r="I23" s="4">
        <v>28.3</v>
      </c>
      <c r="J23" s="4">
        <f t="shared" si="1"/>
      </c>
    </row>
    <row r="24" spans="1:10">
      <c r="A24" s="2">
        <v>46182</v>
      </c>
      <c r="B24" t="s">
        <v>155</v>
      </c>
      <c r="C24" t="s">
        <v>10</v>
      </c>
      <c r="D24" t="s">
        <v>181</v>
      </c>
      <c r="E24">
        <f>VLOOKUP(TablaMarimba[[#This Row],[Equipo]],Catalogos!$I$4:$J$34,2,FALSE)</f>
      </c>
      <c r="F24" s="3"/>
      <c r="G24" s="3">
        <v>30</v>
      </c>
      <c r="H24" s="3">
        <f t="shared" si="0"/>
      </c>
      <c r="I24" s="4">
        <v>28.3</v>
      </c>
      <c r="J24" s="4">
        <f t="shared" si="1"/>
      </c>
    </row>
    <row r="25" spans="1:10">
      <c r="A25" s="2">
        <v>46182</v>
      </c>
      <c r="B25" t="s">
        <v>155</v>
      </c>
      <c r="C25" t="s">
        <v>10</v>
      </c>
      <c r="D25" t="s">
        <v>179</v>
      </c>
      <c r="E25">
        <f>VLOOKUP(TablaMarimba[[#This Row],[Equipo]],Catalogos!$I$4:$J$34,2,FALSE)</f>
      </c>
      <c r="F25" s="3"/>
      <c r="G25" s="3">
        <v>100</v>
      </c>
      <c r="H25" s="3">
        <f t="shared" si="0"/>
      </c>
      <c r="I25" s="4">
        <v>28.3</v>
      </c>
      <c r="J25" s="4">
        <f t="shared" si="1"/>
      </c>
    </row>
    <row r="26" spans="1:10">
      <c r="A26" s="2">
        <v>46182</v>
      </c>
      <c r="B26" t="s">
        <v>155</v>
      </c>
      <c r="C26" t="s">
        <v>10</v>
      </c>
      <c r="D26" t="s">
        <v>177</v>
      </c>
      <c r="E26">
        <f>VLOOKUP(TablaMarimba[[#This Row],[Equipo]],Catalogos!$I$4:$J$34,2,FALSE)</f>
      </c>
      <c r="F26" s="3"/>
      <c r="G26" s="3">
        <v>60</v>
      </c>
      <c r="H26" s="3">
        <f t="shared" si="0"/>
      </c>
      <c r="I26" s="4">
        <v>28.3</v>
      </c>
      <c r="J26" s="4">
        <f t="shared" si="1"/>
      </c>
    </row>
    <row r="27" spans="1:10">
      <c r="A27" s="2">
        <v>46182</v>
      </c>
      <c r="B27" t="s">
        <v>155</v>
      </c>
      <c r="C27" t="s">
        <v>10</v>
      </c>
      <c r="D27" t="s">
        <v>194</v>
      </c>
      <c r="E27">
        <f>VLOOKUP(TablaMarimba[[#This Row],[Equipo]],Catalogos!$I$4:$J$34,2,FALSE)</f>
      </c>
      <c r="F27" s="3"/>
      <c r="G27" s="3">
        <v>20</v>
      </c>
      <c r="H27" s="3">
        <f t="shared" si="0"/>
      </c>
      <c r="I27" s="4">
        <v>28.3</v>
      </c>
      <c r="J27" s="4">
        <f t="shared" si="1"/>
      </c>
    </row>
    <row r="28" spans="1:10">
      <c r="A28" s="2">
        <v>46183</v>
      </c>
      <c r="B28" t="s">
        <v>155</v>
      </c>
      <c r="C28" t="s">
        <v>6</v>
      </c>
      <c r="D28" t="s">
        <v>165</v>
      </c>
      <c r="E28">
        <f>VLOOKUP(TablaMarimba[[#This Row],[Equipo]],Catalogos!$I$4:$J$34,2,FALSE)</f>
      </c>
      <c r="F28" s="3"/>
      <c r="G28" s="3">
        <v>20</v>
      </c>
      <c r="H28" s="3">
        <f t="shared" si="0"/>
      </c>
      <c r="I28" s="4">
        <v>28.3</v>
      </c>
      <c r="J28" s="4">
        <f t="shared" si="1"/>
      </c>
    </row>
    <row r="29" spans="1:10">
      <c r="A29" s="2">
        <v>46183</v>
      </c>
      <c r="B29" t="s">
        <v>155</v>
      </c>
      <c r="C29" t="s">
        <v>6</v>
      </c>
      <c r="D29" t="s">
        <v>164</v>
      </c>
      <c r="E29">
        <f>VLOOKUP(TablaMarimba[[#This Row],[Equipo]],Catalogos!$I$4:$J$34,2,FALSE)</f>
      </c>
      <c r="F29" s="3"/>
      <c r="G29" s="3">
        <v>250</v>
      </c>
      <c r="H29" s="3">
        <f t="shared" si="0"/>
      </c>
      <c r="I29" s="4">
        <v>28.3</v>
      </c>
      <c r="J29" s="4">
        <f t="shared" si="1"/>
      </c>
    </row>
    <row r="30" spans="1:10">
      <c r="A30" s="2">
        <v>46183</v>
      </c>
      <c r="B30" t="s">
        <v>155</v>
      </c>
      <c r="C30" t="s">
        <v>6</v>
      </c>
      <c r="D30" t="s">
        <v>95</v>
      </c>
      <c r="E30">
        <f>VLOOKUP(TablaMarimba[[#This Row],[Equipo]],Catalogos!$I$4:$J$34,2,FALSE)</f>
      </c>
      <c r="F30" s="3"/>
      <c r="G30" s="3">
        <v>30</v>
      </c>
      <c r="H30" s="3">
        <f t="shared" si="0"/>
      </c>
      <c r="I30" s="4">
        <v>28.3</v>
      </c>
      <c r="J30" s="4">
        <f t="shared" si="1"/>
      </c>
    </row>
    <row r="31" spans="1:10">
      <c r="A31" s="2">
        <v>46184</v>
      </c>
      <c r="B31" t="s">
        <v>155</v>
      </c>
      <c r="C31" t="s">
        <v>6</v>
      </c>
      <c r="D31" t="s">
        <v>86</v>
      </c>
      <c r="E31">
        <f>VLOOKUP(TablaMarimba[[#This Row],[Equipo]],Catalogos!$I$4:$J$34,2,FALSE)</f>
      </c>
      <c r="F31" s="3"/>
      <c r="G31" s="3">
        <v>30</v>
      </c>
      <c r="H31" s="3">
        <f t="shared" si="0"/>
      </c>
      <c r="I31" s="4">
        <v>28.3</v>
      </c>
      <c r="J31" s="4">
        <f t="shared" si="1"/>
      </c>
    </row>
    <row r="32" spans="1:10">
      <c r="A32" s="2">
        <v>46184</v>
      </c>
      <c r="B32" t="s">
        <v>155</v>
      </c>
      <c r="C32" t="s">
        <v>6</v>
      </c>
      <c r="D32" t="s">
        <v>181</v>
      </c>
      <c r="E32">
        <f>VLOOKUP(TablaMarimba[[#This Row],[Equipo]],Catalogos!$I$4:$J$34,2,FALSE)</f>
      </c>
      <c r="F32" s="3"/>
      <c r="G32" s="3">
        <v>30</v>
      </c>
      <c r="H32" s="3">
        <f t="shared" si="0"/>
      </c>
      <c r="I32" s="4">
        <v>28.3</v>
      </c>
      <c r="J32" s="4">
        <f t="shared" si="1"/>
      </c>
    </row>
    <row r="33" spans="1:14">
      <c r="A33" s="2">
        <v>46184</v>
      </c>
      <c r="B33" t="s">
        <v>155</v>
      </c>
      <c r="C33" t="s">
        <v>6</v>
      </c>
      <c r="D33" t="s">
        <v>160</v>
      </c>
      <c r="E33">
        <f>VLOOKUP(TablaMarimba[[#This Row],[Equipo]],Catalogos!$I$4:$J$34,2,FALSE)</f>
      </c>
      <c r="F33" s="3"/>
      <c r="G33" s="3">
        <v>136</v>
      </c>
      <c r="H33" s="3">
        <f t="shared" si="0"/>
      </c>
      <c r="I33" s="4">
        <v>28.3</v>
      </c>
      <c r="J33" s="4">
        <f t="shared" si="1"/>
      </c>
    </row>
    <row r="34" spans="1:14">
      <c r="A34" s="2">
        <v>46184</v>
      </c>
      <c r="B34" t="s">
        <v>155</v>
      </c>
      <c r="C34" t="s">
        <v>6</v>
      </c>
      <c r="D34" t="s">
        <v>165</v>
      </c>
      <c r="E34">
        <f>VLOOKUP(TablaMarimba[[#This Row],[Equipo]],Catalogos!$I$4:$J$34,2,FALSE)</f>
      </c>
      <c r="F34" s="3"/>
      <c r="G34" s="3">
        <v>20</v>
      </c>
      <c r="H34" s="3">
        <f t="shared" si="0"/>
      </c>
      <c r="I34" s="4">
        <v>28.3</v>
      </c>
      <c r="J34" s="4">
        <f t="shared" si="1"/>
      </c>
    </row>
    <row r="35" spans="1:14">
      <c r="A35" s="2">
        <v>46184</v>
      </c>
      <c r="B35" t="s">
        <v>155</v>
      </c>
      <c r="C35" t="s">
        <v>6</v>
      </c>
      <c r="D35" t="s">
        <v>95</v>
      </c>
      <c r="E35">
        <f>VLOOKUP(TablaMarimba[[#This Row],[Equipo]],Catalogos!$I$4:$J$34,2,FALSE)</f>
      </c>
      <c r="F35" s="3"/>
      <c r="G35" s="3">
        <v>20</v>
      </c>
      <c r="H35" s="3">
        <f t="shared" si="0"/>
      </c>
      <c r="I35" s="4">
        <v>28.3</v>
      </c>
      <c r="J35" s="4">
        <f t="shared" si="1"/>
      </c>
    </row>
    <row r="36" spans="1:14">
      <c r="A36" s="2">
        <v>46184</v>
      </c>
      <c r="B36" t="s">
        <v>155</v>
      </c>
      <c r="C36" t="s">
        <v>6</v>
      </c>
      <c r="D36" t="s">
        <v>192</v>
      </c>
      <c r="E36">
        <f>VLOOKUP(TablaMarimba[[#This Row],[Equipo]],Catalogos!$I$4:$J$34,2,FALSE)</f>
      </c>
      <c r="F36" s="3"/>
      <c r="G36" s="3">
        <v>20</v>
      </c>
      <c r="H36" s="3">
        <f t="shared" si="0"/>
      </c>
      <c r="I36" s="4">
        <v>28.3</v>
      </c>
      <c r="J36" s="4">
        <f t="shared" si="1"/>
      </c>
    </row>
    <row r="37" spans="1:14">
      <c r="A37" s="2">
        <v>46185</v>
      </c>
      <c r="B37" t="s">
        <v>155</v>
      </c>
      <c r="C37" t="s">
        <v>10</v>
      </c>
      <c r="D37" t="s">
        <v>184</v>
      </c>
      <c r="E37">
        <f>VLOOKUP(TablaMarimba[[#This Row],[Equipo]],Catalogos!$I$4:$J$34,2,FALSE)</f>
      </c>
      <c r="F37" s="3"/>
      <c r="G37" s="3">
        <v>32</v>
      </c>
      <c r="H37" s="3">
        <f t="shared" ref="H37:H68" si="2">IF(ROW()=5,F37-G37,H36+F37-G37)</f>
      </c>
      <c r="I37" s="4">
        <v>28.3</v>
      </c>
      <c r="J37" s="4">
        <f t="shared" ref="J37:J68" si="3">IFERROR((F37+G37)*I37,0)</f>
      </c>
    </row>
    <row r="38" spans="1:14">
      <c r="A38" s="2">
        <v>46185</v>
      </c>
      <c r="B38" t="s">
        <v>155</v>
      </c>
      <c r="C38" t="s">
        <v>10</v>
      </c>
      <c r="D38" t="s">
        <v>186</v>
      </c>
      <c r="E38">
        <f>VLOOKUP(TablaMarimba[[#This Row],[Equipo]],Catalogos!$I$4:$J$34,2,FALSE)</f>
      </c>
      <c r="F38" s="3"/>
      <c r="G38" s="3">
        <v>30</v>
      </c>
      <c r="H38" s="3">
        <f t="shared" si="2"/>
      </c>
      <c r="I38" s="4">
        <v>28.3</v>
      </c>
      <c r="J38" s="4">
        <f t="shared" si="3"/>
      </c>
    </row>
    <row r="39" spans="1:14">
      <c r="A39" s="2">
        <v>46185</v>
      </c>
      <c r="B39" t="s">
        <v>155</v>
      </c>
      <c r="C39" t="s">
        <v>10</v>
      </c>
      <c r="D39" t="s">
        <v>175</v>
      </c>
      <c r="E39">
        <f>VLOOKUP(TablaMarimba[[#This Row],[Equipo]],Catalogos!$I$4:$J$34,2,FALSE)</f>
      </c>
      <c r="F39" s="3"/>
      <c r="G39" s="3">
        <v>30</v>
      </c>
      <c r="H39" s="3">
        <f t="shared" si="2"/>
      </c>
      <c r="I39" s="4">
        <v>28.3</v>
      </c>
      <c r="J39" s="4">
        <f t="shared" si="3"/>
      </c>
    </row>
    <row r="40" spans="1:14">
      <c r="A40" s="2">
        <v>46185</v>
      </c>
      <c r="B40" t="s">
        <v>155</v>
      </c>
      <c r="C40" t="s">
        <v>10</v>
      </c>
      <c r="D40" t="s">
        <v>177</v>
      </c>
      <c r="E40">
        <f>VLOOKUP(TablaMarimba[[#This Row],[Equipo]],Catalogos!$I$4:$J$34,2,FALSE)</f>
      </c>
      <c r="F40" s="3"/>
      <c r="G40" s="3">
        <v>50</v>
      </c>
      <c r="H40" s="3">
        <f t="shared" si="2"/>
      </c>
      <c r="I40" s="4">
        <v>28.3</v>
      </c>
      <c r="J40" s="4">
        <f t="shared" si="3"/>
      </c>
    </row>
    <row r="41" spans="1:14">
      <c r="A41" s="2">
        <v>46185</v>
      </c>
      <c r="B41" t="s">
        <v>155</v>
      </c>
      <c r="C41" t="s">
        <v>10</v>
      </c>
      <c r="D41" t="s">
        <v>182</v>
      </c>
      <c r="E41">
        <f>VLOOKUP(TablaMarimba[[#This Row],[Equipo]],Catalogos!$I$4:$J$34,2,FALSE)</f>
      </c>
      <c r="F41" s="3"/>
      <c r="G41" s="3">
        <v>120</v>
      </c>
      <c r="H41" s="3">
        <f t="shared" si="2"/>
      </c>
      <c r="I41" s="4">
        <v>28.3</v>
      </c>
      <c r="J41" s="4">
        <f t="shared" si="3"/>
      </c>
    </row>
    <row r="42" spans="1:14">
      <c r="A42" s="2">
        <v>46185</v>
      </c>
      <c r="B42" t="s">
        <v>155</v>
      </c>
      <c r="C42" t="s">
        <v>10</v>
      </c>
      <c r="D42" t="s">
        <v>188</v>
      </c>
      <c r="E42">
        <f>VLOOKUP(TablaMarimba[[#This Row],[Equipo]],Catalogos!$I$4:$J$34,2,FALSE)</f>
      </c>
      <c r="F42" s="3"/>
      <c r="G42" s="3">
        <v>40</v>
      </c>
      <c r="H42" s="3">
        <f t="shared" si="2"/>
      </c>
      <c r="I42" s="4">
        <v>28.3</v>
      </c>
      <c r="J42" s="4">
        <f t="shared" si="3"/>
      </c>
    </row>
    <row r="43" spans="1:14">
      <c r="A43" s="2">
        <v>46185</v>
      </c>
      <c r="B43" t="s">
        <v>155</v>
      </c>
      <c r="C43" t="s">
        <v>10</v>
      </c>
      <c r="D43" t="s">
        <v>171</v>
      </c>
      <c r="E43">
        <f>VLOOKUP(TablaMarimba[[#This Row],[Equipo]],Catalogos!$I$4:$J$34,2,FALSE)</f>
      </c>
      <c r="F43" s="3"/>
      <c r="G43" s="3">
        <v>200</v>
      </c>
      <c r="H43" s="3">
        <f t="shared" si="2"/>
      </c>
      <c r="I43" s="4">
        <v>28.3</v>
      </c>
      <c r="J43" s="4">
        <f t="shared" si="3"/>
      </c>
      <c r="N43" s="3">
        <f>SUM(G5:G48)</f>
      </c>
    </row>
    <row r="44" spans="1:14">
      <c r="A44" s="2">
        <v>46185</v>
      </c>
      <c r="B44" t="s">
        <v>155</v>
      </c>
      <c r="C44" t="s">
        <v>6</v>
      </c>
      <c r="D44" t="s">
        <v>165</v>
      </c>
      <c r="E44">
        <f>VLOOKUP(TablaMarimba[[#This Row],[Equipo]],Catalogos!$I$4:$J$34,2,FALSE)</f>
      </c>
      <c r="F44" s="3"/>
      <c r="G44" s="3">
        <v>20</v>
      </c>
      <c r="H44" s="3">
        <f t="shared" si="2"/>
      </c>
      <c r="I44" s="4">
        <v>28.3</v>
      </c>
      <c r="J44" s="4">
        <f t="shared" si="3"/>
      </c>
    </row>
    <row r="45" spans="1:14">
      <c r="A45" s="2">
        <v>46185</v>
      </c>
      <c r="B45" t="s">
        <v>155</v>
      </c>
      <c r="C45" t="s">
        <v>6</v>
      </c>
      <c r="D45" t="s">
        <v>181</v>
      </c>
      <c r="E45">
        <f>VLOOKUP(TablaMarimba[[#This Row],[Equipo]],Catalogos!$I$4:$J$34,2,FALSE)</f>
      </c>
      <c r="F45" s="3"/>
      <c r="G45" s="3">
        <v>30</v>
      </c>
      <c r="H45" s="3">
        <f t="shared" si="2"/>
      </c>
      <c r="I45" s="4">
        <v>28.3</v>
      </c>
      <c r="J45" s="4">
        <f t="shared" si="3"/>
      </c>
    </row>
    <row r="46" spans="1:14">
      <c r="A46" s="2">
        <v>46185</v>
      </c>
      <c r="B46" t="s">
        <v>155</v>
      </c>
      <c r="C46" t="s">
        <v>6</v>
      </c>
      <c r="D46" t="s">
        <v>192</v>
      </c>
      <c r="E46">
        <f>VLOOKUP(TablaMarimba[[#This Row],[Equipo]],Catalogos!$I$4:$J$34,2,FALSE)</f>
      </c>
      <c r="F46" s="3"/>
      <c r="G46" s="3">
        <v>20</v>
      </c>
      <c r="H46" s="3">
        <f t="shared" si="2"/>
      </c>
      <c r="I46" s="4">
        <v>28.3</v>
      </c>
      <c r="J46" s="4">
        <f t="shared" si="3"/>
      </c>
    </row>
    <row r="47" spans="1:14">
      <c r="A47" s="2">
        <v>46185</v>
      </c>
      <c r="B47" t="s">
        <v>155</v>
      </c>
      <c r="C47" t="s">
        <v>6</v>
      </c>
      <c r="D47" t="s">
        <v>86</v>
      </c>
      <c r="E47">
        <f>VLOOKUP(TablaMarimba[[#This Row],[Equipo]],Catalogos!$I$4:$J$34,2,FALSE)</f>
      </c>
      <c r="F47" s="3"/>
      <c r="G47" s="3">
        <v>40</v>
      </c>
      <c r="H47" s="3">
        <f t="shared" si="2"/>
      </c>
      <c r="I47" s="4">
        <v>28.3</v>
      </c>
      <c r="J47" s="4">
        <f t="shared" si="3"/>
      </c>
    </row>
    <row r="48" spans="1:14">
      <c r="A48" s="2">
        <v>46185</v>
      </c>
      <c r="B48" t="s">
        <v>155</v>
      </c>
      <c r="C48" t="s">
        <v>6</v>
      </c>
      <c r="D48" t="s">
        <v>164</v>
      </c>
      <c r="E48">
        <f>VLOOKUP(TablaMarimba[[#This Row],[Equipo]],Catalogos!$I$4:$J$34,2,FALSE)</f>
      </c>
      <c r="F48" s="3"/>
      <c r="G48" s="3">
        <v>250</v>
      </c>
      <c r="H48" s="3">
        <f t="shared" si="2"/>
      </c>
      <c r="I48" s="4">
        <v>28.3</v>
      </c>
      <c r="J48" s="4">
        <f t="shared" si="3"/>
      </c>
    </row>
    <row r="49" spans="1:10">
      <c r="A49" s="2"/>
      <c r="E49">
        <f>VLOOKUP(TablaMarimba[[#This Row],[Equipo]],Catalogos!$I$4:$J$34,2,FALSE)</f>
      </c>
      <c r="F49" s="3"/>
      <c r="G49" s="3"/>
      <c r="H49" s="3">
        <f t="shared" si="2"/>
      </c>
      <c r="I49" s="4">
        <v>28.3</v>
      </c>
      <c r="J49" s="4">
        <f t="shared" si="3"/>
      </c>
    </row>
    <row r="50" spans="1:10">
      <c r="A50" s="2"/>
      <c r="E50">
        <f>VLOOKUP(TablaMarimba[[#This Row],[Equipo]],Catalogos!$I$4:$J$34,2,FALSE)</f>
      </c>
      <c r="F50" s="3"/>
      <c r="G50" s="3"/>
      <c r="H50" s="3">
        <f t="shared" si="2"/>
      </c>
      <c r="I50" s="4">
        <v>28.3</v>
      </c>
      <c r="J50" s="4">
        <f t="shared" si="3"/>
      </c>
    </row>
    <row r="51" spans="1:10">
      <c r="A51" s="2"/>
      <c r="E51">
        <f>VLOOKUP(TablaMarimba[[#This Row],[Equipo]],Catalogos!$I$4:$J$34,2,FALSE)</f>
      </c>
      <c r="F51" s="3"/>
      <c r="G51" s="3"/>
      <c r="H51" s="3">
        <f t="shared" si="2"/>
      </c>
      <c r="I51" s="4">
        <v>28.3</v>
      </c>
      <c r="J51" s="4">
        <f t="shared" si="3"/>
      </c>
    </row>
    <row r="52" spans="1:10">
      <c r="A52" s="2"/>
      <c r="E52">
        <f>VLOOKUP(TablaMarimba[[#This Row],[Equipo]],Catalogos!$I$4:$J$34,2,FALSE)</f>
      </c>
      <c r="F52" s="3"/>
      <c r="G52" s="3"/>
      <c r="H52" s="3">
        <f t="shared" si="2"/>
      </c>
      <c r="I52" s="4">
        <v>28.3</v>
      </c>
      <c r="J52" s="4">
        <f t="shared" si="3"/>
      </c>
    </row>
    <row r="53" spans="1:10">
      <c r="A53" s="2"/>
      <c r="E53">
        <f>VLOOKUP(TablaMarimba[[#This Row],[Equipo]],Catalogos!$I$4:$J$34,2,FALSE)</f>
      </c>
      <c r="F53" s="3"/>
      <c r="G53" s="3"/>
      <c r="H53" s="3">
        <f t="shared" si="2"/>
      </c>
      <c r="I53" s="4">
        <v>28.3</v>
      </c>
      <c r="J53" s="4">
        <f t="shared" si="3"/>
      </c>
    </row>
    <row r="54" spans="1:10">
      <c r="A54" s="2"/>
      <c r="E54">
        <f>VLOOKUP(TablaMarimba[[#This Row],[Equipo]],Catalogos!$I$4:$J$34,2,FALSE)</f>
      </c>
      <c r="F54" s="3"/>
      <c r="G54" s="3"/>
      <c r="H54" s="3">
        <f t="shared" si="2"/>
      </c>
      <c r="I54" s="4">
        <v>28.3</v>
      </c>
      <c r="J54" s="4">
        <f t="shared" si="3"/>
      </c>
    </row>
    <row r="55" spans="1:10">
      <c r="A55" s="2"/>
      <c r="E55">
        <f>VLOOKUP(TablaMarimba[[#This Row],[Equipo]],Catalogos!$I$4:$J$34,2,FALSE)</f>
      </c>
      <c r="F55" s="3"/>
      <c r="G55" s="3"/>
      <c r="H55" s="3">
        <f t="shared" si="2"/>
      </c>
      <c r="I55" s="4">
        <v>28.3</v>
      </c>
      <c r="J55" s="4">
        <f t="shared" si="3"/>
      </c>
    </row>
    <row r="56" spans="1:10">
      <c r="A56" s="2"/>
      <c r="E56">
        <f>VLOOKUP(TablaMarimba[[#This Row],[Equipo]],Catalogos!$I$4:$J$34,2,FALSE)</f>
      </c>
      <c r="F56" s="3"/>
      <c r="G56" s="3"/>
      <c r="H56" s="3">
        <f t="shared" si="2"/>
      </c>
      <c r="I56" s="4">
        <v>28.3</v>
      </c>
      <c r="J56" s="4">
        <f t="shared" si="3"/>
      </c>
    </row>
    <row r="57" spans="1:10">
      <c r="A57" s="2"/>
      <c r="E57">
        <f>VLOOKUP(TablaMarimba[[#This Row],[Equipo]],Catalogos!$I$4:$J$34,2,FALSE)</f>
      </c>
      <c r="F57" s="3"/>
      <c r="G57" s="3"/>
      <c r="H57" s="3">
        <f t="shared" si="2"/>
      </c>
      <c r="I57" s="4">
        <v>28.3</v>
      </c>
      <c r="J57" s="4">
        <f t="shared" si="3"/>
      </c>
    </row>
    <row r="58" spans="1:10">
      <c r="A58" s="2"/>
      <c r="E58">
        <f>VLOOKUP(TablaMarimba[[#This Row],[Equipo]],Catalogos!$I$4:$J$34,2,FALSE)</f>
      </c>
      <c r="F58" s="3"/>
      <c r="G58" s="3"/>
      <c r="H58" s="3">
        <f t="shared" si="2"/>
      </c>
      <c r="I58" s="4">
        <v>28.3</v>
      </c>
      <c r="J58" s="4">
        <f t="shared" si="3"/>
      </c>
    </row>
    <row r="59" spans="1:10">
      <c r="A59" s="2"/>
      <c r="E59">
        <f>VLOOKUP(TablaMarimba[[#This Row],[Equipo]],Catalogos!$I$4:$J$34,2,FALSE)</f>
      </c>
      <c r="F59" s="3"/>
      <c r="G59" s="3"/>
      <c r="H59" s="3">
        <f t="shared" si="2"/>
      </c>
      <c r="I59" s="4">
        <v>28.3</v>
      </c>
      <c r="J59" s="4">
        <f t="shared" si="3"/>
      </c>
    </row>
    <row r="60" spans="1:10">
      <c r="A60" s="2"/>
      <c r="E60">
        <f>VLOOKUP(TablaMarimba[[#This Row],[Equipo]],Catalogos!$I$4:$J$34,2,FALSE)</f>
      </c>
      <c r="F60" s="3"/>
      <c r="G60" s="3"/>
      <c r="H60" s="3">
        <f t="shared" si="2"/>
      </c>
      <c r="I60" s="4">
        <v>28.3</v>
      </c>
      <c r="J60" s="4">
        <f t="shared" si="3"/>
      </c>
    </row>
    <row r="61" spans="1:10">
      <c r="A61" s="2"/>
      <c r="E61">
        <f>VLOOKUP(TablaMarimba[[#This Row],[Equipo]],Catalogos!$I$4:$J$34,2,FALSE)</f>
      </c>
      <c r="F61" s="3"/>
      <c r="G61" s="3"/>
      <c r="H61" s="3">
        <f t="shared" si="2"/>
      </c>
      <c r="I61" s="4">
        <v>28.3</v>
      </c>
      <c r="J61" s="4">
        <f t="shared" si="3"/>
      </c>
    </row>
    <row r="62" spans="1:10">
      <c r="A62" s="2"/>
      <c r="E62">
        <f>VLOOKUP(TablaMarimba[[#This Row],[Equipo]],Catalogos!$I$4:$J$34,2,FALSE)</f>
      </c>
      <c r="F62" s="3"/>
      <c r="G62" s="3"/>
      <c r="H62" s="3">
        <f t="shared" si="2"/>
      </c>
      <c r="I62" s="4">
        <v>28.3</v>
      </c>
      <c r="J62" s="4">
        <f t="shared" si="3"/>
      </c>
    </row>
    <row r="63" spans="1:10">
      <c r="A63" s="2"/>
      <c r="E63">
        <f>VLOOKUP(TablaMarimba[[#This Row],[Equipo]],Catalogos!$I$4:$J$34,2,FALSE)</f>
      </c>
      <c r="F63" s="3"/>
      <c r="G63" s="3"/>
      <c r="H63" s="3">
        <f t="shared" si="2"/>
      </c>
      <c r="I63" s="4">
        <v>28.3</v>
      </c>
      <c r="J63" s="4">
        <f t="shared" si="3"/>
      </c>
    </row>
    <row r="64" spans="1:10">
      <c r="A64" s="2"/>
      <c r="E64">
        <f>VLOOKUP(TablaMarimba[[#This Row],[Equipo]],Catalogos!$I$4:$J$34,2,FALSE)</f>
      </c>
      <c r="F64" s="3"/>
      <c r="G64" s="3"/>
      <c r="H64" s="3">
        <f t="shared" si="2"/>
      </c>
      <c r="I64" s="4">
        <v>28.3</v>
      </c>
      <c r="J64" s="4">
        <f t="shared" si="3"/>
      </c>
    </row>
    <row r="65" spans="1:10">
      <c r="A65" s="2"/>
      <c r="E65">
        <f>VLOOKUP(TablaMarimba[[#This Row],[Equipo]],Catalogos!$I$4:$J$34,2,FALSE)</f>
      </c>
      <c r="F65" s="3"/>
      <c r="G65" s="3"/>
      <c r="H65" s="3">
        <f t="shared" si="2"/>
      </c>
      <c r="I65" s="4">
        <v>28.3</v>
      </c>
      <c r="J65" s="4">
        <f t="shared" si="3"/>
      </c>
    </row>
    <row r="66" spans="1:10">
      <c r="A66" s="2"/>
      <c r="E66">
        <f>VLOOKUP(TablaMarimba[[#This Row],[Equipo]],Catalogos!$I$4:$J$34,2,FALSE)</f>
      </c>
      <c r="F66" s="3"/>
      <c r="G66" s="3"/>
      <c r="H66" s="3">
        <f t="shared" si="2"/>
      </c>
      <c r="I66" s="4">
        <v>28.3</v>
      </c>
      <c r="J66" s="4">
        <f t="shared" si="3"/>
      </c>
    </row>
    <row r="67" spans="1:10">
      <c r="A67" s="2"/>
      <c r="E67">
        <f>VLOOKUP(TablaMarimba[[#This Row],[Equipo]],Catalogos!$I$4:$J$34,2,FALSE)</f>
      </c>
      <c r="F67" s="3"/>
      <c r="G67" s="3"/>
      <c r="H67" s="3">
        <f t="shared" si="2"/>
      </c>
      <c r="I67" s="4">
        <v>28.3</v>
      </c>
      <c r="J67" s="4">
        <f t="shared" si="3"/>
      </c>
    </row>
    <row r="68" spans="1:10">
      <c r="A68" s="2"/>
      <c r="E68">
        <f>VLOOKUP(TablaMarimba[[#This Row],[Equipo]],Catalogos!$I$4:$J$34,2,FALSE)</f>
      </c>
      <c r="F68" s="3"/>
      <c r="G68" s="3"/>
      <c r="H68" s="3">
        <f t="shared" si="2"/>
      </c>
      <c r="I68" s="4">
        <v>28.3</v>
      </c>
      <c r="J68" s="4">
        <f t="shared" si="3"/>
      </c>
    </row>
    <row r="69" spans="1:10">
      <c r="A69" s="2"/>
      <c r="E69">
        <f>VLOOKUP(TablaMarimba[[#This Row],[Equipo]],Catalogos!$I$4:$J$34,2,FALSE)</f>
      </c>
      <c r="F69" s="3"/>
      <c r="G69" s="3"/>
      <c r="H69" s="3">
        <f t="shared" ref="H69:H100" si="4">IF(ROW()=5,F69-G69,H68+F69-G69)</f>
      </c>
      <c r="I69" s="4">
        <v>28.3</v>
      </c>
      <c r="J69" s="4">
        <f t="shared" ref="J69:J100" si="5">IFERROR((F69+G69)*I69,0)</f>
      </c>
    </row>
    <row r="70" spans="1:10">
      <c r="A70" s="2"/>
      <c r="E70">
        <f>VLOOKUP(TablaMarimba[[#This Row],[Equipo]],Catalogos!$I$4:$J$34,2,FALSE)</f>
      </c>
      <c r="F70" s="3"/>
      <c r="G70" s="3"/>
      <c r="H70" s="3">
        <f t="shared" si="4"/>
      </c>
      <c r="I70" s="4">
        <v>28.3</v>
      </c>
      <c r="J70" s="4">
        <f t="shared" si="5"/>
      </c>
    </row>
    <row r="71" spans="1:10">
      <c r="A71" s="2"/>
      <c r="E71">
        <f>VLOOKUP(TablaMarimba[[#This Row],[Equipo]],Catalogos!$I$4:$J$34,2,FALSE)</f>
      </c>
      <c r="F71" s="3"/>
      <c r="G71" s="3"/>
      <c r="H71" s="3">
        <f t="shared" si="4"/>
      </c>
      <c r="I71" s="4">
        <v>28.3</v>
      </c>
      <c r="J71" s="4">
        <f t="shared" si="5"/>
      </c>
    </row>
    <row r="72" spans="1:10">
      <c r="A72" s="2"/>
      <c r="E72">
        <f>VLOOKUP(TablaMarimba[[#This Row],[Equipo]],Catalogos!$I$4:$J$34,2,FALSE)</f>
      </c>
      <c r="F72" s="3"/>
      <c r="G72" s="3"/>
      <c r="H72" s="3">
        <f t="shared" si="4"/>
      </c>
      <c r="I72" s="4">
        <v>28.3</v>
      </c>
      <c r="J72" s="4">
        <f t="shared" si="5"/>
      </c>
    </row>
    <row r="73" spans="1:10">
      <c r="A73" s="2"/>
      <c r="E73">
        <f>VLOOKUP(TablaMarimba[[#This Row],[Equipo]],Catalogos!$I$4:$J$34,2,FALSE)</f>
      </c>
      <c r="F73" s="3"/>
      <c r="G73" s="3"/>
      <c r="H73" s="3">
        <f t="shared" si="4"/>
      </c>
      <c r="I73" s="4">
        <v>28.3</v>
      </c>
      <c r="J73" s="4">
        <f t="shared" si="5"/>
      </c>
    </row>
    <row r="74" spans="1:10">
      <c r="A74" s="2"/>
      <c r="E74">
        <f>VLOOKUP(TablaMarimba[[#This Row],[Equipo]],Catalogos!$I$4:$J$34,2,FALSE)</f>
      </c>
      <c r="F74" s="3"/>
      <c r="G74" s="3"/>
      <c r="H74" s="3">
        <f t="shared" si="4"/>
      </c>
      <c r="I74" s="4">
        <v>28.3</v>
      </c>
      <c r="J74" s="4">
        <f t="shared" si="5"/>
      </c>
    </row>
    <row r="75" spans="1:10">
      <c r="A75" s="2"/>
      <c r="E75">
        <f>VLOOKUP(TablaMarimba[[#This Row],[Equipo]],Catalogos!$I$4:$J$34,2,FALSE)</f>
      </c>
      <c r="F75" s="3"/>
      <c r="G75" s="3"/>
      <c r="H75" s="3">
        <f t="shared" si="4"/>
      </c>
      <c r="I75" s="4">
        <v>28.3</v>
      </c>
      <c r="J75" s="4">
        <f t="shared" si="5"/>
      </c>
    </row>
    <row r="76" spans="1:10">
      <c r="A76" s="2"/>
      <c r="E76">
        <f>VLOOKUP(TablaMarimba[[#This Row],[Equipo]],Catalogos!$I$4:$J$34,2,FALSE)</f>
      </c>
      <c r="F76" s="3"/>
      <c r="G76" s="3"/>
      <c r="H76" s="3">
        <f t="shared" si="4"/>
      </c>
      <c r="I76" s="4">
        <v>28.3</v>
      </c>
      <c r="J76" s="4">
        <f t="shared" si="5"/>
      </c>
    </row>
    <row r="77" spans="1:10">
      <c r="A77" s="2"/>
      <c r="E77">
        <f>VLOOKUP(TablaMarimba[[#This Row],[Equipo]],Catalogos!$I$4:$J$34,2,FALSE)</f>
      </c>
      <c r="F77" s="3"/>
      <c r="G77" s="3"/>
      <c r="H77" s="3">
        <f t="shared" si="4"/>
      </c>
      <c r="I77" s="4">
        <v>28.3</v>
      </c>
      <c r="J77" s="4">
        <f t="shared" si="5"/>
      </c>
    </row>
    <row r="78" spans="1:10">
      <c r="A78" s="2"/>
      <c r="E78">
        <f>VLOOKUP(TablaMarimba[[#This Row],[Equipo]],Catalogos!$I$4:$J$34,2,FALSE)</f>
      </c>
      <c r="F78" s="3"/>
      <c r="G78" s="3"/>
      <c r="H78" s="3">
        <f t="shared" si="4"/>
      </c>
      <c r="I78" s="4">
        <v>28.3</v>
      </c>
      <c r="J78" s="4">
        <f t="shared" si="5"/>
      </c>
    </row>
    <row r="79" spans="1:10">
      <c r="A79" s="2"/>
      <c r="E79">
        <f>VLOOKUP(TablaMarimba[[#This Row],[Equipo]],Catalogos!$I$4:$J$34,2,FALSE)</f>
      </c>
      <c r="F79" s="3"/>
      <c r="G79" s="3"/>
      <c r="H79" s="3">
        <f t="shared" si="4"/>
      </c>
      <c r="I79" s="4">
        <v>28.3</v>
      </c>
      <c r="J79" s="4">
        <f t="shared" si="5"/>
      </c>
    </row>
    <row r="80" spans="1:10">
      <c r="A80" s="2"/>
      <c r="E80">
        <f>VLOOKUP(TablaMarimba[[#This Row],[Equipo]],Catalogos!$I$4:$J$34,2,FALSE)</f>
      </c>
      <c r="F80" s="3"/>
      <c r="G80" s="3"/>
      <c r="H80" s="3">
        <f t="shared" si="4"/>
      </c>
      <c r="I80" s="4">
        <v>28.3</v>
      </c>
      <c r="J80" s="4">
        <f t="shared" si="5"/>
      </c>
    </row>
    <row r="81" spans="1:10">
      <c r="A81" s="2"/>
      <c r="E81">
        <f>VLOOKUP(TablaMarimba[[#This Row],[Equipo]],Catalogos!$I$4:$J$34,2,FALSE)</f>
      </c>
      <c r="F81" s="3"/>
      <c r="G81" s="3"/>
      <c r="H81" s="3">
        <f t="shared" si="4"/>
      </c>
      <c r="I81" s="4">
        <v>28.3</v>
      </c>
      <c r="J81" s="4">
        <f t="shared" si="5"/>
      </c>
    </row>
    <row r="82" spans="1:10">
      <c r="A82" s="2"/>
      <c r="E82">
        <f>VLOOKUP(TablaMarimba[[#This Row],[Equipo]],Catalogos!$I$4:$J$34,2,FALSE)</f>
      </c>
      <c r="F82" s="3"/>
      <c r="G82" s="3"/>
      <c r="H82" s="3">
        <f t="shared" si="4"/>
      </c>
      <c r="I82" s="4">
        <v>28.3</v>
      </c>
      <c r="J82" s="4">
        <f t="shared" si="5"/>
      </c>
    </row>
    <row r="83" spans="1:10">
      <c r="A83" s="2"/>
      <c r="E83">
        <f>VLOOKUP(TablaMarimba[[#This Row],[Equipo]],Catalogos!$I$4:$J$34,2,FALSE)</f>
      </c>
      <c r="F83" s="3"/>
      <c r="G83" s="3"/>
      <c r="H83" s="3">
        <f t="shared" si="4"/>
      </c>
      <c r="I83" s="4">
        <v>28.3</v>
      </c>
      <c r="J83" s="4">
        <f t="shared" si="5"/>
      </c>
    </row>
    <row r="84" spans="1:10">
      <c r="A84" s="2"/>
      <c r="E84">
        <f>VLOOKUP(TablaMarimba[[#This Row],[Equipo]],Catalogos!$I$4:$J$34,2,FALSE)</f>
      </c>
      <c r="F84" s="3"/>
      <c r="G84" s="3"/>
      <c r="H84" s="3">
        <f t="shared" si="4"/>
      </c>
      <c r="I84" s="4">
        <v>28.3</v>
      </c>
      <c r="J84" s="4">
        <f t="shared" si="5"/>
      </c>
    </row>
    <row r="85" spans="1:10">
      <c r="A85" s="2"/>
      <c r="E85">
        <f>VLOOKUP(TablaMarimba[[#This Row],[Equipo]],Catalogos!$I$4:$J$34,2,FALSE)</f>
      </c>
      <c r="F85" s="3"/>
      <c r="G85" s="3"/>
      <c r="H85" s="3">
        <f t="shared" si="4"/>
      </c>
      <c r="I85" s="4">
        <v>28.3</v>
      </c>
      <c r="J85" s="4">
        <f t="shared" si="5"/>
      </c>
    </row>
    <row r="86" spans="1:10">
      <c r="A86" s="2"/>
      <c r="E86">
        <f>VLOOKUP(TablaMarimba[[#This Row],[Equipo]],Catalogos!$I$4:$J$34,2,FALSE)</f>
      </c>
      <c r="F86" s="3"/>
      <c r="G86" s="3"/>
      <c r="H86" s="3">
        <f t="shared" si="4"/>
      </c>
      <c r="I86" s="4">
        <v>28.3</v>
      </c>
      <c r="J86" s="4">
        <f t="shared" si="5"/>
      </c>
    </row>
    <row r="87" spans="1:10">
      <c r="A87" s="2"/>
      <c r="E87">
        <f>VLOOKUP(TablaMarimba[[#This Row],[Equipo]],Catalogos!$I$4:$J$34,2,FALSE)</f>
      </c>
      <c r="F87" s="3"/>
      <c r="G87" s="3"/>
      <c r="H87" s="3">
        <f t="shared" si="4"/>
      </c>
      <c r="I87" s="4">
        <v>28.3</v>
      </c>
      <c r="J87" s="4">
        <f t="shared" si="5"/>
      </c>
    </row>
    <row r="88" spans="1:10">
      <c r="A88" s="2"/>
      <c r="E88">
        <f>VLOOKUP(TablaMarimba[[#This Row],[Equipo]],Catalogos!$I$4:$J$34,2,FALSE)</f>
      </c>
      <c r="F88" s="3"/>
      <c r="G88" s="3"/>
      <c r="H88" s="3">
        <f t="shared" si="4"/>
      </c>
      <c r="I88" s="4">
        <v>28.3</v>
      </c>
      <c r="J88" s="4">
        <f t="shared" si="5"/>
      </c>
    </row>
    <row r="89" spans="1:10">
      <c r="A89" s="2"/>
      <c r="E89">
        <f>VLOOKUP(TablaMarimba[[#This Row],[Equipo]],Catalogos!$I$4:$J$34,2,FALSE)</f>
      </c>
      <c r="F89" s="3"/>
      <c r="G89" s="3"/>
      <c r="H89" s="3">
        <f t="shared" si="4"/>
      </c>
      <c r="I89" s="4">
        <v>28.3</v>
      </c>
      <c r="J89" s="4">
        <f t="shared" si="5"/>
      </c>
    </row>
    <row r="90" spans="1:10">
      <c r="A90" s="2"/>
      <c r="E90">
        <f>VLOOKUP(TablaMarimba[[#This Row],[Equipo]],Catalogos!$I$4:$J$34,2,FALSE)</f>
      </c>
      <c r="F90" s="3"/>
      <c r="G90" s="3"/>
      <c r="H90" s="3">
        <f t="shared" si="4"/>
      </c>
      <c r="I90" s="4">
        <v>28.3</v>
      </c>
      <c r="J90" s="4">
        <f t="shared" si="5"/>
      </c>
    </row>
    <row r="91" spans="1:10">
      <c r="A91" s="2"/>
      <c r="E91">
        <f>VLOOKUP(TablaMarimba[[#This Row],[Equipo]],Catalogos!$I$4:$J$34,2,FALSE)</f>
      </c>
      <c r="F91" s="3"/>
      <c r="G91" s="3"/>
      <c r="H91" s="3">
        <f t="shared" si="4"/>
      </c>
      <c r="I91" s="4">
        <v>28.3</v>
      </c>
      <c r="J91" s="4">
        <f t="shared" si="5"/>
      </c>
    </row>
    <row r="92" spans="1:10">
      <c r="A92" s="2"/>
      <c r="E92">
        <f>VLOOKUP(TablaMarimba[[#This Row],[Equipo]],Catalogos!$I$4:$J$34,2,FALSE)</f>
      </c>
      <c r="F92" s="3"/>
      <c r="G92" s="3"/>
      <c r="H92" s="3">
        <f t="shared" si="4"/>
      </c>
      <c r="I92" s="4">
        <v>28.3</v>
      </c>
      <c r="J92" s="4">
        <f t="shared" si="5"/>
      </c>
    </row>
    <row r="93" spans="1:10">
      <c r="A93" s="2"/>
      <c r="E93">
        <f>VLOOKUP(TablaMarimba[[#This Row],[Equipo]],Catalogos!$I$4:$J$34,2,FALSE)</f>
      </c>
      <c r="F93" s="3"/>
      <c r="G93" s="3"/>
      <c r="H93" s="3">
        <f t="shared" si="4"/>
      </c>
      <c r="I93" s="4">
        <v>28.3</v>
      </c>
      <c r="J93" s="4">
        <f t="shared" si="5"/>
      </c>
    </row>
    <row r="94" spans="1:10">
      <c r="A94" s="2"/>
      <c r="E94">
        <f>VLOOKUP(TablaMarimba[[#This Row],[Equipo]],Catalogos!$I$4:$J$34,2,FALSE)</f>
      </c>
      <c r="F94" s="3"/>
      <c r="G94" s="3"/>
      <c r="H94" s="3">
        <f t="shared" si="4"/>
      </c>
      <c r="I94" s="4">
        <v>28.3</v>
      </c>
      <c r="J94" s="4">
        <f t="shared" si="5"/>
      </c>
    </row>
    <row r="95" spans="1:10">
      <c r="A95" s="2"/>
      <c r="E95">
        <f>VLOOKUP(TablaMarimba[[#This Row],[Equipo]],Catalogos!$I$4:$J$34,2,FALSE)</f>
      </c>
      <c r="F95" s="3"/>
      <c r="G95" s="3"/>
      <c r="H95" s="3">
        <f t="shared" si="4"/>
      </c>
      <c r="I95" s="4">
        <v>28.3</v>
      </c>
      <c r="J95" s="4">
        <f t="shared" si="5"/>
      </c>
    </row>
    <row r="96" spans="1:10">
      <c r="A96" s="2"/>
      <c r="E96">
        <f>VLOOKUP(TablaMarimba[[#This Row],[Equipo]],Catalogos!$I$4:$J$34,2,FALSE)</f>
      </c>
      <c r="F96" s="3"/>
      <c r="G96" s="3"/>
      <c r="H96" s="3">
        <f t="shared" si="4"/>
      </c>
      <c r="I96" s="4">
        <v>28.3</v>
      </c>
      <c r="J96" s="4">
        <f t="shared" si="5"/>
      </c>
    </row>
    <row r="97" spans="1:10">
      <c r="A97" s="2"/>
      <c r="E97">
        <f>VLOOKUP(TablaMarimba[[#This Row],[Equipo]],Catalogos!$I$4:$J$34,2,FALSE)</f>
      </c>
      <c r="F97" s="3"/>
      <c r="G97" s="3"/>
      <c r="H97" s="3">
        <f t="shared" si="4"/>
      </c>
      <c r="I97" s="4">
        <v>28.3</v>
      </c>
      <c r="J97" s="4">
        <f t="shared" si="5"/>
      </c>
    </row>
    <row r="98" spans="1:10">
      <c r="A98" s="2"/>
      <c r="E98">
        <f>VLOOKUP(TablaMarimba[[#This Row],[Equipo]],Catalogos!$I$4:$J$34,2,FALSE)</f>
      </c>
      <c r="F98" s="3"/>
      <c r="G98" s="3"/>
      <c r="H98" s="3">
        <f t="shared" si="4"/>
      </c>
      <c r="I98" s="4">
        <v>28.3</v>
      </c>
      <c r="J98" s="4">
        <f t="shared" si="5"/>
      </c>
    </row>
    <row r="99" spans="1:10">
      <c r="A99" s="2"/>
      <c r="E99">
        <f>VLOOKUP(TablaMarimba[[#This Row],[Equipo]],Catalogos!$I$4:$J$34,2,FALSE)</f>
      </c>
      <c r="F99" s="3"/>
      <c r="G99" s="3"/>
      <c r="H99" s="3">
        <f t="shared" si="4"/>
      </c>
      <c r="I99" s="4">
        <v>28.3</v>
      </c>
      <c r="J99" s="4">
        <f t="shared" si="5"/>
      </c>
    </row>
    <row r="100" spans="1:10">
      <c r="A100" s="2"/>
      <c r="E100">
        <f>VLOOKUP(TablaMarimba[[#This Row],[Equipo]],Catalogos!$I$4:$J$34,2,FALSE)</f>
      </c>
      <c r="F100" s="3"/>
      <c r="G100" s="3"/>
      <c r="H100" s="3">
        <f t="shared" si="4"/>
      </c>
      <c r="I100" s="4">
        <v>28.3</v>
      </c>
      <c r="J100" s="4">
        <f t="shared" si="5"/>
      </c>
    </row>
    <row r="101" spans="1:10">
      <c r="A101" s="2"/>
      <c r="E101">
        <f>VLOOKUP(TablaMarimba[[#This Row],[Equipo]],Catalogos!$I$4:$J$34,2,FALSE)</f>
      </c>
      <c r="F101" s="3"/>
      <c r="G101" s="3"/>
      <c r="H101" s="3">
        <f t="shared" ref="H101:H132" si="6">IF(ROW()=5,F101-G101,H100+F101-G101)</f>
      </c>
      <c r="I101" s="4">
        <v>28.3</v>
      </c>
      <c r="J101" s="4">
        <f t="shared" ref="J101:J132" si="7">IFERROR((F101+G101)*I101,0)</f>
      </c>
    </row>
    <row r="102" spans="1:10">
      <c r="A102" s="2"/>
      <c r="E102">
        <f>VLOOKUP(TablaMarimba[[#This Row],[Equipo]],Catalogos!$I$4:$J$34,2,FALSE)</f>
      </c>
      <c r="F102" s="3"/>
      <c r="G102" s="3"/>
      <c r="H102" s="3">
        <f t="shared" si="6"/>
      </c>
      <c r="I102" s="4">
        <v>28.3</v>
      </c>
      <c r="J102" s="4">
        <f t="shared" si="7"/>
      </c>
    </row>
    <row r="103" spans="1:10">
      <c r="A103" s="2"/>
      <c r="E103">
        <f>VLOOKUP(TablaMarimba[[#This Row],[Equipo]],Catalogos!$I$4:$J$34,2,FALSE)</f>
      </c>
      <c r="F103" s="3"/>
      <c r="G103" s="3"/>
      <c r="H103" s="3">
        <f t="shared" si="6"/>
      </c>
      <c r="I103" s="4">
        <v>28.3</v>
      </c>
      <c r="J103" s="4">
        <f t="shared" si="7"/>
      </c>
    </row>
    <row r="104" spans="1:10">
      <c r="A104" s="2"/>
      <c r="E104">
        <f>VLOOKUP(TablaMarimba[[#This Row],[Equipo]],Catalogos!$I$4:$J$34,2,FALSE)</f>
      </c>
      <c r="F104" s="3"/>
      <c r="G104" s="3"/>
      <c r="H104" s="3">
        <f t="shared" si="6"/>
      </c>
      <c r="I104" s="4">
        <v>28.3</v>
      </c>
      <c r="J104" s="4">
        <f t="shared" si="7"/>
      </c>
    </row>
    <row r="105" spans="1:10">
      <c r="A105" s="2"/>
      <c r="E105">
        <f>VLOOKUP(TablaMarimba[[#This Row],[Equipo]],Catalogos!$I$4:$J$34,2,FALSE)</f>
      </c>
      <c r="F105" s="3"/>
      <c r="G105" s="3"/>
      <c r="H105" s="3">
        <f t="shared" si="6"/>
      </c>
      <c r="I105" s="4">
        <v>28.3</v>
      </c>
      <c r="J105" s="4">
        <f t="shared" si="7"/>
      </c>
    </row>
    <row r="106" spans="1:10">
      <c r="A106" s="2"/>
      <c r="E106">
        <f>VLOOKUP(TablaMarimba[[#This Row],[Equipo]],Catalogos!$I$4:$J$34,2,FALSE)</f>
      </c>
      <c r="F106" s="3"/>
      <c r="G106" s="3"/>
      <c r="H106" s="3">
        <f t="shared" si="6"/>
      </c>
      <c r="I106" s="4">
        <v>28.3</v>
      </c>
      <c r="J106" s="4">
        <f t="shared" si="7"/>
      </c>
    </row>
    <row r="107" spans="1:10">
      <c r="A107" s="2"/>
      <c r="E107">
        <f>VLOOKUP(TablaMarimba[[#This Row],[Equipo]],Catalogos!$I$4:$J$34,2,FALSE)</f>
      </c>
      <c r="F107" s="3"/>
      <c r="G107" s="3"/>
      <c r="H107" s="3">
        <f t="shared" si="6"/>
      </c>
      <c r="I107" s="4">
        <v>28.3</v>
      </c>
      <c r="J107" s="4">
        <f t="shared" si="7"/>
      </c>
    </row>
    <row r="108" spans="1:10">
      <c r="A108" s="2"/>
      <c r="E108">
        <f>VLOOKUP(TablaMarimba[[#This Row],[Equipo]],Catalogos!$I$4:$J$34,2,FALSE)</f>
      </c>
      <c r="F108" s="3"/>
      <c r="G108" s="3"/>
      <c r="H108" s="3">
        <f t="shared" si="6"/>
      </c>
      <c r="I108" s="4">
        <v>28.3</v>
      </c>
      <c r="J108" s="4">
        <f t="shared" si="7"/>
      </c>
    </row>
    <row r="109" spans="1:10">
      <c r="A109" s="2"/>
      <c r="E109">
        <f>VLOOKUP(TablaMarimba[[#This Row],[Equipo]],Catalogos!$I$4:$J$34,2,FALSE)</f>
      </c>
      <c r="F109" s="3"/>
      <c r="G109" s="3"/>
      <c r="H109" s="3">
        <f t="shared" si="6"/>
      </c>
      <c r="I109" s="4">
        <v>28.3</v>
      </c>
      <c r="J109" s="4">
        <f t="shared" si="7"/>
      </c>
    </row>
    <row r="110" spans="1:10">
      <c r="A110" s="2"/>
      <c r="E110">
        <f>VLOOKUP(TablaMarimba[[#This Row],[Equipo]],Catalogos!$I$4:$J$34,2,FALSE)</f>
      </c>
      <c r="F110" s="3"/>
      <c r="G110" s="3"/>
      <c r="H110" s="3">
        <f t="shared" si="6"/>
      </c>
      <c r="I110" s="4">
        <v>28.3</v>
      </c>
      <c r="J110" s="4">
        <f t="shared" si="7"/>
      </c>
    </row>
    <row r="111" spans="1:10">
      <c r="A111" s="2"/>
      <c r="E111">
        <f>VLOOKUP(TablaMarimba[[#This Row],[Equipo]],Catalogos!$I$4:$J$34,2,FALSE)</f>
      </c>
      <c r="F111" s="3"/>
      <c r="G111" s="3"/>
      <c r="H111" s="3">
        <f t="shared" si="6"/>
      </c>
      <c r="I111" s="4">
        <v>28.3</v>
      </c>
      <c r="J111" s="4">
        <f t="shared" si="7"/>
      </c>
    </row>
    <row r="112" spans="1:10">
      <c r="A112" s="2"/>
      <c r="E112">
        <f>VLOOKUP(TablaMarimba[[#This Row],[Equipo]],Catalogos!$I$4:$J$34,2,FALSE)</f>
      </c>
      <c r="F112" s="3"/>
      <c r="G112" s="3"/>
      <c r="H112" s="3">
        <f t="shared" si="6"/>
      </c>
      <c r="I112" s="4">
        <v>28.3</v>
      </c>
      <c r="J112" s="4">
        <f t="shared" si="7"/>
      </c>
    </row>
    <row r="113" spans="1:10">
      <c r="A113" s="2"/>
      <c r="E113">
        <f>VLOOKUP(TablaMarimba[[#This Row],[Equipo]],Catalogos!$I$4:$J$34,2,FALSE)</f>
      </c>
      <c r="F113" s="3"/>
      <c r="G113" s="3"/>
      <c r="H113" s="3">
        <f t="shared" si="6"/>
      </c>
      <c r="I113" s="4">
        <v>28.3</v>
      </c>
      <c r="J113" s="4">
        <f t="shared" si="7"/>
      </c>
    </row>
    <row r="114" spans="1:10">
      <c r="A114" s="2"/>
      <c r="E114">
        <f>VLOOKUP(TablaMarimba[[#This Row],[Equipo]],Catalogos!$I$4:$J$34,2,FALSE)</f>
      </c>
      <c r="F114" s="3"/>
      <c r="G114" s="3"/>
      <c r="H114" s="3">
        <f t="shared" si="6"/>
      </c>
      <c r="I114" s="4">
        <v>28.3</v>
      </c>
      <c r="J114" s="4">
        <f t="shared" si="7"/>
      </c>
    </row>
    <row r="115" spans="1:10">
      <c r="A115" s="2"/>
      <c r="E115">
        <f>VLOOKUP(TablaMarimba[[#This Row],[Equipo]],Catalogos!$I$4:$J$34,2,FALSE)</f>
      </c>
      <c r="F115" s="3"/>
      <c r="G115" s="3"/>
      <c r="H115" s="3">
        <f t="shared" si="6"/>
      </c>
      <c r="I115" s="4">
        <v>28.3</v>
      </c>
      <c r="J115" s="4">
        <f t="shared" si="7"/>
      </c>
    </row>
    <row r="116" spans="1:10">
      <c r="A116" s="2"/>
      <c r="E116">
        <f>VLOOKUP(TablaMarimba[[#This Row],[Equipo]],Catalogos!$I$4:$J$34,2,FALSE)</f>
      </c>
      <c r="F116" s="3"/>
      <c r="G116" s="3"/>
      <c r="H116" s="3">
        <f t="shared" si="6"/>
      </c>
      <c r="I116" s="4">
        <v>28.3</v>
      </c>
      <c r="J116" s="4">
        <f t="shared" si="7"/>
      </c>
    </row>
    <row r="117" spans="1:10">
      <c r="A117" s="2"/>
      <c r="E117">
        <f>VLOOKUP(TablaMarimba[[#This Row],[Equipo]],Catalogos!$I$4:$J$34,2,FALSE)</f>
      </c>
      <c r="F117" s="3"/>
      <c r="G117" s="3"/>
      <c r="H117" s="3">
        <f t="shared" si="6"/>
      </c>
      <c r="I117" s="4">
        <v>28.3</v>
      </c>
      <c r="J117" s="4">
        <f t="shared" si="7"/>
      </c>
    </row>
    <row r="118" spans="1:10">
      <c r="A118" s="2"/>
      <c r="E118">
        <f>VLOOKUP(TablaMarimba[[#This Row],[Equipo]],Catalogos!$I$4:$J$34,2,FALSE)</f>
      </c>
      <c r="F118" s="3"/>
      <c r="G118" s="3"/>
      <c r="H118" s="3">
        <f t="shared" si="6"/>
      </c>
      <c r="I118" s="4">
        <v>28.3</v>
      </c>
      <c r="J118" s="4">
        <f t="shared" si="7"/>
      </c>
    </row>
    <row r="119" spans="1:10">
      <c r="A119" s="2"/>
      <c r="E119">
        <f>VLOOKUP(TablaMarimba[[#This Row],[Equipo]],Catalogos!$I$4:$J$34,2,FALSE)</f>
      </c>
      <c r="F119" s="3"/>
      <c r="G119" s="3"/>
      <c r="H119" s="3">
        <f t="shared" si="6"/>
      </c>
      <c r="I119" s="4">
        <v>28.3</v>
      </c>
      <c r="J119" s="4">
        <f t="shared" si="7"/>
      </c>
    </row>
    <row r="120" spans="1:10">
      <c r="A120" s="2"/>
      <c r="E120">
        <f>VLOOKUP(TablaMarimba[[#This Row],[Equipo]],Catalogos!$I$4:$J$34,2,FALSE)</f>
      </c>
      <c r="F120" s="3"/>
      <c r="G120" s="3"/>
      <c r="H120" s="3">
        <f t="shared" si="6"/>
      </c>
      <c r="I120" s="4">
        <v>28.3</v>
      </c>
      <c r="J120" s="4">
        <f t="shared" si="7"/>
      </c>
    </row>
    <row r="121" spans="1:10">
      <c r="A121" s="2"/>
      <c r="E121">
        <f>VLOOKUP(TablaMarimba[[#This Row],[Equipo]],Catalogos!$I$4:$J$34,2,FALSE)</f>
      </c>
      <c r="F121" s="3"/>
      <c r="G121" s="3"/>
      <c r="H121" s="3">
        <f t="shared" si="6"/>
      </c>
      <c r="I121" s="4">
        <v>28.3</v>
      </c>
      <c r="J121" s="4">
        <f t="shared" si="7"/>
      </c>
    </row>
    <row r="122" spans="1:10">
      <c r="A122" s="2"/>
      <c r="E122">
        <f>VLOOKUP(TablaMarimba[[#This Row],[Equipo]],Catalogos!$I$4:$J$34,2,FALSE)</f>
      </c>
      <c r="F122" s="3"/>
      <c r="G122" s="3"/>
      <c r="H122" s="3">
        <f t="shared" si="6"/>
      </c>
      <c r="I122" s="4">
        <v>28.3</v>
      </c>
      <c r="J122" s="4">
        <f t="shared" si="7"/>
      </c>
    </row>
    <row r="123" spans="1:10">
      <c r="A123" s="2"/>
      <c r="E123">
        <f>VLOOKUP(TablaMarimba[[#This Row],[Equipo]],Catalogos!$I$4:$J$34,2,FALSE)</f>
      </c>
      <c r="F123" s="3"/>
      <c r="G123" s="3"/>
      <c r="H123" s="3">
        <f t="shared" si="6"/>
      </c>
      <c r="I123" s="4">
        <v>28.3</v>
      </c>
      <c r="J123" s="4">
        <f t="shared" si="7"/>
      </c>
    </row>
    <row r="124" spans="1:10">
      <c r="A124" s="2"/>
      <c r="E124">
        <f>VLOOKUP(TablaMarimba[[#This Row],[Equipo]],Catalogos!$I$4:$J$34,2,FALSE)</f>
      </c>
      <c r="F124" s="3"/>
      <c r="G124" s="3"/>
      <c r="H124" s="3">
        <f t="shared" si="6"/>
      </c>
      <c r="I124" s="4">
        <v>28.3</v>
      </c>
      <c r="J124" s="4">
        <f t="shared" si="7"/>
      </c>
    </row>
    <row r="125" spans="1:10">
      <c r="A125" s="2"/>
      <c r="E125">
        <f>VLOOKUP(TablaMarimba[[#This Row],[Equipo]],Catalogos!$I$4:$J$34,2,FALSE)</f>
      </c>
      <c r="F125" s="3"/>
      <c r="G125" s="3"/>
      <c r="H125" s="3">
        <f t="shared" si="6"/>
      </c>
      <c r="I125" s="4">
        <v>28.3</v>
      </c>
      <c r="J125" s="4">
        <f t="shared" si="7"/>
      </c>
    </row>
    <row r="126" spans="1:10">
      <c r="A126" s="2"/>
      <c r="E126">
        <f>VLOOKUP(TablaMarimba[[#This Row],[Equipo]],Catalogos!$I$4:$J$34,2,FALSE)</f>
      </c>
      <c r="F126" s="3"/>
      <c r="G126" s="3"/>
      <c r="H126" s="3">
        <f t="shared" si="6"/>
      </c>
      <c r="I126" s="4">
        <v>28.3</v>
      </c>
      <c r="J126" s="4">
        <f t="shared" si="7"/>
      </c>
    </row>
    <row r="127" spans="1:10">
      <c r="A127" s="2"/>
      <c r="E127">
        <f>VLOOKUP(TablaMarimba[[#This Row],[Equipo]],Catalogos!$I$4:$J$34,2,FALSE)</f>
      </c>
      <c r="F127" s="3"/>
      <c r="G127" s="3"/>
      <c r="H127" s="3">
        <f t="shared" si="6"/>
      </c>
      <c r="I127" s="4">
        <v>28.3</v>
      </c>
      <c r="J127" s="4">
        <f t="shared" si="7"/>
      </c>
    </row>
    <row r="128" spans="1:10">
      <c r="A128" s="2"/>
      <c r="E128">
        <f>VLOOKUP(TablaMarimba[[#This Row],[Equipo]],Catalogos!$I$4:$J$34,2,FALSE)</f>
      </c>
      <c r="F128" s="3"/>
      <c r="G128" s="3"/>
      <c r="H128" s="3">
        <f t="shared" si="6"/>
      </c>
      <c r="I128" s="4">
        <v>28.3</v>
      </c>
      <c r="J128" s="4">
        <f t="shared" si="7"/>
      </c>
    </row>
    <row r="129" spans="1:10">
      <c r="A129" s="2"/>
      <c r="E129">
        <f>VLOOKUP(TablaMarimba[[#This Row],[Equipo]],Catalogos!$I$4:$J$34,2,FALSE)</f>
      </c>
      <c r="F129" s="3"/>
      <c r="G129" s="3"/>
      <c r="H129" s="3">
        <f t="shared" si="6"/>
      </c>
      <c r="I129" s="4">
        <v>28.3</v>
      </c>
      <c r="J129" s="4">
        <f t="shared" si="7"/>
      </c>
    </row>
    <row r="130" spans="1:10">
      <c r="A130" s="2"/>
      <c r="E130">
        <f>VLOOKUP(TablaMarimba[[#This Row],[Equipo]],Catalogos!$I$4:$J$34,2,FALSE)</f>
      </c>
      <c r="F130" s="3"/>
      <c r="G130" s="3"/>
      <c r="H130" s="3">
        <f t="shared" si="6"/>
      </c>
      <c r="I130" s="4">
        <v>28.3</v>
      </c>
      <c r="J130" s="4">
        <f t="shared" si="7"/>
      </c>
    </row>
    <row r="131" spans="1:10">
      <c r="A131" s="2"/>
      <c r="E131">
        <f>VLOOKUP(TablaMarimba[[#This Row],[Equipo]],Catalogos!$I$4:$J$34,2,FALSE)</f>
      </c>
      <c r="F131" s="3"/>
      <c r="G131" s="3"/>
      <c r="H131" s="3">
        <f t="shared" si="6"/>
      </c>
      <c r="I131" s="4">
        <v>28.3</v>
      </c>
      <c r="J131" s="4">
        <f t="shared" si="7"/>
      </c>
    </row>
    <row r="132" spans="1:10">
      <c r="A132" s="2"/>
      <c r="E132">
        <f>VLOOKUP(TablaMarimba[[#This Row],[Equipo]],Catalogos!$I$4:$J$34,2,FALSE)</f>
      </c>
      <c r="F132" s="3"/>
      <c r="G132" s="3"/>
      <c r="H132" s="3">
        <f t="shared" si="6"/>
      </c>
      <c r="I132" s="4">
        <v>28.3</v>
      </c>
      <c r="J132" s="4">
        <f t="shared" si="7"/>
      </c>
    </row>
    <row r="133" spans="1:10">
      <c r="A133" s="2"/>
      <c r="E133">
        <f>VLOOKUP(TablaMarimba[[#This Row],[Equipo]],Catalogos!$I$4:$J$34,2,FALSE)</f>
      </c>
      <c r="F133" s="3"/>
      <c r="G133" s="3"/>
      <c r="H133" s="3">
        <f t="shared" ref="H133:H164" si="8">IF(ROW()=5,F133-G133,H132+F133-G133)</f>
      </c>
      <c r="I133" s="4">
        <v>28.3</v>
      </c>
      <c r="J133" s="4">
        <f t="shared" ref="J133:J164" si="9">IFERROR((F133+G133)*I133,0)</f>
      </c>
    </row>
    <row r="134" spans="1:10">
      <c r="A134" s="2"/>
      <c r="E134">
        <f>VLOOKUP(TablaMarimba[[#This Row],[Equipo]],Catalogos!$I$4:$J$34,2,FALSE)</f>
      </c>
      <c r="F134" s="3"/>
      <c r="G134" s="3"/>
      <c r="H134" s="3">
        <f t="shared" si="8"/>
      </c>
      <c r="I134" s="4">
        <v>28.3</v>
      </c>
      <c r="J134" s="4">
        <f t="shared" si="9"/>
      </c>
    </row>
    <row r="135" spans="1:10">
      <c r="A135" s="2"/>
      <c r="E135">
        <f>VLOOKUP(TablaMarimba[[#This Row],[Equipo]],Catalogos!$I$4:$J$34,2,FALSE)</f>
      </c>
      <c r="F135" s="3"/>
      <c r="G135" s="3"/>
      <c r="H135" s="3">
        <f t="shared" si="8"/>
      </c>
      <c r="I135" s="4">
        <v>28.3</v>
      </c>
      <c r="J135" s="4">
        <f t="shared" si="9"/>
      </c>
    </row>
    <row r="136" spans="1:10">
      <c r="A136" s="2"/>
      <c r="E136">
        <f>VLOOKUP(TablaMarimba[[#This Row],[Equipo]],Catalogos!$I$4:$J$34,2,FALSE)</f>
      </c>
      <c r="F136" s="3"/>
      <c r="G136" s="3"/>
      <c r="H136" s="3">
        <f t="shared" si="8"/>
      </c>
      <c r="I136" s="4">
        <v>28.3</v>
      </c>
      <c r="J136" s="4">
        <f t="shared" si="9"/>
      </c>
    </row>
    <row r="137" spans="1:10">
      <c r="A137" s="2"/>
      <c r="E137">
        <f>VLOOKUP(TablaMarimba[[#This Row],[Equipo]],Catalogos!$I$4:$J$34,2,FALSE)</f>
      </c>
      <c r="F137" s="3"/>
      <c r="G137" s="3"/>
      <c r="H137" s="3">
        <f t="shared" si="8"/>
      </c>
      <c r="I137" s="4">
        <v>28.3</v>
      </c>
      <c r="J137" s="4">
        <f t="shared" si="9"/>
      </c>
    </row>
    <row r="138" spans="1:10">
      <c r="A138" s="2"/>
      <c r="E138">
        <f>VLOOKUP(TablaMarimba[[#This Row],[Equipo]],Catalogos!$I$4:$J$34,2,FALSE)</f>
      </c>
      <c r="F138" s="3"/>
      <c r="G138" s="3"/>
      <c r="H138" s="3">
        <f t="shared" si="8"/>
      </c>
      <c r="I138" s="4">
        <v>28.3</v>
      </c>
      <c r="J138" s="4">
        <f t="shared" si="9"/>
      </c>
    </row>
    <row r="139" spans="1:10">
      <c r="A139" s="2"/>
      <c r="E139">
        <f>VLOOKUP(TablaMarimba[[#This Row],[Equipo]],Catalogos!$I$4:$J$34,2,FALSE)</f>
      </c>
      <c r="F139" s="3"/>
      <c r="G139" s="3"/>
      <c r="H139" s="3">
        <f t="shared" si="8"/>
      </c>
      <c r="I139" s="4">
        <v>28.3</v>
      </c>
      <c r="J139" s="4">
        <f t="shared" si="9"/>
      </c>
    </row>
    <row r="140" spans="1:10">
      <c r="A140" s="2"/>
      <c r="E140">
        <f>VLOOKUP(TablaMarimba[[#This Row],[Equipo]],Catalogos!$I$4:$J$34,2,FALSE)</f>
      </c>
      <c r="F140" s="3"/>
      <c r="G140" s="3"/>
      <c r="H140" s="3">
        <f t="shared" si="8"/>
      </c>
      <c r="I140" s="4">
        <v>28.3</v>
      </c>
      <c r="J140" s="4">
        <f t="shared" si="9"/>
      </c>
    </row>
    <row r="141" spans="1:10">
      <c r="A141" s="2"/>
      <c r="E141">
        <f>VLOOKUP(TablaMarimba[[#This Row],[Equipo]],Catalogos!$I$4:$J$34,2,FALSE)</f>
      </c>
      <c r="F141" s="3"/>
      <c r="G141" s="3"/>
      <c r="H141" s="3">
        <f t="shared" si="8"/>
      </c>
      <c r="I141" s="4">
        <v>28.3</v>
      </c>
      <c r="J141" s="4">
        <f t="shared" si="9"/>
      </c>
    </row>
    <row r="142" spans="1:10">
      <c r="A142" s="2"/>
      <c r="E142">
        <f>VLOOKUP(TablaMarimba[[#This Row],[Equipo]],Catalogos!$I$4:$J$34,2,FALSE)</f>
      </c>
      <c r="F142" s="3"/>
      <c r="G142" s="3"/>
      <c r="H142" s="3">
        <f t="shared" si="8"/>
      </c>
      <c r="I142" s="4">
        <v>28.3</v>
      </c>
      <c r="J142" s="4">
        <f t="shared" si="9"/>
      </c>
    </row>
    <row r="143" spans="1:10">
      <c r="A143" s="2"/>
      <c r="E143">
        <f>VLOOKUP(TablaMarimba[[#This Row],[Equipo]],Catalogos!$I$4:$J$34,2,FALSE)</f>
      </c>
      <c r="F143" s="3"/>
      <c r="G143" s="3"/>
      <c r="H143" s="3">
        <f t="shared" si="8"/>
      </c>
      <c r="I143" s="4">
        <v>28.3</v>
      </c>
      <c r="J143" s="4">
        <f t="shared" si="9"/>
      </c>
    </row>
    <row r="144" spans="1:10">
      <c r="A144" s="2"/>
      <c r="E144">
        <f>VLOOKUP(TablaMarimba[[#This Row],[Equipo]],Catalogos!$I$4:$J$34,2,FALSE)</f>
      </c>
      <c r="F144" s="3"/>
      <c r="G144" s="3"/>
      <c r="H144" s="3">
        <f t="shared" si="8"/>
      </c>
      <c r="I144" s="4">
        <v>28.3</v>
      </c>
      <c r="J144" s="4">
        <f t="shared" si="9"/>
      </c>
    </row>
    <row r="145" spans="1:10">
      <c r="A145" s="2"/>
      <c r="E145">
        <f>VLOOKUP(TablaMarimba[[#This Row],[Equipo]],Catalogos!$I$4:$J$34,2,FALSE)</f>
      </c>
      <c r="F145" s="3"/>
      <c r="G145" s="3"/>
      <c r="H145" s="3">
        <f t="shared" si="8"/>
      </c>
      <c r="I145" s="4">
        <v>28.3</v>
      </c>
      <c r="J145" s="4">
        <f t="shared" si="9"/>
      </c>
    </row>
    <row r="146" spans="1:10">
      <c r="A146" s="2"/>
      <c r="E146">
        <f>VLOOKUP(TablaMarimba[[#This Row],[Equipo]],Catalogos!$I$4:$J$34,2,FALSE)</f>
      </c>
      <c r="F146" s="3"/>
      <c r="G146" s="3"/>
      <c r="H146" s="3">
        <f t="shared" si="8"/>
      </c>
      <c r="I146" s="4">
        <v>28.3</v>
      </c>
      <c r="J146" s="4">
        <f t="shared" si="9"/>
      </c>
    </row>
    <row r="147" spans="1:10">
      <c r="A147" s="2"/>
      <c r="E147">
        <f>VLOOKUP(TablaMarimba[[#This Row],[Equipo]],Catalogos!$I$4:$J$34,2,FALSE)</f>
      </c>
      <c r="F147" s="3"/>
      <c r="G147" s="3"/>
      <c r="H147" s="3">
        <f t="shared" si="8"/>
      </c>
      <c r="I147" s="4">
        <v>28.3</v>
      </c>
      <c r="J147" s="4">
        <f t="shared" si="9"/>
      </c>
    </row>
    <row r="148" spans="1:10">
      <c r="A148" s="2"/>
      <c r="E148">
        <f>VLOOKUP(TablaMarimba[[#This Row],[Equipo]],Catalogos!$I$4:$J$34,2,FALSE)</f>
      </c>
      <c r="F148" s="3"/>
      <c r="G148" s="3"/>
      <c r="H148" s="3">
        <f t="shared" si="8"/>
      </c>
      <c r="I148" s="4">
        <v>28.3</v>
      </c>
      <c r="J148" s="4">
        <f t="shared" si="9"/>
      </c>
    </row>
    <row r="149" spans="1:10">
      <c r="A149" s="2"/>
      <c r="E149">
        <f>VLOOKUP(TablaMarimba[[#This Row],[Equipo]],Catalogos!$I$4:$J$34,2,FALSE)</f>
      </c>
      <c r="F149" s="3"/>
      <c r="G149" s="3"/>
      <c r="H149" s="3">
        <f t="shared" si="8"/>
      </c>
      <c r="I149" s="4">
        <v>28.3</v>
      </c>
      <c r="J149" s="4">
        <f t="shared" si="9"/>
      </c>
    </row>
    <row r="150" spans="1:10">
      <c r="A150" s="2"/>
      <c r="E150">
        <f>VLOOKUP(TablaMarimba[[#This Row],[Equipo]],Catalogos!$I$4:$J$34,2,FALSE)</f>
      </c>
      <c r="F150" s="3"/>
      <c r="G150" s="3"/>
      <c r="H150" s="3">
        <f t="shared" si="8"/>
      </c>
      <c r="I150" s="4">
        <v>28.3</v>
      </c>
      <c r="J150" s="4">
        <f t="shared" si="9"/>
      </c>
    </row>
    <row r="151" spans="1:10">
      <c r="A151" s="2"/>
      <c r="E151">
        <f>VLOOKUP(TablaMarimba[[#This Row],[Equipo]],Catalogos!$I$4:$J$34,2,FALSE)</f>
      </c>
      <c r="F151" s="3"/>
      <c r="G151" s="3"/>
      <c r="H151" s="3">
        <f t="shared" si="8"/>
      </c>
      <c r="I151" s="4">
        <v>28.3</v>
      </c>
      <c r="J151" s="4">
        <f t="shared" si="9"/>
      </c>
    </row>
    <row r="152" spans="1:10">
      <c r="A152" s="2"/>
      <c r="E152">
        <f>VLOOKUP(TablaMarimba[[#This Row],[Equipo]],Catalogos!$I$4:$J$34,2,FALSE)</f>
      </c>
      <c r="F152" s="3"/>
      <c r="G152" s="3"/>
      <c r="H152" s="3">
        <f t="shared" si="8"/>
      </c>
      <c r="I152" s="4">
        <v>28.3</v>
      </c>
      <c r="J152" s="4">
        <f t="shared" si="9"/>
      </c>
    </row>
    <row r="153" spans="1:10">
      <c r="A153" s="2"/>
      <c r="E153">
        <f>VLOOKUP(TablaMarimba[[#This Row],[Equipo]],Catalogos!$I$4:$J$34,2,FALSE)</f>
      </c>
      <c r="F153" s="3"/>
      <c r="G153" s="3"/>
      <c r="H153" s="3">
        <f t="shared" si="8"/>
      </c>
      <c r="I153" s="4">
        <v>28.3</v>
      </c>
      <c r="J153" s="4">
        <f t="shared" si="9"/>
      </c>
    </row>
    <row r="154" spans="1:10">
      <c r="A154" s="2"/>
      <c r="E154">
        <f>VLOOKUP(TablaMarimba[[#This Row],[Equipo]],Catalogos!$I$4:$J$34,2,FALSE)</f>
      </c>
      <c r="F154" s="3"/>
      <c r="G154" s="3"/>
      <c r="H154" s="3">
        <f t="shared" si="8"/>
      </c>
      <c r="I154" s="4">
        <v>28.3</v>
      </c>
      <c r="J154" s="4">
        <f t="shared" si="9"/>
      </c>
    </row>
    <row r="155" spans="1:10">
      <c r="A155" s="2"/>
      <c r="E155">
        <f>VLOOKUP(TablaMarimba[[#This Row],[Equipo]],Catalogos!$I$4:$J$34,2,FALSE)</f>
      </c>
      <c r="F155" s="3"/>
      <c r="G155" s="3"/>
      <c r="H155" s="3">
        <f t="shared" si="8"/>
      </c>
      <c r="I155" s="4">
        <v>28.3</v>
      </c>
      <c r="J155" s="4">
        <f t="shared" si="9"/>
      </c>
    </row>
    <row r="156" spans="1:10">
      <c r="A156" s="2"/>
      <c r="E156">
        <f>VLOOKUP(TablaMarimba[[#This Row],[Equipo]],Catalogos!$I$4:$J$34,2,FALSE)</f>
      </c>
      <c r="F156" s="3"/>
      <c r="G156" s="3"/>
      <c r="H156" s="3">
        <f t="shared" si="8"/>
      </c>
      <c r="I156" s="4">
        <v>28.3</v>
      </c>
      <c r="J156" s="4">
        <f t="shared" si="9"/>
      </c>
    </row>
    <row r="157" spans="1:10">
      <c r="A157" s="2"/>
      <c r="E157">
        <f>VLOOKUP(TablaMarimba[[#This Row],[Equipo]],Catalogos!$I$4:$J$34,2,FALSE)</f>
      </c>
      <c r="F157" s="3"/>
      <c r="G157" s="3"/>
      <c r="H157" s="3">
        <f t="shared" si="8"/>
      </c>
      <c r="I157" s="4">
        <v>28.3</v>
      </c>
      <c r="J157" s="4">
        <f t="shared" si="9"/>
      </c>
    </row>
    <row r="158" spans="1:10">
      <c r="A158" s="2"/>
      <c r="E158">
        <f>VLOOKUP(TablaMarimba[[#This Row],[Equipo]],Catalogos!$I$4:$J$34,2,FALSE)</f>
      </c>
      <c r="F158" s="3"/>
      <c r="G158" s="3"/>
      <c r="H158" s="3">
        <f t="shared" si="8"/>
      </c>
      <c r="I158" s="4">
        <v>28.3</v>
      </c>
      <c r="J158" s="4">
        <f t="shared" si="9"/>
      </c>
    </row>
    <row r="159" spans="1:10">
      <c r="A159" s="2"/>
      <c r="E159">
        <f>VLOOKUP(TablaMarimba[[#This Row],[Equipo]],Catalogos!$I$4:$J$34,2,FALSE)</f>
      </c>
      <c r="F159" s="3"/>
      <c r="G159" s="3"/>
      <c r="H159" s="3">
        <f t="shared" si="8"/>
      </c>
      <c r="I159" s="4">
        <v>28.3</v>
      </c>
      <c r="J159" s="4">
        <f t="shared" si="9"/>
      </c>
    </row>
    <row r="160" spans="1:10">
      <c r="A160" s="2"/>
      <c r="E160">
        <f>VLOOKUP(TablaMarimba[[#This Row],[Equipo]],Catalogos!$I$4:$J$34,2,FALSE)</f>
      </c>
      <c r="F160" s="3"/>
      <c r="G160" s="3"/>
      <c r="H160" s="3">
        <f t="shared" si="8"/>
      </c>
      <c r="I160" s="4">
        <v>28.3</v>
      </c>
      <c r="J160" s="4">
        <f t="shared" si="9"/>
      </c>
    </row>
    <row r="161" spans="1:10">
      <c r="A161" s="2"/>
      <c r="E161">
        <f>VLOOKUP(TablaMarimba[[#This Row],[Equipo]],Catalogos!$I$4:$J$34,2,FALSE)</f>
      </c>
      <c r="F161" s="3"/>
      <c r="G161" s="3"/>
      <c r="H161" s="3">
        <f t="shared" si="8"/>
      </c>
      <c r="I161" s="4">
        <v>28.3</v>
      </c>
      <c r="J161" s="4">
        <f t="shared" si="9"/>
      </c>
    </row>
    <row r="162" spans="1:10">
      <c r="A162" s="2"/>
      <c r="E162">
        <f>VLOOKUP(TablaMarimba[[#This Row],[Equipo]],Catalogos!$I$4:$J$34,2,FALSE)</f>
      </c>
      <c r="F162" s="3"/>
      <c r="G162" s="3"/>
      <c r="H162" s="3">
        <f t="shared" si="8"/>
      </c>
      <c r="I162" s="4">
        <v>28.3</v>
      </c>
      <c r="J162" s="4">
        <f t="shared" si="9"/>
      </c>
    </row>
    <row r="163" spans="1:10">
      <c r="A163" s="2"/>
      <c r="E163">
        <f>VLOOKUP(TablaMarimba[[#This Row],[Equipo]],Catalogos!$I$4:$J$34,2,FALSE)</f>
      </c>
      <c r="F163" s="3"/>
      <c r="G163" s="3"/>
      <c r="H163" s="3">
        <f t="shared" si="8"/>
      </c>
      <c r="I163" s="4">
        <v>28.3</v>
      </c>
      <c r="J163" s="4">
        <f t="shared" si="9"/>
      </c>
    </row>
    <row r="164" spans="1:10">
      <c r="A164" s="2"/>
      <c r="E164">
        <f>VLOOKUP(TablaMarimba[[#This Row],[Equipo]],Catalogos!$I$4:$J$34,2,FALSE)</f>
      </c>
      <c r="F164" s="3"/>
      <c r="G164" s="3"/>
      <c r="H164" s="3">
        <f t="shared" si="8"/>
      </c>
      <c r="I164" s="4">
        <v>28.3</v>
      </c>
      <c r="J164" s="4">
        <f t="shared" si="9"/>
      </c>
    </row>
    <row r="165" spans="1:10">
      <c r="A165" s="2"/>
      <c r="E165">
        <f>VLOOKUP(TablaMarimba[[#This Row],[Equipo]],Catalogos!$I$4:$J$34,2,FALSE)</f>
      </c>
      <c r="F165" s="3"/>
      <c r="G165" s="3"/>
      <c r="H165" s="3">
        <f t="shared" ref="H165:H196" si="10">IF(ROW()=5,F165-G165,H164+F165-G165)</f>
      </c>
      <c r="I165" s="4">
        <v>28.3</v>
      </c>
      <c r="J165" s="4">
        <f t="shared" ref="J165:J196" si="11">IFERROR((F165+G165)*I165,0)</f>
      </c>
    </row>
    <row r="166" spans="1:10">
      <c r="A166" s="2"/>
      <c r="E166">
        <f>VLOOKUP(TablaMarimba[[#This Row],[Equipo]],Catalogos!$I$4:$J$34,2,FALSE)</f>
      </c>
      <c r="F166" s="3"/>
      <c r="G166" s="3"/>
      <c r="H166" s="3">
        <f t="shared" si="10"/>
      </c>
      <c r="I166" s="4">
        <v>28.3</v>
      </c>
      <c r="J166" s="4">
        <f t="shared" si="11"/>
      </c>
    </row>
    <row r="167" spans="1:10">
      <c r="A167" s="2"/>
      <c r="E167">
        <f>VLOOKUP(TablaMarimba[[#This Row],[Equipo]],Catalogos!$I$4:$J$34,2,FALSE)</f>
      </c>
      <c r="F167" s="3"/>
      <c r="G167" s="3"/>
      <c r="H167" s="3">
        <f t="shared" si="10"/>
      </c>
      <c r="I167" s="4">
        <v>28.3</v>
      </c>
      <c r="J167" s="4">
        <f t="shared" si="11"/>
      </c>
    </row>
    <row r="168" spans="1:10">
      <c r="A168" s="2"/>
      <c r="E168">
        <f>VLOOKUP(TablaMarimba[[#This Row],[Equipo]],Catalogos!$I$4:$J$34,2,FALSE)</f>
      </c>
      <c r="F168" s="3"/>
      <c r="G168" s="3"/>
      <c r="H168" s="3">
        <f t="shared" si="10"/>
      </c>
      <c r="I168" s="4">
        <v>28.3</v>
      </c>
      <c r="J168" s="4">
        <f t="shared" si="11"/>
      </c>
    </row>
    <row r="169" spans="1:10">
      <c r="A169" s="2"/>
      <c r="E169">
        <f>VLOOKUP(TablaMarimba[[#This Row],[Equipo]],Catalogos!$I$4:$J$34,2,FALSE)</f>
      </c>
      <c r="F169" s="3"/>
      <c r="G169" s="3"/>
      <c r="H169" s="3">
        <f t="shared" si="10"/>
      </c>
      <c r="I169" s="4">
        <v>28.3</v>
      </c>
      <c r="J169" s="4">
        <f t="shared" si="11"/>
      </c>
    </row>
    <row r="170" spans="1:10">
      <c r="A170" s="2"/>
      <c r="E170">
        <f>VLOOKUP(TablaMarimba[[#This Row],[Equipo]],Catalogos!$I$4:$J$34,2,FALSE)</f>
      </c>
      <c r="F170" s="3"/>
      <c r="G170" s="3"/>
      <c r="H170" s="3">
        <f t="shared" si="10"/>
      </c>
      <c r="I170" s="4">
        <v>28.3</v>
      </c>
      <c r="J170" s="4">
        <f t="shared" si="11"/>
      </c>
    </row>
    <row r="171" spans="1:10">
      <c r="A171" s="2"/>
      <c r="E171">
        <f>VLOOKUP(TablaMarimba[[#This Row],[Equipo]],Catalogos!$I$4:$J$34,2,FALSE)</f>
      </c>
      <c r="F171" s="3"/>
      <c r="G171" s="3"/>
      <c r="H171" s="3">
        <f t="shared" si="10"/>
      </c>
      <c r="I171" s="4">
        <v>28.3</v>
      </c>
      <c r="J171" s="4">
        <f t="shared" si="11"/>
      </c>
    </row>
    <row r="172" spans="1:10">
      <c r="A172" s="2"/>
      <c r="E172">
        <f>VLOOKUP(TablaMarimba[[#This Row],[Equipo]],Catalogos!$I$4:$J$34,2,FALSE)</f>
      </c>
      <c r="F172" s="3"/>
      <c r="G172" s="3"/>
      <c r="H172" s="3">
        <f t="shared" si="10"/>
      </c>
      <c r="I172" s="4">
        <v>28.3</v>
      </c>
      <c r="J172" s="4">
        <f t="shared" si="11"/>
      </c>
    </row>
    <row r="173" spans="1:10">
      <c r="A173" s="2"/>
      <c r="E173">
        <f>VLOOKUP(TablaMarimba[[#This Row],[Equipo]],Catalogos!$I$4:$J$34,2,FALSE)</f>
      </c>
      <c r="F173" s="3"/>
      <c r="G173" s="3"/>
      <c r="H173" s="3">
        <f t="shared" si="10"/>
      </c>
      <c r="I173" s="4">
        <v>28.3</v>
      </c>
      <c r="J173" s="4">
        <f t="shared" si="11"/>
      </c>
    </row>
    <row r="174" spans="1:10">
      <c r="A174" s="2"/>
      <c r="E174">
        <f>VLOOKUP(TablaMarimba[[#This Row],[Equipo]],Catalogos!$I$4:$J$34,2,FALSE)</f>
      </c>
      <c r="F174" s="3"/>
      <c r="G174" s="3"/>
      <c r="H174" s="3">
        <f t="shared" si="10"/>
      </c>
      <c r="I174" s="4">
        <v>28.3</v>
      </c>
      <c r="J174" s="4">
        <f t="shared" si="11"/>
      </c>
    </row>
    <row r="175" spans="1:10">
      <c r="A175" s="2"/>
      <c r="E175">
        <f>VLOOKUP(TablaMarimba[[#This Row],[Equipo]],Catalogos!$I$4:$J$34,2,FALSE)</f>
      </c>
      <c r="F175" s="3"/>
      <c r="G175" s="3"/>
      <c r="H175" s="3">
        <f t="shared" si="10"/>
      </c>
      <c r="I175" s="4">
        <v>28.3</v>
      </c>
      <c r="J175" s="4">
        <f t="shared" si="11"/>
      </c>
    </row>
    <row r="176" spans="1:10">
      <c r="A176" s="2"/>
      <c r="E176">
        <f>VLOOKUP(TablaMarimba[[#This Row],[Equipo]],Catalogos!$I$4:$J$34,2,FALSE)</f>
      </c>
      <c r="F176" s="3"/>
      <c r="G176" s="3"/>
      <c r="H176" s="3">
        <f t="shared" si="10"/>
      </c>
      <c r="I176" s="4">
        <v>28.3</v>
      </c>
      <c r="J176" s="4">
        <f t="shared" si="11"/>
      </c>
    </row>
    <row r="177" spans="1:10">
      <c r="A177" s="2"/>
      <c r="E177">
        <f>VLOOKUP(TablaMarimba[[#This Row],[Equipo]],Catalogos!$I$4:$J$34,2,FALSE)</f>
      </c>
      <c r="F177" s="3"/>
      <c r="G177" s="3"/>
      <c r="H177" s="3">
        <f t="shared" si="10"/>
      </c>
      <c r="I177" s="4">
        <v>28.3</v>
      </c>
      <c r="J177" s="4">
        <f t="shared" si="11"/>
      </c>
    </row>
    <row r="178" spans="1:10">
      <c r="A178" s="2"/>
      <c r="E178">
        <f>VLOOKUP(TablaMarimba[[#This Row],[Equipo]],Catalogos!$I$4:$J$34,2,FALSE)</f>
      </c>
      <c r="F178" s="3"/>
      <c r="G178" s="3"/>
      <c r="H178" s="3">
        <f t="shared" si="10"/>
      </c>
      <c r="I178" s="4">
        <v>28.3</v>
      </c>
      <c r="J178" s="4">
        <f t="shared" si="11"/>
      </c>
    </row>
    <row r="179" spans="1:10">
      <c r="A179" s="2"/>
      <c r="E179">
        <f>VLOOKUP(TablaMarimba[[#This Row],[Equipo]],Catalogos!$I$4:$J$34,2,FALSE)</f>
      </c>
      <c r="F179" s="3"/>
      <c r="G179" s="3"/>
      <c r="H179" s="3">
        <f t="shared" si="10"/>
      </c>
      <c r="I179" s="4">
        <v>28.3</v>
      </c>
      <c r="J179" s="4">
        <f t="shared" si="11"/>
      </c>
    </row>
    <row r="180" spans="1:10">
      <c r="A180" s="2"/>
      <c r="E180">
        <f>VLOOKUP(TablaMarimba[[#This Row],[Equipo]],Catalogos!$I$4:$J$34,2,FALSE)</f>
      </c>
      <c r="F180" s="3"/>
      <c r="G180" s="3"/>
      <c r="H180" s="3">
        <f t="shared" si="10"/>
      </c>
      <c r="I180" s="4">
        <v>28.3</v>
      </c>
      <c r="J180" s="4">
        <f t="shared" si="11"/>
      </c>
    </row>
    <row r="181" spans="1:10">
      <c r="A181" s="2"/>
      <c r="E181">
        <f>VLOOKUP(TablaMarimba[[#This Row],[Equipo]],Catalogos!$I$4:$J$34,2,FALSE)</f>
      </c>
      <c r="F181" s="3"/>
      <c r="G181" s="3"/>
      <c r="H181" s="3">
        <f t="shared" si="10"/>
      </c>
      <c r="I181" s="4">
        <v>28.3</v>
      </c>
      <c r="J181" s="4">
        <f t="shared" si="11"/>
      </c>
    </row>
    <row r="182" spans="1:10">
      <c r="A182" s="2"/>
      <c r="E182">
        <f>VLOOKUP(TablaMarimba[[#This Row],[Equipo]],Catalogos!$I$4:$J$34,2,FALSE)</f>
      </c>
      <c r="F182" s="3"/>
      <c r="G182" s="3"/>
      <c r="H182" s="3">
        <f t="shared" si="10"/>
      </c>
      <c r="I182" s="4">
        <v>28.3</v>
      </c>
      <c r="J182" s="4">
        <f t="shared" si="11"/>
      </c>
    </row>
    <row r="183" spans="1:10">
      <c r="A183" s="2"/>
      <c r="E183">
        <f>VLOOKUP(TablaMarimba[[#This Row],[Equipo]],Catalogos!$I$4:$J$34,2,FALSE)</f>
      </c>
      <c r="F183" s="3"/>
      <c r="G183" s="3"/>
      <c r="H183" s="3">
        <f t="shared" si="10"/>
      </c>
      <c r="I183" s="4">
        <v>28.3</v>
      </c>
      <c r="J183" s="4">
        <f t="shared" si="11"/>
      </c>
    </row>
    <row r="184" spans="1:10">
      <c r="A184" s="2"/>
      <c r="E184">
        <f>VLOOKUP(TablaMarimba[[#This Row],[Equipo]],Catalogos!$I$4:$J$34,2,FALSE)</f>
      </c>
      <c r="F184" s="3"/>
      <c r="G184" s="3"/>
      <c r="H184" s="3">
        <f t="shared" si="10"/>
      </c>
      <c r="I184" s="4">
        <v>28.3</v>
      </c>
      <c r="J184" s="4">
        <f t="shared" si="11"/>
      </c>
    </row>
    <row r="185" spans="1:10">
      <c r="A185" s="2"/>
      <c r="E185">
        <f>VLOOKUP(TablaMarimba[[#This Row],[Equipo]],Catalogos!$I$4:$J$34,2,FALSE)</f>
      </c>
      <c r="F185" s="3"/>
      <c r="G185" s="3"/>
      <c r="H185" s="3">
        <f t="shared" si="10"/>
      </c>
      <c r="I185" s="4">
        <v>28.3</v>
      </c>
      <c r="J185" s="4">
        <f t="shared" si="11"/>
      </c>
    </row>
    <row r="186" spans="1:10">
      <c r="A186" s="2"/>
      <c r="E186">
        <f>VLOOKUP(TablaMarimba[[#This Row],[Equipo]],Catalogos!$I$4:$J$34,2,FALSE)</f>
      </c>
      <c r="F186" s="3"/>
      <c r="G186" s="3"/>
      <c r="H186" s="3">
        <f t="shared" si="10"/>
      </c>
      <c r="I186" s="4">
        <v>28.3</v>
      </c>
      <c r="J186" s="4">
        <f t="shared" si="11"/>
      </c>
    </row>
    <row r="187" spans="1:10">
      <c r="A187" s="2"/>
      <c r="E187">
        <f>VLOOKUP(TablaMarimba[[#This Row],[Equipo]],Catalogos!$I$4:$J$34,2,FALSE)</f>
      </c>
      <c r="F187" s="3"/>
      <c r="G187" s="3"/>
      <c r="H187" s="3">
        <f t="shared" si="10"/>
      </c>
      <c r="I187" s="4">
        <v>28.3</v>
      </c>
      <c r="J187" s="4">
        <f t="shared" si="11"/>
      </c>
    </row>
    <row r="188" spans="1:10">
      <c r="A188" s="2"/>
      <c r="E188">
        <f>VLOOKUP(TablaMarimba[[#This Row],[Equipo]],Catalogos!$I$4:$J$34,2,FALSE)</f>
      </c>
      <c r="F188" s="3"/>
      <c r="G188" s="3"/>
      <c r="H188" s="3">
        <f t="shared" si="10"/>
      </c>
      <c r="I188" s="4">
        <v>28.3</v>
      </c>
      <c r="J188" s="4">
        <f t="shared" si="11"/>
      </c>
    </row>
    <row r="189" spans="1:10">
      <c r="A189" s="2"/>
      <c r="E189">
        <f>VLOOKUP(TablaMarimba[[#This Row],[Equipo]],Catalogos!$I$4:$J$34,2,FALSE)</f>
      </c>
      <c r="F189" s="3"/>
      <c r="G189" s="3"/>
      <c r="H189" s="3">
        <f t="shared" si="10"/>
      </c>
      <c r="I189" s="4">
        <v>28.3</v>
      </c>
      <c r="J189" s="4">
        <f t="shared" si="11"/>
      </c>
    </row>
    <row r="190" spans="1:10">
      <c r="A190" s="2"/>
      <c r="E190">
        <f>VLOOKUP(TablaMarimba[[#This Row],[Equipo]],Catalogos!$I$4:$J$34,2,FALSE)</f>
      </c>
      <c r="F190" s="3"/>
      <c r="G190" s="3"/>
      <c r="H190" s="3">
        <f t="shared" si="10"/>
      </c>
      <c r="I190" s="4">
        <v>28.3</v>
      </c>
      <c r="J190" s="4">
        <f t="shared" si="11"/>
      </c>
    </row>
    <row r="191" spans="1:10">
      <c r="A191" s="2"/>
      <c r="E191">
        <f>VLOOKUP(TablaMarimba[[#This Row],[Equipo]],Catalogos!$I$4:$J$34,2,FALSE)</f>
      </c>
      <c r="F191" s="3"/>
      <c r="G191" s="3"/>
      <c r="H191" s="3">
        <f t="shared" si="10"/>
      </c>
      <c r="I191" s="4">
        <v>28.3</v>
      </c>
      <c r="J191" s="4">
        <f t="shared" si="11"/>
      </c>
    </row>
    <row r="192" spans="1:10">
      <c r="A192" s="2"/>
      <c r="E192">
        <f>VLOOKUP(TablaMarimba[[#This Row],[Equipo]],Catalogos!$I$4:$J$34,2,FALSE)</f>
      </c>
      <c r="F192" s="3"/>
      <c r="G192" s="3"/>
      <c r="H192" s="3">
        <f t="shared" si="10"/>
      </c>
      <c r="I192" s="4">
        <v>28.3</v>
      </c>
      <c r="J192" s="4">
        <f t="shared" si="11"/>
      </c>
    </row>
    <row r="193" spans="1:10">
      <c r="A193" s="2"/>
      <c r="E193">
        <f>VLOOKUP(TablaMarimba[[#This Row],[Equipo]],Catalogos!$I$4:$J$34,2,FALSE)</f>
      </c>
      <c r="F193" s="3"/>
      <c r="G193" s="3"/>
      <c r="H193" s="3">
        <f t="shared" si="10"/>
      </c>
      <c r="I193" s="4">
        <v>28.3</v>
      </c>
      <c r="J193" s="4">
        <f t="shared" si="11"/>
      </c>
    </row>
    <row r="194" spans="1:10">
      <c r="A194" s="2"/>
      <c r="E194">
        <f>VLOOKUP(TablaMarimba[[#This Row],[Equipo]],Catalogos!$I$4:$J$34,2,FALSE)</f>
      </c>
      <c r="F194" s="3"/>
      <c r="G194" s="3"/>
      <c r="H194" s="3">
        <f t="shared" si="10"/>
      </c>
      <c r="I194" s="4">
        <v>28.3</v>
      </c>
      <c r="J194" s="4">
        <f t="shared" si="11"/>
      </c>
    </row>
    <row r="195" spans="1:10">
      <c r="A195" s="2"/>
      <c r="E195">
        <f>VLOOKUP(TablaMarimba[[#This Row],[Equipo]],Catalogos!$I$4:$J$34,2,FALSE)</f>
      </c>
      <c r="F195" s="3"/>
      <c r="G195" s="3"/>
      <c r="H195" s="3">
        <f t="shared" si="10"/>
      </c>
      <c r="I195" s="4">
        <v>28.3</v>
      </c>
      <c r="J195" s="4">
        <f t="shared" si="11"/>
      </c>
    </row>
    <row r="196" spans="1:10">
      <c r="A196" s="2"/>
      <c r="E196">
        <f>VLOOKUP(TablaMarimba[[#This Row],[Equipo]],Catalogos!$I$4:$J$34,2,FALSE)</f>
      </c>
      <c r="F196" s="3"/>
      <c r="G196" s="3"/>
      <c r="H196" s="3">
        <f t="shared" si="10"/>
      </c>
      <c r="I196" s="4">
        <v>28.3</v>
      </c>
      <c r="J196" s="4">
        <f t="shared" si="11"/>
      </c>
    </row>
    <row r="197" spans="1:10">
      <c r="A197" s="2"/>
      <c r="E197">
        <f>VLOOKUP(TablaMarimba[[#This Row],[Equipo]],Catalogos!$I$4:$J$34,2,FALSE)</f>
      </c>
      <c r="F197" s="3"/>
      <c r="G197" s="3"/>
      <c r="H197" s="3">
        <f t="shared" ref="H197:H204" si="12">IF(ROW()=5,F197-G197,H196+F197-G197)</f>
      </c>
      <c r="I197" s="4">
        <v>28.3</v>
      </c>
      <c r="J197" s="4">
        <f t="shared" ref="J197:J204" si="13">IFERROR((F197+G197)*I197,0)</f>
      </c>
    </row>
    <row r="198" spans="1:10">
      <c r="A198" s="2"/>
      <c r="E198">
        <f>VLOOKUP(TablaMarimba[[#This Row],[Equipo]],Catalogos!$I$4:$J$34,2,FALSE)</f>
      </c>
      <c r="F198" s="3"/>
      <c r="G198" s="3"/>
      <c r="H198" s="3">
        <f t="shared" si="12"/>
      </c>
      <c r="I198" s="4">
        <v>28.3</v>
      </c>
      <c r="J198" s="4">
        <f t="shared" si="13"/>
      </c>
    </row>
    <row r="199" spans="1:10">
      <c r="A199" s="2"/>
      <c r="E199">
        <f>VLOOKUP(TablaMarimba[[#This Row],[Equipo]],Catalogos!$I$4:$J$34,2,FALSE)</f>
      </c>
      <c r="F199" s="3"/>
      <c r="G199" s="3"/>
      <c r="H199" s="3">
        <f t="shared" si="12"/>
      </c>
      <c r="I199" s="4">
        <v>28.3</v>
      </c>
      <c r="J199" s="4">
        <f t="shared" si="13"/>
      </c>
    </row>
    <row r="200" spans="1:10">
      <c r="A200" s="2"/>
      <c r="E200">
        <f>VLOOKUP(TablaMarimba[[#This Row],[Equipo]],Catalogos!$I$4:$J$34,2,FALSE)</f>
      </c>
      <c r="F200" s="3"/>
      <c r="G200" s="3"/>
      <c r="H200" s="3">
        <f t="shared" si="12"/>
      </c>
      <c r="I200" s="4">
        <v>28.3</v>
      </c>
      <c r="J200" s="4">
        <f t="shared" si="13"/>
      </c>
    </row>
    <row r="201" spans="1:10">
      <c r="A201" s="2"/>
      <c r="E201">
        <f>VLOOKUP(TablaMarimba[[#This Row],[Equipo]],Catalogos!$I$4:$J$34,2,FALSE)</f>
      </c>
      <c r="F201" s="3"/>
      <c r="G201" s="3"/>
      <c r="H201" s="3">
        <f t="shared" si="12"/>
      </c>
      <c r="I201" s="4">
        <v>28.3</v>
      </c>
      <c r="J201" s="4">
        <f t="shared" si="13"/>
      </c>
    </row>
    <row r="202" spans="1:10">
      <c r="A202" s="2"/>
      <c r="E202">
        <f>VLOOKUP(TablaMarimba[[#This Row],[Equipo]],Catalogos!$I$4:$J$34,2,FALSE)</f>
      </c>
      <c r="F202" s="3"/>
      <c r="G202" s="3"/>
      <c r="H202" s="3">
        <f t="shared" si="12"/>
      </c>
      <c r="I202" s="4">
        <v>28.3</v>
      </c>
      <c r="J202" s="4">
        <f t="shared" si="13"/>
      </c>
    </row>
    <row r="203" spans="1:10">
      <c r="A203" s="2"/>
      <c r="E203">
        <f>VLOOKUP(TablaMarimba[[#This Row],[Equipo]],Catalogos!$I$4:$J$34,2,FALSE)</f>
      </c>
      <c r="F203" s="3"/>
      <c r="G203" s="3"/>
      <c r="H203" s="3">
        <f t="shared" si="12"/>
      </c>
      <c r="I203" s="4">
        <v>28.3</v>
      </c>
      <c r="J203" s="4">
        <f t="shared" si="13"/>
      </c>
    </row>
    <row r="204" spans="1:10">
      <c r="A204" s="2"/>
      <c r="E204">
        <f>VLOOKUP(TablaMarimba[[#This Row],[Equipo]],Catalogos!$I$4:$J$34,2,FALSE)</f>
      </c>
      <c r="F204" s="3"/>
      <c r="G204" s="3"/>
      <c r="H204" s="3">
        <f t="shared" si="12"/>
      </c>
      <c r="I204" s="4">
        <v>28.3</v>
      </c>
      <c r="J204" s="4">
        <f t="shared" si="13"/>
      </c>
    </row>
  </sheetData>
  <mergeCells count="1">
    <mergeCell ref="A1:L1"/>
  </mergeCells>
  <dataValidations count="2">
    <dataValidation type="list" sqref="B5:B204" xr:uid="{00000000-0002-0000-0200-000000000000}">
      <formula1>"Entrada desde Pegaso,Salida a Obra,Ajuste"</formula1>
    </dataValidation>
    <dataValidation sqref="E5:E204" xr:uid="{00000000-0002-0000-0200-000002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1000000}">
          <x14:formula1>
            <xm:f>Catalogos!$B$4:$B$7</xm:f>
          </x14:formula1>
          <xm:sqref>C5:C204</xm:sqref>
        </x14:dataValidation>
        <x14:dataValidation type="list" allowBlank="1" showInputMessage="1" showErrorMessage="1" xr:uid="{3E6D9B6D-EF91-479C-AFA6-53D2BE2844F1}">
          <x14:formula1>
            <xm:f>Catalogos!$I$4:$I$34</xm:f>
          </x14:formula1>
          <xm:sqref>D5:D204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EB62-CA52-438F-916E-51DDA6085DD1}">
  <sheetPr/>
  <sheetViews>
    <sheetView workbookViewId="0">
      <selection activeCell="A4" sqref="A4:K4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22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</cols>
  <sheetData>
    <row r="1" spans="1:11" ht="22.35" customHeight="1">
      <c r="A1" t="s" s="17">
        <v>159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>
      <c r="A2" t="s">
        <v>49</v>
      </c>
      <c r="C2" t="s">
        <v>23</v>
      </c>
      <c r="E2" t="s">
        <v>24</v>
      </c>
      <c r="G2" t="s">
        <v>50</v>
      </c>
      <c r="I2" t="s">
        <v>42</v>
      </c>
    </row>
    <row r="4" spans="1:11" ht="27.6">
      <c r="A4" t="s" s="1">
        <v>170</v>
      </c>
      <c r="B4" t="s" s="1">
        <v>3</v>
      </c>
      <c r="C4" t="s" s="1">
        <v>169</v>
      </c>
      <c r="D4" t="s" s="1">
        <v>45</v>
      </c>
      <c r="E4" t="s" s="1">
        <v>46</v>
      </c>
      <c r="F4" t="s" s="1">
        <v>162</v>
      </c>
      <c r="G4" t="s" s="1">
        <v>35</v>
      </c>
      <c r="H4" t="s" s="1">
        <v>36</v>
      </c>
      <c r="I4" t="s" s="1">
        <v>203</v>
      </c>
      <c r="J4" t="s" s="1">
        <v>54</v>
      </c>
      <c r="K4" t="s" s="1">
        <v>37</v>
      </c>
    </row>
    <row r="5" spans="1:11">
      <c r="A5" s="2">
        <v>46180</v>
      </c>
      <c r="B5" t="s">
        <v>6</v>
      </c>
      <c r="C5" s="2">
        <v>46181</v>
      </c>
      <c r="D5" t="s">
        <v>160</v>
      </c>
      <c r="E5">
        <f>VLOOKUP(TablaObra5[[#This Row],[Equipo]],Catalogos!$I$3:$J$34,2,FALSE)</f>
      </c>
      <c r="F5" s="3">
        <v>200</v>
      </c>
      <c r="G5" s="4">
        <v>28.3</v>
      </c>
      <c r="H5" s="4">
        <f t="shared" ref="H5:H70" si="0">IFERROR(F5*G5,0)</f>
      </c>
      <c r="I5">
        <f>VLOOKUP(TablaObra5[[#This Row],[Obra]],Catalogos!$B$3:$C$8,2,FALSE)</f>
      </c>
    </row>
    <row r="6" spans="1:11">
      <c r="A6" s="2">
        <v>46180</v>
      </c>
      <c r="B6" t="s">
        <v>6</v>
      </c>
      <c r="C6" s="2">
        <v>46181</v>
      </c>
      <c r="D6" t="s">
        <v>164</v>
      </c>
      <c r="E6">
        <f>VLOOKUP(TablaObra5[[#This Row],[Equipo]],Catalogos!$I$3:$J$34,2,FALSE)</f>
      </c>
      <c r="F6" s="3">
        <v>300</v>
      </c>
      <c r="G6" s="4">
        <v>28.3</v>
      </c>
      <c r="H6" s="4">
        <f t="shared" si="0"/>
      </c>
      <c r="I6">
        <f>VLOOKUP(TablaObra5[[#This Row],[Obra]],Catalogos!$B$3:$C$8,2,FALSE)</f>
      </c>
    </row>
    <row r="7" spans="1:11">
      <c r="A7" s="2">
        <v>46180</v>
      </c>
      <c r="B7" t="s">
        <v>6</v>
      </c>
      <c r="C7" s="2">
        <v>46181</v>
      </c>
      <c r="D7" t="s">
        <v>95</v>
      </c>
      <c r="E7">
        <f>VLOOKUP(TablaObra5[[#This Row],[Equipo]],Catalogos!$I$3:$J$34,2,FALSE)</f>
      </c>
      <c r="F7" s="3">
        <v>30</v>
      </c>
      <c r="G7" s="4">
        <v>28.3</v>
      </c>
      <c r="H7" s="4">
        <f t="shared" si="0"/>
      </c>
      <c r="I7">
        <f>VLOOKUP(TablaObra5[[#This Row],[Obra]],Catalogos!$B$3:$C$8,2,FALSE)</f>
      </c>
    </row>
    <row r="8" spans="1:11">
      <c r="A8" s="2">
        <v>46180</v>
      </c>
      <c r="B8" t="s">
        <v>6</v>
      </c>
      <c r="C8" s="2">
        <v>46181</v>
      </c>
      <c r="D8" t="s">
        <v>165</v>
      </c>
      <c r="E8">
        <f>VLOOKUP(TablaObra5[[#This Row],[Equipo]],Catalogos!$I$3:$J$34,2,FALSE)</f>
      </c>
      <c r="F8" s="3">
        <v>20</v>
      </c>
      <c r="G8" s="4">
        <v>28.3</v>
      </c>
      <c r="H8" s="4">
        <f t="shared" si="0"/>
      </c>
      <c r="I8">
        <f>VLOOKUP(TablaObra5[[#This Row],[Obra]],Catalogos!$B$3:$C$8,2,FALSE)</f>
      </c>
    </row>
    <row r="9" spans="1:11">
      <c r="A9" s="2">
        <v>46180</v>
      </c>
      <c r="B9" t="s">
        <v>6</v>
      </c>
      <c r="C9" s="2">
        <v>46181</v>
      </c>
      <c r="D9" t="s">
        <v>181</v>
      </c>
      <c r="E9">
        <f>VLOOKUP(TablaObra5[[#This Row],[Equipo]],Catalogos!$I$3:$J$34,2,FALSE)</f>
      </c>
      <c r="F9" s="3">
        <v>30</v>
      </c>
      <c r="G9" s="4">
        <v>28.3</v>
      </c>
      <c r="H9" s="4">
        <f t="shared" si="0"/>
      </c>
      <c r="I9">
        <f>VLOOKUP(TablaObra5[[#This Row],[Obra]],Catalogos!$B$3:$C$8,2,FALSE)</f>
      </c>
    </row>
    <row r="10" spans="1:11">
      <c r="A10" s="2">
        <v>46180</v>
      </c>
      <c r="B10" t="s">
        <v>6</v>
      </c>
      <c r="C10" s="2">
        <v>46181</v>
      </c>
      <c r="D10" t="s">
        <v>86</v>
      </c>
      <c r="E10">
        <f>VLOOKUP(TablaObra5[[#This Row],[Equipo]],Catalogos!$I$3:$J$34,2,FALSE)</f>
      </c>
      <c r="F10" s="3">
        <v>30</v>
      </c>
      <c r="G10" s="4">
        <v>28.3</v>
      </c>
      <c r="H10" s="4">
        <f t="shared" si="0"/>
      </c>
      <c r="I10">
        <f>VLOOKUP(TablaObra5[[#This Row],[Obra]],Catalogos!$B$3:$C$8,2,FALSE)</f>
      </c>
    </row>
    <row r="11" spans="1:11">
      <c r="A11" s="2">
        <v>46180</v>
      </c>
      <c r="B11" t="s">
        <v>6</v>
      </c>
      <c r="C11" s="2">
        <v>46181</v>
      </c>
      <c r="D11" t="s">
        <v>198</v>
      </c>
      <c r="E11">
        <f>VLOOKUP(TablaObra5[[#This Row],[Equipo]],Catalogos!$I$3:$J$34,2,FALSE)</f>
      </c>
      <c r="F11" s="3">
        <v>30</v>
      </c>
      <c r="G11" s="4">
        <v>28.3</v>
      </c>
      <c r="H11" s="4">
        <f t="shared" si="0"/>
      </c>
      <c r="I11">
        <f>VLOOKUP(TablaObra5[[#This Row],[Obra]],Catalogos!$B$3:$C$8,2,FALSE)</f>
      </c>
    </row>
    <row r="12" spans="1:11">
      <c r="A12" s="2">
        <v>46180</v>
      </c>
      <c r="B12" t="s">
        <v>8</v>
      </c>
      <c r="C12" s="2">
        <v>46181</v>
      </c>
      <c r="D12" t="s">
        <v>95</v>
      </c>
      <c r="E12">
        <f>VLOOKUP(TablaObra5[[#This Row],[Equipo]],Catalogos!$I$3:$J$34,2,FALSE)</f>
      </c>
      <c r="F12" s="3">
        <v>50</v>
      </c>
      <c r="G12" s="4">
        <v>28.3</v>
      </c>
      <c r="H12" s="4">
        <f t="shared" si="0"/>
      </c>
      <c r="I12">
        <f>VLOOKUP(TablaObra5[[#This Row],[Obra]],Catalogos!$B$3:$C$8,2,FALSE)</f>
      </c>
    </row>
    <row r="13" spans="1:11">
      <c r="A13" s="2">
        <v>46180</v>
      </c>
      <c r="B13" t="s">
        <v>8</v>
      </c>
      <c r="C13" s="2">
        <v>46181</v>
      </c>
      <c r="D13" t="s">
        <v>181</v>
      </c>
      <c r="E13">
        <f>VLOOKUP(TablaObra5[[#This Row],[Equipo]],Catalogos!$I$3:$J$34,2,FALSE)</f>
      </c>
      <c r="F13" s="3">
        <v>50</v>
      </c>
      <c r="G13" s="4">
        <v>28.3</v>
      </c>
      <c r="H13" s="4">
        <f t="shared" si="0"/>
      </c>
      <c r="I13">
        <f>VLOOKUP(TablaObra5[[#This Row],[Obra]],Catalogos!$B$3:$C$8,2,FALSE)</f>
      </c>
    </row>
    <row r="14" spans="1:11">
      <c r="A14" s="2">
        <v>46180</v>
      </c>
      <c r="B14" t="s">
        <v>8</v>
      </c>
      <c r="C14" s="2">
        <v>46181</v>
      </c>
      <c r="D14" t="s">
        <v>100</v>
      </c>
      <c r="E14">
        <f>VLOOKUP(TablaObra5[[#This Row],[Equipo]],Catalogos!$I$3:$J$34,2,FALSE)</f>
      </c>
      <c r="F14" s="3">
        <v>60</v>
      </c>
      <c r="G14" s="4">
        <v>28.3</v>
      </c>
      <c r="H14" s="4">
        <f t="shared" si="0"/>
      </c>
      <c r="I14">
        <f>VLOOKUP(TablaObra5[[#This Row],[Obra]],Catalogos!$B$3:$C$8,2,FALSE)</f>
      </c>
    </row>
    <row r="15" spans="1:11">
      <c r="A15" s="2">
        <v>46181</v>
      </c>
      <c r="B15" t="s">
        <v>210</v>
      </c>
      <c r="C15" s="2"/>
      <c r="D15" t="s">
        <v>95</v>
      </c>
      <c r="E15">
        <f>VLOOKUP(TablaObra5[[#This Row],[Equipo]],Catalogos!$I$3:$J$34,2,FALSE)</f>
      </c>
      <c r="F15" s="3">
        <v>100</v>
      </c>
      <c r="G15" s="4">
        <v>28.3</v>
      </c>
      <c r="H15" s="4">
        <f>IFERROR(F15*G15,0)</f>
      </c>
      <c r="I15">
        <f>VLOOKUP(TablaObra5[[#This Row],[Obra]],Catalogos!$B$3:$C$8,2,FALSE)</f>
      </c>
    </row>
    <row r="16" spans="1:11">
      <c r="A16" s="2">
        <v>46181</v>
      </c>
      <c r="B16" t="s">
        <v>10</v>
      </c>
      <c r="C16" s="2">
        <v>46181</v>
      </c>
      <c r="D16" t="s">
        <v>171</v>
      </c>
      <c r="E16">
        <f>VLOOKUP(TablaObra5[[#This Row],[Equipo]],Catalogos!$I$3:$J$34,2,FALSE)</f>
      </c>
      <c r="F16" s="3">
        <v>250</v>
      </c>
      <c r="G16" s="4">
        <v>28.3</v>
      </c>
      <c r="H16" s="4">
        <f t="shared" si="0"/>
      </c>
      <c r="I16">
        <f>VLOOKUP(TablaObra5[[#This Row],[Obra]],Catalogos!$B$3:$C$8,2,FALSE)</f>
      </c>
    </row>
    <row r="17" spans="1:9">
      <c r="A17" s="2">
        <v>46181</v>
      </c>
      <c r="B17" t="s">
        <v>10</v>
      </c>
      <c r="C17" s="2">
        <v>46181</v>
      </c>
      <c r="D17" t="s">
        <v>173</v>
      </c>
      <c r="E17">
        <f>VLOOKUP(TablaObra5[[#This Row],[Equipo]],Catalogos!$I$3:$J$34,2,FALSE)</f>
      </c>
      <c r="F17" s="3">
        <v>150</v>
      </c>
      <c r="G17" s="4">
        <v>28.3</v>
      </c>
      <c r="H17" s="4">
        <f t="shared" si="0"/>
      </c>
      <c r="I17">
        <f>VLOOKUP(TablaObra5[[#This Row],[Obra]],Catalogos!$B$3:$C$8,2,FALSE)</f>
      </c>
    </row>
    <row r="18" spans="1:9">
      <c r="A18" s="2">
        <v>46181</v>
      </c>
      <c r="B18" t="s">
        <v>10</v>
      </c>
      <c r="C18" s="2">
        <v>46181</v>
      </c>
      <c r="D18" t="s">
        <v>175</v>
      </c>
      <c r="E18">
        <f>VLOOKUP(TablaObra5[[#This Row],[Equipo]],Catalogos!$I$3:$J$34,2,FALSE)</f>
      </c>
      <c r="F18" s="3">
        <v>40</v>
      </c>
      <c r="G18" s="4">
        <v>28.3</v>
      </c>
      <c r="H18" s="4">
        <f t="shared" si="0"/>
      </c>
      <c r="I18">
        <f>VLOOKUP(TablaObra5[[#This Row],[Obra]],Catalogos!$B$3:$C$8,2,FALSE)</f>
      </c>
    </row>
    <row r="19" spans="1:9">
      <c r="A19" s="2">
        <v>46181</v>
      </c>
      <c r="B19" t="s">
        <v>10</v>
      </c>
      <c r="C19" s="2">
        <v>46181</v>
      </c>
      <c r="D19" t="s">
        <v>177</v>
      </c>
      <c r="E19">
        <f>VLOOKUP(TablaObra5[[#This Row],[Equipo]],Catalogos!$I$3:$J$34,2,FALSE)</f>
      </c>
      <c r="F19" s="3">
        <v>60</v>
      </c>
      <c r="G19" s="4">
        <v>28.3</v>
      </c>
      <c r="H19" s="4">
        <f t="shared" si="0"/>
      </c>
      <c r="I19">
        <f>VLOOKUP(TablaObra5[[#This Row],[Obra]],Catalogos!$B$3:$C$8,2,FALSE)</f>
      </c>
    </row>
    <row r="20" spans="1:9">
      <c r="A20" s="2">
        <v>46181</v>
      </c>
      <c r="B20" t="s">
        <v>10</v>
      </c>
      <c r="C20" s="2">
        <v>46181</v>
      </c>
      <c r="D20" t="s">
        <v>179</v>
      </c>
      <c r="E20">
        <f>VLOOKUP(TablaObra5[[#This Row],[Equipo]],Catalogos!$I$3:$J$34,2,FALSE)</f>
      </c>
      <c r="F20" s="3">
        <v>100</v>
      </c>
      <c r="G20" s="4">
        <v>28.3</v>
      </c>
      <c r="H20" s="4">
        <f t="shared" si="0"/>
      </c>
      <c r="I20">
        <f>VLOOKUP(TablaObra5[[#This Row],[Obra]],Catalogos!$B$3:$C$8,2,FALSE)</f>
      </c>
    </row>
    <row r="21" spans="1:9">
      <c r="A21" s="2">
        <v>46181</v>
      </c>
      <c r="B21" t="s">
        <v>10</v>
      </c>
      <c r="C21" s="2">
        <v>46181</v>
      </c>
      <c r="D21" t="s">
        <v>182</v>
      </c>
      <c r="E21">
        <f>VLOOKUP(TablaObra5[[#This Row],[Equipo]],Catalogos!$I$3:$J$34,2,FALSE)</f>
      </c>
      <c r="F21" s="3">
        <v>100</v>
      </c>
      <c r="G21" s="4">
        <v>28.3</v>
      </c>
      <c r="H21" s="4">
        <f t="shared" si="0"/>
      </c>
      <c r="I21">
        <f>VLOOKUP(TablaObra5[[#This Row],[Obra]],Catalogos!$B$3:$C$8,2,FALSE)</f>
      </c>
    </row>
    <row r="22" spans="1:9">
      <c r="A22" s="2">
        <v>46181</v>
      </c>
      <c r="B22" t="s">
        <v>10</v>
      </c>
      <c r="C22" s="2">
        <v>46181</v>
      </c>
      <c r="D22" t="s">
        <v>198</v>
      </c>
      <c r="E22">
        <f>VLOOKUP(TablaObra5[[#This Row],[Equipo]],Catalogos!$I$3:$J$34,2,FALSE)</f>
      </c>
      <c r="F22" s="3">
        <v>20</v>
      </c>
      <c r="G22" s="4">
        <v>28.3</v>
      </c>
      <c r="H22" s="4">
        <f t="shared" si="0"/>
      </c>
      <c r="I22">
        <f>VLOOKUP(TablaObra5[[#This Row],[Obra]],Catalogos!$B$3:$C$8,2,FALSE)</f>
      </c>
    </row>
    <row r="23" spans="1:9">
      <c r="A23" s="2">
        <v>46181</v>
      </c>
      <c r="B23" t="s">
        <v>10</v>
      </c>
      <c r="C23" s="2">
        <v>46181</v>
      </c>
      <c r="D23" t="s">
        <v>184</v>
      </c>
      <c r="E23">
        <f>VLOOKUP(TablaObra5[[#This Row],[Equipo]],Catalogos!$I$3:$J$34,2,FALSE)</f>
      </c>
      <c r="F23" s="3">
        <v>50</v>
      </c>
      <c r="G23" s="4">
        <v>28.3</v>
      </c>
      <c r="H23" s="4">
        <f t="shared" si="0"/>
      </c>
      <c r="I23">
        <f>VLOOKUP(TablaObra5[[#This Row],[Obra]],Catalogos!$B$3:$C$8,2,FALSE)</f>
      </c>
    </row>
    <row r="24" spans="1:9">
      <c r="A24" s="2">
        <v>46181</v>
      </c>
      <c r="B24" t="s">
        <v>10</v>
      </c>
      <c r="C24" s="2">
        <v>46181</v>
      </c>
      <c r="D24" t="s">
        <v>186</v>
      </c>
      <c r="E24">
        <f>VLOOKUP(TablaObra5[[#This Row],[Equipo]],Catalogos!$I$3:$J$34,2,FALSE)</f>
      </c>
      <c r="F24" s="3">
        <v>50</v>
      </c>
      <c r="G24" s="4">
        <v>28.3</v>
      </c>
      <c r="H24" s="4">
        <f t="shared" si="0"/>
      </c>
      <c r="I24">
        <f>VLOOKUP(TablaObra5[[#This Row],[Obra]],Catalogos!$B$3:$C$8,2,FALSE)</f>
      </c>
    </row>
    <row r="25" spans="1:9">
      <c r="A25" s="2">
        <v>46181</v>
      </c>
      <c r="B25" t="s">
        <v>10</v>
      </c>
      <c r="C25" s="2">
        <v>46181</v>
      </c>
      <c r="D25" t="s">
        <v>188</v>
      </c>
      <c r="E25">
        <f>VLOOKUP(TablaObra5[[#This Row],[Equipo]],Catalogos!$I$3:$J$34,2,FALSE)</f>
      </c>
      <c r="F25" s="3">
        <v>50</v>
      </c>
      <c r="G25" s="4">
        <v>28.3</v>
      </c>
      <c r="H25" s="4">
        <f t="shared" si="0"/>
      </c>
      <c r="I25">
        <f>VLOOKUP(TablaObra5[[#This Row],[Obra]],Catalogos!$B$3:$C$8,2,FALSE)</f>
      </c>
    </row>
    <row r="26" spans="1:9">
      <c r="A26" s="2">
        <v>46181</v>
      </c>
      <c r="B26" t="s">
        <v>10</v>
      </c>
      <c r="C26" s="2">
        <v>46181</v>
      </c>
      <c r="D26" t="s">
        <v>190</v>
      </c>
      <c r="E26">
        <f>VLOOKUP(TablaObra5[[#This Row],[Equipo]],Catalogos!$I$3:$J$34,2,FALSE)</f>
      </c>
      <c r="F26" s="3">
        <v>20</v>
      </c>
      <c r="G26" s="4">
        <v>28.3</v>
      </c>
      <c r="H26" s="4">
        <f t="shared" si="0"/>
      </c>
      <c r="I26">
        <f>VLOOKUP(TablaObra5[[#This Row],[Obra]],Catalogos!$B$3:$C$8,2,FALSE)</f>
      </c>
    </row>
    <row r="27" spans="1:9">
      <c r="A27" s="2">
        <v>46181</v>
      </c>
      <c r="B27" t="s">
        <v>10</v>
      </c>
      <c r="C27" s="2">
        <v>46181</v>
      </c>
      <c r="D27" t="s">
        <v>192</v>
      </c>
      <c r="E27">
        <f>VLOOKUP(TablaObra5[[#This Row],[Equipo]],Catalogos!$I$3:$J$34,2,FALSE)</f>
      </c>
      <c r="F27" s="3">
        <v>50</v>
      </c>
      <c r="G27" s="4">
        <v>28.3</v>
      </c>
      <c r="H27" s="4">
        <f t="shared" si="0"/>
      </c>
      <c r="I27">
        <f>VLOOKUP(TablaObra5[[#This Row],[Obra]],Catalogos!$B$3:$C$8,2,FALSE)</f>
      </c>
    </row>
    <row r="28" spans="1:9">
      <c r="A28" s="2">
        <v>46181</v>
      </c>
      <c r="B28" t="s">
        <v>10</v>
      </c>
      <c r="C28" s="2">
        <v>46181</v>
      </c>
      <c r="D28" t="s">
        <v>194</v>
      </c>
      <c r="E28">
        <f>VLOOKUP(TablaObra5[[#This Row],[Equipo]],Catalogos!$I$3:$J$34,2,FALSE)</f>
      </c>
      <c r="F28" s="3">
        <v>40</v>
      </c>
      <c r="G28" s="4">
        <v>28.3</v>
      </c>
      <c r="H28" s="4">
        <f t="shared" si="0"/>
      </c>
      <c r="I28">
        <f>VLOOKUP(TablaObra5[[#This Row],[Obra]],Catalogos!$B$3:$C$8,2,FALSE)</f>
      </c>
    </row>
    <row r="29" spans="1:9">
      <c r="A29" s="2">
        <v>46181</v>
      </c>
      <c r="B29" t="s">
        <v>10</v>
      </c>
      <c r="C29" s="2">
        <v>46181</v>
      </c>
      <c r="D29" t="s">
        <v>196</v>
      </c>
      <c r="E29">
        <f>VLOOKUP(TablaObra5[[#This Row],[Equipo]],Catalogos!$I$3:$J$34,2,FALSE)</f>
      </c>
      <c r="F29" s="3">
        <v>10</v>
      </c>
      <c r="G29" s="4">
        <v>28.3</v>
      </c>
      <c r="H29" s="4">
        <f t="shared" si="0"/>
      </c>
      <c r="I29">
        <f>VLOOKUP(TablaObra5[[#This Row],[Obra]],Catalogos!$B$3:$C$8,2,FALSE)</f>
      </c>
    </row>
    <row r="30" spans="1:9">
      <c r="A30" s="2">
        <v>46182</v>
      </c>
      <c r="B30" t="s">
        <v>10</v>
      </c>
      <c r="C30" s="2">
        <v>46182</v>
      </c>
      <c r="D30" t="s">
        <v>171</v>
      </c>
      <c r="E30">
        <f>VLOOKUP(TablaObra5[[#This Row],[Equipo]],Catalogos!$I$3:$J$34,2,FALSE)</f>
      </c>
      <c r="F30" s="3">
        <v>250</v>
      </c>
      <c r="G30" s="4">
        <v>28.3</v>
      </c>
      <c r="H30" s="4">
        <f t="shared" si="0"/>
      </c>
      <c r="I30">
        <f>VLOOKUP(TablaObra5[[#This Row],[Obra]],Catalogos!$B$3:$C$8,2,FALSE)</f>
      </c>
    </row>
    <row r="31" spans="1:9">
      <c r="A31" s="2">
        <v>46182</v>
      </c>
      <c r="B31" t="s">
        <v>10</v>
      </c>
      <c r="C31" s="2">
        <v>46182</v>
      </c>
      <c r="D31" t="s">
        <v>175</v>
      </c>
      <c r="E31">
        <f>VLOOKUP(TablaObra5[[#This Row],[Equipo]],Catalogos!$I$3:$J$34,2,FALSE)</f>
      </c>
      <c r="F31" s="3">
        <v>40</v>
      </c>
      <c r="G31" s="4">
        <v>28.3</v>
      </c>
      <c r="H31" s="4">
        <f t="shared" si="0"/>
      </c>
      <c r="I31">
        <f>VLOOKUP(TablaObra5[[#This Row],[Obra]],Catalogos!$B$3:$C$8,2,FALSE)</f>
      </c>
    </row>
    <row r="32" spans="1:9">
      <c r="A32" s="2">
        <v>46182</v>
      </c>
      <c r="B32" t="s">
        <v>10</v>
      </c>
      <c r="C32" s="2">
        <v>46182</v>
      </c>
      <c r="D32" t="s">
        <v>177</v>
      </c>
      <c r="E32">
        <f>VLOOKUP(TablaObra5[[#This Row],[Equipo]],Catalogos!$I$3:$J$34,2,FALSE)</f>
      </c>
      <c r="F32" s="3">
        <v>60</v>
      </c>
      <c r="G32" s="4">
        <v>28.3</v>
      </c>
      <c r="H32" s="4">
        <f t="shared" si="0"/>
      </c>
      <c r="I32">
        <f>VLOOKUP(TablaObra5[[#This Row],[Obra]],Catalogos!$B$3:$C$8,2,FALSE)</f>
      </c>
    </row>
    <row r="33" spans="1:11">
      <c r="A33" s="2">
        <v>46182</v>
      </c>
      <c r="B33" t="s">
        <v>10</v>
      </c>
      <c r="C33" s="2">
        <v>46182</v>
      </c>
      <c r="D33" t="s">
        <v>179</v>
      </c>
      <c r="E33">
        <f>VLOOKUP(TablaObra5[[#This Row],[Equipo]],Catalogos!$I$3:$J$34,2,FALSE)</f>
      </c>
      <c r="F33" s="3">
        <v>100</v>
      </c>
      <c r="G33" s="4">
        <v>28.3</v>
      </c>
      <c r="H33" s="4">
        <f t="shared" si="0"/>
      </c>
      <c r="I33">
        <f>VLOOKUP(TablaObra5[[#This Row],[Obra]],Catalogos!$B$3:$C$8,2,FALSE)</f>
      </c>
    </row>
    <row r="34" spans="1:11">
      <c r="A34" s="2">
        <v>46182</v>
      </c>
      <c r="B34" t="s">
        <v>10</v>
      </c>
      <c r="C34" s="2">
        <v>46182</v>
      </c>
      <c r="D34" t="s">
        <v>182</v>
      </c>
      <c r="E34">
        <f>VLOOKUP(TablaObra5[[#This Row],[Equipo]],Catalogos!$I$3:$J$34,2,FALSE)</f>
      </c>
      <c r="F34" s="3">
        <v>100</v>
      </c>
      <c r="G34" s="4">
        <v>28.3</v>
      </c>
      <c r="H34" s="4">
        <f t="shared" si="0"/>
      </c>
      <c r="I34">
        <f>VLOOKUP(TablaObra5[[#This Row],[Obra]],Catalogos!$B$3:$C$8,2,FALSE)</f>
      </c>
    </row>
    <row r="35" spans="1:11">
      <c r="A35" s="2">
        <v>46182</v>
      </c>
      <c r="B35" t="s">
        <v>10</v>
      </c>
      <c r="C35" s="2">
        <v>46182</v>
      </c>
      <c r="D35" t="s">
        <v>198</v>
      </c>
      <c r="E35">
        <f>VLOOKUP(TablaObra5[[#This Row],[Equipo]],Catalogos!$I$3:$J$34,2,FALSE)</f>
      </c>
      <c r="F35" s="3">
        <v>20</v>
      </c>
      <c r="G35" s="4">
        <v>28.3</v>
      </c>
      <c r="H35" s="4">
        <f t="shared" si="0"/>
      </c>
      <c r="I35">
        <f>VLOOKUP(TablaObra5[[#This Row],[Obra]],Catalogos!$B$3:$C$8,2,FALSE)</f>
      </c>
    </row>
    <row r="36" spans="1:11">
      <c r="A36" s="2">
        <v>46182</v>
      </c>
      <c r="B36" t="s">
        <v>10</v>
      </c>
      <c r="C36" s="2">
        <v>46182</v>
      </c>
      <c r="D36" t="s">
        <v>184</v>
      </c>
      <c r="E36">
        <f>VLOOKUP(TablaObra5[[#This Row],[Equipo]],Catalogos!$I$3:$J$34,2,FALSE)</f>
      </c>
      <c r="F36" s="3">
        <v>50</v>
      </c>
      <c r="G36" s="4">
        <v>28.3</v>
      </c>
      <c r="H36" s="4">
        <f t="shared" si="0"/>
      </c>
      <c r="I36">
        <f>VLOOKUP(TablaObra5[[#This Row],[Obra]],Catalogos!$B$3:$C$8,2,FALSE)</f>
      </c>
    </row>
    <row r="37" spans="1:11">
      <c r="A37" s="2">
        <v>46182</v>
      </c>
      <c r="B37" t="s">
        <v>10</v>
      </c>
      <c r="C37" s="2">
        <v>46182</v>
      </c>
      <c r="D37" t="s">
        <v>186</v>
      </c>
      <c r="E37">
        <f>VLOOKUP(TablaObra5[[#This Row],[Equipo]],Catalogos!$I$3:$J$34,2,FALSE)</f>
      </c>
      <c r="F37" s="3">
        <v>50</v>
      </c>
      <c r="G37" s="4">
        <v>28.3</v>
      </c>
      <c r="H37" s="4">
        <f t="shared" si="0"/>
      </c>
      <c r="I37">
        <f>VLOOKUP(TablaObra5[[#This Row],[Obra]],Catalogos!$B$3:$C$8,2,FALSE)</f>
      </c>
    </row>
    <row r="38" spans="1:11">
      <c r="A38" s="2">
        <v>46182</v>
      </c>
      <c r="B38" t="s">
        <v>10</v>
      </c>
      <c r="C38" s="2">
        <v>46182</v>
      </c>
      <c r="D38" t="s">
        <v>188</v>
      </c>
      <c r="E38">
        <f>VLOOKUP(TablaObra5[[#This Row],[Equipo]],Catalogos!$I$3:$J$34,2,FALSE)</f>
      </c>
      <c r="F38" s="3">
        <v>50</v>
      </c>
      <c r="G38" s="4">
        <v>28.3</v>
      </c>
      <c r="H38" s="4">
        <f t="shared" si="0"/>
      </c>
      <c r="I38">
        <f>VLOOKUP(TablaObra5[[#This Row],[Obra]],Catalogos!$B$3:$C$8,2,FALSE)</f>
      </c>
    </row>
    <row r="39" spans="1:11">
      <c r="A39" s="2">
        <v>46182</v>
      </c>
      <c r="B39" t="s">
        <v>10</v>
      </c>
      <c r="C39" s="2">
        <v>46182</v>
      </c>
      <c r="D39" t="s">
        <v>192</v>
      </c>
      <c r="E39">
        <f>VLOOKUP(TablaObra5[[#This Row],[Equipo]],Catalogos!$I$3:$J$34,2,FALSE)</f>
      </c>
      <c r="F39" s="3">
        <v>40</v>
      </c>
      <c r="G39" s="4">
        <v>28.3</v>
      </c>
      <c r="H39" s="4">
        <f t="shared" si="0"/>
      </c>
      <c r="I39">
        <f>VLOOKUP(TablaObra5[[#This Row],[Obra]],Catalogos!$B$3:$C$8,2,FALSE)</f>
      </c>
    </row>
    <row r="40" spans="1:11">
      <c r="A40" s="2">
        <v>46182</v>
      </c>
      <c r="B40" t="s">
        <v>10</v>
      </c>
      <c r="C40" s="2">
        <v>46182</v>
      </c>
      <c r="D40" t="s">
        <v>194</v>
      </c>
      <c r="E40">
        <f>VLOOKUP(TablaObra5[[#This Row],[Equipo]],Catalogos!$I$3:$J$34,2,FALSE)</f>
      </c>
      <c r="F40" s="3">
        <v>30</v>
      </c>
      <c r="G40" s="4">
        <v>28.3</v>
      </c>
      <c r="H40" s="4">
        <f t="shared" si="0"/>
      </c>
      <c r="I40">
        <f>VLOOKUP(TablaObra5[[#This Row],[Obra]],Catalogos!$B$3:$C$8,2,FALSE)</f>
      </c>
    </row>
    <row r="41" spans="1:11">
      <c r="A41" s="2">
        <v>46182</v>
      </c>
      <c r="B41" t="s">
        <v>8</v>
      </c>
      <c r="C41" s="2">
        <v>46182</v>
      </c>
      <c r="D41" t="s">
        <v>95</v>
      </c>
      <c r="E41">
        <f>VLOOKUP(TablaObra5[[#This Row],[Equipo]],Catalogos!$I$3:$J$34,2,FALSE)</f>
      </c>
      <c r="F41" s="3">
        <v>50</v>
      </c>
      <c r="G41" s="4">
        <v>28.3</v>
      </c>
      <c r="H41" s="4">
        <f t="shared" si="0"/>
      </c>
      <c r="I41">
        <f>VLOOKUP(TablaObra5[[#This Row],[Obra]],Catalogos!$B$3:$C$8,2,FALSE)</f>
      </c>
      <c r="K41" t="s">
        <v>202</v>
      </c>
    </row>
    <row r="42" spans="1:11">
      <c r="A42" s="2">
        <v>46182</v>
      </c>
      <c r="B42" t="s">
        <v>8</v>
      </c>
      <c r="C42" s="2">
        <v>46182</v>
      </c>
      <c r="D42" t="s">
        <v>181</v>
      </c>
      <c r="E42">
        <f>VLOOKUP(TablaObra5[[#This Row],[Equipo]],Catalogos!$I$3:$J$34,2,FALSE)</f>
      </c>
      <c r="F42" s="3">
        <v>50</v>
      </c>
      <c r="G42" s="4">
        <v>28.3</v>
      </c>
      <c r="H42" s="4">
        <f t="shared" si="0"/>
      </c>
      <c r="I42">
        <f>VLOOKUP(TablaObra5[[#This Row],[Obra]],Catalogos!$B$3:$C$8,2,FALSE)</f>
      </c>
    </row>
    <row r="43" spans="1:11">
      <c r="A43" s="2">
        <v>46182</v>
      </c>
      <c r="B43" t="s">
        <v>8</v>
      </c>
      <c r="C43" s="2">
        <v>46182</v>
      </c>
      <c r="D43" t="s">
        <v>100</v>
      </c>
      <c r="E43">
        <f>VLOOKUP(TablaObra5[[#This Row],[Equipo]],Catalogos!$I$3:$J$34,2,FALSE)</f>
      </c>
      <c r="F43" s="3">
        <v>60</v>
      </c>
      <c r="G43" s="4">
        <v>28.3</v>
      </c>
      <c r="H43" s="4">
        <f t="shared" si="0"/>
      </c>
      <c r="I43">
        <f>VLOOKUP(TablaObra5[[#This Row],[Obra]],Catalogos!$B$3:$C$8,2,FALSE)</f>
      </c>
    </row>
    <row r="44" spans="1:11">
      <c r="A44" s="2">
        <v>46182</v>
      </c>
      <c r="B44" t="s">
        <v>8</v>
      </c>
      <c r="C44" s="2">
        <v>46182</v>
      </c>
      <c r="D44" t="s">
        <v>200</v>
      </c>
      <c r="E44">
        <f>VLOOKUP(TablaObra5[[#This Row],[Equipo]],Catalogos!$I$3:$J$34,2,FALSE)</f>
      </c>
      <c r="F44" s="3">
        <v>50</v>
      </c>
      <c r="G44" s="4">
        <v>28.3</v>
      </c>
      <c r="H44" s="4">
        <f t="shared" si="0"/>
      </c>
      <c r="I44">
        <f>VLOOKUP(TablaObra5[[#This Row],[Obra]],Catalogos!$B$3:$C$8,2,FALSE)</f>
      </c>
    </row>
    <row r="45" spans="1:11">
      <c r="A45" s="2">
        <v>46182</v>
      </c>
      <c r="B45" t="s">
        <v>210</v>
      </c>
      <c r="C45" s="2"/>
      <c r="D45" t="s">
        <v>95</v>
      </c>
      <c r="E45">
        <f>VLOOKUP(TablaObra5[[#This Row],[Equipo]],Catalogos!$I$3:$J$34,2,FALSE)</f>
      </c>
      <c r="F45" s="3">
        <v>100</v>
      </c>
      <c r="G45" s="4">
        <v>28.3</v>
      </c>
      <c r="H45" s="4">
        <f>IFERROR(F45*G45,0)</f>
      </c>
      <c r="I45">
        <f>VLOOKUP(TablaObra5[[#This Row],[Obra]],Catalogos!$B$3:$C$8,2,FALSE)</f>
      </c>
    </row>
    <row r="46" spans="1:11">
      <c r="A46" s="2">
        <v>46183</v>
      </c>
      <c r="B46" t="s">
        <v>6</v>
      </c>
      <c r="C46" s="2">
        <v>46183</v>
      </c>
      <c r="D46" t="s">
        <v>164</v>
      </c>
      <c r="E46">
        <f>VLOOKUP(TablaObra5[[#This Row],[Equipo]],Catalogos!$I$3:$J$34,2,FALSE)</f>
      </c>
      <c r="F46" s="3">
        <v>250</v>
      </c>
      <c r="G46" s="4">
        <v>28.3</v>
      </c>
      <c r="H46" s="4">
        <f t="shared" si="0"/>
      </c>
      <c r="I46">
        <f>VLOOKUP(TablaObra5[[#This Row],[Obra]],Catalogos!$B$3:$C$8,2,FALSE)</f>
      </c>
    </row>
    <row r="47" spans="1:11">
      <c r="A47" s="2">
        <v>46183</v>
      </c>
      <c r="B47" t="s">
        <v>6</v>
      </c>
      <c r="C47" s="2">
        <v>46183</v>
      </c>
      <c r="D47" t="s">
        <v>95</v>
      </c>
      <c r="E47">
        <f>VLOOKUP(TablaObra5[[#This Row],[Equipo]],Catalogos!$I$3:$J$34,2,FALSE)</f>
      </c>
      <c r="F47" s="3">
        <v>30</v>
      </c>
      <c r="G47" s="4">
        <v>28.3</v>
      </c>
      <c r="H47" s="4">
        <f t="shared" si="0"/>
      </c>
      <c r="I47">
        <f>VLOOKUP(TablaObra5[[#This Row],[Obra]],Catalogos!$B$3:$C$8,2,FALSE)</f>
      </c>
    </row>
    <row r="48" spans="1:11">
      <c r="A48" s="2">
        <v>46183</v>
      </c>
      <c r="B48" t="s">
        <v>6</v>
      </c>
      <c r="C48" s="2">
        <v>46183</v>
      </c>
      <c r="D48" t="s">
        <v>165</v>
      </c>
      <c r="E48">
        <f>VLOOKUP(TablaObra5[[#This Row],[Equipo]],Catalogos!$I$3:$J$34,2,FALSE)</f>
      </c>
      <c r="F48" s="3">
        <v>20</v>
      </c>
      <c r="G48" s="4">
        <v>28.3</v>
      </c>
      <c r="H48" s="4">
        <f t="shared" si="0"/>
      </c>
      <c r="I48">
        <f>VLOOKUP(TablaObra5[[#This Row],[Obra]],Catalogos!$B$3:$C$8,2,FALSE)</f>
      </c>
    </row>
    <row r="49" spans="1:11">
      <c r="A49" s="2">
        <v>46183</v>
      </c>
      <c r="B49" t="s">
        <v>6</v>
      </c>
      <c r="C49" s="2">
        <v>46183</v>
      </c>
      <c r="D49" t="s">
        <v>192</v>
      </c>
      <c r="E49">
        <f>VLOOKUP(TablaObra5[[#This Row],[Equipo]],Catalogos!$I$3:$J$34,2,FALSE)</f>
      </c>
      <c r="F49" s="3">
        <v>20</v>
      </c>
      <c r="G49" s="4">
        <v>28.3</v>
      </c>
      <c r="H49" s="4">
        <f t="shared" si="0"/>
      </c>
      <c r="I49">
        <f>VLOOKUP(TablaObra5[[#This Row],[Obra]],Catalogos!$B$3:$C$8,2,FALSE)</f>
      </c>
    </row>
    <row r="50" spans="1:11">
      <c r="A50" s="2">
        <v>46184</v>
      </c>
      <c r="B50" t="s">
        <v>8</v>
      </c>
      <c r="C50" s="2">
        <v>46184</v>
      </c>
      <c r="D50" t="s">
        <v>100</v>
      </c>
      <c r="E50">
        <f>VLOOKUP(TablaObra5[[#This Row],[Equipo]],Catalogos!$I$3:$J$34,2,FALSE)</f>
      </c>
      <c r="F50" s="3">
        <v>80</v>
      </c>
      <c r="G50" s="4">
        <v>28.3</v>
      </c>
      <c r="H50" s="4">
        <f t="shared" si="0"/>
      </c>
      <c r="I50">
        <f>VLOOKUP(TablaObra5[[#This Row],[Obra]],Catalogos!$B$3:$C$8,2,FALSE)</f>
      </c>
    </row>
    <row r="51" spans="1:11">
      <c r="A51" s="2">
        <v>46184</v>
      </c>
      <c r="B51" t="s">
        <v>8</v>
      </c>
      <c r="C51" s="2">
        <v>46184</v>
      </c>
      <c r="D51" t="s">
        <v>190</v>
      </c>
      <c r="E51">
        <f>VLOOKUP(TablaObra5[[#This Row],[Equipo]],Catalogos!$I$3:$J$34,2,FALSE)</f>
      </c>
      <c r="F51" s="3">
        <v>80</v>
      </c>
      <c r="G51" s="4">
        <v>28.3</v>
      </c>
      <c r="H51" s="4">
        <f t="shared" si="0"/>
      </c>
      <c r="I51">
        <f>VLOOKUP(TablaObra5[[#This Row],[Obra]],Catalogos!$B$3:$C$8,2,FALSE)</f>
      </c>
    </row>
    <row r="52" spans="1:11">
      <c r="A52" s="2">
        <v>46184</v>
      </c>
      <c r="B52" t="s">
        <v>8</v>
      </c>
      <c r="C52" s="2">
        <v>46184</v>
      </c>
      <c r="D52" t="s">
        <v>95</v>
      </c>
      <c r="E52">
        <f>VLOOKUP(TablaObra5[[#This Row],[Equipo]],Catalogos!$I$3:$J$34,2,FALSE)</f>
      </c>
      <c r="F52" s="3">
        <v>70</v>
      </c>
      <c r="G52" s="4">
        <v>28.3</v>
      </c>
      <c r="H52" s="4">
        <f t="shared" si="0"/>
      </c>
      <c r="I52">
        <f>VLOOKUP(TablaObra5[[#This Row],[Obra]],Catalogos!$B$3:$C$8,2,FALSE)</f>
      </c>
    </row>
    <row r="53" spans="1:11">
      <c r="A53" s="2">
        <v>46184</v>
      </c>
      <c r="B53" t="s">
        <v>8</v>
      </c>
      <c r="C53" s="2">
        <v>46184</v>
      </c>
      <c r="D53" t="s">
        <v>200</v>
      </c>
      <c r="E53">
        <f>VLOOKUP(TablaObra5[[#This Row],[Equipo]],Catalogos!$I$3:$J$34,2,FALSE)</f>
      </c>
      <c r="F53" s="3">
        <v>40</v>
      </c>
      <c r="G53" s="4">
        <v>28.3</v>
      </c>
      <c r="H53" s="4">
        <f t="shared" si="0"/>
      </c>
      <c r="I53">
        <f>VLOOKUP(TablaObra5[[#This Row],[Obra]],Catalogos!$B$3:$C$8,2,FALSE)</f>
      </c>
    </row>
    <row r="54" spans="1:11">
      <c r="A54" s="2">
        <v>46184</v>
      </c>
      <c r="B54" t="s">
        <v>8</v>
      </c>
      <c r="C54" s="2">
        <v>46184</v>
      </c>
      <c r="D54" t="s">
        <v>160</v>
      </c>
      <c r="E54">
        <f>VLOOKUP(TablaObra5[[#This Row],[Equipo]],Catalogos!$I$3:$J$34,2,FALSE)</f>
      </c>
      <c r="F54" s="3">
        <v>150</v>
      </c>
      <c r="G54" s="4">
        <v>28.3</v>
      </c>
      <c r="H54" s="4">
        <f t="shared" si="0"/>
      </c>
      <c r="I54">
        <f>VLOOKUP(TablaObra5[[#This Row],[Obra]],Catalogos!$B$3:$C$8,2,FALSE)</f>
      </c>
    </row>
    <row r="55" spans="1:11">
      <c r="A55" s="2">
        <v>46184</v>
      </c>
      <c r="B55" t="s">
        <v>8</v>
      </c>
      <c r="C55" s="2">
        <v>46184</v>
      </c>
      <c r="D55" t="s">
        <v>198</v>
      </c>
      <c r="E55">
        <f>VLOOKUP(TablaObra5[[#This Row],[Equipo]],Catalogos!$I$3:$J$34,2,FALSE)</f>
      </c>
      <c r="F55" s="3">
        <v>30</v>
      </c>
      <c r="G55" s="4">
        <v>28.3</v>
      </c>
      <c r="H55" s="4">
        <f t="shared" si="0"/>
      </c>
      <c r="I55">
        <f>VLOOKUP(TablaObra5[[#This Row],[Obra]],Catalogos!$B$3:$C$8,2,FALSE)</f>
      </c>
    </row>
    <row r="56" spans="1:11">
      <c r="A56" s="2">
        <v>46184</v>
      </c>
      <c r="B56" t="s">
        <v>8</v>
      </c>
      <c r="C56" s="2">
        <v>46184</v>
      </c>
      <c r="D56" t="s">
        <v>196</v>
      </c>
      <c r="E56">
        <f>VLOOKUP(TablaObra5[[#This Row],[Equipo]],Catalogos!$I$3:$J$34,2,FALSE)</f>
      </c>
      <c r="F56" s="3">
        <v>10</v>
      </c>
      <c r="G56" s="4">
        <v>28.3</v>
      </c>
      <c r="H56" s="4">
        <f t="shared" si="0"/>
      </c>
      <c r="I56">
        <f>VLOOKUP(TablaObra5[[#This Row],[Obra]],Catalogos!$B$3:$C$8,2,FALSE)</f>
      </c>
    </row>
    <row r="57" spans="1:11">
      <c r="A57" s="2">
        <v>46184</v>
      </c>
      <c r="B57" t="s">
        <v>210</v>
      </c>
      <c r="C57" s="2"/>
      <c r="D57" t="s">
        <v>95</v>
      </c>
      <c r="E57">
        <f>VLOOKUP(TablaObra5[[#This Row],[Equipo]],Catalogos!$I$3:$J$34,2,FALSE)</f>
      </c>
      <c r="F57" s="3">
        <v>50</v>
      </c>
      <c r="G57" s="4">
        <v>28.3</v>
      </c>
      <c r="H57" s="4">
        <f t="shared" si="0"/>
      </c>
      <c r="I57">
        <f>VLOOKUP(TablaObra5[[#This Row],[Obra]],Catalogos!$B$3:$C$8,2,FALSE)</f>
      </c>
      <c r="K57" t="s">
        <v>208</v>
      </c>
    </row>
    <row r="58" spans="1:11">
      <c r="A58" s="2">
        <v>46184</v>
      </c>
      <c r="B58" t="s">
        <v>210</v>
      </c>
      <c r="D58" t="s">
        <v>96</v>
      </c>
      <c r="E58">
        <f>VLOOKUP(TablaObra5[[#This Row],[Equipo]],Catalogos!$I$3:$J$34,2,FALSE)</f>
      </c>
      <c r="F58" s="3">
        <v>10</v>
      </c>
      <c r="G58" s="4">
        <v>28.3</v>
      </c>
      <c r="H58" s="4">
        <f t="shared" si="0"/>
      </c>
      <c r="I58">
        <f>VLOOKUP(TablaObra5[[#This Row],[Obra]],Catalogos!$B$3:$C$8,2,FALSE)</f>
      </c>
      <c r="K58" t="s">
        <v>208</v>
      </c>
    </row>
    <row r="59" spans="1:11">
      <c r="A59" s="2">
        <v>46184</v>
      </c>
      <c r="B59" t="s">
        <v>210</v>
      </c>
      <c r="D59" t="s">
        <v>198</v>
      </c>
      <c r="E59">
        <f>VLOOKUP(TablaObra5[[#This Row],[Equipo]],Catalogos!$I$3:$J$34,2,FALSE)</f>
      </c>
      <c r="F59" s="3">
        <v>10</v>
      </c>
      <c r="G59" s="4">
        <v>28.3</v>
      </c>
      <c r="H59" s="4">
        <f t="shared" si="0"/>
      </c>
      <c r="I59">
        <f>VLOOKUP(TablaObra5[[#This Row],[Obra]],Catalogos!$B$3:$C$8,2,FALSE)</f>
      </c>
      <c r="K59" t="s">
        <v>208</v>
      </c>
    </row>
    <row r="60" spans="1:11">
      <c r="A60" s="2">
        <v>46185</v>
      </c>
      <c r="B60" t="s">
        <v>6</v>
      </c>
      <c r="C60" s="2">
        <v>46185</v>
      </c>
      <c r="D60" t="s">
        <v>164</v>
      </c>
      <c r="E60">
        <f>VLOOKUP(TablaObra5[[#This Row],[Equipo]],Catalogos!$I$3:$J$34,2,FALSE)</f>
      </c>
      <c r="F60" s="3">
        <v>250</v>
      </c>
      <c r="G60" s="4">
        <v>28.3</v>
      </c>
      <c r="H60" s="4">
        <f t="shared" si="0"/>
      </c>
      <c r="I60">
        <f>VLOOKUP(TablaObra5[[#This Row],[Obra]],Catalogos!$B$3:$C$8,2,FALSE)</f>
      </c>
    </row>
    <row r="61" spans="1:11">
      <c r="A61" s="2">
        <v>46185</v>
      </c>
      <c r="B61" t="s">
        <v>6</v>
      </c>
      <c r="C61" s="2">
        <v>46185</v>
      </c>
      <c r="D61" t="s">
        <v>160</v>
      </c>
      <c r="E61">
        <f>VLOOKUP(TablaObra5[[#This Row],[Equipo]],Catalogos!$I$3:$J$34,2,FALSE)</f>
      </c>
      <c r="F61" s="3">
        <v>150</v>
      </c>
      <c r="G61" s="4">
        <v>28.3</v>
      </c>
      <c r="H61" s="4">
        <f t="shared" si="0"/>
      </c>
      <c r="I61">
        <f>VLOOKUP(TablaObra5[[#This Row],[Obra]],Catalogos!$B$3:$C$8,2,FALSE)</f>
      </c>
    </row>
    <row r="62" spans="1:11">
      <c r="A62" s="2">
        <v>46185</v>
      </c>
      <c r="B62" t="s">
        <v>6</v>
      </c>
      <c r="C62" s="2">
        <v>46185</v>
      </c>
      <c r="D62" t="s">
        <v>86</v>
      </c>
      <c r="E62">
        <f>VLOOKUP(TablaObra5[[#This Row],[Equipo]],Catalogos!$I$3:$J$34,2,FALSE)</f>
      </c>
      <c r="F62" s="3">
        <v>40</v>
      </c>
      <c r="G62" s="4">
        <v>28.3</v>
      </c>
      <c r="H62" s="4">
        <f t="shared" si="0"/>
      </c>
      <c r="I62">
        <f>VLOOKUP(TablaObra5[[#This Row],[Obra]],Catalogos!$B$3:$C$8,2,FALSE)</f>
      </c>
    </row>
    <row r="63" spans="1:11">
      <c r="A63" s="2">
        <v>46185</v>
      </c>
      <c r="B63" t="s">
        <v>6</v>
      </c>
      <c r="C63" s="2">
        <v>46185</v>
      </c>
      <c r="D63" t="s">
        <v>181</v>
      </c>
      <c r="E63">
        <f>VLOOKUP(TablaObra5[[#This Row],[Equipo]],Catalogos!$I$3:$J$34,2,FALSE)</f>
      </c>
      <c r="F63" s="3">
        <v>30</v>
      </c>
      <c r="G63" s="4">
        <v>28.3</v>
      </c>
      <c r="H63" s="4">
        <f t="shared" si="0"/>
      </c>
      <c r="I63">
        <f>VLOOKUP(TablaObra5[[#This Row],[Obra]],Catalogos!$B$3:$C$8,2,FALSE)</f>
      </c>
    </row>
    <row r="64" spans="1:11">
      <c r="A64" s="2">
        <v>46185</v>
      </c>
      <c r="B64" t="s">
        <v>6</v>
      </c>
      <c r="C64" s="2">
        <v>46185</v>
      </c>
      <c r="D64" t="s">
        <v>95</v>
      </c>
      <c r="E64">
        <f>VLOOKUP(TablaObra5[[#This Row],[Equipo]],Catalogos!$I$3:$J$34,2,FALSE)</f>
      </c>
      <c r="F64" s="3">
        <v>30</v>
      </c>
      <c r="G64" s="4">
        <v>28.3</v>
      </c>
      <c r="H64" s="4">
        <f t="shared" si="0"/>
      </c>
      <c r="I64">
        <f>VLOOKUP(TablaObra5[[#This Row],[Obra]],Catalogos!$B$3:$C$8,2,FALSE)</f>
      </c>
    </row>
    <row r="65" spans="1:9">
      <c r="A65" s="2">
        <v>46185</v>
      </c>
      <c r="B65" t="s">
        <v>6</v>
      </c>
      <c r="C65" s="2">
        <v>46185</v>
      </c>
      <c r="D65" t="s">
        <v>165</v>
      </c>
      <c r="E65">
        <f>VLOOKUP(TablaObra5[[#This Row],[Equipo]],Catalogos!$I$3:$J$34,2,FALSE)</f>
      </c>
      <c r="F65" s="3">
        <v>20</v>
      </c>
      <c r="G65" s="4">
        <v>28.3</v>
      </c>
      <c r="H65" s="4">
        <f t="shared" si="0"/>
      </c>
      <c r="I65">
        <f>VLOOKUP(TablaObra5[[#This Row],[Obra]],Catalogos!$B$3:$C$8,2,FALSE)</f>
      </c>
    </row>
    <row r="66" spans="1:9">
      <c r="A66" s="2">
        <v>46185</v>
      </c>
      <c r="B66" t="s">
        <v>6</v>
      </c>
      <c r="C66" s="2">
        <v>46185</v>
      </c>
      <c r="D66" t="s">
        <v>192</v>
      </c>
      <c r="E66">
        <f>VLOOKUP(TablaObra5[[#This Row],[Equipo]],Catalogos!$I$3:$J$34,2,FALSE)</f>
      </c>
      <c r="F66" s="3">
        <v>20</v>
      </c>
      <c r="G66" s="4">
        <v>28.3</v>
      </c>
      <c r="H66" s="4">
        <f t="shared" si="0"/>
      </c>
      <c r="I66">
        <f>VLOOKUP(TablaObra5[[#This Row],[Obra]],Catalogos!$B$3:$C$8,2,FALSE)</f>
      </c>
    </row>
    <row r="67" spans="1:9">
      <c r="A67" s="2">
        <v>46185</v>
      </c>
      <c r="B67" t="s">
        <v>10</v>
      </c>
      <c r="C67" s="2">
        <v>46185</v>
      </c>
      <c r="D67" t="s">
        <v>171</v>
      </c>
      <c r="E67">
        <f>VLOOKUP(TablaObra5[[#This Row],[Equipo]],Catalogos!$I$3:$J$34,2,FALSE)</f>
      </c>
      <c r="F67" s="3">
        <v>250</v>
      </c>
      <c r="G67" s="4">
        <v>28.3</v>
      </c>
      <c r="H67" s="4">
        <f t="shared" si="0"/>
      </c>
      <c r="I67">
        <f>VLOOKUP(TablaObra5[[#This Row],[Obra]],Catalogos!$B$3:$C$8,2,FALSE)</f>
      </c>
    </row>
    <row r="68" spans="1:9">
      <c r="A68" s="2">
        <v>46185</v>
      </c>
      <c r="B68" t="s">
        <v>10</v>
      </c>
      <c r="C68" s="2">
        <v>46185</v>
      </c>
      <c r="D68" t="s">
        <v>175</v>
      </c>
      <c r="E68">
        <f>VLOOKUP(TablaObra5[[#This Row],[Equipo]],Catalogos!$I$3:$J$34,2,FALSE)</f>
      </c>
      <c r="F68" s="3">
        <v>40</v>
      </c>
      <c r="G68" s="4">
        <v>28.3</v>
      </c>
      <c r="H68" s="4">
        <f t="shared" si="0"/>
      </c>
      <c r="I68">
        <f>VLOOKUP(TablaObra5[[#This Row],[Obra]],Catalogos!$B$3:$C$8,2,FALSE)</f>
      </c>
    </row>
    <row r="69" spans="1:9">
      <c r="A69" s="2">
        <v>46185</v>
      </c>
      <c r="B69" t="s">
        <v>10</v>
      </c>
      <c r="C69" s="2">
        <v>46185</v>
      </c>
      <c r="D69" t="s">
        <v>177</v>
      </c>
      <c r="E69">
        <f>VLOOKUP(TablaObra5[[#This Row],[Equipo]],Catalogos!$I$3:$J$34,2,FALSE)</f>
      </c>
      <c r="F69" s="3">
        <v>60</v>
      </c>
      <c r="G69" s="4">
        <v>28.3</v>
      </c>
      <c r="H69" s="4">
        <f t="shared" si="0"/>
      </c>
      <c r="I69">
        <f>VLOOKUP(TablaObra5[[#This Row],[Obra]],Catalogos!$B$3:$C$8,2,FALSE)</f>
      </c>
    </row>
    <row r="70" spans="1:9">
      <c r="A70" s="2">
        <v>46185</v>
      </c>
      <c r="B70" t="s">
        <v>10</v>
      </c>
      <c r="C70" s="2">
        <v>46185</v>
      </c>
      <c r="D70" t="s">
        <v>182</v>
      </c>
      <c r="E70">
        <f>VLOOKUP(TablaObra5[[#This Row],[Equipo]],Catalogos!$I$3:$J$34,2,FALSE)</f>
      </c>
      <c r="F70" s="3">
        <v>100</v>
      </c>
      <c r="G70" s="4">
        <v>28.3</v>
      </c>
      <c r="H70" s="4">
        <f t="shared" si="0"/>
      </c>
      <c r="I70">
        <f>VLOOKUP(TablaObra5[[#This Row],[Obra]],Catalogos!$B$3:$C$8,2,FALSE)</f>
      </c>
    </row>
    <row r="71" spans="1:9">
      <c r="A71" s="2">
        <v>46185</v>
      </c>
      <c r="B71" t="s">
        <v>10</v>
      </c>
      <c r="C71" s="2">
        <v>46185</v>
      </c>
      <c r="D71" t="s">
        <v>198</v>
      </c>
      <c r="E71">
        <f>VLOOKUP(TablaObra5[[#This Row],[Equipo]],Catalogos!$I$3:$J$34,2,FALSE)</f>
      </c>
      <c r="F71" s="3">
        <v>20</v>
      </c>
      <c r="G71" s="4">
        <v>28.3</v>
      </c>
      <c r="H71" s="4">
        <f t="shared" ref="H71:H134" si="1">IFERROR(F71*G71,0)</f>
      </c>
      <c r="I71">
        <f>VLOOKUP(TablaObra5[[#This Row],[Obra]],Catalogos!$B$3:$C$8,2,FALSE)</f>
      </c>
    </row>
    <row r="72" spans="1:9">
      <c r="A72" s="2">
        <v>46185</v>
      </c>
      <c r="B72" t="s">
        <v>10</v>
      </c>
      <c r="C72" s="2">
        <v>46185</v>
      </c>
      <c r="D72" t="s">
        <v>184</v>
      </c>
      <c r="E72">
        <f>VLOOKUP(TablaObra5[[#This Row],[Equipo]],Catalogos!$I$3:$J$34,2,FALSE)</f>
      </c>
      <c r="F72" s="3">
        <v>50</v>
      </c>
      <c r="G72" s="4">
        <v>28.3</v>
      </c>
      <c r="H72" s="4">
        <f t="shared" si="1"/>
      </c>
      <c r="I72">
        <f>VLOOKUP(TablaObra5[[#This Row],[Obra]],Catalogos!$B$3:$C$8,2,FALSE)</f>
      </c>
    </row>
    <row r="73" spans="1:9">
      <c r="A73" s="2">
        <v>46185</v>
      </c>
      <c r="B73" t="s">
        <v>10</v>
      </c>
      <c r="C73" s="2">
        <v>46185</v>
      </c>
      <c r="D73" t="s">
        <v>186</v>
      </c>
      <c r="E73">
        <f>VLOOKUP(TablaObra5[[#This Row],[Equipo]],Catalogos!$I$3:$J$34,2,FALSE)</f>
      </c>
      <c r="F73" s="3">
        <v>50</v>
      </c>
      <c r="G73" s="4">
        <v>28.3</v>
      </c>
      <c r="H73" s="4">
        <f t="shared" si="1"/>
      </c>
      <c r="I73">
        <f>VLOOKUP(TablaObra5[[#This Row],[Obra]],Catalogos!$B$3:$C$8,2,FALSE)</f>
      </c>
    </row>
    <row r="74" spans="1:9">
      <c r="A74" s="2">
        <v>46185</v>
      </c>
      <c r="B74" t="s">
        <v>10</v>
      </c>
      <c r="C74" s="2">
        <v>46185</v>
      </c>
      <c r="D74" t="s">
        <v>188</v>
      </c>
      <c r="E74">
        <f>VLOOKUP(TablaObra5[[#This Row],[Equipo]],Catalogos!$I$3:$J$34,2,FALSE)</f>
      </c>
      <c r="F74" s="3">
        <v>50</v>
      </c>
      <c r="G74" s="4">
        <v>28.3</v>
      </c>
      <c r="H74" s="4">
        <f t="shared" si="1"/>
      </c>
      <c r="I74">
        <f>VLOOKUP(TablaObra5[[#This Row],[Obra]],Catalogos!$B$3:$C$8,2,FALSE)</f>
      </c>
    </row>
    <row r="75" spans="1:9">
      <c r="A75" s="2"/>
      <c r="E75">
        <f>VLOOKUP(TablaObra5[[#This Row],[Equipo]],Catalogos!$I$3:$J$34,2,FALSE)</f>
      </c>
      <c r="F75" s="3"/>
      <c r="G75" s="4">
        <v>28.3</v>
      </c>
      <c r="H75" s="4">
        <f t="shared" si="1"/>
      </c>
      <c r="I75">
        <f>VLOOKUP(TablaObra5[[#This Row],[Obra]],Catalogos!$B$3:$C$8,2,FALSE)</f>
      </c>
    </row>
    <row r="76" spans="1:9">
      <c r="A76" s="2"/>
      <c r="E76">
        <f>VLOOKUP(TablaObra5[[#This Row],[Equipo]],Catalogos!$I$3:$J$34,2,FALSE)</f>
      </c>
      <c r="F76" s="3"/>
      <c r="G76" s="4">
        <v>28.3</v>
      </c>
      <c r="H76" s="4">
        <f t="shared" si="1"/>
      </c>
      <c r="I76">
        <f>VLOOKUP(TablaObra5[[#This Row],[Obra]],Catalogos!$B$3:$C$8,2,FALSE)</f>
      </c>
    </row>
    <row r="77" spans="1:9">
      <c r="A77" s="2"/>
      <c r="E77">
        <f>VLOOKUP(TablaObra5[[#This Row],[Equipo]],Catalogos!$I$3:$J$34,2,FALSE)</f>
      </c>
      <c r="F77" s="3"/>
      <c r="G77" s="4">
        <v>28.3</v>
      </c>
      <c r="H77" s="4">
        <f t="shared" si="1"/>
      </c>
      <c r="I77">
        <f>VLOOKUP(TablaObra5[[#This Row],[Obra]],Catalogos!$B$3:$C$8,2,FALSE)</f>
      </c>
    </row>
    <row r="78" spans="1:9">
      <c r="A78" s="2"/>
      <c r="E78">
        <f>VLOOKUP(TablaObra5[[#This Row],[Equipo]],Catalogos!$I$3:$J$34,2,FALSE)</f>
      </c>
      <c r="F78" s="3"/>
      <c r="G78" s="4">
        <v>28.3</v>
      </c>
      <c r="H78" s="4">
        <f t="shared" si="1"/>
      </c>
      <c r="I78">
        <f>VLOOKUP(TablaObra5[[#This Row],[Obra]],Catalogos!$B$3:$C$8,2,FALSE)</f>
      </c>
    </row>
    <row r="79" spans="1:9">
      <c r="A79" s="2"/>
      <c r="E79">
        <f>VLOOKUP(TablaObra5[[#This Row],[Equipo]],Catalogos!$I$3:$J$34,2,FALSE)</f>
      </c>
      <c r="F79" s="3"/>
      <c r="G79" s="4">
        <v>28.3</v>
      </c>
      <c r="H79" s="4">
        <f t="shared" si="1"/>
      </c>
      <c r="I79">
        <f>VLOOKUP(TablaObra5[[#This Row],[Obra]],Catalogos!$B$3:$C$8,2,FALSE)</f>
      </c>
    </row>
    <row r="80" spans="1:9">
      <c r="A80" s="2"/>
      <c r="E80">
        <f>VLOOKUP(TablaObra5[[#This Row],[Equipo]],Catalogos!$I$3:$J$34,2,FALSE)</f>
      </c>
      <c r="F80" s="3"/>
      <c r="G80" s="4">
        <v>28.3</v>
      </c>
      <c r="H80" s="4">
        <f t="shared" si="1"/>
      </c>
      <c r="I80">
        <f>VLOOKUP(TablaObra5[[#This Row],[Obra]],Catalogos!$B$3:$C$8,2,FALSE)</f>
      </c>
    </row>
    <row r="81" spans="1:9">
      <c r="A81" s="2"/>
      <c r="E81">
        <f>VLOOKUP(TablaObra5[[#This Row],[Equipo]],Catalogos!$I$3:$J$34,2,FALSE)</f>
      </c>
      <c r="F81" s="3"/>
      <c r="G81" s="4">
        <v>28.3</v>
      </c>
      <c r="H81" s="4">
        <f t="shared" si="1"/>
      </c>
      <c r="I81">
        <f>VLOOKUP(TablaObra5[[#This Row],[Obra]],Catalogos!$B$3:$C$8,2,FALSE)</f>
      </c>
    </row>
    <row r="82" spans="1:9">
      <c r="A82" s="2"/>
      <c r="E82">
        <f>VLOOKUP(TablaObra5[[#This Row],[Equipo]],Catalogos!$I$3:$J$34,2,FALSE)</f>
      </c>
      <c r="F82" s="3"/>
      <c r="G82" s="4">
        <v>28.3</v>
      </c>
      <c r="H82" s="4">
        <f t="shared" si="1"/>
      </c>
      <c r="I82">
        <f>VLOOKUP(TablaObra5[[#This Row],[Obra]],Catalogos!$B$3:$C$8,2,FALSE)</f>
      </c>
    </row>
    <row r="83" spans="1:9">
      <c r="A83" s="2"/>
      <c r="E83">
        <f>VLOOKUP(TablaObra5[[#This Row],[Equipo]],Catalogos!$I$3:$J$34,2,FALSE)</f>
      </c>
      <c r="F83" s="3"/>
      <c r="G83" s="4">
        <v>28.3</v>
      </c>
      <c r="H83" s="4">
        <f t="shared" si="1"/>
      </c>
      <c r="I83">
        <f>VLOOKUP(TablaObra5[[#This Row],[Obra]],Catalogos!$B$3:$C$8,2,FALSE)</f>
      </c>
    </row>
    <row r="84" spans="1:9">
      <c r="A84" s="2"/>
      <c r="E84">
        <f>VLOOKUP(TablaObra5[[#This Row],[Equipo]],Catalogos!$I$3:$J$34,2,FALSE)</f>
      </c>
      <c r="F84" s="3"/>
      <c r="G84" s="4">
        <v>28.3</v>
      </c>
      <c r="H84" s="4">
        <f t="shared" si="1"/>
      </c>
      <c r="I84">
        <f>VLOOKUP(TablaObra5[[#This Row],[Obra]],Catalogos!$B$3:$C$8,2,FALSE)</f>
      </c>
    </row>
    <row r="85" spans="1:9">
      <c r="A85" s="2"/>
      <c r="E85">
        <f>VLOOKUP(TablaObra5[[#This Row],[Equipo]],Catalogos!$I$3:$J$34,2,FALSE)</f>
      </c>
      <c r="F85" s="3"/>
      <c r="G85" s="4">
        <v>28.3</v>
      </c>
      <c r="H85" s="4">
        <f t="shared" si="1"/>
      </c>
      <c r="I85">
        <f>VLOOKUP(TablaObra5[[#This Row],[Obra]],Catalogos!$B$3:$C$8,2,FALSE)</f>
      </c>
    </row>
    <row r="86" spans="1:9">
      <c r="A86" s="2"/>
      <c r="E86">
        <f>VLOOKUP(TablaObra5[[#This Row],[Equipo]],Catalogos!$I$3:$J$34,2,FALSE)</f>
      </c>
      <c r="F86" s="3"/>
      <c r="G86" s="4">
        <v>28.3</v>
      </c>
      <c r="H86" s="4">
        <f t="shared" si="1"/>
      </c>
      <c r="I86">
        <f>VLOOKUP(TablaObra5[[#This Row],[Obra]],Catalogos!$B$3:$C$8,2,FALSE)</f>
      </c>
    </row>
    <row r="87" spans="1:9">
      <c r="A87" s="2"/>
      <c r="E87">
        <f>VLOOKUP(TablaObra5[[#This Row],[Equipo]],Catalogos!$I$3:$J$34,2,FALSE)</f>
      </c>
      <c r="F87" s="3"/>
      <c r="G87" s="4">
        <v>28.3</v>
      </c>
      <c r="H87" s="4">
        <f t="shared" si="1"/>
      </c>
      <c r="I87">
        <f>VLOOKUP(TablaObra5[[#This Row],[Obra]],Catalogos!$B$3:$C$8,2,FALSE)</f>
      </c>
    </row>
    <row r="88" spans="1:9">
      <c r="A88" s="2"/>
      <c r="E88">
        <f>VLOOKUP(TablaObra5[[#This Row],[Equipo]],Catalogos!$I$3:$J$34,2,FALSE)</f>
      </c>
      <c r="F88" s="3"/>
      <c r="G88" s="4">
        <v>28.3</v>
      </c>
      <c r="H88" s="4">
        <f t="shared" si="1"/>
      </c>
      <c r="I88">
        <f>VLOOKUP(TablaObra5[[#This Row],[Obra]],Catalogos!$B$3:$C$8,2,FALSE)</f>
      </c>
    </row>
    <row r="89" spans="1:9">
      <c r="A89" s="2"/>
      <c r="E89">
        <f>VLOOKUP(TablaObra5[[#This Row],[Equipo]],Catalogos!$I$3:$J$34,2,FALSE)</f>
      </c>
      <c r="F89" s="3"/>
      <c r="G89" s="4">
        <v>28.3</v>
      </c>
      <c r="H89" s="4">
        <f t="shared" si="1"/>
      </c>
      <c r="I89">
        <f>VLOOKUP(TablaObra5[[#This Row],[Obra]],Catalogos!$B$3:$C$8,2,FALSE)</f>
      </c>
    </row>
    <row r="90" spans="1:9">
      <c r="A90" s="2"/>
      <c r="E90">
        <f>VLOOKUP(TablaObra5[[#This Row],[Equipo]],Catalogos!$I$3:$J$34,2,FALSE)</f>
      </c>
      <c r="F90" s="3"/>
      <c r="G90" s="4">
        <v>28.3</v>
      </c>
      <c r="H90" s="4">
        <f t="shared" si="1"/>
      </c>
      <c r="I90">
        <f>VLOOKUP(TablaObra5[[#This Row],[Obra]],Catalogos!$B$3:$C$8,2,FALSE)</f>
      </c>
    </row>
    <row r="91" spans="1:9">
      <c r="A91" s="2"/>
      <c r="E91">
        <f>VLOOKUP(TablaObra5[[#This Row],[Equipo]],Catalogos!$I$3:$J$34,2,FALSE)</f>
      </c>
      <c r="F91" s="3"/>
      <c r="G91" s="4">
        <v>28.3</v>
      </c>
      <c r="H91" s="4">
        <f t="shared" si="1"/>
      </c>
      <c r="I91">
        <f>VLOOKUP(TablaObra5[[#This Row],[Obra]],Catalogos!$B$3:$C$8,2,FALSE)</f>
      </c>
    </row>
    <row r="92" spans="1:9">
      <c r="A92" s="2"/>
      <c r="E92">
        <f>VLOOKUP(TablaObra5[[#This Row],[Equipo]],Catalogos!$I$3:$J$34,2,FALSE)</f>
      </c>
      <c r="F92" s="3"/>
      <c r="G92" s="4">
        <v>28.3</v>
      </c>
      <c r="H92" s="4">
        <f t="shared" si="1"/>
      </c>
      <c r="I92">
        <f>VLOOKUP(TablaObra5[[#This Row],[Obra]],Catalogos!$B$3:$C$8,2,FALSE)</f>
      </c>
    </row>
    <row r="93" spans="1:9">
      <c r="A93" s="2"/>
      <c r="E93">
        <f>VLOOKUP(TablaObra5[[#This Row],[Equipo]],Catalogos!$I$3:$J$34,2,FALSE)</f>
      </c>
      <c r="F93" s="3"/>
      <c r="G93" s="4">
        <v>28.3</v>
      </c>
      <c r="H93" s="4">
        <f t="shared" si="1"/>
      </c>
      <c r="I93">
        <f>VLOOKUP(TablaObra5[[#This Row],[Obra]],Catalogos!$B$3:$C$8,2,FALSE)</f>
      </c>
    </row>
    <row r="94" spans="1:9">
      <c r="A94" s="2"/>
      <c r="E94">
        <f>VLOOKUP(TablaObra5[[#This Row],[Equipo]],Catalogos!$I$3:$J$34,2,FALSE)</f>
      </c>
      <c r="F94" s="3"/>
      <c r="G94" s="4">
        <v>28.3</v>
      </c>
      <c r="H94" s="4">
        <f t="shared" si="1"/>
      </c>
      <c r="I94">
        <f>VLOOKUP(TablaObra5[[#This Row],[Obra]],Catalogos!$B$3:$C$8,2,FALSE)</f>
      </c>
    </row>
    <row r="95" spans="1:9">
      <c r="A95" s="2"/>
      <c r="E95">
        <f>VLOOKUP(TablaObra5[[#This Row],[Equipo]],Catalogos!$I$3:$J$34,2,FALSE)</f>
      </c>
      <c r="F95" s="3"/>
      <c r="G95" s="4">
        <v>28.3</v>
      </c>
      <c r="H95" s="4">
        <f t="shared" si="1"/>
      </c>
      <c r="I95">
        <f>VLOOKUP(TablaObra5[[#This Row],[Obra]],Catalogos!$B$3:$C$8,2,FALSE)</f>
      </c>
    </row>
    <row r="96" spans="1:9">
      <c r="A96" s="2"/>
      <c r="E96">
        <f>VLOOKUP(TablaObra5[[#This Row],[Equipo]],Catalogos!$I$3:$J$34,2,FALSE)</f>
      </c>
      <c r="F96" s="3"/>
      <c r="G96" s="4">
        <v>28.3</v>
      </c>
      <c r="H96" s="4">
        <f t="shared" si="1"/>
      </c>
      <c r="I96">
        <f>VLOOKUP(TablaObra5[[#This Row],[Obra]],Catalogos!$B$3:$C$8,2,FALSE)</f>
      </c>
    </row>
    <row r="97" spans="1:9">
      <c r="A97" s="2"/>
      <c r="E97">
        <f>VLOOKUP(TablaObra5[[#This Row],[Equipo]],Catalogos!$I$3:$J$34,2,FALSE)</f>
      </c>
      <c r="F97" s="3"/>
      <c r="G97" s="4">
        <v>28.3</v>
      </c>
      <c r="H97" s="4">
        <f t="shared" si="1"/>
      </c>
      <c r="I97">
        <f>VLOOKUP(TablaObra5[[#This Row],[Obra]],Catalogos!$B$3:$C$8,2,FALSE)</f>
      </c>
    </row>
    <row r="98" spans="1:9">
      <c r="A98" s="2"/>
      <c r="E98">
        <f>VLOOKUP(TablaObra5[[#This Row],[Equipo]],Catalogos!$I$3:$J$34,2,FALSE)</f>
      </c>
      <c r="F98" s="3"/>
      <c r="G98" s="4">
        <v>28.3</v>
      </c>
      <c r="H98" s="4">
        <f t="shared" si="1"/>
      </c>
      <c r="I98">
        <f>VLOOKUP(TablaObra5[[#This Row],[Obra]],Catalogos!$B$3:$C$8,2,FALSE)</f>
      </c>
    </row>
    <row r="99" spans="1:9">
      <c r="A99" s="2"/>
      <c r="E99">
        <f>VLOOKUP(TablaObra5[[#This Row],[Equipo]],Catalogos!$I$3:$J$34,2,FALSE)</f>
      </c>
      <c r="F99" s="3"/>
      <c r="G99" s="4">
        <v>28.3</v>
      </c>
      <c r="H99" s="4">
        <f t="shared" si="1"/>
      </c>
      <c r="I99">
        <f>VLOOKUP(TablaObra5[[#This Row],[Obra]],Catalogos!$B$3:$C$8,2,FALSE)</f>
      </c>
    </row>
    <row r="100" spans="1:9">
      <c r="A100" s="2"/>
      <c r="E100">
        <f>VLOOKUP(TablaObra5[[#This Row],[Equipo]],Catalogos!$I$3:$J$34,2,FALSE)</f>
      </c>
      <c r="F100" s="3"/>
      <c r="G100" s="4">
        <v>28.3</v>
      </c>
      <c r="H100" s="4">
        <f t="shared" si="1"/>
      </c>
      <c r="I100">
        <f>VLOOKUP(TablaObra5[[#This Row],[Obra]],Catalogos!$B$3:$C$8,2,FALSE)</f>
      </c>
    </row>
    <row r="101" spans="1:9">
      <c r="A101" s="2"/>
      <c r="E101">
        <f>VLOOKUP(TablaObra5[[#This Row],[Equipo]],Catalogos!$I$3:$J$34,2,FALSE)</f>
      </c>
      <c r="F101" s="3"/>
      <c r="G101" s="4">
        <v>28.3</v>
      </c>
      <c r="H101" s="4">
        <f t="shared" si="1"/>
      </c>
      <c r="I101">
        <f>VLOOKUP(TablaObra5[[#This Row],[Obra]],Catalogos!$B$3:$C$8,2,FALSE)</f>
      </c>
    </row>
    <row r="102" spans="1:9">
      <c r="A102" s="2"/>
      <c r="E102">
        <f>VLOOKUP(TablaObra5[[#This Row],[Equipo]],Catalogos!$I$3:$J$34,2,FALSE)</f>
      </c>
      <c r="F102" s="3"/>
      <c r="G102" s="4">
        <v>28.3</v>
      </c>
      <c r="H102" s="4">
        <f t="shared" si="1"/>
      </c>
      <c r="I102">
        <f>VLOOKUP(TablaObra5[[#This Row],[Obra]],Catalogos!$B$3:$C$8,2,FALSE)</f>
      </c>
    </row>
    <row r="103" spans="1:9">
      <c r="A103" s="2"/>
      <c r="E103">
        <f>VLOOKUP(TablaObra5[[#This Row],[Equipo]],Catalogos!$I$3:$J$34,2,FALSE)</f>
      </c>
      <c r="F103" s="3"/>
      <c r="G103" s="4">
        <v>28.3</v>
      </c>
      <c r="H103" s="4">
        <f t="shared" si="1"/>
      </c>
      <c r="I103">
        <f>VLOOKUP(TablaObra5[[#This Row],[Obra]],Catalogos!$B$3:$C$8,2,FALSE)</f>
      </c>
    </row>
    <row r="104" spans="1:9">
      <c r="A104" s="2"/>
      <c r="E104">
        <f>VLOOKUP(TablaObra5[[#This Row],[Equipo]],Catalogos!$I$3:$J$34,2,FALSE)</f>
      </c>
      <c r="F104" s="3"/>
      <c r="G104" s="4">
        <v>28.3</v>
      </c>
      <c r="H104" s="4">
        <f t="shared" si="1"/>
      </c>
      <c r="I104">
        <f>VLOOKUP(TablaObra5[[#This Row],[Obra]],Catalogos!$B$3:$C$8,2,FALSE)</f>
      </c>
    </row>
    <row r="105" spans="1:9">
      <c r="A105" s="2"/>
      <c r="E105">
        <f>VLOOKUP(TablaObra5[[#This Row],[Equipo]],Catalogos!$I$3:$J$34,2,FALSE)</f>
      </c>
      <c r="F105" s="3"/>
      <c r="G105" s="4">
        <v>28.3</v>
      </c>
      <c r="H105" s="4">
        <f t="shared" si="1"/>
      </c>
      <c r="I105">
        <f>VLOOKUP(TablaObra5[[#This Row],[Obra]],Catalogos!$B$3:$C$8,2,FALSE)</f>
      </c>
    </row>
    <row r="106" spans="1:9">
      <c r="A106" s="2"/>
      <c r="E106">
        <f>VLOOKUP(TablaObra5[[#This Row],[Equipo]],Catalogos!$I$3:$J$34,2,FALSE)</f>
      </c>
      <c r="F106" s="3"/>
      <c r="G106" s="4">
        <v>28.3</v>
      </c>
      <c r="H106" s="4">
        <f t="shared" si="1"/>
      </c>
      <c r="I106">
        <f>VLOOKUP(TablaObra5[[#This Row],[Obra]],Catalogos!$B$3:$C$8,2,FALSE)</f>
      </c>
    </row>
    <row r="107" spans="1:9">
      <c r="A107" s="2"/>
      <c r="E107">
        <f>VLOOKUP(TablaObra5[[#This Row],[Equipo]],Catalogos!$I$3:$J$34,2,FALSE)</f>
      </c>
      <c r="F107" s="3"/>
      <c r="G107" s="4">
        <v>28.3</v>
      </c>
      <c r="H107" s="4">
        <f t="shared" si="1"/>
      </c>
      <c r="I107">
        <f>VLOOKUP(TablaObra5[[#This Row],[Obra]],Catalogos!$B$3:$C$8,2,FALSE)</f>
      </c>
    </row>
    <row r="108" spans="1:9">
      <c r="A108" s="2"/>
      <c r="E108">
        <f>VLOOKUP(TablaObra5[[#This Row],[Equipo]],Catalogos!$I$3:$J$34,2,FALSE)</f>
      </c>
      <c r="F108" s="3"/>
      <c r="G108" s="4">
        <v>28.3</v>
      </c>
      <c r="H108" s="4">
        <f t="shared" si="1"/>
      </c>
      <c r="I108">
        <f>VLOOKUP(TablaObra5[[#This Row],[Obra]],Catalogos!$B$3:$C$8,2,FALSE)</f>
      </c>
    </row>
    <row r="109" spans="1:9">
      <c r="A109" s="2"/>
      <c r="E109">
        <f>VLOOKUP(TablaObra5[[#This Row],[Equipo]],Catalogos!$I$3:$J$34,2,FALSE)</f>
      </c>
      <c r="F109" s="3"/>
      <c r="G109" s="4">
        <v>28.3</v>
      </c>
      <c r="H109" s="4">
        <f t="shared" si="1"/>
      </c>
      <c r="I109">
        <f>VLOOKUP(TablaObra5[[#This Row],[Obra]],Catalogos!$B$3:$C$8,2,FALSE)</f>
      </c>
    </row>
    <row r="110" spans="1:9">
      <c r="A110" s="2"/>
      <c r="E110">
        <f>VLOOKUP(TablaObra5[[#This Row],[Equipo]],Catalogos!$I$3:$J$34,2,FALSE)</f>
      </c>
      <c r="F110" s="3"/>
      <c r="G110" s="4">
        <v>28.3</v>
      </c>
      <c r="H110" s="4">
        <f t="shared" si="1"/>
      </c>
      <c r="I110">
        <f>VLOOKUP(TablaObra5[[#This Row],[Obra]],Catalogos!$B$3:$C$8,2,FALSE)</f>
      </c>
    </row>
    <row r="111" spans="1:9">
      <c r="A111" s="2"/>
      <c r="E111">
        <f>VLOOKUP(TablaObra5[[#This Row],[Equipo]],Catalogos!$I$3:$J$34,2,FALSE)</f>
      </c>
      <c r="F111" s="3"/>
      <c r="G111" s="4">
        <v>28.3</v>
      </c>
      <c r="H111" s="4">
        <f t="shared" si="1"/>
      </c>
      <c r="I111">
        <f>VLOOKUP(TablaObra5[[#This Row],[Obra]],Catalogos!$B$3:$C$8,2,FALSE)</f>
      </c>
    </row>
    <row r="112" spans="1:9">
      <c r="A112" s="2"/>
      <c r="E112">
        <f>VLOOKUP(TablaObra5[[#This Row],[Equipo]],Catalogos!$I$3:$J$34,2,FALSE)</f>
      </c>
      <c r="F112" s="3"/>
      <c r="G112" s="4">
        <v>28.3</v>
      </c>
      <c r="H112" s="4">
        <f t="shared" si="1"/>
      </c>
      <c r="I112">
        <f>VLOOKUP(TablaObra5[[#This Row],[Obra]],Catalogos!$B$3:$C$8,2,FALSE)</f>
      </c>
    </row>
    <row r="113" spans="1:9">
      <c r="A113" s="2"/>
      <c r="E113">
        <f>VLOOKUP(TablaObra5[[#This Row],[Equipo]],Catalogos!$I$3:$J$34,2,FALSE)</f>
      </c>
      <c r="F113" s="3"/>
      <c r="G113" s="4">
        <v>28.3</v>
      </c>
      <c r="H113" s="4">
        <f t="shared" si="1"/>
      </c>
      <c r="I113">
        <f>VLOOKUP(TablaObra5[[#This Row],[Obra]],Catalogos!$B$3:$C$8,2,FALSE)</f>
      </c>
    </row>
    <row r="114" spans="1:9">
      <c r="A114" s="2"/>
      <c r="E114">
        <f>VLOOKUP(TablaObra5[[#This Row],[Equipo]],Catalogos!$I$3:$J$34,2,FALSE)</f>
      </c>
      <c r="F114" s="3"/>
      <c r="G114" s="4">
        <v>28.3</v>
      </c>
      <c r="H114" s="4">
        <f t="shared" si="1"/>
      </c>
      <c r="I114">
        <f>VLOOKUP(TablaObra5[[#This Row],[Obra]],Catalogos!$B$3:$C$8,2,FALSE)</f>
      </c>
    </row>
    <row r="115" spans="1:9">
      <c r="A115" s="2"/>
      <c r="E115">
        <f>VLOOKUP(TablaObra5[[#This Row],[Equipo]],Catalogos!$I$3:$J$34,2,FALSE)</f>
      </c>
      <c r="F115" s="3"/>
      <c r="G115" s="4">
        <v>28.3</v>
      </c>
      <c r="H115" s="4">
        <f t="shared" si="1"/>
      </c>
      <c r="I115">
        <f>VLOOKUP(TablaObra5[[#This Row],[Obra]],Catalogos!$B$3:$C$8,2,FALSE)</f>
      </c>
    </row>
    <row r="116" spans="1:9">
      <c r="A116" s="2"/>
      <c r="E116">
        <f>VLOOKUP(TablaObra5[[#This Row],[Equipo]],Catalogos!$I$3:$J$34,2,FALSE)</f>
      </c>
      <c r="F116" s="3"/>
      <c r="G116" s="4">
        <v>28.3</v>
      </c>
      <c r="H116" s="4">
        <f t="shared" si="1"/>
      </c>
      <c r="I116">
        <f>VLOOKUP(TablaObra5[[#This Row],[Obra]],Catalogos!$B$3:$C$8,2,FALSE)</f>
      </c>
    </row>
    <row r="117" spans="1:9">
      <c r="A117" s="2"/>
      <c r="E117">
        <f>VLOOKUP(TablaObra5[[#This Row],[Equipo]],Catalogos!$I$3:$J$34,2,FALSE)</f>
      </c>
      <c r="F117" s="3"/>
      <c r="G117" s="4">
        <v>28.3</v>
      </c>
      <c r="H117" s="4">
        <f t="shared" si="1"/>
      </c>
      <c r="I117">
        <f>VLOOKUP(TablaObra5[[#This Row],[Obra]],Catalogos!$B$3:$C$8,2,FALSE)</f>
      </c>
    </row>
    <row r="118" spans="1:9">
      <c r="A118" s="2"/>
      <c r="E118">
        <f>VLOOKUP(TablaObra5[[#This Row],[Equipo]],Catalogos!$I$3:$J$34,2,FALSE)</f>
      </c>
      <c r="F118" s="3"/>
      <c r="G118" s="4">
        <v>28.3</v>
      </c>
      <c r="H118" s="4">
        <f t="shared" si="1"/>
      </c>
      <c r="I118">
        <f>VLOOKUP(TablaObra5[[#This Row],[Obra]],Catalogos!$B$3:$C$8,2,FALSE)</f>
      </c>
    </row>
    <row r="119" spans="1:9">
      <c r="A119" s="2"/>
      <c r="E119">
        <f>VLOOKUP(TablaObra5[[#This Row],[Equipo]],Catalogos!$I$3:$J$34,2,FALSE)</f>
      </c>
      <c r="F119" s="3"/>
      <c r="G119" s="4">
        <v>28.3</v>
      </c>
      <c r="H119" s="4">
        <f t="shared" si="1"/>
      </c>
      <c r="I119">
        <f>VLOOKUP(TablaObra5[[#This Row],[Obra]],Catalogos!$B$3:$C$8,2,FALSE)</f>
      </c>
    </row>
    <row r="120" spans="1:9">
      <c r="A120" s="2"/>
      <c r="E120">
        <f>VLOOKUP(TablaObra5[[#This Row],[Equipo]],Catalogos!$I$3:$J$34,2,FALSE)</f>
      </c>
      <c r="F120" s="3"/>
      <c r="G120" s="4">
        <v>28.3</v>
      </c>
      <c r="H120" s="4">
        <f t="shared" si="1"/>
      </c>
      <c r="I120">
        <f>VLOOKUP(TablaObra5[[#This Row],[Obra]],Catalogos!$B$3:$C$8,2,FALSE)</f>
      </c>
    </row>
    <row r="121" spans="1:9">
      <c r="A121" s="2"/>
      <c r="E121">
        <f>VLOOKUP(TablaObra5[[#This Row],[Equipo]],Catalogos!$I$3:$J$34,2,FALSE)</f>
      </c>
      <c r="F121" s="3"/>
      <c r="G121" s="4">
        <v>28.3</v>
      </c>
      <c r="H121" s="4">
        <f t="shared" si="1"/>
      </c>
      <c r="I121">
        <f>VLOOKUP(TablaObra5[[#This Row],[Obra]],Catalogos!$B$3:$C$8,2,FALSE)</f>
      </c>
    </row>
    <row r="122" spans="1:9">
      <c r="A122" s="2"/>
      <c r="E122">
        <f>VLOOKUP(TablaObra5[[#This Row],[Equipo]],Catalogos!$I$3:$J$34,2,FALSE)</f>
      </c>
      <c r="F122" s="3"/>
      <c r="G122" s="4">
        <v>28.3</v>
      </c>
      <c r="H122" s="4">
        <f t="shared" si="1"/>
      </c>
      <c r="I122">
        <f>VLOOKUP(TablaObra5[[#This Row],[Obra]],Catalogos!$B$3:$C$8,2,FALSE)</f>
      </c>
    </row>
    <row r="123" spans="1:9">
      <c r="A123" s="2"/>
      <c r="E123">
        <f>VLOOKUP(TablaObra5[[#This Row],[Equipo]],Catalogos!$I$3:$J$34,2,FALSE)</f>
      </c>
      <c r="F123" s="3"/>
      <c r="G123" s="4">
        <v>28.3</v>
      </c>
      <c r="H123" s="4">
        <f t="shared" si="1"/>
      </c>
      <c r="I123">
        <f>VLOOKUP(TablaObra5[[#This Row],[Obra]],Catalogos!$B$3:$C$8,2,FALSE)</f>
      </c>
    </row>
    <row r="124" spans="1:9">
      <c r="A124" s="2"/>
      <c r="E124">
        <f>VLOOKUP(TablaObra5[[#This Row],[Equipo]],Catalogos!$I$3:$J$34,2,FALSE)</f>
      </c>
      <c r="F124" s="3"/>
      <c r="G124" s="4">
        <v>28.3</v>
      </c>
      <c r="H124" s="4">
        <f t="shared" si="1"/>
      </c>
      <c r="I124">
        <f>VLOOKUP(TablaObra5[[#This Row],[Obra]],Catalogos!$B$3:$C$8,2,FALSE)</f>
      </c>
    </row>
    <row r="125" spans="1:9">
      <c r="A125" s="2"/>
      <c r="E125">
        <f>VLOOKUP(TablaObra5[[#This Row],[Equipo]],Catalogos!$I$3:$J$34,2,FALSE)</f>
      </c>
      <c r="F125" s="3"/>
      <c r="G125" s="4">
        <v>28.3</v>
      </c>
      <c r="H125" s="4">
        <f t="shared" si="1"/>
      </c>
      <c r="I125">
        <f>VLOOKUP(TablaObra5[[#This Row],[Obra]],Catalogos!$B$3:$C$8,2,FALSE)</f>
      </c>
    </row>
    <row r="126" spans="1:9">
      <c r="A126" s="2"/>
      <c r="E126">
        <f>VLOOKUP(TablaObra5[[#This Row],[Equipo]],Catalogos!$I$3:$J$34,2,FALSE)</f>
      </c>
      <c r="F126" s="3"/>
      <c r="G126" s="4">
        <v>28.3</v>
      </c>
      <c r="H126" s="4">
        <f t="shared" si="1"/>
      </c>
      <c r="I126">
        <f>VLOOKUP(TablaObra5[[#This Row],[Obra]],Catalogos!$B$3:$C$8,2,FALSE)</f>
      </c>
    </row>
    <row r="127" spans="1:9">
      <c r="A127" s="2"/>
      <c r="E127">
        <f>VLOOKUP(TablaObra5[[#This Row],[Equipo]],Catalogos!$I$3:$J$34,2,FALSE)</f>
      </c>
      <c r="F127" s="3"/>
      <c r="G127" s="4">
        <v>28.3</v>
      </c>
      <c r="H127" s="4">
        <f t="shared" si="1"/>
      </c>
      <c r="I127">
        <f>VLOOKUP(TablaObra5[[#This Row],[Obra]],Catalogos!$B$3:$C$8,2,FALSE)</f>
      </c>
    </row>
    <row r="128" spans="1:9">
      <c r="A128" s="2"/>
      <c r="E128">
        <f>VLOOKUP(TablaObra5[[#This Row],[Equipo]],Catalogos!$I$3:$J$34,2,FALSE)</f>
      </c>
      <c r="F128" s="3"/>
      <c r="G128" s="4">
        <v>28.3</v>
      </c>
      <c r="H128" s="4">
        <f t="shared" si="1"/>
      </c>
      <c r="I128">
        <f>VLOOKUP(TablaObra5[[#This Row],[Obra]],Catalogos!$B$3:$C$8,2,FALSE)</f>
      </c>
    </row>
    <row r="129" spans="1:9">
      <c r="A129" s="2"/>
      <c r="E129">
        <f>VLOOKUP(TablaObra5[[#This Row],[Equipo]],Catalogos!$I$3:$J$34,2,FALSE)</f>
      </c>
      <c r="F129" s="3"/>
      <c r="G129" s="4">
        <v>28.3</v>
      </c>
      <c r="H129" s="4">
        <f t="shared" si="1"/>
      </c>
      <c r="I129">
        <f>VLOOKUP(TablaObra5[[#This Row],[Obra]],Catalogos!$B$3:$C$8,2,FALSE)</f>
      </c>
    </row>
    <row r="130" spans="1:9">
      <c r="A130" s="2"/>
      <c r="E130">
        <f>VLOOKUP(TablaObra5[[#This Row],[Equipo]],Catalogos!$I$3:$J$34,2,FALSE)</f>
      </c>
      <c r="F130" s="3"/>
      <c r="G130" s="4">
        <v>28.3</v>
      </c>
      <c r="H130" s="4">
        <f t="shared" si="1"/>
      </c>
      <c r="I130">
        <f>VLOOKUP(TablaObra5[[#This Row],[Obra]],Catalogos!$B$3:$C$8,2,FALSE)</f>
      </c>
    </row>
    <row r="131" spans="1:9">
      <c r="A131" s="2"/>
      <c r="E131">
        <f>VLOOKUP(TablaObra5[[#This Row],[Equipo]],Catalogos!$I$3:$J$34,2,FALSE)</f>
      </c>
      <c r="F131" s="3"/>
      <c r="G131" s="4">
        <v>28.3</v>
      </c>
      <c r="H131" s="4">
        <f t="shared" si="1"/>
      </c>
      <c r="I131">
        <f>VLOOKUP(TablaObra5[[#This Row],[Obra]],Catalogos!$B$3:$C$8,2,FALSE)</f>
      </c>
    </row>
    <row r="132" spans="1:9">
      <c r="A132" s="2"/>
      <c r="E132">
        <f>VLOOKUP(TablaObra5[[#This Row],[Equipo]],Catalogos!$I$3:$J$34,2,FALSE)</f>
      </c>
      <c r="F132" s="3"/>
      <c r="G132" s="4">
        <v>28.3</v>
      </c>
      <c r="H132" s="4">
        <f t="shared" si="1"/>
      </c>
      <c r="I132">
        <f>VLOOKUP(TablaObra5[[#This Row],[Obra]],Catalogos!$B$3:$C$8,2,FALSE)</f>
      </c>
    </row>
    <row r="133" spans="1:9">
      <c r="A133" s="2"/>
      <c r="E133">
        <f>VLOOKUP(TablaObra5[[#This Row],[Equipo]],Catalogos!$I$3:$J$34,2,FALSE)</f>
      </c>
      <c r="F133" s="3"/>
      <c r="G133" s="4">
        <v>28.3</v>
      </c>
      <c r="H133" s="4">
        <f t="shared" si="1"/>
      </c>
      <c r="I133">
        <f>VLOOKUP(TablaObra5[[#This Row],[Obra]],Catalogos!$B$3:$C$8,2,FALSE)</f>
      </c>
    </row>
    <row r="134" spans="1:9">
      <c r="A134" s="2"/>
      <c r="E134">
        <f>VLOOKUP(TablaObra5[[#This Row],[Equipo]],Catalogos!$I$3:$J$34,2,FALSE)</f>
      </c>
      <c r="F134" s="3"/>
      <c r="G134" s="4">
        <v>28.3</v>
      </c>
      <c r="H134" s="4">
        <f t="shared" si="1"/>
      </c>
      <c r="I134">
        <f>VLOOKUP(TablaObra5[[#This Row],[Obra]],Catalogos!$B$3:$C$8,2,FALSE)</f>
      </c>
    </row>
    <row r="135" spans="1:9">
      <c r="A135" s="2"/>
      <c r="E135">
        <f>VLOOKUP(TablaObra5[[#This Row],[Equipo]],Catalogos!$I$3:$J$34,2,FALSE)</f>
      </c>
      <c r="F135" s="3"/>
      <c r="G135" s="4">
        <v>28.3</v>
      </c>
      <c r="H135" s="4">
        <f t="shared" ref="H135:H198" si="2">IFERROR(F135*G135,0)</f>
      </c>
      <c r="I135">
        <f>VLOOKUP(TablaObra5[[#This Row],[Obra]],Catalogos!$B$3:$C$8,2,FALSE)</f>
      </c>
    </row>
    <row r="136" spans="1:9">
      <c r="A136" s="2"/>
      <c r="E136">
        <f>VLOOKUP(TablaObra5[[#This Row],[Equipo]],Catalogos!$I$3:$J$34,2,FALSE)</f>
      </c>
      <c r="F136" s="3"/>
      <c r="G136" s="4">
        <v>28.3</v>
      </c>
      <c r="H136" s="4">
        <f t="shared" si="2"/>
      </c>
      <c r="I136">
        <f>VLOOKUP(TablaObra5[[#This Row],[Obra]],Catalogos!$B$3:$C$8,2,FALSE)</f>
      </c>
    </row>
    <row r="137" spans="1:9">
      <c r="A137" s="2"/>
      <c r="E137">
        <f>VLOOKUP(TablaObra5[[#This Row],[Equipo]],Catalogos!$I$3:$J$34,2,FALSE)</f>
      </c>
      <c r="F137" s="3"/>
      <c r="G137" s="4">
        <v>28.3</v>
      </c>
      <c r="H137" s="4">
        <f t="shared" si="2"/>
      </c>
      <c r="I137">
        <f>VLOOKUP(TablaObra5[[#This Row],[Obra]],Catalogos!$B$3:$C$8,2,FALSE)</f>
      </c>
    </row>
    <row r="138" spans="1:9">
      <c r="A138" s="2"/>
      <c r="E138">
        <f>VLOOKUP(TablaObra5[[#This Row],[Equipo]],Catalogos!$I$3:$J$34,2,FALSE)</f>
      </c>
      <c r="F138" s="3"/>
      <c r="G138" s="4">
        <v>28.3</v>
      </c>
      <c r="H138" s="4">
        <f t="shared" si="2"/>
      </c>
      <c r="I138">
        <f>VLOOKUP(TablaObra5[[#This Row],[Obra]],Catalogos!$B$3:$C$8,2,FALSE)</f>
      </c>
    </row>
    <row r="139" spans="1:9">
      <c r="A139" s="2"/>
      <c r="E139">
        <f>VLOOKUP(TablaObra5[[#This Row],[Equipo]],Catalogos!$I$3:$J$34,2,FALSE)</f>
      </c>
      <c r="F139" s="3"/>
      <c r="G139" s="4">
        <v>28.3</v>
      </c>
      <c r="H139" s="4">
        <f t="shared" si="2"/>
      </c>
      <c r="I139">
        <f>VLOOKUP(TablaObra5[[#This Row],[Obra]],Catalogos!$B$3:$C$8,2,FALSE)</f>
      </c>
    </row>
    <row r="140" spans="1:9">
      <c r="A140" s="2"/>
      <c r="E140">
        <f>VLOOKUP(TablaObra5[[#This Row],[Equipo]],Catalogos!$I$3:$J$34,2,FALSE)</f>
      </c>
      <c r="F140" s="3"/>
      <c r="G140" s="4">
        <v>28.3</v>
      </c>
      <c r="H140" s="4">
        <f t="shared" si="2"/>
      </c>
      <c r="I140">
        <f>VLOOKUP(TablaObra5[[#This Row],[Obra]],Catalogos!$B$3:$C$8,2,FALSE)</f>
      </c>
    </row>
    <row r="141" spans="1:9">
      <c r="A141" s="2"/>
      <c r="E141">
        <f>VLOOKUP(TablaObra5[[#This Row],[Equipo]],Catalogos!$I$3:$J$34,2,FALSE)</f>
      </c>
      <c r="F141" s="3"/>
      <c r="G141" s="4">
        <v>28.3</v>
      </c>
      <c r="H141" s="4">
        <f t="shared" si="2"/>
      </c>
      <c r="I141">
        <f>VLOOKUP(TablaObra5[[#This Row],[Obra]],Catalogos!$B$3:$C$8,2,FALSE)</f>
      </c>
    </row>
    <row r="142" spans="1:9">
      <c r="A142" s="2"/>
      <c r="E142">
        <f>VLOOKUP(TablaObra5[[#This Row],[Equipo]],Catalogos!$I$3:$J$34,2,FALSE)</f>
      </c>
      <c r="F142" s="3"/>
      <c r="G142" s="4">
        <v>28.3</v>
      </c>
      <c r="H142" s="4">
        <f t="shared" si="2"/>
      </c>
      <c r="I142">
        <f>VLOOKUP(TablaObra5[[#This Row],[Obra]],Catalogos!$B$3:$C$8,2,FALSE)</f>
      </c>
    </row>
    <row r="143" spans="1:9">
      <c r="A143" s="2"/>
      <c r="E143">
        <f>VLOOKUP(TablaObra5[[#This Row],[Equipo]],Catalogos!$I$3:$J$34,2,FALSE)</f>
      </c>
      <c r="F143" s="3"/>
      <c r="G143" s="4">
        <v>28.3</v>
      </c>
      <c r="H143" s="4">
        <f t="shared" si="2"/>
      </c>
      <c r="I143">
        <f>VLOOKUP(TablaObra5[[#This Row],[Obra]],Catalogos!$B$3:$C$8,2,FALSE)</f>
      </c>
    </row>
    <row r="144" spans="1:9">
      <c r="A144" s="2"/>
      <c r="E144">
        <f>VLOOKUP(TablaObra5[[#This Row],[Equipo]],Catalogos!$I$3:$J$34,2,FALSE)</f>
      </c>
      <c r="F144" s="3"/>
      <c r="G144" s="4">
        <v>28.3</v>
      </c>
      <c r="H144" s="4">
        <f t="shared" si="2"/>
      </c>
      <c r="I144">
        <f>VLOOKUP(TablaObra5[[#This Row],[Obra]],Catalogos!$B$3:$C$8,2,FALSE)</f>
      </c>
    </row>
    <row r="145" spans="1:9">
      <c r="A145" s="2"/>
      <c r="E145">
        <f>VLOOKUP(TablaObra5[[#This Row],[Equipo]],Catalogos!$I$3:$J$34,2,FALSE)</f>
      </c>
      <c r="F145" s="3"/>
      <c r="G145" s="4">
        <v>28.3</v>
      </c>
      <c r="H145" s="4">
        <f t="shared" si="2"/>
      </c>
      <c r="I145">
        <f>VLOOKUP(TablaObra5[[#This Row],[Obra]],Catalogos!$B$3:$C$8,2,FALSE)</f>
      </c>
    </row>
    <row r="146" spans="1:9">
      <c r="A146" s="2"/>
      <c r="E146">
        <f>VLOOKUP(TablaObra5[[#This Row],[Equipo]],Catalogos!$I$3:$J$34,2,FALSE)</f>
      </c>
      <c r="F146" s="3"/>
      <c r="G146" s="4">
        <v>28.3</v>
      </c>
      <c r="H146" s="4">
        <f t="shared" si="2"/>
      </c>
      <c r="I146">
        <f>VLOOKUP(TablaObra5[[#This Row],[Obra]],Catalogos!$B$3:$C$8,2,FALSE)</f>
      </c>
    </row>
    <row r="147" spans="1:9">
      <c r="A147" s="2"/>
      <c r="E147">
        <f>VLOOKUP(TablaObra5[[#This Row],[Equipo]],Catalogos!$I$3:$J$34,2,FALSE)</f>
      </c>
      <c r="F147" s="3"/>
      <c r="G147" s="4">
        <v>28.3</v>
      </c>
      <c r="H147" s="4">
        <f t="shared" si="2"/>
      </c>
      <c r="I147">
        <f>VLOOKUP(TablaObra5[[#This Row],[Obra]],Catalogos!$B$3:$C$8,2,FALSE)</f>
      </c>
    </row>
    <row r="148" spans="1:9">
      <c r="A148" s="2"/>
      <c r="E148">
        <f>VLOOKUP(TablaObra5[[#This Row],[Equipo]],Catalogos!$I$3:$J$34,2,FALSE)</f>
      </c>
      <c r="F148" s="3"/>
      <c r="G148" s="4">
        <v>28.3</v>
      </c>
      <c r="H148" s="4">
        <f t="shared" si="2"/>
      </c>
      <c r="I148">
        <f>VLOOKUP(TablaObra5[[#This Row],[Obra]],Catalogos!$B$3:$C$8,2,FALSE)</f>
      </c>
    </row>
    <row r="149" spans="1:9">
      <c r="A149" s="2"/>
      <c r="E149">
        <f>VLOOKUP(TablaObra5[[#This Row],[Equipo]],Catalogos!$I$3:$J$34,2,FALSE)</f>
      </c>
      <c r="F149" s="3"/>
      <c r="G149" s="4">
        <v>28.3</v>
      </c>
      <c r="H149" s="4">
        <f t="shared" si="2"/>
      </c>
      <c r="I149">
        <f>VLOOKUP(TablaObra5[[#This Row],[Obra]],Catalogos!$B$3:$C$8,2,FALSE)</f>
      </c>
    </row>
    <row r="150" spans="1:9">
      <c r="A150" s="2"/>
      <c r="E150">
        <f>VLOOKUP(TablaObra5[[#This Row],[Equipo]],Catalogos!$I$3:$J$34,2,FALSE)</f>
      </c>
      <c r="F150" s="3"/>
      <c r="G150" s="4">
        <v>28.3</v>
      </c>
      <c r="H150" s="4">
        <f t="shared" si="2"/>
      </c>
      <c r="I150">
        <f>VLOOKUP(TablaObra5[[#This Row],[Obra]],Catalogos!$B$3:$C$8,2,FALSE)</f>
      </c>
    </row>
    <row r="151" spans="1:9">
      <c r="A151" s="2"/>
      <c r="E151">
        <f>VLOOKUP(TablaObra5[[#This Row],[Equipo]],Catalogos!$I$3:$J$34,2,FALSE)</f>
      </c>
      <c r="F151" s="3"/>
      <c r="G151" s="4">
        <v>28.3</v>
      </c>
      <c r="H151" s="4">
        <f t="shared" si="2"/>
      </c>
      <c r="I151">
        <f>VLOOKUP(TablaObra5[[#This Row],[Obra]],Catalogos!$B$3:$C$8,2,FALSE)</f>
      </c>
    </row>
    <row r="152" spans="1:9">
      <c r="A152" s="2"/>
      <c r="E152">
        <f>VLOOKUP(TablaObra5[[#This Row],[Equipo]],Catalogos!$I$3:$J$34,2,FALSE)</f>
      </c>
      <c r="F152" s="3"/>
      <c r="G152" s="4">
        <v>28.3</v>
      </c>
      <c r="H152" s="4">
        <f t="shared" si="2"/>
      </c>
      <c r="I152">
        <f>VLOOKUP(TablaObra5[[#This Row],[Obra]],Catalogos!$B$3:$C$8,2,FALSE)</f>
      </c>
    </row>
    <row r="153" spans="1:9">
      <c r="A153" s="2"/>
      <c r="E153">
        <f>VLOOKUP(TablaObra5[[#This Row],[Equipo]],Catalogos!$I$3:$J$34,2,FALSE)</f>
      </c>
      <c r="F153" s="3"/>
      <c r="G153" s="4">
        <v>28.3</v>
      </c>
      <c r="H153" s="4">
        <f t="shared" si="2"/>
      </c>
      <c r="I153">
        <f>VLOOKUP(TablaObra5[[#This Row],[Obra]],Catalogos!$B$3:$C$8,2,FALSE)</f>
      </c>
    </row>
    <row r="154" spans="1:9">
      <c r="A154" s="2"/>
      <c r="E154">
        <f>VLOOKUP(TablaObra5[[#This Row],[Equipo]],Catalogos!$I$3:$J$34,2,FALSE)</f>
      </c>
      <c r="F154" s="3"/>
      <c r="G154" s="4">
        <v>28.3</v>
      </c>
      <c r="H154" s="4">
        <f t="shared" si="2"/>
      </c>
      <c r="I154">
        <f>VLOOKUP(TablaObra5[[#This Row],[Obra]],Catalogos!$B$3:$C$8,2,FALSE)</f>
      </c>
    </row>
    <row r="155" spans="1:9">
      <c r="A155" s="2"/>
      <c r="E155">
        <f>VLOOKUP(TablaObra5[[#This Row],[Equipo]],Catalogos!$I$3:$J$34,2,FALSE)</f>
      </c>
      <c r="F155" s="3"/>
      <c r="G155" s="4">
        <v>28.3</v>
      </c>
      <c r="H155" s="4">
        <f t="shared" si="2"/>
      </c>
      <c r="I155">
        <f>VLOOKUP(TablaObra5[[#This Row],[Obra]],Catalogos!$B$3:$C$8,2,FALSE)</f>
      </c>
    </row>
    <row r="156" spans="1:9">
      <c r="A156" s="2"/>
      <c r="E156">
        <f>VLOOKUP(TablaObra5[[#This Row],[Equipo]],Catalogos!$I$3:$J$34,2,FALSE)</f>
      </c>
      <c r="F156" s="3"/>
      <c r="G156" s="4">
        <v>28.3</v>
      </c>
      <c r="H156" s="4">
        <f t="shared" si="2"/>
      </c>
      <c r="I156">
        <f>VLOOKUP(TablaObra5[[#This Row],[Obra]],Catalogos!$B$3:$C$8,2,FALSE)</f>
      </c>
    </row>
    <row r="157" spans="1:9">
      <c r="A157" s="2"/>
      <c r="E157">
        <f>VLOOKUP(TablaObra5[[#This Row],[Equipo]],Catalogos!$I$3:$J$34,2,FALSE)</f>
      </c>
      <c r="F157" s="3"/>
      <c r="G157" s="4">
        <v>28.3</v>
      </c>
      <c r="H157" s="4">
        <f t="shared" si="2"/>
      </c>
      <c r="I157">
        <f>VLOOKUP(TablaObra5[[#This Row],[Obra]],Catalogos!$B$3:$C$8,2,FALSE)</f>
      </c>
    </row>
    <row r="158" spans="1:9">
      <c r="A158" s="2"/>
      <c r="E158">
        <f>VLOOKUP(TablaObra5[[#This Row],[Equipo]],Catalogos!$I$3:$J$34,2,FALSE)</f>
      </c>
      <c r="F158" s="3"/>
      <c r="G158" s="4">
        <v>28.3</v>
      </c>
      <c r="H158" s="4">
        <f t="shared" si="2"/>
      </c>
      <c r="I158">
        <f>VLOOKUP(TablaObra5[[#This Row],[Obra]],Catalogos!$B$3:$C$8,2,FALSE)</f>
      </c>
    </row>
    <row r="159" spans="1:9">
      <c r="A159" s="2"/>
      <c r="E159">
        <f>VLOOKUP(TablaObra5[[#This Row],[Equipo]],Catalogos!$I$3:$J$34,2,FALSE)</f>
      </c>
      <c r="F159" s="3"/>
      <c r="G159" s="4">
        <v>28.3</v>
      </c>
      <c r="H159" s="4">
        <f t="shared" si="2"/>
      </c>
      <c r="I159">
        <f>VLOOKUP(TablaObra5[[#This Row],[Obra]],Catalogos!$B$3:$C$8,2,FALSE)</f>
      </c>
    </row>
    <row r="160" spans="1:9">
      <c r="A160" s="2"/>
      <c r="E160">
        <f>VLOOKUP(TablaObra5[[#This Row],[Equipo]],Catalogos!$I$3:$J$34,2,FALSE)</f>
      </c>
      <c r="F160" s="3"/>
      <c r="G160" s="4">
        <v>28.3</v>
      </c>
      <c r="H160" s="4">
        <f t="shared" si="2"/>
      </c>
      <c r="I160">
        <f>VLOOKUP(TablaObra5[[#This Row],[Obra]],Catalogos!$B$3:$C$8,2,FALSE)</f>
      </c>
    </row>
    <row r="161" spans="1:9">
      <c r="A161" s="2"/>
      <c r="E161">
        <f>VLOOKUP(TablaObra5[[#This Row],[Equipo]],Catalogos!$I$3:$J$34,2,FALSE)</f>
      </c>
      <c r="F161" s="3"/>
      <c r="G161" s="4">
        <v>28.3</v>
      </c>
      <c r="H161" s="4">
        <f t="shared" si="2"/>
      </c>
      <c r="I161">
        <f>VLOOKUP(TablaObra5[[#This Row],[Obra]],Catalogos!$B$3:$C$8,2,FALSE)</f>
      </c>
    </row>
    <row r="162" spans="1:9">
      <c r="A162" s="2"/>
      <c r="E162">
        <f>VLOOKUP(TablaObra5[[#This Row],[Equipo]],Catalogos!$I$3:$J$34,2,FALSE)</f>
      </c>
      <c r="F162" s="3"/>
      <c r="G162" s="4">
        <v>28.3</v>
      </c>
      <c r="H162" s="4">
        <f t="shared" si="2"/>
      </c>
      <c r="I162">
        <f>VLOOKUP(TablaObra5[[#This Row],[Obra]],Catalogos!$B$3:$C$8,2,FALSE)</f>
      </c>
    </row>
    <row r="163" spans="1:9">
      <c r="A163" s="2"/>
      <c r="E163">
        <f>VLOOKUP(TablaObra5[[#This Row],[Equipo]],Catalogos!$I$3:$J$34,2,FALSE)</f>
      </c>
      <c r="F163" s="3"/>
      <c r="G163" s="4">
        <v>28.3</v>
      </c>
      <c r="H163" s="4">
        <f t="shared" si="2"/>
      </c>
      <c r="I163">
        <f>VLOOKUP(TablaObra5[[#This Row],[Obra]],Catalogos!$B$3:$C$8,2,FALSE)</f>
      </c>
    </row>
    <row r="164" spans="1:9">
      <c r="A164" s="2"/>
      <c r="E164">
        <f>VLOOKUP(TablaObra5[[#This Row],[Equipo]],Catalogos!$I$3:$J$34,2,FALSE)</f>
      </c>
      <c r="F164" s="3"/>
      <c r="G164" s="4">
        <v>28.3</v>
      </c>
      <c r="H164" s="4">
        <f t="shared" si="2"/>
      </c>
      <c r="I164">
        <f>VLOOKUP(TablaObra5[[#This Row],[Obra]],Catalogos!$B$3:$C$8,2,FALSE)</f>
      </c>
    </row>
    <row r="165" spans="1:9">
      <c r="A165" s="2"/>
      <c r="E165">
        <f>VLOOKUP(TablaObra5[[#This Row],[Equipo]],Catalogos!$I$3:$J$34,2,FALSE)</f>
      </c>
      <c r="F165" s="3"/>
      <c r="G165" s="4">
        <v>28.3</v>
      </c>
      <c r="H165" s="4">
        <f t="shared" si="2"/>
      </c>
      <c r="I165">
        <f>VLOOKUP(TablaObra5[[#This Row],[Obra]],Catalogos!$B$3:$C$8,2,FALSE)</f>
      </c>
    </row>
    <row r="166" spans="1:9">
      <c r="A166" s="2"/>
      <c r="E166">
        <f>VLOOKUP(TablaObra5[[#This Row],[Equipo]],Catalogos!$I$3:$J$34,2,FALSE)</f>
      </c>
      <c r="F166" s="3"/>
      <c r="G166" s="4">
        <v>28.3</v>
      </c>
      <c r="H166" s="4">
        <f t="shared" si="2"/>
      </c>
      <c r="I166">
        <f>VLOOKUP(TablaObra5[[#This Row],[Obra]],Catalogos!$B$3:$C$8,2,FALSE)</f>
      </c>
    </row>
    <row r="167" spans="1:9">
      <c r="A167" s="2"/>
      <c r="E167">
        <f>VLOOKUP(TablaObra5[[#This Row],[Equipo]],Catalogos!$I$3:$J$34,2,FALSE)</f>
      </c>
      <c r="F167" s="3"/>
      <c r="G167" s="4">
        <v>28.3</v>
      </c>
      <c r="H167" s="4">
        <f t="shared" si="2"/>
      </c>
      <c r="I167">
        <f>VLOOKUP(TablaObra5[[#This Row],[Obra]],Catalogos!$B$3:$C$8,2,FALSE)</f>
      </c>
    </row>
    <row r="168" spans="1:9">
      <c r="A168" s="2"/>
      <c r="E168">
        <f>VLOOKUP(TablaObra5[[#This Row],[Equipo]],Catalogos!$I$3:$J$34,2,FALSE)</f>
      </c>
      <c r="F168" s="3"/>
      <c r="G168" s="4">
        <v>28.3</v>
      </c>
      <c r="H168" s="4">
        <f t="shared" si="2"/>
      </c>
      <c r="I168">
        <f>VLOOKUP(TablaObra5[[#This Row],[Obra]],Catalogos!$B$3:$C$8,2,FALSE)</f>
      </c>
    </row>
    <row r="169" spans="1:9">
      <c r="A169" s="2"/>
      <c r="E169">
        <f>VLOOKUP(TablaObra5[[#This Row],[Equipo]],Catalogos!$I$3:$J$34,2,FALSE)</f>
      </c>
      <c r="F169" s="3"/>
      <c r="G169" s="4">
        <v>28.3</v>
      </c>
      <c r="H169" s="4">
        <f t="shared" si="2"/>
      </c>
      <c r="I169">
        <f>VLOOKUP(TablaObra5[[#This Row],[Obra]],Catalogos!$B$3:$C$8,2,FALSE)</f>
      </c>
    </row>
    <row r="170" spans="1:9">
      <c r="A170" s="2"/>
      <c r="E170">
        <f>VLOOKUP(TablaObra5[[#This Row],[Equipo]],Catalogos!$I$3:$J$34,2,FALSE)</f>
      </c>
      <c r="F170" s="3"/>
      <c r="G170" s="4">
        <v>28.3</v>
      </c>
      <c r="H170" s="4">
        <f t="shared" si="2"/>
      </c>
      <c r="I170">
        <f>VLOOKUP(TablaObra5[[#This Row],[Obra]],Catalogos!$B$3:$C$8,2,FALSE)</f>
      </c>
    </row>
    <row r="171" spans="1:9">
      <c r="A171" s="2"/>
      <c r="E171">
        <f>VLOOKUP(TablaObra5[[#This Row],[Equipo]],Catalogos!$I$3:$J$34,2,FALSE)</f>
      </c>
      <c r="F171" s="3"/>
      <c r="G171" s="4">
        <v>28.3</v>
      </c>
      <c r="H171" s="4">
        <f t="shared" si="2"/>
      </c>
      <c r="I171">
        <f>VLOOKUP(TablaObra5[[#This Row],[Obra]],Catalogos!$B$3:$C$8,2,FALSE)</f>
      </c>
    </row>
    <row r="172" spans="1:9">
      <c r="A172" s="2"/>
      <c r="E172">
        <f>VLOOKUP(TablaObra5[[#This Row],[Equipo]],Catalogos!$I$3:$J$34,2,FALSE)</f>
      </c>
      <c r="F172" s="3"/>
      <c r="G172" s="4">
        <v>28.3</v>
      </c>
      <c r="H172" s="4">
        <f t="shared" si="2"/>
      </c>
      <c r="I172">
        <f>VLOOKUP(TablaObra5[[#This Row],[Obra]],Catalogos!$B$3:$C$8,2,FALSE)</f>
      </c>
    </row>
    <row r="173" spans="1:9">
      <c r="A173" s="2"/>
      <c r="E173">
        <f>VLOOKUP(TablaObra5[[#This Row],[Equipo]],Catalogos!$I$3:$J$34,2,FALSE)</f>
      </c>
      <c r="F173" s="3"/>
      <c r="G173" s="4">
        <v>28.3</v>
      </c>
      <c r="H173" s="4">
        <f t="shared" si="2"/>
      </c>
      <c r="I173">
        <f>VLOOKUP(TablaObra5[[#This Row],[Obra]],Catalogos!$B$3:$C$8,2,FALSE)</f>
      </c>
    </row>
    <row r="174" spans="1:9">
      <c r="A174" s="2"/>
      <c r="E174">
        <f>VLOOKUP(TablaObra5[[#This Row],[Equipo]],Catalogos!$I$3:$J$34,2,FALSE)</f>
      </c>
      <c r="F174" s="3"/>
      <c r="G174" s="4">
        <v>28.3</v>
      </c>
      <c r="H174" s="4">
        <f t="shared" si="2"/>
      </c>
      <c r="I174">
        <f>VLOOKUP(TablaObra5[[#This Row],[Obra]],Catalogos!$B$3:$C$8,2,FALSE)</f>
      </c>
    </row>
    <row r="175" spans="1:9">
      <c r="A175" s="2"/>
      <c r="E175">
        <f>VLOOKUP(TablaObra5[[#This Row],[Equipo]],Catalogos!$I$3:$J$34,2,FALSE)</f>
      </c>
      <c r="F175" s="3"/>
      <c r="G175" s="4">
        <v>28.3</v>
      </c>
      <c r="H175" s="4">
        <f t="shared" si="2"/>
      </c>
      <c r="I175">
        <f>VLOOKUP(TablaObra5[[#This Row],[Obra]],Catalogos!$B$3:$C$8,2,FALSE)</f>
      </c>
    </row>
    <row r="176" spans="1:9">
      <c r="A176" s="2"/>
      <c r="E176">
        <f>VLOOKUP(TablaObra5[[#This Row],[Equipo]],Catalogos!$I$3:$J$34,2,FALSE)</f>
      </c>
      <c r="F176" s="3"/>
      <c r="G176" s="4">
        <v>28.3</v>
      </c>
      <c r="H176" s="4">
        <f t="shared" si="2"/>
      </c>
      <c r="I176">
        <f>VLOOKUP(TablaObra5[[#This Row],[Obra]],Catalogos!$B$3:$C$8,2,FALSE)</f>
      </c>
    </row>
    <row r="177" spans="1:9">
      <c r="A177" s="2"/>
      <c r="E177">
        <f>VLOOKUP(TablaObra5[[#This Row],[Equipo]],Catalogos!$I$3:$J$34,2,FALSE)</f>
      </c>
      <c r="F177" s="3"/>
      <c r="G177" s="4">
        <v>28.3</v>
      </c>
      <c r="H177" s="4">
        <f t="shared" si="2"/>
      </c>
      <c r="I177">
        <f>VLOOKUP(TablaObra5[[#This Row],[Obra]],Catalogos!$B$3:$C$8,2,FALSE)</f>
      </c>
    </row>
    <row r="178" spans="1:9">
      <c r="A178" s="2"/>
      <c r="E178">
        <f>VLOOKUP(TablaObra5[[#This Row],[Equipo]],Catalogos!$I$3:$J$34,2,FALSE)</f>
      </c>
      <c r="F178" s="3"/>
      <c r="G178" s="4">
        <v>28.3</v>
      </c>
      <c r="H178" s="4">
        <f t="shared" si="2"/>
      </c>
      <c r="I178">
        <f>VLOOKUP(TablaObra5[[#This Row],[Obra]],Catalogos!$B$3:$C$8,2,FALSE)</f>
      </c>
    </row>
    <row r="179" spans="1:9">
      <c r="A179" s="2"/>
      <c r="E179">
        <f>VLOOKUP(TablaObra5[[#This Row],[Equipo]],Catalogos!$I$3:$J$34,2,FALSE)</f>
      </c>
      <c r="F179" s="3"/>
      <c r="G179" s="4">
        <v>28.3</v>
      </c>
      <c r="H179" s="4">
        <f t="shared" si="2"/>
      </c>
      <c r="I179">
        <f>VLOOKUP(TablaObra5[[#This Row],[Obra]],Catalogos!$B$3:$C$8,2,FALSE)</f>
      </c>
    </row>
    <row r="180" spans="1:9">
      <c r="A180" s="2"/>
      <c r="E180">
        <f>VLOOKUP(TablaObra5[[#This Row],[Equipo]],Catalogos!$I$3:$J$34,2,FALSE)</f>
      </c>
      <c r="F180" s="3"/>
      <c r="G180" s="4">
        <v>28.3</v>
      </c>
      <c r="H180" s="4">
        <f t="shared" si="2"/>
      </c>
      <c r="I180">
        <f>VLOOKUP(TablaObra5[[#This Row],[Obra]],Catalogos!$B$3:$C$8,2,FALSE)</f>
      </c>
    </row>
    <row r="181" spans="1:9">
      <c r="A181" s="2"/>
      <c r="E181">
        <f>VLOOKUP(TablaObra5[[#This Row],[Equipo]],Catalogos!$I$3:$J$34,2,FALSE)</f>
      </c>
      <c r="F181" s="3"/>
      <c r="G181" s="4">
        <v>28.3</v>
      </c>
      <c r="H181" s="4">
        <f t="shared" si="2"/>
      </c>
      <c r="I181">
        <f>VLOOKUP(TablaObra5[[#This Row],[Obra]],Catalogos!$B$3:$C$8,2,FALSE)</f>
      </c>
    </row>
    <row r="182" spans="1:9">
      <c r="A182" s="2"/>
      <c r="E182">
        <f>VLOOKUP(TablaObra5[[#This Row],[Equipo]],Catalogos!$I$3:$J$34,2,FALSE)</f>
      </c>
      <c r="F182" s="3"/>
      <c r="G182" s="4">
        <v>28.3</v>
      </c>
      <c r="H182" s="4">
        <f t="shared" si="2"/>
      </c>
      <c r="I182">
        <f>VLOOKUP(TablaObra5[[#This Row],[Obra]],Catalogos!$B$3:$C$8,2,FALSE)</f>
      </c>
    </row>
    <row r="183" spans="1:9">
      <c r="A183" s="2"/>
      <c r="E183">
        <f>VLOOKUP(TablaObra5[[#This Row],[Equipo]],Catalogos!$I$3:$J$34,2,FALSE)</f>
      </c>
      <c r="F183" s="3"/>
      <c r="G183" s="4">
        <v>28.3</v>
      </c>
      <c r="H183" s="4">
        <f t="shared" si="2"/>
      </c>
      <c r="I183">
        <f>VLOOKUP(TablaObra5[[#This Row],[Obra]],Catalogos!$B$3:$C$8,2,FALSE)</f>
      </c>
    </row>
    <row r="184" spans="1:9">
      <c r="A184" s="2"/>
      <c r="E184">
        <f>VLOOKUP(TablaObra5[[#This Row],[Equipo]],Catalogos!$I$3:$J$34,2,FALSE)</f>
      </c>
      <c r="F184" s="3"/>
      <c r="G184" s="4">
        <v>28.3</v>
      </c>
      <c r="H184" s="4">
        <f t="shared" si="2"/>
      </c>
      <c r="I184">
        <f>VLOOKUP(TablaObra5[[#This Row],[Obra]],Catalogos!$B$3:$C$8,2,FALSE)</f>
      </c>
    </row>
    <row r="185" spans="1:9">
      <c r="A185" s="2"/>
      <c r="E185">
        <f>VLOOKUP(TablaObra5[[#This Row],[Equipo]],Catalogos!$I$3:$J$34,2,FALSE)</f>
      </c>
      <c r="F185" s="3"/>
      <c r="G185" s="4">
        <v>28.3</v>
      </c>
      <c r="H185" s="4">
        <f t="shared" si="2"/>
      </c>
      <c r="I185">
        <f>VLOOKUP(TablaObra5[[#This Row],[Obra]],Catalogos!$B$3:$C$8,2,FALSE)</f>
      </c>
    </row>
    <row r="186" spans="1:9">
      <c r="A186" s="2"/>
      <c r="E186">
        <f>VLOOKUP(TablaObra5[[#This Row],[Equipo]],Catalogos!$I$3:$J$34,2,FALSE)</f>
      </c>
      <c r="F186" s="3"/>
      <c r="G186" s="4">
        <v>28.3</v>
      </c>
      <c r="H186" s="4">
        <f t="shared" si="2"/>
      </c>
      <c r="I186">
        <f>VLOOKUP(TablaObra5[[#This Row],[Obra]],Catalogos!$B$3:$C$8,2,FALSE)</f>
      </c>
    </row>
    <row r="187" spans="1:9">
      <c r="A187" s="2"/>
      <c r="E187">
        <f>VLOOKUP(TablaObra5[[#This Row],[Equipo]],Catalogos!$I$3:$J$34,2,FALSE)</f>
      </c>
      <c r="F187" s="3"/>
      <c r="G187" s="4">
        <v>28.3</v>
      </c>
      <c r="H187" s="4">
        <f t="shared" si="2"/>
      </c>
      <c r="I187">
        <f>VLOOKUP(TablaObra5[[#This Row],[Obra]],Catalogos!$B$3:$C$8,2,FALSE)</f>
      </c>
    </row>
    <row r="188" spans="1:9">
      <c r="A188" s="2"/>
      <c r="E188">
        <f>VLOOKUP(TablaObra5[[#This Row],[Equipo]],Catalogos!$I$3:$J$34,2,FALSE)</f>
      </c>
      <c r="F188" s="3"/>
      <c r="G188" s="4">
        <v>28.3</v>
      </c>
      <c r="H188" s="4">
        <f t="shared" si="2"/>
      </c>
      <c r="I188">
        <f>VLOOKUP(TablaObra5[[#This Row],[Obra]],Catalogos!$B$3:$C$8,2,FALSE)</f>
      </c>
    </row>
    <row r="189" spans="1:9">
      <c r="A189" s="2"/>
      <c r="E189">
        <f>VLOOKUP(TablaObra5[[#This Row],[Equipo]],Catalogos!$I$3:$J$34,2,FALSE)</f>
      </c>
      <c r="F189" s="3"/>
      <c r="G189" s="4">
        <v>28.3</v>
      </c>
      <c r="H189" s="4">
        <f t="shared" si="2"/>
      </c>
      <c r="I189">
        <f>VLOOKUP(TablaObra5[[#This Row],[Obra]],Catalogos!$B$3:$C$8,2,FALSE)</f>
      </c>
    </row>
    <row r="190" spans="1:9">
      <c r="A190" s="2"/>
      <c r="E190">
        <f>VLOOKUP(TablaObra5[[#This Row],[Equipo]],Catalogos!$I$3:$J$34,2,FALSE)</f>
      </c>
      <c r="F190" s="3"/>
      <c r="G190" s="4">
        <v>28.3</v>
      </c>
      <c r="H190" s="4">
        <f t="shared" si="2"/>
      </c>
      <c r="I190">
        <f>VLOOKUP(TablaObra5[[#This Row],[Obra]],Catalogos!$B$3:$C$8,2,FALSE)</f>
      </c>
    </row>
    <row r="191" spans="1:9">
      <c r="A191" s="2"/>
      <c r="E191">
        <f>VLOOKUP(TablaObra5[[#This Row],[Equipo]],Catalogos!$I$3:$J$34,2,FALSE)</f>
      </c>
      <c r="F191" s="3"/>
      <c r="G191" s="4">
        <v>28.3</v>
      </c>
      <c r="H191" s="4">
        <f t="shared" si="2"/>
      </c>
      <c r="I191">
        <f>VLOOKUP(TablaObra5[[#This Row],[Obra]],Catalogos!$B$3:$C$8,2,FALSE)</f>
      </c>
    </row>
    <row r="192" spans="1:9">
      <c r="A192" s="2"/>
      <c r="E192">
        <f>VLOOKUP(TablaObra5[[#This Row],[Equipo]],Catalogos!$I$3:$J$34,2,FALSE)</f>
      </c>
      <c r="F192" s="3"/>
      <c r="G192" s="4">
        <v>28.3</v>
      </c>
      <c r="H192" s="4">
        <f t="shared" si="2"/>
      </c>
      <c r="I192">
        <f>VLOOKUP(TablaObra5[[#This Row],[Obra]],Catalogos!$B$3:$C$8,2,FALSE)</f>
      </c>
    </row>
    <row r="193" spans="1:9">
      <c r="A193" s="2"/>
      <c r="E193">
        <f>VLOOKUP(TablaObra5[[#This Row],[Equipo]],Catalogos!$I$3:$J$34,2,FALSE)</f>
      </c>
      <c r="F193" s="3"/>
      <c r="G193" s="4">
        <v>28.3</v>
      </c>
      <c r="H193" s="4">
        <f t="shared" si="2"/>
      </c>
      <c r="I193">
        <f>VLOOKUP(TablaObra5[[#This Row],[Obra]],Catalogos!$B$3:$C$8,2,FALSE)</f>
      </c>
    </row>
    <row r="194" spans="1:9">
      <c r="A194" s="2"/>
      <c r="E194">
        <f>VLOOKUP(TablaObra5[[#This Row],[Equipo]],Catalogos!$I$3:$J$34,2,FALSE)</f>
      </c>
      <c r="F194" s="3"/>
      <c r="G194" s="4">
        <v>28.3</v>
      </c>
      <c r="H194" s="4">
        <f t="shared" si="2"/>
      </c>
      <c r="I194">
        <f>VLOOKUP(TablaObra5[[#This Row],[Obra]],Catalogos!$B$3:$C$8,2,FALSE)</f>
      </c>
    </row>
    <row r="195" spans="1:9">
      <c r="A195" s="2"/>
      <c r="E195">
        <f>VLOOKUP(TablaObra5[[#This Row],[Equipo]],Catalogos!$I$3:$J$34,2,FALSE)</f>
      </c>
      <c r="F195" s="3"/>
      <c r="G195" s="4">
        <v>28.3</v>
      </c>
      <c r="H195" s="4">
        <f t="shared" si="2"/>
      </c>
      <c r="I195">
        <f>VLOOKUP(TablaObra5[[#This Row],[Obra]],Catalogos!$B$3:$C$8,2,FALSE)</f>
      </c>
    </row>
    <row r="196" spans="1:9">
      <c r="A196" s="2"/>
      <c r="E196">
        <f>VLOOKUP(TablaObra5[[#This Row],[Equipo]],Catalogos!$I$3:$J$34,2,FALSE)</f>
      </c>
      <c r="F196" s="3"/>
      <c r="G196" s="4">
        <v>28.3</v>
      </c>
      <c r="H196" s="4">
        <f t="shared" si="2"/>
      </c>
      <c r="I196">
        <f>VLOOKUP(TablaObra5[[#This Row],[Obra]],Catalogos!$B$3:$C$8,2,FALSE)</f>
      </c>
    </row>
    <row r="197" spans="1:9">
      <c r="A197" s="2"/>
      <c r="E197">
        <f>VLOOKUP(TablaObra5[[#This Row],[Equipo]],Catalogos!$I$3:$J$34,2,FALSE)</f>
      </c>
      <c r="F197" s="3"/>
      <c r="G197" s="4">
        <v>28.3</v>
      </c>
      <c r="H197" s="4">
        <f t="shared" si="2"/>
      </c>
      <c r="I197">
        <f>VLOOKUP(TablaObra5[[#This Row],[Obra]],Catalogos!$B$3:$C$8,2,FALSE)</f>
      </c>
    </row>
    <row r="198" spans="1:9">
      <c r="A198" s="2"/>
      <c r="E198">
        <f>VLOOKUP(TablaObra5[[#This Row],[Equipo]],Catalogos!$I$3:$J$34,2,FALSE)</f>
      </c>
      <c r="F198" s="3"/>
      <c r="G198" s="4">
        <v>28.3</v>
      </c>
      <c r="H198" s="4">
        <f t="shared" si="2"/>
      </c>
      <c r="I198">
        <f>VLOOKUP(TablaObra5[[#This Row],[Obra]],Catalogos!$B$3:$C$8,2,FALSE)</f>
      </c>
    </row>
    <row r="199" spans="1:9">
      <c r="A199" s="2"/>
      <c r="E199">
        <f>VLOOKUP(TablaObra5[[#This Row],[Equipo]],Catalogos!$I$3:$J$34,2,FALSE)</f>
      </c>
      <c r="F199" s="3"/>
      <c r="G199" s="4">
        <v>28.3</v>
      </c>
      <c r="H199" s="4">
        <f t="shared" ref="H199:H262" si="3">IFERROR(F199*G199,0)</f>
      </c>
      <c r="I199">
        <f>VLOOKUP(TablaObra5[[#This Row],[Obra]],Catalogos!$B$3:$C$8,2,FALSE)</f>
      </c>
    </row>
    <row r="200" spans="1:9">
      <c r="A200" s="2"/>
      <c r="E200">
        <f>VLOOKUP(TablaObra5[[#This Row],[Equipo]],Catalogos!$I$3:$J$34,2,FALSE)</f>
      </c>
      <c r="F200" s="3"/>
      <c r="G200" s="4">
        <v>28.3</v>
      </c>
      <c r="H200" s="4">
        <f t="shared" si="3"/>
      </c>
      <c r="I200">
        <f>VLOOKUP(TablaObra5[[#This Row],[Obra]],Catalogos!$B$3:$C$8,2,FALSE)</f>
      </c>
    </row>
    <row r="201" spans="1:9">
      <c r="A201" s="2"/>
      <c r="E201">
        <f>VLOOKUP(TablaObra5[[#This Row],[Equipo]],Catalogos!$I$3:$J$34,2,FALSE)</f>
      </c>
      <c r="F201" s="3"/>
      <c r="G201" s="4">
        <v>28.3</v>
      </c>
      <c r="H201" s="4">
        <f t="shared" si="3"/>
      </c>
      <c r="I201">
        <f>VLOOKUP(TablaObra5[[#This Row],[Obra]],Catalogos!$B$3:$C$8,2,FALSE)</f>
      </c>
    </row>
    <row r="202" spans="1:9">
      <c r="A202" s="2"/>
      <c r="E202">
        <f>VLOOKUP(TablaObra5[[#This Row],[Equipo]],Catalogos!$I$3:$J$34,2,FALSE)</f>
      </c>
      <c r="F202" s="3"/>
      <c r="G202" s="4">
        <v>28.3</v>
      </c>
      <c r="H202" s="4">
        <f t="shared" si="3"/>
      </c>
      <c r="I202">
        <f>VLOOKUP(TablaObra5[[#This Row],[Obra]],Catalogos!$B$3:$C$8,2,FALSE)</f>
      </c>
    </row>
    <row r="203" spans="1:9">
      <c r="A203" s="2"/>
      <c r="E203">
        <f>VLOOKUP(TablaObra5[[#This Row],[Equipo]],Catalogos!$I$3:$J$34,2,FALSE)</f>
      </c>
      <c r="F203" s="3"/>
      <c r="G203" s="4">
        <v>28.3</v>
      </c>
      <c r="H203" s="4">
        <f t="shared" si="3"/>
      </c>
      <c r="I203">
        <f>VLOOKUP(TablaObra5[[#This Row],[Obra]],Catalogos!$B$3:$C$8,2,FALSE)</f>
      </c>
    </row>
    <row r="204" spans="1:9">
      <c r="A204" s="2"/>
      <c r="E204">
        <f>VLOOKUP(TablaObra5[[#This Row],[Equipo]],Catalogos!$I$3:$J$34,2,FALSE)</f>
      </c>
      <c r="F204" s="3"/>
      <c r="G204" s="4">
        <v>28.3</v>
      </c>
      <c r="H204" s="4">
        <f t="shared" si="3"/>
      </c>
      <c r="I204">
        <f>VLOOKUP(TablaObra5[[#This Row],[Obra]],Catalogos!$B$3:$C$8,2,FALSE)</f>
      </c>
    </row>
    <row r="205" spans="1:9">
      <c r="A205" s="2"/>
      <c r="E205">
        <f>VLOOKUP(TablaObra5[[#This Row],[Equipo]],Catalogos!$I$3:$J$34,2,FALSE)</f>
      </c>
      <c r="F205" s="3"/>
      <c r="G205" s="4">
        <v>28.3</v>
      </c>
      <c r="H205" s="4">
        <f t="shared" si="3"/>
      </c>
      <c r="I205">
        <f>VLOOKUP(TablaObra5[[#This Row],[Obra]],Catalogos!$B$3:$C$8,2,FALSE)</f>
      </c>
    </row>
    <row r="206" spans="1:9">
      <c r="A206" s="2"/>
      <c r="E206">
        <f>VLOOKUP(TablaObra5[[#This Row],[Equipo]],Catalogos!$I$3:$J$34,2,FALSE)</f>
      </c>
      <c r="F206" s="3"/>
      <c r="G206" s="4">
        <v>28.3</v>
      </c>
      <c r="H206" s="4">
        <f t="shared" si="3"/>
      </c>
      <c r="I206">
        <f>VLOOKUP(TablaObra5[[#This Row],[Obra]],Catalogos!$B$3:$C$8,2,FALSE)</f>
      </c>
    </row>
    <row r="207" spans="1:9">
      <c r="A207" s="2"/>
      <c r="E207">
        <f>VLOOKUP(TablaObra5[[#This Row],[Equipo]],Catalogos!$I$3:$J$34,2,FALSE)</f>
      </c>
      <c r="F207" s="3"/>
      <c r="G207" s="4">
        <v>28.3</v>
      </c>
      <c r="H207" s="4">
        <f t="shared" si="3"/>
      </c>
      <c r="I207">
        <f>VLOOKUP(TablaObra5[[#This Row],[Obra]],Catalogos!$B$3:$C$8,2,FALSE)</f>
      </c>
    </row>
    <row r="208" spans="1:9">
      <c r="A208" s="2"/>
      <c r="E208">
        <f>VLOOKUP(TablaObra5[[#This Row],[Equipo]],Catalogos!$I$3:$J$34,2,FALSE)</f>
      </c>
      <c r="F208" s="3"/>
      <c r="G208" s="4">
        <v>28.3</v>
      </c>
      <c r="H208" s="4">
        <f t="shared" si="3"/>
      </c>
      <c r="I208">
        <f>VLOOKUP(TablaObra5[[#This Row],[Obra]],Catalogos!$B$3:$C$8,2,FALSE)</f>
      </c>
    </row>
    <row r="209" spans="1:9">
      <c r="A209" s="2"/>
      <c r="E209">
        <f>VLOOKUP(TablaObra5[[#This Row],[Equipo]],Catalogos!$I$3:$J$34,2,FALSE)</f>
      </c>
      <c r="F209" s="3"/>
      <c r="G209" s="4">
        <v>28.3</v>
      </c>
      <c r="H209" s="4">
        <f t="shared" si="3"/>
      </c>
      <c r="I209">
        <f>VLOOKUP(TablaObra5[[#This Row],[Obra]],Catalogos!$B$3:$C$8,2,FALSE)</f>
      </c>
    </row>
    <row r="210" spans="1:9">
      <c r="A210" s="2"/>
      <c r="E210">
        <f>VLOOKUP(TablaObra5[[#This Row],[Equipo]],Catalogos!$I$3:$J$34,2,FALSE)</f>
      </c>
      <c r="F210" s="3"/>
      <c r="G210" s="4">
        <v>28.3</v>
      </c>
      <c r="H210" s="4">
        <f t="shared" si="3"/>
      </c>
      <c r="I210">
        <f>VLOOKUP(TablaObra5[[#This Row],[Obra]],Catalogos!$B$3:$C$8,2,FALSE)</f>
      </c>
    </row>
    <row r="211" spans="1:9">
      <c r="A211" s="2"/>
      <c r="E211">
        <f>VLOOKUP(TablaObra5[[#This Row],[Equipo]],Catalogos!$I$3:$J$34,2,FALSE)</f>
      </c>
      <c r="F211" s="3"/>
      <c r="G211" s="4">
        <v>28.3</v>
      </c>
      <c r="H211" s="4">
        <f t="shared" si="3"/>
      </c>
      <c r="I211">
        <f>VLOOKUP(TablaObra5[[#This Row],[Obra]],Catalogos!$B$3:$C$8,2,FALSE)</f>
      </c>
    </row>
    <row r="212" spans="1:9">
      <c r="A212" s="2"/>
      <c r="E212">
        <f>VLOOKUP(TablaObra5[[#This Row],[Equipo]],Catalogos!$I$3:$J$34,2,FALSE)</f>
      </c>
      <c r="F212" s="3"/>
      <c r="G212" s="4">
        <v>28.3</v>
      </c>
      <c r="H212" s="4">
        <f t="shared" si="3"/>
      </c>
      <c r="I212">
        <f>VLOOKUP(TablaObra5[[#This Row],[Obra]],Catalogos!$B$3:$C$8,2,FALSE)</f>
      </c>
    </row>
    <row r="213" spans="1:9">
      <c r="A213" s="2"/>
      <c r="E213">
        <f>VLOOKUP(TablaObra5[[#This Row],[Equipo]],Catalogos!$I$3:$J$34,2,FALSE)</f>
      </c>
      <c r="F213" s="3"/>
      <c r="G213" s="4">
        <v>28.3</v>
      </c>
      <c r="H213" s="4">
        <f t="shared" si="3"/>
      </c>
      <c r="I213">
        <f>VLOOKUP(TablaObra5[[#This Row],[Obra]],Catalogos!$B$3:$C$8,2,FALSE)</f>
      </c>
    </row>
    <row r="214" spans="1:9">
      <c r="A214" s="2"/>
      <c r="E214">
        <f>VLOOKUP(TablaObra5[[#This Row],[Equipo]],Catalogos!$I$3:$J$34,2,FALSE)</f>
      </c>
      <c r="F214" s="3"/>
      <c r="G214" s="4">
        <v>28.3</v>
      </c>
      <c r="H214" s="4">
        <f t="shared" si="3"/>
      </c>
      <c r="I214">
        <f>VLOOKUP(TablaObra5[[#This Row],[Obra]],Catalogos!$B$3:$C$8,2,FALSE)</f>
      </c>
    </row>
    <row r="215" spans="1:9">
      <c r="A215" s="2"/>
      <c r="E215">
        <f>VLOOKUP(TablaObra5[[#This Row],[Equipo]],Catalogos!$I$3:$J$34,2,FALSE)</f>
      </c>
      <c r="F215" s="3"/>
      <c r="G215" s="4">
        <v>28.3</v>
      </c>
      <c r="H215" s="4">
        <f t="shared" si="3"/>
      </c>
      <c r="I215">
        <f>VLOOKUP(TablaObra5[[#This Row],[Obra]],Catalogos!$B$3:$C$8,2,FALSE)</f>
      </c>
    </row>
    <row r="216" spans="1:9">
      <c r="A216" s="2"/>
      <c r="E216">
        <f>VLOOKUP(TablaObra5[[#This Row],[Equipo]],Catalogos!$I$3:$J$34,2,FALSE)</f>
      </c>
      <c r="F216" s="3"/>
      <c r="G216" s="4">
        <v>28.3</v>
      </c>
      <c r="H216" s="4">
        <f t="shared" si="3"/>
      </c>
      <c r="I216">
        <f>VLOOKUP(TablaObra5[[#This Row],[Obra]],Catalogos!$B$3:$C$8,2,FALSE)</f>
      </c>
    </row>
    <row r="217" spans="1:9">
      <c r="A217" s="2"/>
      <c r="E217">
        <f>VLOOKUP(TablaObra5[[#This Row],[Equipo]],Catalogos!$I$3:$J$34,2,FALSE)</f>
      </c>
      <c r="F217" s="3"/>
      <c r="G217" s="4">
        <v>28.3</v>
      </c>
      <c r="H217" s="4">
        <f t="shared" si="3"/>
      </c>
      <c r="I217">
        <f>VLOOKUP(TablaObra5[[#This Row],[Obra]],Catalogos!$B$3:$C$8,2,FALSE)</f>
      </c>
    </row>
    <row r="218" spans="1:9">
      <c r="A218" s="2"/>
      <c r="E218">
        <f>VLOOKUP(TablaObra5[[#This Row],[Equipo]],Catalogos!$I$3:$J$34,2,FALSE)</f>
      </c>
      <c r="F218" s="3"/>
      <c r="G218" s="4">
        <v>28.3</v>
      </c>
      <c r="H218" s="4">
        <f t="shared" si="3"/>
      </c>
      <c r="I218">
        <f>VLOOKUP(TablaObra5[[#This Row],[Obra]],Catalogos!$B$3:$C$8,2,FALSE)</f>
      </c>
    </row>
    <row r="219" spans="1:9">
      <c r="A219" s="2"/>
      <c r="E219">
        <f>VLOOKUP(TablaObra5[[#This Row],[Equipo]],Catalogos!$I$3:$J$34,2,FALSE)</f>
      </c>
      <c r="F219" s="3"/>
      <c r="G219" s="4">
        <v>28.3</v>
      </c>
      <c r="H219" s="4">
        <f t="shared" si="3"/>
      </c>
      <c r="I219">
        <f>VLOOKUP(TablaObra5[[#This Row],[Obra]],Catalogos!$B$3:$C$8,2,FALSE)</f>
      </c>
    </row>
    <row r="220" spans="1:9">
      <c r="A220" s="2"/>
      <c r="E220">
        <f>VLOOKUP(TablaObra5[[#This Row],[Equipo]],Catalogos!$I$3:$J$34,2,FALSE)</f>
      </c>
      <c r="F220" s="3"/>
      <c r="G220" s="4">
        <v>28.3</v>
      </c>
      <c r="H220" s="4">
        <f t="shared" si="3"/>
      </c>
      <c r="I220">
        <f>VLOOKUP(TablaObra5[[#This Row],[Obra]],Catalogos!$B$3:$C$8,2,FALSE)</f>
      </c>
    </row>
    <row r="221" spans="1:9">
      <c r="A221" s="2"/>
      <c r="E221">
        <f>VLOOKUP(TablaObra5[[#This Row],[Equipo]],Catalogos!$I$3:$J$34,2,FALSE)</f>
      </c>
      <c r="F221" s="3"/>
      <c r="G221" s="4">
        <v>28.3</v>
      </c>
      <c r="H221" s="4">
        <f t="shared" si="3"/>
      </c>
      <c r="I221">
        <f>VLOOKUP(TablaObra5[[#This Row],[Obra]],Catalogos!$B$3:$C$8,2,FALSE)</f>
      </c>
    </row>
    <row r="222" spans="1:9">
      <c r="A222" s="2"/>
      <c r="E222">
        <f>VLOOKUP(TablaObra5[[#This Row],[Equipo]],Catalogos!$I$3:$J$34,2,FALSE)</f>
      </c>
      <c r="F222" s="3"/>
      <c r="G222" s="4">
        <v>28.3</v>
      </c>
      <c r="H222" s="4">
        <f t="shared" si="3"/>
      </c>
      <c r="I222">
        <f>VLOOKUP(TablaObra5[[#This Row],[Obra]],Catalogos!$B$3:$C$8,2,FALSE)</f>
      </c>
    </row>
    <row r="223" spans="1:9">
      <c r="A223" s="2"/>
      <c r="E223">
        <f>VLOOKUP(TablaObra5[[#This Row],[Equipo]],Catalogos!$I$3:$J$34,2,FALSE)</f>
      </c>
      <c r="F223" s="3"/>
      <c r="G223" s="4">
        <v>28.3</v>
      </c>
      <c r="H223" s="4">
        <f t="shared" si="3"/>
      </c>
      <c r="I223">
        <f>VLOOKUP(TablaObra5[[#This Row],[Obra]],Catalogos!$B$3:$C$8,2,FALSE)</f>
      </c>
    </row>
    <row r="224" spans="1:9">
      <c r="A224" s="2"/>
      <c r="E224">
        <f>VLOOKUP(TablaObra5[[#This Row],[Equipo]],Catalogos!$I$3:$J$34,2,FALSE)</f>
      </c>
      <c r="F224" s="3"/>
      <c r="G224" s="4">
        <v>28.3</v>
      </c>
      <c r="H224" s="4">
        <f t="shared" si="3"/>
      </c>
      <c r="I224">
        <f>VLOOKUP(TablaObra5[[#This Row],[Obra]],Catalogos!$B$3:$C$8,2,FALSE)</f>
      </c>
    </row>
    <row r="225" spans="1:9">
      <c r="A225" s="2"/>
      <c r="E225">
        <f>VLOOKUP(TablaObra5[[#This Row],[Equipo]],Catalogos!$I$3:$J$34,2,FALSE)</f>
      </c>
      <c r="F225" s="3"/>
      <c r="G225" s="4">
        <v>28.3</v>
      </c>
      <c r="H225" s="4">
        <f t="shared" si="3"/>
      </c>
      <c r="I225">
        <f>VLOOKUP(TablaObra5[[#This Row],[Obra]],Catalogos!$B$3:$C$8,2,FALSE)</f>
      </c>
    </row>
    <row r="226" spans="1:9">
      <c r="A226" s="2"/>
      <c r="E226">
        <f>VLOOKUP(TablaObra5[[#This Row],[Equipo]],Catalogos!$I$3:$J$34,2,FALSE)</f>
      </c>
      <c r="F226" s="3"/>
      <c r="G226" s="4">
        <v>28.3</v>
      </c>
      <c r="H226" s="4">
        <f t="shared" si="3"/>
      </c>
      <c r="I226">
        <f>VLOOKUP(TablaObra5[[#This Row],[Obra]],Catalogos!$B$3:$C$8,2,FALSE)</f>
      </c>
    </row>
    <row r="227" spans="1:9">
      <c r="A227" s="2"/>
      <c r="E227">
        <f>VLOOKUP(TablaObra5[[#This Row],[Equipo]],Catalogos!$I$3:$J$34,2,FALSE)</f>
      </c>
      <c r="F227" s="3"/>
      <c r="G227" s="4">
        <v>28.3</v>
      </c>
      <c r="H227" s="4">
        <f t="shared" si="3"/>
      </c>
      <c r="I227">
        <f>VLOOKUP(TablaObra5[[#This Row],[Obra]],Catalogos!$B$3:$C$8,2,FALSE)</f>
      </c>
    </row>
    <row r="228" spans="1:9">
      <c r="A228" s="2"/>
      <c r="E228">
        <f>VLOOKUP(TablaObra5[[#This Row],[Equipo]],Catalogos!$I$3:$J$34,2,FALSE)</f>
      </c>
      <c r="F228" s="3"/>
      <c r="G228" s="4">
        <v>28.3</v>
      </c>
      <c r="H228" s="4">
        <f t="shared" si="3"/>
      </c>
      <c r="I228">
        <f>VLOOKUP(TablaObra5[[#This Row],[Obra]],Catalogos!$B$3:$C$8,2,FALSE)</f>
      </c>
    </row>
    <row r="229" spans="1:9">
      <c r="A229" s="2"/>
      <c r="E229">
        <f>VLOOKUP(TablaObra5[[#This Row],[Equipo]],Catalogos!$I$3:$J$34,2,FALSE)</f>
      </c>
      <c r="F229" s="3"/>
      <c r="G229" s="4">
        <v>28.3</v>
      </c>
      <c r="H229" s="4">
        <f t="shared" si="3"/>
      </c>
      <c r="I229">
        <f>VLOOKUP(TablaObra5[[#This Row],[Obra]],Catalogos!$B$3:$C$8,2,FALSE)</f>
      </c>
    </row>
    <row r="230" spans="1:9">
      <c r="A230" s="2"/>
      <c r="E230">
        <f>VLOOKUP(TablaObra5[[#This Row],[Equipo]],Catalogos!$I$3:$J$34,2,FALSE)</f>
      </c>
      <c r="F230" s="3"/>
      <c r="G230" s="4">
        <v>28.3</v>
      </c>
      <c r="H230" s="4">
        <f t="shared" si="3"/>
      </c>
      <c r="I230">
        <f>VLOOKUP(TablaObra5[[#This Row],[Obra]],Catalogos!$B$3:$C$8,2,FALSE)</f>
      </c>
    </row>
    <row r="231" spans="1:9">
      <c r="A231" s="2"/>
      <c r="E231">
        <f>VLOOKUP(TablaObra5[[#This Row],[Equipo]],Catalogos!$I$3:$J$34,2,FALSE)</f>
      </c>
      <c r="F231" s="3"/>
      <c r="G231" s="4">
        <v>28.3</v>
      </c>
      <c r="H231" s="4">
        <f t="shared" si="3"/>
      </c>
      <c r="I231">
        <f>VLOOKUP(TablaObra5[[#This Row],[Obra]],Catalogos!$B$3:$C$8,2,FALSE)</f>
      </c>
    </row>
    <row r="232" spans="1:9">
      <c r="A232" s="2"/>
      <c r="E232">
        <f>VLOOKUP(TablaObra5[[#This Row],[Equipo]],Catalogos!$I$3:$J$34,2,FALSE)</f>
      </c>
      <c r="F232" s="3"/>
      <c r="G232" s="4">
        <v>28.3</v>
      </c>
      <c r="H232" s="4">
        <f t="shared" si="3"/>
      </c>
      <c r="I232">
        <f>VLOOKUP(TablaObra5[[#This Row],[Obra]],Catalogos!$B$3:$C$8,2,FALSE)</f>
      </c>
    </row>
    <row r="233" spans="1:9">
      <c r="A233" s="2"/>
      <c r="E233">
        <f>VLOOKUP(TablaObra5[[#This Row],[Equipo]],Catalogos!$I$3:$J$34,2,FALSE)</f>
      </c>
      <c r="F233" s="3"/>
      <c r="G233" s="4">
        <v>28.3</v>
      </c>
      <c r="H233" s="4">
        <f t="shared" si="3"/>
      </c>
      <c r="I233">
        <f>VLOOKUP(TablaObra5[[#This Row],[Obra]],Catalogos!$B$3:$C$8,2,FALSE)</f>
      </c>
    </row>
    <row r="234" spans="1:9">
      <c r="A234" s="2"/>
      <c r="E234">
        <f>VLOOKUP(TablaObra5[[#This Row],[Equipo]],Catalogos!$I$3:$J$34,2,FALSE)</f>
      </c>
      <c r="F234" s="3"/>
      <c r="G234" s="4">
        <v>28.3</v>
      </c>
      <c r="H234" s="4">
        <f t="shared" si="3"/>
      </c>
      <c r="I234">
        <f>VLOOKUP(TablaObra5[[#This Row],[Obra]],Catalogos!$B$3:$C$8,2,FALSE)</f>
      </c>
    </row>
    <row r="235" spans="1:9">
      <c r="A235" s="2"/>
      <c r="E235">
        <f>VLOOKUP(TablaObra5[[#This Row],[Equipo]],Catalogos!$I$3:$J$34,2,FALSE)</f>
      </c>
      <c r="F235" s="3"/>
      <c r="G235" s="4">
        <v>28.3</v>
      </c>
      <c r="H235" s="4">
        <f t="shared" si="3"/>
      </c>
      <c r="I235">
        <f>VLOOKUP(TablaObra5[[#This Row],[Obra]],Catalogos!$B$3:$C$8,2,FALSE)</f>
      </c>
    </row>
    <row r="236" spans="1:9">
      <c r="A236" s="2"/>
      <c r="E236">
        <f>VLOOKUP(TablaObra5[[#This Row],[Equipo]],Catalogos!$I$3:$J$34,2,FALSE)</f>
      </c>
      <c r="F236" s="3"/>
      <c r="G236" s="4">
        <v>28.3</v>
      </c>
      <c r="H236" s="4">
        <f t="shared" si="3"/>
      </c>
      <c r="I236">
        <f>VLOOKUP(TablaObra5[[#This Row],[Obra]],Catalogos!$B$3:$C$8,2,FALSE)</f>
      </c>
    </row>
    <row r="237" spans="1:9">
      <c r="A237" s="2"/>
      <c r="E237">
        <f>VLOOKUP(TablaObra5[[#This Row],[Equipo]],Catalogos!$I$3:$J$34,2,FALSE)</f>
      </c>
      <c r="F237" s="3"/>
      <c r="G237" s="4">
        <v>28.3</v>
      </c>
      <c r="H237" s="4">
        <f t="shared" si="3"/>
      </c>
      <c r="I237">
        <f>VLOOKUP(TablaObra5[[#This Row],[Obra]],Catalogos!$B$3:$C$8,2,FALSE)</f>
      </c>
    </row>
    <row r="238" spans="1:9">
      <c r="A238" s="2"/>
      <c r="E238">
        <f>VLOOKUP(TablaObra5[[#This Row],[Equipo]],Catalogos!$I$3:$J$34,2,FALSE)</f>
      </c>
      <c r="F238" s="3"/>
      <c r="G238" s="4">
        <v>28.3</v>
      </c>
      <c r="H238" s="4">
        <f t="shared" si="3"/>
      </c>
      <c r="I238">
        <f>VLOOKUP(TablaObra5[[#This Row],[Obra]],Catalogos!$B$3:$C$8,2,FALSE)</f>
      </c>
    </row>
    <row r="239" spans="1:9">
      <c r="A239" s="2"/>
      <c r="E239">
        <f>VLOOKUP(TablaObra5[[#This Row],[Equipo]],Catalogos!$I$3:$J$34,2,FALSE)</f>
      </c>
      <c r="F239" s="3"/>
      <c r="G239" s="4">
        <v>28.3</v>
      </c>
      <c r="H239" s="4">
        <f t="shared" si="3"/>
      </c>
      <c r="I239">
        <f>VLOOKUP(TablaObra5[[#This Row],[Obra]],Catalogos!$B$3:$C$8,2,FALSE)</f>
      </c>
    </row>
    <row r="240" spans="1:9">
      <c r="A240" s="2"/>
      <c r="E240">
        <f>VLOOKUP(TablaObra5[[#This Row],[Equipo]],Catalogos!$I$3:$J$34,2,FALSE)</f>
      </c>
      <c r="F240" s="3"/>
      <c r="G240" s="4">
        <v>28.3</v>
      </c>
      <c r="H240" s="4">
        <f t="shared" si="3"/>
      </c>
      <c r="I240">
        <f>VLOOKUP(TablaObra5[[#This Row],[Obra]],Catalogos!$B$3:$C$8,2,FALSE)</f>
      </c>
    </row>
    <row r="241" spans="1:9">
      <c r="A241" s="2"/>
      <c r="E241">
        <f>VLOOKUP(TablaObra5[[#This Row],[Equipo]],Catalogos!$I$3:$J$34,2,FALSE)</f>
      </c>
      <c r="F241" s="3"/>
      <c r="G241" s="4">
        <v>28.3</v>
      </c>
      <c r="H241" s="4">
        <f t="shared" si="3"/>
      </c>
      <c r="I241">
        <f>VLOOKUP(TablaObra5[[#This Row],[Obra]],Catalogos!$B$3:$C$8,2,FALSE)</f>
      </c>
    </row>
    <row r="242" spans="1:9">
      <c r="A242" s="2"/>
      <c r="E242">
        <f>VLOOKUP(TablaObra5[[#This Row],[Equipo]],Catalogos!$I$3:$J$34,2,FALSE)</f>
      </c>
      <c r="F242" s="3"/>
      <c r="G242" s="4">
        <v>28.3</v>
      </c>
      <c r="H242" s="4">
        <f t="shared" si="3"/>
      </c>
      <c r="I242">
        <f>VLOOKUP(TablaObra5[[#This Row],[Obra]],Catalogos!$B$3:$C$8,2,FALSE)</f>
      </c>
    </row>
    <row r="243" spans="1:9">
      <c r="A243" s="2"/>
      <c r="E243">
        <f>VLOOKUP(TablaObra5[[#This Row],[Equipo]],Catalogos!$I$3:$J$34,2,FALSE)</f>
      </c>
      <c r="F243" s="3"/>
      <c r="G243" s="4">
        <v>28.3</v>
      </c>
      <c r="H243" s="4">
        <f t="shared" si="3"/>
      </c>
      <c r="I243">
        <f>VLOOKUP(TablaObra5[[#This Row],[Obra]],Catalogos!$B$3:$C$8,2,FALSE)</f>
      </c>
    </row>
    <row r="244" spans="1:9">
      <c r="A244" s="2"/>
      <c r="E244">
        <f>VLOOKUP(TablaObra5[[#This Row],[Equipo]],Catalogos!$I$3:$J$34,2,FALSE)</f>
      </c>
      <c r="F244" s="3"/>
      <c r="G244" s="4">
        <v>28.3</v>
      </c>
      <c r="H244" s="4">
        <f t="shared" si="3"/>
      </c>
      <c r="I244">
        <f>VLOOKUP(TablaObra5[[#This Row],[Obra]],Catalogos!$B$3:$C$8,2,FALSE)</f>
      </c>
    </row>
    <row r="245" spans="1:9">
      <c r="A245" s="2"/>
      <c r="E245">
        <f>VLOOKUP(TablaObra5[[#This Row],[Equipo]],Catalogos!$I$3:$J$34,2,FALSE)</f>
      </c>
      <c r="F245" s="3"/>
      <c r="G245" s="4">
        <v>28.3</v>
      </c>
      <c r="H245" s="4">
        <f t="shared" si="3"/>
      </c>
      <c r="I245">
        <f>VLOOKUP(TablaObra5[[#This Row],[Obra]],Catalogos!$B$3:$C$8,2,FALSE)</f>
      </c>
    </row>
    <row r="246" spans="1:9">
      <c r="A246" s="2"/>
      <c r="E246">
        <f>VLOOKUP(TablaObra5[[#This Row],[Equipo]],Catalogos!$I$3:$J$34,2,FALSE)</f>
      </c>
      <c r="F246" s="3"/>
      <c r="G246" s="4">
        <v>28.3</v>
      </c>
      <c r="H246" s="4">
        <f t="shared" si="3"/>
      </c>
      <c r="I246">
        <f>VLOOKUP(TablaObra5[[#This Row],[Obra]],Catalogos!$B$3:$C$8,2,FALSE)</f>
      </c>
    </row>
    <row r="247" spans="1:9">
      <c r="A247" s="2"/>
      <c r="E247">
        <f>VLOOKUP(TablaObra5[[#This Row],[Equipo]],Catalogos!$I$3:$J$34,2,FALSE)</f>
      </c>
      <c r="F247" s="3"/>
      <c r="G247" s="4">
        <v>28.3</v>
      </c>
      <c r="H247" s="4">
        <f t="shared" si="3"/>
      </c>
      <c r="I247">
        <f>VLOOKUP(TablaObra5[[#This Row],[Obra]],Catalogos!$B$3:$C$8,2,FALSE)</f>
      </c>
    </row>
    <row r="248" spans="1:9">
      <c r="A248" s="2"/>
      <c r="E248">
        <f>VLOOKUP(TablaObra5[[#This Row],[Equipo]],Catalogos!$I$3:$J$34,2,FALSE)</f>
      </c>
      <c r="F248" s="3"/>
      <c r="G248" s="4">
        <v>28.3</v>
      </c>
      <c r="H248" s="4">
        <f t="shared" si="3"/>
      </c>
      <c r="I248">
        <f>VLOOKUP(TablaObra5[[#This Row],[Obra]],Catalogos!$B$3:$C$8,2,FALSE)</f>
      </c>
    </row>
    <row r="249" spans="1:9">
      <c r="A249" s="2"/>
      <c r="E249">
        <f>VLOOKUP(TablaObra5[[#This Row],[Equipo]],Catalogos!$I$3:$J$34,2,FALSE)</f>
      </c>
      <c r="F249" s="3"/>
      <c r="G249" s="4">
        <v>28.3</v>
      </c>
      <c r="H249" s="4">
        <f t="shared" si="3"/>
      </c>
      <c r="I249">
        <f>VLOOKUP(TablaObra5[[#This Row],[Obra]],Catalogos!$B$3:$C$8,2,FALSE)</f>
      </c>
    </row>
    <row r="250" spans="1:9">
      <c r="A250" s="2"/>
      <c r="E250">
        <f>VLOOKUP(TablaObra5[[#This Row],[Equipo]],Catalogos!$I$3:$J$34,2,FALSE)</f>
      </c>
      <c r="F250" s="3"/>
      <c r="G250" s="4">
        <v>28.3</v>
      </c>
      <c r="H250" s="4">
        <f t="shared" si="3"/>
      </c>
      <c r="I250">
        <f>VLOOKUP(TablaObra5[[#This Row],[Obra]],Catalogos!$B$3:$C$8,2,FALSE)</f>
      </c>
    </row>
    <row r="251" spans="1:9">
      <c r="A251" s="2"/>
      <c r="E251">
        <f>VLOOKUP(TablaObra5[[#This Row],[Equipo]],Catalogos!$I$3:$J$34,2,FALSE)</f>
      </c>
      <c r="F251" s="3"/>
      <c r="G251" s="4">
        <v>28.3</v>
      </c>
      <c r="H251" s="4">
        <f t="shared" si="3"/>
      </c>
      <c r="I251">
        <f>VLOOKUP(TablaObra5[[#This Row],[Obra]],Catalogos!$B$3:$C$8,2,FALSE)</f>
      </c>
    </row>
    <row r="252" spans="1:9">
      <c r="A252" s="2"/>
      <c r="E252">
        <f>VLOOKUP(TablaObra5[[#This Row],[Equipo]],Catalogos!$I$3:$J$34,2,FALSE)</f>
      </c>
      <c r="F252" s="3"/>
      <c r="G252" s="4">
        <v>28.3</v>
      </c>
      <c r="H252" s="4">
        <f t="shared" si="3"/>
      </c>
      <c r="I252">
        <f>VLOOKUP(TablaObra5[[#This Row],[Obra]],Catalogos!$B$3:$C$8,2,FALSE)</f>
      </c>
    </row>
    <row r="253" spans="1:9">
      <c r="A253" s="2"/>
      <c r="E253">
        <f>VLOOKUP(TablaObra5[[#This Row],[Equipo]],Catalogos!$I$3:$J$34,2,FALSE)</f>
      </c>
      <c r="F253" s="3"/>
      <c r="G253" s="4">
        <v>28.3</v>
      </c>
      <c r="H253" s="4">
        <f t="shared" si="3"/>
      </c>
      <c r="I253">
        <f>VLOOKUP(TablaObra5[[#This Row],[Obra]],Catalogos!$B$3:$C$8,2,FALSE)</f>
      </c>
    </row>
    <row r="254" spans="1:9">
      <c r="A254" s="2"/>
      <c r="E254">
        <f>VLOOKUP(TablaObra5[[#This Row],[Equipo]],Catalogos!$I$3:$J$34,2,FALSE)</f>
      </c>
      <c r="F254" s="3"/>
      <c r="G254" s="4">
        <v>28.3</v>
      </c>
      <c r="H254" s="4">
        <f t="shared" si="3"/>
      </c>
      <c r="I254">
        <f>VLOOKUP(TablaObra5[[#This Row],[Obra]],Catalogos!$B$3:$C$8,2,FALSE)</f>
      </c>
    </row>
    <row r="255" spans="1:9">
      <c r="A255" s="2"/>
      <c r="E255">
        <f>VLOOKUP(TablaObra5[[#This Row],[Equipo]],Catalogos!$I$3:$J$34,2,FALSE)</f>
      </c>
      <c r="F255" s="3"/>
      <c r="G255" s="4">
        <v>28.3</v>
      </c>
      <c r="H255" s="4">
        <f t="shared" si="3"/>
      </c>
      <c r="I255">
        <f>VLOOKUP(TablaObra5[[#This Row],[Obra]],Catalogos!$B$3:$C$8,2,FALSE)</f>
      </c>
    </row>
    <row r="256" spans="1:9">
      <c r="A256" s="2"/>
      <c r="E256">
        <f>VLOOKUP(TablaObra5[[#This Row],[Equipo]],Catalogos!$I$3:$J$34,2,FALSE)</f>
      </c>
      <c r="F256" s="3"/>
      <c r="G256" s="4">
        <v>28.3</v>
      </c>
      <c r="H256" s="4">
        <f t="shared" si="3"/>
      </c>
      <c r="I256">
        <f>VLOOKUP(TablaObra5[[#This Row],[Obra]],Catalogos!$B$3:$C$8,2,FALSE)</f>
      </c>
    </row>
    <row r="257" spans="1:9">
      <c r="A257" s="2"/>
      <c r="E257">
        <f>VLOOKUP(TablaObra5[[#This Row],[Equipo]],Catalogos!$I$3:$J$34,2,FALSE)</f>
      </c>
      <c r="F257" s="3"/>
      <c r="G257" s="4">
        <v>28.3</v>
      </c>
      <c r="H257" s="4">
        <f t="shared" si="3"/>
      </c>
      <c r="I257">
        <f>VLOOKUP(TablaObra5[[#This Row],[Obra]],Catalogos!$B$3:$C$8,2,FALSE)</f>
      </c>
    </row>
    <row r="258" spans="1:9">
      <c r="A258" s="2"/>
      <c r="E258">
        <f>VLOOKUP(TablaObra5[[#This Row],[Equipo]],Catalogos!$I$3:$J$34,2,FALSE)</f>
      </c>
      <c r="F258" s="3"/>
      <c r="G258" s="4">
        <v>28.3</v>
      </c>
      <c r="H258" s="4">
        <f t="shared" si="3"/>
      </c>
      <c r="I258">
        <f>VLOOKUP(TablaObra5[[#This Row],[Obra]],Catalogos!$B$3:$C$8,2,FALSE)</f>
      </c>
    </row>
    <row r="259" spans="1:9">
      <c r="A259" s="2"/>
      <c r="E259">
        <f>VLOOKUP(TablaObra5[[#This Row],[Equipo]],Catalogos!$I$3:$J$34,2,FALSE)</f>
      </c>
      <c r="F259" s="3"/>
      <c r="G259" s="4">
        <v>28.3</v>
      </c>
      <c r="H259" s="4">
        <f t="shared" si="3"/>
      </c>
      <c r="I259">
        <f>VLOOKUP(TablaObra5[[#This Row],[Obra]],Catalogos!$B$3:$C$8,2,FALSE)</f>
      </c>
    </row>
    <row r="260" spans="1:9">
      <c r="A260" s="2"/>
      <c r="E260">
        <f>VLOOKUP(TablaObra5[[#This Row],[Equipo]],Catalogos!$I$3:$J$34,2,FALSE)</f>
      </c>
      <c r="F260" s="3"/>
      <c r="G260" s="4">
        <v>28.3</v>
      </c>
      <c r="H260" s="4">
        <f t="shared" si="3"/>
      </c>
      <c r="I260">
        <f>VLOOKUP(TablaObra5[[#This Row],[Obra]],Catalogos!$B$3:$C$8,2,FALSE)</f>
      </c>
    </row>
    <row r="261" spans="1:9">
      <c r="A261" s="2"/>
      <c r="E261">
        <f>VLOOKUP(TablaObra5[[#This Row],[Equipo]],Catalogos!$I$3:$J$34,2,FALSE)</f>
      </c>
      <c r="F261" s="3"/>
      <c r="G261" s="4">
        <v>28.3</v>
      </c>
      <c r="H261" s="4">
        <f t="shared" si="3"/>
      </c>
      <c r="I261">
        <f>VLOOKUP(TablaObra5[[#This Row],[Obra]],Catalogos!$B$3:$C$8,2,FALSE)</f>
      </c>
    </row>
    <row r="262" spans="1:9">
      <c r="A262" s="2"/>
      <c r="E262">
        <f>VLOOKUP(TablaObra5[[#This Row],[Equipo]],Catalogos!$I$3:$J$34,2,FALSE)</f>
      </c>
      <c r="F262" s="3"/>
      <c r="G262" s="4">
        <v>28.3</v>
      </c>
      <c r="H262" s="4">
        <f t="shared" si="3"/>
      </c>
      <c r="I262">
        <f>VLOOKUP(TablaObra5[[#This Row],[Obra]],Catalogos!$B$3:$C$8,2,FALSE)</f>
      </c>
    </row>
    <row r="263" spans="1:9">
      <c r="A263" s="2"/>
      <c r="E263">
        <f>VLOOKUP(TablaObra5[[#This Row],[Equipo]],Catalogos!$I$3:$J$34,2,FALSE)</f>
      </c>
      <c r="F263" s="3"/>
      <c r="G263" s="4">
        <v>28.3</v>
      </c>
      <c r="H263" s="4">
        <f t="shared" ref="H263:H306" si="4">IFERROR(F263*G263,0)</f>
      </c>
      <c r="I263">
        <f>VLOOKUP(TablaObra5[[#This Row],[Obra]],Catalogos!$B$3:$C$8,2,FALSE)</f>
      </c>
    </row>
    <row r="264" spans="1:9">
      <c r="A264" s="2"/>
      <c r="E264">
        <f>VLOOKUP(TablaObra5[[#This Row],[Equipo]],Catalogos!$I$3:$J$34,2,FALSE)</f>
      </c>
      <c r="F264" s="3"/>
      <c r="G264" s="4">
        <v>28.3</v>
      </c>
      <c r="H264" s="4">
        <f t="shared" si="4"/>
      </c>
      <c r="I264">
        <f>VLOOKUP(TablaObra5[[#This Row],[Obra]],Catalogos!$B$3:$C$8,2,FALSE)</f>
      </c>
    </row>
    <row r="265" spans="1:9">
      <c r="A265" s="2"/>
      <c r="E265">
        <f>VLOOKUP(TablaObra5[[#This Row],[Equipo]],Catalogos!$I$3:$J$34,2,FALSE)</f>
      </c>
      <c r="F265" s="3"/>
      <c r="G265" s="4">
        <v>28.3</v>
      </c>
      <c r="H265" s="4">
        <f t="shared" si="4"/>
      </c>
      <c r="I265">
        <f>VLOOKUP(TablaObra5[[#This Row],[Obra]],Catalogos!$B$3:$C$8,2,FALSE)</f>
      </c>
    </row>
    <row r="266" spans="1:9">
      <c r="A266" s="2"/>
      <c r="E266">
        <f>VLOOKUP(TablaObra5[[#This Row],[Equipo]],Catalogos!$I$3:$J$34,2,FALSE)</f>
      </c>
      <c r="F266" s="3"/>
      <c r="G266" s="4">
        <v>28.3</v>
      </c>
      <c r="H266" s="4">
        <f t="shared" si="4"/>
      </c>
      <c r="I266">
        <f>VLOOKUP(TablaObra5[[#This Row],[Obra]],Catalogos!$B$3:$C$8,2,FALSE)</f>
      </c>
    </row>
    <row r="267" spans="1:9">
      <c r="A267" s="2"/>
      <c r="E267">
        <f>VLOOKUP(TablaObra5[[#This Row],[Equipo]],Catalogos!$I$3:$J$34,2,FALSE)</f>
      </c>
      <c r="F267" s="3"/>
      <c r="G267" s="4">
        <v>28.3</v>
      </c>
      <c r="H267" s="4">
        <f t="shared" si="4"/>
      </c>
      <c r="I267">
        <f>VLOOKUP(TablaObra5[[#This Row],[Obra]],Catalogos!$B$3:$C$8,2,FALSE)</f>
      </c>
    </row>
    <row r="268" spans="1:9">
      <c r="A268" s="2"/>
      <c r="E268">
        <f>VLOOKUP(TablaObra5[[#This Row],[Equipo]],Catalogos!$I$3:$J$34,2,FALSE)</f>
      </c>
      <c r="F268" s="3"/>
      <c r="G268" s="4">
        <v>28.3</v>
      </c>
      <c r="H268" s="4">
        <f t="shared" si="4"/>
      </c>
      <c r="I268">
        <f>VLOOKUP(TablaObra5[[#This Row],[Obra]],Catalogos!$B$3:$C$8,2,FALSE)</f>
      </c>
    </row>
    <row r="269" spans="1:9">
      <c r="A269" s="2"/>
      <c r="E269">
        <f>VLOOKUP(TablaObra5[[#This Row],[Equipo]],Catalogos!$I$3:$J$34,2,FALSE)</f>
      </c>
      <c r="F269" s="3"/>
      <c r="G269" s="4">
        <v>28.3</v>
      </c>
      <c r="H269" s="4">
        <f t="shared" si="4"/>
      </c>
      <c r="I269">
        <f>VLOOKUP(TablaObra5[[#This Row],[Obra]],Catalogos!$B$3:$C$8,2,FALSE)</f>
      </c>
    </row>
    <row r="270" spans="1:9">
      <c r="A270" s="2"/>
      <c r="E270">
        <f>VLOOKUP(TablaObra5[[#This Row],[Equipo]],Catalogos!$I$3:$J$34,2,FALSE)</f>
      </c>
      <c r="F270" s="3"/>
      <c r="G270" s="4">
        <v>28.3</v>
      </c>
      <c r="H270" s="4">
        <f t="shared" si="4"/>
      </c>
      <c r="I270">
        <f>VLOOKUP(TablaObra5[[#This Row],[Obra]],Catalogos!$B$3:$C$8,2,FALSE)</f>
      </c>
    </row>
    <row r="271" spans="1:9">
      <c r="A271" s="2"/>
      <c r="E271">
        <f>VLOOKUP(TablaObra5[[#This Row],[Equipo]],Catalogos!$I$3:$J$34,2,FALSE)</f>
      </c>
      <c r="F271" s="3"/>
      <c r="G271" s="4">
        <v>28.3</v>
      </c>
      <c r="H271" s="4">
        <f t="shared" si="4"/>
      </c>
      <c r="I271">
        <f>VLOOKUP(TablaObra5[[#This Row],[Obra]],Catalogos!$B$3:$C$8,2,FALSE)</f>
      </c>
    </row>
    <row r="272" spans="1:9">
      <c r="A272" s="2"/>
      <c r="E272">
        <f>VLOOKUP(TablaObra5[[#This Row],[Equipo]],Catalogos!$I$3:$J$34,2,FALSE)</f>
      </c>
      <c r="F272" s="3"/>
      <c r="G272" s="4">
        <v>28.3</v>
      </c>
      <c r="H272" s="4">
        <f t="shared" si="4"/>
      </c>
      <c r="I272">
        <f>VLOOKUP(TablaObra5[[#This Row],[Obra]],Catalogos!$B$3:$C$8,2,FALSE)</f>
      </c>
    </row>
    <row r="273" spans="1:9">
      <c r="A273" s="2"/>
      <c r="E273">
        <f>VLOOKUP(TablaObra5[[#This Row],[Equipo]],Catalogos!$I$3:$J$34,2,FALSE)</f>
      </c>
      <c r="F273" s="3"/>
      <c r="G273" s="4">
        <v>28.3</v>
      </c>
      <c r="H273" s="4">
        <f t="shared" si="4"/>
      </c>
      <c r="I273">
        <f>VLOOKUP(TablaObra5[[#This Row],[Obra]],Catalogos!$B$3:$C$8,2,FALSE)</f>
      </c>
    </row>
    <row r="274" spans="1:9">
      <c r="A274" s="2"/>
      <c r="E274">
        <f>VLOOKUP(TablaObra5[[#This Row],[Equipo]],Catalogos!$I$3:$J$34,2,FALSE)</f>
      </c>
      <c r="F274" s="3"/>
      <c r="G274" s="4">
        <v>28.3</v>
      </c>
      <c r="H274" s="4">
        <f t="shared" si="4"/>
      </c>
      <c r="I274">
        <f>VLOOKUP(TablaObra5[[#This Row],[Obra]],Catalogos!$B$3:$C$8,2,FALSE)</f>
      </c>
    </row>
    <row r="275" spans="1:9">
      <c r="A275" s="2"/>
      <c r="E275">
        <f>VLOOKUP(TablaObra5[[#This Row],[Equipo]],Catalogos!$I$3:$J$34,2,FALSE)</f>
      </c>
      <c r="F275" s="3"/>
      <c r="G275" s="4">
        <v>28.3</v>
      </c>
      <c r="H275" s="4">
        <f t="shared" si="4"/>
      </c>
      <c r="I275">
        <f>VLOOKUP(TablaObra5[[#This Row],[Obra]],Catalogos!$B$3:$C$8,2,FALSE)</f>
      </c>
    </row>
    <row r="276" spans="1:9">
      <c r="A276" s="2"/>
      <c r="E276">
        <f>VLOOKUP(TablaObra5[[#This Row],[Equipo]],Catalogos!$I$3:$J$34,2,FALSE)</f>
      </c>
      <c r="F276" s="3"/>
      <c r="G276" s="4">
        <v>28.3</v>
      </c>
      <c r="H276" s="4">
        <f t="shared" si="4"/>
      </c>
      <c r="I276">
        <f>VLOOKUP(TablaObra5[[#This Row],[Obra]],Catalogos!$B$3:$C$8,2,FALSE)</f>
      </c>
    </row>
    <row r="277" spans="1:9">
      <c r="A277" s="2"/>
      <c r="E277">
        <f>VLOOKUP(TablaObra5[[#This Row],[Equipo]],Catalogos!$I$3:$J$34,2,FALSE)</f>
      </c>
      <c r="F277" s="3"/>
      <c r="G277" s="4">
        <v>28.3</v>
      </c>
      <c r="H277" s="4">
        <f t="shared" si="4"/>
      </c>
      <c r="I277">
        <f>VLOOKUP(TablaObra5[[#This Row],[Obra]],Catalogos!$B$3:$C$8,2,FALSE)</f>
      </c>
    </row>
    <row r="278" spans="1:9">
      <c r="A278" s="2"/>
      <c r="E278">
        <f>VLOOKUP(TablaObra5[[#This Row],[Equipo]],Catalogos!$I$3:$J$34,2,FALSE)</f>
      </c>
      <c r="F278" s="3"/>
      <c r="G278" s="4">
        <v>28.3</v>
      </c>
      <c r="H278" s="4">
        <f t="shared" si="4"/>
      </c>
      <c r="I278">
        <f>VLOOKUP(TablaObra5[[#This Row],[Obra]],Catalogos!$B$3:$C$8,2,FALSE)</f>
      </c>
    </row>
    <row r="279" spans="1:9">
      <c r="A279" s="2"/>
      <c r="E279">
        <f>VLOOKUP(TablaObra5[[#This Row],[Equipo]],Catalogos!$I$3:$J$34,2,FALSE)</f>
      </c>
      <c r="F279" s="3"/>
      <c r="G279" s="4">
        <v>28.3</v>
      </c>
      <c r="H279" s="4">
        <f t="shared" si="4"/>
      </c>
      <c r="I279">
        <f>VLOOKUP(TablaObra5[[#This Row],[Obra]],Catalogos!$B$3:$C$8,2,FALSE)</f>
      </c>
    </row>
    <row r="280" spans="1:9">
      <c r="A280" s="2"/>
      <c r="E280">
        <f>VLOOKUP(TablaObra5[[#This Row],[Equipo]],Catalogos!$I$3:$J$34,2,FALSE)</f>
      </c>
      <c r="F280" s="3"/>
      <c r="G280" s="4">
        <v>28.3</v>
      </c>
      <c r="H280" s="4">
        <f t="shared" si="4"/>
      </c>
      <c r="I280">
        <f>VLOOKUP(TablaObra5[[#This Row],[Obra]],Catalogos!$B$3:$C$8,2,FALSE)</f>
      </c>
    </row>
    <row r="281" spans="1:9">
      <c r="A281" s="2"/>
      <c r="E281">
        <f>VLOOKUP(TablaObra5[[#This Row],[Equipo]],Catalogos!$I$3:$J$34,2,FALSE)</f>
      </c>
      <c r="F281" s="3"/>
      <c r="G281" s="4">
        <v>28.3</v>
      </c>
      <c r="H281" s="4">
        <f t="shared" si="4"/>
      </c>
      <c r="I281">
        <f>VLOOKUP(TablaObra5[[#This Row],[Obra]],Catalogos!$B$3:$C$8,2,FALSE)</f>
      </c>
    </row>
    <row r="282" spans="1:9">
      <c r="A282" s="2"/>
      <c r="E282">
        <f>VLOOKUP(TablaObra5[[#This Row],[Equipo]],Catalogos!$I$3:$J$34,2,FALSE)</f>
      </c>
      <c r="F282" s="3"/>
      <c r="G282" s="4">
        <v>28.3</v>
      </c>
      <c r="H282" s="4">
        <f t="shared" si="4"/>
      </c>
      <c r="I282">
        <f>VLOOKUP(TablaObra5[[#This Row],[Obra]],Catalogos!$B$3:$C$8,2,FALSE)</f>
      </c>
    </row>
    <row r="283" spans="1:9">
      <c r="A283" s="2"/>
      <c r="E283">
        <f>VLOOKUP(TablaObra5[[#This Row],[Equipo]],Catalogos!$I$3:$J$34,2,FALSE)</f>
      </c>
      <c r="F283" s="3"/>
      <c r="G283" s="4">
        <v>28.3</v>
      </c>
      <c r="H283" s="4">
        <f t="shared" si="4"/>
      </c>
      <c r="I283">
        <f>VLOOKUP(TablaObra5[[#This Row],[Obra]],Catalogos!$B$3:$C$8,2,FALSE)</f>
      </c>
    </row>
    <row r="284" spans="1:9">
      <c r="A284" s="2"/>
      <c r="E284">
        <f>VLOOKUP(TablaObra5[[#This Row],[Equipo]],Catalogos!$I$3:$J$34,2,FALSE)</f>
      </c>
      <c r="F284" s="3"/>
      <c r="G284" s="4">
        <v>28.3</v>
      </c>
      <c r="H284" s="4">
        <f t="shared" si="4"/>
      </c>
      <c r="I284">
        <f>VLOOKUP(TablaObra5[[#This Row],[Obra]],Catalogos!$B$3:$C$8,2,FALSE)</f>
      </c>
    </row>
    <row r="285" spans="1:9">
      <c r="A285" s="2"/>
      <c r="E285">
        <f>VLOOKUP(TablaObra5[[#This Row],[Equipo]],Catalogos!$I$3:$J$34,2,FALSE)</f>
      </c>
      <c r="F285" s="3"/>
      <c r="G285" s="4">
        <v>28.3</v>
      </c>
      <c r="H285" s="4">
        <f t="shared" si="4"/>
      </c>
      <c r="I285">
        <f>VLOOKUP(TablaObra5[[#This Row],[Obra]],Catalogos!$B$3:$C$8,2,FALSE)</f>
      </c>
    </row>
    <row r="286" spans="1:9">
      <c r="A286" s="2"/>
      <c r="E286">
        <f>VLOOKUP(TablaObra5[[#This Row],[Equipo]],Catalogos!$I$3:$J$34,2,FALSE)</f>
      </c>
      <c r="F286" s="3"/>
      <c r="G286" s="4">
        <v>28.3</v>
      </c>
      <c r="H286" s="4">
        <f t="shared" si="4"/>
      </c>
      <c r="I286">
        <f>VLOOKUP(TablaObra5[[#This Row],[Obra]],Catalogos!$B$3:$C$8,2,FALSE)</f>
      </c>
    </row>
    <row r="287" spans="1:9">
      <c r="A287" s="2"/>
      <c r="E287">
        <f>VLOOKUP(TablaObra5[[#This Row],[Equipo]],Catalogos!$I$3:$J$34,2,FALSE)</f>
      </c>
      <c r="F287" s="3"/>
      <c r="G287" s="4">
        <v>28.3</v>
      </c>
      <c r="H287" s="4">
        <f t="shared" si="4"/>
      </c>
      <c r="I287">
        <f>VLOOKUP(TablaObra5[[#This Row],[Obra]],Catalogos!$B$3:$C$8,2,FALSE)</f>
      </c>
    </row>
    <row r="288" spans="1:9">
      <c r="A288" s="2"/>
      <c r="E288">
        <f>VLOOKUP(TablaObra5[[#This Row],[Equipo]],Catalogos!$I$3:$J$34,2,FALSE)</f>
      </c>
      <c r="F288" s="3"/>
      <c r="G288" s="4">
        <v>28.3</v>
      </c>
      <c r="H288" s="4">
        <f t="shared" si="4"/>
      </c>
      <c r="I288">
        <f>VLOOKUP(TablaObra5[[#This Row],[Obra]],Catalogos!$B$3:$C$8,2,FALSE)</f>
      </c>
    </row>
    <row r="289" spans="1:9">
      <c r="A289" s="2"/>
      <c r="E289">
        <f>VLOOKUP(TablaObra5[[#This Row],[Equipo]],Catalogos!$I$3:$J$34,2,FALSE)</f>
      </c>
      <c r="F289" s="3"/>
      <c r="G289" s="4">
        <v>28.3</v>
      </c>
      <c r="H289" s="4">
        <f t="shared" si="4"/>
      </c>
      <c r="I289">
        <f>VLOOKUP(TablaObra5[[#This Row],[Obra]],Catalogos!$B$3:$C$8,2,FALSE)</f>
      </c>
    </row>
    <row r="290" spans="1:9">
      <c r="A290" s="2"/>
      <c r="E290">
        <f>VLOOKUP(TablaObra5[[#This Row],[Equipo]],Catalogos!$I$3:$J$34,2,FALSE)</f>
      </c>
      <c r="F290" s="3"/>
      <c r="G290" s="4">
        <v>28.3</v>
      </c>
      <c r="H290" s="4">
        <f t="shared" si="4"/>
      </c>
      <c r="I290">
        <f>VLOOKUP(TablaObra5[[#This Row],[Obra]],Catalogos!$B$3:$C$8,2,FALSE)</f>
      </c>
    </row>
    <row r="291" spans="1:9">
      <c r="A291" s="2"/>
      <c r="E291">
        <f>VLOOKUP(TablaObra5[[#This Row],[Equipo]],Catalogos!$I$3:$J$34,2,FALSE)</f>
      </c>
      <c r="F291" s="3"/>
      <c r="G291" s="4">
        <v>28.3</v>
      </c>
      <c r="H291" s="4">
        <f t="shared" si="4"/>
      </c>
      <c r="I291">
        <f>VLOOKUP(TablaObra5[[#This Row],[Obra]],Catalogos!$B$3:$C$8,2,FALSE)</f>
      </c>
    </row>
    <row r="292" spans="1:9">
      <c r="A292" s="2"/>
      <c r="E292">
        <f>VLOOKUP(TablaObra5[[#This Row],[Equipo]],Catalogos!$I$3:$J$34,2,FALSE)</f>
      </c>
      <c r="F292" s="3"/>
      <c r="G292" s="4">
        <v>28.3</v>
      </c>
      <c r="H292" s="4">
        <f t="shared" si="4"/>
      </c>
      <c r="I292">
        <f>VLOOKUP(TablaObra5[[#This Row],[Obra]],Catalogos!$B$3:$C$8,2,FALSE)</f>
      </c>
    </row>
    <row r="293" spans="1:9">
      <c r="A293" s="2"/>
      <c r="E293">
        <f>VLOOKUP(TablaObra5[[#This Row],[Equipo]],Catalogos!$I$3:$J$34,2,FALSE)</f>
      </c>
      <c r="F293" s="3"/>
      <c r="G293" s="4">
        <v>28.3</v>
      </c>
      <c r="H293" s="4">
        <f t="shared" si="4"/>
      </c>
      <c r="I293">
        <f>VLOOKUP(TablaObra5[[#This Row],[Obra]],Catalogos!$B$3:$C$8,2,FALSE)</f>
      </c>
    </row>
    <row r="294" spans="1:9">
      <c r="A294" s="2"/>
      <c r="E294">
        <f>VLOOKUP(TablaObra5[[#This Row],[Equipo]],Catalogos!$I$3:$J$34,2,FALSE)</f>
      </c>
      <c r="F294" s="3"/>
      <c r="G294" s="4">
        <v>28.3</v>
      </c>
      <c r="H294" s="4">
        <f t="shared" si="4"/>
      </c>
      <c r="I294">
        <f>VLOOKUP(TablaObra5[[#This Row],[Obra]],Catalogos!$B$3:$C$8,2,FALSE)</f>
      </c>
    </row>
    <row r="295" spans="1:9">
      <c r="A295" s="2"/>
      <c r="E295">
        <f>VLOOKUP(TablaObra5[[#This Row],[Equipo]],Catalogos!$I$3:$J$34,2,FALSE)</f>
      </c>
      <c r="F295" s="3"/>
      <c r="G295" s="4">
        <v>28.3</v>
      </c>
      <c r="H295" s="4">
        <f t="shared" si="4"/>
      </c>
      <c r="I295">
        <f>VLOOKUP(TablaObra5[[#This Row],[Obra]],Catalogos!$B$3:$C$8,2,FALSE)</f>
      </c>
    </row>
    <row r="296" spans="1:9">
      <c r="A296" s="2"/>
      <c r="E296">
        <f>VLOOKUP(TablaObra5[[#This Row],[Equipo]],Catalogos!$I$3:$J$34,2,FALSE)</f>
      </c>
      <c r="F296" s="3"/>
      <c r="G296" s="4">
        <v>28.3</v>
      </c>
      <c r="H296" s="4">
        <f t="shared" si="4"/>
      </c>
      <c r="I296">
        <f>VLOOKUP(TablaObra5[[#This Row],[Obra]],Catalogos!$B$3:$C$8,2,FALSE)</f>
      </c>
    </row>
    <row r="297" spans="1:9">
      <c r="A297" s="2"/>
      <c r="E297">
        <f>VLOOKUP(TablaObra5[[#This Row],[Equipo]],Catalogos!$I$3:$J$34,2,FALSE)</f>
      </c>
      <c r="F297" s="3"/>
      <c r="G297" s="4">
        <v>28.3</v>
      </c>
      <c r="H297" s="4">
        <f t="shared" si="4"/>
      </c>
      <c r="I297">
        <f>VLOOKUP(TablaObra5[[#This Row],[Obra]],Catalogos!$B$3:$C$8,2,FALSE)</f>
      </c>
    </row>
    <row r="298" spans="1:9">
      <c r="A298" s="2"/>
      <c r="E298">
        <f>VLOOKUP(TablaObra5[[#This Row],[Equipo]],Catalogos!$I$3:$J$34,2,FALSE)</f>
      </c>
      <c r="F298" s="3"/>
      <c r="G298" s="4">
        <v>28.3</v>
      </c>
      <c r="H298" s="4">
        <f t="shared" si="4"/>
      </c>
      <c r="I298">
        <f>VLOOKUP(TablaObra5[[#This Row],[Obra]],Catalogos!$B$3:$C$8,2,FALSE)</f>
      </c>
    </row>
    <row r="299" spans="1:9">
      <c r="A299" s="2"/>
      <c r="E299">
        <f>VLOOKUP(TablaObra5[[#This Row],[Equipo]],Catalogos!$I$3:$J$34,2,FALSE)</f>
      </c>
      <c r="F299" s="3"/>
      <c r="G299" s="4">
        <v>28.3</v>
      </c>
      <c r="H299" s="4">
        <f t="shared" si="4"/>
      </c>
      <c r="I299">
        <f>VLOOKUP(TablaObra5[[#This Row],[Obra]],Catalogos!$B$3:$C$8,2,FALSE)</f>
      </c>
    </row>
    <row r="300" spans="1:9">
      <c r="A300" s="2"/>
      <c r="E300">
        <f>VLOOKUP(TablaObra5[[#This Row],[Equipo]],Catalogos!$I$3:$J$34,2,FALSE)</f>
      </c>
      <c r="F300" s="3"/>
      <c r="G300" s="4">
        <v>28.3</v>
      </c>
      <c r="H300" s="4">
        <f t="shared" si="4"/>
      </c>
      <c r="I300">
        <f>VLOOKUP(TablaObra5[[#This Row],[Obra]],Catalogos!$B$3:$C$8,2,FALSE)</f>
      </c>
    </row>
    <row r="301" spans="1:9">
      <c r="A301" s="2"/>
      <c r="E301">
        <f>VLOOKUP(TablaObra5[[#This Row],[Equipo]],Catalogos!$I$3:$J$34,2,FALSE)</f>
      </c>
      <c r="F301" s="3"/>
      <c r="G301" s="4">
        <v>28.3</v>
      </c>
      <c r="H301" s="4">
        <f t="shared" si="4"/>
      </c>
      <c r="I301">
        <f>VLOOKUP(TablaObra5[[#This Row],[Obra]],Catalogos!$B$3:$C$8,2,FALSE)</f>
      </c>
    </row>
    <row r="302" spans="1:9">
      <c r="A302" s="2"/>
      <c r="E302">
        <f>VLOOKUP(TablaObra5[[#This Row],[Equipo]],Catalogos!$I$3:$J$34,2,FALSE)</f>
      </c>
      <c r="F302" s="3"/>
      <c r="G302" s="4">
        <v>28.3</v>
      </c>
      <c r="H302" s="4">
        <f t="shared" si="4"/>
      </c>
      <c r="I302">
        <f>VLOOKUP(TablaObra5[[#This Row],[Obra]],Catalogos!$B$3:$C$8,2,FALSE)</f>
      </c>
    </row>
    <row r="303" spans="1:9">
      <c r="A303" s="2"/>
      <c r="E303">
        <f>VLOOKUP(TablaObra5[[#This Row],[Equipo]],Catalogos!$I$3:$J$34,2,FALSE)</f>
      </c>
      <c r="F303" s="3"/>
      <c r="G303" s="4">
        <v>28.3</v>
      </c>
      <c r="H303" s="4">
        <f t="shared" si="4"/>
      </c>
      <c r="I303">
        <f>VLOOKUP(TablaObra5[[#This Row],[Obra]],Catalogos!$B$3:$C$8,2,FALSE)</f>
      </c>
    </row>
    <row r="304" spans="1:9">
      <c r="A304" s="2"/>
      <c r="E304">
        <f>VLOOKUP(TablaObra5[[#This Row],[Equipo]],Catalogos!$I$3:$J$34,2,FALSE)</f>
      </c>
      <c r="F304" s="3"/>
      <c r="G304" s="4">
        <v>28.3</v>
      </c>
      <c r="H304" s="4">
        <f t="shared" si="4"/>
      </c>
      <c r="I304">
        <f>VLOOKUP(TablaObra5[[#This Row],[Obra]],Catalogos!$B$3:$C$8,2,FALSE)</f>
      </c>
    </row>
    <row r="305" spans="1:9">
      <c r="A305" s="2"/>
      <c r="E305">
        <f>VLOOKUP(TablaObra5[[#This Row],[Equipo]],Catalogos!$I$3:$J$34,2,FALSE)</f>
      </c>
      <c r="F305" s="3"/>
      <c r="G305" s="4">
        <v>28.3</v>
      </c>
      <c r="H305" s="4">
        <f t="shared" si="4"/>
      </c>
      <c r="I305">
        <f>VLOOKUP(TablaObra5[[#This Row],[Obra]],Catalogos!$B$3:$C$8,2,FALSE)</f>
      </c>
    </row>
    <row r="306" spans="1:9">
      <c r="A306" s="2"/>
      <c r="E306">
        <f>VLOOKUP(TablaObra5[[#This Row],[Equipo]],Catalogos!$I$3:$J$34,2,FALSE)</f>
      </c>
      <c r="F306" s="3"/>
      <c r="G306" s="4">
        <v>28.3</v>
      </c>
      <c r="H306" s="4">
        <f t="shared" si="4"/>
      </c>
      <c r="I306">
        <f>VLOOKUP(TablaObra5[[#This Row],[Obra]],Catalogos!$B$3:$C$8,2,FALSE)</f>
      </c>
    </row>
  </sheetData>
  <mergeCells count="1">
    <mergeCell ref="A1:K1"/>
  </mergeCells>
  <dataValidations count="3">
    <dataValidation type="list" sqref="J5:J306" xr:uid="{F088CA72-B887-4919-9599-320A81590B37}">
      <formula1>"Sin incidencia,Fuga,Reparación,Equipo parado,Consumo extraordinario,Otro"</formula1>
    </dataValidation>
    <dataValidation type="list" sqref="C297:C306" xr:uid="{D8D37BB4-CAF1-4599-8863-3A840616BA64}">
      <formula1>"Marimba M-01,Pegaso Directo,Otro"</formula1>
    </dataValidation>
    <dataValidation sqref="C5:C296" xr:uid="{C565FAA6-1CA1-46BD-AD92-EB4A143CBC04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81A2BCB4-9A02-457A-8743-3B88717955A6}">
          <x14:formula1>
            <xm:f>Catalogos!$B$4:$B$8</xm:f>
          </x14:formula1>
          <xm:sqref>B5:B306</xm:sqref>
        </x14:dataValidation>
        <x14:dataValidation type="list" allowBlank="1" showInputMessage="1" showErrorMessage="1" xr:uid="{EDD8FA59-820A-4415-A53B-84EF3A3D37B6}">
          <x14:formula1>
            <xm:f>Catalogos!$I$4:$I$34</xm:f>
          </x14:formula1>
          <xm:sqref>D5:D306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/>
  <sheetViews>
    <sheetView zoomScale="88" workbookViewId="0">
      <selection activeCell="L39" sqref="L39"/>
    </sheetView>
  </sheetViews>
  <sheetFormatPr baseColWidth="10" defaultColWidth="8.796875" defaultRowHeight="13.8"/>
  <cols>
    <col min="1" max="1" width="13" customWidth="1"/>
    <col min="2" max="2" width="20" customWidth="1"/>
    <col min="3" max="3" width="17" customWidth="1"/>
    <col min="4" max="4" width="22" customWidth="1"/>
    <col min="5" max="6" width="14" customWidth="1"/>
    <col min="7" max="7" width="12" customWidth="1"/>
    <col min="8" max="8" width="14" customWidth="1"/>
    <col min="9" max="9" width="25" customWidth="1"/>
    <col min="10" max="10" width="16" customWidth="1"/>
    <col min="11" max="11" width="30" customWidth="1"/>
  </cols>
  <sheetData>
    <row r="1" spans="1:13" ht="22.35" customHeight="1">
      <c r="A1" t="s" s="17">
        <v>48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3">
      <c r="A2" t="s">
        <v>49</v>
      </c>
      <c r="C2" t="s">
        <v>23</v>
      </c>
      <c r="E2" t="s">
        <v>24</v>
      </c>
      <c r="G2" t="s">
        <v>50</v>
      </c>
      <c r="I2" t="s">
        <v>42</v>
      </c>
    </row>
    <row r="4" spans="1:13" ht="27.6">
      <c r="A4" t="s" s="1">
        <v>28</v>
      </c>
      <c r="B4" t="s" s="1">
        <v>3</v>
      </c>
      <c r="C4" t="s" s="1">
        <v>51</v>
      </c>
      <c r="D4" t="s" s="1">
        <v>45</v>
      </c>
      <c r="E4" t="s" s="1">
        <v>46</v>
      </c>
      <c r="F4" t="s" s="1">
        <v>52</v>
      </c>
      <c r="G4" t="s" s="1">
        <v>35</v>
      </c>
      <c r="H4" t="s" s="1">
        <v>36</v>
      </c>
      <c r="I4" t="s" s="1">
        <v>53</v>
      </c>
      <c r="J4" t="s" s="1">
        <v>54</v>
      </c>
      <c r="K4" t="s" s="1">
        <v>37</v>
      </c>
    </row>
    <row r="5" spans="1:13">
      <c r="A5" s="2">
        <v>46181</v>
      </c>
      <c r="B5" t="s">
        <v>6</v>
      </c>
      <c r="C5" t="s">
        <v>89</v>
      </c>
      <c r="D5" t="s">
        <v>181</v>
      </c>
      <c r="E5">
        <f>VLOOKUP(TablaObra[[#This Row],[Equipo]],Catalogos!I$4:J$34,2,FALSE)</f>
      </c>
      <c r="F5" s="3">
        <v>30</v>
      </c>
      <c r="G5" s="4">
        <v>28.3</v>
      </c>
      <c r="H5" s="4">
        <f t="shared" ref="H5:H68" si="0">IFERROR(F5*G5,0)</f>
      </c>
    </row>
    <row r="6" spans="1:13">
      <c r="A6" s="2">
        <v>46181</v>
      </c>
      <c r="B6" t="s">
        <v>6</v>
      </c>
      <c r="C6" t="s">
        <v>89</v>
      </c>
      <c r="D6" t="s">
        <v>86</v>
      </c>
      <c r="E6">
        <f>VLOOKUP(TablaObra[[#This Row],[Equipo]],Catalogos!I$4:J$34,2,FALSE)</f>
      </c>
      <c r="F6" s="3">
        <v>32</v>
      </c>
      <c r="G6" s="4">
        <v>28.3</v>
      </c>
      <c r="H6" s="4">
        <f t="shared" si="0"/>
      </c>
    </row>
    <row r="7" spans="1:13">
      <c r="A7" s="2">
        <v>46181</v>
      </c>
      <c r="B7" t="s">
        <v>6</v>
      </c>
      <c r="C7" t="s">
        <v>89</v>
      </c>
      <c r="D7" t="s">
        <v>164</v>
      </c>
      <c r="E7">
        <f>VLOOKUP(TablaObra[[#This Row],[Equipo]],Catalogos!I$4:J$34,2,FALSE)</f>
      </c>
      <c r="F7" s="3">
        <v>277</v>
      </c>
      <c r="G7" s="4">
        <v>28.3</v>
      </c>
      <c r="H7" s="4">
        <f t="shared" si="0"/>
      </c>
    </row>
    <row r="8" spans="1:13">
      <c r="A8" s="2">
        <v>46181</v>
      </c>
      <c r="B8" t="s">
        <v>6</v>
      </c>
      <c r="C8" t="s">
        <v>89</v>
      </c>
      <c r="D8" t="s">
        <v>95</v>
      </c>
      <c r="E8">
        <f>VLOOKUP(TablaObra[[#This Row],[Equipo]],Catalogos!I$4:J$34,2,FALSE)</f>
      </c>
      <c r="F8" s="3">
        <v>30</v>
      </c>
      <c r="G8" s="4">
        <v>28.3</v>
      </c>
      <c r="H8" s="4">
        <f t="shared" si="0"/>
      </c>
    </row>
    <row r="9" spans="1:13">
      <c r="A9" s="2">
        <v>46181</v>
      </c>
      <c r="B9" t="s">
        <v>8</v>
      </c>
      <c r="C9" t="s">
        <v>89</v>
      </c>
      <c r="D9" t="s">
        <v>160</v>
      </c>
      <c r="E9">
        <f>VLOOKUP(TablaObra[[#This Row],[Equipo]],Catalogos!I$4:J$34,2,FALSE)</f>
      </c>
      <c r="F9" s="3">
        <v>97</v>
      </c>
      <c r="G9" s="4">
        <v>28.3</v>
      </c>
      <c r="H9" s="4">
        <f t="shared" si="0"/>
      </c>
    </row>
    <row r="10" spans="1:13">
      <c r="A10" s="2">
        <v>46181</v>
      </c>
      <c r="B10" t="s">
        <v>10</v>
      </c>
      <c r="C10" t="s">
        <v>89</v>
      </c>
      <c r="D10" t="s">
        <v>171</v>
      </c>
      <c r="E10">
        <f>VLOOKUP(TablaObra[[#This Row],[Equipo]],Catalogos!I$4:J$34,2,FALSE)</f>
      </c>
      <c r="F10" s="3">
        <v>198</v>
      </c>
      <c r="G10" s="4">
        <v>28.3</v>
      </c>
      <c r="H10" s="4">
        <f t="shared" si="0"/>
      </c>
    </row>
    <row r="11" spans="1:13">
      <c r="A11" s="2">
        <v>46181</v>
      </c>
      <c r="B11" t="s">
        <v>10</v>
      </c>
      <c r="C11" t="s">
        <v>89</v>
      </c>
      <c r="D11" t="s">
        <v>192</v>
      </c>
      <c r="E11">
        <f>VLOOKUP(TablaObra[[#This Row],[Equipo]],Catalogos!I$4:J$34,2,FALSE)</f>
      </c>
      <c r="F11" s="3">
        <v>10</v>
      </c>
      <c r="G11" s="4">
        <v>28.3</v>
      </c>
      <c r="H11" s="4">
        <f t="shared" si="0"/>
      </c>
    </row>
    <row r="12" spans="1:13">
      <c r="A12" s="2">
        <v>46181</v>
      </c>
      <c r="B12" t="s">
        <v>10</v>
      </c>
      <c r="C12" t="s">
        <v>89</v>
      </c>
      <c r="D12" t="s">
        <v>186</v>
      </c>
      <c r="E12">
        <f>VLOOKUP(TablaObra[[#This Row],[Equipo]],Catalogos!I$4:J$34,2,FALSE)</f>
      </c>
      <c r="F12" s="3">
        <v>27</v>
      </c>
      <c r="G12" s="4">
        <v>28.3</v>
      </c>
      <c r="H12" s="4">
        <f t="shared" si="0"/>
      </c>
    </row>
    <row r="13" spans="1:13">
      <c r="A13" s="2">
        <v>46181</v>
      </c>
      <c r="B13" t="s">
        <v>10</v>
      </c>
      <c r="C13" t="s">
        <v>89</v>
      </c>
      <c r="D13" t="s">
        <v>194</v>
      </c>
      <c r="E13">
        <f>VLOOKUP(TablaObra[[#This Row],[Equipo]],Catalogos!I$4:J$34,2,FALSE)</f>
      </c>
      <c r="F13" s="3">
        <v>30</v>
      </c>
      <c r="G13" s="4">
        <v>28.3</v>
      </c>
      <c r="H13" s="4">
        <f t="shared" si="0"/>
      </c>
    </row>
    <row r="14" spans="1:13">
      <c r="A14" s="2">
        <v>46181</v>
      </c>
      <c r="B14" t="s">
        <v>10</v>
      </c>
      <c r="C14" t="s">
        <v>89</v>
      </c>
      <c r="D14" t="s">
        <v>177</v>
      </c>
      <c r="E14">
        <f>VLOOKUP(TablaObra[[#This Row],[Equipo]],Catalogos!I$4:J$34,2,FALSE)</f>
      </c>
      <c r="F14" s="3">
        <v>40</v>
      </c>
      <c r="G14" s="4">
        <v>28.3</v>
      </c>
      <c r="H14" s="4">
        <f t="shared" si="0"/>
      </c>
      <c r="M14" s="3">
        <f>SUM(F5:F64)</f>
      </c>
    </row>
    <row r="15" spans="1:13">
      <c r="A15" s="2">
        <v>46181</v>
      </c>
      <c r="B15" t="s">
        <v>10</v>
      </c>
      <c r="C15" t="s">
        <v>89</v>
      </c>
      <c r="D15" t="s">
        <v>182</v>
      </c>
      <c r="E15">
        <f>VLOOKUP(TablaObra[[#This Row],[Equipo]],Catalogos!I$4:J$34,2,FALSE)</f>
      </c>
      <c r="F15" s="3">
        <v>120</v>
      </c>
      <c r="G15" s="4">
        <v>28.3</v>
      </c>
      <c r="H15" s="4">
        <f t="shared" si="0"/>
      </c>
    </row>
    <row r="16" spans="1:13">
      <c r="A16" s="2">
        <v>46181</v>
      </c>
      <c r="B16" t="s">
        <v>10</v>
      </c>
      <c r="C16" t="s">
        <v>89</v>
      </c>
      <c r="D16" t="s">
        <v>188</v>
      </c>
      <c r="E16">
        <f>VLOOKUP(TablaObra[[#This Row],[Equipo]],Catalogos!I$4:J$34,2,FALSE)</f>
      </c>
      <c r="F16" s="3">
        <v>30</v>
      </c>
      <c r="G16" s="4">
        <v>28.3</v>
      </c>
      <c r="H16" s="4">
        <f t="shared" si="0"/>
      </c>
    </row>
    <row r="17" spans="1:8">
      <c r="A17" s="2">
        <v>46181</v>
      </c>
      <c r="B17" t="s">
        <v>210</v>
      </c>
      <c r="C17" t="s">
        <v>156</v>
      </c>
      <c r="D17" t="s">
        <v>211</v>
      </c>
      <c r="E17">
        <f>VLOOKUP(TablaObra[[#This Row],[Equipo]],Catalogos!I$4:J$34,2,FALSE)</f>
      </c>
      <c r="F17" s="3">
        <v>100</v>
      </c>
      <c r="G17" s="4">
        <v>28.3</v>
      </c>
      <c r="H17" s="4">
        <f t="shared" si="0"/>
      </c>
    </row>
    <row r="18" spans="1:8">
      <c r="A18" s="2">
        <v>46181</v>
      </c>
      <c r="B18" t="s">
        <v>214</v>
      </c>
      <c r="C18" t="s">
        <v>156</v>
      </c>
      <c r="D18" t="s">
        <v>211</v>
      </c>
      <c r="E18">
        <f>VLOOKUP(TablaObra[[#This Row],[Equipo]],Catalogos!I$4:J$34,2,FALSE)</f>
      </c>
      <c r="F18" s="3">
        <v>200</v>
      </c>
      <c r="G18" s="4">
        <v>28.3</v>
      </c>
      <c r="H18" s="4">
        <f t="shared" si="0"/>
      </c>
    </row>
    <row r="19" spans="1:8">
      <c r="A19" s="2">
        <v>46181</v>
      </c>
      <c r="B19" t="s">
        <v>214</v>
      </c>
      <c r="C19" t="s">
        <v>156</v>
      </c>
      <c r="D19" t="s">
        <v>211</v>
      </c>
      <c r="E19">
        <f>VLOOKUP(TablaObra[[#This Row],[Equipo]],Catalogos!I$4:J$34,2,FALSE)</f>
      </c>
      <c r="F19" s="3">
        <v>209</v>
      </c>
      <c r="G19" s="4">
        <v>28.3</v>
      </c>
      <c r="H19" s="4">
        <f t="shared" si="0"/>
      </c>
    </row>
    <row r="20" spans="1:8">
      <c r="A20" s="2">
        <v>46182</v>
      </c>
      <c r="B20" t="s">
        <v>10</v>
      </c>
      <c r="C20" t="s">
        <v>89</v>
      </c>
      <c r="D20" t="s">
        <v>175</v>
      </c>
      <c r="E20">
        <f>VLOOKUP(TablaObra[[#This Row],[Equipo]],Catalogos!I$4:J$34,2,FALSE)</f>
      </c>
      <c r="F20" s="3">
        <v>30</v>
      </c>
      <c r="G20" s="4">
        <v>28.3</v>
      </c>
      <c r="H20" s="4">
        <f t="shared" si="0"/>
      </c>
    </row>
    <row r="21" spans="1:8">
      <c r="A21" s="2">
        <v>46182</v>
      </c>
      <c r="B21" t="s">
        <v>10</v>
      </c>
      <c r="C21" t="s">
        <v>89</v>
      </c>
      <c r="D21" t="s">
        <v>179</v>
      </c>
      <c r="E21">
        <f>VLOOKUP(TablaObra[[#This Row],[Equipo]],Catalogos!I$4:J$34,2,FALSE)</f>
      </c>
      <c r="F21" s="3">
        <v>100</v>
      </c>
      <c r="G21" s="4">
        <v>28.3</v>
      </c>
      <c r="H21" s="4">
        <f t="shared" si="0"/>
      </c>
    </row>
    <row r="22" spans="1:8">
      <c r="A22" s="2">
        <v>46182</v>
      </c>
      <c r="B22" t="s">
        <v>10</v>
      </c>
      <c r="C22" t="s">
        <v>89</v>
      </c>
      <c r="D22" t="s">
        <v>184</v>
      </c>
      <c r="E22">
        <f>VLOOKUP(TablaObra[[#This Row],[Equipo]],Catalogos!I$4:J$34,2,FALSE)</f>
      </c>
      <c r="F22" s="3">
        <v>30</v>
      </c>
      <c r="G22" s="4">
        <v>28.3</v>
      </c>
      <c r="H22" s="4">
        <f t="shared" si="0"/>
      </c>
    </row>
    <row r="23" spans="1:8">
      <c r="A23" s="2">
        <v>46182</v>
      </c>
      <c r="B23" t="s">
        <v>10</v>
      </c>
      <c r="C23" t="s">
        <v>89</v>
      </c>
      <c r="D23" t="s">
        <v>171</v>
      </c>
      <c r="E23">
        <f>VLOOKUP(TablaObra[[#This Row],[Equipo]],Catalogos!I$4:J$34,2,FALSE)</f>
      </c>
      <c r="F23" s="3">
        <v>150</v>
      </c>
      <c r="G23" s="4">
        <v>28.3</v>
      </c>
      <c r="H23" s="4">
        <f t="shared" si="0"/>
      </c>
    </row>
    <row r="24" spans="1:8">
      <c r="A24" s="2">
        <v>46182</v>
      </c>
      <c r="B24" t="s">
        <v>10</v>
      </c>
      <c r="C24" t="s">
        <v>89</v>
      </c>
      <c r="D24" t="s">
        <v>188</v>
      </c>
      <c r="E24">
        <f>VLOOKUP(TablaObra[[#This Row],[Equipo]],Catalogos!I$4:J$34,2,FALSE)</f>
      </c>
      <c r="F24" s="3">
        <v>50</v>
      </c>
      <c r="G24" s="4">
        <v>28.3</v>
      </c>
      <c r="H24" s="4">
        <f t="shared" si="0"/>
      </c>
    </row>
    <row r="25" spans="1:8">
      <c r="A25" s="2">
        <v>46182</v>
      </c>
      <c r="B25" t="s">
        <v>10</v>
      </c>
      <c r="C25" t="s">
        <v>89</v>
      </c>
      <c r="D25" t="s">
        <v>182</v>
      </c>
      <c r="E25">
        <f>VLOOKUP(TablaObra[[#This Row],[Equipo]],Catalogos!I$4:J$34,2,FALSE)</f>
      </c>
      <c r="F25" s="3">
        <v>136</v>
      </c>
      <c r="G25" s="4">
        <v>28.3</v>
      </c>
      <c r="H25" s="4">
        <f t="shared" si="0"/>
      </c>
    </row>
    <row r="26" spans="1:8">
      <c r="A26" s="2">
        <v>46182</v>
      </c>
      <c r="B26" t="s">
        <v>10</v>
      </c>
      <c r="C26" t="s">
        <v>89</v>
      </c>
      <c r="D26" t="s">
        <v>184</v>
      </c>
      <c r="E26">
        <f>VLOOKUP(TablaObra[[#This Row],[Equipo]],Catalogos!I$4:J$34,2,FALSE)</f>
      </c>
      <c r="F26" s="3">
        <v>30</v>
      </c>
      <c r="G26" s="4">
        <v>28.3</v>
      </c>
      <c r="H26" s="4">
        <f t="shared" si="0"/>
      </c>
    </row>
    <row r="27" spans="1:8">
      <c r="A27" s="2">
        <v>46182</v>
      </c>
      <c r="B27" t="s">
        <v>10</v>
      </c>
      <c r="C27" t="s">
        <v>89</v>
      </c>
      <c r="D27" t="s">
        <v>181</v>
      </c>
      <c r="E27">
        <f>VLOOKUP(TablaObra[[#This Row],[Equipo]],Catalogos!I$4:J$34,2,FALSE)</f>
      </c>
      <c r="F27" s="3">
        <v>30</v>
      </c>
      <c r="G27" s="4">
        <v>28.3</v>
      </c>
      <c r="H27" s="4">
        <f t="shared" si="0"/>
      </c>
    </row>
    <row r="28" spans="1:8">
      <c r="A28" s="2">
        <v>46182</v>
      </c>
      <c r="B28" t="s">
        <v>10</v>
      </c>
      <c r="C28" t="s">
        <v>89</v>
      </c>
      <c r="D28" t="s">
        <v>179</v>
      </c>
      <c r="E28">
        <f>VLOOKUP(TablaObra[[#This Row],[Equipo]],Catalogos!I$4:J$34,2,FALSE)</f>
      </c>
      <c r="F28" s="3">
        <v>100</v>
      </c>
      <c r="G28" s="4">
        <v>28.3</v>
      </c>
      <c r="H28" s="4">
        <f t="shared" si="0"/>
      </c>
    </row>
    <row r="29" spans="1:8">
      <c r="A29" s="2">
        <v>46182</v>
      </c>
      <c r="B29" t="s">
        <v>10</v>
      </c>
      <c r="C29" t="s">
        <v>89</v>
      </c>
      <c r="D29" t="s">
        <v>177</v>
      </c>
      <c r="E29">
        <f>VLOOKUP(TablaObra[[#This Row],[Equipo]],Catalogos!I$4:J$34,2,FALSE)</f>
      </c>
      <c r="F29" s="3">
        <v>60</v>
      </c>
      <c r="G29" s="4">
        <v>28.3</v>
      </c>
      <c r="H29" s="4">
        <f t="shared" si="0"/>
      </c>
    </row>
    <row r="30" spans="1:8">
      <c r="A30" s="2">
        <v>46182</v>
      </c>
      <c r="B30" t="s">
        <v>10</v>
      </c>
      <c r="C30" t="s">
        <v>89</v>
      </c>
      <c r="D30" t="s">
        <v>194</v>
      </c>
      <c r="E30">
        <f>VLOOKUP(TablaObra[[#This Row],[Equipo]],Catalogos!I$4:J$34,2,FALSE)</f>
      </c>
      <c r="F30" s="3">
        <v>20</v>
      </c>
      <c r="G30" s="4">
        <v>28.3</v>
      </c>
      <c r="H30" s="4">
        <f t="shared" si="0"/>
      </c>
    </row>
    <row r="31" spans="1:8">
      <c r="A31" s="2">
        <v>46182</v>
      </c>
      <c r="B31" t="s">
        <v>8</v>
      </c>
      <c r="C31" t="s">
        <v>156</v>
      </c>
      <c r="D31" t="s">
        <v>95</v>
      </c>
      <c r="E31">
        <f>VLOOKUP(TablaObra[[#This Row],[Equipo]],Catalogos!I$4:J$34,2,FALSE)</f>
      </c>
      <c r="F31" s="3">
        <v>70</v>
      </c>
      <c r="G31" s="4">
        <v>28.3</v>
      </c>
      <c r="H31" s="4">
        <f t="shared" si="0"/>
      </c>
    </row>
    <row r="32" spans="1:8">
      <c r="A32" s="2">
        <v>46182</v>
      </c>
      <c r="B32" t="s">
        <v>8</v>
      </c>
      <c r="C32" t="s">
        <v>156</v>
      </c>
      <c r="D32" t="s">
        <v>200</v>
      </c>
      <c r="E32">
        <f>VLOOKUP(TablaObra[[#This Row],[Equipo]],Catalogos!I$4:J$34,2,FALSE)</f>
      </c>
      <c r="F32" s="3">
        <v>50</v>
      </c>
      <c r="G32" s="4">
        <v>28.3</v>
      </c>
      <c r="H32" s="4">
        <f t="shared" si="0"/>
      </c>
    </row>
    <row r="33" spans="1:11">
      <c r="A33" s="2">
        <v>46182</v>
      </c>
      <c r="B33" t="s">
        <v>8</v>
      </c>
      <c r="C33" t="s">
        <v>156</v>
      </c>
      <c r="D33" t="s">
        <v>100</v>
      </c>
      <c r="E33">
        <f>VLOOKUP(TablaObra[[#This Row],[Equipo]],Catalogos!I$4:J$34,2,FALSE)</f>
      </c>
      <c r="F33" s="3">
        <v>60</v>
      </c>
      <c r="G33" s="4">
        <v>28.3</v>
      </c>
      <c r="H33" s="4">
        <f t="shared" si="0"/>
      </c>
    </row>
    <row r="34" spans="1:11">
      <c r="A34" s="2">
        <v>46183</v>
      </c>
      <c r="B34" t="s">
        <v>6</v>
      </c>
      <c r="C34" t="s">
        <v>89</v>
      </c>
      <c r="D34" t="s">
        <v>165</v>
      </c>
      <c r="E34">
        <f>VLOOKUP(TablaObra[[#This Row],[Equipo]],Catalogos!I$4:J$34,2,FALSE)</f>
      </c>
      <c r="F34" s="3">
        <v>20</v>
      </c>
      <c r="G34" s="4">
        <v>28.3</v>
      </c>
      <c r="H34" s="4">
        <f t="shared" si="0"/>
      </c>
    </row>
    <row r="35" spans="1:11">
      <c r="A35" s="2">
        <v>46183</v>
      </c>
      <c r="B35" t="s">
        <v>6</v>
      </c>
      <c r="C35" t="s">
        <v>89</v>
      </c>
      <c r="D35" t="s">
        <v>164</v>
      </c>
      <c r="E35">
        <f>VLOOKUP(TablaObra[[#This Row],[Equipo]],Catalogos!I$4:J$34,2,FALSE)</f>
      </c>
      <c r="F35" s="3">
        <v>250</v>
      </c>
      <c r="G35" s="4">
        <v>28.3</v>
      </c>
      <c r="H35" s="4">
        <f t="shared" si="0"/>
      </c>
    </row>
    <row r="36" spans="1:11">
      <c r="A36" s="2">
        <v>46183</v>
      </c>
      <c r="B36" t="s">
        <v>6</v>
      </c>
      <c r="C36" t="s">
        <v>89</v>
      </c>
      <c r="D36" t="s">
        <v>95</v>
      </c>
      <c r="E36">
        <f>VLOOKUP(TablaObra[[#This Row],[Equipo]],Catalogos!I$4:J$34,2,FALSE)</f>
      </c>
      <c r="F36" s="3">
        <v>30</v>
      </c>
      <c r="G36" s="4">
        <v>28.3</v>
      </c>
      <c r="H36" s="4">
        <f t="shared" si="0"/>
      </c>
    </row>
    <row r="37" spans="1:11">
      <c r="A37" s="2">
        <v>46183</v>
      </c>
      <c r="B37" t="s">
        <v>210</v>
      </c>
      <c r="C37" t="s">
        <v>156</v>
      </c>
      <c r="D37" t="s">
        <v>211</v>
      </c>
      <c r="E37">
        <f>VLOOKUP(TablaObra[[#This Row],[Equipo]],Catalogos!I$4:J$34,2,FALSE)</f>
      </c>
      <c r="F37" s="3">
        <v>100</v>
      </c>
      <c r="G37" s="4">
        <v>28.3</v>
      </c>
      <c r="H37" s="4">
        <f t="shared" si="0"/>
      </c>
    </row>
    <row r="38" spans="1:11">
      <c r="A38" s="2">
        <v>46184</v>
      </c>
      <c r="B38" t="s">
        <v>6</v>
      </c>
      <c r="C38" t="s">
        <v>89</v>
      </c>
      <c r="D38" t="s">
        <v>86</v>
      </c>
      <c r="E38">
        <f>VLOOKUP(TablaObra[[#This Row],[Equipo]],Catalogos!I$4:J$34,2,FALSE)</f>
      </c>
      <c r="F38" s="3">
        <v>30</v>
      </c>
      <c r="G38" s="4">
        <v>28.3</v>
      </c>
      <c r="H38" s="4">
        <f t="shared" si="0"/>
      </c>
      <c r="K38" t="s">
        <v>226</v>
      </c>
    </row>
    <row r="39" spans="1:11">
      <c r="A39" s="2">
        <v>46184</v>
      </c>
      <c r="B39" t="s">
        <v>6</v>
      </c>
      <c r="C39" t="s">
        <v>89</v>
      </c>
      <c r="D39" t="s">
        <v>181</v>
      </c>
      <c r="E39">
        <f>VLOOKUP(TablaObra[[#This Row],[Equipo]],Catalogos!I$4:J$34,2,FALSE)</f>
      </c>
      <c r="F39" s="3">
        <v>30</v>
      </c>
      <c r="G39" s="4">
        <v>28.3</v>
      </c>
      <c r="H39" s="4">
        <f t="shared" si="0"/>
      </c>
      <c r="K39" t="s">
        <v>226</v>
      </c>
    </row>
    <row r="40" spans="1:11">
      <c r="A40" s="2">
        <v>46184</v>
      </c>
      <c r="B40" t="s">
        <v>6</v>
      </c>
      <c r="C40" t="s">
        <v>89</v>
      </c>
      <c r="D40" t="s">
        <v>160</v>
      </c>
      <c r="E40">
        <f>VLOOKUP(TablaObra[[#This Row],[Equipo]],Catalogos!I$4:J$34,2,FALSE)</f>
      </c>
      <c r="F40" s="3">
        <v>136</v>
      </c>
      <c r="G40" s="4">
        <v>28.3</v>
      </c>
      <c r="H40" s="4">
        <f t="shared" si="0"/>
      </c>
      <c r="K40" t="s">
        <v>226</v>
      </c>
    </row>
    <row r="41" spans="1:11">
      <c r="A41" s="2">
        <v>46184</v>
      </c>
      <c r="B41" t="s">
        <v>6</v>
      </c>
      <c r="C41" t="s">
        <v>89</v>
      </c>
      <c r="D41" t="s">
        <v>165</v>
      </c>
      <c r="E41">
        <f>VLOOKUP(TablaObra[[#This Row],[Equipo]],Catalogos!I$4:J$34,2,FALSE)</f>
      </c>
      <c r="F41" s="3">
        <v>20</v>
      </c>
      <c r="G41" s="4">
        <v>28.3</v>
      </c>
      <c r="H41" s="4">
        <f t="shared" si="0"/>
      </c>
      <c r="K41" t="s">
        <v>226</v>
      </c>
    </row>
    <row r="42" spans="1:11">
      <c r="A42" s="2">
        <v>46184</v>
      </c>
      <c r="B42" t="s">
        <v>6</v>
      </c>
      <c r="C42" t="s">
        <v>89</v>
      </c>
      <c r="D42" t="s">
        <v>95</v>
      </c>
      <c r="E42">
        <f>VLOOKUP(TablaObra[[#This Row],[Equipo]],Catalogos!I$4:J$34,2,FALSE)</f>
      </c>
      <c r="F42" s="3">
        <v>20</v>
      </c>
      <c r="G42" s="4">
        <v>28.3</v>
      </c>
      <c r="H42" s="4">
        <f t="shared" si="0"/>
      </c>
      <c r="K42" t="s">
        <v>226</v>
      </c>
    </row>
    <row r="43" spans="1:11">
      <c r="A43" s="2">
        <v>46184</v>
      </c>
      <c r="B43" t="s">
        <v>6</v>
      </c>
      <c r="C43" t="s">
        <v>89</v>
      </c>
      <c r="D43" t="s">
        <v>192</v>
      </c>
      <c r="E43">
        <f>VLOOKUP(TablaObra[[#This Row],[Equipo]],Catalogos!I$4:J$34,2,FALSE)</f>
      </c>
      <c r="F43" s="3">
        <v>20</v>
      </c>
      <c r="G43" s="4">
        <v>28.3</v>
      </c>
      <c r="H43" s="4">
        <f t="shared" si="0"/>
      </c>
      <c r="K43" t="s">
        <v>226</v>
      </c>
    </row>
    <row r="44" spans="1:11">
      <c r="A44" s="2">
        <v>46184</v>
      </c>
      <c r="B44" t="s">
        <v>214</v>
      </c>
      <c r="C44" t="s">
        <v>156</v>
      </c>
      <c r="D44" t="s">
        <v>217</v>
      </c>
      <c r="E44">
        <f>VLOOKUP(TablaObra[[#This Row],[Equipo]],Catalogos!I$4:J$34,2,FALSE)</f>
      </c>
      <c r="F44" s="3">
        <v>238</v>
      </c>
      <c r="G44" s="4">
        <v>28.3</v>
      </c>
      <c r="H44" s="4">
        <f t="shared" si="0"/>
      </c>
    </row>
    <row r="45" spans="1:11">
      <c r="A45" s="2">
        <v>46184</v>
      </c>
      <c r="B45" t="s">
        <v>8</v>
      </c>
      <c r="C45" t="s">
        <v>156</v>
      </c>
      <c r="D45" t="s">
        <v>100</v>
      </c>
      <c r="E45">
        <f>VLOOKUP(TablaObra[[#This Row],[Equipo]],Catalogos!I$4:J$34,2,FALSE)</f>
      </c>
      <c r="F45" s="3">
        <v>80</v>
      </c>
      <c r="G45" s="4">
        <v>28.3</v>
      </c>
      <c r="H45" s="4">
        <f t="shared" si="0"/>
      </c>
    </row>
    <row r="46" spans="1:11">
      <c r="A46" s="2">
        <v>46184</v>
      </c>
      <c r="B46" t="s">
        <v>8</v>
      </c>
      <c r="C46" t="s">
        <v>156</v>
      </c>
      <c r="D46" t="s">
        <v>194</v>
      </c>
      <c r="E46">
        <f>VLOOKUP(TablaObra[[#This Row],[Equipo]],Catalogos!I$4:J$34,2,FALSE)</f>
      </c>
      <c r="F46" s="3">
        <v>50</v>
      </c>
      <c r="G46" s="4">
        <v>28.3</v>
      </c>
      <c r="H46" s="4">
        <f t="shared" si="0"/>
      </c>
    </row>
    <row r="47" spans="1:11">
      <c r="A47" s="2">
        <v>46184</v>
      </c>
      <c r="B47" t="s">
        <v>8</v>
      </c>
      <c r="C47" t="s">
        <v>156</v>
      </c>
      <c r="D47" t="s">
        <v>95</v>
      </c>
      <c r="E47">
        <f>VLOOKUP(TablaObra[[#This Row],[Equipo]],Catalogos!I$4:J$34,2,FALSE)</f>
      </c>
      <c r="F47" s="3">
        <v>70</v>
      </c>
      <c r="G47" s="4">
        <v>28.3</v>
      </c>
      <c r="H47" s="4">
        <f t="shared" si="0"/>
      </c>
    </row>
    <row r="48" spans="1:11">
      <c r="A48" s="2">
        <v>46184</v>
      </c>
      <c r="B48" t="s">
        <v>8</v>
      </c>
      <c r="C48" t="s">
        <v>156</v>
      </c>
      <c r="D48" t="s">
        <v>190</v>
      </c>
      <c r="E48">
        <f>VLOOKUP(TablaObra[[#This Row],[Equipo]],Catalogos!I$4:J$34,2,FALSE)</f>
      </c>
      <c r="F48" s="3">
        <v>80</v>
      </c>
      <c r="G48" s="4">
        <v>28.3</v>
      </c>
      <c r="H48" s="4">
        <f t="shared" si="0"/>
      </c>
    </row>
    <row r="49" spans="1:8">
      <c r="A49" s="2">
        <v>46184</v>
      </c>
      <c r="B49" t="s">
        <v>8</v>
      </c>
      <c r="C49" t="s">
        <v>156</v>
      </c>
      <c r="D49" t="s">
        <v>160</v>
      </c>
      <c r="E49">
        <f>VLOOKUP(TablaObra[[#This Row],[Equipo]],Catalogos!I$4:J$34,2,FALSE)</f>
      </c>
      <c r="F49" s="3">
        <v>185</v>
      </c>
      <c r="G49" s="4">
        <v>28.3</v>
      </c>
      <c r="H49" s="4">
        <f t="shared" si="0"/>
      </c>
    </row>
    <row r="50" spans="1:8">
      <c r="A50" s="2">
        <v>46184</v>
      </c>
      <c r="B50" t="s">
        <v>8</v>
      </c>
      <c r="C50" t="s">
        <v>156</v>
      </c>
      <c r="D50" t="s">
        <v>200</v>
      </c>
      <c r="E50">
        <f>VLOOKUP(TablaObra[[#This Row],[Equipo]],Catalogos!I$4:J$34,2,FALSE)</f>
      </c>
      <c r="F50" s="3">
        <v>50</v>
      </c>
      <c r="G50" s="4">
        <v>28.3</v>
      </c>
      <c r="H50" s="4">
        <f t="shared" si="0"/>
      </c>
    </row>
    <row r="51" spans="1:8">
      <c r="A51" s="2">
        <v>46184</v>
      </c>
      <c r="B51" t="s">
        <v>8</v>
      </c>
      <c r="C51" t="s">
        <v>156</v>
      </c>
      <c r="D51" t="s">
        <v>200</v>
      </c>
      <c r="E51">
        <f>VLOOKUP(TablaObra[[#This Row],[Equipo]],Catalogos!I$4:J$34,2,FALSE)</f>
      </c>
      <c r="F51" s="3">
        <v>40</v>
      </c>
      <c r="G51" s="4">
        <v>28.3</v>
      </c>
      <c r="H51" s="4">
        <f t="shared" si="0"/>
      </c>
    </row>
    <row r="52" spans="1:8">
      <c r="A52" s="2">
        <v>46184</v>
      </c>
      <c r="B52" t="s">
        <v>8</v>
      </c>
      <c r="C52" t="s">
        <v>156</v>
      </c>
      <c r="D52" t="s">
        <v>181</v>
      </c>
      <c r="E52">
        <f>VLOOKUP(TablaObra[[#This Row],[Equipo]],Catalogos!I$4:J$34,2,FALSE)</f>
      </c>
      <c r="F52" s="3">
        <v>40</v>
      </c>
      <c r="G52" s="4">
        <v>28.3</v>
      </c>
      <c r="H52" s="4">
        <f t="shared" si="0"/>
      </c>
    </row>
    <row r="53" spans="1:8">
      <c r="A53" s="2">
        <v>46185</v>
      </c>
      <c r="B53" t="s">
        <v>10</v>
      </c>
      <c r="C53" t="s">
        <v>89</v>
      </c>
      <c r="D53" t="s">
        <v>184</v>
      </c>
      <c r="E53">
        <f>VLOOKUP(TablaObra[[#This Row],[Equipo]],Catalogos!I$4:J$34,2,FALSE)</f>
      </c>
      <c r="F53" s="3">
        <v>32</v>
      </c>
      <c r="G53" s="4">
        <v>28.3</v>
      </c>
      <c r="H53" s="4">
        <f t="shared" si="0"/>
      </c>
    </row>
    <row r="54" spans="1:8">
      <c r="A54" s="2">
        <v>46185</v>
      </c>
      <c r="B54" t="s">
        <v>10</v>
      </c>
      <c r="C54" t="s">
        <v>89</v>
      </c>
      <c r="D54" t="s">
        <v>186</v>
      </c>
      <c r="E54">
        <f>VLOOKUP(TablaObra[[#This Row],[Equipo]],Catalogos!I$4:J$34,2,FALSE)</f>
      </c>
      <c r="F54" s="3">
        <v>30</v>
      </c>
      <c r="G54" s="4">
        <v>28.3</v>
      </c>
      <c r="H54" s="4">
        <f t="shared" si="0"/>
      </c>
    </row>
    <row r="55" spans="1:8">
      <c r="A55" s="2">
        <v>46185</v>
      </c>
      <c r="B55" t="s">
        <v>10</v>
      </c>
      <c r="C55" t="s">
        <v>89</v>
      </c>
      <c r="D55" t="s">
        <v>175</v>
      </c>
      <c r="E55">
        <f>VLOOKUP(TablaObra[[#This Row],[Equipo]],Catalogos!I$4:J$34,2,FALSE)</f>
      </c>
      <c r="F55" s="3">
        <v>30</v>
      </c>
      <c r="G55" s="4">
        <v>28.3</v>
      </c>
      <c r="H55" s="4">
        <f t="shared" si="0"/>
      </c>
    </row>
    <row r="56" spans="1:8">
      <c r="A56" s="2">
        <v>46185</v>
      </c>
      <c r="B56" t="s">
        <v>10</v>
      </c>
      <c r="C56" t="s">
        <v>89</v>
      </c>
      <c r="D56" t="s">
        <v>177</v>
      </c>
      <c r="E56">
        <f>VLOOKUP(TablaObra[[#This Row],[Equipo]],Catalogos!I$4:J$34,2,FALSE)</f>
      </c>
      <c r="F56" s="3">
        <v>50</v>
      </c>
      <c r="G56" s="4">
        <v>28.3</v>
      </c>
      <c r="H56" s="4">
        <f t="shared" si="0"/>
      </c>
    </row>
    <row r="57" spans="1:8">
      <c r="A57" s="2">
        <v>46185</v>
      </c>
      <c r="B57" t="s">
        <v>10</v>
      </c>
      <c r="C57" t="s">
        <v>89</v>
      </c>
      <c r="D57" t="s">
        <v>182</v>
      </c>
      <c r="E57">
        <f>VLOOKUP(TablaObra[[#This Row],[Equipo]],Catalogos!I$4:J$34,2,FALSE)</f>
      </c>
      <c r="F57" s="3">
        <v>120</v>
      </c>
      <c r="G57" s="4">
        <v>28.3</v>
      </c>
      <c r="H57" s="4">
        <f t="shared" si="0"/>
      </c>
    </row>
    <row r="58" spans="1:8">
      <c r="A58" s="2">
        <v>46185</v>
      </c>
      <c r="B58" t="s">
        <v>10</v>
      </c>
      <c r="C58" t="s">
        <v>89</v>
      </c>
      <c r="D58" t="s">
        <v>188</v>
      </c>
      <c r="E58">
        <f>VLOOKUP(TablaObra[[#This Row],[Equipo]],Catalogos!I$4:J$34,2,FALSE)</f>
      </c>
      <c r="F58" s="3">
        <v>40</v>
      </c>
      <c r="G58" s="4">
        <v>28.3</v>
      </c>
      <c r="H58" s="4">
        <f t="shared" si="0"/>
      </c>
    </row>
    <row r="59" spans="1:8">
      <c r="A59" s="2">
        <v>46185</v>
      </c>
      <c r="B59" t="s">
        <v>10</v>
      </c>
      <c r="C59" t="s">
        <v>89</v>
      </c>
      <c r="D59" t="s">
        <v>171</v>
      </c>
      <c r="E59">
        <f>VLOOKUP(TablaObra[[#This Row],[Equipo]],Catalogos!I$4:J$34,2,FALSE)</f>
      </c>
      <c r="F59" s="3">
        <v>200</v>
      </c>
      <c r="G59" s="4">
        <v>28.3</v>
      </c>
      <c r="H59" s="4">
        <f t="shared" si="0"/>
      </c>
    </row>
    <row r="60" spans="1:8">
      <c r="A60" s="2">
        <v>46185</v>
      </c>
      <c r="B60" t="s">
        <v>6</v>
      </c>
      <c r="C60" t="s">
        <v>89</v>
      </c>
      <c r="D60" t="s">
        <v>165</v>
      </c>
      <c r="E60">
        <f>VLOOKUP(TablaObra[[#This Row],[Equipo]],Catalogos!I$4:J$34,2,FALSE)</f>
      </c>
      <c r="F60" s="3">
        <v>20</v>
      </c>
      <c r="G60" s="4">
        <v>28.3</v>
      </c>
      <c r="H60" s="4">
        <f t="shared" si="0"/>
      </c>
    </row>
    <row r="61" spans="1:8">
      <c r="A61" s="2">
        <v>46185</v>
      </c>
      <c r="B61" t="s">
        <v>6</v>
      </c>
      <c r="C61" t="s">
        <v>89</v>
      </c>
      <c r="D61" t="s">
        <v>181</v>
      </c>
      <c r="E61">
        <f>VLOOKUP(TablaObra[[#This Row],[Equipo]],Catalogos!I$4:J$34,2,FALSE)</f>
      </c>
      <c r="F61" s="3">
        <v>30</v>
      </c>
      <c r="G61" s="4">
        <v>28.3</v>
      </c>
      <c r="H61" s="4">
        <f t="shared" si="0"/>
      </c>
    </row>
    <row r="62" spans="1:8">
      <c r="A62" s="2">
        <v>46185</v>
      </c>
      <c r="B62" t="s">
        <v>6</v>
      </c>
      <c r="C62" t="s">
        <v>89</v>
      </c>
      <c r="D62" t="s">
        <v>192</v>
      </c>
      <c r="E62">
        <f>VLOOKUP(TablaObra[[#This Row],[Equipo]],Catalogos!I$4:J$34,2,FALSE)</f>
      </c>
      <c r="F62" s="3">
        <v>20</v>
      </c>
      <c r="G62" s="4">
        <v>28.3</v>
      </c>
      <c r="H62" s="4">
        <f t="shared" si="0"/>
      </c>
    </row>
    <row r="63" spans="1:8">
      <c r="A63" s="2">
        <v>46185</v>
      </c>
      <c r="B63" t="s">
        <v>6</v>
      </c>
      <c r="C63" t="s">
        <v>89</v>
      </c>
      <c r="D63" t="s">
        <v>86</v>
      </c>
      <c r="E63">
        <f>VLOOKUP(TablaObra[[#This Row],[Equipo]],Catalogos!I$4:J$34,2,FALSE)</f>
      </c>
      <c r="F63" s="3">
        <v>40</v>
      </c>
      <c r="G63" s="4">
        <v>28.3</v>
      </c>
      <c r="H63" s="4">
        <f t="shared" si="0"/>
      </c>
    </row>
    <row r="64" spans="1:8">
      <c r="A64" s="2">
        <v>46185</v>
      </c>
      <c r="B64" t="s">
        <v>6</v>
      </c>
      <c r="C64" t="s">
        <v>89</v>
      </c>
      <c r="D64" t="s">
        <v>164</v>
      </c>
      <c r="E64">
        <f>VLOOKUP(TablaObra[[#This Row],[Equipo]],Catalogos!I$4:J$34,2,FALSE)</f>
      </c>
      <c r="F64" s="3">
        <v>250</v>
      </c>
      <c r="G64" s="4">
        <v>28.3</v>
      </c>
      <c r="H64" s="4">
        <f t="shared" si="0"/>
      </c>
    </row>
    <row r="65" spans="1:8">
      <c r="A65" s="2"/>
      <c r="E65">
        <f>VLOOKUP(TablaObra[[#This Row],[Equipo]],Catalogos!I$4:J$34,2,FALSE)</f>
      </c>
      <c r="F65" s="3"/>
      <c r="G65" s="4">
        <v>28.3</v>
      </c>
      <c r="H65" s="4">
        <f t="shared" si="0"/>
      </c>
    </row>
    <row r="66" spans="1:8">
      <c r="A66" s="2"/>
      <c r="E66">
        <f>VLOOKUP(TablaObra[[#This Row],[Equipo]],Catalogos!I$4:J$34,2,FALSE)</f>
      </c>
      <c r="F66" s="3"/>
      <c r="G66" s="4">
        <v>28.3</v>
      </c>
      <c r="H66" s="4">
        <f t="shared" si="0"/>
      </c>
    </row>
    <row r="67" spans="1:8">
      <c r="A67" s="2"/>
      <c r="E67">
        <f>VLOOKUP(TablaObra[[#This Row],[Equipo]],Catalogos!I$4:J$34,2,FALSE)</f>
      </c>
      <c r="F67" s="3"/>
      <c r="G67" s="4">
        <v>28.3</v>
      </c>
      <c r="H67" s="4">
        <f t="shared" si="0"/>
      </c>
    </row>
    <row r="68" spans="1:8">
      <c r="A68" s="2"/>
      <c r="E68">
        <f>VLOOKUP(TablaObra[[#This Row],[Equipo]],Catalogos!I$4:J$34,2,FALSE)</f>
      </c>
      <c r="F68" s="3"/>
      <c r="G68" s="4">
        <v>28.3</v>
      </c>
      <c r="H68" s="4">
        <f t="shared" si="0"/>
      </c>
    </row>
    <row r="69" spans="1:8">
      <c r="A69" s="2"/>
      <c r="E69">
        <f>VLOOKUP(TablaObra[[#This Row],[Equipo]],Catalogos!I$4:J$34,2,FALSE)</f>
      </c>
      <c r="F69" s="3"/>
      <c r="G69" s="4">
        <v>28.3</v>
      </c>
      <c r="H69" s="4">
        <f t="shared" ref="H69:H132" si="1">IFERROR(F69*G69,0)</f>
      </c>
    </row>
    <row r="70" spans="1:8">
      <c r="A70" s="2"/>
      <c r="E70">
        <f>VLOOKUP(TablaObra[[#This Row],[Equipo]],Catalogos!I$4:J$34,2,FALSE)</f>
      </c>
      <c r="F70" s="3"/>
      <c r="G70" s="4">
        <v>28.3</v>
      </c>
      <c r="H70" s="4">
        <f t="shared" si="1"/>
      </c>
    </row>
    <row r="71" spans="1:8">
      <c r="A71" s="2"/>
      <c r="E71">
        <f>VLOOKUP(TablaObra[[#This Row],[Equipo]],Catalogos!I$4:J$34,2,FALSE)</f>
      </c>
      <c r="F71" s="3"/>
      <c r="G71" s="4">
        <v>28.3</v>
      </c>
      <c r="H71" s="4">
        <f t="shared" si="1"/>
      </c>
    </row>
    <row r="72" spans="1:8">
      <c r="A72" s="2"/>
      <c r="E72">
        <f>VLOOKUP(TablaObra[[#This Row],[Equipo]],Catalogos!I$4:J$34,2,FALSE)</f>
      </c>
      <c r="F72" s="3"/>
      <c r="G72" s="4">
        <v>28.3</v>
      </c>
      <c r="H72" s="4">
        <f t="shared" si="1"/>
      </c>
    </row>
    <row r="73" spans="1:8">
      <c r="A73" s="2"/>
      <c r="E73">
        <f>VLOOKUP(TablaObra[[#This Row],[Equipo]],Catalogos!I$4:J$34,2,FALSE)</f>
      </c>
      <c r="F73" s="3"/>
      <c r="G73" s="4">
        <v>28.3</v>
      </c>
      <c r="H73" s="4">
        <f t="shared" si="1"/>
      </c>
    </row>
    <row r="74" spans="1:8">
      <c r="A74" s="2"/>
      <c r="E74">
        <f>VLOOKUP(TablaObra[[#This Row],[Equipo]],Catalogos!I$4:J$34,2,FALSE)</f>
      </c>
      <c r="F74" s="3"/>
      <c r="G74" s="4">
        <v>28.3</v>
      </c>
      <c r="H74" s="4">
        <f t="shared" si="1"/>
      </c>
    </row>
    <row r="75" spans="1:8">
      <c r="A75" s="2"/>
      <c r="E75">
        <f>VLOOKUP(TablaObra[[#This Row],[Equipo]],Catalogos!I$4:J$34,2,FALSE)</f>
      </c>
      <c r="F75" s="3"/>
      <c r="G75" s="4">
        <v>28.3</v>
      </c>
      <c r="H75" s="4">
        <f t="shared" si="1"/>
      </c>
    </row>
    <row r="76" spans="1:8">
      <c r="A76" s="2"/>
      <c r="E76">
        <f>VLOOKUP(TablaObra[[#This Row],[Equipo]],Catalogos!I$4:J$34,2,FALSE)</f>
      </c>
      <c r="F76" s="3"/>
      <c r="G76" s="4">
        <v>28.3</v>
      </c>
      <c r="H76" s="4">
        <f t="shared" si="1"/>
      </c>
    </row>
    <row r="77" spans="1:8">
      <c r="A77" s="2"/>
      <c r="E77">
        <f>VLOOKUP(TablaObra[[#This Row],[Equipo]],Catalogos!I$4:J$34,2,FALSE)</f>
      </c>
      <c r="F77" s="3"/>
      <c r="G77" s="4">
        <v>28.3</v>
      </c>
      <c r="H77" s="4">
        <f t="shared" si="1"/>
      </c>
    </row>
    <row r="78" spans="1:8">
      <c r="A78" s="2"/>
      <c r="E78">
        <f>VLOOKUP(TablaObra[[#This Row],[Equipo]],Catalogos!I$4:J$34,2,FALSE)</f>
      </c>
      <c r="F78" s="3"/>
      <c r="G78" s="4">
        <v>28.3</v>
      </c>
      <c r="H78" s="4">
        <f t="shared" si="1"/>
      </c>
    </row>
    <row r="79" spans="1:8">
      <c r="A79" s="2"/>
      <c r="E79">
        <f>VLOOKUP(TablaObra[[#This Row],[Equipo]],Catalogos!I$4:J$34,2,FALSE)</f>
      </c>
      <c r="F79" s="3"/>
      <c r="G79" s="4">
        <v>28.3</v>
      </c>
      <c r="H79" s="4">
        <f t="shared" si="1"/>
      </c>
    </row>
    <row r="80" spans="1:8">
      <c r="A80" s="2"/>
      <c r="E80">
        <f>VLOOKUP(TablaObra[[#This Row],[Equipo]],Catalogos!I$4:J$34,2,FALSE)</f>
      </c>
      <c r="F80" s="3"/>
      <c r="G80" s="4">
        <v>28.3</v>
      </c>
      <c r="H80" s="4">
        <f t="shared" si="1"/>
      </c>
    </row>
    <row r="81" spans="1:8">
      <c r="A81" s="2"/>
      <c r="E81">
        <f>VLOOKUP(TablaObra[[#This Row],[Equipo]],Catalogos!I$4:J$34,2,FALSE)</f>
      </c>
      <c r="F81" s="3"/>
      <c r="G81" s="4">
        <v>28.3</v>
      </c>
      <c r="H81" s="4">
        <f t="shared" si="1"/>
      </c>
    </row>
    <row r="82" spans="1:8">
      <c r="A82" s="2"/>
      <c r="E82">
        <f>VLOOKUP(TablaObra[[#This Row],[Equipo]],Catalogos!I$4:J$34,2,FALSE)</f>
      </c>
      <c r="F82" s="3"/>
      <c r="G82" s="4">
        <v>28.3</v>
      </c>
      <c r="H82" s="4">
        <f t="shared" si="1"/>
      </c>
    </row>
    <row r="83" spans="1:8">
      <c r="A83" s="2"/>
      <c r="E83">
        <f>VLOOKUP(TablaObra[[#This Row],[Equipo]],Catalogos!I$4:J$34,2,FALSE)</f>
      </c>
      <c r="F83" s="3"/>
      <c r="G83" s="4">
        <v>28.3</v>
      </c>
      <c r="H83" s="4">
        <f t="shared" si="1"/>
      </c>
    </row>
    <row r="84" spans="1:8">
      <c r="A84" s="2"/>
      <c r="E84">
        <f>VLOOKUP(TablaObra[[#This Row],[Equipo]],Catalogos!I$4:J$34,2,FALSE)</f>
      </c>
      <c r="F84" s="3"/>
      <c r="G84" s="4">
        <v>28.3</v>
      </c>
      <c r="H84" s="4">
        <f t="shared" si="1"/>
      </c>
    </row>
    <row r="85" spans="1:8">
      <c r="A85" s="2"/>
      <c r="E85">
        <f>VLOOKUP(TablaObra[[#This Row],[Equipo]],Catalogos!I$4:J$34,2,FALSE)</f>
      </c>
      <c r="F85" s="3"/>
      <c r="G85" s="4">
        <v>28.3</v>
      </c>
      <c r="H85" s="4">
        <f t="shared" si="1"/>
      </c>
    </row>
    <row r="86" spans="1:8">
      <c r="A86" s="2"/>
      <c r="E86">
        <f>VLOOKUP(TablaObra[[#This Row],[Equipo]],Catalogos!I$4:J$34,2,FALSE)</f>
      </c>
      <c r="F86" s="3"/>
      <c r="G86" s="4">
        <v>28.3</v>
      </c>
      <c r="H86" s="4">
        <f t="shared" si="1"/>
      </c>
    </row>
    <row r="87" spans="1:8">
      <c r="A87" s="2"/>
      <c r="E87">
        <f>VLOOKUP(TablaObra[[#This Row],[Equipo]],Catalogos!I$4:J$34,2,FALSE)</f>
      </c>
      <c r="F87" s="3"/>
      <c r="G87" s="4">
        <v>28.3</v>
      </c>
      <c r="H87" s="4">
        <f t="shared" si="1"/>
      </c>
    </row>
    <row r="88" spans="1:8">
      <c r="A88" s="2"/>
      <c r="E88">
        <f>VLOOKUP(TablaObra[[#This Row],[Equipo]],Catalogos!I$4:J$34,2,FALSE)</f>
      </c>
      <c r="F88" s="3"/>
      <c r="G88" s="4">
        <v>28.3</v>
      </c>
      <c r="H88" s="4">
        <f t="shared" si="1"/>
      </c>
    </row>
    <row r="89" spans="1:8">
      <c r="A89" s="2"/>
      <c r="E89">
        <f>VLOOKUP(TablaObra[[#This Row],[Equipo]],Catalogos!I$4:J$34,2,FALSE)</f>
      </c>
      <c r="F89" s="3"/>
      <c r="G89" s="4">
        <v>28.3</v>
      </c>
      <c r="H89" s="4">
        <f t="shared" si="1"/>
      </c>
    </row>
    <row r="90" spans="1:8">
      <c r="A90" s="2"/>
      <c r="E90">
        <f>VLOOKUP(TablaObra[[#This Row],[Equipo]],Catalogos!I$4:J$34,2,FALSE)</f>
      </c>
      <c r="F90" s="3"/>
      <c r="G90" s="4">
        <v>28.3</v>
      </c>
      <c r="H90" s="4">
        <f t="shared" si="1"/>
      </c>
    </row>
    <row r="91" spans="1:8">
      <c r="A91" s="2"/>
      <c r="E91">
        <f>VLOOKUP(TablaObra[[#This Row],[Equipo]],Catalogos!I$4:J$34,2,FALSE)</f>
      </c>
      <c r="F91" s="3"/>
      <c r="G91" s="4">
        <v>28.3</v>
      </c>
      <c r="H91" s="4">
        <f t="shared" si="1"/>
      </c>
    </row>
    <row r="92" spans="1:8">
      <c r="A92" s="2"/>
      <c r="E92">
        <f>VLOOKUP(TablaObra[[#This Row],[Equipo]],Catalogos!I$4:J$34,2,FALSE)</f>
      </c>
      <c r="F92" s="3"/>
      <c r="G92" s="4">
        <v>28.3</v>
      </c>
      <c r="H92" s="4">
        <f t="shared" si="1"/>
      </c>
    </row>
    <row r="93" spans="1:8">
      <c r="A93" s="2"/>
      <c r="E93">
        <f>VLOOKUP(TablaObra[[#This Row],[Equipo]],Catalogos!I$4:J$34,2,FALSE)</f>
      </c>
      <c r="F93" s="3"/>
      <c r="G93" s="4">
        <v>28.3</v>
      </c>
      <c r="H93" s="4">
        <f t="shared" si="1"/>
      </c>
    </row>
    <row r="94" spans="1:8">
      <c r="A94" s="2"/>
      <c r="E94">
        <f>VLOOKUP(TablaObra[[#This Row],[Equipo]],Catalogos!I$4:J$34,2,FALSE)</f>
      </c>
      <c r="F94" s="3"/>
      <c r="G94" s="4">
        <v>28.3</v>
      </c>
      <c r="H94" s="4">
        <f t="shared" si="1"/>
      </c>
    </row>
    <row r="95" spans="1:8">
      <c r="A95" s="2"/>
      <c r="E95">
        <f>VLOOKUP(TablaObra[[#This Row],[Equipo]],Catalogos!I$4:J$34,2,FALSE)</f>
      </c>
      <c r="F95" s="3"/>
      <c r="G95" s="4">
        <v>28.3</v>
      </c>
      <c r="H95" s="4">
        <f t="shared" si="1"/>
      </c>
    </row>
    <row r="96" spans="1:8">
      <c r="A96" s="2"/>
      <c r="E96">
        <f>VLOOKUP(TablaObra[[#This Row],[Equipo]],Catalogos!I$4:J$34,2,FALSE)</f>
      </c>
      <c r="F96" s="3"/>
      <c r="G96" s="4">
        <v>28.3</v>
      </c>
      <c r="H96" s="4">
        <f t="shared" si="1"/>
      </c>
    </row>
    <row r="97" spans="1:8">
      <c r="A97" s="2"/>
      <c r="E97">
        <f>VLOOKUP(TablaObra[[#This Row],[Equipo]],Catalogos!I$4:J$34,2,FALSE)</f>
      </c>
      <c r="F97" s="3"/>
      <c r="G97" s="4">
        <v>28.3</v>
      </c>
      <c r="H97" s="4">
        <f t="shared" si="1"/>
      </c>
    </row>
    <row r="98" spans="1:8">
      <c r="A98" s="2"/>
      <c r="E98">
        <f>VLOOKUP(TablaObra[[#This Row],[Equipo]],Catalogos!I$4:J$34,2,FALSE)</f>
      </c>
      <c r="F98" s="3"/>
      <c r="G98" s="4">
        <v>28.3</v>
      </c>
      <c r="H98" s="4">
        <f t="shared" si="1"/>
      </c>
    </row>
    <row r="99" spans="1:8">
      <c r="A99" s="2"/>
      <c r="E99">
        <f>VLOOKUP(TablaObra[[#This Row],[Equipo]],Catalogos!I$4:J$34,2,FALSE)</f>
      </c>
      <c r="F99" s="3"/>
      <c r="G99" s="4">
        <v>28.3</v>
      </c>
      <c r="H99" s="4">
        <f t="shared" si="1"/>
      </c>
    </row>
    <row r="100" spans="1:8">
      <c r="A100" s="2"/>
      <c r="E100">
        <f>VLOOKUP(TablaObra[[#This Row],[Equipo]],Catalogos!I$4:J$34,2,FALSE)</f>
      </c>
      <c r="F100" s="3"/>
      <c r="G100" s="4">
        <v>28.3</v>
      </c>
      <c r="H100" s="4">
        <f t="shared" si="1"/>
      </c>
    </row>
    <row r="101" spans="1:8">
      <c r="A101" s="2"/>
      <c r="E101">
        <f>VLOOKUP(TablaObra[[#This Row],[Equipo]],Catalogos!I$4:J$34,2,FALSE)</f>
      </c>
      <c r="F101" s="3"/>
      <c r="G101" s="4">
        <v>28.3</v>
      </c>
      <c r="H101" s="4">
        <f t="shared" si="1"/>
      </c>
    </row>
    <row r="102" spans="1:8">
      <c r="A102" s="2"/>
      <c r="E102">
        <f>VLOOKUP(TablaObra[[#This Row],[Equipo]],Catalogos!I$4:J$34,2,FALSE)</f>
      </c>
      <c r="F102" s="3"/>
      <c r="G102" s="4">
        <v>28.3</v>
      </c>
      <c r="H102" s="4">
        <f t="shared" si="1"/>
      </c>
    </row>
    <row r="103" spans="1:8">
      <c r="A103" s="2"/>
      <c r="E103">
        <f>VLOOKUP(TablaObra[[#This Row],[Equipo]],Catalogos!I$4:J$34,2,FALSE)</f>
      </c>
      <c r="F103" s="3"/>
      <c r="G103" s="4">
        <v>28.3</v>
      </c>
      <c r="H103" s="4">
        <f t="shared" si="1"/>
      </c>
    </row>
    <row r="104" spans="1:8">
      <c r="A104" s="2"/>
      <c r="E104">
        <f>VLOOKUP(TablaObra[[#This Row],[Equipo]],Catalogos!I$4:J$34,2,FALSE)</f>
      </c>
      <c r="F104" s="3"/>
      <c r="G104" s="4">
        <v>28.3</v>
      </c>
      <c r="H104" s="4">
        <f t="shared" si="1"/>
      </c>
    </row>
    <row r="105" spans="1:8">
      <c r="A105" s="2"/>
      <c r="E105">
        <f>VLOOKUP(TablaObra[[#This Row],[Equipo]],Catalogos!I$4:J$34,2,FALSE)</f>
      </c>
      <c r="F105" s="3"/>
      <c r="G105" s="4">
        <v>28.3</v>
      </c>
      <c r="H105" s="4">
        <f t="shared" si="1"/>
      </c>
    </row>
    <row r="106" spans="1:8">
      <c r="A106" s="2"/>
      <c r="E106">
        <f>VLOOKUP(TablaObra[[#This Row],[Equipo]],Catalogos!I$4:J$34,2,FALSE)</f>
      </c>
      <c r="F106" s="3"/>
      <c r="G106" s="4">
        <v>28.3</v>
      </c>
      <c r="H106" s="4">
        <f t="shared" si="1"/>
      </c>
    </row>
    <row r="107" spans="1:8">
      <c r="A107" s="2"/>
      <c r="E107">
        <f>VLOOKUP(TablaObra[[#This Row],[Equipo]],Catalogos!I$4:J$34,2,FALSE)</f>
      </c>
      <c r="F107" s="3"/>
      <c r="G107" s="4">
        <v>28.3</v>
      </c>
      <c r="H107" s="4">
        <f t="shared" si="1"/>
      </c>
    </row>
    <row r="108" spans="1:8">
      <c r="A108" s="2"/>
      <c r="E108">
        <f>VLOOKUP(TablaObra[[#This Row],[Equipo]],Catalogos!I$4:J$34,2,FALSE)</f>
      </c>
      <c r="F108" s="3"/>
      <c r="G108" s="4">
        <v>28.3</v>
      </c>
      <c r="H108" s="4">
        <f t="shared" si="1"/>
      </c>
    </row>
    <row r="109" spans="1:8">
      <c r="A109" s="2"/>
      <c r="E109">
        <f>VLOOKUP(TablaObra[[#This Row],[Equipo]],Catalogos!I$4:J$34,2,FALSE)</f>
      </c>
      <c r="F109" s="3"/>
      <c r="G109" s="4">
        <v>28.3</v>
      </c>
      <c r="H109" s="4">
        <f t="shared" si="1"/>
      </c>
    </row>
    <row r="110" spans="1:8">
      <c r="A110" s="2"/>
      <c r="E110">
        <f>VLOOKUP(TablaObra[[#This Row],[Equipo]],Catalogos!I$4:J$34,2,FALSE)</f>
      </c>
      <c r="F110" s="3"/>
      <c r="G110" s="4">
        <v>28.3</v>
      </c>
      <c r="H110" s="4">
        <f t="shared" si="1"/>
      </c>
    </row>
    <row r="111" spans="1:8">
      <c r="A111" s="2"/>
      <c r="E111">
        <f>VLOOKUP(TablaObra[[#This Row],[Equipo]],Catalogos!I$4:J$34,2,FALSE)</f>
      </c>
      <c r="F111" s="3"/>
      <c r="G111" s="4">
        <v>28.3</v>
      </c>
      <c r="H111" s="4">
        <f t="shared" si="1"/>
      </c>
    </row>
    <row r="112" spans="1:8">
      <c r="A112" s="2"/>
      <c r="E112">
        <f>VLOOKUP(TablaObra[[#This Row],[Equipo]],Catalogos!I$4:J$34,2,FALSE)</f>
      </c>
      <c r="F112" s="3"/>
      <c r="G112" s="4">
        <v>28.3</v>
      </c>
      <c r="H112" s="4">
        <f t="shared" si="1"/>
      </c>
    </row>
    <row r="113" spans="1:8">
      <c r="A113" s="2"/>
      <c r="E113">
        <f>VLOOKUP(TablaObra[[#This Row],[Equipo]],Catalogos!I$4:J$34,2,FALSE)</f>
      </c>
      <c r="F113" s="3"/>
      <c r="G113" s="4">
        <v>28.3</v>
      </c>
      <c r="H113" s="4">
        <f t="shared" si="1"/>
      </c>
    </row>
    <row r="114" spans="1:8">
      <c r="A114" s="2"/>
      <c r="E114">
        <f>VLOOKUP(TablaObra[[#This Row],[Equipo]],Catalogos!I$4:J$34,2,FALSE)</f>
      </c>
      <c r="F114" s="3"/>
      <c r="G114" s="4">
        <v>28.3</v>
      </c>
      <c r="H114" s="4">
        <f t="shared" si="1"/>
      </c>
    </row>
    <row r="115" spans="1:8">
      <c r="A115" s="2"/>
      <c r="E115">
        <f>VLOOKUP(TablaObra[[#This Row],[Equipo]],Catalogos!I$4:J$34,2,FALSE)</f>
      </c>
      <c r="F115" s="3"/>
      <c r="G115" s="4">
        <v>28.3</v>
      </c>
      <c r="H115" s="4">
        <f t="shared" si="1"/>
      </c>
    </row>
    <row r="116" spans="1:8">
      <c r="A116" s="2"/>
      <c r="E116">
        <f>VLOOKUP(TablaObra[[#This Row],[Equipo]],Catalogos!I$4:J$34,2,FALSE)</f>
      </c>
      <c r="F116" s="3"/>
      <c r="G116" s="4">
        <v>28.3</v>
      </c>
      <c r="H116" s="4">
        <f t="shared" si="1"/>
      </c>
    </row>
    <row r="117" spans="1:8">
      <c r="A117" s="2"/>
      <c r="E117">
        <f>VLOOKUP(TablaObra[[#This Row],[Equipo]],Catalogos!I$4:J$34,2,FALSE)</f>
      </c>
      <c r="F117" s="3"/>
      <c r="G117" s="4">
        <v>28.3</v>
      </c>
      <c r="H117" s="4">
        <f t="shared" si="1"/>
      </c>
    </row>
    <row r="118" spans="1:8">
      <c r="A118" s="2"/>
      <c r="E118">
        <f>VLOOKUP(TablaObra[[#This Row],[Equipo]],Catalogos!I$4:J$34,2,FALSE)</f>
      </c>
      <c r="F118" s="3"/>
      <c r="G118" s="4">
        <v>28.3</v>
      </c>
      <c r="H118" s="4">
        <f t="shared" si="1"/>
      </c>
    </row>
    <row r="119" spans="1:8">
      <c r="A119" s="2"/>
      <c r="E119">
        <f>VLOOKUP(TablaObra[[#This Row],[Equipo]],Catalogos!I$4:J$34,2,FALSE)</f>
      </c>
      <c r="F119" s="3"/>
      <c r="G119" s="4">
        <v>28.3</v>
      </c>
      <c r="H119" s="4">
        <f t="shared" si="1"/>
      </c>
    </row>
    <row r="120" spans="1:8">
      <c r="A120" s="2"/>
      <c r="E120">
        <f>VLOOKUP(TablaObra[[#This Row],[Equipo]],Catalogos!I$4:J$34,2,FALSE)</f>
      </c>
      <c r="F120" s="3"/>
      <c r="G120" s="4">
        <v>28.3</v>
      </c>
      <c r="H120" s="4">
        <f t="shared" si="1"/>
      </c>
    </row>
    <row r="121" spans="1:8">
      <c r="A121" s="2"/>
      <c r="E121">
        <f>VLOOKUP(TablaObra[[#This Row],[Equipo]],Catalogos!I$4:J$34,2,FALSE)</f>
      </c>
      <c r="F121" s="3"/>
      <c r="G121" s="4">
        <v>28.3</v>
      </c>
      <c r="H121" s="4">
        <f t="shared" si="1"/>
      </c>
    </row>
    <row r="122" spans="1:8">
      <c r="A122" s="2"/>
      <c r="E122">
        <f>VLOOKUP(TablaObra[[#This Row],[Equipo]],Catalogos!I$4:J$34,2,FALSE)</f>
      </c>
      <c r="F122" s="3"/>
      <c r="G122" s="4">
        <v>28.3</v>
      </c>
      <c r="H122" s="4">
        <f t="shared" si="1"/>
      </c>
    </row>
    <row r="123" spans="1:8">
      <c r="A123" s="2"/>
      <c r="E123">
        <f>VLOOKUP(TablaObra[[#This Row],[Equipo]],Catalogos!I$4:J$34,2,FALSE)</f>
      </c>
      <c r="F123" s="3"/>
      <c r="G123" s="4">
        <v>28.3</v>
      </c>
      <c r="H123" s="4">
        <f t="shared" si="1"/>
      </c>
    </row>
    <row r="124" spans="1:8">
      <c r="A124" s="2"/>
      <c r="E124">
        <f>VLOOKUP(TablaObra[[#This Row],[Equipo]],Catalogos!I$4:J$34,2,FALSE)</f>
      </c>
      <c r="F124" s="3"/>
      <c r="G124" s="4">
        <v>28.3</v>
      </c>
      <c r="H124" s="4">
        <f t="shared" si="1"/>
      </c>
    </row>
    <row r="125" spans="1:8">
      <c r="A125" s="2"/>
      <c r="E125">
        <f>VLOOKUP(TablaObra[[#This Row],[Equipo]],Catalogos!I$4:J$34,2,FALSE)</f>
      </c>
      <c r="F125" s="3"/>
      <c r="G125" s="4">
        <v>28.3</v>
      </c>
      <c r="H125" s="4">
        <f t="shared" si="1"/>
      </c>
    </row>
    <row r="126" spans="1:8">
      <c r="A126" s="2"/>
      <c r="E126">
        <f>VLOOKUP(TablaObra[[#This Row],[Equipo]],Catalogos!I$4:J$34,2,FALSE)</f>
      </c>
      <c r="F126" s="3"/>
      <c r="G126" s="4">
        <v>28.3</v>
      </c>
      <c r="H126" s="4">
        <f t="shared" si="1"/>
      </c>
    </row>
    <row r="127" spans="1:8">
      <c r="A127" s="2"/>
      <c r="E127">
        <f>VLOOKUP(TablaObra[[#This Row],[Equipo]],Catalogos!I$4:J$34,2,FALSE)</f>
      </c>
      <c r="F127" s="3"/>
      <c r="G127" s="4">
        <v>28.3</v>
      </c>
      <c r="H127" s="4">
        <f t="shared" si="1"/>
      </c>
    </row>
    <row r="128" spans="1:8">
      <c r="A128" s="2"/>
      <c r="E128">
        <f>VLOOKUP(TablaObra[[#This Row],[Equipo]],Catalogos!I$4:J$34,2,FALSE)</f>
      </c>
      <c r="F128" s="3"/>
      <c r="G128" s="4">
        <v>28.3</v>
      </c>
      <c r="H128" s="4">
        <f t="shared" si="1"/>
      </c>
    </row>
    <row r="129" spans="1:8">
      <c r="A129" s="2"/>
      <c r="E129">
        <f>VLOOKUP(TablaObra[[#This Row],[Equipo]],Catalogos!I$4:J$34,2,FALSE)</f>
      </c>
      <c r="F129" s="3"/>
      <c r="G129" s="4">
        <v>28.3</v>
      </c>
      <c r="H129" s="4">
        <f t="shared" si="1"/>
      </c>
    </row>
    <row r="130" spans="1:8">
      <c r="A130" s="2"/>
      <c r="E130">
        <f>VLOOKUP(TablaObra[[#This Row],[Equipo]],Catalogos!I$4:J$34,2,FALSE)</f>
      </c>
      <c r="F130" s="3"/>
      <c r="G130" s="4">
        <v>28.3</v>
      </c>
      <c r="H130" s="4">
        <f t="shared" si="1"/>
      </c>
    </row>
    <row r="131" spans="1:8">
      <c r="A131" s="2"/>
      <c r="E131">
        <f>VLOOKUP(TablaObra[[#This Row],[Equipo]],Catalogos!I$4:J$34,2,FALSE)</f>
      </c>
      <c r="F131" s="3"/>
      <c r="G131" s="4">
        <v>28.3</v>
      </c>
      <c r="H131" s="4">
        <f t="shared" si="1"/>
      </c>
    </row>
    <row r="132" spans="1:8">
      <c r="A132" s="2"/>
      <c r="E132">
        <f>VLOOKUP(TablaObra[[#This Row],[Equipo]],Catalogos!I$4:J$34,2,FALSE)</f>
      </c>
      <c r="F132" s="3"/>
      <c r="G132" s="4">
        <v>28.3</v>
      </c>
      <c r="H132" s="4">
        <f t="shared" si="1"/>
      </c>
    </row>
    <row r="133" spans="1:8">
      <c r="A133" s="2"/>
      <c r="E133">
        <f>VLOOKUP(TablaObra[[#This Row],[Equipo]],Catalogos!I$4:J$34,2,FALSE)</f>
      </c>
      <c r="F133" s="3"/>
      <c r="G133" s="4">
        <v>28.3</v>
      </c>
      <c r="H133" s="4">
        <f t="shared" ref="H133:H196" si="2">IFERROR(F133*G133,0)</f>
      </c>
    </row>
    <row r="134" spans="1:8">
      <c r="A134" s="2"/>
      <c r="E134">
        <f>VLOOKUP(TablaObra[[#This Row],[Equipo]],Catalogos!I$4:J$34,2,FALSE)</f>
      </c>
      <c r="F134" s="3"/>
      <c r="G134" s="4">
        <v>28.3</v>
      </c>
      <c r="H134" s="4">
        <f t="shared" si="2"/>
      </c>
    </row>
    <row r="135" spans="1:8">
      <c r="A135" s="2"/>
      <c r="E135">
        <f>VLOOKUP(TablaObra[[#This Row],[Equipo]],Catalogos!I$4:J$34,2,FALSE)</f>
      </c>
      <c r="F135" s="3"/>
      <c r="G135" s="4">
        <v>28.3</v>
      </c>
      <c r="H135" s="4">
        <f t="shared" si="2"/>
      </c>
    </row>
    <row r="136" spans="1:8">
      <c r="A136" s="2"/>
      <c r="E136">
        <f>VLOOKUP(TablaObra[[#This Row],[Equipo]],Catalogos!I$4:J$34,2,FALSE)</f>
      </c>
      <c r="F136" s="3"/>
      <c r="G136" s="4">
        <v>28.3</v>
      </c>
      <c r="H136" s="4">
        <f t="shared" si="2"/>
      </c>
    </row>
    <row r="137" spans="1:8">
      <c r="A137" s="2"/>
      <c r="E137">
        <f>VLOOKUP(TablaObra[[#This Row],[Equipo]],Catalogos!I$4:J$34,2,FALSE)</f>
      </c>
      <c r="F137" s="3"/>
      <c r="G137" s="4">
        <v>28.3</v>
      </c>
      <c r="H137" s="4">
        <f t="shared" si="2"/>
      </c>
    </row>
    <row r="138" spans="1:8">
      <c r="A138" s="2"/>
      <c r="E138">
        <f>VLOOKUP(TablaObra[[#This Row],[Equipo]],Catalogos!I$4:J$34,2,FALSE)</f>
      </c>
      <c r="F138" s="3"/>
      <c r="G138" s="4">
        <v>28.3</v>
      </c>
      <c r="H138" s="4">
        <f t="shared" si="2"/>
      </c>
    </row>
    <row r="139" spans="1:8">
      <c r="A139" s="2"/>
      <c r="E139">
        <f>VLOOKUP(TablaObra[[#This Row],[Equipo]],Catalogos!I$4:J$34,2,FALSE)</f>
      </c>
      <c r="F139" s="3"/>
      <c r="G139" s="4">
        <v>28.3</v>
      </c>
      <c r="H139" s="4">
        <f t="shared" si="2"/>
      </c>
    </row>
    <row r="140" spans="1:8">
      <c r="A140" s="2"/>
      <c r="E140">
        <f>VLOOKUP(TablaObra[[#This Row],[Equipo]],Catalogos!I$4:J$34,2,FALSE)</f>
      </c>
      <c r="F140" s="3"/>
      <c r="G140" s="4">
        <v>28.3</v>
      </c>
      <c r="H140" s="4">
        <f t="shared" si="2"/>
      </c>
    </row>
    <row r="141" spans="1:8">
      <c r="A141" s="2"/>
      <c r="E141">
        <f>VLOOKUP(TablaObra[[#This Row],[Equipo]],Catalogos!I$4:J$34,2,FALSE)</f>
      </c>
      <c r="F141" s="3"/>
      <c r="G141" s="4">
        <v>28.3</v>
      </c>
      <c r="H141" s="4">
        <f t="shared" si="2"/>
      </c>
    </row>
    <row r="142" spans="1:8">
      <c r="A142" s="2"/>
      <c r="E142">
        <f>VLOOKUP(TablaObra[[#This Row],[Equipo]],Catalogos!I$4:J$34,2,FALSE)</f>
      </c>
      <c r="F142" s="3"/>
      <c r="G142" s="4">
        <v>28.3</v>
      </c>
      <c r="H142" s="4">
        <f t="shared" si="2"/>
      </c>
    </row>
    <row r="143" spans="1:8">
      <c r="A143" s="2"/>
      <c r="E143">
        <f>VLOOKUP(TablaObra[[#This Row],[Equipo]],Catalogos!I$4:J$34,2,FALSE)</f>
      </c>
      <c r="F143" s="3"/>
      <c r="G143" s="4">
        <v>28.3</v>
      </c>
      <c r="H143" s="4">
        <f t="shared" si="2"/>
      </c>
    </row>
    <row r="144" spans="1:8">
      <c r="A144" s="2"/>
      <c r="E144">
        <f>VLOOKUP(TablaObra[[#This Row],[Equipo]],Catalogos!I$4:J$34,2,FALSE)</f>
      </c>
      <c r="F144" s="3"/>
      <c r="G144" s="4">
        <v>28.3</v>
      </c>
      <c r="H144" s="4">
        <f t="shared" si="2"/>
      </c>
    </row>
    <row r="145" spans="1:8">
      <c r="A145" s="2"/>
      <c r="E145">
        <f>VLOOKUP(TablaObra[[#This Row],[Equipo]],Catalogos!I$4:J$34,2,FALSE)</f>
      </c>
      <c r="F145" s="3"/>
      <c r="G145" s="4">
        <v>28.3</v>
      </c>
      <c r="H145" s="4">
        <f t="shared" si="2"/>
      </c>
    </row>
    <row r="146" spans="1:8">
      <c r="A146" s="2"/>
      <c r="E146">
        <f>VLOOKUP(TablaObra[[#This Row],[Equipo]],Catalogos!I$4:J$34,2,FALSE)</f>
      </c>
      <c r="F146" s="3"/>
      <c r="G146" s="4"/>
      <c r="H146" s="4">
        <f t="shared" si="2"/>
      </c>
    </row>
    <row r="147" spans="1:8">
      <c r="A147" s="2"/>
      <c r="E147">
        <f>VLOOKUP(TablaObra[[#This Row],[Equipo]],Catalogos!I$4:J$34,2,FALSE)</f>
      </c>
      <c r="F147" s="3"/>
      <c r="G147" s="4"/>
      <c r="H147" s="4">
        <f t="shared" si="2"/>
      </c>
    </row>
    <row r="148" spans="1:8">
      <c r="A148" s="2"/>
      <c r="E148">
        <f>VLOOKUP(TablaObra[[#This Row],[Equipo]],Catalogos!I$4:J$34,2,FALSE)</f>
      </c>
      <c r="F148" s="3"/>
      <c r="G148" s="4"/>
      <c r="H148" s="4">
        <f t="shared" si="2"/>
      </c>
    </row>
    <row r="149" spans="1:8">
      <c r="A149" s="2"/>
      <c r="E149">
        <f>VLOOKUP(TablaObra[[#This Row],[Equipo]],Catalogos!I$4:J$34,2,FALSE)</f>
      </c>
      <c r="F149" s="3"/>
      <c r="G149" s="4"/>
      <c r="H149" s="4">
        <f t="shared" si="2"/>
      </c>
    </row>
    <row r="150" spans="1:8">
      <c r="A150" s="2"/>
      <c r="E150">
        <f>VLOOKUP(TablaObra[[#This Row],[Equipo]],Catalogos!I$4:J$34,2,FALSE)</f>
      </c>
      <c r="F150" s="3"/>
      <c r="G150" s="4"/>
      <c r="H150" s="4">
        <f t="shared" si="2"/>
      </c>
    </row>
    <row r="151" spans="1:8">
      <c r="A151" s="2"/>
      <c r="E151">
        <f>VLOOKUP(TablaObra[[#This Row],[Equipo]],Catalogos!I$4:J$34,2,FALSE)</f>
      </c>
      <c r="F151" s="3"/>
      <c r="G151" s="4"/>
      <c r="H151" s="4">
        <f t="shared" si="2"/>
      </c>
    </row>
    <row r="152" spans="1:8">
      <c r="A152" s="2"/>
      <c r="E152">
        <f>VLOOKUP(TablaObra[[#This Row],[Equipo]],Catalogos!I$4:J$34,2,FALSE)</f>
      </c>
      <c r="F152" s="3"/>
      <c r="G152" s="4"/>
      <c r="H152" s="4">
        <f t="shared" si="2"/>
      </c>
    </row>
    <row r="153" spans="1:8">
      <c r="A153" s="2"/>
      <c r="E153">
        <f>VLOOKUP(TablaObra[[#This Row],[Equipo]],Catalogos!I$4:J$34,2,FALSE)</f>
      </c>
      <c r="F153" s="3"/>
      <c r="G153" s="4"/>
      <c r="H153" s="4">
        <f t="shared" si="2"/>
      </c>
    </row>
    <row r="154" spans="1:8">
      <c r="A154" s="2"/>
      <c r="E154">
        <f>VLOOKUP(TablaObra[[#This Row],[Equipo]],Catalogos!I$4:J$34,2,FALSE)</f>
      </c>
      <c r="F154" s="3"/>
      <c r="G154" s="4"/>
      <c r="H154" s="4">
        <f t="shared" si="2"/>
      </c>
    </row>
    <row r="155" spans="1:8">
      <c r="A155" s="2"/>
      <c r="E155">
        <f>VLOOKUP(TablaObra[[#This Row],[Equipo]],Catalogos!I$4:J$34,2,FALSE)</f>
      </c>
      <c r="F155" s="3"/>
      <c r="G155" s="4"/>
      <c r="H155" s="4">
        <f t="shared" si="2"/>
      </c>
    </row>
    <row r="156" spans="1:8">
      <c r="A156" s="2"/>
      <c r="E156">
        <f>VLOOKUP(TablaObra[[#This Row],[Equipo]],Catalogos!I$4:J$34,2,FALSE)</f>
      </c>
      <c r="F156" s="3"/>
      <c r="G156" s="4"/>
      <c r="H156" s="4">
        <f t="shared" si="2"/>
      </c>
    </row>
    <row r="157" spans="1:8">
      <c r="A157" s="2"/>
      <c r="E157">
        <f>VLOOKUP(TablaObra[[#This Row],[Equipo]],Catalogos!I$4:J$34,2,FALSE)</f>
      </c>
      <c r="F157" s="3"/>
      <c r="G157" s="4"/>
      <c r="H157" s="4">
        <f t="shared" si="2"/>
      </c>
    </row>
    <row r="158" spans="1:8">
      <c r="A158" s="2"/>
      <c r="E158">
        <f>VLOOKUP(TablaObra[[#This Row],[Equipo]],Catalogos!I$4:J$34,2,FALSE)</f>
      </c>
      <c r="F158" s="3"/>
      <c r="G158" s="4"/>
      <c r="H158" s="4">
        <f t="shared" si="2"/>
      </c>
    </row>
    <row r="159" spans="1:8">
      <c r="A159" s="2"/>
      <c r="E159">
        <f>VLOOKUP(TablaObra[[#This Row],[Equipo]],Catalogos!I$4:J$34,2,FALSE)</f>
      </c>
      <c r="F159" s="3"/>
      <c r="G159" s="4"/>
      <c r="H159" s="4">
        <f t="shared" si="2"/>
      </c>
    </row>
    <row r="160" spans="1:8">
      <c r="A160" s="2"/>
      <c r="E160">
        <f>VLOOKUP(TablaObra[[#This Row],[Equipo]],Catalogos!I$4:J$34,2,FALSE)</f>
      </c>
      <c r="F160" s="3"/>
      <c r="G160" s="4"/>
      <c r="H160" s="4">
        <f t="shared" si="2"/>
      </c>
    </row>
    <row r="161" spans="1:8">
      <c r="A161" s="2"/>
      <c r="E161">
        <f>VLOOKUP(TablaObra[[#This Row],[Equipo]],Catalogos!I$4:J$34,2,FALSE)</f>
      </c>
      <c r="F161" s="3"/>
      <c r="G161" s="4"/>
      <c r="H161" s="4">
        <f t="shared" si="2"/>
      </c>
    </row>
    <row r="162" spans="1:8">
      <c r="A162" s="2"/>
      <c r="E162">
        <f>VLOOKUP(TablaObra[[#This Row],[Equipo]],Catalogos!I$4:J$34,2,FALSE)</f>
      </c>
      <c r="F162" s="3"/>
      <c r="G162" s="4"/>
      <c r="H162" s="4">
        <f t="shared" si="2"/>
      </c>
    </row>
    <row r="163" spans="1:8">
      <c r="A163" s="2"/>
      <c r="E163">
        <f>VLOOKUP(TablaObra[[#This Row],[Equipo]],Catalogos!I$4:J$34,2,FALSE)</f>
      </c>
      <c r="F163" s="3"/>
      <c r="G163" s="4"/>
      <c r="H163" s="4">
        <f t="shared" si="2"/>
      </c>
    </row>
    <row r="164" spans="1:8">
      <c r="A164" s="2"/>
      <c r="E164">
        <f>VLOOKUP(TablaObra[[#This Row],[Equipo]],Catalogos!I$4:J$34,2,FALSE)</f>
      </c>
      <c r="F164" s="3"/>
      <c r="G164" s="4"/>
      <c r="H164" s="4">
        <f t="shared" si="2"/>
      </c>
    </row>
    <row r="165" spans="1:8">
      <c r="A165" s="2"/>
      <c r="E165">
        <f>VLOOKUP(TablaObra[[#This Row],[Equipo]],Catalogos!I$4:J$34,2,FALSE)</f>
      </c>
      <c r="F165" s="3"/>
      <c r="G165" s="4"/>
      <c r="H165" s="4">
        <f t="shared" si="2"/>
      </c>
    </row>
    <row r="166" spans="1:8">
      <c r="A166" s="2"/>
      <c r="E166">
        <f>VLOOKUP(TablaObra[[#This Row],[Equipo]],Catalogos!I$4:J$34,2,FALSE)</f>
      </c>
      <c r="F166" s="3"/>
      <c r="G166" s="4"/>
      <c r="H166" s="4">
        <f t="shared" si="2"/>
      </c>
    </row>
    <row r="167" spans="1:8">
      <c r="A167" s="2"/>
      <c r="E167">
        <f>VLOOKUP(TablaObra[[#This Row],[Equipo]],Catalogos!I$4:J$34,2,FALSE)</f>
      </c>
      <c r="F167" s="3"/>
      <c r="G167" s="4"/>
      <c r="H167" s="4">
        <f t="shared" si="2"/>
      </c>
    </row>
    <row r="168" spans="1:8">
      <c r="A168" s="2"/>
      <c r="E168">
        <f>VLOOKUP(TablaObra[[#This Row],[Equipo]],Catalogos!I$4:J$34,2,FALSE)</f>
      </c>
      <c r="F168" s="3"/>
      <c r="G168" s="4"/>
      <c r="H168" s="4">
        <f t="shared" si="2"/>
      </c>
    </row>
    <row r="169" spans="1:8">
      <c r="A169" s="2"/>
      <c r="E169">
        <f>VLOOKUP(TablaObra[[#This Row],[Equipo]],Catalogos!I$4:J$34,2,FALSE)</f>
      </c>
      <c r="F169" s="3"/>
      <c r="G169" s="4"/>
      <c r="H169" s="4">
        <f t="shared" si="2"/>
      </c>
    </row>
    <row r="170" spans="1:8">
      <c r="A170" s="2"/>
      <c r="E170">
        <f>VLOOKUP(TablaObra[[#This Row],[Equipo]],Catalogos!I$4:J$34,2,FALSE)</f>
      </c>
      <c r="F170" s="3"/>
      <c r="G170" s="4"/>
      <c r="H170" s="4">
        <f t="shared" si="2"/>
      </c>
    </row>
    <row r="171" spans="1:8">
      <c r="A171" s="2"/>
      <c r="E171">
        <f>VLOOKUP(TablaObra[[#This Row],[Equipo]],Catalogos!I$4:J$34,2,FALSE)</f>
      </c>
      <c r="F171" s="3"/>
      <c r="G171" s="4"/>
      <c r="H171" s="4">
        <f t="shared" si="2"/>
      </c>
    </row>
    <row r="172" spans="1:8">
      <c r="A172" s="2"/>
      <c r="E172">
        <f>VLOOKUP(TablaObra[[#This Row],[Equipo]],Catalogos!I$4:J$34,2,FALSE)</f>
      </c>
      <c r="F172" s="3"/>
      <c r="G172" s="4"/>
      <c r="H172" s="4">
        <f t="shared" si="2"/>
      </c>
    </row>
    <row r="173" spans="1:8">
      <c r="A173" s="2"/>
      <c r="E173">
        <f>VLOOKUP(TablaObra[[#This Row],[Equipo]],Catalogos!I$4:J$34,2,FALSE)</f>
      </c>
      <c r="F173" s="3"/>
      <c r="G173" s="4"/>
      <c r="H173" s="4">
        <f t="shared" si="2"/>
      </c>
    </row>
    <row r="174" spans="1:8">
      <c r="A174" s="2"/>
      <c r="E174">
        <f>VLOOKUP(TablaObra[[#This Row],[Equipo]],Catalogos!I$4:J$34,2,FALSE)</f>
      </c>
      <c r="F174" s="3"/>
      <c r="G174" s="4"/>
      <c r="H174" s="4">
        <f t="shared" si="2"/>
      </c>
    </row>
    <row r="175" spans="1:8">
      <c r="A175" s="2"/>
      <c r="E175">
        <f>VLOOKUP(TablaObra[[#This Row],[Equipo]],Catalogos!I$4:J$34,2,FALSE)</f>
      </c>
      <c r="F175" s="3"/>
      <c r="G175" s="4"/>
      <c r="H175" s="4">
        <f t="shared" si="2"/>
      </c>
    </row>
    <row r="176" spans="1:8">
      <c r="A176" s="2"/>
      <c r="E176">
        <f>VLOOKUP(TablaObra[[#This Row],[Equipo]],Catalogos!I$4:J$34,2,FALSE)</f>
      </c>
      <c r="F176" s="3"/>
      <c r="G176" s="4"/>
      <c r="H176" s="4">
        <f t="shared" si="2"/>
      </c>
    </row>
    <row r="177" spans="1:8">
      <c r="A177" s="2"/>
      <c r="E177">
        <f>VLOOKUP(TablaObra[[#This Row],[Equipo]],Catalogos!I$4:J$34,2,FALSE)</f>
      </c>
      <c r="F177" s="3"/>
      <c r="G177" s="4"/>
      <c r="H177" s="4">
        <f t="shared" si="2"/>
      </c>
    </row>
    <row r="178" spans="1:8">
      <c r="A178" s="2"/>
      <c r="E178">
        <f>VLOOKUP(TablaObra[[#This Row],[Equipo]],Catalogos!I$4:J$34,2,FALSE)</f>
      </c>
      <c r="F178" s="3"/>
      <c r="G178" s="4"/>
      <c r="H178" s="4">
        <f t="shared" si="2"/>
      </c>
    </row>
    <row r="179" spans="1:8">
      <c r="A179" s="2"/>
      <c r="E179">
        <f>VLOOKUP(TablaObra[[#This Row],[Equipo]],Catalogos!I$4:J$34,2,FALSE)</f>
      </c>
      <c r="F179" s="3"/>
      <c r="G179" s="4"/>
      <c r="H179" s="4">
        <f t="shared" si="2"/>
      </c>
    </row>
    <row r="180" spans="1:8">
      <c r="A180" s="2"/>
      <c r="E180">
        <f>VLOOKUP(TablaObra[[#This Row],[Equipo]],Catalogos!I$4:J$34,2,FALSE)</f>
      </c>
      <c r="F180" s="3"/>
      <c r="G180" s="4"/>
      <c r="H180" s="4">
        <f t="shared" si="2"/>
      </c>
    </row>
    <row r="181" spans="1:8">
      <c r="A181" s="2"/>
      <c r="E181">
        <f>VLOOKUP(TablaObra[[#This Row],[Equipo]],Catalogos!I$4:J$34,2,FALSE)</f>
      </c>
      <c r="F181" s="3"/>
      <c r="G181" s="4"/>
      <c r="H181" s="4">
        <f t="shared" si="2"/>
      </c>
    </row>
    <row r="182" spans="1:8">
      <c r="A182" s="2"/>
      <c r="E182">
        <f>VLOOKUP(TablaObra[[#This Row],[Equipo]],Catalogos!I$4:J$34,2,FALSE)</f>
      </c>
      <c r="F182" s="3"/>
      <c r="G182" s="4"/>
      <c r="H182" s="4">
        <f t="shared" si="2"/>
      </c>
    </row>
    <row r="183" spans="1:8">
      <c r="A183" s="2"/>
      <c r="E183">
        <f>VLOOKUP(TablaObra[[#This Row],[Equipo]],Catalogos!I$4:J$34,2,FALSE)</f>
      </c>
      <c r="F183" s="3"/>
      <c r="G183" s="4"/>
      <c r="H183" s="4">
        <f t="shared" si="2"/>
      </c>
    </row>
    <row r="184" spans="1:8">
      <c r="A184" s="2"/>
      <c r="E184">
        <f>VLOOKUP(TablaObra[[#This Row],[Equipo]],Catalogos!I$4:J$34,2,FALSE)</f>
      </c>
      <c r="F184" s="3"/>
      <c r="G184" s="4"/>
      <c r="H184" s="4">
        <f t="shared" si="2"/>
      </c>
    </row>
    <row r="185" spans="1:8">
      <c r="A185" s="2"/>
      <c r="E185">
        <f>VLOOKUP(TablaObra[[#This Row],[Equipo]],Catalogos!I$4:J$34,2,FALSE)</f>
      </c>
      <c r="F185" s="3"/>
      <c r="G185" s="4"/>
      <c r="H185" s="4">
        <f t="shared" si="2"/>
      </c>
    </row>
    <row r="186" spans="1:8">
      <c r="A186" s="2"/>
      <c r="E186">
        <f>VLOOKUP(TablaObra[[#This Row],[Equipo]],Catalogos!I$4:J$34,2,FALSE)</f>
      </c>
      <c r="F186" s="3"/>
      <c r="G186" s="4"/>
      <c r="H186" s="4">
        <f t="shared" si="2"/>
      </c>
    </row>
    <row r="187" spans="1:8">
      <c r="A187" s="2"/>
      <c r="E187">
        <f>VLOOKUP(TablaObra[[#This Row],[Equipo]],Catalogos!I$4:J$34,2,FALSE)</f>
      </c>
      <c r="F187" s="3"/>
      <c r="G187" s="4"/>
      <c r="H187" s="4">
        <f t="shared" si="2"/>
      </c>
    </row>
    <row r="188" spans="1:8">
      <c r="A188" s="2"/>
      <c r="E188">
        <f>VLOOKUP(TablaObra[[#This Row],[Equipo]],Catalogos!I$4:J$34,2,FALSE)</f>
      </c>
      <c r="F188" s="3"/>
      <c r="G188" s="4"/>
      <c r="H188" s="4">
        <f t="shared" si="2"/>
      </c>
    </row>
    <row r="189" spans="1:8">
      <c r="A189" s="2"/>
      <c r="E189">
        <f>VLOOKUP(TablaObra[[#This Row],[Equipo]],Catalogos!I$4:J$34,2,FALSE)</f>
      </c>
      <c r="F189" s="3"/>
      <c r="G189" s="4"/>
      <c r="H189" s="4">
        <f t="shared" si="2"/>
      </c>
    </row>
    <row r="190" spans="1:8">
      <c r="A190" s="2"/>
      <c r="E190">
        <f>VLOOKUP(TablaObra[[#This Row],[Equipo]],Catalogos!I$4:J$34,2,FALSE)</f>
      </c>
      <c r="F190" s="3"/>
      <c r="G190" s="4"/>
      <c r="H190" s="4">
        <f t="shared" si="2"/>
      </c>
    </row>
    <row r="191" spans="1:8">
      <c r="A191" s="2"/>
      <c r="E191">
        <f>VLOOKUP(TablaObra[[#This Row],[Equipo]],Catalogos!I$4:J$34,2,FALSE)</f>
      </c>
      <c r="F191" s="3"/>
      <c r="G191" s="4"/>
      <c r="H191" s="4">
        <f t="shared" si="2"/>
      </c>
    </row>
    <row r="192" spans="1:8">
      <c r="A192" s="2"/>
      <c r="E192">
        <f>VLOOKUP(TablaObra[[#This Row],[Equipo]],Catalogos!I$4:J$34,2,FALSE)</f>
      </c>
      <c r="F192" s="3"/>
      <c r="G192" s="4"/>
      <c r="H192" s="4">
        <f t="shared" si="2"/>
      </c>
    </row>
    <row r="193" spans="1:8">
      <c r="A193" s="2"/>
      <c r="E193">
        <f>VLOOKUP(TablaObra[[#This Row],[Equipo]],Catalogos!I$4:J$34,2,FALSE)</f>
      </c>
      <c r="F193" s="3"/>
      <c r="G193" s="4"/>
      <c r="H193" s="4">
        <f t="shared" si="2"/>
      </c>
    </row>
    <row r="194" spans="1:8">
      <c r="A194" s="2"/>
      <c r="E194">
        <f>VLOOKUP(TablaObra[[#This Row],[Equipo]],Catalogos!I$4:J$34,2,FALSE)</f>
      </c>
      <c r="F194" s="3"/>
      <c r="G194" s="4"/>
      <c r="H194" s="4">
        <f t="shared" si="2"/>
      </c>
    </row>
    <row r="195" spans="1:8">
      <c r="A195" s="2"/>
      <c r="E195">
        <f>VLOOKUP(TablaObra[[#This Row],[Equipo]],Catalogos!I$4:J$34,2,FALSE)</f>
      </c>
      <c r="F195" s="3"/>
      <c r="G195" s="4"/>
      <c r="H195" s="4">
        <f t="shared" si="2"/>
      </c>
    </row>
    <row r="196" spans="1:8">
      <c r="A196" s="2"/>
      <c r="E196">
        <f>VLOOKUP(TablaObra[[#This Row],[Equipo]],Catalogos!I$4:J$34,2,FALSE)</f>
      </c>
      <c r="F196" s="3"/>
      <c r="G196" s="4"/>
      <c r="H196" s="4">
        <f t="shared" si="2"/>
      </c>
    </row>
    <row r="197" spans="1:8">
      <c r="A197" s="2"/>
      <c r="E197">
        <f>VLOOKUP(TablaObra[[#This Row],[Equipo]],Catalogos!I$4:J$34,2,FALSE)</f>
      </c>
      <c r="F197" s="3"/>
      <c r="G197" s="4"/>
      <c r="H197" s="4">
        <f t="shared" ref="H197:H260" si="3">IFERROR(F197*G197,0)</f>
      </c>
    </row>
    <row r="198" spans="1:8">
      <c r="A198" s="2"/>
      <c r="E198">
        <f>VLOOKUP(TablaObra[[#This Row],[Equipo]],Catalogos!I$4:J$34,2,FALSE)</f>
      </c>
      <c r="F198" s="3"/>
      <c r="G198" s="4"/>
      <c r="H198" s="4">
        <f t="shared" si="3"/>
      </c>
    </row>
    <row r="199" spans="1:8">
      <c r="A199" s="2"/>
      <c r="E199">
        <f>VLOOKUP(TablaObra[[#This Row],[Equipo]],Catalogos!I$4:J$34,2,FALSE)</f>
      </c>
      <c r="F199" s="3"/>
      <c r="G199" s="4"/>
      <c r="H199" s="4">
        <f t="shared" si="3"/>
      </c>
    </row>
    <row r="200" spans="1:8">
      <c r="A200" s="2"/>
      <c r="E200">
        <f>VLOOKUP(TablaObra[[#This Row],[Equipo]],Catalogos!I$4:J$34,2,FALSE)</f>
      </c>
      <c r="F200" s="3"/>
      <c r="G200" s="4"/>
      <c r="H200" s="4">
        <f t="shared" si="3"/>
      </c>
    </row>
    <row r="201" spans="1:8">
      <c r="A201" s="2"/>
      <c r="E201">
        <f>VLOOKUP(TablaObra[[#This Row],[Equipo]],Catalogos!I$4:J$34,2,FALSE)</f>
      </c>
      <c r="F201" s="3"/>
      <c r="G201" s="4"/>
      <c r="H201" s="4">
        <f t="shared" si="3"/>
      </c>
    </row>
    <row r="202" spans="1:8">
      <c r="A202" s="2"/>
      <c r="E202">
        <f>VLOOKUP(TablaObra[[#This Row],[Equipo]],Catalogos!I$4:J$34,2,FALSE)</f>
      </c>
      <c r="F202" s="3"/>
      <c r="G202" s="4"/>
      <c r="H202" s="4">
        <f t="shared" si="3"/>
      </c>
    </row>
    <row r="203" spans="1:8">
      <c r="A203" s="2"/>
      <c r="E203">
        <f>VLOOKUP(TablaObra[[#This Row],[Equipo]],Catalogos!I$4:J$34,2,FALSE)</f>
      </c>
      <c r="F203" s="3"/>
      <c r="G203" s="4"/>
      <c r="H203" s="4">
        <f t="shared" si="3"/>
      </c>
    </row>
    <row r="204" spans="1:8">
      <c r="A204" s="2"/>
      <c r="E204">
        <f>VLOOKUP(TablaObra[[#This Row],[Equipo]],Catalogos!I$4:J$34,2,FALSE)</f>
      </c>
      <c r="F204" s="3"/>
      <c r="G204" s="4"/>
      <c r="H204" s="4">
        <f t="shared" si="3"/>
      </c>
    </row>
    <row r="205" spans="1:8">
      <c r="A205" s="2"/>
      <c r="E205">
        <f>VLOOKUP(TablaObra[[#This Row],[Equipo]],Catalogos!I$4:J$34,2,FALSE)</f>
      </c>
      <c r="F205" s="3"/>
      <c r="G205" s="4"/>
      <c r="H205" s="4">
        <f t="shared" si="3"/>
      </c>
    </row>
    <row r="206" spans="1:8">
      <c r="A206" s="2"/>
      <c r="E206">
        <f>VLOOKUP(TablaObra[[#This Row],[Equipo]],Catalogos!I$4:J$34,2,FALSE)</f>
      </c>
      <c r="F206" s="3"/>
      <c r="G206" s="4"/>
      <c r="H206" s="4">
        <f t="shared" si="3"/>
      </c>
    </row>
    <row r="207" spans="1:8">
      <c r="A207" s="2"/>
      <c r="E207">
        <f>VLOOKUP(TablaObra[[#This Row],[Equipo]],Catalogos!I$4:J$34,2,FALSE)</f>
      </c>
      <c r="F207" s="3"/>
      <c r="G207" s="4"/>
      <c r="H207" s="4">
        <f t="shared" si="3"/>
      </c>
    </row>
    <row r="208" spans="1:8">
      <c r="A208" s="2"/>
      <c r="E208">
        <f>VLOOKUP(TablaObra[[#This Row],[Equipo]],Catalogos!I$4:J$34,2,FALSE)</f>
      </c>
      <c r="F208" s="3"/>
      <c r="G208" s="4"/>
      <c r="H208" s="4">
        <f t="shared" si="3"/>
      </c>
    </row>
    <row r="209" spans="1:8">
      <c r="A209" s="2"/>
      <c r="E209">
        <f>VLOOKUP(TablaObra[[#This Row],[Equipo]],Catalogos!I$4:J$34,2,FALSE)</f>
      </c>
      <c r="F209" s="3"/>
      <c r="G209" s="4"/>
      <c r="H209" s="4">
        <f t="shared" si="3"/>
      </c>
    </row>
    <row r="210" spans="1:8">
      <c r="A210" s="2"/>
      <c r="E210">
        <f>VLOOKUP(TablaObra[[#This Row],[Equipo]],Catalogos!I$4:J$34,2,FALSE)</f>
      </c>
      <c r="F210" s="3"/>
      <c r="G210" s="4"/>
      <c r="H210" s="4">
        <f t="shared" si="3"/>
      </c>
    </row>
    <row r="211" spans="1:8">
      <c r="A211" s="2"/>
      <c r="E211">
        <f>VLOOKUP(TablaObra[[#This Row],[Equipo]],Catalogos!I$4:J$34,2,FALSE)</f>
      </c>
      <c r="F211" s="3"/>
      <c r="G211" s="4"/>
      <c r="H211" s="4">
        <f t="shared" si="3"/>
      </c>
    </row>
    <row r="212" spans="1:8">
      <c r="A212" s="2"/>
      <c r="E212">
        <f>VLOOKUP(TablaObra[[#This Row],[Equipo]],Catalogos!I$4:J$34,2,FALSE)</f>
      </c>
      <c r="F212" s="3"/>
      <c r="G212" s="4"/>
      <c r="H212" s="4">
        <f t="shared" si="3"/>
      </c>
    </row>
    <row r="213" spans="1:8">
      <c r="A213" s="2"/>
      <c r="E213">
        <f>VLOOKUP(TablaObra[[#This Row],[Equipo]],Catalogos!I$4:J$34,2,FALSE)</f>
      </c>
      <c r="F213" s="3"/>
      <c r="G213" s="4"/>
      <c r="H213" s="4">
        <f t="shared" si="3"/>
      </c>
    </row>
    <row r="214" spans="1:8">
      <c r="A214" s="2"/>
      <c r="E214">
        <f>VLOOKUP(TablaObra[[#This Row],[Equipo]],Catalogos!I$4:J$34,2,FALSE)</f>
      </c>
      <c r="F214" s="3"/>
      <c r="G214" s="4"/>
      <c r="H214" s="4">
        <f t="shared" si="3"/>
      </c>
    </row>
    <row r="215" spans="1:8">
      <c r="A215" s="2"/>
      <c r="E215">
        <f>VLOOKUP(TablaObra[[#This Row],[Equipo]],Catalogos!I$4:J$34,2,FALSE)</f>
      </c>
      <c r="F215" s="3"/>
      <c r="G215" s="4"/>
      <c r="H215" s="4">
        <f t="shared" si="3"/>
      </c>
    </row>
    <row r="216" spans="1:8">
      <c r="A216" s="2"/>
      <c r="E216">
        <f>VLOOKUP(TablaObra[[#This Row],[Equipo]],Catalogos!I$4:J$34,2,FALSE)</f>
      </c>
      <c r="F216" s="3"/>
      <c r="G216" s="4"/>
      <c r="H216" s="4">
        <f t="shared" si="3"/>
      </c>
    </row>
    <row r="217" spans="1:8">
      <c r="A217" s="2"/>
      <c r="E217">
        <f>VLOOKUP(TablaObra[[#This Row],[Equipo]],Catalogos!I$4:J$34,2,FALSE)</f>
      </c>
      <c r="F217" s="3"/>
      <c r="G217" s="4"/>
      <c r="H217" s="4">
        <f t="shared" si="3"/>
      </c>
    </row>
    <row r="218" spans="1:8">
      <c r="A218" s="2"/>
      <c r="E218">
        <f>VLOOKUP(TablaObra[[#This Row],[Equipo]],Catalogos!I$4:J$34,2,FALSE)</f>
      </c>
      <c r="F218" s="3"/>
      <c r="G218" s="4"/>
      <c r="H218" s="4">
        <f t="shared" si="3"/>
      </c>
    </row>
    <row r="219" spans="1:8">
      <c r="A219" s="2"/>
      <c r="E219">
        <f>VLOOKUP(TablaObra[[#This Row],[Equipo]],Catalogos!I$4:J$34,2,FALSE)</f>
      </c>
      <c r="F219" s="3"/>
      <c r="G219" s="4"/>
      <c r="H219" s="4">
        <f t="shared" si="3"/>
      </c>
    </row>
    <row r="220" spans="1:8">
      <c r="A220" s="2"/>
      <c r="E220">
        <f>VLOOKUP(TablaObra[[#This Row],[Equipo]],Catalogos!I$4:J$34,2,FALSE)</f>
      </c>
      <c r="F220" s="3"/>
      <c r="G220" s="4"/>
      <c r="H220" s="4">
        <f t="shared" si="3"/>
      </c>
    </row>
    <row r="221" spans="1:8">
      <c r="A221" s="2"/>
      <c r="E221">
        <f>VLOOKUP(TablaObra[[#This Row],[Equipo]],Catalogos!I$4:J$34,2,FALSE)</f>
      </c>
      <c r="F221" s="3"/>
      <c r="G221" s="4"/>
      <c r="H221" s="4">
        <f t="shared" si="3"/>
      </c>
    </row>
    <row r="222" spans="1:8">
      <c r="A222" s="2"/>
      <c r="E222">
        <f>VLOOKUP(TablaObra[[#This Row],[Equipo]],Catalogos!I$4:J$34,2,FALSE)</f>
      </c>
      <c r="F222" s="3"/>
      <c r="G222" s="4"/>
      <c r="H222" s="4">
        <f t="shared" si="3"/>
      </c>
    </row>
    <row r="223" spans="1:8">
      <c r="A223" s="2"/>
      <c r="E223">
        <f>VLOOKUP(TablaObra[[#This Row],[Equipo]],Catalogos!I$4:J$34,2,FALSE)</f>
      </c>
      <c r="F223" s="3"/>
      <c r="G223" s="4"/>
      <c r="H223" s="4">
        <f t="shared" si="3"/>
      </c>
    </row>
    <row r="224" spans="1:8">
      <c r="A224" s="2"/>
      <c r="E224">
        <f>VLOOKUP(TablaObra[[#This Row],[Equipo]],Catalogos!I$4:J$34,2,FALSE)</f>
      </c>
      <c r="F224" s="3"/>
      <c r="G224" s="4"/>
      <c r="H224" s="4">
        <f t="shared" si="3"/>
      </c>
    </row>
    <row r="225" spans="1:8">
      <c r="A225" s="2"/>
      <c r="E225">
        <f>VLOOKUP(TablaObra[[#This Row],[Equipo]],Catalogos!I$4:J$34,2,FALSE)</f>
      </c>
      <c r="F225" s="3"/>
      <c r="G225" s="4"/>
      <c r="H225" s="4">
        <f t="shared" si="3"/>
      </c>
    </row>
    <row r="226" spans="1:8">
      <c r="A226" s="2"/>
      <c r="E226">
        <f>VLOOKUP(TablaObra[[#This Row],[Equipo]],Catalogos!I$4:J$34,2,FALSE)</f>
      </c>
      <c r="F226" s="3"/>
      <c r="G226" s="4"/>
      <c r="H226" s="4">
        <f t="shared" si="3"/>
      </c>
    </row>
    <row r="227" spans="1:8">
      <c r="A227" s="2"/>
      <c r="E227">
        <f>VLOOKUP(TablaObra[[#This Row],[Equipo]],Catalogos!I$4:J$34,2,FALSE)</f>
      </c>
      <c r="F227" s="3"/>
      <c r="G227" s="4"/>
      <c r="H227" s="4">
        <f t="shared" si="3"/>
      </c>
    </row>
    <row r="228" spans="1:8">
      <c r="A228" s="2"/>
      <c r="E228">
        <f>VLOOKUP(TablaObra[[#This Row],[Equipo]],Catalogos!I$4:J$34,2,FALSE)</f>
      </c>
      <c r="F228" s="3"/>
      <c r="G228" s="4"/>
      <c r="H228" s="4">
        <f t="shared" si="3"/>
      </c>
    </row>
    <row r="229" spans="1:8">
      <c r="A229" s="2"/>
      <c r="E229">
        <f>VLOOKUP(TablaObra[[#This Row],[Equipo]],Catalogos!I$4:J$34,2,FALSE)</f>
      </c>
      <c r="F229" s="3"/>
      <c r="G229" s="4"/>
      <c r="H229" s="4">
        <f t="shared" si="3"/>
      </c>
    </row>
    <row r="230" spans="1:8">
      <c r="A230" s="2"/>
      <c r="E230">
        <f>VLOOKUP(TablaObra[[#This Row],[Equipo]],Catalogos!I$4:J$34,2,FALSE)</f>
      </c>
      <c r="F230" s="3"/>
      <c r="G230" s="4"/>
      <c r="H230" s="4">
        <f t="shared" si="3"/>
      </c>
    </row>
    <row r="231" spans="1:8">
      <c r="A231" s="2"/>
      <c r="E231">
        <f>VLOOKUP(TablaObra[[#This Row],[Equipo]],Catalogos!I$4:J$34,2,FALSE)</f>
      </c>
      <c r="F231" s="3"/>
      <c r="G231" s="4"/>
      <c r="H231" s="4">
        <f t="shared" si="3"/>
      </c>
    </row>
    <row r="232" spans="1:8">
      <c r="A232" s="2"/>
      <c r="E232">
        <f>VLOOKUP(TablaObra[[#This Row],[Equipo]],Catalogos!I$4:J$34,2,FALSE)</f>
      </c>
      <c r="F232" s="3"/>
      <c r="G232" s="4"/>
      <c r="H232" s="4">
        <f t="shared" si="3"/>
      </c>
    </row>
    <row r="233" spans="1:8">
      <c r="A233" s="2"/>
      <c r="E233">
        <f>VLOOKUP(TablaObra[[#This Row],[Equipo]],Catalogos!I$4:J$34,2,FALSE)</f>
      </c>
      <c r="F233" s="3"/>
      <c r="G233" s="4"/>
      <c r="H233" s="4">
        <f t="shared" si="3"/>
      </c>
    </row>
    <row r="234" spans="1:8">
      <c r="A234" s="2"/>
      <c r="E234">
        <f>VLOOKUP(TablaObra[[#This Row],[Equipo]],Catalogos!I$4:J$34,2,FALSE)</f>
      </c>
      <c r="F234" s="3"/>
      <c r="G234" s="4"/>
      <c r="H234" s="4">
        <f t="shared" si="3"/>
      </c>
    </row>
    <row r="235" spans="1:8">
      <c r="A235" s="2"/>
      <c r="E235">
        <f>VLOOKUP(TablaObra[[#This Row],[Equipo]],Catalogos!I$4:J$34,2,FALSE)</f>
      </c>
      <c r="F235" s="3"/>
      <c r="G235" s="4"/>
      <c r="H235" s="4">
        <f t="shared" si="3"/>
      </c>
    </row>
    <row r="236" spans="1:8">
      <c r="A236" s="2"/>
      <c r="E236">
        <f>VLOOKUP(TablaObra[[#This Row],[Equipo]],Catalogos!I$4:J$34,2,FALSE)</f>
      </c>
      <c r="F236" s="3"/>
      <c r="G236" s="4"/>
      <c r="H236" s="4">
        <f t="shared" si="3"/>
      </c>
    </row>
    <row r="237" spans="1:8">
      <c r="A237" s="2"/>
      <c r="E237">
        <f>VLOOKUP(TablaObra[[#This Row],[Equipo]],Catalogos!I$4:J$34,2,FALSE)</f>
      </c>
      <c r="F237" s="3"/>
      <c r="G237" s="4"/>
      <c r="H237" s="4">
        <f t="shared" si="3"/>
      </c>
    </row>
    <row r="238" spans="1:8">
      <c r="A238" s="2"/>
      <c r="E238">
        <f>VLOOKUP(TablaObra[[#This Row],[Equipo]],Catalogos!I$4:J$34,2,FALSE)</f>
      </c>
      <c r="F238" s="3"/>
      <c r="G238" s="4"/>
      <c r="H238" s="4">
        <f t="shared" si="3"/>
      </c>
    </row>
    <row r="239" spans="1:8">
      <c r="A239" s="2"/>
      <c r="E239">
        <f>VLOOKUP(TablaObra[[#This Row],[Equipo]],Catalogos!I$4:J$34,2,FALSE)</f>
      </c>
      <c r="F239" s="3"/>
      <c r="G239" s="4"/>
      <c r="H239" s="4">
        <f t="shared" si="3"/>
      </c>
    </row>
    <row r="240" spans="1:8">
      <c r="A240" s="2"/>
      <c r="E240">
        <f>VLOOKUP(TablaObra[[#This Row],[Equipo]],Catalogos!I$4:J$34,2,FALSE)</f>
      </c>
      <c r="F240" s="3"/>
      <c r="G240" s="4"/>
      <c r="H240" s="4">
        <f t="shared" si="3"/>
      </c>
    </row>
    <row r="241" spans="1:8">
      <c r="A241" s="2"/>
      <c r="E241">
        <f>VLOOKUP(TablaObra[[#This Row],[Equipo]],Catalogos!I$4:J$34,2,FALSE)</f>
      </c>
      <c r="F241" s="3"/>
      <c r="G241" s="4"/>
      <c r="H241" s="4">
        <f t="shared" si="3"/>
      </c>
    </row>
    <row r="242" spans="1:8">
      <c r="A242" s="2"/>
      <c r="E242">
        <f>VLOOKUP(TablaObra[[#This Row],[Equipo]],Catalogos!I$4:J$34,2,FALSE)</f>
      </c>
      <c r="F242" s="3"/>
      <c r="G242" s="4"/>
      <c r="H242" s="4">
        <f t="shared" si="3"/>
      </c>
    </row>
    <row r="243" spans="1:8">
      <c r="A243" s="2"/>
      <c r="E243">
        <f>VLOOKUP(TablaObra[[#This Row],[Equipo]],Catalogos!I$4:J$34,2,FALSE)</f>
      </c>
      <c r="F243" s="3"/>
      <c r="G243" s="4"/>
      <c r="H243" s="4">
        <f t="shared" si="3"/>
      </c>
    </row>
    <row r="244" spans="1:8">
      <c r="A244" s="2"/>
      <c r="E244">
        <f>VLOOKUP(TablaObra[[#This Row],[Equipo]],Catalogos!I$4:J$34,2,FALSE)</f>
      </c>
      <c r="F244" s="3"/>
      <c r="G244" s="4"/>
      <c r="H244" s="4">
        <f t="shared" si="3"/>
      </c>
    </row>
    <row r="245" spans="1:8">
      <c r="A245" s="2"/>
      <c r="E245">
        <f>VLOOKUP(TablaObra[[#This Row],[Equipo]],Catalogos!I$4:J$34,2,FALSE)</f>
      </c>
      <c r="F245" s="3"/>
      <c r="G245" s="4"/>
      <c r="H245" s="4">
        <f t="shared" si="3"/>
      </c>
    </row>
    <row r="246" spans="1:8">
      <c r="A246" s="2"/>
      <c r="E246">
        <f>VLOOKUP(TablaObra[[#This Row],[Equipo]],Catalogos!I$4:J$34,2,FALSE)</f>
      </c>
      <c r="F246" s="3"/>
      <c r="G246" s="4"/>
      <c r="H246" s="4">
        <f t="shared" si="3"/>
      </c>
    </row>
    <row r="247" spans="1:8">
      <c r="A247" s="2"/>
      <c r="E247">
        <f>VLOOKUP(TablaObra[[#This Row],[Equipo]],Catalogos!I$4:J$34,2,FALSE)</f>
      </c>
      <c r="F247" s="3"/>
      <c r="G247" s="4"/>
      <c r="H247" s="4">
        <f t="shared" si="3"/>
      </c>
    </row>
    <row r="248" spans="1:8">
      <c r="A248" s="2"/>
      <c r="E248">
        <f>VLOOKUP(TablaObra[[#This Row],[Equipo]],Catalogos!I$4:J$34,2,FALSE)</f>
      </c>
      <c r="F248" s="3"/>
      <c r="G248" s="4"/>
      <c r="H248" s="4">
        <f t="shared" si="3"/>
      </c>
    </row>
    <row r="249" spans="1:8">
      <c r="A249" s="2"/>
      <c r="E249">
        <f>VLOOKUP(TablaObra[[#This Row],[Equipo]],Catalogos!I$4:J$34,2,FALSE)</f>
      </c>
      <c r="F249" s="3"/>
      <c r="G249" s="4"/>
      <c r="H249" s="4">
        <f t="shared" si="3"/>
      </c>
    </row>
    <row r="250" spans="1:8">
      <c r="A250" s="2"/>
      <c r="E250">
        <f>VLOOKUP(TablaObra[[#This Row],[Equipo]],Catalogos!I$4:J$34,2,FALSE)</f>
      </c>
      <c r="F250" s="3"/>
      <c r="G250" s="4"/>
      <c r="H250" s="4">
        <f t="shared" si="3"/>
      </c>
    </row>
    <row r="251" spans="1:8">
      <c r="A251" s="2"/>
      <c r="E251">
        <f>VLOOKUP(TablaObra[[#This Row],[Equipo]],Catalogos!I$4:J$34,2,FALSE)</f>
      </c>
      <c r="F251" s="3"/>
      <c r="G251" s="4"/>
      <c r="H251" s="4">
        <f t="shared" si="3"/>
      </c>
    </row>
    <row r="252" spans="1:8">
      <c r="A252" s="2"/>
      <c r="E252">
        <f>VLOOKUP(TablaObra[[#This Row],[Equipo]],Catalogos!I$4:J$34,2,FALSE)</f>
      </c>
      <c r="F252" s="3"/>
      <c r="G252" s="4"/>
      <c r="H252" s="4">
        <f t="shared" si="3"/>
      </c>
    </row>
    <row r="253" spans="1:8">
      <c r="A253" s="2"/>
      <c r="E253">
        <f>VLOOKUP(TablaObra[[#This Row],[Equipo]],Catalogos!I$4:J$34,2,FALSE)</f>
      </c>
      <c r="F253" s="3"/>
      <c r="G253" s="4"/>
      <c r="H253" s="4">
        <f t="shared" si="3"/>
      </c>
    </row>
    <row r="254" spans="1:8">
      <c r="A254" s="2"/>
      <c r="E254">
        <f>VLOOKUP(TablaObra[[#This Row],[Equipo]],Catalogos!I$4:J$34,2,FALSE)</f>
      </c>
      <c r="F254" s="3"/>
      <c r="G254" s="4"/>
      <c r="H254" s="4">
        <f t="shared" si="3"/>
      </c>
    </row>
    <row r="255" spans="1:8">
      <c r="A255" s="2"/>
      <c r="E255">
        <f>VLOOKUP(TablaObra[[#This Row],[Equipo]],Catalogos!I$4:J$34,2,FALSE)</f>
      </c>
      <c r="F255" s="3"/>
      <c r="G255" s="4"/>
      <c r="H255" s="4">
        <f t="shared" si="3"/>
      </c>
    </row>
    <row r="256" spans="1:8">
      <c r="A256" s="2"/>
      <c r="E256">
        <f>VLOOKUP(TablaObra[[#This Row],[Equipo]],Catalogos!I$4:J$34,2,FALSE)</f>
      </c>
      <c r="F256" s="3"/>
      <c r="G256" s="4"/>
      <c r="H256" s="4">
        <f t="shared" si="3"/>
      </c>
    </row>
    <row r="257" spans="1:8">
      <c r="A257" s="2"/>
      <c r="E257">
        <f>VLOOKUP(TablaObra[[#This Row],[Equipo]],Catalogos!I$4:J$34,2,FALSE)</f>
      </c>
      <c r="F257" s="3"/>
      <c r="G257" s="4"/>
      <c r="H257" s="4">
        <f t="shared" si="3"/>
      </c>
    </row>
    <row r="258" spans="1:8">
      <c r="A258" s="2"/>
      <c r="E258">
        <f>VLOOKUP(TablaObra[[#This Row],[Equipo]],Catalogos!I$4:J$34,2,FALSE)</f>
      </c>
      <c r="F258" s="3"/>
      <c r="G258" s="4"/>
      <c r="H258" s="4">
        <f t="shared" si="3"/>
      </c>
    </row>
    <row r="259" spans="1:8">
      <c r="A259" s="2"/>
      <c r="E259">
        <f>VLOOKUP(TablaObra[[#This Row],[Equipo]],Catalogos!I$4:J$34,2,FALSE)</f>
      </c>
      <c r="F259" s="3"/>
      <c r="G259" s="4"/>
      <c r="H259" s="4">
        <f t="shared" si="3"/>
      </c>
    </row>
    <row r="260" spans="1:8">
      <c r="A260" s="2"/>
      <c r="E260">
        <f>VLOOKUP(TablaObra[[#This Row],[Equipo]],Catalogos!I$4:J$34,2,FALSE)</f>
      </c>
      <c r="F260" s="3"/>
      <c r="G260" s="4"/>
      <c r="H260" s="4">
        <f t="shared" si="3"/>
      </c>
    </row>
    <row r="261" spans="1:8">
      <c r="A261" s="2"/>
      <c r="E261">
        <f>VLOOKUP(TablaObra[[#This Row],[Equipo]],Catalogos!I$4:J$34,2,FALSE)</f>
      </c>
      <c r="F261" s="3"/>
      <c r="G261" s="4"/>
      <c r="H261" s="4">
        <f t="shared" ref="H261:H304" si="4">IFERROR(F261*G261,0)</f>
      </c>
    </row>
    <row r="262" spans="1:8">
      <c r="A262" s="2"/>
      <c r="E262">
        <f>VLOOKUP(TablaObra[[#This Row],[Equipo]],Catalogos!I$4:J$34,2,FALSE)</f>
      </c>
      <c r="F262" s="3"/>
      <c r="G262" s="4"/>
      <c r="H262" s="4">
        <f t="shared" si="4"/>
      </c>
    </row>
    <row r="263" spans="1:8">
      <c r="A263" s="2"/>
      <c r="E263">
        <f>VLOOKUP(TablaObra[[#This Row],[Equipo]],Catalogos!I$4:J$34,2,FALSE)</f>
      </c>
      <c r="F263" s="3"/>
      <c r="G263" s="4"/>
      <c r="H263" s="4">
        <f t="shared" si="4"/>
      </c>
    </row>
    <row r="264" spans="1:8">
      <c r="A264" s="2"/>
      <c r="E264">
        <f>VLOOKUP(TablaObra[[#This Row],[Equipo]],Catalogos!I$4:J$34,2,FALSE)</f>
      </c>
      <c r="F264" s="3"/>
      <c r="G264" s="4"/>
      <c r="H264" s="4">
        <f t="shared" si="4"/>
      </c>
    </row>
    <row r="265" spans="1:8">
      <c r="A265" s="2"/>
      <c r="E265">
        <f>VLOOKUP(TablaObra[[#This Row],[Equipo]],Catalogos!I$4:J$34,2,FALSE)</f>
      </c>
      <c r="F265" s="3"/>
      <c r="G265" s="4"/>
      <c r="H265" s="4">
        <f t="shared" si="4"/>
      </c>
    </row>
    <row r="266" spans="1:8">
      <c r="A266" s="2"/>
      <c r="E266">
        <f>VLOOKUP(TablaObra[[#This Row],[Equipo]],Catalogos!I$4:J$34,2,FALSE)</f>
      </c>
      <c r="F266" s="3"/>
      <c r="G266" s="4"/>
      <c r="H266" s="4">
        <f t="shared" si="4"/>
      </c>
    </row>
    <row r="267" spans="1:8">
      <c r="A267" s="2"/>
      <c r="E267">
        <f>VLOOKUP(TablaObra[[#This Row],[Equipo]],Catalogos!I$4:J$34,2,FALSE)</f>
      </c>
      <c r="F267" s="3"/>
      <c r="G267" s="4"/>
      <c r="H267" s="4">
        <f t="shared" si="4"/>
      </c>
    </row>
    <row r="268" spans="1:8">
      <c r="A268" s="2"/>
      <c r="E268">
        <f>VLOOKUP(TablaObra[[#This Row],[Equipo]],Catalogos!I$4:J$34,2,FALSE)</f>
      </c>
      <c r="F268" s="3"/>
      <c r="G268" s="4"/>
      <c r="H268" s="4">
        <f t="shared" si="4"/>
      </c>
    </row>
    <row r="269" spans="1:8">
      <c r="A269" s="2"/>
      <c r="E269">
        <f>VLOOKUP(TablaObra[[#This Row],[Equipo]],Catalogos!I$4:J$34,2,FALSE)</f>
      </c>
      <c r="F269" s="3"/>
      <c r="G269" s="4"/>
      <c r="H269" s="4">
        <f t="shared" si="4"/>
      </c>
    </row>
    <row r="270" spans="1:8">
      <c r="A270" s="2"/>
      <c r="E270">
        <f>VLOOKUP(TablaObra[[#This Row],[Equipo]],Catalogos!I$4:J$34,2,FALSE)</f>
      </c>
      <c r="F270" s="3"/>
      <c r="G270" s="4"/>
      <c r="H270" s="4">
        <f t="shared" si="4"/>
      </c>
    </row>
    <row r="271" spans="1:8">
      <c r="A271" s="2"/>
      <c r="E271">
        <f>VLOOKUP(TablaObra[[#This Row],[Equipo]],Catalogos!I$4:J$34,2,FALSE)</f>
      </c>
      <c r="F271" s="3"/>
      <c r="G271" s="4"/>
      <c r="H271" s="4">
        <f t="shared" si="4"/>
      </c>
    </row>
    <row r="272" spans="1:8">
      <c r="A272" s="2"/>
      <c r="E272">
        <f>VLOOKUP(TablaObra[[#This Row],[Equipo]],Catalogos!I$4:J$34,2,FALSE)</f>
      </c>
      <c r="F272" s="3"/>
      <c r="G272" s="4"/>
      <c r="H272" s="4">
        <f t="shared" si="4"/>
      </c>
    </row>
    <row r="273" spans="1:8">
      <c r="A273" s="2"/>
      <c r="E273">
        <f>VLOOKUP(TablaObra[[#This Row],[Equipo]],Catalogos!I$4:J$34,2,FALSE)</f>
      </c>
      <c r="F273" s="3"/>
      <c r="G273" s="4"/>
      <c r="H273" s="4">
        <f t="shared" si="4"/>
      </c>
    </row>
    <row r="274" spans="1:8">
      <c r="A274" s="2"/>
      <c r="E274">
        <f>VLOOKUP(TablaObra[[#This Row],[Equipo]],Catalogos!I$4:J$34,2,FALSE)</f>
      </c>
      <c r="F274" s="3"/>
      <c r="G274" s="4"/>
      <c r="H274" s="4">
        <f t="shared" si="4"/>
      </c>
    </row>
    <row r="275" spans="1:8">
      <c r="A275" s="2"/>
      <c r="E275">
        <f>VLOOKUP(TablaObra[[#This Row],[Equipo]],Catalogos!I$4:J$34,2,FALSE)</f>
      </c>
      <c r="F275" s="3"/>
      <c r="G275" s="4"/>
      <c r="H275" s="4">
        <f t="shared" si="4"/>
      </c>
    </row>
    <row r="276" spans="1:8">
      <c r="A276" s="2"/>
      <c r="E276">
        <f>VLOOKUP(TablaObra[[#This Row],[Equipo]],Catalogos!I$4:J$34,2,FALSE)</f>
      </c>
      <c r="F276" s="3"/>
      <c r="G276" s="4"/>
      <c r="H276" s="4">
        <f t="shared" si="4"/>
      </c>
    </row>
    <row r="277" spans="1:8">
      <c r="A277" s="2"/>
      <c r="E277">
        <f>VLOOKUP(TablaObra[[#This Row],[Equipo]],Catalogos!I$4:J$34,2,FALSE)</f>
      </c>
      <c r="F277" s="3"/>
      <c r="G277" s="4"/>
      <c r="H277" s="4">
        <f t="shared" si="4"/>
      </c>
    </row>
    <row r="278" spans="1:8">
      <c r="A278" s="2"/>
      <c r="E278">
        <f>VLOOKUP(TablaObra[[#This Row],[Equipo]],Catalogos!I$4:J$34,2,FALSE)</f>
      </c>
      <c r="F278" s="3"/>
      <c r="G278" s="4"/>
      <c r="H278" s="4">
        <f t="shared" si="4"/>
      </c>
    </row>
    <row r="279" spans="1:8">
      <c r="A279" s="2"/>
      <c r="E279">
        <f>VLOOKUP(TablaObra[[#This Row],[Equipo]],Catalogos!I$4:J$34,2,FALSE)</f>
      </c>
      <c r="F279" s="3"/>
      <c r="G279" s="4"/>
      <c r="H279" s="4">
        <f t="shared" si="4"/>
      </c>
    </row>
    <row r="280" spans="1:8">
      <c r="A280" s="2"/>
      <c r="E280">
        <f>VLOOKUP(TablaObra[[#This Row],[Equipo]],Catalogos!I$4:J$34,2,FALSE)</f>
      </c>
      <c r="F280" s="3"/>
      <c r="G280" s="4"/>
      <c r="H280" s="4">
        <f t="shared" si="4"/>
      </c>
    </row>
    <row r="281" spans="1:8">
      <c r="A281" s="2"/>
      <c r="E281">
        <f>VLOOKUP(TablaObra[[#This Row],[Equipo]],Catalogos!I$4:J$34,2,FALSE)</f>
      </c>
      <c r="F281" s="3"/>
      <c r="G281" s="4"/>
      <c r="H281" s="4">
        <f t="shared" si="4"/>
      </c>
    </row>
    <row r="282" spans="1:8">
      <c r="A282" s="2"/>
      <c r="E282">
        <f>VLOOKUP(TablaObra[[#This Row],[Equipo]],Catalogos!I$4:J$34,2,FALSE)</f>
      </c>
      <c r="F282" s="3"/>
      <c r="G282" s="4"/>
      <c r="H282" s="4">
        <f t="shared" si="4"/>
      </c>
    </row>
    <row r="283" spans="1:8">
      <c r="A283" s="2"/>
      <c r="E283">
        <f>VLOOKUP(TablaObra[[#This Row],[Equipo]],Catalogos!I$4:J$34,2,FALSE)</f>
      </c>
      <c r="F283" s="3"/>
      <c r="G283" s="4"/>
      <c r="H283" s="4">
        <f t="shared" si="4"/>
      </c>
    </row>
    <row r="284" spans="1:8">
      <c r="A284" s="2"/>
      <c r="E284">
        <f>VLOOKUP(TablaObra[[#This Row],[Equipo]],Catalogos!I$4:J$34,2,FALSE)</f>
      </c>
      <c r="F284" s="3"/>
      <c r="G284" s="4"/>
      <c r="H284" s="4">
        <f t="shared" si="4"/>
      </c>
    </row>
    <row r="285" spans="1:8">
      <c r="A285" s="2"/>
      <c r="E285">
        <f>VLOOKUP(TablaObra[[#This Row],[Equipo]],Catalogos!I$4:J$34,2,FALSE)</f>
      </c>
      <c r="F285" s="3"/>
      <c r="G285" s="4"/>
      <c r="H285" s="4">
        <f t="shared" si="4"/>
      </c>
    </row>
    <row r="286" spans="1:8">
      <c r="A286" s="2"/>
      <c r="E286">
        <f>VLOOKUP(TablaObra[[#This Row],[Equipo]],Catalogos!I$4:J$34,2,FALSE)</f>
      </c>
      <c r="F286" s="3"/>
      <c r="G286" s="4"/>
      <c r="H286" s="4">
        <f t="shared" si="4"/>
      </c>
    </row>
    <row r="287" spans="1:8">
      <c r="A287" s="2"/>
      <c r="E287">
        <f>VLOOKUP(TablaObra[[#This Row],[Equipo]],Catalogos!I$4:J$34,2,FALSE)</f>
      </c>
      <c r="F287" s="3"/>
      <c r="G287" s="4"/>
      <c r="H287" s="4">
        <f t="shared" si="4"/>
      </c>
    </row>
    <row r="288" spans="1:8">
      <c r="A288" s="2"/>
      <c r="E288">
        <f>VLOOKUP(TablaObra[[#This Row],[Equipo]],Catalogos!I$4:J$34,2,FALSE)</f>
      </c>
      <c r="F288" s="3"/>
      <c r="G288" s="4"/>
      <c r="H288" s="4">
        <f t="shared" si="4"/>
      </c>
    </row>
    <row r="289" spans="1:8">
      <c r="A289" s="2"/>
      <c r="E289">
        <f>VLOOKUP(TablaObra[[#This Row],[Equipo]],Catalogos!I$4:J$34,2,FALSE)</f>
      </c>
      <c r="F289" s="3"/>
      <c r="G289" s="4"/>
      <c r="H289" s="4">
        <f t="shared" si="4"/>
      </c>
    </row>
    <row r="290" spans="1:8">
      <c r="A290" s="2"/>
      <c r="E290">
        <f>VLOOKUP(TablaObra[[#This Row],[Equipo]],Catalogos!I$4:J$34,2,FALSE)</f>
      </c>
      <c r="F290" s="3"/>
      <c r="G290" s="4"/>
      <c r="H290" s="4">
        <f t="shared" si="4"/>
      </c>
    </row>
    <row r="291" spans="1:8">
      <c r="A291" s="2"/>
      <c r="E291">
        <f>VLOOKUP(TablaObra[[#This Row],[Equipo]],Catalogos!I$4:J$34,2,FALSE)</f>
      </c>
      <c r="F291" s="3"/>
      <c r="G291" s="4"/>
      <c r="H291" s="4">
        <f t="shared" si="4"/>
      </c>
    </row>
    <row r="292" spans="1:8">
      <c r="A292" s="2"/>
      <c r="E292">
        <f>VLOOKUP(TablaObra[[#This Row],[Equipo]],Catalogos!I$4:J$34,2,FALSE)</f>
      </c>
      <c r="F292" s="3"/>
      <c r="G292" s="4"/>
      <c r="H292" s="4">
        <f t="shared" si="4"/>
      </c>
    </row>
    <row r="293" spans="1:8">
      <c r="A293" s="2"/>
      <c r="E293">
        <f>VLOOKUP(TablaObra[[#This Row],[Equipo]],Catalogos!I$4:J$34,2,FALSE)</f>
      </c>
      <c r="F293" s="3"/>
      <c r="G293" s="4"/>
      <c r="H293" s="4">
        <f t="shared" si="4"/>
      </c>
    </row>
    <row r="294" spans="1:8">
      <c r="A294" s="2"/>
      <c r="E294">
        <f>VLOOKUP(TablaObra[[#This Row],[Equipo]],Catalogos!I$4:J$34,2,FALSE)</f>
      </c>
      <c r="F294" s="3"/>
      <c r="G294" s="4"/>
      <c r="H294" s="4">
        <f t="shared" si="4"/>
      </c>
    </row>
    <row r="295" spans="1:8">
      <c r="A295" s="2"/>
      <c r="E295">
        <f>VLOOKUP(TablaObra[[#This Row],[Equipo]],Catalogos!I$4:J$34,2,FALSE)</f>
      </c>
      <c r="F295" s="3"/>
      <c r="G295" s="4"/>
      <c r="H295" s="4">
        <f t="shared" si="4"/>
      </c>
    </row>
    <row r="296" spans="1:8">
      <c r="A296" s="2"/>
      <c r="E296">
        <f>VLOOKUP(TablaObra[[#This Row],[Equipo]],Catalogos!I$4:J$34,2,FALSE)</f>
      </c>
      <c r="F296" s="3"/>
      <c r="G296" s="4"/>
      <c r="H296" s="4">
        <f t="shared" si="4"/>
      </c>
    </row>
    <row r="297" spans="1:8">
      <c r="A297" s="2"/>
      <c r="E297">
        <f>VLOOKUP(TablaObra[[#This Row],[Equipo]],Catalogos!I$4:J$34,2,FALSE)</f>
      </c>
      <c r="F297" s="3"/>
      <c r="G297" s="4"/>
      <c r="H297" s="4">
        <f t="shared" si="4"/>
      </c>
    </row>
    <row r="298" spans="1:8">
      <c r="A298" s="2"/>
      <c r="E298">
        <f>VLOOKUP(TablaObra[[#This Row],[Equipo]],Catalogos!I$4:J$34,2,FALSE)</f>
      </c>
      <c r="F298" s="3"/>
      <c r="G298" s="4"/>
      <c r="H298" s="4">
        <f t="shared" si="4"/>
      </c>
    </row>
    <row r="299" spans="1:8">
      <c r="A299" s="2"/>
      <c r="E299">
        <f>VLOOKUP(TablaObra[[#This Row],[Equipo]],Catalogos!I$4:J$34,2,FALSE)</f>
      </c>
      <c r="F299" s="3"/>
      <c r="G299" s="4"/>
      <c r="H299" s="4">
        <f t="shared" si="4"/>
      </c>
    </row>
    <row r="300" spans="1:8">
      <c r="A300" s="2"/>
      <c r="E300">
        <f>VLOOKUP(TablaObra[[#This Row],[Equipo]],Catalogos!I$4:J$34,2,FALSE)</f>
      </c>
      <c r="F300" s="3"/>
      <c r="G300" s="4"/>
      <c r="H300" s="4">
        <f t="shared" si="4"/>
      </c>
    </row>
    <row r="301" spans="1:8">
      <c r="A301" s="2"/>
      <c r="E301">
        <f>VLOOKUP(TablaObra[[#This Row],[Equipo]],Catalogos!I$4:J$34,2,FALSE)</f>
      </c>
      <c r="F301" s="3"/>
      <c r="G301" s="4"/>
      <c r="H301" s="4">
        <f t="shared" si="4"/>
      </c>
    </row>
    <row r="302" spans="1:8">
      <c r="A302" s="2"/>
      <c r="E302">
        <f>VLOOKUP(TablaObra[[#This Row],[Equipo]],Catalogos!I$4:J$34,2,FALSE)</f>
      </c>
      <c r="F302" s="3"/>
      <c r="G302" s="4"/>
      <c r="H302" s="4">
        <f t="shared" si="4"/>
      </c>
    </row>
    <row r="303" spans="1:8">
      <c r="A303" s="2"/>
      <c r="E303">
        <f>VLOOKUP(TablaObra[[#This Row],[Equipo]],Catalogos!I$4:J$34,2,FALSE)</f>
      </c>
      <c r="F303" s="3"/>
      <c r="G303" s="4"/>
      <c r="H303" s="4">
        <f t="shared" si="4"/>
      </c>
    </row>
    <row r="304" spans="1:8">
      <c r="A304" s="2"/>
      <c r="E304">
        <f>VLOOKUP(TablaObra[[#This Row],[Equipo]],Catalogos!I$4:J$34,2,FALSE)</f>
      </c>
      <c r="F304" s="3"/>
      <c r="G304" s="4"/>
      <c r="H304" s="4">
        <f t="shared" si="4"/>
      </c>
    </row>
  </sheetData>
  <mergeCells count="1">
    <mergeCell ref="A1:K1"/>
  </mergeCells>
  <phoneticPr fontId="4" type="noConversion"/>
  <dataValidations count="2">
    <dataValidation type="list" sqref="C5:C304" xr:uid="{00000000-0002-0000-0300-000001000000}">
      <formula1>"Marimba M-01,Pegaso Directo,Otro"</formula1>
    </dataValidation>
    <dataValidation type="list" sqref="J5:J304" xr:uid="{00000000-0002-0000-0300-000003000000}">
      <formula1>"Sin incidencia,Fuga,Reparación,Equipo parado,Consumo extraordinario,Otro"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300-000000000000}">
          <x14:formula1>
            <xm:f>Catalogos!$B$4:$B$7</xm:f>
          </x14:formula1>
          <xm:sqref>B5:B16 B20:B30 B34:B36 B53:B304 B38:B43</xm:sqref>
        </x14:dataValidation>
        <x14:dataValidation type="list" xr:uid="{00000000-0002-0000-0300-000002000000}">
          <x14:formula1>
            <xm:f>Catalogos!$J$4:$J$18</xm:f>
          </x14:formula1>
          <xm:sqref>E5:E304</xm:sqref>
        </x14:dataValidation>
        <x14:dataValidation type="list" allowBlank="1" showInputMessage="1" showErrorMessage="1" xr:uid="{0213A8B7-428E-4AE7-8F37-5C74E56EF22F}">
          <x14:formula1>
            <xm:f>Catalogos!$I$4:$I$34</xm:f>
          </x14:formula1>
          <xm:sqref>D5:D16 D20:D30 D34:D36 D38:D43 D53:D64</xm:sqref>
        </x14:dataValidation>
        <x14:dataValidation type="list" allowBlank="1" showInputMessage="1" showErrorMessage="1" xr:uid="{2900498E-9E6E-4E60-8E33-7E6D2B9F4253}">
          <x14:formula1>
            <xm:f>Catalogos!$B$4:$B$10</xm:f>
          </x14:formula1>
          <xm:sqref>B17:B19 B31:B33 B37 B44:B52</xm:sqref>
        </x14:dataValidation>
        <x14:dataValidation type="list" xr:uid="{BB7DC188-A8F4-4AD4-83EB-ADE54C2DEA41}">
          <x14:formula1>
            <xm:f>Catalogos!$I$4:$I$34</xm:f>
          </x14:formula1>
          <xm:sqref>D17:D19 D31:D33 D37 D44:D52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/>
  <sheetViews>
    <sheetView workbookViewId="0">
      <selection activeCell="F13" sqref="F13"/>
    </sheetView>
  </sheetViews>
  <sheetFormatPr baseColWidth="10" defaultColWidth="8.796875" defaultRowHeight="13.8"/>
  <cols>
    <col min="1" max="1" width="32" customWidth="1"/>
    <col min="2" max="3" width="18" customWidth="1"/>
    <col min="4" max="4" width="14" customWidth="1"/>
    <col min="5" max="8" width="16" customWidth="1"/>
  </cols>
  <sheetData>
    <row r="1" spans="1:8" ht="22.35" customHeight="1">
      <c r="A1" t="s" s="17">
        <v>55</v>
      </c>
      <c r="B1" s="18"/>
      <c r="C1" s="18"/>
      <c r="D1" s="18"/>
      <c r="E1" s="18"/>
      <c r="F1" s="18"/>
      <c r="G1" s="18"/>
      <c r="H1" s="18"/>
    </row>
    <row r="3" spans="1:8">
      <c r="A3" t="s" s="1">
        <v>56</v>
      </c>
      <c r="B3" t="s" s="1">
        <v>2</v>
      </c>
    </row>
    <row r="4" spans="1:8">
      <c r="A4" t="s">
        <v>57</v>
      </c>
      <c r="B4" s="3">
        <f>SUM(Captura_Pegaso!G5:G206)</f>
      </c>
    </row>
    <row r="5" spans="1:8">
      <c r="A5" t="s">
        <v>58</v>
      </c>
      <c r="B5" s="3">
        <f>SUMIF(Captura_Pegaso!B5:B206,"Salida a Marimba",Captura_Pegaso!H5:H206)</f>
      </c>
    </row>
    <row r="6" spans="1:8">
      <c r="A6" t="s">
        <v>59</v>
      </c>
      <c r="B6" s="3">
        <f>SUMIF(Captura_Pegaso!B5:B206,"Salida Directa Máquina",Captura_Pegaso!H5:H206)</f>
      </c>
    </row>
    <row r="7" spans="1:8">
      <c r="A7" t="s">
        <v>60</v>
      </c>
      <c r="B7" s="3">
        <f>SUMIF(Captura_Marimba_M01!B5:B204,"Entrada desde Pegaso",Captura_Marimba_M01!F5:F204)</f>
      </c>
    </row>
    <row r="8" spans="1:8">
      <c r="A8" t="s">
        <v>61</v>
      </c>
      <c r="B8" s="3">
        <f>SUMIF(Captura_Marimba_M01!B5:B204,"Salida a Obra",Captura_Marimba_M01!G5:G204)</f>
      </c>
      <c r="C8" s="3"/>
    </row>
    <row r="9" spans="1:8">
      <c r="A9" t="s">
        <v>62</v>
      </c>
      <c r="B9" s="3">
        <f>SUM(Captura_Obra!F5:F304)</f>
      </c>
    </row>
    <row r="10" spans="1:8">
      <c r="A10" t="s">
        <v>63</v>
      </c>
      <c r="B10" s="3">
        <f>B5-B7</f>
      </c>
    </row>
    <row r="11" spans="1:8">
      <c r="A11" t="s">
        <v>64</v>
      </c>
      <c r="B11" s="3">
        <f>B8-(B9-B6)</f>
      </c>
    </row>
    <row r="12" spans="1:8">
      <c r="A12" t="s">
        <v>65</v>
      </c>
      <c r="B12" s="3">
        <f>B10+B11</f>
      </c>
    </row>
    <row r="13" spans="1:8">
      <c r="B13" s="3"/>
    </row>
    <row r="14" spans="1:8">
      <c r="A14" t="s" s="1">
        <v>3</v>
      </c>
      <c r="B14" t="s" s="5">
        <v>52</v>
      </c>
      <c r="C14" t="s" s="1">
        <v>4</v>
      </c>
      <c r="D14" t="s" s="1">
        <v>66</v>
      </c>
    </row>
    <row r="15" spans="1:8">
      <c r="A15" t="s">
        <v>6</v>
      </c>
      <c r="B15" s="3">
        <f>SUMIF(Captura_Obra!B:B,A15,Captura_Obra!F:F)</f>
      </c>
      <c r="C15" s="4">
        <f>SUMIF(Captura_Obra!B:B,A15,Captura_Obra!H:H)</f>
      </c>
      <c r="D15" s="6">
        <f>IFERROR(B15/$B$21,0)</f>
      </c>
    </row>
    <row r="16" spans="1:8">
      <c r="A16" t="s">
        <v>8</v>
      </c>
      <c r="B16" s="3">
        <f>SUMIF(Captura_Obra!B:B,A16,Captura_Obra!F:F)</f>
      </c>
      <c r="C16" s="4">
        <f>SUMIF(Captura_Obra!B:B,A16,Captura_Obra!H:H)</f>
      </c>
      <c r="D16" s="6">
        <f>IFERROR(B16/$B$21,0)</f>
      </c>
    </row>
    <row r="17" spans="1:8">
      <c r="A17" t="s">
        <v>10</v>
      </c>
      <c r="B17" s="3">
        <f>SUMIF(Captura_Obra!B:B,A17,Captura_Obra!F:F)</f>
      </c>
      <c r="C17" s="4">
        <f>SUMIF(Captura_Obra!B:B,A17,Captura_Obra!H:H)</f>
      </c>
      <c r="D17" s="6">
        <f>IFERROR(B17/$B$21,0)</f>
      </c>
    </row>
    <row r="18" spans="1:8">
      <c r="A18" t="s">
        <v>210</v>
      </c>
      <c r="B18" s="3">
        <f>SUMIF(Captura_Obra!B:B,A18,Captura_Obra!F:F)</f>
      </c>
      <c r="C18" s="4">
        <f>SUMIF(Captura_Obra!B:B,A18,Captura_Obra!H:H)</f>
      </c>
      <c r="D18" s="6">
        <f t="shared" ref="D18:D20" si="0">IFERROR(B18/$B$21,0)</f>
      </c>
    </row>
    <row r="19" spans="1:8">
      <c r="A19" t="s">
        <v>214</v>
      </c>
      <c r="B19" s="3">
        <f>SUMIF(Captura_Obra!B:B,A19,Captura_Obra!F:F)</f>
      </c>
      <c r="C19" s="4">
        <f>SUMIF(Captura_Obra!B:B,A19,Captura_Obra!H:H)</f>
      </c>
      <c r="D19" s="6">
        <f t="shared" si="0"/>
      </c>
    </row>
    <row r="20" spans="1:8">
      <c r="A20" t="s" s="9">
        <v>224</v>
      </c>
      <c r="B20" s="3">
        <f>SUMIF(Captura_Obra!B:B,A20,Captura_Obra!F:F)</f>
      </c>
      <c r="C20" s="4">
        <f>SUMIF(Captura_Obra!B:B,A20,Captura_Obra!H:H)</f>
      </c>
      <c r="D20" s="6">
        <f t="shared" si="0"/>
      </c>
    </row>
    <row r="21" spans="1:8">
      <c r="A21" t="s">
        <v>12</v>
      </c>
      <c r="B21" s="3">
        <f>SUM(B15:B20)</f>
      </c>
      <c r="C21" s="4">
        <f>SUM(C15:C20)</f>
      </c>
      <c r="D21" s="6">
        <f>SUM(D15:D20)</f>
      </c>
    </row>
    <row r="23" spans="1:8">
      <c r="A23" t="s" s="1">
        <v>67</v>
      </c>
      <c r="B23" s="1"/>
      <c r="C23" s="1"/>
      <c r="D23" s="1"/>
      <c r="E23" s="1"/>
      <c r="F23" s="1"/>
      <c r="G23" s="1"/>
      <c r="H23" s="1"/>
    </row>
    <row r="24" spans="1:8">
      <c r="A24" t="s">
        <v>68</v>
      </c>
      <c r="C24" t="s">
        <v>28</v>
      </c>
      <c r="E24" t="s">
        <v>69</v>
      </c>
      <c r="G24" t="s">
        <v>37</v>
      </c>
    </row>
    <row r="25" spans="1:8">
      <c r="E25" t="s">
        <v>70</v>
      </c>
    </row>
    <row r="26" spans="1:8">
      <c r="A26" t="s">
        <v>71</v>
      </c>
    </row>
  </sheetData>
  <mergeCells count="1">
    <mergeCell ref="A1:H1"/>
  </mergeCells>
  <conditionalFormatting sqref="B10:B12">
    <cfRule type="expression" dxfId="0" priority="1">
      <formula>B10&lt;&gt;0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/>
  <sheetViews>
    <sheetView workbookViewId="0">
      <selection activeCell="B8" sqref="B8:B10"/>
    </sheetView>
  </sheetViews>
  <sheetFormatPr baseColWidth="10" defaultColWidth="8.796875" defaultRowHeight="13.8"/>
  <cols>
    <col min="1" max="1" width="14" customWidth="1"/>
    <col min="2" max="3" width="24" customWidth="1"/>
    <col min="5" max="5" width="14" customWidth="1"/>
    <col min="6" max="6" width="28" customWidth="1"/>
    <col min="8" max="8" width="14" customWidth="1"/>
    <col min="9" max="9" width="22" customWidth="1"/>
    <col min="10" max="10" width="12.09765625" customWidth="1"/>
  </cols>
  <sheetData>
    <row r="1" spans="1:10" ht="22.35" customHeight="1">
      <c r="A1" t="s" s="17">
        <v>72</v>
      </c>
      <c r="B1" s="18"/>
      <c r="C1" s="18"/>
      <c r="D1" s="18"/>
      <c r="E1" s="18"/>
      <c r="F1" s="18"/>
      <c r="G1" s="18"/>
      <c r="H1" s="18"/>
      <c r="I1" s="18"/>
      <c r="K1" s="368"/>
      <c r="L1" s="369"/>
    </row>
    <row r="2">
      <c r="K2" t="s" s="336">
        <v>278</v>
      </c>
      <c r="L2" t="s" s="337">
        <v>279</v>
      </c>
    </row>
    <row r="3" spans="1:10">
      <c r="A3" t="s" s="1">
        <v>73</v>
      </c>
      <c r="B3" t="s" s="1">
        <v>3</v>
      </c>
      <c r="C3" t="s" s="1">
        <v>204</v>
      </c>
      <c r="E3" t="s" s="1">
        <v>74</v>
      </c>
      <c r="F3" t="s" s="1">
        <v>75</v>
      </c>
      <c r="I3" t="s" s="1">
        <v>76</v>
      </c>
      <c r="J3" t="s" s="1">
        <v>46</v>
      </c>
      <c r="K3" s="370"/>
      <c r="L3" s="371"/>
    </row>
    <row r="4" spans="1:10">
      <c r="A4" t="s">
        <v>77</v>
      </c>
      <c r="B4" t="s">
        <v>6</v>
      </c>
      <c r="C4" t="s">
        <v>205</v>
      </c>
      <c r="E4" t="s">
        <v>78</v>
      </c>
      <c r="F4" t="s">
        <v>79</v>
      </c>
      <c r="I4" t="s">
        <v>81</v>
      </c>
      <c r="J4" t="s">
        <v>80</v>
      </c>
      <c r="K4" t="s" s="372">
        <v>6</v>
      </c>
      <c r="L4" s="338">
        <v>46181</v>
      </c>
    </row>
    <row r="5" spans="1:10">
      <c r="A5" t="s">
        <v>82</v>
      </c>
      <c r="B5" t="s">
        <v>8</v>
      </c>
      <c r="C5" t="s">
        <v>206</v>
      </c>
      <c r="E5" t="s">
        <v>83</v>
      </c>
      <c r="F5" t="s">
        <v>84</v>
      </c>
      <c r="I5" t="s">
        <v>86</v>
      </c>
      <c r="J5" t="s">
        <v>85</v>
      </c>
      <c r="K5" t="s" s="373">
        <v>8</v>
      </c>
      <c r="L5" s="339">
        <v>46188</v>
      </c>
    </row>
    <row r="6" spans="1:10">
      <c r="A6" t="s">
        <v>220</v>
      </c>
      <c r="B6" t="s">
        <v>213</v>
      </c>
      <c r="E6" t="s">
        <v>221</v>
      </c>
      <c r="F6" t="s">
        <v>214</v>
      </c>
      <c r="I6" t="s">
        <v>91</v>
      </c>
      <c r="J6" t="s">
        <v>90</v>
      </c>
      <c r="K6" t="s" s="374">
        <v>10</v>
      </c>
      <c r="L6" s="340">
        <v>46195</v>
      </c>
    </row>
    <row r="7" spans="1:10">
      <c r="A7" t="s">
        <v>87</v>
      </c>
      <c r="B7" t="s">
        <v>10</v>
      </c>
      <c r="C7" t="s">
        <v>207</v>
      </c>
      <c r="E7" t="s">
        <v>88</v>
      </c>
      <c r="F7" t="s">
        <v>89</v>
      </c>
      <c r="I7" t="s">
        <v>95</v>
      </c>
      <c r="J7" t="s">
        <v>94</v>
      </c>
      <c r="K7" t="s" s="375">
        <v>210</v>
      </c>
      <c r="L7" s="341">
        <v>46202</v>
      </c>
    </row>
    <row r="8" spans="1:10">
      <c r="A8" t="s">
        <v>219</v>
      </c>
      <c r="B8" t="s">
        <v>210</v>
      </c>
      <c r="C8" t="s">
        <v>223</v>
      </c>
      <c r="E8" t="s">
        <v>92</v>
      </c>
      <c r="F8" t="s">
        <v>93</v>
      </c>
      <c r="I8" t="s">
        <v>98</v>
      </c>
      <c r="J8" t="s">
        <v>97</v>
      </c>
      <c r="K8" t="s" s="376">
        <v>280</v>
      </c>
      <c r="L8" s="342">
        <v>46209</v>
      </c>
    </row>
    <row r="9" spans="1:10">
      <c r="A9" t="s">
        <v>221</v>
      </c>
      <c r="B9" t="s">
        <v>214</v>
      </c>
      <c r="E9" t="s">
        <v>222</v>
      </c>
      <c r="F9" t="s">
        <v>215</v>
      </c>
      <c r="I9" t="s">
        <v>100</v>
      </c>
      <c r="J9" t="s">
        <v>99</v>
      </c>
      <c r="K9" s="377"/>
      <c r="L9" s="343">
        <v>46216</v>
      </c>
    </row>
    <row r="10" spans="1:10">
      <c r="A10" t="s" s="9">
        <v>222</v>
      </c>
      <c r="B10" t="s" s="9">
        <v>224</v>
      </c>
      <c r="C10" s="8"/>
      <c r="E10" t="s">
        <v>216</v>
      </c>
      <c r="F10" t="s">
        <v>96</v>
      </c>
      <c r="I10" t="s">
        <v>102</v>
      </c>
      <c r="J10" t="s">
        <v>101</v>
      </c>
      <c r="K10" s="378"/>
      <c r="L10" s="344">
        <v>46223</v>
      </c>
    </row>
    <row r="11" spans="1:10">
      <c r="I11" t="s">
        <v>104</v>
      </c>
      <c r="J11" t="s">
        <v>103</v>
      </c>
      <c r="K11" s="379"/>
      <c r="L11" s="345">
        <v>46230</v>
      </c>
    </row>
    <row r="12" spans="1:10">
      <c r="I12" t="s">
        <v>171</v>
      </c>
      <c r="J12" t="s">
        <v>172</v>
      </c>
      <c r="K12" s="380"/>
      <c r="L12" s="346">
        <v>46237</v>
      </c>
    </row>
    <row r="13" spans="1:10">
      <c r="I13" t="s">
        <v>173</v>
      </c>
      <c r="J13" t="s">
        <v>174</v>
      </c>
      <c r="K13" s="381"/>
      <c r="L13" s="347">
        <v>46244</v>
      </c>
    </row>
    <row r="14" spans="1:10">
      <c r="I14" t="s">
        <v>175</v>
      </c>
      <c r="J14" t="s">
        <v>176</v>
      </c>
      <c r="K14" s="382"/>
      <c r="L14" s="348">
        <v>46251</v>
      </c>
    </row>
    <row r="15" spans="1:10">
      <c r="I15" t="s">
        <v>177</v>
      </c>
      <c r="J15" t="s">
        <v>178</v>
      </c>
      <c r="K15" s="383"/>
      <c r="L15" s="349">
        <v>46258</v>
      </c>
    </row>
    <row r="16" spans="1:10">
      <c r="I16" t="s">
        <v>179</v>
      </c>
      <c r="J16" t="s">
        <v>180</v>
      </c>
      <c r="K16" s="384"/>
      <c r="L16" s="350">
        <v>46265</v>
      </c>
    </row>
    <row r="17" spans="9:10">
      <c r="I17" t="s">
        <v>106</v>
      </c>
      <c r="J17" t="s">
        <v>105</v>
      </c>
      <c r="K17" s="385"/>
      <c r="L17" s="351">
        <v>46272</v>
      </c>
    </row>
    <row r="18" spans="9:10">
      <c r="I18" t="s">
        <v>160</v>
      </c>
      <c r="J18" t="s">
        <v>161</v>
      </c>
      <c r="K18" s="386"/>
      <c r="L18" s="352">
        <v>46279</v>
      </c>
    </row>
    <row r="19" spans="9:10">
      <c r="I19" t="s">
        <v>164</v>
      </c>
      <c r="J19" t="s">
        <v>163</v>
      </c>
      <c r="K19" s="387"/>
      <c r="L19" s="353">
        <v>46286</v>
      </c>
    </row>
    <row r="20" spans="9:10">
      <c r="I20" t="s">
        <v>165</v>
      </c>
      <c r="J20" t="s">
        <v>166</v>
      </c>
      <c r="K20" s="388"/>
      <c r="L20" s="354">
        <v>46293</v>
      </c>
    </row>
    <row r="21" spans="9:10">
      <c r="I21" t="s">
        <v>181</v>
      </c>
      <c r="J21" t="s">
        <v>167</v>
      </c>
      <c r="K21" s="389"/>
      <c r="L21" s="355">
        <v>46300</v>
      </c>
    </row>
    <row r="22" spans="9:10">
      <c r="I22" t="s">
        <v>182</v>
      </c>
      <c r="J22" t="s">
        <v>183</v>
      </c>
      <c r="K22" s="390"/>
      <c r="L22" s="356">
        <v>46307</v>
      </c>
    </row>
    <row r="23" spans="9:10">
      <c r="I23" t="s">
        <v>184</v>
      </c>
      <c r="J23" t="s">
        <v>185</v>
      </c>
      <c r="K23" s="391"/>
      <c r="L23" s="357">
        <v>46314</v>
      </c>
    </row>
    <row r="24" spans="9:10">
      <c r="I24" t="s">
        <v>186</v>
      </c>
      <c r="J24" t="s">
        <v>187</v>
      </c>
      <c r="K24" s="392"/>
      <c r="L24" s="358">
        <v>46321</v>
      </c>
    </row>
    <row r="25" spans="9:10">
      <c r="I25" t="s">
        <v>188</v>
      </c>
      <c r="J25" t="s">
        <v>189</v>
      </c>
      <c r="K25" s="393"/>
      <c r="L25" s="359">
        <v>46328</v>
      </c>
    </row>
    <row r="26" spans="9:10">
      <c r="I26" t="s">
        <v>190</v>
      </c>
      <c r="J26" t="s">
        <v>191</v>
      </c>
      <c r="K26" s="394"/>
      <c r="L26" s="360">
        <v>46335</v>
      </c>
    </row>
    <row r="27" spans="9:10">
      <c r="I27" t="s">
        <v>192</v>
      </c>
      <c r="J27" t="s">
        <v>193</v>
      </c>
      <c r="K27" s="395"/>
      <c r="L27" s="361">
        <v>46342</v>
      </c>
    </row>
    <row r="28" spans="9:10">
      <c r="I28" t="s">
        <v>194</v>
      </c>
      <c r="J28" t="s">
        <v>195</v>
      </c>
      <c r="K28" s="396"/>
      <c r="L28" s="362">
        <v>46349</v>
      </c>
    </row>
    <row r="29" spans="9:10">
      <c r="I29" t="s">
        <v>198</v>
      </c>
      <c r="J29" t="s">
        <v>199</v>
      </c>
      <c r="K29" s="397"/>
      <c r="L29" s="363">
        <v>46356</v>
      </c>
    </row>
    <row r="30" spans="9:10">
      <c r="I30" t="s">
        <v>196</v>
      </c>
      <c r="J30" t="s">
        <v>197</v>
      </c>
      <c r="K30" s="398"/>
      <c r="L30" s="364">
        <v>46363</v>
      </c>
    </row>
    <row r="31" spans="9:10">
      <c r="I31" t="s">
        <v>200</v>
      </c>
      <c r="J31" t="s">
        <v>201</v>
      </c>
      <c r="K31" s="399"/>
      <c r="L31" s="365">
        <v>46370</v>
      </c>
    </row>
    <row r="32" spans="9:10">
      <c r="I32" t="s">
        <v>211</v>
      </c>
      <c r="J32" t="s">
        <v>212</v>
      </c>
      <c r="K32" s="400"/>
      <c r="L32" s="366">
        <v>46377</v>
      </c>
    </row>
    <row r="33" spans="9:10">
      <c r="I33" t="s">
        <v>217</v>
      </c>
      <c r="J33" t="s">
        <v>218</v>
      </c>
      <c r="K33" s="401"/>
      <c r="L33" s="367">
        <v>46384</v>
      </c>
    </row>
    <row r="34" spans="9:10">
      <c r="I34" t="s">
        <v>96</v>
      </c>
      <c r="J34" t="s">
        <v>168</v>
      </c>
      <c r="K34" s="402"/>
      <c r="L34" s="403"/>
    </row>
    <row r="35">
      <c r="K35" s="404"/>
      <c r="L35" s="405"/>
    </row>
    <row r="36">
      <c r="K36"/>
      <c r="L36"/>
    </row>
    <row r="37">
      <c r="K37"/>
      <c r="L37"/>
    </row>
    <row r="38">
      <c r="K38"/>
      <c r="L38"/>
    </row>
    <row r="39">
      <c r="K39"/>
      <c r="L39"/>
    </row>
    <row r="40">
      <c r="K40"/>
      <c r="L40"/>
    </row>
    <row r="41">
      <c r="K41"/>
      <c r="L41"/>
    </row>
    <row r="42">
      <c r="K42"/>
      <c r="L42"/>
    </row>
    <row r="43">
      <c r="K43"/>
      <c r="L43"/>
    </row>
    <row r="44">
      <c r="K44"/>
      <c r="L44"/>
    </row>
    <row r="45">
      <c r="K45"/>
      <c r="L45"/>
    </row>
    <row r="46">
      <c r="K46"/>
      <c r="L46"/>
    </row>
    <row r="47">
      <c r="K47"/>
      <c r="L47"/>
    </row>
    <row r="48">
      <c r="K48"/>
      <c r="L48"/>
    </row>
    <row r="49">
      <c r="K49"/>
      <c r="L49"/>
    </row>
    <row r="50">
      <c r="K50"/>
      <c r="L50"/>
    </row>
    <row r="51">
      <c r="K51"/>
      <c r="L51"/>
    </row>
    <row r="52">
      <c r="K52"/>
      <c r="L52"/>
    </row>
    <row r="53">
      <c r="K53"/>
      <c r="L53"/>
    </row>
    <row r="54">
      <c r="K54"/>
      <c r="L54"/>
    </row>
    <row r="55">
      <c r="K55"/>
      <c r="L55"/>
    </row>
    <row r="56">
      <c r="K56"/>
      <c r="L56"/>
    </row>
    <row r="57">
      <c r="K57"/>
      <c r="L57"/>
    </row>
    <row r="58">
      <c r="K58"/>
      <c r="L58"/>
    </row>
    <row r="59">
      <c r="K59"/>
      <c r="L59"/>
    </row>
    <row r="60">
      <c r="K60"/>
      <c r="L60"/>
    </row>
    <row r="61">
      <c r="K61"/>
      <c r="L61"/>
    </row>
    <row r="62">
      <c r="K62"/>
      <c r="L62"/>
    </row>
    <row r="63">
      <c r="K63"/>
      <c r="L63"/>
    </row>
    <row r="64">
      <c r="K64"/>
      <c r="L64"/>
    </row>
    <row r="65">
      <c r="K65"/>
      <c r="L65"/>
    </row>
    <row r="66">
      <c r="K66"/>
      <c r="L66"/>
    </row>
    <row r="67">
      <c r="K67"/>
      <c r="L67"/>
    </row>
    <row r="68">
      <c r="K68"/>
      <c r="L68"/>
    </row>
    <row r="69">
      <c r="K69"/>
      <c r="L69"/>
    </row>
    <row r="70">
      <c r="K70"/>
      <c r="L70"/>
    </row>
    <row r="71">
      <c r="K71"/>
      <c r="L71"/>
    </row>
    <row r="72">
      <c r="K72"/>
      <c r="L72"/>
    </row>
    <row r="73">
      <c r="K73"/>
      <c r="L73"/>
    </row>
    <row r="74">
      <c r="K74"/>
      <c r="L74"/>
    </row>
    <row r="75">
      <c r="K75"/>
      <c r="L75"/>
    </row>
    <row r="76">
      <c r="K76"/>
      <c r="L76"/>
    </row>
    <row r="77">
      <c r="K77"/>
      <c r="L77"/>
    </row>
    <row r="78">
      <c r="K78"/>
      <c r="L78"/>
    </row>
    <row r="79">
      <c r="K79"/>
      <c r="L79"/>
    </row>
    <row r="80">
      <c r="K80"/>
      <c r="L80"/>
    </row>
    <row r="81">
      <c r="K81"/>
      <c r="L81"/>
    </row>
    <row r="82">
      <c r="K82"/>
      <c r="L82"/>
    </row>
    <row r="83">
      <c r="K83"/>
      <c r="L83"/>
    </row>
    <row r="84">
      <c r="K84"/>
      <c r="L84"/>
    </row>
    <row r="85">
      <c r="K85"/>
      <c r="L85"/>
    </row>
    <row r="86">
      <c r="K86"/>
      <c r="L86"/>
    </row>
    <row r="87">
      <c r="K87"/>
      <c r="L87"/>
    </row>
    <row r="88">
      <c r="K88"/>
      <c r="L88"/>
    </row>
    <row r="89">
      <c r="K89"/>
      <c r="L89"/>
    </row>
    <row r="90">
      <c r="K90"/>
      <c r="L90"/>
    </row>
    <row r="91">
      <c r="K91"/>
      <c r="L91"/>
    </row>
    <row r="92">
      <c r="K92"/>
      <c r="L92"/>
    </row>
    <row r="93">
      <c r="K93"/>
      <c r="L93"/>
    </row>
    <row r="94">
      <c r="K94"/>
      <c r="L94"/>
    </row>
    <row r="95">
      <c r="K95"/>
      <c r="L95"/>
    </row>
    <row r="96">
      <c r="K96"/>
      <c r="L96"/>
    </row>
    <row r="97">
      <c r="K97"/>
      <c r="L97"/>
    </row>
    <row r="98">
      <c r="K98"/>
      <c r="L98"/>
    </row>
    <row r="99">
      <c r="K99"/>
      <c r="L99"/>
    </row>
    <row r="100">
      <c r="K100"/>
      <c r="L100"/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/>
  <sheetViews>
    <sheetView workbookViewId="0">
      <selection activeCell="A16" sqref="A16:H16"/>
    </sheetView>
  </sheetViews>
  <sheetFormatPr baseColWidth="10" defaultColWidth="8.796875" defaultRowHeight="13.8"/>
  <cols>
    <col min="1" max="1" width="14" customWidth="1"/>
    <col min="2" max="2" width="18" customWidth="1"/>
    <col min="3" max="4" width="22" customWidth="1"/>
    <col min="5" max="7" width="18" customWidth="1"/>
    <col min="8" max="8" width="28" customWidth="1"/>
    <col min="9" max="9" width="12.796875" customWidth="1"/>
  </cols>
  <sheetData>
    <row r="1" spans="1:9" ht="22.35" customHeight="1">
      <c r="A1" t="s" s="17">
        <v>107</v>
      </c>
      <c r="B1" s="18"/>
      <c r="C1" s="18"/>
      <c r="D1" s="18"/>
      <c r="E1" s="18"/>
      <c r="F1" s="18"/>
      <c r="G1" s="18"/>
      <c r="H1" s="18"/>
    </row>
    <row r="3" spans="1:9" ht="41.4" customHeight="1">
      <c r="A3" t="s" s="19">
        <v>108</v>
      </c>
      <c r="B3" s="19"/>
      <c r="C3" s="19"/>
      <c r="D3" s="19"/>
      <c r="E3" s="19"/>
      <c r="F3" s="19"/>
      <c r="G3" s="19"/>
      <c r="H3" s="19"/>
    </row>
    <row r="4" spans="1:9">
      <c r="A4" t="s" s="7">
        <v>23</v>
      </c>
      <c r="B4" t="s" s="7">
        <v>22</v>
      </c>
      <c r="C4" t="s" s="7">
        <v>109</v>
      </c>
      <c r="D4" t="s" s="7">
        <v>110</v>
      </c>
      <c r="E4" t="s" s="7">
        <v>111</v>
      </c>
      <c r="F4" t="s" s="7">
        <v>112</v>
      </c>
      <c r="G4" s="7"/>
      <c r="H4" s="7"/>
    </row>
    <row r="5" spans="1:9">
      <c r="A5" s="7"/>
      <c r="B5" s="7"/>
      <c r="C5" s="7"/>
      <c r="D5" s="7"/>
      <c r="E5" s="7"/>
      <c r="F5" s="7"/>
      <c r="G5" s="7"/>
      <c r="H5" s="7"/>
    </row>
    <row r="6" spans="1:9" ht="27.6">
      <c r="A6" t="s" s="1">
        <v>28</v>
      </c>
      <c r="B6" t="s" s="1">
        <v>43</v>
      </c>
      <c r="C6" t="s" s="1">
        <v>30</v>
      </c>
      <c r="D6" t="s" s="1">
        <v>3</v>
      </c>
      <c r="E6" t="s" s="1">
        <v>31</v>
      </c>
      <c r="F6" t="s" s="1">
        <v>32</v>
      </c>
      <c r="G6" t="s" s="1">
        <v>33</v>
      </c>
      <c r="H6" t="s" s="1">
        <v>158</v>
      </c>
      <c r="I6" t="s" s="1">
        <v>157</v>
      </c>
    </row>
    <row r="7" spans="1:9">
      <c r="A7" s="7"/>
      <c r="B7" s="7"/>
      <c r="C7" s="7"/>
      <c r="D7" s="7"/>
      <c r="E7" s="7"/>
      <c r="F7" s="7"/>
      <c r="G7" s="7"/>
      <c r="H7" s="7"/>
    </row>
    <row r="8" spans="1:9">
      <c r="A8" s="7"/>
      <c r="B8" s="7"/>
      <c r="C8" s="7"/>
      <c r="D8" s="7"/>
      <c r="E8" s="7"/>
      <c r="F8" s="7"/>
      <c r="G8" s="7"/>
      <c r="H8" s="7"/>
    </row>
    <row r="9" spans="1:9">
      <c r="A9" s="7"/>
      <c r="B9" s="7"/>
      <c r="C9" s="7"/>
      <c r="D9" s="7"/>
      <c r="E9" s="7"/>
      <c r="F9" s="7"/>
      <c r="G9" s="7"/>
      <c r="H9" s="7"/>
    </row>
    <row r="10" spans="1:9">
      <c r="A10" s="7"/>
      <c r="B10" s="7"/>
      <c r="C10" s="7"/>
      <c r="D10" s="7"/>
      <c r="E10" s="7"/>
      <c r="F10" s="7"/>
      <c r="G10" s="7"/>
      <c r="H10" s="7"/>
    </row>
    <row r="11" spans="1:9">
      <c r="A11" s="7"/>
      <c r="B11" s="7"/>
      <c r="C11" s="7"/>
      <c r="D11" s="7"/>
      <c r="E11" s="7"/>
      <c r="F11" s="7"/>
      <c r="G11" s="7"/>
      <c r="H11" s="7"/>
    </row>
    <row r="12" spans="1:9">
      <c r="A12" s="7"/>
      <c r="B12" s="7"/>
      <c r="C12" s="7"/>
      <c r="D12" s="7"/>
      <c r="E12" s="7"/>
      <c r="F12" s="7"/>
      <c r="G12" s="7"/>
      <c r="H12" s="7"/>
    </row>
    <row r="13" spans="1:9">
      <c r="A13" s="7"/>
      <c r="B13" s="7"/>
      <c r="C13" s="7"/>
      <c r="D13" s="7"/>
      <c r="E13" s="7"/>
      <c r="F13" s="7"/>
      <c r="G13" s="7"/>
      <c r="H13" s="7"/>
    </row>
    <row r="14" spans="1:9">
      <c r="A14" s="7"/>
      <c r="B14" s="7"/>
      <c r="C14" s="7"/>
      <c r="D14" s="7"/>
      <c r="E14" s="7"/>
      <c r="F14" s="7"/>
      <c r="G14" s="7"/>
      <c r="H14" s="7"/>
    </row>
    <row r="15" spans="1:9">
      <c r="A15" s="7"/>
      <c r="B15" s="7"/>
      <c r="C15" s="7"/>
      <c r="D15" s="7"/>
      <c r="E15" s="7"/>
      <c r="F15" s="7"/>
      <c r="G15" s="7"/>
      <c r="H15" s="7"/>
    </row>
    <row r="16" spans="1:9" ht="55.2" customHeight="1">
      <c r="A16" t="s" s="19">
        <v>113</v>
      </c>
      <c r="B16" s="19"/>
      <c r="C16" s="19"/>
      <c r="D16" s="19"/>
      <c r="E16" s="19"/>
      <c r="F16" s="19"/>
      <c r="G16" s="19"/>
      <c r="H16" s="19"/>
    </row>
    <row r="17" spans="1:8">
      <c r="A17" t="s" s="7">
        <v>23</v>
      </c>
      <c r="B17" t="s" s="7">
        <v>39</v>
      </c>
      <c r="C17" t="s" s="7">
        <v>114</v>
      </c>
      <c r="D17" t="s" s="7">
        <v>115</v>
      </c>
      <c r="E17" t="s" s="7">
        <v>111</v>
      </c>
      <c r="F17" t="s" s="7">
        <v>112</v>
      </c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t="s" s="1">
        <v>28</v>
      </c>
      <c r="B19" t="s" s="1">
        <v>43</v>
      </c>
      <c r="C19" t="s" s="1">
        <v>3</v>
      </c>
      <c r="D19" t="s" s="1">
        <v>45</v>
      </c>
      <c r="E19" t="s" s="1">
        <v>46</v>
      </c>
      <c r="F19" t="s" s="1">
        <v>32</v>
      </c>
      <c r="G19" t="s" s="1">
        <v>33</v>
      </c>
      <c r="H19" t="s" s="1">
        <v>37</v>
      </c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 ht="41.4" customHeight="1">
      <c r="A29" t="s" s="19">
        <v>116</v>
      </c>
      <c r="B29" s="19"/>
      <c r="C29" s="19"/>
      <c r="D29" s="19"/>
      <c r="E29" s="19"/>
      <c r="F29" s="19"/>
      <c r="G29" s="19"/>
      <c r="H29" s="19"/>
    </row>
    <row r="30" spans="1:8">
      <c r="A30" t="s" s="7">
        <v>23</v>
      </c>
      <c r="B30" t="s" s="7">
        <v>50</v>
      </c>
      <c r="C30" t="s" s="7">
        <v>49</v>
      </c>
      <c r="D30" t="s" s="7">
        <v>111</v>
      </c>
      <c r="E30" t="s" s="7">
        <v>112</v>
      </c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t="s" s="1">
        <v>28</v>
      </c>
      <c r="B32" t="s" s="1">
        <v>51</v>
      </c>
      <c r="C32" t="s" s="1">
        <v>45</v>
      </c>
      <c r="D32" t="s" s="1">
        <v>46</v>
      </c>
      <c r="E32" t="s" s="1">
        <v>52</v>
      </c>
      <c r="F32" t="s" s="1">
        <v>117</v>
      </c>
      <c r="G32" t="s" s="1">
        <v>54</v>
      </c>
      <c r="H32" t="s" s="1">
        <v>37</v>
      </c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  <row r="37" spans="1:8">
      <c r="A37" s="7"/>
      <c r="B37" s="7"/>
      <c r="C37" s="7"/>
      <c r="D37" s="7"/>
      <c r="E37" s="7"/>
      <c r="F37" s="7"/>
      <c r="G37" s="7"/>
      <c r="H37" s="7"/>
    </row>
    <row r="38" spans="1:8">
      <c r="A38" s="7"/>
      <c r="B38" s="7"/>
      <c r="C38" s="7"/>
      <c r="D38" s="7"/>
      <c r="E38" s="7"/>
      <c r="F38" s="7"/>
      <c r="G38" s="7"/>
      <c r="H38" s="7"/>
    </row>
    <row r="39" spans="1:8">
      <c r="A39" s="7"/>
      <c r="B39" s="7"/>
      <c r="C39" s="7"/>
      <c r="D39" s="7"/>
      <c r="E39" s="7"/>
      <c r="F39" s="7"/>
      <c r="G39" s="7"/>
      <c r="H39" s="7"/>
    </row>
    <row r="40" spans="1:8">
      <c r="A40" s="7"/>
      <c r="B40" s="7"/>
      <c r="C40" s="7"/>
      <c r="D40" s="7"/>
      <c r="E40" s="7"/>
      <c r="F40" s="7"/>
      <c r="G40" s="7"/>
      <c r="H40" s="7"/>
    </row>
    <row r="41" spans="1:8">
      <c r="A41" s="7"/>
      <c r="B41" s="7"/>
      <c r="C41" s="7"/>
      <c r="D41" s="7"/>
      <c r="E41" s="7"/>
      <c r="F41" s="7"/>
      <c r="G41" s="7"/>
      <c r="H41" s="7"/>
    </row>
    <row r="42" spans="1:8">
      <c r="A42" s="7"/>
      <c r="B42" s="7"/>
      <c r="C42" s="7"/>
      <c r="D42" s="7"/>
      <c r="E42" s="7"/>
      <c r="F42" s="7"/>
      <c r="G42" s="7"/>
      <c r="H42" s="7"/>
    </row>
    <row r="43" spans="1:8">
      <c r="A43" s="7"/>
      <c r="B43" s="7"/>
      <c r="C43" s="7"/>
      <c r="D43" s="7"/>
      <c r="E43" s="7"/>
      <c r="F43" s="7"/>
      <c r="G43" s="7"/>
      <c r="H43" s="7"/>
    </row>
    <row r="44" spans="1:8">
      <c r="A44" s="7"/>
      <c r="B44" s="7"/>
      <c r="C44" s="7"/>
      <c r="D44" s="7"/>
      <c r="E44" s="7"/>
      <c r="F44" s="7"/>
      <c r="G44" s="7"/>
      <c r="H44" s="7"/>
    </row>
    <row r="45" spans="1:8">
      <c r="A45" s="7"/>
      <c r="B45" s="7"/>
      <c r="C45" s="7"/>
      <c r="D45" s="7"/>
      <c r="E45" s="7"/>
      <c r="F45" s="7"/>
      <c r="G45" s="7"/>
      <c r="H45" s="7"/>
    </row>
  </sheetData>
  <mergeCells count="4">
    <mergeCell ref="A1:H1"/>
    <mergeCell ref="A16:H16"/>
    <mergeCell ref="A29:H29"/>
    <mergeCell ref="A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/>
  <sheetViews>
    <sheetView workbookViewId="0">
      <selection sqref="A1:H1"/>
    </sheetView>
  </sheetViews>
  <sheetFormatPr baseColWidth="10" defaultColWidth="8.796875" defaultRowHeight="13.8"/>
  <cols>
    <col min="1" max="1" width="8" customWidth="1"/>
    <col min="2" max="2" width="24" customWidth="1"/>
    <col min="3" max="3" width="75" customWidth="1"/>
    <col min="4" max="8" width="10" customWidth="1"/>
  </cols>
  <sheetData>
    <row r="1" spans="1:8" ht="22.35" customHeight="1">
      <c r="A1" t="s" s="17">
        <v>118</v>
      </c>
      <c r="B1" s="18"/>
      <c r="C1" s="18"/>
      <c r="D1" s="18"/>
      <c r="E1" s="18"/>
      <c r="F1" s="18"/>
      <c r="G1" s="18"/>
      <c r="H1" s="18"/>
    </row>
    <row r="3" spans="1:8">
      <c r="A3" s="1">
        <v>1</v>
      </c>
      <c r="B3" t="s" s="1">
        <v>120</v>
      </c>
      <c r="C3" t="s" s="1">
        <v>121</v>
      </c>
    </row>
    <row r="4" spans="1:8" ht="27.6">
      <c r="A4" s="7">
        <v>2</v>
      </c>
      <c r="B4" t="s" s="7">
        <v>123</v>
      </c>
      <c r="C4" t="s" s="7">
        <v>124</v>
      </c>
    </row>
    <row r="5" spans="1:8" ht="27.6">
      <c r="A5" s="7">
        <v>3</v>
      </c>
      <c r="B5" t="s" s="7">
        <v>126</v>
      </c>
      <c r="C5" t="s" s="7">
        <v>127</v>
      </c>
    </row>
    <row r="6" spans="1:8" ht="27.6">
      <c r="A6" s="7">
        <v>4</v>
      </c>
      <c r="B6" t="s" s="7">
        <v>129</v>
      </c>
      <c r="C6" t="s" s="7">
        <v>130</v>
      </c>
    </row>
    <row r="7" spans="1:8">
      <c r="A7" s="7">
        <v>5</v>
      </c>
      <c r="B7" t="s" s="7">
        <v>132</v>
      </c>
      <c r="C7" t="s" s="7">
        <v>133</v>
      </c>
    </row>
    <row r="8" spans="1:8" ht="27.6">
      <c r="A8" s="7">
        <v>6</v>
      </c>
      <c r="B8" t="s" s="7">
        <v>135</v>
      </c>
      <c r="C8" t="s" s="7">
        <v>136</v>
      </c>
    </row>
    <row r="9" spans="1:8">
      <c r="A9" s="7">
        <v>7</v>
      </c>
      <c r="B9" t="s" s="7">
        <v>4</v>
      </c>
      <c r="C9" t="s" s="7">
        <v>138</v>
      </c>
    </row>
    <row r="10" spans="1:8" ht="27.6">
      <c r="A10" s="7">
        <v>8</v>
      </c>
      <c r="B10" t="s" s="7">
        <v>140</v>
      </c>
      <c r="C10" t="s" s="7">
        <v>141</v>
      </c>
    </row>
    <row r="11" spans="1:8" ht="27.6">
      <c r="A11" s="7">
        <v>9</v>
      </c>
      <c r="B11" t="s" s="7">
        <v>143</v>
      </c>
      <c r="C11" t="s" s="7">
        <v>144</v>
      </c>
    </row>
    <row r="12" spans="1:8">
      <c r="A12" s="7">
        <v>10</v>
      </c>
      <c r="B12" t="s" s="7">
        <v>146</v>
      </c>
      <c r="C12" t="s" s="7">
        <v>147</v>
      </c>
    </row>
    <row r="13" spans="1:8">
      <c r="A13" s="7"/>
      <c r="B13" s="7"/>
      <c r="C13" s="7"/>
    </row>
    <row r="14" spans="1:8" ht="27.6">
      <c r="A14" t="s" s="7">
        <v>148</v>
      </c>
      <c r="B14" s="7"/>
      <c r="C14" t="s" s="7">
        <v>149</v>
      </c>
    </row>
    <row r="15" spans="1:8">
      <c r="A15" s="7"/>
      <c r="B15" s="7"/>
      <c r="C15" s="7"/>
    </row>
    <row r="16" spans="1:8" ht="41.4">
      <c r="A16" t="s" s="7">
        <v>150</v>
      </c>
      <c r="B16" s="7"/>
      <c r="C16" t="s" s="7">
        <v>151</v>
      </c>
    </row>
    <row r="17" spans="1:3">
      <c r="A17" s="7"/>
      <c r="B17" s="7"/>
      <c r="C17" s="7"/>
    </row>
    <row r="18" spans="1:3" ht="27.6">
      <c r="A18" t="s" s="7">
        <v>152</v>
      </c>
      <c r="B18" s="7"/>
      <c r="C18" t="s" s="7">
        <v>153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 t="s">
        <v>281</v>
      </c>
      <c r="B1" t="s">
        <v>282</v>
      </c>
      <c r="C1" t="s">
        <v>283</v>
      </c>
      <c r="D1" t="s">
        <v>284</v>
      </c>
      <c r="E1" t="s">
        <v>285</v>
      </c>
      <c r="F1" t="s">
        <v>286</v>
      </c>
      <c r="G1" t="s">
        <v>287</v>
      </c>
      <c r="H1" t="s">
        <v>288</v>
      </c>
      <c r="I1" t="s">
        <v>289</v>
      </c>
      <c r="J1" t="s">
        <v>290</v>
      </c>
      <c r="K1" t="s">
        <v>291</v>
      </c>
    </row>
    <row r="2">
      <c r="B2">
        <v>24</v>
      </c>
      <c r="C2" s="406">
        <v>46181</v>
      </c>
      <c r="D2" t="s">
        <v>6</v>
      </c>
      <c r="E2" t="s">
        <v>292</v>
      </c>
      <c r="F2" t="s">
        <v>160</v>
      </c>
      <c r="G2" s="407">
        <v>200</v>
      </c>
      <c r="H2" s="408">
        <v>27</v>
      </c>
      <c r="I2" s="409">
        <v>5400</v>
      </c>
      <c r="J2" t="s">
        <v>293</v>
      </c>
      <c r="K2">
        <v>27</v>
      </c>
    </row>
    <row r="3">
      <c r="B3">
        <v>24</v>
      </c>
      <c r="C3" s="410">
        <v>46181</v>
      </c>
      <c r="D3" t="s">
        <v>6</v>
      </c>
      <c r="E3" t="s">
        <v>292</v>
      </c>
      <c r="F3" t="s">
        <v>164</v>
      </c>
      <c r="G3" s="411">
        <v>300</v>
      </c>
      <c r="H3" s="412">
        <v>27</v>
      </c>
      <c r="I3" s="413">
        <v>8100</v>
      </c>
      <c r="J3" t="s">
        <v>293</v>
      </c>
      <c r="K3">
        <v>27</v>
      </c>
    </row>
    <row r="4">
      <c r="B4">
        <v>24</v>
      </c>
      <c r="C4" s="414">
        <v>46181</v>
      </c>
      <c r="D4" t="s">
        <v>6</v>
      </c>
      <c r="E4" t="s">
        <v>292</v>
      </c>
      <c r="F4" t="s">
        <v>95</v>
      </c>
      <c r="G4" s="415">
        <v>30</v>
      </c>
      <c r="H4" s="416">
        <v>27</v>
      </c>
      <c r="I4" s="417">
        <v>810</v>
      </c>
      <c r="J4" t="s">
        <v>293</v>
      </c>
      <c r="K4">
        <v>27</v>
      </c>
    </row>
    <row r="5">
      <c r="B5">
        <v>24</v>
      </c>
      <c r="C5" s="418">
        <v>46181</v>
      </c>
      <c r="D5" t="s">
        <v>6</v>
      </c>
      <c r="E5" t="s">
        <v>292</v>
      </c>
      <c r="F5" t="s">
        <v>165</v>
      </c>
      <c r="G5" s="419">
        <v>20</v>
      </c>
      <c r="H5" s="420">
        <v>27</v>
      </c>
      <c r="I5" s="421">
        <v>540</v>
      </c>
      <c r="J5" t="s">
        <v>293</v>
      </c>
      <c r="K5">
        <v>27</v>
      </c>
    </row>
    <row r="6">
      <c r="B6">
        <v>24</v>
      </c>
      <c r="C6" s="422">
        <v>46181</v>
      </c>
      <c r="D6" t="s">
        <v>6</v>
      </c>
      <c r="E6" t="s">
        <v>292</v>
      </c>
      <c r="F6" t="s">
        <v>181</v>
      </c>
      <c r="G6" s="423">
        <v>30</v>
      </c>
      <c r="H6" s="424">
        <v>27</v>
      </c>
      <c r="I6" s="425">
        <v>810</v>
      </c>
      <c r="J6" t="s">
        <v>293</v>
      </c>
      <c r="K6">
        <v>27</v>
      </c>
    </row>
    <row r="7">
      <c r="B7">
        <v>24</v>
      </c>
      <c r="C7" s="426">
        <v>46181</v>
      </c>
      <c r="D7" t="s">
        <v>6</v>
      </c>
      <c r="E7" t="s">
        <v>292</v>
      </c>
      <c r="F7" t="s">
        <v>86</v>
      </c>
      <c r="G7" s="427">
        <v>30</v>
      </c>
      <c r="H7" s="428">
        <v>27</v>
      </c>
      <c r="I7" s="429">
        <v>810</v>
      </c>
      <c r="J7" t="s">
        <v>293</v>
      </c>
      <c r="K7">
        <v>27</v>
      </c>
    </row>
    <row r="8">
      <c r="B8">
        <v>24</v>
      </c>
      <c r="C8" s="430">
        <v>46181</v>
      </c>
      <c r="D8" t="s">
        <v>6</v>
      </c>
      <c r="E8" t="s">
        <v>292</v>
      </c>
      <c r="F8" t="s">
        <v>198</v>
      </c>
      <c r="G8" s="431">
        <v>30</v>
      </c>
      <c r="H8" s="432">
        <v>27</v>
      </c>
      <c r="I8" s="433">
        <v>810</v>
      </c>
      <c r="J8" t="s">
        <v>293</v>
      </c>
      <c r="K8">
        <v>27</v>
      </c>
    </row>
    <row r="9">
      <c r="B9">
        <v>24</v>
      </c>
      <c r="C9" s="434">
        <v>46181</v>
      </c>
      <c r="D9" t="s">
        <v>8</v>
      </c>
      <c r="E9" t="s">
        <v>292</v>
      </c>
      <c r="F9" t="s">
        <v>95</v>
      </c>
      <c r="G9" s="435">
        <v>50</v>
      </c>
      <c r="H9" s="436">
        <v>27</v>
      </c>
      <c r="I9" s="437">
        <v>1350</v>
      </c>
      <c r="J9" t="s">
        <v>293</v>
      </c>
      <c r="K9">
        <v>27</v>
      </c>
    </row>
    <row r="10">
      <c r="B10">
        <v>24</v>
      </c>
      <c r="C10" s="438">
        <v>46181</v>
      </c>
      <c r="D10" t="s">
        <v>8</v>
      </c>
      <c r="E10" t="s">
        <v>292</v>
      </c>
      <c r="F10" t="s">
        <v>181</v>
      </c>
      <c r="G10" s="439">
        <v>50</v>
      </c>
      <c r="H10" s="440">
        <v>27</v>
      </c>
      <c r="I10" s="441">
        <v>1350</v>
      </c>
      <c r="J10" t="s">
        <v>293</v>
      </c>
      <c r="K10">
        <v>27</v>
      </c>
    </row>
    <row r="11">
      <c r="B11">
        <v>24</v>
      </c>
      <c r="C11" s="442">
        <v>46181</v>
      </c>
      <c r="D11" t="s">
        <v>8</v>
      </c>
      <c r="E11" t="s">
        <v>292</v>
      </c>
      <c r="F11" t="s">
        <v>100</v>
      </c>
      <c r="G11" s="443">
        <v>60</v>
      </c>
      <c r="H11" s="444">
        <v>27</v>
      </c>
      <c r="I11" s="445">
        <v>1620</v>
      </c>
      <c r="J11" t="s">
        <v>293</v>
      </c>
      <c r="K11">
        <v>27</v>
      </c>
    </row>
    <row r="12">
      <c r="B12">
        <v>24</v>
      </c>
      <c r="C12" s="446"/>
      <c r="D12" t="s">
        <v>210</v>
      </c>
      <c r="E12" t="s">
        <v>292</v>
      </c>
      <c r="F12" t="s">
        <v>95</v>
      </c>
      <c r="G12" s="447">
        <v>100</v>
      </c>
      <c r="H12" s="448">
        <v>27</v>
      </c>
      <c r="I12" s="449">
        <v>2700</v>
      </c>
      <c r="J12" t="s">
        <v>293</v>
      </c>
      <c r="K12">
        <v>27</v>
      </c>
    </row>
    <row r="13">
      <c r="B13">
        <v>24</v>
      </c>
      <c r="C13" s="450">
        <v>46181</v>
      </c>
      <c r="D13" t="s">
        <v>10</v>
      </c>
      <c r="E13" t="s">
        <v>292</v>
      </c>
      <c r="F13" t="s">
        <v>171</v>
      </c>
      <c r="G13" s="451">
        <v>250</v>
      </c>
      <c r="H13" s="452">
        <v>27</v>
      </c>
      <c r="I13" s="453">
        <v>6750</v>
      </c>
      <c r="J13" t="s">
        <v>293</v>
      </c>
      <c r="K13">
        <v>27</v>
      </c>
    </row>
    <row r="14">
      <c r="B14">
        <v>24</v>
      </c>
      <c r="C14" s="454">
        <v>46181</v>
      </c>
      <c r="D14" t="s">
        <v>10</v>
      </c>
      <c r="E14" t="s">
        <v>292</v>
      </c>
      <c r="F14" t="s">
        <v>173</v>
      </c>
      <c r="G14" s="455">
        <v>150</v>
      </c>
      <c r="H14" s="456">
        <v>27</v>
      </c>
      <c r="I14" s="457">
        <v>4050</v>
      </c>
      <c r="J14" t="s">
        <v>293</v>
      </c>
      <c r="K14">
        <v>27</v>
      </c>
    </row>
    <row r="15">
      <c r="B15">
        <v>24</v>
      </c>
      <c r="C15" s="458">
        <v>46181</v>
      </c>
      <c r="D15" t="s">
        <v>10</v>
      </c>
      <c r="E15" t="s">
        <v>292</v>
      </c>
      <c r="F15" t="s">
        <v>175</v>
      </c>
      <c r="G15" s="459">
        <v>40</v>
      </c>
      <c r="H15" s="460">
        <v>27</v>
      </c>
      <c r="I15" s="461">
        <v>1080</v>
      </c>
      <c r="J15" t="s">
        <v>293</v>
      </c>
      <c r="K15">
        <v>27</v>
      </c>
    </row>
    <row r="16">
      <c r="B16">
        <v>24</v>
      </c>
      <c r="C16" s="462">
        <v>46181</v>
      </c>
      <c r="D16" t="s">
        <v>10</v>
      </c>
      <c r="E16" t="s">
        <v>292</v>
      </c>
      <c r="F16" t="s">
        <v>177</v>
      </c>
      <c r="G16" s="463">
        <v>60</v>
      </c>
      <c r="H16" s="464">
        <v>27</v>
      </c>
      <c r="I16" s="465">
        <v>1620</v>
      </c>
      <c r="J16" t="s">
        <v>293</v>
      </c>
      <c r="K16">
        <v>27</v>
      </c>
    </row>
    <row r="17">
      <c r="B17">
        <v>24</v>
      </c>
      <c r="C17" s="466">
        <v>46181</v>
      </c>
      <c r="D17" t="s">
        <v>10</v>
      </c>
      <c r="E17" t="s">
        <v>292</v>
      </c>
      <c r="F17" t="s">
        <v>179</v>
      </c>
      <c r="G17" s="467">
        <v>100</v>
      </c>
      <c r="H17" s="468">
        <v>27</v>
      </c>
      <c r="I17" s="469">
        <v>2700</v>
      </c>
      <c r="J17" t="s">
        <v>293</v>
      </c>
      <c r="K17">
        <v>27</v>
      </c>
    </row>
    <row r="18">
      <c r="B18">
        <v>24</v>
      </c>
      <c r="C18" s="470">
        <v>46181</v>
      </c>
      <c r="D18" t="s">
        <v>10</v>
      </c>
      <c r="E18" t="s">
        <v>292</v>
      </c>
      <c r="F18" t="s">
        <v>182</v>
      </c>
      <c r="G18" s="471">
        <v>100</v>
      </c>
      <c r="H18" s="472">
        <v>27</v>
      </c>
      <c r="I18" s="473">
        <v>2700</v>
      </c>
      <c r="J18" t="s">
        <v>293</v>
      </c>
      <c r="K18">
        <v>27</v>
      </c>
    </row>
    <row r="19">
      <c r="B19">
        <v>24</v>
      </c>
      <c r="C19" s="474">
        <v>46181</v>
      </c>
      <c r="D19" t="s">
        <v>10</v>
      </c>
      <c r="E19" t="s">
        <v>292</v>
      </c>
      <c r="F19" t="s">
        <v>198</v>
      </c>
      <c r="G19" s="475">
        <v>20</v>
      </c>
      <c r="H19" s="476">
        <v>27</v>
      </c>
      <c r="I19" s="477">
        <v>540</v>
      </c>
      <c r="J19" t="s">
        <v>293</v>
      </c>
      <c r="K19">
        <v>27</v>
      </c>
    </row>
    <row r="20">
      <c r="B20">
        <v>24</v>
      </c>
      <c r="C20" s="478">
        <v>46181</v>
      </c>
      <c r="D20" t="s">
        <v>10</v>
      </c>
      <c r="E20" t="s">
        <v>292</v>
      </c>
      <c r="F20" t="s">
        <v>184</v>
      </c>
      <c r="G20" s="479">
        <v>50</v>
      </c>
      <c r="H20" s="480">
        <v>27</v>
      </c>
      <c r="I20" s="481">
        <v>1350</v>
      </c>
      <c r="J20" t="s">
        <v>293</v>
      </c>
      <c r="K20">
        <v>27</v>
      </c>
    </row>
    <row r="21">
      <c r="B21">
        <v>24</v>
      </c>
      <c r="C21" s="482">
        <v>46181</v>
      </c>
      <c r="D21" t="s">
        <v>10</v>
      </c>
      <c r="E21" t="s">
        <v>292</v>
      </c>
      <c r="F21" t="s">
        <v>186</v>
      </c>
      <c r="G21" s="483">
        <v>50</v>
      </c>
      <c r="H21" s="484">
        <v>27</v>
      </c>
      <c r="I21" s="485">
        <v>1350</v>
      </c>
      <c r="J21" t="s">
        <v>293</v>
      </c>
      <c r="K21">
        <v>27</v>
      </c>
    </row>
    <row r="22">
      <c r="B22">
        <v>24</v>
      </c>
      <c r="C22" s="486">
        <v>46181</v>
      </c>
      <c r="D22" t="s">
        <v>10</v>
      </c>
      <c r="E22" t="s">
        <v>292</v>
      </c>
      <c r="F22" t="s">
        <v>188</v>
      </c>
      <c r="G22" s="487">
        <v>50</v>
      </c>
      <c r="H22" s="488">
        <v>27</v>
      </c>
      <c r="I22" s="489">
        <v>1350</v>
      </c>
      <c r="J22" t="s">
        <v>293</v>
      </c>
      <c r="K22">
        <v>27</v>
      </c>
    </row>
    <row r="23">
      <c r="B23">
        <v>24</v>
      </c>
      <c r="C23" s="490">
        <v>46181</v>
      </c>
      <c r="D23" t="s">
        <v>10</v>
      </c>
      <c r="E23" t="s">
        <v>292</v>
      </c>
      <c r="F23" t="s">
        <v>190</v>
      </c>
      <c r="G23" s="491">
        <v>20</v>
      </c>
      <c r="H23" s="492">
        <v>27</v>
      </c>
      <c r="I23" s="493">
        <v>540</v>
      </c>
      <c r="J23" t="s">
        <v>293</v>
      </c>
      <c r="K23">
        <v>27</v>
      </c>
    </row>
    <row r="24">
      <c r="B24">
        <v>24</v>
      </c>
      <c r="C24" s="494">
        <v>46181</v>
      </c>
      <c r="D24" t="s">
        <v>10</v>
      </c>
      <c r="E24" t="s">
        <v>292</v>
      </c>
      <c r="F24" t="s">
        <v>192</v>
      </c>
      <c r="G24" s="495">
        <v>50</v>
      </c>
      <c r="H24" s="496">
        <v>27</v>
      </c>
      <c r="I24" s="497">
        <v>1350</v>
      </c>
      <c r="J24" t="s">
        <v>293</v>
      </c>
      <c r="K24">
        <v>27</v>
      </c>
    </row>
    <row r="25">
      <c r="B25">
        <v>24</v>
      </c>
      <c r="C25" s="498">
        <v>46181</v>
      </c>
      <c r="D25" t="s">
        <v>10</v>
      </c>
      <c r="E25" t="s">
        <v>292</v>
      </c>
      <c r="F25" t="s">
        <v>194</v>
      </c>
      <c r="G25" s="499">
        <v>40</v>
      </c>
      <c r="H25" s="500">
        <v>27</v>
      </c>
      <c r="I25" s="501">
        <v>1080</v>
      </c>
      <c r="J25" t="s">
        <v>293</v>
      </c>
      <c r="K25">
        <v>27</v>
      </c>
    </row>
    <row r="26">
      <c r="B26">
        <v>24</v>
      </c>
      <c r="C26" s="502">
        <v>46181</v>
      </c>
      <c r="D26" t="s">
        <v>10</v>
      </c>
      <c r="E26" t="s">
        <v>292</v>
      </c>
      <c r="F26" t="s">
        <v>196</v>
      </c>
      <c r="G26" s="503">
        <v>10</v>
      </c>
      <c r="H26" s="504">
        <v>27</v>
      </c>
      <c r="I26" s="505">
        <v>270</v>
      </c>
      <c r="J26" t="s">
        <v>293</v>
      </c>
      <c r="K26">
        <v>27</v>
      </c>
    </row>
    <row r="27">
      <c r="B27">
        <v>24</v>
      </c>
      <c r="C27" s="506">
        <v>46182</v>
      </c>
      <c r="D27" t="s">
        <v>10</v>
      </c>
      <c r="E27" t="s">
        <v>292</v>
      </c>
      <c r="F27" t="s">
        <v>171</v>
      </c>
      <c r="G27" s="507">
        <v>250</v>
      </c>
      <c r="H27" s="508">
        <v>27</v>
      </c>
      <c r="I27" s="509">
        <v>6750</v>
      </c>
      <c r="J27" t="s">
        <v>293</v>
      </c>
      <c r="K27">
        <v>27</v>
      </c>
    </row>
    <row r="28">
      <c r="B28">
        <v>24</v>
      </c>
      <c r="C28" s="510">
        <v>46182</v>
      </c>
      <c r="D28" t="s">
        <v>10</v>
      </c>
      <c r="E28" t="s">
        <v>292</v>
      </c>
      <c r="F28" t="s">
        <v>175</v>
      </c>
      <c r="G28" s="511">
        <v>40</v>
      </c>
      <c r="H28" s="512">
        <v>27</v>
      </c>
      <c r="I28" s="513">
        <v>1080</v>
      </c>
      <c r="J28" t="s">
        <v>293</v>
      </c>
      <c r="K28">
        <v>27</v>
      </c>
    </row>
    <row r="29">
      <c r="B29">
        <v>24</v>
      </c>
      <c r="C29" s="514">
        <v>46182</v>
      </c>
      <c r="D29" t="s">
        <v>10</v>
      </c>
      <c r="E29" t="s">
        <v>292</v>
      </c>
      <c r="F29" t="s">
        <v>177</v>
      </c>
      <c r="G29" s="515">
        <v>60</v>
      </c>
      <c r="H29" s="516">
        <v>27</v>
      </c>
      <c r="I29" s="517">
        <v>1620</v>
      </c>
      <c r="J29" t="s">
        <v>293</v>
      </c>
      <c r="K29">
        <v>27</v>
      </c>
    </row>
    <row r="30">
      <c r="B30">
        <v>24</v>
      </c>
      <c r="C30" s="518">
        <v>46182</v>
      </c>
      <c r="D30" t="s">
        <v>10</v>
      </c>
      <c r="E30" t="s">
        <v>292</v>
      </c>
      <c r="F30" t="s">
        <v>179</v>
      </c>
      <c r="G30" s="519">
        <v>100</v>
      </c>
      <c r="H30" s="520">
        <v>27</v>
      </c>
      <c r="I30" s="521">
        <v>2700</v>
      </c>
      <c r="J30" t="s">
        <v>293</v>
      </c>
      <c r="K30">
        <v>27</v>
      </c>
    </row>
    <row r="31">
      <c r="B31">
        <v>24</v>
      </c>
      <c r="C31" s="522">
        <v>46182</v>
      </c>
      <c r="D31" t="s">
        <v>10</v>
      </c>
      <c r="E31" t="s">
        <v>292</v>
      </c>
      <c r="F31" t="s">
        <v>182</v>
      </c>
      <c r="G31" s="523">
        <v>100</v>
      </c>
      <c r="H31" s="524">
        <v>27</v>
      </c>
      <c r="I31" s="525">
        <v>2700</v>
      </c>
      <c r="J31" t="s">
        <v>293</v>
      </c>
      <c r="K31">
        <v>27</v>
      </c>
    </row>
    <row r="32">
      <c r="B32">
        <v>24</v>
      </c>
      <c r="C32" s="526">
        <v>46182</v>
      </c>
      <c r="D32" t="s">
        <v>10</v>
      </c>
      <c r="E32" t="s">
        <v>292</v>
      </c>
      <c r="F32" t="s">
        <v>198</v>
      </c>
      <c r="G32" s="527">
        <v>20</v>
      </c>
      <c r="H32" s="528">
        <v>27</v>
      </c>
      <c r="I32" s="529">
        <v>540</v>
      </c>
      <c r="J32" t="s">
        <v>293</v>
      </c>
      <c r="K32">
        <v>27</v>
      </c>
    </row>
    <row r="33">
      <c r="B33">
        <v>24</v>
      </c>
      <c r="C33" s="530">
        <v>46182</v>
      </c>
      <c r="D33" t="s">
        <v>10</v>
      </c>
      <c r="E33" t="s">
        <v>292</v>
      </c>
      <c r="F33" t="s">
        <v>184</v>
      </c>
      <c r="G33" s="531">
        <v>50</v>
      </c>
      <c r="H33" s="532">
        <v>27</v>
      </c>
      <c r="I33" s="533">
        <v>1350</v>
      </c>
      <c r="J33" t="s">
        <v>293</v>
      </c>
      <c r="K33">
        <v>27</v>
      </c>
    </row>
    <row r="34">
      <c r="B34">
        <v>24</v>
      </c>
      <c r="C34" s="534">
        <v>46182</v>
      </c>
      <c r="D34" t="s">
        <v>10</v>
      </c>
      <c r="E34" t="s">
        <v>292</v>
      </c>
      <c r="F34" t="s">
        <v>186</v>
      </c>
      <c r="G34" s="535">
        <v>50</v>
      </c>
      <c r="H34" s="536">
        <v>27</v>
      </c>
      <c r="I34" s="537">
        <v>1350</v>
      </c>
      <c r="J34" t="s">
        <v>293</v>
      </c>
      <c r="K34">
        <v>27</v>
      </c>
    </row>
    <row r="35">
      <c r="B35">
        <v>24</v>
      </c>
      <c r="C35" s="538">
        <v>46182</v>
      </c>
      <c r="D35" t="s">
        <v>10</v>
      </c>
      <c r="E35" t="s">
        <v>292</v>
      </c>
      <c r="F35" t="s">
        <v>188</v>
      </c>
      <c r="G35" s="539">
        <v>50</v>
      </c>
      <c r="H35" s="540">
        <v>27</v>
      </c>
      <c r="I35" s="541">
        <v>1350</v>
      </c>
      <c r="J35" t="s">
        <v>293</v>
      </c>
      <c r="K35">
        <v>27</v>
      </c>
    </row>
    <row r="36">
      <c r="B36">
        <v>24</v>
      </c>
      <c r="C36" s="542">
        <v>46182</v>
      </c>
      <c r="D36" t="s">
        <v>10</v>
      </c>
      <c r="E36" t="s">
        <v>292</v>
      </c>
      <c r="F36" t="s">
        <v>192</v>
      </c>
      <c r="G36" s="543">
        <v>40</v>
      </c>
      <c r="H36" s="544">
        <v>27</v>
      </c>
      <c r="I36" s="545">
        <v>1080</v>
      </c>
      <c r="J36" t="s">
        <v>293</v>
      </c>
      <c r="K36">
        <v>27</v>
      </c>
    </row>
    <row r="37">
      <c r="B37">
        <v>24</v>
      </c>
      <c r="C37" s="546">
        <v>46182</v>
      </c>
      <c r="D37" t="s">
        <v>10</v>
      </c>
      <c r="E37" t="s">
        <v>292</v>
      </c>
      <c r="F37" t="s">
        <v>194</v>
      </c>
      <c r="G37" s="547">
        <v>30</v>
      </c>
      <c r="H37" s="548">
        <v>27</v>
      </c>
      <c r="I37" s="549">
        <v>810</v>
      </c>
      <c r="J37" t="s">
        <v>293</v>
      </c>
      <c r="K37">
        <v>27</v>
      </c>
    </row>
    <row r="38">
      <c r="B38">
        <v>24</v>
      </c>
      <c r="C38" s="550">
        <v>46182</v>
      </c>
      <c r="D38" t="s">
        <v>8</v>
      </c>
      <c r="E38" t="s">
        <v>292</v>
      </c>
      <c r="F38" t="s">
        <v>95</v>
      </c>
      <c r="G38" s="551">
        <v>50</v>
      </c>
      <c r="H38" s="552">
        <v>27</v>
      </c>
      <c r="I38" s="553">
        <v>1350</v>
      </c>
      <c r="J38" t="s">
        <v>293</v>
      </c>
      <c r="K38">
        <v>27</v>
      </c>
    </row>
    <row r="39">
      <c r="B39">
        <v>24</v>
      </c>
      <c r="C39" s="554">
        <v>46182</v>
      </c>
      <c r="D39" t="s">
        <v>8</v>
      </c>
      <c r="E39" t="s">
        <v>292</v>
      </c>
      <c r="F39" t="s">
        <v>181</v>
      </c>
      <c r="G39" s="555">
        <v>50</v>
      </c>
      <c r="H39" s="556">
        <v>27</v>
      </c>
      <c r="I39" s="557">
        <v>1350</v>
      </c>
      <c r="J39" t="s">
        <v>293</v>
      </c>
      <c r="K39">
        <v>27</v>
      </c>
    </row>
    <row r="40">
      <c r="B40">
        <v>24</v>
      </c>
      <c r="C40" s="558">
        <v>46182</v>
      </c>
      <c r="D40" t="s">
        <v>8</v>
      </c>
      <c r="E40" t="s">
        <v>292</v>
      </c>
      <c r="F40" t="s">
        <v>100</v>
      </c>
      <c r="G40" s="559">
        <v>60</v>
      </c>
      <c r="H40" s="560">
        <v>27</v>
      </c>
      <c r="I40" s="561">
        <v>1620</v>
      </c>
      <c r="J40" t="s">
        <v>293</v>
      </c>
      <c r="K40">
        <v>27</v>
      </c>
    </row>
    <row r="41">
      <c r="B41">
        <v>24</v>
      </c>
      <c r="C41" s="562">
        <v>46182</v>
      </c>
      <c r="D41" t="s">
        <v>8</v>
      </c>
      <c r="E41" t="s">
        <v>292</v>
      </c>
      <c r="F41" t="s">
        <v>200</v>
      </c>
      <c r="G41" s="563">
        <v>50</v>
      </c>
      <c r="H41" s="564">
        <v>27</v>
      </c>
      <c r="I41" s="565">
        <v>1350</v>
      </c>
      <c r="J41" t="s">
        <v>293</v>
      </c>
      <c r="K41">
        <v>27</v>
      </c>
    </row>
    <row r="42">
      <c r="B42">
        <v>24</v>
      </c>
      <c r="C42" s="566"/>
      <c r="D42" t="s">
        <v>210</v>
      </c>
      <c r="E42" t="s">
        <v>292</v>
      </c>
      <c r="F42" t="s">
        <v>95</v>
      </c>
      <c r="G42" s="567">
        <v>100</v>
      </c>
      <c r="H42" s="568">
        <v>27</v>
      </c>
      <c r="I42" s="569">
        <v>2700</v>
      </c>
      <c r="J42" t="s">
        <v>293</v>
      </c>
      <c r="K42">
        <v>27</v>
      </c>
    </row>
    <row r="43">
      <c r="B43">
        <v>24</v>
      </c>
      <c r="C43" s="570">
        <v>46183</v>
      </c>
      <c r="D43" t="s">
        <v>6</v>
      </c>
      <c r="E43" t="s">
        <v>292</v>
      </c>
      <c r="F43" t="s">
        <v>164</v>
      </c>
      <c r="G43" s="571">
        <v>250</v>
      </c>
      <c r="H43" s="572">
        <v>27</v>
      </c>
      <c r="I43" s="573">
        <v>6750</v>
      </c>
      <c r="J43" t="s">
        <v>293</v>
      </c>
      <c r="K43">
        <v>27</v>
      </c>
    </row>
    <row r="44">
      <c r="B44">
        <v>24</v>
      </c>
      <c r="C44" s="574">
        <v>46183</v>
      </c>
      <c r="D44" t="s">
        <v>6</v>
      </c>
      <c r="E44" t="s">
        <v>292</v>
      </c>
      <c r="F44" t="s">
        <v>95</v>
      </c>
      <c r="G44" s="575">
        <v>30</v>
      </c>
      <c r="H44" s="576">
        <v>27</v>
      </c>
      <c r="I44" s="577">
        <v>810</v>
      </c>
      <c r="J44" t="s">
        <v>293</v>
      </c>
      <c r="K44">
        <v>27</v>
      </c>
    </row>
    <row r="45">
      <c r="B45">
        <v>24</v>
      </c>
      <c r="C45" s="578">
        <v>46183</v>
      </c>
      <c r="D45" t="s">
        <v>6</v>
      </c>
      <c r="E45" t="s">
        <v>292</v>
      </c>
      <c r="F45" t="s">
        <v>165</v>
      </c>
      <c r="G45" s="579">
        <v>20</v>
      </c>
      <c r="H45" s="580">
        <v>27</v>
      </c>
      <c r="I45" s="581">
        <v>540</v>
      </c>
      <c r="J45" t="s">
        <v>293</v>
      </c>
      <c r="K45">
        <v>27</v>
      </c>
    </row>
    <row r="46">
      <c r="B46">
        <v>24</v>
      </c>
      <c r="C46" s="582">
        <v>46183</v>
      </c>
      <c r="D46" t="s">
        <v>6</v>
      </c>
      <c r="E46" t="s">
        <v>292</v>
      </c>
      <c r="F46" t="s">
        <v>192</v>
      </c>
      <c r="G46" s="583">
        <v>20</v>
      </c>
      <c r="H46" s="584">
        <v>27</v>
      </c>
      <c r="I46" s="585">
        <v>540</v>
      </c>
      <c r="J46" t="s">
        <v>293</v>
      </c>
      <c r="K46">
        <v>27</v>
      </c>
    </row>
    <row r="47">
      <c r="B47">
        <v>24</v>
      </c>
      <c r="C47" s="586">
        <v>46184</v>
      </c>
      <c r="D47" t="s">
        <v>8</v>
      </c>
      <c r="E47" t="s">
        <v>292</v>
      </c>
      <c r="F47" t="s">
        <v>100</v>
      </c>
      <c r="G47" s="587">
        <v>80</v>
      </c>
      <c r="H47" s="588">
        <v>27</v>
      </c>
      <c r="I47" s="589">
        <v>2160</v>
      </c>
      <c r="J47" t="s">
        <v>293</v>
      </c>
      <c r="K47">
        <v>27</v>
      </c>
    </row>
    <row r="48">
      <c r="B48">
        <v>24</v>
      </c>
      <c r="C48" s="590">
        <v>46184</v>
      </c>
      <c r="D48" t="s">
        <v>8</v>
      </c>
      <c r="E48" t="s">
        <v>292</v>
      </c>
      <c r="F48" t="s">
        <v>190</v>
      </c>
      <c r="G48" s="591">
        <v>80</v>
      </c>
      <c r="H48" s="592">
        <v>27</v>
      </c>
      <c r="I48" s="593">
        <v>2160</v>
      </c>
      <c r="J48" t="s">
        <v>293</v>
      </c>
      <c r="K48">
        <v>27</v>
      </c>
    </row>
    <row r="49">
      <c r="B49">
        <v>24</v>
      </c>
      <c r="C49" s="594">
        <v>46184</v>
      </c>
      <c r="D49" t="s">
        <v>8</v>
      </c>
      <c r="E49" t="s">
        <v>292</v>
      </c>
      <c r="F49" t="s">
        <v>95</v>
      </c>
      <c r="G49" s="595">
        <v>70</v>
      </c>
      <c r="H49" s="596">
        <v>27</v>
      </c>
      <c r="I49" s="597">
        <v>1890</v>
      </c>
      <c r="J49" t="s">
        <v>293</v>
      </c>
      <c r="K49">
        <v>27</v>
      </c>
    </row>
    <row r="50">
      <c r="B50">
        <v>24</v>
      </c>
      <c r="C50" s="598">
        <v>46184</v>
      </c>
      <c r="D50" t="s">
        <v>8</v>
      </c>
      <c r="E50" t="s">
        <v>292</v>
      </c>
      <c r="F50" t="s">
        <v>200</v>
      </c>
      <c r="G50" s="599">
        <v>40</v>
      </c>
      <c r="H50" s="600">
        <v>27</v>
      </c>
      <c r="I50" s="601">
        <v>1080</v>
      </c>
      <c r="J50" t="s">
        <v>293</v>
      </c>
      <c r="K50">
        <v>27</v>
      </c>
    </row>
    <row r="51">
      <c r="B51">
        <v>24</v>
      </c>
      <c r="C51" s="602">
        <v>46184</v>
      </c>
      <c r="D51" t="s">
        <v>8</v>
      </c>
      <c r="E51" t="s">
        <v>292</v>
      </c>
      <c r="F51" t="s">
        <v>160</v>
      </c>
      <c r="G51" s="603">
        <v>150</v>
      </c>
      <c r="H51" s="604">
        <v>27</v>
      </c>
      <c r="I51" s="605">
        <v>4050</v>
      </c>
      <c r="J51" t="s">
        <v>293</v>
      </c>
      <c r="K51">
        <v>27</v>
      </c>
    </row>
    <row r="52">
      <c r="B52">
        <v>24</v>
      </c>
      <c r="C52" s="606">
        <v>46184</v>
      </c>
      <c r="D52" t="s">
        <v>8</v>
      </c>
      <c r="E52" t="s">
        <v>292</v>
      </c>
      <c r="F52" t="s">
        <v>198</v>
      </c>
      <c r="G52" s="607">
        <v>30</v>
      </c>
      <c r="H52" s="608">
        <v>27</v>
      </c>
      <c r="I52" s="609">
        <v>810</v>
      </c>
      <c r="J52" t="s">
        <v>293</v>
      </c>
      <c r="K52">
        <v>27</v>
      </c>
    </row>
    <row r="53">
      <c r="B53">
        <v>24</v>
      </c>
      <c r="C53" s="610">
        <v>46184</v>
      </c>
      <c r="D53" t="s">
        <v>8</v>
      </c>
      <c r="E53" t="s">
        <v>292</v>
      </c>
      <c r="F53" t="s">
        <v>196</v>
      </c>
      <c r="G53" s="611">
        <v>10</v>
      </c>
      <c r="H53" s="612">
        <v>27</v>
      </c>
      <c r="I53" s="613">
        <v>270</v>
      </c>
      <c r="J53" t="s">
        <v>293</v>
      </c>
      <c r="K53">
        <v>27</v>
      </c>
    </row>
    <row r="54">
      <c r="B54">
        <v>24</v>
      </c>
      <c r="C54" s="614"/>
      <c r="D54" t="s">
        <v>210</v>
      </c>
      <c r="E54" t="s">
        <v>292</v>
      </c>
      <c r="F54" t="s">
        <v>95</v>
      </c>
      <c r="G54" s="615">
        <v>50</v>
      </c>
      <c r="H54" s="616">
        <v>27</v>
      </c>
      <c r="I54" s="617">
        <v>1350</v>
      </c>
      <c r="J54" t="s">
        <v>293</v>
      </c>
      <c r="K54">
        <v>27</v>
      </c>
    </row>
    <row r="55">
      <c r="B55">
        <v>24</v>
      </c>
      <c r="C55" s="618"/>
      <c r="D55" t="s">
        <v>210</v>
      </c>
      <c r="E55" t="s">
        <v>292</v>
      </c>
      <c r="F55" t="s">
        <v>96</v>
      </c>
      <c r="G55" s="619">
        <v>10</v>
      </c>
      <c r="H55" s="620">
        <v>27</v>
      </c>
      <c r="I55" s="621">
        <v>270</v>
      </c>
      <c r="J55" t="s">
        <v>293</v>
      </c>
      <c r="K55">
        <v>27</v>
      </c>
    </row>
    <row r="56">
      <c r="B56">
        <v>24</v>
      </c>
      <c r="C56" s="622"/>
      <c r="D56" t="s">
        <v>210</v>
      </c>
      <c r="E56" t="s">
        <v>292</v>
      </c>
      <c r="F56" t="s">
        <v>198</v>
      </c>
      <c r="G56" s="623">
        <v>10</v>
      </c>
      <c r="H56" s="624">
        <v>27</v>
      </c>
      <c r="I56" s="625">
        <v>270</v>
      </c>
      <c r="J56" t="s">
        <v>293</v>
      </c>
      <c r="K56">
        <v>27</v>
      </c>
    </row>
    <row r="57">
      <c r="B57">
        <v>24</v>
      </c>
      <c r="C57" s="626">
        <v>46185</v>
      </c>
      <c r="D57" t="s">
        <v>6</v>
      </c>
      <c r="E57" t="s">
        <v>292</v>
      </c>
      <c r="F57" t="s">
        <v>164</v>
      </c>
      <c r="G57" s="627">
        <v>250</v>
      </c>
      <c r="H57" s="628">
        <v>27</v>
      </c>
      <c r="I57" s="629">
        <v>6750</v>
      </c>
      <c r="J57" t="s">
        <v>293</v>
      </c>
      <c r="K57">
        <v>27</v>
      </c>
    </row>
    <row r="58">
      <c r="B58">
        <v>24</v>
      </c>
      <c r="C58" s="630">
        <v>46185</v>
      </c>
      <c r="D58" t="s">
        <v>6</v>
      </c>
      <c r="E58" t="s">
        <v>292</v>
      </c>
      <c r="F58" t="s">
        <v>160</v>
      </c>
      <c r="G58" s="631">
        <v>150</v>
      </c>
      <c r="H58" s="632">
        <v>27</v>
      </c>
      <c r="I58" s="633">
        <v>4050</v>
      </c>
      <c r="J58" t="s">
        <v>293</v>
      </c>
      <c r="K58">
        <v>27</v>
      </c>
    </row>
    <row r="59">
      <c r="B59">
        <v>24</v>
      </c>
      <c r="C59" s="634">
        <v>46185</v>
      </c>
      <c r="D59" t="s">
        <v>6</v>
      </c>
      <c r="E59" t="s">
        <v>292</v>
      </c>
      <c r="F59" t="s">
        <v>86</v>
      </c>
      <c r="G59" s="635">
        <v>40</v>
      </c>
      <c r="H59" s="636">
        <v>27</v>
      </c>
      <c r="I59" s="637">
        <v>1080</v>
      </c>
      <c r="J59" t="s">
        <v>293</v>
      </c>
      <c r="K59">
        <v>27</v>
      </c>
    </row>
    <row r="60">
      <c r="B60">
        <v>24</v>
      </c>
      <c r="C60" s="638">
        <v>46185</v>
      </c>
      <c r="D60" t="s">
        <v>6</v>
      </c>
      <c r="E60" t="s">
        <v>292</v>
      </c>
      <c r="F60" t="s">
        <v>181</v>
      </c>
      <c r="G60" s="639">
        <v>30</v>
      </c>
      <c r="H60" s="640">
        <v>27</v>
      </c>
      <c r="I60" s="641">
        <v>810</v>
      </c>
      <c r="J60" t="s">
        <v>293</v>
      </c>
      <c r="K60">
        <v>27</v>
      </c>
    </row>
    <row r="61">
      <c r="B61">
        <v>24</v>
      </c>
      <c r="C61" s="642">
        <v>46185</v>
      </c>
      <c r="D61" t="s">
        <v>6</v>
      </c>
      <c r="E61" t="s">
        <v>292</v>
      </c>
      <c r="F61" t="s">
        <v>95</v>
      </c>
      <c r="G61" s="643">
        <v>30</v>
      </c>
      <c r="H61" s="644">
        <v>27</v>
      </c>
      <c r="I61" s="645">
        <v>810</v>
      </c>
      <c r="J61" t="s">
        <v>293</v>
      </c>
      <c r="K61">
        <v>27</v>
      </c>
    </row>
    <row r="62">
      <c r="B62">
        <v>24</v>
      </c>
      <c r="C62" s="646">
        <v>46185</v>
      </c>
      <c r="D62" t="s">
        <v>6</v>
      </c>
      <c r="E62" t="s">
        <v>292</v>
      </c>
      <c r="F62" t="s">
        <v>165</v>
      </c>
      <c r="G62" s="647">
        <v>20</v>
      </c>
      <c r="H62" s="648">
        <v>27</v>
      </c>
      <c r="I62" s="649">
        <v>540</v>
      </c>
      <c r="J62" t="s">
        <v>293</v>
      </c>
      <c r="K62">
        <v>27</v>
      </c>
    </row>
    <row r="63">
      <c r="B63">
        <v>24</v>
      </c>
      <c r="C63" s="650">
        <v>46185</v>
      </c>
      <c r="D63" t="s">
        <v>6</v>
      </c>
      <c r="E63" t="s">
        <v>292</v>
      </c>
      <c r="F63" t="s">
        <v>192</v>
      </c>
      <c r="G63" s="651">
        <v>20</v>
      </c>
      <c r="H63" s="652">
        <v>27</v>
      </c>
      <c r="I63" s="653">
        <v>540</v>
      </c>
      <c r="J63" t="s">
        <v>293</v>
      </c>
      <c r="K63">
        <v>27</v>
      </c>
    </row>
    <row r="64">
      <c r="B64">
        <v>24</v>
      </c>
      <c r="C64" s="654">
        <v>46185</v>
      </c>
      <c r="D64" t="s">
        <v>10</v>
      </c>
      <c r="E64" t="s">
        <v>292</v>
      </c>
      <c r="F64" t="s">
        <v>171</v>
      </c>
      <c r="G64" s="655">
        <v>250</v>
      </c>
      <c r="H64" s="656">
        <v>27</v>
      </c>
      <c r="I64" s="657">
        <v>6750</v>
      </c>
      <c r="J64" t="s">
        <v>293</v>
      </c>
      <c r="K64">
        <v>27</v>
      </c>
    </row>
    <row r="65">
      <c r="B65">
        <v>24</v>
      </c>
      <c r="C65" s="658">
        <v>46185</v>
      </c>
      <c r="D65" t="s">
        <v>10</v>
      </c>
      <c r="E65" t="s">
        <v>292</v>
      </c>
      <c r="F65" t="s">
        <v>175</v>
      </c>
      <c r="G65" s="659">
        <v>40</v>
      </c>
      <c r="H65" s="660">
        <v>27</v>
      </c>
      <c r="I65" s="661">
        <v>1080</v>
      </c>
      <c r="J65" t="s">
        <v>293</v>
      </c>
      <c r="K65">
        <v>27</v>
      </c>
    </row>
    <row r="66">
      <c r="B66">
        <v>24</v>
      </c>
      <c r="C66" s="662">
        <v>46185</v>
      </c>
      <c r="D66" t="s">
        <v>10</v>
      </c>
      <c r="E66" t="s">
        <v>292</v>
      </c>
      <c r="F66" t="s">
        <v>177</v>
      </c>
      <c r="G66" s="663">
        <v>60</v>
      </c>
      <c r="H66" s="664">
        <v>27</v>
      </c>
      <c r="I66" s="665">
        <v>1620</v>
      </c>
      <c r="J66" t="s">
        <v>293</v>
      </c>
      <c r="K66">
        <v>27</v>
      </c>
    </row>
    <row r="67">
      <c r="B67">
        <v>24</v>
      </c>
      <c r="C67" s="666">
        <v>46185</v>
      </c>
      <c r="D67" t="s">
        <v>10</v>
      </c>
      <c r="E67" t="s">
        <v>292</v>
      </c>
      <c r="F67" t="s">
        <v>182</v>
      </c>
      <c r="G67" s="667">
        <v>100</v>
      </c>
      <c r="H67" s="668">
        <v>27</v>
      </c>
      <c r="I67" s="669">
        <v>2700</v>
      </c>
      <c r="J67" t="s">
        <v>293</v>
      </c>
      <c r="K67">
        <v>27</v>
      </c>
    </row>
    <row r="68">
      <c r="B68">
        <v>24</v>
      </c>
      <c r="C68" s="670">
        <v>46185</v>
      </c>
      <c r="D68" t="s">
        <v>10</v>
      </c>
      <c r="E68" t="s">
        <v>292</v>
      </c>
      <c r="F68" t="s">
        <v>198</v>
      </c>
      <c r="G68" s="671">
        <v>20</v>
      </c>
      <c r="H68" s="672">
        <v>27</v>
      </c>
      <c r="I68" s="673">
        <v>540</v>
      </c>
      <c r="J68" t="s">
        <v>293</v>
      </c>
      <c r="K68">
        <v>27</v>
      </c>
    </row>
    <row r="69">
      <c r="B69">
        <v>24</v>
      </c>
      <c r="C69" s="674">
        <v>46185</v>
      </c>
      <c r="D69" t="s">
        <v>10</v>
      </c>
      <c r="E69" t="s">
        <v>292</v>
      </c>
      <c r="F69" t="s">
        <v>184</v>
      </c>
      <c r="G69" s="675">
        <v>50</v>
      </c>
      <c r="H69" s="676">
        <v>27</v>
      </c>
      <c r="I69" s="677">
        <v>1350</v>
      </c>
      <c r="J69" t="s">
        <v>293</v>
      </c>
      <c r="K69">
        <v>27</v>
      </c>
    </row>
    <row r="70">
      <c r="B70">
        <v>24</v>
      </c>
      <c r="C70" s="678">
        <v>46185</v>
      </c>
      <c r="D70" t="s">
        <v>10</v>
      </c>
      <c r="E70" t="s">
        <v>292</v>
      </c>
      <c r="F70" t="s">
        <v>186</v>
      </c>
      <c r="G70" s="679">
        <v>50</v>
      </c>
      <c r="H70" s="680">
        <v>27</v>
      </c>
      <c r="I70" s="681">
        <v>1350</v>
      </c>
      <c r="J70" t="s">
        <v>293</v>
      </c>
      <c r="K70">
        <v>27</v>
      </c>
    </row>
    <row r="71">
      <c r="B71">
        <v>24</v>
      </c>
      <c r="C71" s="682">
        <v>46185</v>
      </c>
      <c r="D71" t="s">
        <v>10</v>
      </c>
      <c r="E71" t="s">
        <v>292</v>
      </c>
      <c r="F71" t="s">
        <v>188</v>
      </c>
      <c r="G71" s="683">
        <v>50</v>
      </c>
      <c r="H71" s="684">
        <v>27</v>
      </c>
      <c r="I71" s="685">
        <v>1350</v>
      </c>
      <c r="J71" t="s">
        <v>293</v>
      </c>
      <c r="K71">
        <v>27</v>
      </c>
    </row>
    <row r="72">
      <c r="B72">
        <v>25</v>
      </c>
      <c r="C72" s="686">
        <v>46188</v>
      </c>
      <c r="D72" t="s">
        <v>6</v>
      </c>
      <c r="E72" t="s">
        <v>292</v>
      </c>
      <c r="F72" t="s">
        <v>171</v>
      </c>
      <c r="G72" s="687">
        <v>250</v>
      </c>
      <c r="H72" s="688">
        <v>27</v>
      </c>
      <c r="I72" s="689">
        <v>6750</v>
      </c>
      <c r="J72" t="s">
        <v>293</v>
      </c>
      <c r="K72">
        <v>27</v>
      </c>
    </row>
    <row r="73">
      <c r="B73">
        <v>25</v>
      </c>
      <c r="C73" s="690">
        <v>46188</v>
      </c>
      <c r="D73" t="s">
        <v>6</v>
      </c>
      <c r="E73" t="s">
        <v>292</v>
      </c>
      <c r="F73" t="s">
        <v>182</v>
      </c>
      <c r="G73" s="691">
        <v>100</v>
      </c>
      <c r="H73" s="692">
        <v>27</v>
      </c>
      <c r="I73" s="693">
        <v>2700</v>
      </c>
      <c r="J73" t="s">
        <v>293</v>
      </c>
      <c r="K73">
        <v>27</v>
      </c>
    </row>
    <row r="74">
      <c r="B74">
        <v>25</v>
      </c>
      <c r="C74" s="694">
        <v>46188</v>
      </c>
      <c r="D74" t="s">
        <v>6</v>
      </c>
      <c r="E74" t="s">
        <v>292</v>
      </c>
      <c r="F74" t="s">
        <v>184</v>
      </c>
      <c r="G74" s="695">
        <v>50</v>
      </c>
      <c r="H74" s="696">
        <v>27</v>
      </c>
      <c r="I74" s="697">
        <v>1350</v>
      </c>
      <c r="J74" t="s">
        <v>293</v>
      </c>
      <c r="K74">
        <v>27</v>
      </c>
    </row>
    <row r="75">
      <c r="B75">
        <v>25</v>
      </c>
      <c r="C75" s="698">
        <v>46188</v>
      </c>
      <c r="D75" t="s">
        <v>6</v>
      </c>
      <c r="E75" t="s">
        <v>292</v>
      </c>
      <c r="F75" t="s">
        <v>198</v>
      </c>
      <c r="G75" s="699">
        <v>20</v>
      </c>
      <c r="H75" s="700">
        <v>27</v>
      </c>
      <c r="I75" s="701">
        <v>540</v>
      </c>
      <c r="J75" t="s">
        <v>293</v>
      </c>
      <c r="K75">
        <v>27</v>
      </c>
    </row>
    <row r="76">
      <c r="B76">
        <v>25</v>
      </c>
      <c r="C76" s="702">
        <v>46188</v>
      </c>
      <c r="D76" t="s">
        <v>6</v>
      </c>
      <c r="E76" t="s">
        <v>292</v>
      </c>
      <c r="F76" t="s">
        <v>186</v>
      </c>
      <c r="G76" s="703">
        <v>50</v>
      </c>
      <c r="H76" s="704">
        <v>27</v>
      </c>
      <c r="I76" s="705">
        <v>1350</v>
      </c>
      <c r="J76" t="s">
        <v>293</v>
      </c>
      <c r="K76">
        <v>27</v>
      </c>
    </row>
    <row r="77">
      <c r="B77">
        <v>25</v>
      </c>
      <c r="C77" s="706">
        <v>46188</v>
      </c>
      <c r="D77" t="s">
        <v>6</v>
      </c>
      <c r="E77" t="s">
        <v>292</v>
      </c>
      <c r="F77" t="s">
        <v>175</v>
      </c>
      <c r="G77" s="707">
        <v>40</v>
      </c>
      <c r="H77" s="708">
        <v>27</v>
      </c>
      <c r="I77" s="709">
        <v>1080</v>
      </c>
      <c r="J77" t="s">
        <v>293</v>
      </c>
      <c r="K77">
        <v>27</v>
      </c>
    </row>
    <row r="78">
      <c r="B78">
        <v>25</v>
      </c>
      <c r="C78" s="710">
        <v>46188</v>
      </c>
      <c r="D78" t="s">
        <v>6</v>
      </c>
      <c r="E78" t="s">
        <v>292</v>
      </c>
      <c r="F78" t="s">
        <v>95</v>
      </c>
      <c r="G78" s="711">
        <v>60</v>
      </c>
      <c r="H78" s="712">
        <v>27</v>
      </c>
      <c r="I78" s="713">
        <v>1620</v>
      </c>
      <c r="J78" t="s">
        <v>293</v>
      </c>
      <c r="K78">
        <v>27</v>
      </c>
    </row>
    <row r="79">
      <c r="B79">
        <v>25</v>
      </c>
      <c r="C79" s="714">
        <v>46188</v>
      </c>
      <c r="D79" t="s">
        <v>6</v>
      </c>
      <c r="E79" t="s">
        <v>292</v>
      </c>
      <c r="F79" t="s">
        <v>188</v>
      </c>
      <c r="G79" s="715">
        <v>50</v>
      </c>
      <c r="H79" s="716">
        <v>27</v>
      </c>
      <c r="I79" s="717">
        <v>1350</v>
      </c>
      <c r="J79" t="s">
        <v>293</v>
      </c>
      <c r="K79">
        <v>27</v>
      </c>
    </row>
    <row r="80">
      <c r="B80">
        <v>25</v>
      </c>
      <c r="C80" s="718">
        <v>46188</v>
      </c>
      <c r="D80" t="s">
        <v>8</v>
      </c>
      <c r="E80" t="s">
        <v>292</v>
      </c>
      <c r="F80" t="s">
        <v>160</v>
      </c>
      <c r="G80" s="719">
        <v>90</v>
      </c>
      <c r="H80" s="720">
        <v>27</v>
      </c>
      <c r="I80" s="721">
        <v>2430</v>
      </c>
      <c r="J80" t="s">
        <v>293</v>
      </c>
      <c r="K80">
        <v>27</v>
      </c>
    </row>
    <row r="81">
      <c r="B81">
        <v>25</v>
      </c>
      <c r="C81" s="722">
        <v>46188</v>
      </c>
      <c r="D81" t="s">
        <v>8</v>
      </c>
      <c r="E81" t="s">
        <v>292</v>
      </c>
      <c r="F81" t="s">
        <v>181</v>
      </c>
      <c r="G81" s="723">
        <v>40</v>
      </c>
      <c r="H81" s="724">
        <v>27</v>
      </c>
      <c r="I81" s="725">
        <v>1080</v>
      </c>
      <c r="J81" t="s">
        <v>293</v>
      </c>
      <c r="K81">
        <v>27</v>
      </c>
    </row>
    <row r="82">
      <c r="B82">
        <v>25</v>
      </c>
      <c r="C82" s="726">
        <v>46188</v>
      </c>
      <c r="D82" t="s">
        <v>8</v>
      </c>
      <c r="E82" t="s">
        <v>292</v>
      </c>
      <c r="F82" t="s">
        <v>165</v>
      </c>
      <c r="G82" s="727">
        <v>40</v>
      </c>
      <c r="H82" s="728">
        <v>27</v>
      </c>
      <c r="I82" s="729">
        <v>1080</v>
      </c>
      <c r="J82" t="s">
        <v>293</v>
      </c>
      <c r="K82">
        <v>27</v>
      </c>
    </row>
    <row r="83">
      <c r="B83">
        <v>25</v>
      </c>
      <c r="C83" s="730"/>
      <c r="D83" t="s">
        <v>210</v>
      </c>
      <c r="E83" t="s">
        <v>292</v>
      </c>
      <c r="F83" t="s">
        <v>95</v>
      </c>
      <c r="G83" s="731">
        <v>70</v>
      </c>
      <c r="H83" s="732">
        <v>27</v>
      </c>
      <c r="I83" s="733">
        <v>1890</v>
      </c>
      <c r="J83" t="s">
        <v>293</v>
      </c>
      <c r="K83">
        <v>27</v>
      </c>
    </row>
    <row r="84">
      <c r="B84">
        <v>25</v>
      </c>
      <c r="C84" s="734"/>
      <c r="D84" t="s">
        <v>210</v>
      </c>
      <c r="E84" t="s">
        <v>292</v>
      </c>
      <c r="F84" t="s">
        <v>164</v>
      </c>
      <c r="G84" s="735">
        <v>200</v>
      </c>
      <c r="H84" s="736">
        <v>27</v>
      </c>
      <c r="I84" s="737">
        <v>5400</v>
      </c>
      <c r="J84" t="s">
        <v>293</v>
      </c>
      <c r="K84">
        <v>27</v>
      </c>
    </row>
    <row r="85">
      <c r="B85">
        <v>25</v>
      </c>
      <c r="C85" s="738"/>
      <c r="D85" t="s">
        <v>210</v>
      </c>
      <c r="E85" t="s">
        <v>292</v>
      </c>
      <c r="F85" t="s">
        <v>200</v>
      </c>
      <c r="G85" s="739">
        <v>40</v>
      </c>
      <c r="H85" s="740">
        <v>27</v>
      </c>
      <c r="I85" s="741">
        <v>1080</v>
      </c>
      <c r="J85" t="s">
        <v>293</v>
      </c>
      <c r="K85">
        <v>27</v>
      </c>
    </row>
    <row r="86">
      <c r="B86">
        <v>25</v>
      </c>
      <c r="C86" s="742">
        <v>46189</v>
      </c>
      <c r="D86" t="s">
        <v>8</v>
      </c>
      <c r="E86" t="s">
        <v>292</v>
      </c>
      <c r="F86" t="s">
        <v>198</v>
      </c>
      <c r="G86" s="743">
        <v>25</v>
      </c>
      <c r="H86" s="744">
        <v>27</v>
      </c>
      <c r="I86" s="745">
        <v>675</v>
      </c>
      <c r="J86" t="s">
        <v>293</v>
      </c>
      <c r="K86">
        <v>27</v>
      </c>
    </row>
    <row r="87">
      <c r="B87">
        <v>25</v>
      </c>
      <c r="C87" s="746">
        <v>46189</v>
      </c>
      <c r="D87" t="s">
        <v>8</v>
      </c>
      <c r="E87" t="s">
        <v>292</v>
      </c>
      <c r="F87" t="s">
        <v>100</v>
      </c>
      <c r="G87" s="747">
        <v>60</v>
      </c>
      <c r="H87" s="748">
        <v>27</v>
      </c>
      <c r="I87" s="749">
        <v>1620</v>
      </c>
      <c r="J87" t="s">
        <v>293</v>
      </c>
      <c r="K87">
        <v>27</v>
      </c>
    </row>
    <row r="88">
      <c r="B88">
        <v>25</v>
      </c>
      <c r="C88" s="750">
        <v>46189</v>
      </c>
      <c r="D88" t="s">
        <v>8</v>
      </c>
      <c r="E88" t="s">
        <v>292</v>
      </c>
      <c r="F88" t="s">
        <v>184</v>
      </c>
      <c r="G88" s="751">
        <v>50</v>
      </c>
      <c r="H88" s="752">
        <v>27</v>
      </c>
      <c r="I88" s="753">
        <v>1350</v>
      </c>
      <c r="J88" t="s">
        <v>293</v>
      </c>
      <c r="K88">
        <v>27</v>
      </c>
    </row>
    <row r="89">
      <c r="B89">
        <v>25</v>
      </c>
      <c r="C89" s="754">
        <v>46189</v>
      </c>
      <c r="D89" t="s">
        <v>8</v>
      </c>
      <c r="E89" t="s">
        <v>292</v>
      </c>
      <c r="F89" t="s">
        <v>164</v>
      </c>
      <c r="G89" s="755">
        <v>250</v>
      </c>
      <c r="H89" s="756">
        <v>27</v>
      </c>
      <c r="I89" s="757">
        <v>6750</v>
      </c>
      <c r="J89" t="s">
        <v>293</v>
      </c>
      <c r="K89">
        <v>27</v>
      </c>
    </row>
    <row r="90">
      <c r="B90">
        <v>25</v>
      </c>
      <c r="C90" s="758">
        <v>46189</v>
      </c>
      <c r="D90" t="s">
        <v>8</v>
      </c>
      <c r="E90" t="s">
        <v>292</v>
      </c>
      <c r="F90" t="s">
        <v>165</v>
      </c>
      <c r="G90" s="759">
        <v>70</v>
      </c>
      <c r="H90" s="760">
        <v>27</v>
      </c>
      <c r="I90" s="761">
        <v>1890</v>
      </c>
      <c r="J90" t="s">
        <v>293</v>
      </c>
      <c r="K90">
        <v>27</v>
      </c>
    </row>
    <row r="91">
      <c r="B91">
        <v>25</v>
      </c>
      <c r="C91" s="762">
        <v>46189</v>
      </c>
      <c r="D91" t="s">
        <v>8</v>
      </c>
      <c r="E91" t="s">
        <v>292</v>
      </c>
      <c r="F91" t="s">
        <v>95</v>
      </c>
      <c r="G91" s="763">
        <v>50</v>
      </c>
      <c r="H91" s="764">
        <v>27</v>
      </c>
      <c r="I91" s="765">
        <v>1350</v>
      </c>
      <c r="J91" t="s">
        <v>293</v>
      </c>
      <c r="K91">
        <v>27</v>
      </c>
    </row>
    <row r="92">
      <c r="B92">
        <v>25</v>
      </c>
      <c r="C92" s="766">
        <v>46189</v>
      </c>
      <c r="D92" t="s">
        <v>6</v>
      </c>
      <c r="E92" t="s">
        <v>292</v>
      </c>
      <c r="F92" t="s">
        <v>171</v>
      </c>
      <c r="G92" s="767">
        <v>250</v>
      </c>
      <c r="H92" s="768">
        <v>27</v>
      </c>
      <c r="I92" s="769">
        <v>6750</v>
      </c>
      <c r="J92" t="s">
        <v>293</v>
      </c>
      <c r="K92">
        <v>27</v>
      </c>
    </row>
    <row r="93">
      <c r="B93">
        <v>25</v>
      </c>
      <c r="C93" s="770">
        <v>46189</v>
      </c>
      <c r="D93" t="s">
        <v>6</v>
      </c>
      <c r="E93" t="s">
        <v>292</v>
      </c>
      <c r="F93" t="s">
        <v>182</v>
      </c>
      <c r="G93" s="771">
        <v>200</v>
      </c>
      <c r="H93" s="772">
        <v>27</v>
      </c>
      <c r="I93" s="773">
        <v>5400</v>
      </c>
      <c r="J93" t="s">
        <v>293</v>
      </c>
      <c r="K93">
        <v>27</v>
      </c>
    </row>
    <row r="94">
      <c r="B94">
        <v>25</v>
      </c>
      <c r="C94" s="774">
        <v>46189</v>
      </c>
      <c r="D94" t="s">
        <v>6</v>
      </c>
      <c r="E94" t="s">
        <v>292</v>
      </c>
      <c r="F94" t="s">
        <v>198</v>
      </c>
      <c r="G94" s="775">
        <v>20</v>
      </c>
      <c r="H94" s="776">
        <v>27</v>
      </c>
      <c r="I94" s="777">
        <v>540</v>
      </c>
      <c r="J94" t="s">
        <v>293</v>
      </c>
      <c r="K94">
        <v>27</v>
      </c>
    </row>
    <row r="95">
      <c r="B95">
        <v>25</v>
      </c>
      <c r="C95" s="778">
        <v>46189</v>
      </c>
      <c r="D95" t="s">
        <v>6</v>
      </c>
      <c r="E95" t="s">
        <v>292</v>
      </c>
      <c r="F95" t="s">
        <v>184</v>
      </c>
      <c r="G95" s="779">
        <v>50</v>
      </c>
      <c r="H95" s="780">
        <v>27</v>
      </c>
      <c r="I95" s="781">
        <v>1350</v>
      </c>
      <c r="J95" t="s">
        <v>293</v>
      </c>
      <c r="K95">
        <v>27</v>
      </c>
    </row>
    <row r="96">
      <c r="B96">
        <v>25</v>
      </c>
      <c r="C96" s="782">
        <v>46189</v>
      </c>
      <c r="D96" t="s">
        <v>6</v>
      </c>
      <c r="E96" t="s">
        <v>292</v>
      </c>
      <c r="F96" t="s">
        <v>181</v>
      </c>
      <c r="G96" s="783">
        <v>50</v>
      </c>
      <c r="H96" s="784">
        <v>27</v>
      </c>
      <c r="I96" s="785">
        <v>1350</v>
      </c>
      <c r="J96" t="s">
        <v>293</v>
      </c>
      <c r="K96">
        <v>27</v>
      </c>
    </row>
    <row r="97">
      <c r="B97">
        <v>25</v>
      </c>
      <c r="C97" s="786">
        <v>46189</v>
      </c>
      <c r="D97" t="s">
        <v>6</v>
      </c>
      <c r="E97" t="s">
        <v>292</v>
      </c>
      <c r="F97" t="s">
        <v>175</v>
      </c>
      <c r="G97" s="787">
        <v>40</v>
      </c>
      <c r="H97" s="788">
        <v>27</v>
      </c>
      <c r="I97" s="789">
        <v>1080</v>
      </c>
      <c r="J97" t="s">
        <v>293</v>
      </c>
      <c r="K97">
        <v>27</v>
      </c>
    </row>
    <row r="98">
      <c r="B98">
        <v>25</v>
      </c>
      <c r="C98" s="790">
        <v>46189</v>
      </c>
      <c r="D98" t="s">
        <v>6</v>
      </c>
      <c r="E98" t="s">
        <v>292</v>
      </c>
      <c r="F98" t="s">
        <v>95</v>
      </c>
      <c r="G98" s="791">
        <v>50</v>
      </c>
      <c r="H98" s="792">
        <v>27</v>
      </c>
      <c r="I98" s="793">
        <v>1350</v>
      </c>
      <c r="J98" t="s">
        <v>293</v>
      </c>
      <c r="K98">
        <v>27</v>
      </c>
    </row>
    <row r="99">
      <c r="B99">
        <v>25</v>
      </c>
      <c r="C99" s="794">
        <v>46189</v>
      </c>
      <c r="D99" t="s">
        <v>6</v>
      </c>
      <c r="E99" t="s">
        <v>292</v>
      </c>
      <c r="F99" t="s">
        <v>188</v>
      </c>
      <c r="G99" s="795">
        <v>50</v>
      </c>
      <c r="H99" s="796">
        <v>27</v>
      </c>
      <c r="I99" s="797">
        <v>1350</v>
      </c>
      <c r="J99" t="s">
        <v>293</v>
      </c>
      <c r="K99">
        <v>27</v>
      </c>
    </row>
    <row r="100">
      <c r="B100">
        <v>25</v>
      </c>
      <c r="C100" s="798">
        <v>46190</v>
      </c>
      <c r="D100" t="s">
        <v>8</v>
      </c>
      <c r="E100" t="s">
        <v>292</v>
      </c>
      <c r="F100" t="s">
        <v>102</v>
      </c>
      <c r="G100" s="799">
        <v>50</v>
      </c>
      <c r="H100" s="800">
        <v>27</v>
      </c>
      <c r="I100" s="801">
        <v>1350</v>
      </c>
      <c r="J100" t="s">
        <v>293</v>
      </c>
      <c r="K100">
        <v>27</v>
      </c>
    </row>
    <row r="101">
      <c r="B101">
        <v>25</v>
      </c>
      <c r="C101" s="802">
        <v>46190</v>
      </c>
      <c r="D101" t="s">
        <v>8</v>
      </c>
      <c r="E101" t="s">
        <v>292</v>
      </c>
      <c r="F101" t="s">
        <v>181</v>
      </c>
      <c r="G101" s="803">
        <v>30</v>
      </c>
      <c r="H101" s="804">
        <v>27</v>
      </c>
      <c r="I101" s="805">
        <v>810</v>
      </c>
      <c r="J101" t="s">
        <v>293</v>
      </c>
      <c r="K101">
        <v>27</v>
      </c>
    </row>
    <row r="102">
      <c r="B102">
        <v>25</v>
      </c>
      <c r="C102" s="806">
        <v>46190</v>
      </c>
      <c r="D102" t="s">
        <v>8</v>
      </c>
      <c r="E102" t="s">
        <v>292</v>
      </c>
      <c r="F102" t="s">
        <v>200</v>
      </c>
      <c r="G102" s="807">
        <v>50</v>
      </c>
      <c r="H102" s="808">
        <v>27</v>
      </c>
      <c r="I102" s="809">
        <v>1350</v>
      </c>
      <c r="J102" t="s">
        <v>293</v>
      </c>
      <c r="K102">
        <v>27</v>
      </c>
    </row>
    <row r="103">
      <c r="B103">
        <v>25</v>
      </c>
      <c r="C103" s="810">
        <v>46190</v>
      </c>
      <c r="D103" t="s">
        <v>8</v>
      </c>
      <c r="E103" t="s">
        <v>292</v>
      </c>
      <c r="F103" t="s">
        <v>160</v>
      </c>
      <c r="G103" s="811">
        <v>130</v>
      </c>
      <c r="H103" s="812">
        <v>27</v>
      </c>
      <c r="I103" s="813">
        <v>3510</v>
      </c>
      <c r="J103" t="s">
        <v>293</v>
      </c>
      <c r="K103">
        <v>27</v>
      </c>
    </row>
    <row r="104">
      <c r="B104">
        <v>25</v>
      </c>
      <c r="C104" s="814">
        <v>46190</v>
      </c>
      <c r="D104" t="s">
        <v>8</v>
      </c>
      <c r="E104" t="s">
        <v>292</v>
      </c>
      <c r="F104" t="s">
        <v>198</v>
      </c>
      <c r="G104" s="815">
        <v>20</v>
      </c>
      <c r="H104" s="816">
        <v>27</v>
      </c>
      <c r="I104" s="817">
        <v>540</v>
      </c>
      <c r="J104" t="s">
        <v>293</v>
      </c>
      <c r="K104">
        <v>27</v>
      </c>
    </row>
    <row r="105">
      <c r="B105">
        <v>25</v>
      </c>
      <c r="C105" s="818">
        <v>46190</v>
      </c>
      <c r="D105" t="s">
        <v>8</v>
      </c>
      <c r="E105" t="s">
        <v>292</v>
      </c>
      <c r="F105" t="s">
        <v>196</v>
      </c>
      <c r="G105" s="819">
        <v>160</v>
      </c>
      <c r="H105" s="820">
        <v>27</v>
      </c>
      <c r="I105" s="821">
        <v>4320</v>
      </c>
      <c r="J105" t="s">
        <v>293</v>
      </c>
      <c r="K105">
        <v>27</v>
      </c>
    </row>
    <row r="106">
      <c r="B106">
        <v>25</v>
      </c>
      <c r="C106" s="822">
        <v>46190</v>
      </c>
      <c r="D106" t="s">
        <v>8</v>
      </c>
      <c r="E106" t="s">
        <v>292</v>
      </c>
      <c r="F106" t="s">
        <v>100</v>
      </c>
      <c r="G106" s="823">
        <v>70</v>
      </c>
      <c r="H106" s="824">
        <v>27</v>
      </c>
      <c r="I106" s="825">
        <v>1890</v>
      </c>
      <c r="J106" t="s">
        <v>293</v>
      </c>
      <c r="K106">
        <v>27</v>
      </c>
    </row>
    <row r="107">
      <c r="B107">
        <v>25</v>
      </c>
      <c r="C107" s="826">
        <v>46190</v>
      </c>
      <c r="D107" t="s">
        <v>8</v>
      </c>
      <c r="E107" t="s">
        <v>292</v>
      </c>
      <c r="F107" t="s">
        <v>164</v>
      </c>
      <c r="G107" s="827">
        <v>250</v>
      </c>
      <c r="H107" s="828">
        <v>27</v>
      </c>
      <c r="I107" s="829">
        <v>6750</v>
      </c>
      <c r="J107" t="s">
        <v>293</v>
      </c>
      <c r="K107">
        <v>27</v>
      </c>
    </row>
    <row r="108">
      <c r="B108">
        <v>25</v>
      </c>
      <c r="C108" s="830">
        <v>46190</v>
      </c>
      <c r="D108" t="s">
        <v>8</v>
      </c>
      <c r="E108" t="s">
        <v>292</v>
      </c>
      <c r="F108" t="s">
        <v>102</v>
      </c>
      <c r="G108" s="831">
        <v>150</v>
      </c>
      <c r="H108" s="832">
        <v>27</v>
      </c>
      <c r="I108" s="833">
        <v>4050</v>
      </c>
      <c r="J108" t="s">
        <v>293</v>
      </c>
      <c r="K108">
        <v>27</v>
      </c>
    </row>
    <row r="109">
      <c r="B109">
        <v>25</v>
      </c>
      <c r="C109" s="834">
        <v>46190</v>
      </c>
      <c r="D109" t="s">
        <v>6</v>
      </c>
      <c r="E109" t="s">
        <v>292</v>
      </c>
      <c r="F109" t="s">
        <v>171</v>
      </c>
      <c r="G109" s="835">
        <v>250</v>
      </c>
      <c r="H109" s="836">
        <v>27</v>
      </c>
      <c r="I109" s="837">
        <v>6750</v>
      </c>
      <c r="J109" t="s">
        <v>293</v>
      </c>
      <c r="K109">
        <v>27</v>
      </c>
    </row>
    <row r="110">
      <c r="B110">
        <v>25</v>
      </c>
      <c r="C110" s="838">
        <v>46190</v>
      </c>
      <c r="D110" t="s">
        <v>6</v>
      </c>
      <c r="E110" t="s">
        <v>292</v>
      </c>
      <c r="F110" t="s">
        <v>182</v>
      </c>
      <c r="G110" s="839">
        <v>100</v>
      </c>
      <c r="H110" s="840">
        <v>27</v>
      </c>
      <c r="I110" s="841">
        <v>2700</v>
      </c>
      <c r="J110" t="s">
        <v>293</v>
      </c>
      <c r="K110">
        <v>27</v>
      </c>
    </row>
    <row r="111">
      <c r="B111">
        <v>25</v>
      </c>
      <c r="C111" s="842">
        <v>46190</v>
      </c>
      <c r="D111" t="s">
        <v>6</v>
      </c>
      <c r="E111" t="s">
        <v>292</v>
      </c>
      <c r="F111" t="s">
        <v>198</v>
      </c>
      <c r="G111" s="843">
        <v>20</v>
      </c>
      <c r="H111" s="844">
        <v>27</v>
      </c>
      <c r="I111" s="845">
        <v>540</v>
      </c>
      <c r="J111" t="s">
        <v>293</v>
      </c>
      <c r="K111">
        <v>27</v>
      </c>
    </row>
    <row r="112">
      <c r="B112">
        <v>25</v>
      </c>
      <c r="C112" s="846">
        <v>46190</v>
      </c>
      <c r="D112" t="s">
        <v>6</v>
      </c>
      <c r="E112" t="s">
        <v>292</v>
      </c>
      <c r="F112" t="s">
        <v>184</v>
      </c>
      <c r="G112" s="847">
        <v>50</v>
      </c>
      <c r="H112" s="848">
        <v>27</v>
      </c>
      <c r="I112" s="849">
        <v>1350</v>
      </c>
      <c r="J112" t="s">
        <v>293</v>
      </c>
      <c r="K112">
        <v>27</v>
      </c>
    </row>
    <row r="113">
      <c r="B113">
        <v>25</v>
      </c>
      <c r="C113" s="850">
        <v>46190</v>
      </c>
      <c r="D113" t="s">
        <v>6</v>
      </c>
      <c r="E113" t="s">
        <v>292</v>
      </c>
      <c r="F113" t="s">
        <v>181</v>
      </c>
      <c r="G113" s="851">
        <v>50</v>
      </c>
      <c r="H113" s="852">
        <v>27</v>
      </c>
      <c r="I113" s="853">
        <v>1350</v>
      </c>
      <c r="J113" t="s">
        <v>293</v>
      </c>
      <c r="K113">
        <v>27</v>
      </c>
    </row>
    <row r="114">
      <c r="B114">
        <v>25</v>
      </c>
      <c r="C114" s="854">
        <v>46190</v>
      </c>
      <c r="D114" t="s">
        <v>6</v>
      </c>
      <c r="E114" t="s">
        <v>292</v>
      </c>
      <c r="F114" t="s">
        <v>175</v>
      </c>
      <c r="G114" s="855">
        <v>30</v>
      </c>
      <c r="H114" s="856">
        <v>27</v>
      </c>
      <c r="I114" s="857">
        <v>810</v>
      </c>
      <c r="J114" t="s">
        <v>293</v>
      </c>
      <c r="K114">
        <v>27</v>
      </c>
    </row>
    <row r="115">
      <c r="B115">
        <v>25</v>
      </c>
      <c r="C115" s="858">
        <v>46190</v>
      </c>
      <c r="D115" t="s">
        <v>6</v>
      </c>
      <c r="E115" t="s">
        <v>292</v>
      </c>
      <c r="F115" t="s">
        <v>95</v>
      </c>
      <c r="G115" s="859">
        <v>80</v>
      </c>
      <c r="H115" s="860">
        <v>27</v>
      </c>
      <c r="I115" s="861">
        <v>2160</v>
      </c>
      <c r="J115" t="s">
        <v>293</v>
      </c>
      <c r="K115">
        <v>27</v>
      </c>
    </row>
    <row r="116">
      <c r="B116">
        <v>25</v>
      </c>
      <c r="C116" s="862">
        <v>46190</v>
      </c>
      <c r="D116" t="s">
        <v>6</v>
      </c>
      <c r="E116" t="s">
        <v>292</v>
      </c>
      <c r="F116" t="s">
        <v>188</v>
      </c>
      <c r="G116" s="863">
        <v>50</v>
      </c>
      <c r="H116" s="864">
        <v>27</v>
      </c>
      <c r="I116" s="865">
        <v>1350</v>
      </c>
      <c r="J116" t="s">
        <v>293</v>
      </c>
      <c r="K116">
        <v>27</v>
      </c>
    </row>
    <row r="117">
      <c r="B117">
        <v>25</v>
      </c>
      <c r="C117" s="866">
        <v>46190</v>
      </c>
      <c r="D117" t="s">
        <v>210</v>
      </c>
      <c r="E117" t="s">
        <v>292</v>
      </c>
      <c r="F117" t="s">
        <v>95</v>
      </c>
      <c r="G117" s="867">
        <v>70</v>
      </c>
      <c r="H117" s="868">
        <v>27</v>
      </c>
      <c r="I117" s="869">
        <v>1890</v>
      </c>
      <c r="J117" t="s">
        <v>293</v>
      </c>
      <c r="K117">
        <v>27</v>
      </c>
    </row>
    <row r="118">
      <c r="B118">
        <v>25</v>
      </c>
      <c r="C118" s="870">
        <v>46190</v>
      </c>
      <c r="D118" t="s">
        <v>210</v>
      </c>
      <c r="E118" t="s">
        <v>292</v>
      </c>
      <c r="F118" t="s">
        <v>95</v>
      </c>
      <c r="G118" s="871">
        <v>70</v>
      </c>
      <c r="H118" s="872">
        <v>27</v>
      </c>
      <c r="I118" s="873">
        <v>1890</v>
      </c>
      <c r="J118" t="s">
        <v>293</v>
      </c>
      <c r="K118">
        <v>27</v>
      </c>
    </row>
    <row r="119">
      <c r="B119">
        <v>25</v>
      </c>
      <c r="C119" s="874">
        <v>46190</v>
      </c>
      <c r="D119" t="s">
        <v>210</v>
      </c>
      <c r="E119" t="s">
        <v>292</v>
      </c>
      <c r="F119" t="s">
        <v>164</v>
      </c>
      <c r="G119" s="875">
        <v>200</v>
      </c>
      <c r="H119" s="876">
        <v>27</v>
      </c>
      <c r="I119" s="877">
        <v>5400</v>
      </c>
      <c r="J119" t="s">
        <v>293</v>
      </c>
      <c r="K119">
        <v>27</v>
      </c>
    </row>
    <row r="120">
      <c r="B120">
        <v>25</v>
      </c>
      <c r="C120" s="878">
        <v>46190</v>
      </c>
      <c r="D120" t="s">
        <v>210</v>
      </c>
      <c r="E120" t="s">
        <v>292</v>
      </c>
      <c r="F120" t="s">
        <v>200</v>
      </c>
      <c r="G120" s="879">
        <v>20</v>
      </c>
      <c r="H120" s="880">
        <v>27</v>
      </c>
      <c r="I120" s="881">
        <v>540</v>
      </c>
      <c r="J120" t="s">
        <v>293</v>
      </c>
      <c r="K120">
        <v>27</v>
      </c>
    </row>
    <row r="121">
      <c r="B121">
        <v>25</v>
      </c>
      <c r="C121" s="882">
        <v>46191</v>
      </c>
      <c r="D121" t="s">
        <v>6</v>
      </c>
      <c r="E121" t="s">
        <v>292</v>
      </c>
      <c r="F121" t="s">
        <v>171</v>
      </c>
      <c r="G121" s="883">
        <v>250</v>
      </c>
      <c r="H121" s="884">
        <v>27</v>
      </c>
      <c r="I121" s="885">
        <v>6750</v>
      </c>
      <c r="J121" t="s">
        <v>293</v>
      </c>
      <c r="K121">
        <v>27</v>
      </c>
    </row>
    <row r="122">
      <c r="B122">
        <v>25</v>
      </c>
      <c r="C122" s="886">
        <v>46191</v>
      </c>
      <c r="D122" t="s">
        <v>6</v>
      </c>
      <c r="E122" t="s">
        <v>292</v>
      </c>
      <c r="F122" t="s">
        <v>182</v>
      </c>
      <c r="G122" s="887">
        <v>100</v>
      </c>
      <c r="H122" s="888">
        <v>27</v>
      </c>
      <c r="I122" s="889">
        <v>2700</v>
      </c>
      <c r="J122" t="s">
        <v>293</v>
      </c>
      <c r="K122">
        <v>27</v>
      </c>
    </row>
    <row r="123">
      <c r="B123">
        <v>25</v>
      </c>
      <c r="C123" s="890">
        <v>46191</v>
      </c>
      <c r="D123" t="s">
        <v>6</v>
      </c>
      <c r="E123" t="s">
        <v>292</v>
      </c>
      <c r="F123" t="s">
        <v>198</v>
      </c>
      <c r="G123" s="891">
        <v>20</v>
      </c>
      <c r="H123" s="892">
        <v>27</v>
      </c>
      <c r="I123" s="893">
        <v>540</v>
      </c>
      <c r="J123" t="s">
        <v>293</v>
      </c>
      <c r="K123">
        <v>27</v>
      </c>
    </row>
    <row r="124">
      <c r="B124">
        <v>25</v>
      </c>
      <c r="C124" s="894">
        <v>46191</v>
      </c>
      <c r="D124" t="s">
        <v>6</v>
      </c>
      <c r="E124" t="s">
        <v>292</v>
      </c>
      <c r="F124" t="s">
        <v>184</v>
      </c>
      <c r="G124" s="895">
        <v>40</v>
      </c>
      <c r="H124" s="896">
        <v>27</v>
      </c>
      <c r="I124" s="897">
        <v>1080</v>
      </c>
      <c r="J124" t="s">
        <v>293</v>
      </c>
      <c r="K124">
        <v>27</v>
      </c>
    </row>
    <row r="125">
      <c r="B125">
        <v>25</v>
      </c>
      <c r="C125" s="898">
        <v>46191</v>
      </c>
      <c r="D125" t="s">
        <v>6</v>
      </c>
      <c r="E125" t="s">
        <v>292</v>
      </c>
      <c r="F125" t="s">
        <v>181</v>
      </c>
      <c r="G125" s="899">
        <v>40</v>
      </c>
      <c r="H125" s="900">
        <v>27</v>
      </c>
      <c r="I125" s="901">
        <v>1080</v>
      </c>
      <c r="J125" t="s">
        <v>293</v>
      </c>
      <c r="K125">
        <v>27</v>
      </c>
    </row>
    <row r="126">
      <c r="B126">
        <v>25</v>
      </c>
      <c r="C126" s="902">
        <v>46191</v>
      </c>
      <c r="D126" t="s">
        <v>6</v>
      </c>
      <c r="E126" t="s">
        <v>292</v>
      </c>
      <c r="F126" t="s">
        <v>175</v>
      </c>
      <c r="G126" s="903">
        <v>30</v>
      </c>
      <c r="H126" s="904">
        <v>27</v>
      </c>
      <c r="I126" s="905">
        <v>810</v>
      </c>
      <c r="J126" t="s">
        <v>293</v>
      </c>
      <c r="K126">
        <v>27</v>
      </c>
    </row>
    <row r="127">
      <c r="B127">
        <v>25</v>
      </c>
      <c r="C127" s="906">
        <v>46191</v>
      </c>
      <c r="D127" t="s">
        <v>6</v>
      </c>
      <c r="E127" t="s">
        <v>292</v>
      </c>
      <c r="F127" t="s">
        <v>95</v>
      </c>
      <c r="G127" s="907">
        <v>70</v>
      </c>
      <c r="H127" s="908">
        <v>27</v>
      </c>
      <c r="I127" s="909">
        <v>1890</v>
      </c>
      <c r="J127" t="s">
        <v>293</v>
      </c>
      <c r="K127">
        <v>27</v>
      </c>
    </row>
    <row r="128">
      <c r="B128">
        <v>25</v>
      </c>
      <c r="C128" s="910">
        <v>46191</v>
      </c>
      <c r="D128" t="s">
        <v>6</v>
      </c>
      <c r="E128" t="s">
        <v>292</v>
      </c>
      <c r="F128" t="s">
        <v>188</v>
      </c>
      <c r="G128" s="911">
        <v>40</v>
      </c>
      <c r="H128" s="912">
        <v>27</v>
      </c>
      <c r="I128" s="913">
        <v>1080</v>
      </c>
      <c r="J128" t="s">
        <v>293</v>
      </c>
      <c r="K128">
        <v>27</v>
      </c>
    </row>
    <row r="129">
      <c r="B129">
        <v>25</v>
      </c>
      <c r="C129" s="914">
        <v>46191</v>
      </c>
      <c r="D129" t="s">
        <v>8</v>
      </c>
      <c r="E129" t="s">
        <v>292</v>
      </c>
      <c r="F129" t="s">
        <v>190</v>
      </c>
      <c r="G129" s="915">
        <v>80</v>
      </c>
      <c r="H129" s="916">
        <v>27</v>
      </c>
      <c r="I129" s="917">
        <v>2160</v>
      </c>
      <c r="J129" t="s">
        <v>293</v>
      </c>
      <c r="K129">
        <v>27</v>
      </c>
    </row>
    <row r="130">
      <c r="B130">
        <v>26</v>
      </c>
      <c r="C130" s="918">
        <v>38887</v>
      </c>
      <c r="D130" t="s">
        <v>224</v>
      </c>
      <c r="E130" t="s">
        <v>292</v>
      </c>
      <c r="F130" t="s">
        <v>192</v>
      </c>
      <c r="G130" s="919">
        <v>100</v>
      </c>
      <c r="H130" s="920">
        <v>27</v>
      </c>
      <c r="I130" s="921">
        <v>2700</v>
      </c>
      <c r="J130" t="s">
        <v>293</v>
      </c>
      <c r="K130">
        <v>27</v>
      </c>
    </row>
    <row r="131">
      <c r="B131">
        <v>26</v>
      </c>
      <c r="C131" s="922">
        <v>38887</v>
      </c>
      <c r="D131" t="s">
        <v>224</v>
      </c>
      <c r="E131" t="s">
        <v>292</v>
      </c>
      <c r="F131" t="s">
        <v>294</v>
      </c>
      <c r="G131" s="923">
        <v>200</v>
      </c>
      <c r="H131" s="924">
        <v>27</v>
      </c>
      <c r="I131" s="925">
        <v>5400</v>
      </c>
      <c r="J131" t="s">
        <v>293</v>
      </c>
      <c r="K131">
        <v>27</v>
      </c>
    </row>
    <row r="132">
      <c r="B132">
        <v>26</v>
      </c>
      <c r="C132" s="926">
        <v>38887</v>
      </c>
      <c r="D132" t="s">
        <v>224</v>
      </c>
      <c r="E132" t="s">
        <v>292</v>
      </c>
      <c r="F132" t="s">
        <v>217</v>
      </c>
      <c r="G132" s="927">
        <v>100</v>
      </c>
      <c r="H132" s="928">
        <v>27</v>
      </c>
      <c r="I132" s="929">
        <v>2700</v>
      </c>
      <c r="J132" t="s">
        <v>293</v>
      </c>
      <c r="K132">
        <v>27</v>
      </c>
    </row>
    <row r="133">
      <c r="B133">
        <v>26</v>
      </c>
      <c r="C133" s="930">
        <v>38887</v>
      </c>
      <c r="D133" t="s">
        <v>224</v>
      </c>
      <c r="E133" t="s">
        <v>292</v>
      </c>
      <c r="F133" t="s">
        <v>295</v>
      </c>
      <c r="G133" s="931">
        <v>100</v>
      </c>
      <c r="H133" s="932">
        <v>27</v>
      </c>
      <c r="I133" s="933">
        <v>2700</v>
      </c>
      <c r="J133" t="s">
        <v>293</v>
      </c>
      <c r="K133">
        <v>27</v>
      </c>
    </row>
    <row r="134">
      <c r="B134">
        <v>26</v>
      </c>
      <c r="C134" s="934">
        <v>38887</v>
      </c>
      <c r="D134" t="s">
        <v>8</v>
      </c>
      <c r="E134" t="s">
        <v>292</v>
      </c>
      <c r="F134" t="s">
        <v>95</v>
      </c>
      <c r="G134" s="935">
        <v>80</v>
      </c>
      <c r="H134" s="936">
        <v>27</v>
      </c>
      <c r="I134" s="937">
        <v>2160</v>
      </c>
      <c r="J134" t="s">
        <v>293</v>
      </c>
      <c r="K134">
        <v>27</v>
      </c>
    </row>
    <row r="135">
      <c r="B135">
        <v>26</v>
      </c>
      <c r="C135" s="938">
        <v>38887</v>
      </c>
      <c r="D135" t="s">
        <v>8</v>
      </c>
      <c r="E135" t="s">
        <v>292</v>
      </c>
      <c r="F135" t="s">
        <v>184</v>
      </c>
      <c r="G135" s="939">
        <v>50</v>
      </c>
      <c r="H135" s="940">
        <v>27</v>
      </c>
      <c r="I135" s="941">
        <v>1350</v>
      </c>
      <c r="J135" t="s">
        <v>293</v>
      </c>
      <c r="K135">
        <v>27</v>
      </c>
    </row>
    <row r="136">
      <c r="B136">
        <v>26</v>
      </c>
      <c r="C136" s="942">
        <v>38887</v>
      </c>
      <c r="D136" t="s">
        <v>8</v>
      </c>
      <c r="E136" t="s">
        <v>292</v>
      </c>
      <c r="F136" t="s">
        <v>186</v>
      </c>
      <c r="G136" s="943">
        <v>30</v>
      </c>
      <c r="H136" s="944">
        <v>27</v>
      </c>
      <c r="I136" s="945">
        <v>810</v>
      </c>
      <c r="J136" t="s">
        <v>293</v>
      </c>
      <c r="K136">
        <v>27</v>
      </c>
    </row>
    <row r="137">
      <c r="B137">
        <v>26</v>
      </c>
      <c r="C137" s="946">
        <v>38887</v>
      </c>
      <c r="D137" t="s">
        <v>8</v>
      </c>
      <c r="E137" t="s">
        <v>292</v>
      </c>
      <c r="F137" t="s">
        <v>165</v>
      </c>
      <c r="G137" s="947">
        <v>50</v>
      </c>
      <c r="H137" s="948">
        <v>27</v>
      </c>
      <c r="I137" s="949">
        <v>1350</v>
      </c>
      <c r="J137" t="s">
        <v>293</v>
      </c>
      <c r="K137">
        <v>27</v>
      </c>
    </row>
    <row r="138">
      <c r="B138">
        <v>26</v>
      </c>
      <c r="C138" s="950">
        <v>38887</v>
      </c>
      <c r="D138" t="s">
        <v>8</v>
      </c>
      <c r="E138" t="s">
        <v>292</v>
      </c>
      <c r="F138" t="s">
        <v>102</v>
      </c>
      <c r="G138" s="951">
        <v>50</v>
      </c>
      <c r="H138" s="952">
        <v>27</v>
      </c>
      <c r="I138" s="953">
        <v>1350</v>
      </c>
      <c r="J138" t="s">
        <v>293</v>
      </c>
      <c r="K138">
        <v>27</v>
      </c>
    </row>
    <row r="139">
      <c r="B139">
        <v>26</v>
      </c>
      <c r="C139" s="954">
        <v>38887</v>
      </c>
      <c r="D139" t="s">
        <v>8</v>
      </c>
      <c r="E139" t="s">
        <v>292</v>
      </c>
      <c r="F139" t="s">
        <v>164</v>
      </c>
      <c r="G139" s="955">
        <v>200</v>
      </c>
      <c r="H139" s="956">
        <v>27</v>
      </c>
      <c r="I139" s="957">
        <v>5400</v>
      </c>
      <c r="J139" t="s">
        <v>293</v>
      </c>
      <c r="K139">
        <v>27</v>
      </c>
    </row>
    <row r="140">
      <c r="B140">
        <v>26</v>
      </c>
      <c r="C140" s="958">
        <v>38887</v>
      </c>
      <c r="D140" t="s">
        <v>8</v>
      </c>
      <c r="E140" t="s">
        <v>292</v>
      </c>
      <c r="F140" t="s">
        <v>160</v>
      </c>
      <c r="G140" s="959">
        <v>130</v>
      </c>
      <c r="H140" s="960">
        <v>27</v>
      </c>
      <c r="I140" s="961">
        <v>3510</v>
      </c>
      <c r="J140" t="s">
        <v>293</v>
      </c>
      <c r="K140">
        <v>27</v>
      </c>
    </row>
    <row r="141">
      <c r="B141">
        <v>26</v>
      </c>
      <c r="C141" s="962">
        <v>38887</v>
      </c>
      <c r="D141" t="s">
        <v>8</v>
      </c>
      <c r="E141" t="s">
        <v>292</v>
      </c>
      <c r="F141" t="s">
        <v>198</v>
      </c>
      <c r="G141" s="963">
        <v>20</v>
      </c>
      <c r="H141" s="964">
        <v>27</v>
      </c>
      <c r="I141" s="965">
        <v>540</v>
      </c>
      <c r="J141" t="s">
        <v>293</v>
      </c>
      <c r="K141">
        <v>27</v>
      </c>
    </row>
    <row r="142">
      <c r="B142">
        <v>26</v>
      </c>
      <c r="C142" s="966">
        <v>38887</v>
      </c>
      <c r="D142" t="s">
        <v>8</v>
      </c>
      <c r="E142" t="s">
        <v>292</v>
      </c>
      <c r="F142" t="s">
        <v>196</v>
      </c>
      <c r="G142" s="967">
        <v>10</v>
      </c>
      <c r="H142" s="968">
        <v>27</v>
      </c>
      <c r="I142" s="969">
        <v>270</v>
      </c>
      <c r="J142" t="s">
        <v>293</v>
      </c>
      <c r="K142">
        <v>27</v>
      </c>
    </row>
    <row r="143">
      <c r="B143">
        <v>26</v>
      </c>
      <c r="C143" s="970">
        <v>38887</v>
      </c>
      <c r="D143" t="s">
        <v>8</v>
      </c>
      <c r="E143" t="s">
        <v>292</v>
      </c>
      <c r="F143" t="s">
        <v>100</v>
      </c>
      <c r="G143" s="971">
        <v>80</v>
      </c>
      <c r="H143" s="972">
        <v>27</v>
      </c>
      <c r="I143" s="973">
        <v>2160</v>
      </c>
      <c r="J143" t="s">
        <v>293</v>
      </c>
      <c r="K143">
        <v>27</v>
      </c>
    </row>
    <row r="144">
      <c r="B144">
        <v>25</v>
      </c>
      <c r="C144" s="974">
        <v>46192</v>
      </c>
      <c r="D144" t="s">
        <v>6</v>
      </c>
      <c r="E144" t="s">
        <v>292</v>
      </c>
      <c r="F144" t="s">
        <v>182</v>
      </c>
      <c r="G144" s="975">
        <v>100</v>
      </c>
      <c r="H144" s="976">
        <v>27</v>
      </c>
      <c r="I144" s="977">
        <v>2700</v>
      </c>
      <c r="J144" t="s">
        <v>293</v>
      </c>
      <c r="K144">
        <v>27</v>
      </c>
    </row>
    <row r="145">
      <c r="B145">
        <v>25</v>
      </c>
      <c r="C145" s="978">
        <v>46192</v>
      </c>
      <c r="D145" t="s">
        <v>6</v>
      </c>
      <c r="E145" t="s">
        <v>292</v>
      </c>
      <c r="F145" t="s">
        <v>198</v>
      </c>
      <c r="G145" s="979">
        <v>20</v>
      </c>
      <c r="H145" s="980">
        <v>27</v>
      </c>
      <c r="I145" s="981">
        <v>540</v>
      </c>
      <c r="J145" t="s">
        <v>293</v>
      </c>
      <c r="K145">
        <v>27</v>
      </c>
    </row>
    <row r="146">
      <c r="B146">
        <v>25</v>
      </c>
      <c r="C146" s="982">
        <v>46192</v>
      </c>
      <c r="D146" t="s">
        <v>6</v>
      </c>
      <c r="E146" t="s">
        <v>292</v>
      </c>
      <c r="F146" t="s">
        <v>296</v>
      </c>
      <c r="G146" s="983">
        <v>60</v>
      </c>
      <c r="H146" s="984">
        <v>27</v>
      </c>
      <c r="I146" s="985">
        <v>1620</v>
      </c>
      <c r="J146" t="s">
        <v>293</v>
      </c>
      <c r="K146">
        <v>27</v>
      </c>
    </row>
    <row r="147">
      <c r="B147">
        <v>25</v>
      </c>
      <c r="C147" s="986">
        <v>46192</v>
      </c>
      <c r="D147" t="s">
        <v>6</v>
      </c>
      <c r="E147" t="s">
        <v>292</v>
      </c>
      <c r="F147" t="s">
        <v>181</v>
      </c>
      <c r="G147" s="987">
        <v>80</v>
      </c>
      <c r="H147" s="988">
        <v>27</v>
      </c>
      <c r="I147" s="989">
        <v>2160</v>
      </c>
      <c r="J147" t="s">
        <v>293</v>
      </c>
      <c r="K147">
        <v>27</v>
      </c>
    </row>
    <row r="148">
      <c r="B148">
        <v>25</v>
      </c>
      <c r="C148" s="990">
        <v>46192</v>
      </c>
      <c r="D148" t="s">
        <v>6</v>
      </c>
      <c r="E148" t="s">
        <v>292</v>
      </c>
      <c r="F148" t="s">
        <v>175</v>
      </c>
      <c r="G148" s="991">
        <v>40</v>
      </c>
      <c r="H148" s="992">
        <v>27</v>
      </c>
      <c r="I148" s="993">
        <v>1080</v>
      </c>
      <c r="J148" t="s">
        <v>293</v>
      </c>
      <c r="K148">
        <v>27</v>
      </c>
    </row>
    <row r="149">
      <c r="B149">
        <v>25</v>
      </c>
      <c r="C149" s="994">
        <v>46192</v>
      </c>
      <c r="D149" t="s">
        <v>6</v>
      </c>
      <c r="E149" t="s">
        <v>292</v>
      </c>
      <c r="F149" t="s">
        <v>95</v>
      </c>
      <c r="G149" s="995">
        <v>80</v>
      </c>
      <c r="H149" s="996">
        <v>27</v>
      </c>
      <c r="I149" s="997">
        <v>2160</v>
      </c>
      <c r="J149" t="s">
        <v>293</v>
      </c>
      <c r="K149">
        <v>27</v>
      </c>
    </row>
    <row r="150">
      <c r="B150">
        <v>25</v>
      </c>
      <c r="C150" s="998">
        <v>46192</v>
      </c>
      <c r="D150" t="s">
        <v>6</v>
      </c>
      <c r="E150" t="s">
        <v>292</v>
      </c>
      <c r="F150" t="s">
        <v>100</v>
      </c>
      <c r="G150" s="999">
        <v>50</v>
      </c>
      <c r="H150" s="1000">
        <v>27</v>
      </c>
      <c r="I150" s="1001">
        <v>1350</v>
      </c>
      <c r="J150" t="s">
        <v>293</v>
      </c>
      <c r="K150">
        <v>27</v>
      </c>
    </row>
    <row r="151">
      <c r="B151">
        <v>25</v>
      </c>
      <c r="C151" s="1002"/>
      <c r="D151" t="s">
        <v>210</v>
      </c>
      <c r="E151" t="s">
        <v>292</v>
      </c>
      <c r="F151" t="s">
        <v>95</v>
      </c>
      <c r="G151" s="1003">
        <v>60</v>
      </c>
      <c r="H151" s="1004">
        <v>27</v>
      </c>
      <c r="I151" s="1005">
        <v>1620</v>
      </c>
      <c r="J151" t="s">
        <v>293</v>
      </c>
      <c r="K151">
        <v>27</v>
      </c>
    </row>
    <row r="152">
      <c r="B152">
        <v>25</v>
      </c>
      <c r="C152" s="1006"/>
      <c r="D152" t="s">
        <v>210</v>
      </c>
      <c r="E152" t="s">
        <v>292</v>
      </c>
      <c r="F152" t="s">
        <v>95</v>
      </c>
      <c r="G152" s="1007">
        <v>50</v>
      </c>
      <c r="H152" s="1008">
        <v>27</v>
      </c>
      <c r="I152" s="1009">
        <v>1350</v>
      </c>
      <c r="J152" t="s">
        <v>293</v>
      </c>
      <c r="K152">
        <v>27</v>
      </c>
    </row>
    <row r="153">
      <c r="B153">
        <v>26</v>
      </c>
      <c r="C153" s="1010">
        <v>46195</v>
      </c>
      <c r="D153" t="s">
        <v>8</v>
      </c>
      <c r="E153" t="s">
        <v>292</v>
      </c>
      <c r="F153" t="s">
        <v>297</v>
      </c>
      <c r="G153" s="1011">
        <v>240</v>
      </c>
      <c r="H153" s="1012">
        <v>27</v>
      </c>
      <c r="I153" s="1013">
        <v>6480</v>
      </c>
      <c r="J153" t="s">
        <v>293</v>
      </c>
      <c r="K153">
        <v>27</v>
      </c>
    </row>
    <row r="154">
      <c r="B154">
        <v>26</v>
      </c>
      <c r="C154" s="1014">
        <v>46195</v>
      </c>
      <c r="D154" t="s">
        <v>8</v>
      </c>
      <c r="E154" t="s">
        <v>292</v>
      </c>
      <c r="F154" t="s">
        <v>298</v>
      </c>
      <c r="G154" s="1015">
        <v>20</v>
      </c>
      <c r="H154" s="1016">
        <v>27</v>
      </c>
      <c r="I154" s="1017">
        <v>540</v>
      </c>
      <c r="J154" t="s">
        <v>293</v>
      </c>
      <c r="K154">
        <v>27</v>
      </c>
    </row>
    <row r="155">
      <c r="B155">
        <v>26</v>
      </c>
      <c r="C155" s="1018">
        <v>46195</v>
      </c>
      <c r="D155" t="s">
        <v>8</v>
      </c>
      <c r="E155" t="s">
        <v>292</v>
      </c>
      <c r="F155" t="s">
        <v>299</v>
      </c>
      <c r="G155" s="1019">
        <v>30</v>
      </c>
      <c r="H155" s="1020">
        <v>27</v>
      </c>
      <c r="I155" s="1021">
        <v>810</v>
      </c>
      <c r="J155" t="s">
        <v>293</v>
      </c>
      <c r="K155">
        <v>27</v>
      </c>
    </row>
    <row r="156">
      <c r="B156">
        <v>26</v>
      </c>
      <c r="C156" s="1022">
        <v>46195</v>
      </c>
      <c r="D156" t="s">
        <v>8</v>
      </c>
      <c r="E156" t="s">
        <v>292</v>
      </c>
      <c r="F156" t="s">
        <v>300</v>
      </c>
      <c r="G156" s="1023">
        <v>80</v>
      </c>
      <c r="H156" s="1024">
        <v>27</v>
      </c>
      <c r="I156" s="1025">
        <v>2160</v>
      </c>
      <c r="J156" t="s">
        <v>293</v>
      </c>
      <c r="K156">
        <v>27</v>
      </c>
    </row>
    <row r="157">
      <c r="B157">
        <v>26</v>
      </c>
      <c r="C157" s="1026">
        <v>46195</v>
      </c>
      <c r="D157" t="s">
        <v>8</v>
      </c>
      <c r="E157" t="s">
        <v>292</v>
      </c>
      <c r="F157" t="s">
        <v>301</v>
      </c>
      <c r="G157" s="1027">
        <v>40</v>
      </c>
      <c r="H157" s="1028">
        <v>27</v>
      </c>
      <c r="I157" s="1029">
        <v>1080</v>
      </c>
      <c r="J157" t="s">
        <v>293</v>
      </c>
      <c r="K157">
        <v>27</v>
      </c>
    </row>
    <row r="158">
      <c r="B158">
        <v>26</v>
      </c>
      <c r="C158" s="1030">
        <v>46195</v>
      </c>
      <c r="D158" t="s">
        <v>8</v>
      </c>
      <c r="E158" t="s">
        <v>292</v>
      </c>
      <c r="F158" t="s">
        <v>302</v>
      </c>
      <c r="G158" s="1031">
        <v>24</v>
      </c>
      <c r="H158" s="1032">
        <v>27</v>
      </c>
      <c r="I158" s="1033">
        <v>648</v>
      </c>
      <c r="J158" t="s">
        <v>293</v>
      </c>
      <c r="K158">
        <v>27</v>
      </c>
    </row>
    <row r="159">
      <c r="B159">
        <v>26</v>
      </c>
      <c r="C159" s="1034">
        <v>46195</v>
      </c>
      <c r="D159" t="s">
        <v>8</v>
      </c>
      <c r="E159" t="s">
        <v>292</v>
      </c>
      <c r="F159" t="s">
        <v>303</v>
      </c>
      <c r="G159" s="1035">
        <v>60</v>
      </c>
      <c r="H159" s="1036">
        <v>27</v>
      </c>
      <c r="I159" s="1037">
        <v>1620</v>
      </c>
      <c r="J159" t="s">
        <v>293</v>
      </c>
      <c r="K159">
        <v>27</v>
      </c>
    </row>
    <row r="160">
      <c r="B160">
        <v>26</v>
      </c>
      <c r="C160" s="1038">
        <v>46195</v>
      </c>
      <c r="D160" t="s">
        <v>8</v>
      </c>
      <c r="E160" t="s">
        <v>292</v>
      </c>
      <c r="F160" t="s">
        <v>304</v>
      </c>
      <c r="G160" s="1039">
        <v>24</v>
      </c>
      <c r="H160" s="1040">
        <v>27</v>
      </c>
      <c r="I160" s="1041">
        <v>648</v>
      </c>
      <c r="J160" t="s">
        <v>293</v>
      </c>
      <c r="K160">
        <v>27</v>
      </c>
    </row>
    <row r="161">
      <c r="B161">
        <v>26</v>
      </c>
      <c r="C161" s="1042">
        <v>46195</v>
      </c>
      <c r="D161" t="s">
        <v>8</v>
      </c>
      <c r="E161" t="s">
        <v>292</v>
      </c>
      <c r="F161" t="s">
        <v>305</v>
      </c>
      <c r="G161" s="1043">
        <v>60</v>
      </c>
      <c r="H161" s="1044">
        <v>27</v>
      </c>
      <c r="I161" s="1045">
        <v>1620</v>
      </c>
      <c r="J161" t="s">
        <v>293</v>
      </c>
      <c r="K161">
        <v>27</v>
      </c>
    </row>
    <row r="162">
      <c r="B162">
        <v>26</v>
      </c>
      <c r="C162" s="1046">
        <v>46196</v>
      </c>
      <c r="D162" t="s">
        <v>8</v>
      </c>
      <c r="E162" t="s">
        <v>292</v>
      </c>
      <c r="F162" t="s">
        <v>297</v>
      </c>
      <c r="G162" s="1047">
        <v>240</v>
      </c>
      <c r="H162" s="1048">
        <v>27</v>
      </c>
      <c r="I162" s="1049">
        <v>6480</v>
      </c>
      <c r="J162" t="s">
        <v>293</v>
      </c>
      <c r="K162">
        <v>27</v>
      </c>
    </row>
    <row r="163">
      <c r="B163">
        <v>26</v>
      </c>
      <c r="C163" s="1050">
        <v>46196</v>
      </c>
      <c r="D163" t="s">
        <v>8</v>
      </c>
      <c r="E163" t="s">
        <v>292</v>
      </c>
      <c r="F163" t="s">
        <v>298</v>
      </c>
      <c r="G163" s="1051">
        <v>20</v>
      </c>
      <c r="H163" s="1052">
        <v>27</v>
      </c>
      <c r="I163" s="1053">
        <v>540</v>
      </c>
      <c r="J163" t="s">
        <v>293</v>
      </c>
      <c r="K163">
        <v>27</v>
      </c>
    </row>
    <row r="164">
      <c r="B164">
        <v>26</v>
      </c>
      <c r="C164" s="1054">
        <v>46196</v>
      </c>
      <c r="D164" t="s">
        <v>8</v>
      </c>
      <c r="E164" t="s">
        <v>292</v>
      </c>
      <c r="F164" t="s">
        <v>299</v>
      </c>
      <c r="G164" s="1055">
        <v>30</v>
      </c>
      <c r="H164" s="1056">
        <v>27</v>
      </c>
      <c r="I164" s="1057">
        <v>810</v>
      </c>
      <c r="J164" t="s">
        <v>293</v>
      </c>
      <c r="K164">
        <v>27</v>
      </c>
    </row>
    <row r="165">
      <c r="B165">
        <v>26</v>
      </c>
      <c r="C165" s="1058">
        <v>46196</v>
      </c>
      <c r="D165" t="s">
        <v>8</v>
      </c>
      <c r="E165" t="s">
        <v>292</v>
      </c>
      <c r="F165" t="s">
        <v>300</v>
      </c>
      <c r="G165" s="1059">
        <v>80</v>
      </c>
      <c r="H165" s="1060">
        <v>27</v>
      </c>
      <c r="I165" s="1061">
        <v>2160</v>
      </c>
      <c r="J165" t="s">
        <v>293</v>
      </c>
      <c r="K165">
        <v>27</v>
      </c>
    </row>
    <row r="166">
      <c r="B166">
        <v>26</v>
      </c>
      <c r="C166" s="1062">
        <v>46196</v>
      </c>
      <c r="D166" t="s">
        <v>8</v>
      </c>
      <c r="E166" t="s">
        <v>292</v>
      </c>
      <c r="F166" t="s">
        <v>301</v>
      </c>
      <c r="G166" s="1063">
        <v>40</v>
      </c>
      <c r="H166" s="1064">
        <v>27</v>
      </c>
      <c r="I166" s="1065">
        <v>1080</v>
      </c>
      <c r="J166" t="s">
        <v>293</v>
      </c>
      <c r="K166">
        <v>27</v>
      </c>
    </row>
    <row r="167">
      <c r="B167">
        <v>26</v>
      </c>
      <c r="C167" s="1066">
        <v>46196</v>
      </c>
      <c r="D167" t="s">
        <v>8</v>
      </c>
      <c r="E167" t="s">
        <v>292</v>
      </c>
      <c r="F167" t="s">
        <v>302</v>
      </c>
      <c r="G167" s="1067">
        <v>24</v>
      </c>
      <c r="H167" s="1068">
        <v>27</v>
      </c>
      <c r="I167" s="1069">
        <v>648</v>
      </c>
      <c r="J167" t="s">
        <v>293</v>
      </c>
      <c r="K167">
        <v>27</v>
      </c>
    </row>
    <row r="168">
      <c r="B168">
        <v>26</v>
      </c>
      <c r="C168" s="1070">
        <v>46196</v>
      </c>
      <c r="D168" t="s">
        <v>8</v>
      </c>
      <c r="E168" t="s">
        <v>292</v>
      </c>
      <c r="F168" t="s">
        <v>303</v>
      </c>
      <c r="G168" s="1071">
        <v>60</v>
      </c>
      <c r="H168" s="1072">
        <v>27</v>
      </c>
      <c r="I168" s="1073">
        <v>1620</v>
      </c>
      <c r="J168" t="s">
        <v>293</v>
      </c>
      <c r="K168">
        <v>27</v>
      </c>
    </row>
    <row r="169">
      <c r="B169">
        <v>26</v>
      </c>
      <c r="C169" s="1074">
        <v>46196</v>
      </c>
      <c r="D169" t="s">
        <v>8</v>
      </c>
      <c r="E169" t="s">
        <v>292</v>
      </c>
      <c r="F169" t="s">
        <v>304</v>
      </c>
      <c r="G169" s="1075">
        <v>24</v>
      </c>
      <c r="H169" s="1076">
        <v>27</v>
      </c>
      <c r="I169" s="1077">
        <v>648</v>
      </c>
      <c r="J169" t="s">
        <v>293</v>
      </c>
      <c r="K169">
        <v>27</v>
      </c>
    </row>
    <row r="170">
      <c r="B170">
        <v>26</v>
      </c>
      <c r="C170" s="1078">
        <v>46196</v>
      </c>
      <c r="D170" t="s">
        <v>8</v>
      </c>
      <c r="E170" t="s">
        <v>292</v>
      </c>
      <c r="F170" t="s">
        <v>305</v>
      </c>
      <c r="G170" s="1079">
        <v>60</v>
      </c>
      <c r="H170" s="1080">
        <v>27</v>
      </c>
      <c r="I170" s="1081">
        <v>1620</v>
      </c>
      <c r="J170" t="s">
        <v>293</v>
      </c>
      <c r="K170">
        <v>27</v>
      </c>
    </row>
    <row r="171">
      <c r="B171">
        <v>26</v>
      </c>
      <c r="C171" s="1082">
        <v>46197</v>
      </c>
      <c r="D171" t="s">
        <v>8</v>
      </c>
      <c r="E171" t="s">
        <v>292</v>
      </c>
      <c r="F171" t="s">
        <v>297</v>
      </c>
      <c r="G171" s="1083">
        <v>240</v>
      </c>
      <c r="H171" s="1084">
        <v>27</v>
      </c>
      <c r="I171" s="1085">
        <v>6480</v>
      </c>
      <c r="J171" t="s">
        <v>293</v>
      </c>
      <c r="K171">
        <v>27</v>
      </c>
    </row>
    <row r="172">
      <c r="B172">
        <v>26</v>
      </c>
      <c r="C172" s="1086">
        <v>46197</v>
      </c>
      <c r="D172" t="s">
        <v>8</v>
      </c>
      <c r="E172" t="s">
        <v>292</v>
      </c>
      <c r="F172" t="s">
        <v>298</v>
      </c>
      <c r="G172" s="1087">
        <v>20</v>
      </c>
      <c r="H172" s="1088">
        <v>27</v>
      </c>
      <c r="I172" s="1089">
        <v>540</v>
      </c>
      <c r="J172" t="s">
        <v>293</v>
      </c>
      <c r="K172">
        <v>27</v>
      </c>
    </row>
    <row r="173">
      <c r="B173">
        <v>26</v>
      </c>
      <c r="C173" s="1090">
        <v>46197</v>
      </c>
      <c r="D173" t="s">
        <v>8</v>
      </c>
      <c r="E173" t="s">
        <v>292</v>
      </c>
      <c r="F173" t="s">
        <v>299</v>
      </c>
      <c r="G173" s="1091">
        <v>30</v>
      </c>
      <c r="H173" s="1092">
        <v>27</v>
      </c>
      <c r="I173" s="1093">
        <v>810</v>
      </c>
      <c r="J173" t="s">
        <v>293</v>
      </c>
      <c r="K173">
        <v>27</v>
      </c>
    </row>
    <row r="174">
      <c r="B174">
        <v>26</v>
      </c>
      <c r="C174" s="1094">
        <v>46197</v>
      </c>
      <c r="D174" t="s">
        <v>8</v>
      </c>
      <c r="E174" t="s">
        <v>292</v>
      </c>
      <c r="F174" t="s">
        <v>300</v>
      </c>
      <c r="G174" s="1095">
        <v>80</v>
      </c>
      <c r="H174" s="1096">
        <v>27</v>
      </c>
      <c r="I174" s="1097">
        <v>2160</v>
      </c>
      <c r="J174" t="s">
        <v>293</v>
      </c>
      <c r="K174">
        <v>27</v>
      </c>
    </row>
    <row r="175">
      <c r="B175">
        <v>26</v>
      </c>
      <c r="C175" s="1098">
        <v>46197</v>
      </c>
      <c r="D175" t="s">
        <v>8</v>
      </c>
      <c r="E175" t="s">
        <v>292</v>
      </c>
      <c r="F175" t="s">
        <v>301</v>
      </c>
      <c r="G175" s="1099">
        <v>40</v>
      </c>
      <c r="H175" s="1100">
        <v>27</v>
      </c>
      <c r="I175" s="1101">
        <v>1080</v>
      </c>
      <c r="J175" t="s">
        <v>293</v>
      </c>
      <c r="K175">
        <v>27</v>
      </c>
    </row>
    <row r="176">
      <c r="B176">
        <v>26</v>
      </c>
      <c r="C176" s="1102">
        <v>46197</v>
      </c>
      <c r="D176" t="s">
        <v>8</v>
      </c>
      <c r="E176" t="s">
        <v>292</v>
      </c>
      <c r="F176" t="s">
        <v>302</v>
      </c>
      <c r="G176" s="1103">
        <v>24</v>
      </c>
      <c r="H176" s="1104">
        <v>27</v>
      </c>
      <c r="I176" s="1105">
        <v>648</v>
      </c>
      <c r="J176" t="s">
        <v>293</v>
      </c>
      <c r="K176">
        <v>27</v>
      </c>
    </row>
    <row r="177">
      <c r="B177">
        <v>26</v>
      </c>
      <c r="C177" s="1106">
        <v>46197</v>
      </c>
      <c r="D177" t="s">
        <v>8</v>
      </c>
      <c r="E177" t="s">
        <v>292</v>
      </c>
      <c r="F177" t="s">
        <v>303</v>
      </c>
      <c r="G177" s="1107">
        <v>60</v>
      </c>
      <c r="H177" s="1108">
        <v>27</v>
      </c>
      <c r="I177" s="1109">
        <v>1620</v>
      </c>
      <c r="J177" t="s">
        <v>293</v>
      </c>
      <c r="K177">
        <v>27</v>
      </c>
    </row>
    <row r="178">
      <c r="B178">
        <v>26</v>
      </c>
      <c r="C178" s="1110">
        <v>46197</v>
      </c>
      <c r="D178" t="s">
        <v>8</v>
      </c>
      <c r="E178" t="s">
        <v>292</v>
      </c>
      <c r="F178" t="s">
        <v>304</v>
      </c>
      <c r="G178" s="1111">
        <v>24</v>
      </c>
      <c r="H178" s="1112">
        <v>27</v>
      </c>
      <c r="I178" s="1113">
        <v>648</v>
      </c>
      <c r="J178" t="s">
        <v>293</v>
      </c>
      <c r="K178">
        <v>27</v>
      </c>
    </row>
    <row r="179">
      <c r="B179">
        <v>26</v>
      </c>
      <c r="C179" s="1114">
        <v>46197</v>
      </c>
      <c r="D179" t="s">
        <v>8</v>
      </c>
      <c r="E179" t="s">
        <v>292</v>
      </c>
      <c r="F179" t="s">
        <v>305</v>
      </c>
      <c r="G179" s="1115">
        <v>60</v>
      </c>
      <c r="H179" s="1116">
        <v>27</v>
      </c>
      <c r="I179" s="1117">
        <v>1620</v>
      </c>
      <c r="J179" t="s">
        <v>293</v>
      </c>
      <c r="K179">
        <v>27</v>
      </c>
    </row>
    <row r="180">
      <c r="B180">
        <v>26</v>
      </c>
      <c r="C180" s="1118">
        <v>46198</v>
      </c>
      <c r="D180" t="s">
        <v>8</v>
      </c>
      <c r="E180" t="s">
        <v>292</v>
      </c>
      <c r="F180" t="s">
        <v>297</v>
      </c>
      <c r="G180" s="1119">
        <v>240</v>
      </c>
      <c r="H180" s="1120">
        <v>27</v>
      </c>
      <c r="I180" s="1121">
        <v>6480</v>
      </c>
      <c r="J180" t="s">
        <v>293</v>
      </c>
      <c r="K180">
        <v>27</v>
      </c>
    </row>
    <row r="181">
      <c r="B181">
        <v>26</v>
      </c>
      <c r="C181" s="1122">
        <v>46198</v>
      </c>
      <c r="D181" t="s">
        <v>8</v>
      </c>
      <c r="E181" t="s">
        <v>292</v>
      </c>
      <c r="F181" t="s">
        <v>298</v>
      </c>
      <c r="G181" s="1123">
        <v>20</v>
      </c>
      <c r="H181" s="1124">
        <v>27</v>
      </c>
      <c r="I181" s="1125">
        <v>540</v>
      </c>
      <c r="J181" t="s">
        <v>293</v>
      </c>
      <c r="K181">
        <v>27</v>
      </c>
    </row>
    <row r="182">
      <c r="B182">
        <v>26</v>
      </c>
      <c r="C182" s="1126">
        <v>46198</v>
      </c>
      <c r="D182" t="s">
        <v>8</v>
      </c>
      <c r="E182" t="s">
        <v>292</v>
      </c>
      <c r="F182" t="s">
        <v>299</v>
      </c>
      <c r="G182" s="1127">
        <v>30</v>
      </c>
      <c r="H182" s="1128">
        <v>27</v>
      </c>
      <c r="I182" s="1129">
        <v>810</v>
      </c>
      <c r="J182" t="s">
        <v>293</v>
      </c>
      <c r="K182">
        <v>27</v>
      </c>
    </row>
    <row r="183">
      <c r="B183">
        <v>26</v>
      </c>
      <c r="C183" s="1130">
        <v>46198</v>
      </c>
      <c r="D183" t="s">
        <v>8</v>
      </c>
      <c r="E183" t="s">
        <v>292</v>
      </c>
      <c r="F183" t="s">
        <v>300</v>
      </c>
      <c r="G183" s="1131">
        <v>80</v>
      </c>
      <c r="H183" s="1132">
        <v>27</v>
      </c>
      <c r="I183" s="1133">
        <v>2160</v>
      </c>
      <c r="J183" t="s">
        <v>293</v>
      </c>
      <c r="K183">
        <v>27</v>
      </c>
    </row>
    <row r="184">
      <c r="B184">
        <v>26</v>
      </c>
      <c r="C184" s="1134">
        <v>46198</v>
      </c>
      <c r="D184" t="s">
        <v>8</v>
      </c>
      <c r="E184" t="s">
        <v>292</v>
      </c>
      <c r="F184" t="s">
        <v>301</v>
      </c>
      <c r="G184" s="1135">
        <v>40</v>
      </c>
      <c r="H184" s="1136">
        <v>27</v>
      </c>
      <c r="I184" s="1137">
        <v>1080</v>
      </c>
      <c r="J184" t="s">
        <v>293</v>
      </c>
      <c r="K184">
        <v>27</v>
      </c>
    </row>
    <row r="185">
      <c r="B185">
        <v>26</v>
      </c>
      <c r="C185" s="1138">
        <v>46198</v>
      </c>
      <c r="D185" t="s">
        <v>8</v>
      </c>
      <c r="E185" t="s">
        <v>292</v>
      </c>
      <c r="F185" t="s">
        <v>302</v>
      </c>
      <c r="G185" s="1139">
        <v>24</v>
      </c>
      <c r="H185" s="1140">
        <v>27</v>
      </c>
      <c r="I185" s="1141">
        <v>648</v>
      </c>
      <c r="J185" t="s">
        <v>293</v>
      </c>
      <c r="K185">
        <v>27</v>
      </c>
    </row>
    <row r="186">
      <c r="B186">
        <v>26</v>
      </c>
      <c r="C186" s="1142">
        <v>46198</v>
      </c>
      <c r="D186" t="s">
        <v>8</v>
      </c>
      <c r="E186" t="s">
        <v>292</v>
      </c>
      <c r="F186" t="s">
        <v>303</v>
      </c>
      <c r="G186" s="1143">
        <v>60</v>
      </c>
      <c r="H186" s="1144">
        <v>27</v>
      </c>
      <c r="I186" s="1145">
        <v>1620</v>
      </c>
      <c r="J186" t="s">
        <v>293</v>
      </c>
      <c r="K186">
        <v>27</v>
      </c>
    </row>
    <row r="187">
      <c r="B187">
        <v>26</v>
      </c>
      <c r="C187" s="1146">
        <v>46198</v>
      </c>
      <c r="D187" t="s">
        <v>8</v>
      </c>
      <c r="E187" t="s">
        <v>292</v>
      </c>
      <c r="F187" t="s">
        <v>304</v>
      </c>
      <c r="G187" s="1147">
        <v>24</v>
      </c>
      <c r="H187" s="1148">
        <v>27</v>
      </c>
      <c r="I187" s="1149">
        <v>648</v>
      </c>
      <c r="J187" t="s">
        <v>293</v>
      </c>
      <c r="K187">
        <v>27</v>
      </c>
    </row>
    <row r="188">
      <c r="B188">
        <v>26</v>
      </c>
      <c r="C188" s="1150">
        <v>46198</v>
      </c>
      <c r="D188" t="s">
        <v>8</v>
      </c>
      <c r="E188" t="s">
        <v>292</v>
      </c>
      <c r="F188" t="s">
        <v>305</v>
      </c>
      <c r="G188" s="1151">
        <v>60</v>
      </c>
      <c r="H188" s="1152">
        <v>27</v>
      </c>
      <c r="I188" s="1153">
        <v>1620</v>
      </c>
      <c r="J188" t="s">
        <v>293</v>
      </c>
      <c r="K188">
        <v>27</v>
      </c>
    </row>
    <row r="189">
      <c r="B189">
        <v>26</v>
      </c>
      <c r="C189" s="1154">
        <v>46199</v>
      </c>
      <c r="D189" t="s">
        <v>8</v>
      </c>
      <c r="E189" t="s">
        <v>292</v>
      </c>
      <c r="F189" t="s">
        <v>297</v>
      </c>
      <c r="G189" s="1155">
        <v>240</v>
      </c>
      <c r="H189" s="1156">
        <v>27</v>
      </c>
      <c r="I189" s="1157">
        <v>6480</v>
      </c>
      <c r="J189" t="s">
        <v>293</v>
      </c>
      <c r="K189">
        <v>27</v>
      </c>
    </row>
    <row r="190">
      <c r="B190">
        <v>26</v>
      </c>
      <c r="C190" s="1158">
        <v>46199</v>
      </c>
      <c r="D190" t="s">
        <v>8</v>
      </c>
      <c r="E190" t="s">
        <v>292</v>
      </c>
      <c r="F190" t="s">
        <v>298</v>
      </c>
      <c r="G190" s="1159">
        <v>20</v>
      </c>
      <c r="H190" s="1160">
        <v>27</v>
      </c>
      <c r="I190" s="1161">
        <v>540</v>
      </c>
      <c r="J190" t="s">
        <v>293</v>
      </c>
      <c r="K190">
        <v>27</v>
      </c>
    </row>
    <row r="191">
      <c r="B191">
        <v>26</v>
      </c>
      <c r="C191" s="1162">
        <v>46199</v>
      </c>
      <c r="D191" t="s">
        <v>8</v>
      </c>
      <c r="E191" t="s">
        <v>292</v>
      </c>
      <c r="F191" t="s">
        <v>299</v>
      </c>
      <c r="G191" s="1163">
        <v>30</v>
      </c>
      <c r="H191" s="1164">
        <v>27</v>
      </c>
      <c r="I191" s="1165">
        <v>810</v>
      </c>
      <c r="J191" t="s">
        <v>293</v>
      </c>
      <c r="K191">
        <v>27</v>
      </c>
    </row>
    <row r="192">
      <c r="B192">
        <v>26</v>
      </c>
      <c r="C192" s="1166">
        <v>46199</v>
      </c>
      <c r="D192" t="s">
        <v>8</v>
      </c>
      <c r="E192" t="s">
        <v>292</v>
      </c>
      <c r="F192" t="s">
        <v>300</v>
      </c>
      <c r="G192" s="1167">
        <v>80</v>
      </c>
      <c r="H192" s="1168">
        <v>27</v>
      </c>
      <c r="I192" s="1169">
        <v>2160</v>
      </c>
      <c r="J192" t="s">
        <v>293</v>
      </c>
      <c r="K192">
        <v>27</v>
      </c>
    </row>
    <row r="193">
      <c r="B193">
        <v>26</v>
      </c>
      <c r="C193" s="1170">
        <v>46199</v>
      </c>
      <c r="D193" t="s">
        <v>8</v>
      </c>
      <c r="E193" t="s">
        <v>292</v>
      </c>
      <c r="F193" t="s">
        <v>301</v>
      </c>
      <c r="G193" s="1171">
        <v>40</v>
      </c>
      <c r="H193" s="1172">
        <v>27</v>
      </c>
      <c r="I193" s="1173">
        <v>1080</v>
      </c>
      <c r="J193" t="s">
        <v>293</v>
      </c>
      <c r="K193">
        <v>27</v>
      </c>
    </row>
    <row r="194">
      <c r="B194">
        <v>26</v>
      </c>
      <c r="C194" s="1174">
        <v>46199</v>
      </c>
      <c r="D194" t="s">
        <v>8</v>
      </c>
      <c r="E194" t="s">
        <v>292</v>
      </c>
      <c r="F194" t="s">
        <v>302</v>
      </c>
      <c r="G194" s="1175">
        <v>24</v>
      </c>
      <c r="H194" s="1176">
        <v>27</v>
      </c>
      <c r="I194" s="1177">
        <v>648</v>
      </c>
      <c r="J194" t="s">
        <v>293</v>
      </c>
      <c r="K194">
        <v>27</v>
      </c>
    </row>
    <row r="195">
      <c r="B195">
        <v>26</v>
      </c>
      <c r="C195" s="1178">
        <v>46199</v>
      </c>
      <c r="D195" t="s">
        <v>8</v>
      </c>
      <c r="E195" t="s">
        <v>292</v>
      </c>
      <c r="F195" t="s">
        <v>303</v>
      </c>
      <c r="G195" s="1179">
        <v>60</v>
      </c>
      <c r="H195" s="1180">
        <v>27</v>
      </c>
      <c r="I195" s="1181">
        <v>1620</v>
      </c>
      <c r="J195" t="s">
        <v>293</v>
      </c>
      <c r="K195">
        <v>27</v>
      </c>
    </row>
    <row r="196">
      <c r="B196">
        <v>26</v>
      </c>
      <c r="C196" s="1182">
        <v>46199</v>
      </c>
      <c r="D196" t="s">
        <v>8</v>
      </c>
      <c r="E196" t="s">
        <v>292</v>
      </c>
      <c r="F196" t="s">
        <v>304</v>
      </c>
      <c r="G196" s="1183">
        <v>24</v>
      </c>
      <c r="H196" s="1184">
        <v>27</v>
      </c>
      <c r="I196" s="1185">
        <v>648</v>
      </c>
      <c r="J196" t="s">
        <v>293</v>
      </c>
      <c r="K196">
        <v>27</v>
      </c>
    </row>
    <row r="197">
      <c r="B197">
        <v>26</v>
      </c>
      <c r="C197" s="1186">
        <v>46199</v>
      </c>
      <c r="D197" t="s">
        <v>8</v>
      </c>
      <c r="E197" t="s">
        <v>292</v>
      </c>
      <c r="F197" t="s">
        <v>305</v>
      </c>
      <c r="G197" s="1187">
        <v>60</v>
      </c>
      <c r="H197" s="1188">
        <v>27</v>
      </c>
      <c r="I197" s="1189">
        <v>1620</v>
      </c>
      <c r="J197" t="s">
        <v>293</v>
      </c>
      <c r="K197">
        <v>27</v>
      </c>
    </row>
    <row r="198">
      <c r="B198">
        <v>26</v>
      </c>
      <c r="C198" s="1190">
        <v>46195</v>
      </c>
      <c r="D198" t="s">
        <v>224</v>
      </c>
      <c r="E198" t="s">
        <v>292</v>
      </c>
      <c r="F198" t="s">
        <v>306</v>
      </c>
      <c r="G198" s="1191">
        <v>300</v>
      </c>
      <c r="H198" s="1192">
        <v>27</v>
      </c>
      <c r="I198" s="1193">
        <v>8100</v>
      </c>
      <c r="J198" t="s">
        <v>293</v>
      </c>
      <c r="K198">
        <v>27</v>
      </c>
    </row>
    <row r="199">
      <c r="B199">
        <v>26</v>
      </c>
      <c r="C199" s="1194">
        <v>46195</v>
      </c>
      <c r="D199" t="s">
        <v>224</v>
      </c>
      <c r="E199" t="s">
        <v>292</v>
      </c>
      <c r="F199" t="s">
        <v>307</v>
      </c>
      <c r="G199" s="1195">
        <v>100</v>
      </c>
      <c r="H199" s="1196">
        <v>27</v>
      </c>
      <c r="I199" s="1197">
        <v>2700</v>
      </c>
      <c r="J199" t="s">
        <v>293</v>
      </c>
      <c r="K199">
        <v>27</v>
      </c>
    </row>
    <row r="200">
      <c r="B200">
        <v>26</v>
      </c>
      <c r="C200" s="1198">
        <v>46195</v>
      </c>
      <c r="D200" t="s">
        <v>224</v>
      </c>
      <c r="E200" t="s">
        <v>292</v>
      </c>
      <c r="F200" t="s">
        <v>308</v>
      </c>
      <c r="G200" s="1199">
        <v>100</v>
      </c>
      <c r="H200" s="1200">
        <v>27</v>
      </c>
      <c r="I200" s="1201">
        <v>2700</v>
      </c>
      <c r="J200" t="s">
        <v>293</v>
      </c>
      <c r="K200">
        <v>27</v>
      </c>
    </row>
    <row r="201">
      <c r="B201">
        <v>26</v>
      </c>
      <c r="C201" s="1202">
        <v>46195</v>
      </c>
      <c r="D201" t="s">
        <v>224</v>
      </c>
      <c r="E201" t="s">
        <v>292</v>
      </c>
      <c r="F201" t="s">
        <v>309</v>
      </c>
      <c r="G201" s="1203">
        <v>100</v>
      </c>
      <c r="H201" s="1204">
        <v>27</v>
      </c>
      <c r="I201" s="1205">
        <v>2700</v>
      </c>
      <c r="J201" t="s">
        <v>293</v>
      </c>
      <c r="K201">
        <v>27</v>
      </c>
    </row>
    <row r="202">
      <c r="B202">
        <v>26</v>
      </c>
      <c r="C202" s="1206">
        <v>46196</v>
      </c>
      <c r="D202" t="s">
        <v>224</v>
      </c>
      <c r="E202" t="s">
        <v>292</v>
      </c>
      <c r="F202" t="s">
        <v>306</v>
      </c>
      <c r="G202" s="1207">
        <v>300</v>
      </c>
      <c r="H202" s="1208">
        <v>27</v>
      </c>
      <c r="I202" s="1209">
        <v>8100</v>
      </c>
      <c r="J202" t="s">
        <v>293</v>
      </c>
      <c r="K202">
        <v>27</v>
      </c>
    </row>
    <row r="203">
      <c r="B203">
        <v>26</v>
      </c>
      <c r="C203" s="1210">
        <v>46196</v>
      </c>
      <c r="D203" t="s">
        <v>224</v>
      </c>
      <c r="E203" t="s">
        <v>292</v>
      </c>
      <c r="F203" t="s">
        <v>307</v>
      </c>
      <c r="G203" s="1211">
        <v>100</v>
      </c>
      <c r="H203" s="1212">
        <v>27</v>
      </c>
      <c r="I203" s="1213">
        <v>2700</v>
      </c>
      <c r="J203" t="s">
        <v>293</v>
      </c>
      <c r="K203">
        <v>27</v>
      </c>
    </row>
    <row r="204">
      <c r="B204">
        <v>26</v>
      </c>
      <c r="C204" s="1214">
        <v>46197</v>
      </c>
      <c r="D204" t="s">
        <v>224</v>
      </c>
      <c r="E204" t="s">
        <v>292</v>
      </c>
      <c r="F204" t="s">
        <v>306</v>
      </c>
      <c r="G204" s="1215">
        <v>300</v>
      </c>
      <c r="H204" s="1216">
        <v>27</v>
      </c>
      <c r="I204" s="1217">
        <v>8100</v>
      </c>
      <c r="J204" t="s">
        <v>293</v>
      </c>
      <c r="K204">
        <v>27</v>
      </c>
    </row>
    <row r="205">
      <c r="B205">
        <v>26</v>
      </c>
      <c r="C205" s="1218">
        <v>46197</v>
      </c>
      <c r="D205" t="s">
        <v>224</v>
      </c>
      <c r="E205" t="s">
        <v>292</v>
      </c>
      <c r="F205" t="s">
        <v>307</v>
      </c>
      <c r="G205" s="1219">
        <v>100</v>
      </c>
      <c r="H205" s="1220">
        <v>27</v>
      </c>
      <c r="I205" s="1221">
        <v>2700</v>
      </c>
      <c r="J205" t="s">
        <v>293</v>
      </c>
      <c r="K205">
        <v>27</v>
      </c>
    </row>
    <row r="206">
      <c r="B206">
        <v>26</v>
      </c>
      <c r="C206" s="1222">
        <v>46197</v>
      </c>
      <c r="D206" t="s">
        <v>224</v>
      </c>
      <c r="E206" t="s">
        <v>292</v>
      </c>
      <c r="F206" t="s">
        <v>309</v>
      </c>
      <c r="G206" s="1223">
        <v>100</v>
      </c>
      <c r="H206" s="1224">
        <v>27</v>
      </c>
      <c r="I206" s="1225">
        <v>2700</v>
      </c>
      <c r="J206" t="s">
        <v>293</v>
      </c>
      <c r="K206">
        <v>27</v>
      </c>
    </row>
    <row r="207">
      <c r="B207">
        <v>26</v>
      </c>
      <c r="C207" s="1226">
        <v>46198</v>
      </c>
      <c r="D207" t="s">
        <v>224</v>
      </c>
      <c r="E207" t="s">
        <v>292</v>
      </c>
      <c r="F207" t="s">
        <v>306</v>
      </c>
      <c r="G207" s="1227">
        <v>300</v>
      </c>
      <c r="H207" s="1228">
        <v>27</v>
      </c>
      <c r="I207" s="1229">
        <v>8100</v>
      </c>
      <c r="J207" t="s">
        <v>293</v>
      </c>
      <c r="K207">
        <v>27</v>
      </c>
    </row>
    <row r="208">
      <c r="B208">
        <v>26</v>
      </c>
      <c r="C208" s="1230">
        <v>46198</v>
      </c>
      <c r="D208" t="s">
        <v>224</v>
      </c>
      <c r="E208" t="s">
        <v>292</v>
      </c>
      <c r="F208" t="s">
        <v>307</v>
      </c>
      <c r="G208" s="1231">
        <v>100</v>
      </c>
      <c r="H208" s="1232">
        <v>27</v>
      </c>
      <c r="I208" s="1233">
        <v>2700</v>
      </c>
      <c r="J208" t="s">
        <v>293</v>
      </c>
      <c r="K208">
        <v>27</v>
      </c>
    </row>
    <row r="209">
      <c r="B209">
        <v>26</v>
      </c>
      <c r="C209" s="1234">
        <v>46198</v>
      </c>
      <c r="D209" t="s">
        <v>224</v>
      </c>
      <c r="E209" t="s">
        <v>292</v>
      </c>
      <c r="F209" t="s">
        <v>308</v>
      </c>
      <c r="G209" s="1235">
        <v>100</v>
      </c>
      <c r="H209" s="1236">
        <v>27</v>
      </c>
      <c r="I209" s="1237">
        <v>2700</v>
      </c>
      <c r="J209" t="s">
        <v>293</v>
      </c>
      <c r="K209">
        <v>27</v>
      </c>
    </row>
    <row r="210">
      <c r="B210">
        <v>26</v>
      </c>
      <c r="C210" s="1238">
        <v>46199</v>
      </c>
      <c r="D210" t="s">
        <v>224</v>
      </c>
      <c r="E210" t="s">
        <v>292</v>
      </c>
      <c r="F210" t="s">
        <v>306</v>
      </c>
      <c r="G210" s="1239">
        <v>300</v>
      </c>
      <c r="H210" s="1240">
        <v>27</v>
      </c>
      <c r="I210" s="1241">
        <v>8100</v>
      </c>
      <c r="J210" t="s">
        <v>293</v>
      </c>
      <c r="K210">
        <v>27</v>
      </c>
    </row>
    <row r="211">
      <c r="B211">
        <v>26</v>
      </c>
      <c r="C211" s="1242">
        <v>46199</v>
      </c>
      <c r="D211" t="s">
        <v>224</v>
      </c>
      <c r="E211" t="s">
        <v>292</v>
      </c>
      <c r="F211" t="s">
        <v>307</v>
      </c>
      <c r="G211" s="1243">
        <v>100</v>
      </c>
      <c r="H211" s="1244">
        <v>27</v>
      </c>
      <c r="I211" s="1245">
        <v>2700</v>
      </c>
      <c r="J211" t="s">
        <v>293</v>
      </c>
      <c r="K211">
        <v>27</v>
      </c>
    </row>
    <row r="212">
      <c r="B212">
        <v>26</v>
      </c>
      <c r="C212" s="1246">
        <v>46199</v>
      </c>
      <c r="D212" t="s">
        <v>224</v>
      </c>
      <c r="E212" t="s">
        <v>292</v>
      </c>
      <c r="F212" t="s">
        <v>309</v>
      </c>
      <c r="G212" s="1247">
        <v>100</v>
      </c>
      <c r="H212" s="1248">
        <v>27</v>
      </c>
      <c r="I212" s="1249">
        <v>2700</v>
      </c>
      <c r="J212" t="s">
        <v>293</v>
      </c>
      <c r="K212">
        <v>27</v>
      </c>
    </row>
    <row r="213">
      <c r="B213">
        <v>26</v>
      </c>
      <c r="C213" s="1250">
        <v>46200</v>
      </c>
      <c r="D213" t="s">
        <v>224</v>
      </c>
      <c r="E213" t="s">
        <v>292</v>
      </c>
      <c r="F213" t="s">
        <v>307</v>
      </c>
      <c r="G213" s="1251">
        <v>100</v>
      </c>
      <c r="H213" s="1252">
        <v>27</v>
      </c>
      <c r="I213" s="1253">
        <v>2700</v>
      </c>
      <c r="J213" t="s">
        <v>293</v>
      </c>
      <c r="K213">
        <v>27</v>
      </c>
    </row>
    <row r="214">
      <c r="B214">
        <v>26</v>
      </c>
      <c r="C214" s="1254">
        <v>46195</v>
      </c>
      <c r="D214" t="s">
        <v>6</v>
      </c>
      <c r="E214" t="s">
        <v>292</v>
      </c>
      <c r="F214" t="s">
        <v>297</v>
      </c>
      <c r="G214" s="1255">
        <v>250</v>
      </c>
      <c r="H214" s="1256">
        <v>27</v>
      </c>
      <c r="I214" s="1257">
        <v>6750</v>
      </c>
      <c r="J214" t="s">
        <v>293</v>
      </c>
      <c r="K214">
        <v>27</v>
      </c>
    </row>
    <row r="215">
      <c r="B215">
        <v>26</v>
      </c>
      <c r="C215" s="1258">
        <v>46195</v>
      </c>
      <c r="D215" t="s">
        <v>6</v>
      </c>
      <c r="E215" t="s">
        <v>292</v>
      </c>
      <c r="F215" t="s">
        <v>300</v>
      </c>
      <c r="G215" s="1259">
        <v>120</v>
      </c>
      <c r="H215" s="1260">
        <v>27</v>
      </c>
      <c r="I215" s="1261">
        <v>3240</v>
      </c>
      <c r="J215" t="s">
        <v>293</v>
      </c>
      <c r="K215">
        <v>27</v>
      </c>
    </row>
    <row r="216">
      <c r="B216">
        <v>26</v>
      </c>
      <c r="C216" s="1262">
        <v>46195</v>
      </c>
      <c r="D216" t="s">
        <v>6</v>
      </c>
      <c r="E216" t="s">
        <v>292</v>
      </c>
      <c r="F216" t="s">
        <v>310</v>
      </c>
      <c r="G216" s="1263">
        <v>50</v>
      </c>
      <c r="H216" s="1264">
        <v>27</v>
      </c>
      <c r="I216" s="1265">
        <v>1350</v>
      </c>
      <c r="J216" t="s">
        <v>293</v>
      </c>
      <c r="K216">
        <v>27</v>
      </c>
    </row>
    <row r="217">
      <c r="B217">
        <v>26</v>
      </c>
      <c r="C217" s="1266">
        <v>46195</v>
      </c>
      <c r="D217" t="s">
        <v>6</v>
      </c>
      <c r="E217" t="s">
        <v>292</v>
      </c>
      <c r="F217" t="s">
        <v>310</v>
      </c>
      <c r="G217" s="1267">
        <v>50</v>
      </c>
      <c r="H217" s="1268">
        <v>27</v>
      </c>
      <c r="I217" s="1269">
        <v>1350</v>
      </c>
      <c r="J217" t="s">
        <v>293</v>
      </c>
      <c r="K217">
        <v>27</v>
      </c>
    </row>
    <row r="218">
      <c r="B218">
        <v>26</v>
      </c>
      <c r="C218" s="1270">
        <v>46195</v>
      </c>
      <c r="D218" t="s">
        <v>6</v>
      </c>
      <c r="E218" t="s">
        <v>292</v>
      </c>
      <c r="F218" t="s">
        <v>311</v>
      </c>
      <c r="G218" s="1271">
        <v>50</v>
      </c>
      <c r="H218" s="1272">
        <v>27</v>
      </c>
      <c r="I218" s="1273">
        <v>1350</v>
      </c>
      <c r="J218" t="s">
        <v>293</v>
      </c>
      <c r="K218">
        <v>27</v>
      </c>
    </row>
    <row r="219">
      <c r="B219">
        <v>26</v>
      </c>
      <c r="C219" s="1274">
        <v>46195</v>
      </c>
      <c r="D219" t="s">
        <v>6</v>
      </c>
      <c r="E219" t="s">
        <v>292</v>
      </c>
      <c r="F219" t="s">
        <v>312</v>
      </c>
      <c r="G219" s="1275">
        <v>30</v>
      </c>
      <c r="H219" s="1276">
        <v>27</v>
      </c>
      <c r="I219" s="1277">
        <v>810</v>
      </c>
      <c r="J219" t="s">
        <v>293</v>
      </c>
      <c r="K219">
        <v>27</v>
      </c>
    </row>
    <row r="220">
      <c r="B220">
        <v>26</v>
      </c>
      <c r="C220" s="1278">
        <v>46195</v>
      </c>
      <c r="D220" t="s">
        <v>6</v>
      </c>
      <c r="E220" t="s">
        <v>292</v>
      </c>
      <c r="F220" t="s">
        <v>299</v>
      </c>
      <c r="G220" s="1279">
        <v>60</v>
      </c>
      <c r="H220" s="1280">
        <v>27</v>
      </c>
      <c r="I220" s="1281">
        <v>1620</v>
      </c>
      <c r="J220" t="s">
        <v>293</v>
      </c>
      <c r="K220">
        <v>27</v>
      </c>
    </row>
    <row r="221">
      <c r="B221">
        <v>26</v>
      </c>
      <c r="C221" s="1282">
        <v>46195</v>
      </c>
      <c r="D221" t="s">
        <v>6</v>
      </c>
      <c r="E221" t="s">
        <v>292</v>
      </c>
      <c r="F221" t="s">
        <v>305</v>
      </c>
      <c r="G221" s="1283">
        <v>50</v>
      </c>
      <c r="H221" s="1284">
        <v>27</v>
      </c>
      <c r="I221" s="1285">
        <v>1350</v>
      </c>
      <c r="J221" t="s">
        <v>293</v>
      </c>
      <c r="K221">
        <v>27</v>
      </c>
    </row>
    <row r="222">
      <c r="B222">
        <v>26</v>
      </c>
      <c r="C222" s="1286">
        <v>46196</v>
      </c>
      <c r="D222" t="s">
        <v>6</v>
      </c>
      <c r="E222" t="s">
        <v>292</v>
      </c>
      <c r="F222" t="s">
        <v>300</v>
      </c>
      <c r="G222" s="1287">
        <v>120</v>
      </c>
      <c r="H222" s="1288">
        <v>27</v>
      </c>
      <c r="I222" s="1289">
        <v>3240</v>
      </c>
      <c r="J222" t="s">
        <v>293</v>
      </c>
      <c r="K222">
        <v>27</v>
      </c>
    </row>
    <row r="223">
      <c r="B223">
        <v>26</v>
      </c>
      <c r="C223" s="1290">
        <v>46196</v>
      </c>
      <c r="D223" t="s">
        <v>6</v>
      </c>
      <c r="E223" t="s">
        <v>292</v>
      </c>
      <c r="F223" t="s">
        <v>310</v>
      </c>
      <c r="G223" s="1291">
        <v>40</v>
      </c>
      <c r="H223" s="1292">
        <v>27</v>
      </c>
      <c r="I223" s="1293">
        <v>1080</v>
      </c>
      <c r="J223" t="s">
        <v>293</v>
      </c>
      <c r="K223">
        <v>27</v>
      </c>
    </row>
    <row r="224">
      <c r="B224">
        <v>26</v>
      </c>
      <c r="C224" s="1294">
        <v>46196</v>
      </c>
      <c r="D224" t="s">
        <v>6</v>
      </c>
      <c r="E224" t="s">
        <v>292</v>
      </c>
      <c r="F224" t="s">
        <v>310</v>
      </c>
      <c r="G224" s="1295">
        <v>40</v>
      </c>
      <c r="H224" s="1296">
        <v>27</v>
      </c>
      <c r="I224" s="1297">
        <v>1080</v>
      </c>
      <c r="J224" t="s">
        <v>293</v>
      </c>
      <c r="K224">
        <v>27</v>
      </c>
    </row>
    <row r="225">
      <c r="B225">
        <v>26</v>
      </c>
      <c r="C225" s="1298">
        <v>46196</v>
      </c>
      <c r="D225" t="s">
        <v>6</v>
      </c>
      <c r="E225" t="s">
        <v>292</v>
      </c>
      <c r="F225" t="s">
        <v>311</v>
      </c>
      <c r="G225" s="1299">
        <v>50</v>
      </c>
      <c r="H225" s="1300">
        <v>27</v>
      </c>
      <c r="I225" s="1301">
        <v>1350</v>
      </c>
      <c r="J225" t="s">
        <v>293</v>
      </c>
      <c r="K225">
        <v>27</v>
      </c>
    </row>
    <row r="226">
      <c r="B226">
        <v>26</v>
      </c>
      <c r="C226" s="1302">
        <v>46196</v>
      </c>
      <c r="D226" t="s">
        <v>6</v>
      </c>
      <c r="E226" t="s">
        <v>292</v>
      </c>
      <c r="F226" t="s">
        <v>312</v>
      </c>
      <c r="G226" s="1303">
        <v>30</v>
      </c>
      <c r="H226" s="1304">
        <v>27</v>
      </c>
      <c r="I226" s="1305">
        <v>810</v>
      </c>
      <c r="J226" t="s">
        <v>293</v>
      </c>
      <c r="K226">
        <v>27</v>
      </c>
    </row>
    <row r="227">
      <c r="B227">
        <v>26</v>
      </c>
      <c r="C227" s="1306">
        <v>46196</v>
      </c>
      <c r="D227" t="s">
        <v>6</v>
      </c>
      <c r="E227" t="s">
        <v>292</v>
      </c>
      <c r="F227" t="s">
        <v>299</v>
      </c>
      <c r="G227" s="1307">
        <v>50</v>
      </c>
      <c r="H227" s="1308">
        <v>27</v>
      </c>
      <c r="I227" s="1309">
        <v>1350</v>
      </c>
      <c r="J227" t="s">
        <v>293</v>
      </c>
      <c r="K227">
        <v>27</v>
      </c>
    </row>
    <row r="228">
      <c r="B228">
        <v>26</v>
      </c>
      <c r="C228" s="1310">
        <v>46196</v>
      </c>
      <c r="D228" t="s">
        <v>6</v>
      </c>
      <c r="E228" t="s">
        <v>292</v>
      </c>
      <c r="F228" t="s">
        <v>305</v>
      </c>
      <c r="G228" s="1311">
        <v>50</v>
      </c>
      <c r="H228" s="1312">
        <v>27</v>
      </c>
      <c r="I228" s="1313">
        <v>1350</v>
      </c>
      <c r="J228" t="s">
        <v>293</v>
      </c>
      <c r="K228">
        <v>27</v>
      </c>
    </row>
    <row r="229">
      <c r="B229">
        <v>26</v>
      </c>
      <c r="C229" s="1314">
        <v>46197</v>
      </c>
      <c r="D229" t="s">
        <v>6</v>
      </c>
      <c r="E229" t="s">
        <v>292</v>
      </c>
      <c r="F229" t="s">
        <v>297</v>
      </c>
      <c r="G229" s="1315">
        <v>250</v>
      </c>
      <c r="H229" s="1316">
        <v>27</v>
      </c>
      <c r="I229" s="1317">
        <v>6750</v>
      </c>
      <c r="J229" t="s">
        <v>293</v>
      </c>
      <c r="K229">
        <v>27</v>
      </c>
    </row>
    <row r="230">
      <c r="B230">
        <v>26</v>
      </c>
      <c r="C230" s="1318">
        <v>46197</v>
      </c>
      <c r="D230" t="s">
        <v>6</v>
      </c>
      <c r="E230" t="s">
        <v>292</v>
      </c>
      <c r="F230" t="s">
        <v>300</v>
      </c>
      <c r="G230" s="1319">
        <v>120</v>
      </c>
      <c r="H230" s="1320">
        <v>27</v>
      </c>
      <c r="I230" s="1321">
        <v>3240</v>
      </c>
      <c r="J230" t="s">
        <v>293</v>
      </c>
      <c r="K230">
        <v>27</v>
      </c>
    </row>
    <row r="231">
      <c r="B231">
        <v>26</v>
      </c>
      <c r="C231" s="1322">
        <v>46197</v>
      </c>
      <c r="D231" t="s">
        <v>6</v>
      </c>
      <c r="E231" t="s">
        <v>292</v>
      </c>
      <c r="F231" t="s">
        <v>310</v>
      </c>
      <c r="G231" s="1323">
        <v>40</v>
      </c>
      <c r="H231" s="1324">
        <v>27</v>
      </c>
      <c r="I231" s="1325">
        <v>1080</v>
      </c>
      <c r="J231" t="s">
        <v>293</v>
      </c>
      <c r="K231">
        <v>27</v>
      </c>
    </row>
    <row r="232">
      <c r="B232">
        <v>26</v>
      </c>
      <c r="C232" s="1326">
        <v>46197</v>
      </c>
      <c r="D232" t="s">
        <v>6</v>
      </c>
      <c r="E232" t="s">
        <v>292</v>
      </c>
      <c r="F232" t="s">
        <v>310</v>
      </c>
      <c r="G232" s="1327">
        <v>40</v>
      </c>
      <c r="H232" s="1328">
        <v>27</v>
      </c>
      <c r="I232" s="1329">
        <v>1080</v>
      </c>
      <c r="J232" t="s">
        <v>293</v>
      </c>
      <c r="K232">
        <v>27</v>
      </c>
    </row>
    <row r="233">
      <c r="B233">
        <v>26</v>
      </c>
      <c r="C233" s="1330">
        <v>46197</v>
      </c>
      <c r="D233" t="s">
        <v>6</v>
      </c>
      <c r="E233" t="s">
        <v>292</v>
      </c>
      <c r="F233" t="s">
        <v>311</v>
      </c>
      <c r="G233" s="1331">
        <v>50</v>
      </c>
      <c r="H233" s="1332">
        <v>27</v>
      </c>
      <c r="I233" s="1333">
        <v>1350</v>
      </c>
      <c r="J233" t="s">
        <v>293</v>
      </c>
      <c r="K233">
        <v>27</v>
      </c>
    </row>
    <row r="234">
      <c r="B234">
        <v>26</v>
      </c>
      <c r="C234" s="1334">
        <v>46197</v>
      </c>
      <c r="D234" t="s">
        <v>6</v>
      </c>
      <c r="E234" t="s">
        <v>292</v>
      </c>
      <c r="F234" t="s">
        <v>312</v>
      </c>
      <c r="G234" s="1335">
        <v>20</v>
      </c>
      <c r="H234" s="1336">
        <v>27</v>
      </c>
      <c r="I234" s="1337">
        <v>540</v>
      </c>
      <c r="J234" t="s">
        <v>293</v>
      </c>
      <c r="K234">
        <v>27</v>
      </c>
    </row>
    <row r="235">
      <c r="B235">
        <v>26</v>
      </c>
      <c r="C235" s="1338">
        <v>46197</v>
      </c>
      <c r="D235" t="s">
        <v>6</v>
      </c>
      <c r="E235" t="s">
        <v>292</v>
      </c>
      <c r="F235" t="s">
        <v>299</v>
      </c>
      <c r="G235" s="1339">
        <v>50</v>
      </c>
      <c r="H235" s="1340">
        <v>27</v>
      </c>
      <c r="I235" s="1341">
        <v>1350</v>
      </c>
      <c r="J235" t="s">
        <v>293</v>
      </c>
      <c r="K235">
        <v>27</v>
      </c>
    </row>
    <row r="236">
      <c r="B236">
        <v>26</v>
      </c>
      <c r="C236" s="1342">
        <v>46197</v>
      </c>
      <c r="D236" t="s">
        <v>6</v>
      </c>
      <c r="E236" t="s">
        <v>292</v>
      </c>
      <c r="F236" t="s">
        <v>305</v>
      </c>
      <c r="G236" s="1343">
        <v>50</v>
      </c>
      <c r="H236" s="1344">
        <v>27</v>
      </c>
      <c r="I236" s="1345">
        <v>1350</v>
      </c>
      <c r="J236" t="s">
        <v>293</v>
      </c>
      <c r="K236">
        <v>27</v>
      </c>
    </row>
    <row r="237">
      <c r="B237">
        <v>26</v>
      </c>
      <c r="C237" s="1346">
        <v>46198</v>
      </c>
      <c r="D237" t="s">
        <v>6</v>
      </c>
      <c r="E237" t="s">
        <v>292</v>
      </c>
      <c r="F237" t="s">
        <v>297</v>
      </c>
      <c r="G237" s="1347">
        <v>250</v>
      </c>
      <c r="H237" s="1348">
        <v>27</v>
      </c>
      <c r="I237" s="1349">
        <v>6750</v>
      </c>
      <c r="J237" t="s">
        <v>293</v>
      </c>
      <c r="K237">
        <v>27</v>
      </c>
    </row>
    <row r="238">
      <c r="B238">
        <v>26</v>
      </c>
      <c r="C238" s="1350">
        <v>46198</v>
      </c>
      <c r="D238" t="s">
        <v>6</v>
      </c>
      <c r="E238" t="s">
        <v>292</v>
      </c>
      <c r="F238" t="s">
        <v>300</v>
      </c>
      <c r="G238" s="1351">
        <v>120</v>
      </c>
      <c r="H238" s="1352">
        <v>27</v>
      </c>
      <c r="I238" s="1353">
        <v>3240</v>
      </c>
      <c r="J238" t="s">
        <v>293</v>
      </c>
      <c r="K238">
        <v>27</v>
      </c>
    </row>
    <row r="239">
      <c r="B239">
        <v>26</v>
      </c>
      <c r="C239" s="1354">
        <v>46198</v>
      </c>
      <c r="D239" t="s">
        <v>6</v>
      </c>
      <c r="E239" t="s">
        <v>292</v>
      </c>
      <c r="F239" t="s">
        <v>310</v>
      </c>
      <c r="G239" s="1355">
        <v>40</v>
      </c>
      <c r="H239" s="1356">
        <v>27</v>
      </c>
      <c r="I239" s="1357">
        <v>1080</v>
      </c>
      <c r="J239" t="s">
        <v>293</v>
      </c>
      <c r="K239">
        <v>27</v>
      </c>
    </row>
    <row r="240">
      <c r="B240">
        <v>26</v>
      </c>
      <c r="C240" s="1358">
        <v>46198</v>
      </c>
      <c r="D240" t="s">
        <v>6</v>
      </c>
      <c r="E240" t="s">
        <v>292</v>
      </c>
      <c r="F240" t="s">
        <v>310</v>
      </c>
      <c r="G240" s="1359">
        <v>40</v>
      </c>
      <c r="H240" s="1360">
        <v>27</v>
      </c>
      <c r="I240" s="1361">
        <v>1080</v>
      </c>
      <c r="J240" t="s">
        <v>293</v>
      </c>
      <c r="K240">
        <v>27</v>
      </c>
    </row>
    <row r="241">
      <c r="B241">
        <v>26</v>
      </c>
      <c r="C241" s="1362">
        <v>46198</v>
      </c>
      <c r="D241" t="s">
        <v>6</v>
      </c>
      <c r="E241" t="s">
        <v>292</v>
      </c>
      <c r="F241" t="s">
        <v>311</v>
      </c>
      <c r="G241" s="1363">
        <v>50</v>
      </c>
      <c r="H241" s="1364">
        <v>27</v>
      </c>
      <c r="I241" s="1365">
        <v>1350</v>
      </c>
      <c r="J241" t="s">
        <v>293</v>
      </c>
      <c r="K241">
        <v>27</v>
      </c>
    </row>
    <row r="242">
      <c r="B242">
        <v>26</v>
      </c>
      <c r="C242" s="1366">
        <v>46198</v>
      </c>
      <c r="D242" t="s">
        <v>6</v>
      </c>
      <c r="E242" t="s">
        <v>292</v>
      </c>
      <c r="F242" t="s">
        <v>312</v>
      </c>
      <c r="G242" s="1367">
        <v>20</v>
      </c>
      <c r="H242" s="1368">
        <v>27</v>
      </c>
      <c r="I242" s="1369">
        <v>540</v>
      </c>
      <c r="J242" t="s">
        <v>293</v>
      </c>
      <c r="K242">
        <v>27</v>
      </c>
    </row>
    <row r="243">
      <c r="B243">
        <v>26</v>
      </c>
      <c r="C243" s="1370">
        <v>46198</v>
      </c>
      <c r="D243" t="s">
        <v>6</v>
      </c>
      <c r="E243" t="s">
        <v>292</v>
      </c>
      <c r="F243" t="s">
        <v>299</v>
      </c>
      <c r="G243" s="1371">
        <v>50</v>
      </c>
      <c r="H243" s="1372">
        <v>27</v>
      </c>
      <c r="I243" s="1373">
        <v>1350</v>
      </c>
      <c r="J243" t="s">
        <v>293</v>
      </c>
      <c r="K243">
        <v>27</v>
      </c>
    </row>
    <row r="244">
      <c r="B244">
        <v>26</v>
      </c>
      <c r="C244" s="1374">
        <v>46198</v>
      </c>
      <c r="D244" t="s">
        <v>6</v>
      </c>
      <c r="E244" t="s">
        <v>292</v>
      </c>
      <c r="F244" t="s">
        <v>305</v>
      </c>
      <c r="G244" s="1375">
        <v>50</v>
      </c>
      <c r="H244" s="1376">
        <v>27</v>
      </c>
      <c r="I244" s="1377">
        <v>1350</v>
      </c>
      <c r="J244" t="s">
        <v>293</v>
      </c>
      <c r="K244">
        <v>27</v>
      </c>
    </row>
    <row r="245">
      <c r="B245">
        <v>26</v>
      </c>
      <c r="C245" s="1378">
        <v>46199</v>
      </c>
      <c r="D245" t="s">
        <v>6</v>
      </c>
      <c r="E245" t="s">
        <v>292</v>
      </c>
      <c r="F245" t="s">
        <v>297</v>
      </c>
      <c r="G245" s="1379">
        <v>250</v>
      </c>
      <c r="H245" s="1380">
        <v>27</v>
      </c>
      <c r="I245" s="1381">
        <v>6750</v>
      </c>
      <c r="J245" t="s">
        <v>293</v>
      </c>
      <c r="K245">
        <v>27</v>
      </c>
    </row>
    <row r="246">
      <c r="B246">
        <v>26</v>
      </c>
      <c r="C246" s="1382">
        <v>46199</v>
      </c>
      <c r="D246" t="s">
        <v>6</v>
      </c>
      <c r="E246" t="s">
        <v>292</v>
      </c>
      <c r="F246" t="s">
        <v>300</v>
      </c>
      <c r="G246" s="1383">
        <v>120</v>
      </c>
      <c r="H246" s="1384">
        <v>27</v>
      </c>
      <c r="I246" s="1385">
        <v>3240</v>
      </c>
      <c r="J246" t="s">
        <v>293</v>
      </c>
      <c r="K246">
        <v>27</v>
      </c>
    </row>
    <row r="247">
      <c r="B247">
        <v>26</v>
      </c>
      <c r="C247" s="1386">
        <v>46199</v>
      </c>
      <c r="D247" t="s">
        <v>6</v>
      </c>
      <c r="E247" t="s">
        <v>292</v>
      </c>
      <c r="F247" t="s">
        <v>310</v>
      </c>
      <c r="G247" s="1387">
        <v>40</v>
      </c>
      <c r="H247" s="1388">
        <v>27</v>
      </c>
      <c r="I247" s="1389">
        <v>1080</v>
      </c>
      <c r="J247" t="s">
        <v>293</v>
      </c>
      <c r="K247">
        <v>27</v>
      </c>
    </row>
    <row r="248">
      <c r="B248">
        <v>26</v>
      </c>
      <c r="C248" s="1390">
        <v>46199</v>
      </c>
      <c r="D248" t="s">
        <v>6</v>
      </c>
      <c r="E248" t="s">
        <v>292</v>
      </c>
      <c r="F248" t="s">
        <v>310</v>
      </c>
      <c r="G248" s="1391">
        <v>40</v>
      </c>
      <c r="H248" s="1392">
        <v>27</v>
      </c>
      <c r="I248" s="1393">
        <v>1080</v>
      </c>
      <c r="J248" t="s">
        <v>293</v>
      </c>
      <c r="K248">
        <v>27</v>
      </c>
    </row>
    <row r="249">
      <c r="B249">
        <v>26</v>
      </c>
      <c r="C249" s="1394">
        <v>46199</v>
      </c>
      <c r="D249" t="s">
        <v>6</v>
      </c>
      <c r="E249" t="s">
        <v>292</v>
      </c>
      <c r="F249" t="s">
        <v>311</v>
      </c>
      <c r="G249" s="1395">
        <v>50</v>
      </c>
      <c r="H249" s="1396">
        <v>27</v>
      </c>
      <c r="I249" s="1397">
        <v>1350</v>
      </c>
      <c r="J249" t="s">
        <v>293</v>
      </c>
      <c r="K249">
        <v>27</v>
      </c>
    </row>
    <row r="250">
      <c r="B250">
        <v>26</v>
      </c>
      <c r="C250" s="1398">
        <v>46199</v>
      </c>
      <c r="D250" t="s">
        <v>6</v>
      </c>
      <c r="E250" t="s">
        <v>292</v>
      </c>
      <c r="F250" t="s">
        <v>312</v>
      </c>
      <c r="G250" s="1399">
        <v>20</v>
      </c>
      <c r="H250" s="1400">
        <v>27</v>
      </c>
      <c r="I250" s="1401">
        <v>540</v>
      </c>
      <c r="J250" t="s">
        <v>293</v>
      </c>
      <c r="K250">
        <v>27</v>
      </c>
    </row>
    <row r="251">
      <c r="B251">
        <v>26</v>
      </c>
      <c r="C251" s="1402">
        <v>46199</v>
      </c>
      <c r="D251" t="s">
        <v>6</v>
      </c>
      <c r="E251" t="s">
        <v>292</v>
      </c>
      <c r="F251" t="s">
        <v>299</v>
      </c>
      <c r="G251" s="1403">
        <v>50</v>
      </c>
      <c r="H251" s="1404">
        <v>27</v>
      </c>
      <c r="I251" s="1405">
        <v>1350</v>
      </c>
      <c r="J251" t="s">
        <v>293</v>
      </c>
      <c r="K251">
        <v>27</v>
      </c>
    </row>
    <row r="252">
      <c r="B252">
        <v>26</v>
      </c>
      <c r="C252" s="1406">
        <v>46199</v>
      </c>
      <c r="D252" t="s">
        <v>6</v>
      </c>
      <c r="E252" t="s">
        <v>292</v>
      </c>
      <c r="F252" t="s">
        <v>305</v>
      </c>
      <c r="G252" s="1407">
        <v>50</v>
      </c>
      <c r="H252" s="1408">
        <v>27</v>
      </c>
      <c r="I252" s="1409">
        <v>1350</v>
      </c>
      <c r="J252" t="s">
        <v>293</v>
      </c>
      <c r="K252">
        <v>27</v>
      </c>
    </row>
    <row r="253">
      <c r="B253">
        <v>26</v>
      </c>
      <c r="C253" s="1410">
        <v>46195</v>
      </c>
      <c r="D253" t="s">
        <v>210</v>
      </c>
      <c r="E253" t="s">
        <v>292</v>
      </c>
      <c r="F253" t="s">
        <v>307</v>
      </c>
      <c r="G253" s="1411">
        <v>50</v>
      </c>
      <c r="H253" s="1412">
        <v>27</v>
      </c>
      <c r="I253" s="1413">
        <v>1350</v>
      </c>
      <c r="J253" t="s">
        <v>293</v>
      </c>
      <c r="K253">
        <v>27</v>
      </c>
    </row>
    <row r="254">
      <c r="B254">
        <v>26</v>
      </c>
      <c r="C254" s="1414">
        <v>46195</v>
      </c>
      <c r="D254" t="s">
        <v>210</v>
      </c>
      <c r="E254" t="s">
        <v>292</v>
      </c>
      <c r="F254" t="s">
        <v>307</v>
      </c>
      <c r="G254" s="1415">
        <v>50</v>
      </c>
      <c r="H254" s="1416">
        <v>27</v>
      </c>
      <c r="I254" s="1417">
        <v>1350</v>
      </c>
      <c r="J254" t="s">
        <v>293</v>
      </c>
      <c r="K254">
        <v>27</v>
      </c>
    </row>
    <row r="255">
      <c r="B255">
        <v>26</v>
      </c>
      <c r="C255" s="1418">
        <v>46195</v>
      </c>
      <c r="D255" t="s">
        <v>210</v>
      </c>
      <c r="E255" t="s">
        <v>292</v>
      </c>
      <c r="F255" t="s">
        <v>313</v>
      </c>
      <c r="G255" s="1419">
        <v>10</v>
      </c>
      <c r="H255" s="1420">
        <v>27</v>
      </c>
      <c r="I255" s="1421">
        <v>270</v>
      </c>
      <c r="J255" t="s">
        <v>293</v>
      </c>
      <c r="K255">
        <v>27</v>
      </c>
    </row>
    <row r="256">
      <c r="B256">
        <v>26</v>
      </c>
      <c r="C256" s="1422">
        <v>46195</v>
      </c>
      <c r="D256" t="s">
        <v>210</v>
      </c>
      <c r="E256" t="s">
        <v>292</v>
      </c>
      <c r="F256" t="s">
        <v>314</v>
      </c>
      <c r="G256" s="1423">
        <v>8</v>
      </c>
      <c r="H256" s="1424">
        <v>27</v>
      </c>
      <c r="I256" s="1425">
        <v>216</v>
      </c>
      <c r="J256" t="s">
        <v>293</v>
      </c>
      <c r="K256">
        <v>27</v>
      </c>
    </row>
    <row r="257">
      <c r="B257">
        <v>26</v>
      </c>
      <c r="C257" s="1426">
        <v>46196</v>
      </c>
      <c r="D257" t="s">
        <v>210</v>
      </c>
      <c r="E257" t="s">
        <v>292</v>
      </c>
      <c r="F257" t="s">
        <v>307</v>
      </c>
      <c r="G257" s="1427">
        <v>50</v>
      </c>
      <c r="H257" s="1428">
        <v>27</v>
      </c>
      <c r="I257" s="1429">
        <v>1350</v>
      </c>
      <c r="J257" t="s">
        <v>293</v>
      </c>
      <c r="K257">
        <v>27</v>
      </c>
    </row>
    <row r="258">
      <c r="B258">
        <v>26</v>
      </c>
      <c r="C258" s="1430">
        <v>46196</v>
      </c>
      <c r="D258" t="s">
        <v>210</v>
      </c>
      <c r="E258" t="s">
        <v>292</v>
      </c>
      <c r="F258" t="s">
        <v>307</v>
      </c>
      <c r="G258" s="1431">
        <v>40</v>
      </c>
      <c r="H258" s="1432">
        <v>27</v>
      </c>
      <c r="I258" s="1433">
        <v>1080</v>
      </c>
      <c r="J258" t="s">
        <v>293</v>
      </c>
      <c r="K258">
        <v>27</v>
      </c>
    </row>
    <row r="259">
      <c r="B259">
        <v>26</v>
      </c>
      <c r="C259" s="1434">
        <v>46196</v>
      </c>
      <c r="D259" t="s">
        <v>210</v>
      </c>
      <c r="E259" t="s">
        <v>292</v>
      </c>
      <c r="F259" t="s">
        <v>313</v>
      </c>
      <c r="G259" s="1435">
        <v>10</v>
      </c>
      <c r="H259" s="1436">
        <v>27</v>
      </c>
      <c r="I259" s="1437">
        <v>270</v>
      </c>
      <c r="J259" t="s">
        <v>293</v>
      </c>
      <c r="K259">
        <v>27</v>
      </c>
    </row>
    <row r="260">
      <c r="B260">
        <v>26</v>
      </c>
      <c r="C260" s="1438">
        <v>46196</v>
      </c>
      <c r="D260" t="s">
        <v>210</v>
      </c>
      <c r="E260" t="s">
        <v>292</v>
      </c>
      <c r="F260" t="s">
        <v>314</v>
      </c>
      <c r="G260" s="1439">
        <v>5</v>
      </c>
      <c r="H260" s="1440">
        <v>27</v>
      </c>
      <c r="I260" s="1441">
        <v>135</v>
      </c>
      <c r="J260" t="s">
        <v>293</v>
      </c>
      <c r="K260">
        <v>27</v>
      </c>
    </row>
    <row r="261">
      <c r="B261">
        <v>26</v>
      </c>
      <c r="C261" s="1442">
        <v>46197</v>
      </c>
      <c r="D261" t="s">
        <v>210</v>
      </c>
      <c r="E261" t="s">
        <v>292</v>
      </c>
      <c r="F261" t="s">
        <v>307</v>
      </c>
      <c r="G261" s="1443">
        <v>50</v>
      </c>
      <c r="H261" s="1444">
        <v>27</v>
      </c>
      <c r="I261" s="1445">
        <v>1350</v>
      </c>
      <c r="J261" t="s">
        <v>293</v>
      </c>
      <c r="K261">
        <v>27</v>
      </c>
    </row>
    <row r="262">
      <c r="B262">
        <v>26</v>
      </c>
      <c r="C262" s="1446">
        <v>46197</v>
      </c>
      <c r="D262" t="s">
        <v>210</v>
      </c>
      <c r="E262" t="s">
        <v>292</v>
      </c>
      <c r="F262" t="s">
        <v>307</v>
      </c>
      <c r="G262" s="1447">
        <v>40</v>
      </c>
      <c r="H262" s="1448">
        <v>27</v>
      </c>
      <c r="I262" s="1449">
        <v>1080</v>
      </c>
      <c r="J262" t="s">
        <v>293</v>
      </c>
      <c r="K262">
        <v>27</v>
      </c>
    </row>
    <row r="263">
      <c r="B263">
        <v>26</v>
      </c>
      <c r="C263" s="1450">
        <v>46197</v>
      </c>
      <c r="D263" t="s">
        <v>210</v>
      </c>
      <c r="E263" t="s">
        <v>292</v>
      </c>
      <c r="F263" t="s">
        <v>313</v>
      </c>
      <c r="G263" s="1451">
        <v>10</v>
      </c>
      <c r="H263" s="1452">
        <v>27</v>
      </c>
      <c r="I263" s="1453">
        <v>270</v>
      </c>
      <c r="J263" t="s">
        <v>293</v>
      </c>
      <c r="K263">
        <v>27</v>
      </c>
    </row>
    <row r="264">
      <c r="B264">
        <v>26</v>
      </c>
      <c r="C264" s="1454">
        <v>46197</v>
      </c>
      <c r="D264" t="s">
        <v>210</v>
      </c>
      <c r="E264" t="s">
        <v>292</v>
      </c>
      <c r="F264" t="s">
        <v>314</v>
      </c>
      <c r="G264" s="1455">
        <v>8</v>
      </c>
      <c r="H264" s="1456">
        <v>27</v>
      </c>
      <c r="I264" s="1457">
        <v>216</v>
      </c>
      <c r="J264" t="s">
        <v>293</v>
      </c>
      <c r="K264">
        <v>27</v>
      </c>
    </row>
    <row r="265">
      <c r="B265">
        <v>26</v>
      </c>
      <c r="C265" s="1458">
        <v>46198</v>
      </c>
      <c r="D265" t="s">
        <v>210</v>
      </c>
      <c r="E265" t="s">
        <v>292</v>
      </c>
      <c r="F265" t="s">
        <v>307</v>
      </c>
      <c r="G265" s="1459">
        <v>60</v>
      </c>
      <c r="H265" s="1460">
        <v>27</v>
      </c>
      <c r="I265" s="1461">
        <v>1620</v>
      </c>
      <c r="J265" t="s">
        <v>293</v>
      </c>
      <c r="K265">
        <v>27</v>
      </c>
    </row>
    <row r="266">
      <c r="B266">
        <v>26</v>
      </c>
      <c r="C266" s="1462">
        <v>46198</v>
      </c>
      <c r="D266" t="s">
        <v>210</v>
      </c>
      <c r="E266" t="s">
        <v>292</v>
      </c>
      <c r="F266" t="s">
        <v>307</v>
      </c>
      <c r="G266" s="1463">
        <v>60</v>
      </c>
      <c r="H266" s="1464">
        <v>27</v>
      </c>
      <c r="I266" s="1465">
        <v>1620</v>
      </c>
      <c r="J266" t="s">
        <v>293</v>
      </c>
      <c r="K266">
        <v>27</v>
      </c>
    </row>
    <row r="267">
      <c r="B267">
        <v>26</v>
      </c>
      <c r="C267" s="1466">
        <v>46198</v>
      </c>
      <c r="D267" t="s">
        <v>210</v>
      </c>
      <c r="E267" t="s">
        <v>292</v>
      </c>
      <c r="F267" t="s">
        <v>314</v>
      </c>
      <c r="G267" s="1467">
        <v>5</v>
      </c>
      <c r="H267" s="1468">
        <v>27</v>
      </c>
      <c r="I267" s="1469">
        <v>135</v>
      </c>
      <c r="J267" t="s">
        <v>293</v>
      </c>
      <c r="K267">
        <v>27</v>
      </c>
    </row>
    <row r="268">
      <c r="B268">
        <v>26</v>
      </c>
      <c r="C268" s="1470">
        <v>46199</v>
      </c>
      <c r="D268" t="s">
        <v>210</v>
      </c>
      <c r="E268" t="s">
        <v>292</v>
      </c>
      <c r="F268" t="s">
        <v>307</v>
      </c>
      <c r="G268" s="1471">
        <v>50</v>
      </c>
      <c r="H268" s="1472">
        <v>27</v>
      </c>
      <c r="I268" s="1473">
        <v>1350</v>
      </c>
      <c r="J268" t="s">
        <v>293</v>
      </c>
      <c r="K268">
        <v>27</v>
      </c>
    </row>
    <row r="269">
      <c r="B269">
        <v>26</v>
      </c>
      <c r="C269" s="1474">
        <v>46199</v>
      </c>
      <c r="D269" t="s">
        <v>210</v>
      </c>
      <c r="E269" t="s">
        <v>292</v>
      </c>
      <c r="F269" t="s">
        <v>307</v>
      </c>
      <c r="G269" s="1475">
        <v>50</v>
      </c>
      <c r="H269" s="1476">
        <v>27</v>
      </c>
      <c r="I269" s="1477">
        <v>1350</v>
      </c>
      <c r="J269" t="s">
        <v>293</v>
      </c>
      <c r="K269">
        <v>27</v>
      </c>
    </row>
    <row r="270">
      <c r="B270">
        <v>26</v>
      </c>
      <c r="C270" s="1478">
        <v>46199</v>
      </c>
      <c r="D270" t="s">
        <v>210</v>
      </c>
      <c r="E270" t="s">
        <v>292</v>
      </c>
      <c r="F270" t="s">
        <v>313</v>
      </c>
      <c r="G270" s="1479">
        <v>10</v>
      </c>
      <c r="H270" s="1480">
        <v>27</v>
      </c>
      <c r="I270" s="1481">
        <v>270</v>
      </c>
      <c r="J270" t="s">
        <v>293</v>
      </c>
      <c r="K270">
        <v>27</v>
      </c>
    </row>
    <row r="271">
      <c r="B271">
        <v>26</v>
      </c>
      <c r="C271" s="1482">
        <v>46199</v>
      </c>
      <c r="D271" t="s">
        <v>210</v>
      </c>
      <c r="E271" t="s">
        <v>292</v>
      </c>
      <c r="F271" t="s">
        <v>314</v>
      </c>
      <c r="G271" s="1483">
        <v>8</v>
      </c>
      <c r="H271" s="1484">
        <v>27</v>
      </c>
      <c r="I271" s="1485">
        <v>216</v>
      </c>
      <c r="J271" t="s">
        <v>293</v>
      </c>
      <c r="K271">
        <v>27</v>
      </c>
    </row>
    <row r="272">
      <c r="B272">
        <v>26</v>
      </c>
      <c r="C272" s="1486">
        <v>46196</v>
      </c>
      <c r="D272" t="s">
        <v>214</v>
      </c>
      <c r="E272" t="s">
        <v>292</v>
      </c>
      <c r="F272" t="s">
        <v>315</v>
      </c>
      <c r="G272" s="1487">
        <v>300</v>
      </c>
      <c r="H272" s="1488">
        <v>27</v>
      </c>
      <c r="I272" s="1489">
        <v>8100</v>
      </c>
      <c r="J272" t="s">
        <v>293</v>
      </c>
      <c r="K272">
        <v>27</v>
      </c>
    </row>
    <row r="273">
      <c r="B273">
        <v>26</v>
      </c>
      <c r="C273" s="1490">
        <v>46197</v>
      </c>
      <c r="D273" t="s">
        <v>214</v>
      </c>
      <c r="E273" t="s">
        <v>292</v>
      </c>
      <c r="F273" t="s">
        <v>316</v>
      </c>
      <c r="G273" s="1491">
        <v>600</v>
      </c>
      <c r="H273" s="1492">
        <v>27</v>
      </c>
      <c r="I273" s="1493">
        <v>16200</v>
      </c>
      <c r="J273" t="s">
        <v>293</v>
      </c>
      <c r="K273">
        <v>27</v>
      </c>
    </row>
    <row r="274">
      <c r="B274">
        <v>26</v>
      </c>
      <c r="C274" s="1494">
        <v>46197</v>
      </c>
      <c r="D274" t="s">
        <v>214</v>
      </c>
      <c r="E274" t="s">
        <v>292</v>
      </c>
      <c r="F274" t="s">
        <v>317</v>
      </c>
      <c r="G274" s="1495">
        <v>400</v>
      </c>
      <c r="H274" s="1496">
        <v>27</v>
      </c>
      <c r="I274" s="1497">
        <v>10800</v>
      </c>
      <c r="J274" t="s">
        <v>293</v>
      </c>
      <c r="K274">
        <v>27</v>
      </c>
    </row>
    <row r="275">
      <c r="B275">
        <v>26</v>
      </c>
      <c r="C275" s="1498">
        <v>46198</v>
      </c>
      <c r="D275" t="s">
        <v>214</v>
      </c>
      <c r="E275" t="s">
        <v>292</v>
      </c>
      <c r="F275" t="s">
        <v>315</v>
      </c>
      <c r="G275" s="1499">
        <v>300</v>
      </c>
      <c r="H275" s="1500">
        <v>27</v>
      </c>
      <c r="I275" s="1501">
        <v>8100</v>
      </c>
      <c r="J275" t="s">
        <v>293</v>
      </c>
      <c r="K275">
        <v>27</v>
      </c>
    </row>
    <row r="276">
      <c r="B276">
        <v>26</v>
      </c>
      <c r="C276" s="1502">
        <v>46195</v>
      </c>
      <c r="D276" t="s">
        <v>8</v>
      </c>
      <c r="E276" t="s">
        <v>292</v>
      </c>
      <c r="F276" t="s">
        <v>318</v>
      </c>
      <c r="G276" s="1503">
        <v>30</v>
      </c>
      <c r="H276" s="1504">
        <v>27</v>
      </c>
      <c r="I276" s="1505">
        <v>810</v>
      </c>
      <c r="J276" t="s">
        <v>293</v>
      </c>
      <c r="K276">
        <v>27</v>
      </c>
    </row>
    <row r="277">
      <c r="B277">
        <v>26</v>
      </c>
      <c r="C277" s="1506">
        <v>46196</v>
      </c>
      <c r="D277" t="s">
        <v>8</v>
      </c>
      <c r="E277" t="s">
        <v>292</v>
      </c>
      <c r="F277" t="s">
        <v>318</v>
      </c>
      <c r="G277" s="1507">
        <v>30</v>
      </c>
      <c r="H277" s="1508">
        <v>27</v>
      </c>
      <c r="I277" s="1509">
        <v>810</v>
      </c>
      <c r="J277" t="s">
        <v>293</v>
      </c>
      <c r="K277">
        <v>27</v>
      </c>
    </row>
    <row r="278">
      <c r="B278">
        <v>26</v>
      </c>
      <c r="C278" s="1510">
        <v>46197</v>
      </c>
      <c r="D278" t="s">
        <v>8</v>
      </c>
      <c r="E278" t="s">
        <v>292</v>
      </c>
      <c r="F278" t="s">
        <v>318</v>
      </c>
      <c r="G278" s="1511">
        <v>30</v>
      </c>
      <c r="H278" s="1512">
        <v>27</v>
      </c>
      <c r="I278" s="1513">
        <v>810</v>
      </c>
      <c r="J278" t="s">
        <v>293</v>
      </c>
      <c r="K278">
        <v>27</v>
      </c>
    </row>
    <row r="279">
      <c r="B279">
        <v>26</v>
      </c>
      <c r="C279" s="1514">
        <v>46198</v>
      </c>
      <c r="D279" t="s">
        <v>8</v>
      </c>
      <c r="E279" t="s">
        <v>292</v>
      </c>
      <c r="F279" t="s">
        <v>318</v>
      </c>
      <c r="G279" s="1515">
        <v>30</v>
      </c>
      <c r="H279" s="1516">
        <v>27</v>
      </c>
      <c r="I279" s="1517">
        <v>810</v>
      </c>
      <c r="J279" t="s">
        <v>293</v>
      </c>
      <c r="K279">
        <v>27</v>
      </c>
    </row>
    <row r="280">
      <c r="B280">
        <v>26</v>
      </c>
      <c r="C280" s="1518">
        <v>46199</v>
      </c>
      <c r="D280" t="s">
        <v>8</v>
      </c>
      <c r="E280" t="s">
        <v>292</v>
      </c>
      <c r="F280" t="s">
        <v>318</v>
      </c>
      <c r="G280" s="1519">
        <v>30</v>
      </c>
      <c r="H280" s="1520">
        <v>27</v>
      </c>
      <c r="I280" s="1521">
        <v>810</v>
      </c>
      <c r="J280" t="s">
        <v>293</v>
      </c>
      <c r="K280">
        <v>27</v>
      </c>
    </row>
    <row r="281">
      <c r="B281">
        <v>27</v>
      </c>
      <c r="C281" s="1522">
        <v>46202</v>
      </c>
      <c r="D281" t="s">
        <v>319</v>
      </c>
      <c r="E281" t="s">
        <v>292</v>
      </c>
      <c r="F281" t="s">
        <v>320</v>
      </c>
      <c r="G281" s="1523">
        <v>300</v>
      </c>
      <c r="H281" s="1524">
        <v>27</v>
      </c>
      <c r="I281" s="1525">
        <v>8100</v>
      </c>
      <c r="J281" t="s">
        <v>293</v>
      </c>
      <c r="K281">
        <v>23.95</v>
      </c>
    </row>
    <row r="282">
      <c r="B282">
        <v>27</v>
      </c>
      <c r="C282" s="1526">
        <v>46202</v>
      </c>
      <c r="D282" t="s">
        <v>319</v>
      </c>
      <c r="E282" t="s">
        <v>292</v>
      </c>
      <c r="F282" t="s">
        <v>321</v>
      </c>
      <c r="G282" s="1527">
        <v>100</v>
      </c>
      <c r="H282" s="1528">
        <v>27</v>
      </c>
      <c r="I282" s="1529">
        <v>2700</v>
      </c>
      <c r="J282" t="s">
        <v>293</v>
      </c>
      <c r="K282">
        <v>23.95</v>
      </c>
    </row>
    <row r="283">
      <c r="B283">
        <v>27</v>
      </c>
      <c r="C283" s="1530">
        <v>46202</v>
      </c>
      <c r="D283" t="s">
        <v>319</v>
      </c>
      <c r="E283" t="s">
        <v>292</v>
      </c>
      <c r="F283" t="s">
        <v>322</v>
      </c>
      <c r="G283" s="1531">
        <v>100</v>
      </c>
      <c r="H283" s="1532">
        <v>27</v>
      </c>
      <c r="I283" s="1533">
        <v>2700</v>
      </c>
      <c r="J283" t="s">
        <v>293</v>
      </c>
      <c r="K283">
        <v>23.95</v>
      </c>
    </row>
    <row r="284">
      <c r="B284">
        <v>27</v>
      </c>
      <c r="C284" s="1534">
        <v>46202</v>
      </c>
      <c r="D284" t="s">
        <v>319</v>
      </c>
      <c r="E284" t="s">
        <v>292</v>
      </c>
      <c r="F284" t="s">
        <v>323</v>
      </c>
      <c r="G284" s="1535">
        <v>100</v>
      </c>
      <c r="H284" s="1536">
        <v>27</v>
      </c>
      <c r="I284" s="1537">
        <v>2700</v>
      </c>
      <c r="J284" t="s">
        <v>293</v>
      </c>
      <c r="K284">
        <v>23.95</v>
      </c>
    </row>
    <row r="285">
      <c r="B285">
        <v>27</v>
      </c>
      <c r="C285" s="1538">
        <v>46203</v>
      </c>
      <c r="D285" t="s">
        <v>319</v>
      </c>
      <c r="E285" t="s">
        <v>292</v>
      </c>
      <c r="F285" t="s">
        <v>320</v>
      </c>
      <c r="G285" s="1539">
        <v>300</v>
      </c>
      <c r="H285" s="1540">
        <v>27</v>
      </c>
      <c r="I285" s="1541">
        <v>8100</v>
      </c>
      <c r="J285" t="s">
        <v>293</v>
      </c>
      <c r="K285">
        <v>23.95</v>
      </c>
    </row>
    <row r="286">
      <c r="B286">
        <v>27</v>
      </c>
      <c r="C286" s="1542">
        <v>46203</v>
      </c>
      <c r="D286" t="s">
        <v>319</v>
      </c>
      <c r="E286" t="s">
        <v>292</v>
      </c>
      <c r="F286" t="s">
        <v>324</v>
      </c>
      <c r="G286" s="1543">
        <v>50</v>
      </c>
      <c r="H286" s="1544">
        <v>27</v>
      </c>
      <c r="I286" s="1545">
        <v>1350</v>
      </c>
      <c r="J286" t="s">
        <v>293</v>
      </c>
      <c r="K286">
        <v>23.95</v>
      </c>
    </row>
    <row r="287">
      <c r="B287">
        <v>27</v>
      </c>
      <c r="C287" s="1546">
        <v>46203</v>
      </c>
      <c r="D287" t="s">
        <v>319</v>
      </c>
      <c r="E287" t="s">
        <v>292</v>
      </c>
      <c r="F287" t="s">
        <v>322</v>
      </c>
      <c r="G287" s="1547">
        <v>100</v>
      </c>
      <c r="H287" s="1548">
        <v>27</v>
      </c>
      <c r="I287" s="1549">
        <v>2700</v>
      </c>
      <c r="J287" t="s">
        <v>293</v>
      </c>
      <c r="K287">
        <v>23.95</v>
      </c>
    </row>
    <row r="288">
      <c r="B288">
        <v>27</v>
      </c>
      <c r="C288" s="1550">
        <v>46203</v>
      </c>
      <c r="D288" t="s">
        <v>319</v>
      </c>
      <c r="E288" t="s">
        <v>292</v>
      </c>
      <c r="F288" t="s">
        <v>323</v>
      </c>
      <c r="G288" s="1551">
        <v>100</v>
      </c>
      <c r="H288" s="1552">
        <v>27</v>
      </c>
      <c r="I288" s="1553">
        <v>2700</v>
      </c>
      <c r="J288" t="s">
        <v>293</v>
      </c>
      <c r="K288">
        <v>23.95</v>
      </c>
    </row>
    <row r="289">
      <c r="B289">
        <v>27</v>
      </c>
      <c r="C289" s="1554">
        <v>46204</v>
      </c>
      <c r="D289" t="s">
        <v>319</v>
      </c>
      <c r="E289" t="s">
        <v>292</v>
      </c>
      <c r="F289" t="s">
        <v>320</v>
      </c>
      <c r="G289" s="1555">
        <v>300</v>
      </c>
      <c r="H289" s="1556">
        <v>27</v>
      </c>
      <c r="I289" s="1557">
        <v>8100</v>
      </c>
      <c r="J289" t="s">
        <v>293</v>
      </c>
      <c r="K289">
        <v>23.95</v>
      </c>
    </row>
    <row r="290">
      <c r="B290">
        <v>27</v>
      </c>
      <c r="C290" s="1558">
        <v>46204</v>
      </c>
      <c r="D290" t="s">
        <v>319</v>
      </c>
      <c r="E290" t="s">
        <v>292</v>
      </c>
      <c r="F290" t="s">
        <v>322</v>
      </c>
      <c r="G290" s="1559">
        <v>100</v>
      </c>
      <c r="H290" s="1560">
        <v>27</v>
      </c>
      <c r="I290" s="1561">
        <v>2700</v>
      </c>
      <c r="J290" t="s">
        <v>293</v>
      </c>
      <c r="K290">
        <v>23.95</v>
      </c>
    </row>
    <row r="291">
      <c r="B291">
        <v>27</v>
      </c>
      <c r="C291" s="1562">
        <v>46204</v>
      </c>
      <c r="D291" t="s">
        <v>319</v>
      </c>
      <c r="E291" t="s">
        <v>292</v>
      </c>
      <c r="F291" t="s">
        <v>323</v>
      </c>
      <c r="G291" s="1563">
        <v>100</v>
      </c>
      <c r="H291" s="1564">
        <v>27</v>
      </c>
      <c r="I291" s="1565">
        <v>2700</v>
      </c>
      <c r="J291" t="s">
        <v>293</v>
      </c>
      <c r="K291">
        <v>23.95</v>
      </c>
    </row>
    <row r="292">
      <c r="B292">
        <v>27</v>
      </c>
      <c r="C292" s="1566">
        <v>46205</v>
      </c>
      <c r="D292" t="s">
        <v>319</v>
      </c>
      <c r="E292" t="s">
        <v>292</v>
      </c>
      <c r="F292" t="s">
        <v>320</v>
      </c>
      <c r="G292" s="1567">
        <v>300</v>
      </c>
      <c r="H292" s="1568">
        <v>27</v>
      </c>
      <c r="I292" s="1569">
        <v>8100</v>
      </c>
      <c r="J292" t="s">
        <v>293</v>
      </c>
      <c r="K292">
        <v>23.95</v>
      </c>
    </row>
    <row r="293">
      <c r="B293">
        <v>27</v>
      </c>
      <c r="C293" s="1570">
        <v>46205</v>
      </c>
      <c r="D293" t="s">
        <v>319</v>
      </c>
      <c r="E293" t="s">
        <v>292</v>
      </c>
      <c r="F293" t="s">
        <v>324</v>
      </c>
      <c r="G293" s="1571">
        <v>50</v>
      </c>
      <c r="H293" s="1572">
        <v>27</v>
      </c>
      <c r="I293" s="1573">
        <v>1350</v>
      </c>
      <c r="J293" t="s">
        <v>293</v>
      </c>
      <c r="K293">
        <v>23.95</v>
      </c>
    </row>
    <row r="294">
      <c r="B294">
        <v>27</v>
      </c>
      <c r="C294" s="1574">
        <v>46205</v>
      </c>
      <c r="D294" t="s">
        <v>319</v>
      </c>
      <c r="E294" t="s">
        <v>292</v>
      </c>
      <c r="F294" t="s">
        <v>321</v>
      </c>
      <c r="G294" s="1575">
        <v>100</v>
      </c>
      <c r="H294" s="1576">
        <v>27</v>
      </c>
      <c r="I294" s="1577">
        <v>2700</v>
      </c>
      <c r="J294" t="s">
        <v>293</v>
      </c>
      <c r="K294">
        <v>23.95</v>
      </c>
    </row>
    <row r="295">
      <c r="B295">
        <v>27</v>
      </c>
      <c r="C295" s="1578">
        <v>46205</v>
      </c>
      <c r="D295" t="s">
        <v>319</v>
      </c>
      <c r="E295" t="s">
        <v>292</v>
      </c>
      <c r="F295" t="s">
        <v>322</v>
      </c>
      <c r="G295" s="1579">
        <v>100</v>
      </c>
      <c r="H295" s="1580">
        <v>27</v>
      </c>
      <c r="I295" s="1581">
        <v>2700</v>
      </c>
      <c r="J295" t="s">
        <v>293</v>
      </c>
      <c r="K295">
        <v>23.95</v>
      </c>
    </row>
    <row r="296">
      <c r="B296">
        <v>27</v>
      </c>
      <c r="C296" s="1582">
        <v>46205</v>
      </c>
      <c r="D296" t="s">
        <v>319</v>
      </c>
      <c r="E296" t="s">
        <v>292</v>
      </c>
      <c r="F296" t="s">
        <v>323</v>
      </c>
      <c r="G296" s="1583">
        <v>100</v>
      </c>
      <c r="H296" s="1584">
        <v>27</v>
      </c>
      <c r="I296" s="1585">
        <v>2700</v>
      </c>
      <c r="J296" t="s">
        <v>293</v>
      </c>
      <c r="K296">
        <v>23.95</v>
      </c>
    </row>
    <row r="297">
      <c r="B297">
        <v>27</v>
      </c>
      <c r="C297" s="1586">
        <v>46206</v>
      </c>
      <c r="D297" t="s">
        <v>319</v>
      </c>
      <c r="E297" t="s">
        <v>292</v>
      </c>
      <c r="F297" t="s">
        <v>320</v>
      </c>
      <c r="G297" s="1587">
        <v>300</v>
      </c>
      <c r="H297" s="1588">
        <v>27</v>
      </c>
      <c r="I297" s="1589">
        <v>8100</v>
      </c>
      <c r="J297" t="s">
        <v>293</v>
      </c>
      <c r="K297">
        <v>23.95</v>
      </c>
    </row>
    <row r="298">
      <c r="B298">
        <v>27</v>
      </c>
      <c r="C298" s="1590">
        <v>46206</v>
      </c>
      <c r="D298" t="s">
        <v>319</v>
      </c>
      <c r="E298" t="s">
        <v>292</v>
      </c>
      <c r="F298" t="s">
        <v>322</v>
      </c>
      <c r="G298" s="1591">
        <v>100</v>
      </c>
      <c r="H298" s="1592">
        <v>27</v>
      </c>
      <c r="I298" s="1593">
        <v>2700</v>
      </c>
      <c r="J298" t="s">
        <v>293</v>
      </c>
      <c r="K298">
        <v>23.95</v>
      </c>
    </row>
    <row r="299">
      <c r="B299">
        <v>27</v>
      </c>
      <c r="C299" s="1594">
        <v>46206</v>
      </c>
      <c r="D299" t="s">
        <v>319</v>
      </c>
      <c r="E299" t="s">
        <v>292</v>
      </c>
      <c r="F299" t="s">
        <v>323</v>
      </c>
      <c r="G299" s="1595">
        <v>100</v>
      </c>
      <c r="H299" s="1596">
        <v>27</v>
      </c>
      <c r="I299" s="1597">
        <v>2700</v>
      </c>
      <c r="J299" t="s">
        <v>293</v>
      </c>
      <c r="K299">
        <v>23.95</v>
      </c>
    </row>
    <row r="300">
      <c r="B300">
        <v>27</v>
      </c>
      <c r="C300" s="1598">
        <v>46207</v>
      </c>
      <c r="D300" t="s">
        <v>319</v>
      </c>
      <c r="E300" t="s">
        <v>292</v>
      </c>
      <c r="F300" t="s">
        <v>320</v>
      </c>
      <c r="G300" s="1599">
        <v>100</v>
      </c>
      <c r="H300" s="1600">
        <v>27</v>
      </c>
      <c r="I300" s="1601">
        <v>2700</v>
      </c>
      <c r="J300" t="s">
        <v>293</v>
      </c>
      <c r="K300">
        <v>23.95</v>
      </c>
    </row>
    <row r="301">
      <c r="B301">
        <v>27</v>
      </c>
      <c r="C301" s="1602">
        <v>46207</v>
      </c>
      <c r="D301" t="s">
        <v>319</v>
      </c>
      <c r="E301" t="s">
        <v>292</v>
      </c>
      <c r="F301" t="s">
        <v>324</v>
      </c>
      <c r="G301" s="1603">
        <v>50</v>
      </c>
      <c r="H301" s="1604">
        <v>27</v>
      </c>
      <c r="I301" s="1605">
        <v>1350</v>
      </c>
      <c r="J301" t="s">
        <v>293</v>
      </c>
      <c r="K301">
        <v>23.95</v>
      </c>
    </row>
    <row r="302">
      <c r="B302">
        <v>27</v>
      </c>
      <c r="C302" s="1606">
        <v>46207</v>
      </c>
      <c r="D302" t="s">
        <v>319</v>
      </c>
      <c r="E302" t="s">
        <v>292</v>
      </c>
      <c r="F302" t="s">
        <v>322</v>
      </c>
      <c r="G302" s="1607">
        <v>100</v>
      </c>
      <c r="H302" s="1608">
        <v>27</v>
      </c>
      <c r="I302" s="1609">
        <v>2700</v>
      </c>
      <c r="J302" t="s">
        <v>293</v>
      </c>
      <c r="K302">
        <v>23.95</v>
      </c>
    </row>
    <row r="303">
      <c r="B303">
        <v>27</v>
      </c>
      <c r="C303" s="1610">
        <v>46207</v>
      </c>
      <c r="D303" t="s">
        <v>319</v>
      </c>
      <c r="E303" t="s">
        <v>292</v>
      </c>
      <c r="F303" t="s">
        <v>323</v>
      </c>
      <c r="G303" s="1611">
        <v>100</v>
      </c>
      <c r="H303" s="1612">
        <v>27</v>
      </c>
      <c r="I303" s="1613">
        <v>2700</v>
      </c>
      <c r="J303" t="s">
        <v>293</v>
      </c>
      <c r="K303">
        <v>23.95</v>
      </c>
    </row>
    <row r="304">
      <c r="B304">
        <v>27</v>
      </c>
      <c r="C304" s="1614">
        <v>46208</v>
      </c>
      <c r="D304" t="s">
        <v>319</v>
      </c>
      <c r="E304" t="s">
        <v>292</v>
      </c>
      <c r="F304" t="s">
        <v>320</v>
      </c>
      <c r="G304" s="1615">
        <v>100</v>
      </c>
      <c r="H304" s="1616">
        <v>27</v>
      </c>
      <c r="I304" s="1617">
        <v>2700</v>
      </c>
      <c r="J304" t="s">
        <v>293</v>
      </c>
      <c r="K304">
        <v>23.95</v>
      </c>
    </row>
    <row r="305">
      <c r="B305">
        <v>27</v>
      </c>
      <c r="C305" s="1618">
        <v>46208</v>
      </c>
      <c r="D305" t="s">
        <v>319</v>
      </c>
      <c r="E305" t="s">
        <v>292</v>
      </c>
      <c r="F305" t="s">
        <v>322</v>
      </c>
      <c r="G305" s="1619">
        <v>100</v>
      </c>
      <c r="H305" s="1620">
        <v>27</v>
      </c>
      <c r="I305" s="1621">
        <v>2700</v>
      </c>
      <c r="J305" t="s">
        <v>293</v>
      </c>
      <c r="K305">
        <v>23.95</v>
      </c>
    </row>
    <row r="306">
      <c r="B306">
        <v>27</v>
      </c>
      <c r="C306" s="1622">
        <v>46202</v>
      </c>
      <c r="D306" t="s">
        <v>6</v>
      </c>
      <c r="E306" t="s">
        <v>292</v>
      </c>
      <c r="F306" t="s">
        <v>297</v>
      </c>
      <c r="G306" s="1623">
        <v>250</v>
      </c>
      <c r="H306" s="1624">
        <v>27</v>
      </c>
      <c r="I306" s="1625">
        <v>6750</v>
      </c>
      <c r="J306" t="s">
        <v>293</v>
      </c>
      <c r="K306">
        <v>23.95</v>
      </c>
    </row>
    <row r="307">
      <c r="B307">
        <v>27</v>
      </c>
      <c r="C307" s="1626">
        <v>46203</v>
      </c>
      <c r="D307" t="s">
        <v>6</v>
      </c>
      <c r="E307" t="s">
        <v>292</v>
      </c>
      <c r="F307" t="s">
        <v>297</v>
      </c>
      <c r="G307" s="1627">
        <v>200</v>
      </c>
      <c r="H307" s="1628">
        <v>27</v>
      </c>
      <c r="I307" s="1629">
        <v>5400</v>
      </c>
      <c r="J307" t="s">
        <v>293</v>
      </c>
      <c r="K307">
        <v>23.95</v>
      </c>
    </row>
    <row r="308">
      <c r="B308">
        <v>27</v>
      </c>
      <c r="C308" s="1630">
        <v>46204</v>
      </c>
      <c r="D308" t="s">
        <v>6</v>
      </c>
      <c r="E308" t="s">
        <v>292</v>
      </c>
      <c r="F308" t="s">
        <v>297</v>
      </c>
      <c r="G308" s="1631">
        <v>250</v>
      </c>
      <c r="H308" s="1632">
        <v>27</v>
      </c>
      <c r="I308" s="1633">
        <v>6750</v>
      </c>
      <c r="J308" t="s">
        <v>293</v>
      </c>
      <c r="K308">
        <v>23.95</v>
      </c>
    </row>
    <row r="309">
      <c r="B309">
        <v>27</v>
      </c>
      <c r="C309" s="1634">
        <v>46205</v>
      </c>
      <c r="D309" t="s">
        <v>6</v>
      </c>
      <c r="E309" t="s">
        <v>292</v>
      </c>
      <c r="F309" t="s">
        <v>297</v>
      </c>
      <c r="G309" s="1635">
        <v>200</v>
      </c>
      <c r="H309" s="1636">
        <v>27</v>
      </c>
      <c r="I309" s="1637">
        <v>5400</v>
      </c>
      <c r="J309" t="s">
        <v>293</v>
      </c>
      <c r="K309">
        <v>23.95</v>
      </c>
    </row>
    <row r="310">
      <c r="B310">
        <v>27</v>
      </c>
      <c r="C310" s="1638">
        <v>46206</v>
      </c>
      <c r="D310" t="s">
        <v>6</v>
      </c>
      <c r="E310" t="s">
        <v>292</v>
      </c>
      <c r="F310" t="s">
        <v>297</v>
      </c>
      <c r="G310" s="1639">
        <v>250</v>
      </c>
      <c r="H310" s="1640">
        <v>27</v>
      </c>
      <c r="I310" s="1641">
        <v>6750</v>
      </c>
      <c r="J310" t="s">
        <v>293</v>
      </c>
      <c r="K310">
        <v>23.95</v>
      </c>
    </row>
    <row r="311">
      <c r="B311">
        <v>27</v>
      </c>
      <c r="C311" s="1642">
        <v>46207</v>
      </c>
      <c r="D311" t="s">
        <v>6</v>
      </c>
      <c r="E311" t="s">
        <v>292</v>
      </c>
      <c r="F311" t="s">
        <v>297</v>
      </c>
      <c r="G311" s="1643">
        <v>150</v>
      </c>
      <c r="H311" s="1644">
        <v>27</v>
      </c>
      <c r="I311" s="1645">
        <v>4050</v>
      </c>
      <c r="J311" t="s">
        <v>293</v>
      </c>
      <c r="K311">
        <v>23.95</v>
      </c>
    </row>
    <row r="312">
      <c r="B312">
        <v>27</v>
      </c>
      <c r="C312" s="1646">
        <v>46202</v>
      </c>
      <c r="D312" t="s">
        <v>6</v>
      </c>
      <c r="E312" t="s">
        <v>292</v>
      </c>
      <c r="F312" t="s">
        <v>300</v>
      </c>
      <c r="G312" s="1647">
        <v>120</v>
      </c>
      <c r="H312" s="1648">
        <v>27</v>
      </c>
      <c r="I312" s="1649">
        <v>3240</v>
      </c>
      <c r="J312" t="s">
        <v>293</v>
      </c>
      <c r="K312">
        <v>23.95</v>
      </c>
    </row>
    <row r="313">
      <c r="B313">
        <v>27</v>
      </c>
      <c r="C313" s="1650">
        <v>46203</v>
      </c>
      <c r="D313" t="s">
        <v>6</v>
      </c>
      <c r="E313" t="s">
        <v>292</v>
      </c>
      <c r="F313" t="s">
        <v>300</v>
      </c>
      <c r="G313" s="1651">
        <v>120</v>
      </c>
      <c r="H313" s="1652">
        <v>27</v>
      </c>
      <c r="I313" s="1653">
        <v>3240</v>
      </c>
      <c r="J313" t="s">
        <v>293</v>
      </c>
      <c r="K313">
        <v>23.95</v>
      </c>
    </row>
    <row r="314">
      <c r="B314">
        <v>27</v>
      </c>
      <c r="C314" s="1654">
        <v>46204</v>
      </c>
      <c r="D314" t="s">
        <v>6</v>
      </c>
      <c r="E314" t="s">
        <v>292</v>
      </c>
      <c r="F314" t="s">
        <v>300</v>
      </c>
      <c r="G314" s="1655">
        <v>120</v>
      </c>
      <c r="H314" s="1656">
        <v>27</v>
      </c>
      <c r="I314" s="1657">
        <v>3240</v>
      </c>
      <c r="J314" t="s">
        <v>293</v>
      </c>
      <c r="K314">
        <v>23.95</v>
      </c>
    </row>
    <row r="315">
      <c r="B315">
        <v>27</v>
      </c>
      <c r="C315" s="1658">
        <v>46205</v>
      </c>
      <c r="D315" t="s">
        <v>6</v>
      </c>
      <c r="E315" t="s">
        <v>292</v>
      </c>
      <c r="F315" t="s">
        <v>300</v>
      </c>
      <c r="G315" s="1659">
        <v>120</v>
      </c>
      <c r="H315" s="1660">
        <v>27</v>
      </c>
      <c r="I315" s="1661">
        <v>3240</v>
      </c>
      <c r="J315" t="s">
        <v>293</v>
      </c>
      <c r="K315">
        <v>23.95</v>
      </c>
    </row>
    <row r="316">
      <c r="B316">
        <v>27</v>
      </c>
      <c r="C316" s="1662">
        <v>46206</v>
      </c>
      <c r="D316" t="s">
        <v>6</v>
      </c>
      <c r="E316" t="s">
        <v>292</v>
      </c>
      <c r="F316" t="s">
        <v>300</v>
      </c>
      <c r="G316" s="1663">
        <v>100</v>
      </c>
      <c r="H316" s="1664">
        <v>27</v>
      </c>
      <c r="I316" s="1665">
        <v>2700</v>
      </c>
      <c r="J316" t="s">
        <v>293</v>
      </c>
      <c r="K316">
        <v>23.95</v>
      </c>
    </row>
    <row r="317">
      <c r="B317">
        <v>27</v>
      </c>
      <c r="C317" s="1666">
        <v>46207</v>
      </c>
      <c r="D317" t="s">
        <v>6</v>
      </c>
      <c r="E317" t="s">
        <v>292</v>
      </c>
      <c r="F317" t="s">
        <v>300</v>
      </c>
      <c r="G317" s="1667">
        <v>80</v>
      </c>
      <c r="H317" s="1668">
        <v>27</v>
      </c>
      <c r="I317" s="1669">
        <v>2160</v>
      </c>
      <c r="J317" t="s">
        <v>293</v>
      </c>
      <c r="K317">
        <v>23.95</v>
      </c>
    </row>
    <row r="318">
      <c r="B318">
        <v>27</v>
      </c>
      <c r="C318" s="1670">
        <v>46202</v>
      </c>
      <c r="D318" t="s">
        <v>6</v>
      </c>
      <c r="E318" t="s">
        <v>292</v>
      </c>
      <c r="F318" t="s">
        <v>325</v>
      </c>
      <c r="G318" s="1671">
        <v>50</v>
      </c>
      <c r="H318" s="1672">
        <v>27</v>
      </c>
      <c r="I318" s="1673">
        <v>1350</v>
      </c>
      <c r="J318" t="s">
        <v>293</v>
      </c>
      <c r="K318">
        <v>23.95</v>
      </c>
    </row>
    <row r="319">
      <c r="B319">
        <v>27</v>
      </c>
      <c r="C319" s="1674">
        <v>46203</v>
      </c>
      <c r="D319" t="s">
        <v>6</v>
      </c>
      <c r="E319" t="s">
        <v>292</v>
      </c>
      <c r="F319" t="s">
        <v>325</v>
      </c>
      <c r="G319" s="1675">
        <v>40</v>
      </c>
      <c r="H319" s="1676">
        <v>27</v>
      </c>
      <c r="I319" s="1677">
        <v>1080</v>
      </c>
      <c r="J319" t="s">
        <v>293</v>
      </c>
      <c r="K319">
        <v>23.95</v>
      </c>
    </row>
    <row r="320">
      <c r="B320">
        <v>27</v>
      </c>
      <c r="C320" s="1678">
        <v>46204</v>
      </c>
      <c r="D320" t="s">
        <v>6</v>
      </c>
      <c r="E320" t="s">
        <v>292</v>
      </c>
      <c r="F320" t="s">
        <v>325</v>
      </c>
      <c r="G320" s="1679">
        <v>40</v>
      </c>
      <c r="H320" s="1680">
        <v>27</v>
      </c>
      <c r="I320" s="1681">
        <v>1080</v>
      </c>
      <c r="J320" t="s">
        <v>293</v>
      </c>
      <c r="K320">
        <v>23.95</v>
      </c>
    </row>
    <row r="321">
      <c r="B321">
        <v>27</v>
      </c>
      <c r="C321" s="1682">
        <v>46205</v>
      </c>
      <c r="D321" t="s">
        <v>6</v>
      </c>
      <c r="E321" t="s">
        <v>292</v>
      </c>
      <c r="F321" t="s">
        <v>325</v>
      </c>
      <c r="G321" s="1683">
        <v>40</v>
      </c>
      <c r="H321" s="1684">
        <v>27</v>
      </c>
      <c r="I321" s="1685">
        <v>1080</v>
      </c>
      <c r="J321" t="s">
        <v>293</v>
      </c>
      <c r="K321">
        <v>23.95</v>
      </c>
    </row>
    <row r="322">
      <c r="B322">
        <v>27</v>
      </c>
      <c r="C322" s="1686">
        <v>46206</v>
      </c>
      <c r="D322" t="s">
        <v>6</v>
      </c>
      <c r="E322" t="s">
        <v>292</v>
      </c>
      <c r="F322" t="s">
        <v>325</v>
      </c>
      <c r="G322" s="1687">
        <v>30</v>
      </c>
      <c r="H322" s="1688">
        <v>27</v>
      </c>
      <c r="I322" s="1689">
        <v>810</v>
      </c>
      <c r="J322" t="s">
        <v>293</v>
      </c>
      <c r="K322">
        <v>23.95</v>
      </c>
    </row>
    <row r="323">
      <c r="B323">
        <v>27</v>
      </c>
      <c r="C323" s="1690">
        <v>46207</v>
      </c>
      <c r="D323" t="s">
        <v>6</v>
      </c>
      <c r="E323" t="s">
        <v>292</v>
      </c>
      <c r="F323" t="s">
        <v>325</v>
      </c>
      <c r="G323" s="1691">
        <v>30</v>
      </c>
      <c r="H323" s="1692">
        <v>27</v>
      </c>
      <c r="I323" s="1693">
        <v>810</v>
      </c>
      <c r="J323" t="s">
        <v>293</v>
      </c>
      <c r="K323">
        <v>23.95</v>
      </c>
    </row>
    <row r="324">
      <c r="B324">
        <v>27</v>
      </c>
      <c r="C324" s="1694">
        <v>46202</v>
      </c>
      <c r="D324" t="s">
        <v>6</v>
      </c>
      <c r="E324" t="s">
        <v>292</v>
      </c>
      <c r="F324" t="s">
        <v>325</v>
      </c>
      <c r="G324" s="1695">
        <v>50</v>
      </c>
      <c r="H324" s="1696">
        <v>27</v>
      </c>
      <c r="I324" s="1697">
        <v>1350</v>
      </c>
      <c r="J324" t="s">
        <v>293</v>
      </c>
      <c r="K324">
        <v>23.95</v>
      </c>
    </row>
    <row r="325">
      <c r="B325">
        <v>27</v>
      </c>
      <c r="C325" s="1698">
        <v>46203</v>
      </c>
      <c r="D325" t="s">
        <v>6</v>
      </c>
      <c r="E325" t="s">
        <v>292</v>
      </c>
      <c r="F325" t="s">
        <v>325</v>
      </c>
      <c r="G325" s="1699">
        <v>40</v>
      </c>
      <c r="H325" s="1700">
        <v>27</v>
      </c>
      <c r="I325" s="1701">
        <v>1080</v>
      </c>
      <c r="J325" t="s">
        <v>293</v>
      </c>
      <c r="K325">
        <v>23.95</v>
      </c>
    </row>
    <row r="326">
      <c r="B326">
        <v>27</v>
      </c>
      <c r="C326" s="1702">
        <v>46204</v>
      </c>
      <c r="D326" t="s">
        <v>6</v>
      </c>
      <c r="E326" t="s">
        <v>292</v>
      </c>
      <c r="F326" t="s">
        <v>325</v>
      </c>
      <c r="G326" s="1703">
        <v>40</v>
      </c>
      <c r="H326" s="1704">
        <v>27</v>
      </c>
      <c r="I326" s="1705">
        <v>1080</v>
      </c>
      <c r="J326" t="s">
        <v>293</v>
      </c>
      <c r="K326">
        <v>23.95</v>
      </c>
    </row>
    <row r="327">
      <c r="B327">
        <v>27</v>
      </c>
      <c r="C327" s="1706">
        <v>46205</v>
      </c>
      <c r="D327" t="s">
        <v>6</v>
      </c>
      <c r="E327" t="s">
        <v>292</v>
      </c>
      <c r="F327" t="s">
        <v>325</v>
      </c>
      <c r="G327" s="1707">
        <v>40</v>
      </c>
      <c r="H327" s="1708">
        <v>27</v>
      </c>
      <c r="I327" s="1709">
        <v>1080</v>
      </c>
      <c r="J327" t="s">
        <v>293</v>
      </c>
      <c r="K327">
        <v>23.95</v>
      </c>
    </row>
    <row r="328">
      <c r="B328">
        <v>27</v>
      </c>
      <c r="C328" s="1710">
        <v>46206</v>
      </c>
      <c r="D328" t="s">
        <v>6</v>
      </c>
      <c r="E328" t="s">
        <v>292</v>
      </c>
      <c r="F328" t="s">
        <v>325</v>
      </c>
      <c r="G328" s="1711">
        <v>30</v>
      </c>
      <c r="H328" s="1712">
        <v>27</v>
      </c>
      <c r="I328" s="1713">
        <v>810</v>
      </c>
      <c r="J328" t="s">
        <v>293</v>
      </c>
      <c r="K328">
        <v>23.95</v>
      </c>
    </row>
    <row r="329">
      <c r="B329">
        <v>27</v>
      </c>
      <c r="C329" s="1714">
        <v>46207</v>
      </c>
      <c r="D329" t="s">
        <v>6</v>
      </c>
      <c r="E329" t="s">
        <v>292</v>
      </c>
      <c r="F329" t="s">
        <v>325</v>
      </c>
      <c r="G329" s="1715">
        <v>30</v>
      </c>
      <c r="H329" s="1716">
        <v>27</v>
      </c>
      <c r="I329" s="1717">
        <v>810</v>
      </c>
      <c r="J329" t="s">
        <v>293</v>
      </c>
      <c r="K329">
        <v>23.95</v>
      </c>
    </row>
    <row r="330">
      <c r="B330">
        <v>27</v>
      </c>
      <c r="C330" s="1718">
        <v>46202</v>
      </c>
      <c r="D330" t="s">
        <v>6</v>
      </c>
      <c r="E330" t="s">
        <v>292</v>
      </c>
      <c r="F330" t="s">
        <v>302</v>
      </c>
      <c r="G330" s="1719">
        <v>50</v>
      </c>
      <c r="H330" s="1720">
        <v>27</v>
      </c>
      <c r="I330" s="1721">
        <v>1350</v>
      </c>
      <c r="J330" t="s">
        <v>293</v>
      </c>
      <c r="K330">
        <v>23.95</v>
      </c>
    </row>
    <row r="331">
      <c r="B331">
        <v>27</v>
      </c>
      <c r="C331" s="1722">
        <v>46203</v>
      </c>
      <c r="D331" t="s">
        <v>6</v>
      </c>
      <c r="E331" t="s">
        <v>292</v>
      </c>
      <c r="F331" t="s">
        <v>302</v>
      </c>
      <c r="G331" s="1723">
        <v>40</v>
      </c>
      <c r="H331" s="1724">
        <v>27</v>
      </c>
      <c r="I331" s="1725">
        <v>1080</v>
      </c>
      <c r="J331" t="s">
        <v>293</v>
      </c>
      <c r="K331">
        <v>23.95</v>
      </c>
    </row>
    <row r="332">
      <c r="B332">
        <v>27</v>
      </c>
      <c r="C332" s="1726">
        <v>46204</v>
      </c>
      <c r="D332" t="s">
        <v>6</v>
      </c>
      <c r="E332" t="s">
        <v>292</v>
      </c>
      <c r="F332" t="s">
        <v>302</v>
      </c>
      <c r="G332" s="1727">
        <v>40</v>
      </c>
      <c r="H332" s="1728">
        <v>27</v>
      </c>
      <c r="I332" s="1729">
        <v>1080</v>
      </c>
      <c r="J332" t="s">
        <v>293</v>
      </c>
      <c r="K332">
        <v>23.95</v>
      </c>
    </row>
    <row r="333">
      <c r="B333">
        <v>27</v>
      </c>
      <c r="C333" s="1730">
        <v>46205</v>
      </c>
      <c r="D333" t="s">
        <v>6</v>
      </c>
      <c r="E333" t="s">
        <v>292</v>
      </c>
      <c r="F333" t="s">
        <v>302</v>
      </c>
      <c r="G333" s="1731">
        <v>30</v>
      </c>
      <c r="H333" s="1732">
        <v>27</v>
      </c>
      <c r="I333" s="1733">
        <v>810</v>
      </c>
      <c r="J333" t="s">
        <v>293</v>
      </c>
      <c r="K333">
        <v>23.95</v>
      </c>
    </row>
    <row r="334">
      <c r="B334">
        <v>27</v>
      </c>
      <c r="C334" s="1734">
        <v>46206</v>
      </c>
      <c r="D334" t="s">
        <v>6</v>
      </c>
      <c r="E334" t="s">
        <v>292</v>
      </c>
      <c r="F334" t="s">
        <v>302</v>
      </c>
      <c r="G334" s="1735">
        <v>30</v>
      </c>
      <c r="H334" s="1736">
        <v>27</v>
      </c>
      <c r="I334" s="1737">
        <v>810</v>
      </c>
      <c r="J334" t="s">
        <v>293</v>
      </c>
      <c r="K334">
        <v>23.95</v>
      </c>
    </row>
    <row r="335">
      <c r="B335">
        <v>27</v>
      </c>
      <c r="C335" s="1738">
        <v>46207</v>
      </c>
      <c r="D335" t="s">
        <v>6</v>
      </c>
      <c r="E335" t="s">
        <v>292</v>
      </c>
      <c r="F335" t="s">
        <v>302</v>
      </c>
      <c r="G335" s="1739">
        <v>30</v>
      </c>
      <c r="H335" s="1740">
        <v>27</v>
      </c>
      <c r="I335" s="1741">
        <v>810</v>
      </c>
      <c r="J335" t="s">
        <v>293</v>
      </c>
      <c r="K335">
        <v>23.95</v>
      </c>
    </row>
    <row r="336">
      <c r="B336">
        <v>27</v>
      </c>
      <c r="C336" s="1742">
        <v>46202</v>
      </c>
      <c r="D336" t="s">
        <v>6</v>
      </c>
      <c r="E336" t="s">
        <v>292</v>
      </c>
      <c r="F336" t="s">
        <v>311</v>
      </c>
      <c r="G336" s="1743">
        <v>50</v>
      </c>
      <c r="H336" s="1744">
        <v>27</v>
      </c>
      <c r="I336" s="1745">
        <v>1350</v>
      </c>
      <c r="J336" t="s">
        <v>293</v>
      </c>
      <c r="K336">
        <v>23.95</v>
      </c>
    </row>
    <row r="337">
      <c r="B337">
        <v>27</v>
      </c>
      <c r="C337" s="1746">
        <v>46203</v>
      </c>
      <c r="D337" t="s">
        <v>6</v>
      </c>
      <c r="E337" t="s">
        <v>292</v>
      </c>
      <c r="F337" t="s">
        <v>311</v>
      </c>
      <c r="G337" s="1747">
        <v>40</v>
      </c>
      <c r="H337" s="1748">
        <v>27</v>
      </c>
      <c r="I337" s="1749">
        <v>1080</v>
      </c>
      <c r="J337" t="s">
        <v>293</v>
      </c>
      <c r="K337">
        <v>23.95</v>
      </c>
    </row>
    <row r="338">
      <c r="B338">
        <v>27</v>
      </c>
      <c r="C338" s="1750">
        <v>46204</v>
      </c>
      <c r="D338" t="s">
        <v>6</v>
      </c>
      <c r="E338" t="s">
        <v>292</v>
      </c>
      <c r="F338" t="s">
        <v>311</v>
      </c>
      <c r="G338" s="1751">
        <v>40</v>
      </c>
      <c r="H338" s="1752">
        <v>27</v>
      </c>
      <c r="I338" s="1753">
        <v>1080</v>
      </c>
      <c r="J338" t="s">
        <v>293</v>
      </c>
      <c r="K338">
        <v>23.95</v>
      </c>
    </row>
    <row r="339">
      <c r="B339">
        <v>27</v>
      </c>
      <c r="C339" s="1754">
        <v>46205</v>
      </c>
      <c r="D339" t="s">
        <v>6</v>
      </c>
      <c r="E339" t="s">
        <v>292</v>
      </c>
      <c r="F339" t="s">
        <v>311</v>
      </c>
      <c r="G339" s="1755">
        <v>30</v>
      </c>
      <c r="H339" s="1756">
        <v>27</v>
      </c>
      <c r="I339" s="1757">
        <v>810</v>
      </c>
      <c r="J339" t="s">
        <v>293</v>
      </c>
      <c r="K339">
        <v>23.95</v>
      </c>
    </row>
    <row r="340">
      <c r="B340">
        <v>27</v>
      </c>
      <c r="C340" s="1758">
        <v>46206</v>
      </c>
      <c r="D340" t="s">
        <v>6</v>
      </c>
      <c r="E340" t="s">
        <v>292</v>
      </c>
      <c r="F340" t="s">
        <v>311</v>
      </c>
      <c r="G340" s="1759">
        <v>30</v>
      </c>
      <c r="H340" s="1760">
        <v>27</v>
      </c>
      <c r="I340" s="1761">
        <v>810</v>
      </c>
      <c r="J340" t="s">
        <v>293</v>
      </c>
      <c r="K340">
        <v>23.95</v>
      </c>
    </row>
    <row r="341">
      <c r="B341">
        <v>27</v>
      </c>
      <c r="C341" s="1762">
        <v>46207</v>
      </c>
      <c r="D341" t="s">
        <v>6</v>
      </c>
      <c r="E341" t="s">
        <v>292</v>
      </c>
      <c r="F341" t="s">
        <v>311</v>
      </c>
      <c r="G341" s="1763">
        <v>30</v>
      </c>
      <c r="H341" s="1764">
        <v>27</v>
      </c>
      <c r="I341" s="1765">
        <v>810</v>
      </c>
      <c r="J341" t="s">
        <v>293</v>
      </c>
      <c r="K341">
        <v>23.95</v>
      </c>
    </row>
    <row r="342">
      <c r="B342">
        <v>27</v>
      </c>
      <c r="C342" s="1766">
        <v>46202</v>
      </c>
      <c r="D342" t="s">
        <v>6</v>
      </c>
      <c r="E342" t="s">
        <v>292</v>
      </c>
      <c r="F342" t="s">
        <v>326</v>
      </c>
      <c r="G342" s="1767">
        <v>30</v>
      </c>
      <c r="H342" s="1768">
        <v>27</v>
      </c>
      <c r="I342" s="1769">
        <v>810</v>
      </c>
      <c r="J342" t="s">
        <v>293</v>
      </c>
      <c r="K342">
        <v>23.95</v>
      </c>
    </row>
    <row r="343">
      <c r="B343">
        <v>27</v>
      </c>
      <c r="C343" s="1770">
        <v>46203</v>
      </c>
      <c r="D343" t="s">
        <v>6</v>
      </c>
      <c r="E343" t="s">
        <v>292</v>
      </c>
      <c r="F343" t="s">
        <v>326</v>
      </c>
      <c r="G343" s="1771">
        <v>30</v>
      </c>
      <c r="H343" s="1772">
        <v>27</v>
      </c>
      <c r="I343" s="1773">
        <v>810</v>
      </c>
      <c r="J343" t="s">
        <v>293</v>
      </c>
      <c r="K343">
        <v>23.95</v>
      </c>
    </row>
    <row r="344">
      <c r="B344">
        <v>27</v>
      </c>
      <c r="C344" s="1774">
        <v>46204</v>
      </c>
      <c r="D344" t="s">
        <v>6</v>
      </c>
      <c r="E344" t="s">
        <v>292</v>
      </c>
      <c r="F344" t="s">
        <v>326</v>
      </c>
      <c r="G344" s="1775">
        <v>30</v>
      </c>
      <c r="H344" s="1776">
        <v>27</v>
      </c>
      <c r="I344" s="1777">
        <v>810</v>
      </c>
      <c r="J344" t="s">
        <v>293</v>
      </c>
      <c r="K344">
        <v>23.95</v>
      </c>
    </row>
    <row r="345">
      <c r="B345">
        <v>27</v>
      </c>
      <c r="C345" s="1778">
        <v>46205</v>
      </c>
      <c r="D345" t="s">
        <v>6</v>
      </c>
      <c r="E345" t="s">
        <v>292</v>
      </c>
      <c r="F345" t="s">
        <v>326</v>
      </c>
      <c r="G345" s="1779">
        <v>20</v>
      </c>
      <c r="H345" s="1780">
        <v>27</v>
      </c>
      <c r="I345" s="1781">
        <v>540</v>
      </c>
      <c r="J345" t="s">
        <v>293</v>
      </c>
      <c r="K345">
        <v>23.95</v>
      </c>
    </row>
    <row r="346">
      <c r="B346">
        <v>27</v>
      </c>
      <c r="C346" s="1782">
        <v>46206</v>
      </c>
      <c r="D346" t="s">
        <v>6</v>
      </c>
      <c r="E346" t="s">
        <v>292</v>
      </c>
      <c r="F346" t="s">
        <v>326</v>
      </c>
      <c r="G346" s="1783">
        <v>20</v>
      </c>
      <c r="H346" s="1784">
        <v>27</v>
      </c>
      <c r="I346" s="1785">
        <v>540</v>
      </c>
      <c r="J346" t="s">
        <v>293</v>
      </c>
      <c r="K346">
        <v>23.95</v>
      </c>
    </row>
    <row r="347">
      <c r="B347">
        <v>27</v>
      </c>
      <c r="C347" s="1786">
        <v>46207</v>
      </c>
      <c r="D347" t="s">
        <v>6</v>
      </c>
      <c r="E347" t="s">
        <v>292</v>
      </c>
      <c r="F347" t="s">
        <v>326</v>
      </c>
      <c r="G347" s="1787">
        <v>20</v>
      </c>
      <c r="H347" s="1788">
        <v>27</v>
      </c>
      <c r="I347" s="1789">
        <v>540</v>
      </c>
      <c r="J347" t="s">
        <v>293</v>
      </c>
      <c r="K347">
        <v>23.95</v>
      </c>
    </row>
    <row r="348">
      <c r="B348">
        <v>27</v>
      </c>
      <c r="C348" s="1790">
        <v>46202</v>
      </c>
      <c r="D348" t="s">
        <v>6</v>
      </c>
      <c r="E348" t="s">
        <v>292</v>
      </c>
      <c r="F348" t="s">
        <v>299</v>
      </c>
      <c r="G348" s="1791">
        <v>60</v>
      </c>
      <c r="H348" s="1792">
        <v>27</v>
      </c>
      <c r="I348" s="1793">
        <v>1620</v>
      </c>
      <c r="J348" t="s">
        <v>293</v>
      </c>
      <c r="K348">
        <v>23.95</v>
      </c>
    </row>
    <row r="349">
      <c r="B349">
        <v>27</v>
      </c>
      <c r="C349" s="1794">
        <v>46203</v>
      </c>
      <c r="D349" t="s">
        <v>6</v>
      </c>
      <c r="E349" t="s">
        <v>292</v>
      </c>
      <c r="F349" t="s">
        <v>299</v>
      </c>
      <c r="G349" s="1795">
        <v>50</v>
      </c>
      <c r="H349" s="1796">
        <v>27</v>
      </c>
      <c r="I349" s="1797">
        <v>1350</v>
      </c>
      <c r="J349" t="s">
        <v>293</v>
      </c>
      <c r="K349">
        <v>23.95</v>
      </c>
    </row>
    <row r="350">
      <c r="B350">
        <v>27</v>
      </c>
      <c r="C350" s="1798">
        <v>46204</v>
      </c>
      <c r="D350" t="s">
        <v>6</v>
      </c>
      <c r="E350" t="s">
        <v>292</v>
      </c>
      <c r="F350" t="s">
        <v>299</v>
      </c>
      <c r="G350" s="1799">
        <v>50</v>
      </c>
      <c r="H350" s="1800">
        <v>27</v>
      </c>
      <c r="I350" s="1801">
        <v>1350</v>
      </c>
      <c r="J350" t="s">
        <v>293</v>
      </c>
      <c r="K350">
        <v>23.95</v>
      </c>
    </row>
    <row r="351">
      <c r="B351">
        <v>27</v>
      </c>
      <c r="C351" s="1802">
        <v>46205</v>
      </c>
      <c r="D351" t="s">
        <v>6</v>
      </c>
      <c r="E351" t="s">
        <v>292</v>
      </c>
      <c r="F351" t="s">
        <v>299</v>
      </c>
      <c r="G351" s="1803">
        <v>50</v>
      </c>
      <c r="H351" s="1804">
        <v>27</v>
      </c>
      <c r="I351" s="1805">
        <v>1350</v>
      </c>
      <c r="J351" t="s">
        <v>293</v>
      </c>
      <c r="K351">
        <v>23.95</v>
      </c>
    </row>
    <row r="352">
      <c r="B352">
        <v>27</v>
      </c>
      <c r="C352" s="1806">
        <v>46206</v>
      </c>
      <c r="D352" t="s">
        <v>6</v>
      </c>
      <c r="E352" t="s">
        <v>292</v>
      </c>
      <c r="F352" t="s">
        <v>299</v>
      </c>
      <c r="G352" s="1807">
        <v>50</v>
      </c>
      <c r="H352" s="1808">
        <v>27</v>
      </c>
      <c r="I352" s="1809">
        <v>1350</v>
      </c>
      <c r="J352" t="s">
        <v>293</v>
      </c>
      <c r="K352">
        <v>23.95</v>
      </c>
    </row>
    <row r="353">
      <c r="B353">
        <v>27</v>
      </c>
      <c r="C353" s="1810">
        <v>46207</v>
      </c>
      <c r="D353" t="s">
        <v>6</v>
      </c>
      <c r="E353" t="s">
        <v>292</v>
      </c>
      <c r="F353" t="s">
        <v>299</v>
      </c>
      <c r="G353" s="1811">
        <v>40</v>
      </c>
      <c r="H353" s="1812">
        <v>27</v>
      </c>
      <c r="I353" s="1813">
        <v>1080</v>
      </c>
      <c r="J353" t="s">
        <v>293</v>
      </c>
      <c r="K353">
        <v>23.95</v>
      </c>
    </row>
    <row r="354">
      <c r="B354">
        <v>27</v>
      </c>
      <c r="C354" s="1814">
        <v>46202</v>
      </c>
      <c r="D354" t="s">
        <v>6</v>
      </c>
      <c r="E354" t="s">
        <v>292</v>
      </c>
      <c r="F354" t="s">
        <v>305</v>
      </c>
      <c r="G354" s="1815">
        <v>50</v>
      </c>
      <c r="H354" s="1816">
        <v>27</v>
      </c>
      <c r="I354" s="1817">
        <v>1350</v>
      </c>
      <c r="J354" t="s">
        <v>293</v>
      </c>
      <c r="K354">
        <v>23.95</v>
      </c>
    </row>
    <row r="355">
      <c r="B355">
        <v>27</v>
      </c>
      <c r="C355" s="1818">
        <v>46203</v>
      </c>
      <c r="D355" t="s">
        <v>6</v>
      </c>
      <c r="E355" t="s">
        <v>292</v>
      </c>
      <c r="F355" t="s">
        <v>305</v>
      </c>
      <c r="G355" s="1819">
        <v>50</v>
      </c>
      <c r="H355" s="1820">
        <v>27</v>
      </c>
      <c r="I355" s="1821">
        <v>1350</v>
      </c>
      <c r="J355" t="s">
        <v>293</v>
      </c>
      <c r="K355">
        <v>23.95</v>
      </c>
    </row>
    <row r="356">
      <c r="B356">
        <v>27</v>
      </c>
      <c r="C356" s="1822">
        <v>46204</v>
      </c>
      <c r="D356" t="s">
        <v>6</v>
      </c>
      <c r="E356" t="s">
        <v>292</v>
      </c>
      <c r="F356" t="s">
        <v>305</v>
      </c>
      <c r="G356" s="1823">
        <v>50</v>
      </c>
      <c r="H356" s="1824">
        <v>27</v>
      </c>
      <c r="I356" s="1825">
        <v>1350</v>
      </c>
      <c r="J356" t="s">
        <v>293</v>
      </c>
      <c r="K356">
        <v>23.95</v>
      </c>
    </row>
    <row r="357">
      <c r="B357">
        <v>27</v>
      </c>
      <c r="C357" s="1826">
        <v>46205</v>
      </c>
      <c r="D357" t="s">
        <v>6</v>
      </c>
      <c r="E357" t="s">
        <v>292</v>
      </c>
      <c r="F357" t="s">
        <v>305</v>
      </c>
      <c r="G357" s="1827">
        <v>50</v>
      </c>
      <c r="H357" s="1828">
        <v>27</v>
      </c>
      <c r="I357" s="1829">
        <v>1350</v>
      </c>
      <c r="J357" t="s">
        <v>293</v>
      </c>
      <c r="K357">
        <v>23.95</v>
      </c>
    </row>
    <row r="358">
      <c r="B358">
        <v>27</v>
      </c>
      <c r="C358" s="1830">
        <v>46206</v>
      </c>
      <c r="D358" t="s">
        <v>6</v>
      </c>
      <c r="E358" t="s">
        <v>292</v>
      </c>
      <c r="F358" t="s">
        <v>305</v>
      </c>
      <c r="G358" s="1831">
        <v>50</v>
      </c>
      <c r="H358" s="1832">
        <v>27</v>
      </c>
      <c r="I358" s="1833">
        <v>1350</v>
      </c>
      <c r="J358" t="s">
        <v>293</v>
      </c>
      <c r="K358">
        <v>23.95</v>
      </c>
    </row>
    <row r="359">
      <c r="B359">
        <v>27</v>
      </c>
      <c r="C359" s="1834">
        <v>46202</v>
      </c>
      <c r="D359" t="s">
        <v>210</v>
      </c>
      <c r="E359" t="s">
        <v>292</v>
      </c>
      <c r="F359" t="s">
        <v>307</v>
      </c>
      <c r="G359" s="1835">
        <v>100</v>
      </c>
      <c r="H359" s="1836">
        <v>27</v>
      </c>
      <c r="I359" s="1837">
        <v>2700</v>
      </c>
      <c r="J359" t="s">
        <v>293</v>
      </c>
      <c r="K359">
        <v>23.95</v>
      </c>
    </row>
    <row r="360">
      <c r="B360">
        <v>27</v>
      </c>
      <c r="C360" s="1838">
        <v>46203</v>
      </c>
      <c r="D360" t="s">
        <v>210</v>
      </c>
      <c r="E360" t="s">
        <v>292</v>
      </c>
      <c r="F360" t="s">
        <v>307</v>
      </c>
      <c r="G360" s="1839">
        <v>30</v>
      </c>
      <c r="H360" s="1840">
        <v>27</v>
      </c>
      <c r="I360" s="1841">
        <v>810</v>
      </c>
      <c r="J360" t="s">
        <v>293</v>
      </c>
      <c r="K360">
        <v>23.95</v>
      </c>
    </row>
    <row r="361">
      <c r="B361">
        <v>27</v>
      </c>
      <c r="C361" s="1842">
        <v>46204</v>
      </c>
      <c r="D361" t="s">
        <v>210</v>
      </c>
      <c r="E361" t="s">
        <v>292</v>
      </c>
      <c r="F361" t="s">
        <v>307</v>
      </c>
      <c r="G361" s="1843">
        <v>30</v>
      </c>
      <c r="H361" s="1844">
        <v>27</v>
      </c>
      <c r="I361" s="1845">
        <v>810</v>
      </c>
      <c r="J361" t="s">
        <v>293</v>
      </c>
      <c r="K361">
        <v>23.95</v>
      </c>
    </row>
    <row r="362">
      <c r="B362">
        <v>27</v>
      </c>
      <c r="C362" s="1846">
        <v>46205</v>
      </c>
      <c r="D362" t="s">
        <v>210</v>
      </c>
      <c r="E362" t="s">
        <v>292</v>
      </c>
      <c r="F362" t="s">
        <v>307</v>
      </c>
      <c r="G362" s="1847">
        <v>60</v>
      </c>
      <c r="H362" s="1848">
        <v>27</v>
      </c>
      <c r="I362" s="1849">
        <v>1620</v>
      </c>
      <c r="J362" t="s">
        <v>293</v>
      </c>
      <c r="K362">
        <v>23.95</v>
      </c>
    </row>
    <row r="363">
      <c r="B363">
        <v>27</v>
      </c>
      <c r="C363" s="1850">
        <v>46206</v>
      </c>
      <c r="D363" t="s">
        <v>210</v>
      </c>
      <c r="E363" t="s">
        <v>292</v>
      </c>
      <c r="F363" t="s">
        <v>307</v>
      </c>
      <c r="G363" s="1851">
        <v>50</v>
      </c>
      <c r="H363" s="1852">
        <v>27</v>
      </c>
      <c r="I363" s="1853">
        <v>1350</v>
      </c>
      <c r="J363" t="s">
        <v>293</v>
      </c>
      <c r="K363">
        <v>23.95</v>
      </c>
    </row>
    <row r="364">
      <c r="B364">
        <v>27</v>
      </c>
      <c r="C364" s="1854">
        <v>46203</v>
      </c>
      <c r="D364" t="s">
        <v>210</v>
      </c>
      <c r="E364" t="s">
        <v>292</v>
      </c>
      <c r="F364" t="s">
        <v>307</v>
      </c>
      <c r="G364" s="1855">
        <v>50</v>
      </c>
      <c r="H364" s="1856">
        <v>27</v>
      </c>
      <c r="I364" s="1857">
        <v>1350</v>
      </c>
      <c r="J364" t="s">
        <v>293</v>
      </c>
      <c r="K364">
        <v>23.95</v>
      </c>
    </row>
    <row r="365">
      <c r="B365">
        <v>27</v>
      </c>
      <c r="C365" s="1858">
        <v>46204</v>
      </c>
      <c r="D365" t="s">
        <v>210</v>
      </c>
      <c r="E365" t="s">
        <v>292</v>
      </c>
      <c r="F365" t="s">
        <v>307</v>
      </c>
      <c r="G365" s="1859">
        <v>50</v>
      </c>
      <c r="H365" s="1860">
        <v>27</v>
      </c>
      <c r="I365" s="1861">
        <v>1350</v>
      </c>
      <c r="J365" t="s">
        <v>293</v>
      </c>
      <c r="K365">
        <v>23.95</v>
      </c>
    </row>
    <row r="366">
      <c r="B366">
        <v>27</v>
      </c>
      <c r="C366" s="1862">
        <v>46205</v>
      </c>
      <c r="D366" t="s">
        <v>210</v>
      </c>
      <c r="E366" t="s">
        <v>292</v>
      </c>
      <c r="F366" t="s">
        <v>307</v>
      </c>
      <c r="G366" s="1863">
        <v>60</v>
      </c>
      <c r="H366" s="1864">
        <v>27</v>
      </c>
      <c r="I366" s="1865">
        <v>1620</v>
      </c>
      <c r="J366" t="s">
        <v>293</v>
      </c>
      <c r="K366">
        <v>23.95</v>
      </c>
    </row>
    <row r="367">
      <c r="B367">
        <v>27</v>
      </c>
      <c r="C367" s="1866">
        <v>46206</v>
      </c>
      <c r="D367" t="s">
        <v>210</v>
      </c>
      <c r="E367" t="s">
        <v>292</v>
      </c>
      <c r="F367" t="s">
        <v>307</v>
      </c>
      <c r="G367" s="1867">
        <v>50</v>
      </c>
      <c r="H367" s="1868">
        <v>27</v>
      </c>
      <c r="I367" s="1869">
        <v>1350</v>
      </c>
      <c r="J367" t="s">
        <v>293</v>
      </c>
      <c r="K367">
        <v>23.95</v>
      </c>
    </row>
    <row r="368">
      <c r="B368">
        <v>27</v>
      </c>
      <c r="C368" s="1870">
        <v>46207</v>
      </c>
      <c r="D368" t="s">
        <v>210</v>
      </c>
      <c r="E368" t="s">
        <v>292</v>
      </c>
      <c r="F368" t="s">
        <v>307</v>
      </c>
      <c r="G368" s="1871">
        <v>100</v>
      </c>
      <c r="H368" s="1872">
        <v>27</v>
      </c>
      <c r="I368" s="1873">
        <v>2700</v>
      </c>
      <c r="J368" t="s">
        <v>293</v>
      </c>
      <c r="K368">
        <v>23.95</v>
      </c>
    </row>
    <row r="369">
      <c r="B369">
        <v>27</v>
      </c>
      <c r="C369" s="1874">
        <v>46203</v>
      </c>
      <c r="D369" t="s">
        <v>210</v>
      </c>
      <c r="E369" t="s">
        <v>292</v>
      </c>
      <c r="F369" t="s">
        <v>313</v>
      </c>
      <c r="G369" s="1875">
        <v>10</v>
      </c>
      <c r="H369" s="1876">
        <v>27</v>
      </c>
      <c r="I369" s="1877">
        <v>270</v>
      </c>
      <c r="J369" t="s">
        <v>293</v>
      </c>
      <c r="K369">
        <v>23.95</v>
      </c>
    </row>
    <row r="370">
      <c r="B370">
        <v>27</v>
      </c>
      <c r="C370" s="1878">
        <v>46204</v>
      </c>
      <c r="D370" t="s">
        <v>210</v>
      </c>
      <c r="E370" t="s">
        <v>292</v>
      </c>
      <c r="F370" t="s">
        <v>313</v>
      </c>
      <c r="G370" s="1879">
        <v>10</v>
      </c>
      <c r="H370" s="1880">
        <v>27</v>
      </c>
      <c r="I370" s="1881">
        <v>270</v>
      </c>
      <c r="J370" t="s">
        <v>293</v>
      </c>
      <c r="K370">
        <v>23.95</v>
      </c>
    </row>
    <row r="371">
      <c r="B371">
        <v>27</v>
      </c>
      <c r="C371" s="1882">
        <v>46205</v>
      </c>
      <c r="D371" t="s">
        <v>210</v>
      </c>
      <c r="E371" t="s">
        <v>292</v>
      </c>
      <c r="F371" t="s">
        <v>313</v>
      </c>
      <c r="G371" s="1883">
        <v>5</v>
      </c>
      <c r="H371" s="1884">
        <v>27</v>
      </c>
      <c r="I371" s="1885">
        <v>135</v>
      </c>
      <c r="J371" t="s">
        <v>293</v>
      </c>
      <c r="K371">
        <v>23.95</v>
      </c>
    </row>
    <row r="372">
      <c r="B372">
        <v>27</v>
      </c>
      <c r="C372" s="1886">
        <v>46206</v>
      </c>
      <c r="D372" t="s">
        <v>210</v>
      </c>
      <c r="E372" t="s">
        <v>292</v>
      </c>
      <c r="F372" t="s">
        <v>313</v>
      </c>
      <c r="G372" s="1887">
        <v>10</v>
      </c>
      <c r="H372" s="1888">
        <v>27</v>
      </c>
      <c r="I372" s="1889">
        <v>270</v>
      </c>
      <c r="J372" t="s">
        <v>293</v>
      </c>
      <c r="K372">
        <v>23.95</v>
      </c>
    </row>
    <row r="373">
      <c r="B373">
        <v>27</v>
      </c>
      <c r="C373" s="1890">
        <v>46202</v>
      </c>
      <c r="D373" t="s">
        <v>210</v>
      </c>
      <c r="E373" t="s">
        <v>292</v>
      </c>
      <c r="F373" t="s">
        <v>327</v>
      </c>
      <c r="G373" s="1891">
        <v>5</v>
      </c>
      <c r="H373" s="1892">
        <v>27</v>
      </c>
      <c r="I373" s="1893">
        <v>135</v>
      </c>
      <c r="J373" t="s">
        <v>293</v>
      </c>
      <c r="K373">
        <v>23.95</v>
      </c>
    </row>
    <row r="374">
      <c r="B374">
        <v>27</v>
      </c>
      <c r="C374" s="1894">
        <v>46203</v>
      </c>
      <c r="D374" t="s">
        <v>210</v>
      </c>
      <c r="E374" t="s">
        <v>292</v>
      </c>
      <c r="F374" t="s">
        <v>327</v>
      </c>
      <c r="G374" s="1895">
        <v>5</v>
      </c>
      <c r="H374" s="1896">
        <v>27</v>
      </c>
      <c r="I374" s="1897">
        <v>135</v>
      </c>
      <c r="J374" t="s">
        <v>293</v>
      </c>
      <c r="K374">
        <v>23.95</v>
      </c>
    </row>
    <row r="375">
      <c r="B375">
        <v>27</v>
      </c>
      <c r="C375" s="1898">
        <v>46204</v>
      </c>
      <c r="D375" t="s">
        <v>210</v>
      </c>
      <c r="E375" t="s">
        <v>292</v>
      </c>
      <c r="F375" t="s">
        <v>327</v>
      </c>
      <c r="G375" s="1899">
        <v>5</v>
      </c>
      <c r="H375" s="1900">
        <v>27</v>
      </c>
      <c r="I375" s="1901">
        <v>135</v>
      </c>
      <c r="J375" t="s">
        <v>293</v>
      </c>
      <c r="K375">
        <v>23.95</v>
      </c>
    </row>
    <row r="376">
      <c r="B376">
        <v>27</v>
      </c>
      <c r="C376" s="1902">
        <v>46205</v>
      </c>
      <c r="D376" t="s">
        <v>210</v>
      </c>
      <c r="E376" t="s">
        <v>292</v>
      </c>
      <c r="F376" t="s">
        <v>327</v>
      </c>
      <c r="G376" s="1903">
        <v>5</v>
      </c>
      <c r="H376" s="1904">
        <v>27</v>
      </c>
      <c r="I376" s="1905">
        <v>135</v>
      </c>
      <c r="J376" t="s">
        <v>293</v>
      </c>
      <c r="K376">
        <v>23.95</v>
      </c>
    </row>
    <row r="377">
      <c r="B377">
        <v>27</v>
      </c>
      <c r="C377" s="1906">
        <v>46206</v>
      </c>
      <c r="D377" t="s">
        <v>210</v>
      </c>
      <c r="E377" t="s">
        <v>292</v>
      </c>
      <c r="F377" t="s">
        <v>327</v>
      </c>
      <c r="G377" s="1907">
        <v>5</v>
      </c>
      <c r="H377" s="1908">
        <v>27</v>
      </c>
      <c r="I377" s="1909">
        <v>135</v>
      </c>
      <c r="J377" t="s">
        <v>293</v>
      </c>
      <c r="K377">
        <v>23.95</v>
      </c>
    </row>
    <row r="378">
      <c r="B378">
        <v>27</v>
      </c>
      <c r="C378" s="1910">
        <v>46203</v>
      </c>
      <c r="D378" t="s">
        <v>210</v>
      </c>
      <c r="E378" t="s">
        <v>292</v>
      </c>
      <c r="F378" t="s">
        <v>328</v>
      </c>
      <c r="G378" s="1911">
        <v>100</v>
      </c>
      <c r="H378" s="1912">
        <v>27</v>
      </c>
      <c r="I378" s="1913">
        <v>2700</v>
      </c>
      <c r="J378" t="s">
        <v>293</v>
      </c>
      <c r="K378">
        <v>23.95</v>
      </c>
    </row>
    <row r="379">
      <c r="B379">
        <v>27</v>
      </c>
      <c r="C379" s="1914">
        <v>46204</v>
      </c>
      <c r="D379" t="s">
        <v>210</v>
      </c>
      <c r="E379" t="s">
        <v>292</v>
      </c>
      <c r="F379" t="s">
        <v>328</v>
      </c>
      <c r="G379" s="1915">
        <v>70</v>
      </c>
      <c r="H379" s="1916">
        <v>27</v>
      </c>
      <c r="I379" s="1917">
        <v>1890</v>
      </c>
      <c r="J379" t="s">
        <v>293</v>
      </c>
      <c r="K379">
        <v>23.95</v>
      </c>
    </row>
    <row r="380">
      <c r="B380">
        <v>27</v>
      </c>
      <c r="C380" s="1918">
        <v>46205</v>
      </c>
      <c r="D380" t="s">
        <v>210</v>
      </c>
      <c r="E380" t="s">
        <v>292</v>
      </c>
      <c r="F380" t="s">
        <v>328</v>
      </c>
      <c r="G380" s="1919">
        <v>100</v>
      </c>
      <c r="H380" s="1920">
        <v>27</v>
      </c>
      <c r="I380" s="1921">
        <v>2700</v>
      </c>
      <c r="J380" t="s">
        <v>293</v>
      </c>
      <c r="K380">
        <v>23.95</v>
      </c>
    </row>
    <row r="381">
      <c r="B381">
        <v>27</v>
      </c>
      <c r="C381" s="1922">
        <v>46206</v>
      </c>
      <c r="D381" t="s">
        <v>210</v>
      </c>
      <c r="E381" t="s">
        <v>292</v>
      </c>
      <c r="F381" t="s">
        <v>328</v>
      </c>
      <c r="G381" s="1923">
        <v>100</v>
      </c>
      <c r="H381" s="1924">
        <v>27</v>
      </c>
      <c r="I381" s="1925">
        <v>2700</v>
      </c>
      <c r="J381" t="s">
        <v>293</v>
      </c>
      <c r="K381">
        <v>23.95</v>
      </c>
    </row>
    <row r="382">
      <c r="B382">
        <v>27</v>
      </c>
      <c r="C382" s="1926">
        <v>46207</v>
      </c>
      <c r="D382" t="s">
        <v>210</v>
      </c>
      <c r="E382" t="s">
        <v>292</v>
      </c>
      <c r="F382" t="s">
        <v>328</v>
      </c>
      <c r="G382" s="1927">
        <v>100</v>
      </c>
      <c r="H382" s="1928">
        <v>27</v>
      </c>
      <c r="I382" s="1929">
        <v>2700</v>
      </c>
      <c r="J382" t="s">
        <v>293</v>
      </c>
      <c r="K382">
        <v>23.95</v>
      </c>
    </row>
    <row r="383">
      <c r="B383">
        <v>27</v>
      </c>
      <c r="C383" s="1930">
        <v>46204</v>
      </c>
      <c r="D383" t="s">
        <v>210</v>
      </c>
      <c r="E383" t="s">
        <v>292</v>
      </c>
      <c r="F383" t="s">
        <v>329</v>
      </c>
      <c r="G383" s="1931">
        <v>70</v>
      </c>
      <c r="H383" s="1932">
        <v>27</v>
      </c>
      <c r="I383" s="1933">
        <v>1890</v>
      </c>
      <c r="J383" t="s">
        <v>293</v>
      </c>
      <c r="K383">
        <v>23.95</v>
      </c>
    </row>
    <row r="384">
      <c r="B384">
        <v>27</v>
      </c>
      <c r="C384" s="1934">
        <v>46206</v>
      </c>
      <c r="D384" t="s">
        <v>210</v>
      </c>
      <c r="E384" t="s">
        <v>292</v>
      </c>
      <c r="F384" t="s">
        <v>329</v>
      </c>
      <c r="G384" s="1935">
        <v>70</v>
      </c>
      <c r="H384" s="1936">
        <v>27</v>
      </c>
      <c r="I384" s="1937">
        <v>1890</v>
      </c>
      <c r="J384" t="s">
        <v>293</v>
      </c>
      <c r="K384">
        <v>23.95</v>
      </c>
    </row>
    <row r="385">
      <c r="B385">
        <v>24</v>
      </c>
      <c r="C385" s="1938">
        <v>46181</v>
      </c>
      <c r="D385" t="s">
        <v>6</v>
      </c>
      <c r="E385" t="s">
        <v>330</v>
      </c>
      <c r="F385" t="s">
        <v>181</v>
      </c>
      <c r="G385" s="1939">
        <v>30</v>
      </c>
      <c r="H385" s="1940"/>
      <c r="I385" s="1941">
        <v>NaN</v>
      </c>
      <c r="J385" t="s">
        <v>293</v>
      </c>
      <c r="K385" t="s">
        <v>331</v>
      </c>
    </row>
    <row r="386">
      <c r="B386">
        <v>24</v>
      </c>
      <c r="C386" s="1942">
        <v>46181</v>
      </c>
      <c r="D386" t="s">
        <v>6</v>
      </c>
      <c r="E386" t="s">
        <v>330</v>
      </c>
      <c r="F386" t="s">
        <v>86</v>
      </c>
      <c r="G386" s="1943">
        <v>32</v>
      </c>
      <c r="H386" s="1944"/>
      <c r="I386" s="1945">
        <v>NaN</v>
      </c>
      <c r="J386" t="s">
        <v>293</v>
      </c>
      <c r="K386" t="s">
        <v>331</v>
      </c>
    </row>
    <row r="387">
      <c r="B387">
        <v>24</v>
      </c>
      <c r="C387" s="1946">
        <v>46181</v>
      </c>
      <c r="D387" t="s">
        <v>6</v>
      </c>
      <c r="E387" t="s">
        <v>330</v>
      </c>
      <c r="F387" t="s">
        <v>164</v>
      </c>
      <c r="G387" s="1947">
        <v>277</v>
      </c>
      <c r="H387" s="1948"/>
      <c r="I387" s="1949">
        <v>NaN</v>
      </c>
      <c r="J387" t="s">
        <v>293</v>
      </c>
      <c r="K387" t="s">
        <v>331</v>
      </c>
    </row>
    <row r="388">
      <c r="B388">
        <v>24</v>
      </c>
      <c r="C388" s="1950">
        <v>46181</v>
      </c>
      <c r="D388" t="s">
        <v>6</v>
      </c>
      <c r="E388" t="s">
        <v>330</v>
      </c>
      <c r="F388" t="s">
        <v>95</v>
      </c>
      <c r="G388" s="1951">
        <v>30</v>
      </c>
      <c r="H388" s="1952"/>
      <c r="I388" s="1953">
        <v>NaN</v>
      </c>
      <c r="J388" t="s">
        <v>293</v>
      </c>
      <c r="K388" t="s">
        <v>331</v>
      </c>
    </row>
    <row r="389">
      <c r="B389">
        <v>24</v>
      </c>
      <c r="C389" s="1954">
        <v>46181</v>
      </c>
      <c r="D389" t="s">
        <v>8</v>
      </c>
      <c r="E389" t="s">
        <v>330</v>
      </c>
      <c r="F389" t="s">
        <v>160</v>
      </c>
      <c r="G389" s="1955">
        <v>97</v>
      </c>
      <c r="H389" s="1956"/>
      <c r="I389" s="1957">
        <v>NaN</v>
      </c>
      <c r="J389" t="s">
        <v>293</v>
      </c>
      <c r="K389" t="s">
        <v>331</v>
      </c>
    </row>
    <row r="390">
      <c r="B390">
        <v>24</v>
      </c>
      <c r="C390" s="1958">
        <v>46181</v>
      </c>
      <c r="D390" t="s">
        <v>10</v>
      </c>
      <c r="E390" t="s">
        <v>330</v>
      </c>
      <c r="F390" t="s">
        <v>171</v>
      </c>
      <c r="G390" s="1959">
        <v>198</v>
      </c>
      <c r="H390" s="1960"/>
      <c r="I390" s="1961">
        <v>NaN</v>
      </c>
      <c r="J390" t="s">
        <v>293</v>
      </c>
      <c r="K390" t="s">
        <v>331</v>
      </c>
    </row>
    <row r="391">
      <c r="B391">
        <v>24</v>
      </c>
      <c r="C391" s="1962">
        <v>46181</v>
      </c>
      <c r="D391" t="s">
        <v>10</v>
      </c>
      <c r="E391" t="s">
        <v>330</v>
      </c>
      <c r="F391" t="s">
        <v>192</v>
      </c>
      <c r="G391" s="1963">
        <v>10</v>
      </c>
      <c r="H391" s="1964"/>
      <c r="I391" s="1965">
        <v>NaN</v>
      </c>
      <c r="J391" t="s">
        <v>293</v>
      </c>
      <c r="K391" t="s">
        <v>331</v>
      </c>
    </row>
    <row r="392">
      <c r="B392">
        <v>24</v>
      </c>
      <c r="C392" s="1966">
        <v>46181</v>
      </c>
      <c r="D392" t="s">
        <v>10</v>
      </c>
      <c r="E392" t="s">
        <v>330</v>
      </c>
      <c r="F392" t="s">
        <v>186</v>
      </c>
      <c r="G392" s="1967">
        <v>27</v>
      </c>
      <c r="H392" s="1968"/>
      <c r="I392" s="1969">
        <v>NaN</v>
      </c>
      <c r="J392" t="s">
        <v>293</v>
      </c>
      <c r="K392" t="s">
        <v>331</v>
      </c>
    </row>
    <row r="393">
      <c r="B393">
        <v>24</v>
      </c>
      <c r="C393" s="1970">
        <v>46181</v>
      </c>
      <c r="D393" t="s">
        <v>10</v>
      </c>
      <c r="E393" t="s">
        <v>330</v>
      </c>
      <c r="F393" t="s">
        <v>194</v>
      </c>
      <c r="G393" s="1971">
        <v>30</v>
      </c>
      <c r="H393" s="1972"/>
      <c r="I393" s="1973">
        <v>NaN</v>
      </c>
      <c r="J393" t="s">
        <v>293</v>
      </c>
      <c r="K393" t="s">
        <v>331</v>
      </c>
    </row>
    <row r="394">
      <c r="B394">
        <v>24</v>
      </c>
      <c r="C394" s="1974">
        <v>46181</v>
      </c>
      <c r="D394" t="s">
        <v>10</v>
      </c>
      <c r="E394" t="s">
        <v>330</v>
      </c>
      <c r="F394" t="s">
        <v>177</v>
      </c>
      <c r="G394" s="1975">
        <v>40</v>
      </c>
      <c r="H394" s="1976"/>
      <c r="I394" s="1977">
        <v>NaN</v>
      </c>
      <c r="J394" t="s">
        <v>293</v>
      </c>
      <c r="K394" t="s">
        <v>331</v>
      </c>
    </row>
    <row r="395">
      <c r="B395">
        <v>24</v>
      </c>
      <c r="C395" s="1978">
        <v>46181</v>
      </c>
      <c r="D395" t="s">
        <v>10</v>
      </c>
      <c r="E395" t="s">
        <v>330</v>
      </c>
      <c r="F395" t="s">
        <v>182</v>
      </c>
      <c r="G395" s="1979">
        <v>120</v>
      </c>
      <c r="H395" s="1980"/>
      <c r="I395" s="1981">
        <v>NaN</v>
      </c>
      <c r="J395" t="s">
        <v>293</v>
      </c>
      <c r="K395" t="s">
        <v>331</v>
      </c>
    </row>
    <row r="396">
      <c r="B396">
        <v>24</v>
      </c>
      <c r="C396" s="1982">
        <v>46181</v>
      </c>
      <c r="D396" t="s">
        <v>10</v>
      </c>
      <c r="E396" t="s">
        <v>330</v>
      </c>
      <c r="F396" t="s">
        <v>188</v>
      </c>
      <c r="G396" s="1983">
        <v>30</v>
      </c>
      <c r="H396" s="1984"/>
      <c r="I396" s="1985">
        <v>NaN</v>
      </c>
      <c r="J396" t="s">
        <v>293</v>
      </c>
      <c r="K396" t="s">
        <v>331</v>
      </c>
    </row>
    <row r="397">
      <c r="B397">
        <v>24</v>
      </c>
      <c r="C397" s="1986">
        <v>46181</v>
      </c>
      <c r="D397" t="s">
        <v>210</v>
      </c>
      <c r="E397" t="s">
        <v>330</v>
      </c>
      <c r="F397" t="s">
        <v>211</v>
      </c>
      <c r="G397" s="1987">
        <v>100</v>
      </c>
      <c r="H397" s="1988"/>
      <c r="I397" s="1989">
        <v>NaN</v>
      </c>
      <c r="J397" t="s">
        <v>293</v>
      </c>
      <c r="K397" t="s">
        <v>331</v>
      </c>
    </row>
    <row r="398">
      <c r="B398">
        <v>24</v>
      </c>
      <c r="C398" s="1990">
        <v>46181</v>
      </c>
      <c r="D398" t="s">
        <v>332</v>
      </c>
      <c r="E398" t="s">
        <v>330</v>
      </c>
      <c r="F398" t="s">
        <v>211</v>
      </c>
      <c r="G398" s="1991">
        <v>200</v>
      </c>
      <c r="H398" s="1992"/>
      <c r="I398" s="1993">
        <v>NaN</v>
      </c>
      <c r="J398" t="s">
        <v>293</v>
      </c>
      <c r="K398" t="s">
        <v>331</v>
      </c>
    </row>
    <row r="399">
      <c r="B399">
        <v>24</v>
      </c>
      <c r="C399" s="1994">
        <v>46181</v>
      </c>
      <c r="D399" t="s">
        <v>332</v>
      </c>
      <c r="E399" t="s">
        <v>330</v>
      </c>
      <c r="F399" t="s">
        <v>211</v>
      </c>
      <c r="G399" s="1995">
        <v>209</v>
      </c>
      <c r="H399" s="1996"/>
      <c r="I399" s="1997">
        <v>NaN</v>
      </c>
      <c r="J399" t="s">
        <v>293</v>
      </c>
      <c r="K399" t="s">
        <v>331</v>
      </c>
    </row>
    <row r="400">
      <c r="B400">
        <v>24</v>
      </c>
      <c r="C400" s="1998">
        <v>46182</v>
      </c>
      <c r="D400" t="s">
        <v>10</v>
      </c>
      <c r="E400" t="s">
        <v>330</v>
      </c>
      <c r="F400" t="s">
        <v>175</v>
      </c>
      <c r="G400" s="1999">
        <v>30</v>
      </c>
      <c r="H400" s="2000"/>
      <c r="I400" s="2001">
        <v>NaN</v>
      </c>
      <c r="J400" t="s">
        <v>293</v>
      </c>
      <c r="K400" t="s">
        <v>331</v>
      </c>
    </row>
    <row r="401">
      <c r="B401">
        <v>24</v>
      </c>
      <c r="C401" s="2002">
        <v>46182</v>
      </c>
      <c r="D401" t="s">
        <v>10</v>
      </c>
      <c r="E401" t="s">
        <v>330</v>
      </c>
      <c r="F401" t="s">
        <v>179</v>
      </c>
      <c r="G401" s="2003">
        <v>100</v>
      </c>
      <c r="H401" s="2004"/>
      <c r="I401" s="2005">
        <v>NaN</v>
      </c>
      <c r="J401" t="s">
        <v>293</v>
      </c>
      <c r="K401" t="s">
        <v>331</v>
      </c>
    </row>
    <row r="402">
      <c r="B402">
        <v>24</v>
      </c>
      <c r="C402" s="2006">
        <v>46182</v>
      </c>
      <c r="D402" t="s">
        <v>10</v>
      </c>
      <c r="E402" t="s">
        <v>330</v>
      </c>
      <c r="F402" t="s">
        <v>184</v>
      </c>
      <c r="G402" s="2007">
        <v>30</v>
      </c>
      <c r="H402" s="2008"/>
      <c r="I402" s="2009">
        <v>NaN</v>
      </c>
      <c r="J402" t="s">
        <v>293</v>
      </c>
      <c r="K402" t="s">
        <v>331</v>
      </c>
    </row>
    <row r="403">
      <c r="B403">
        <v>24</v>
      </c>
      <c r="C403" s="2010">
        <v>46182</v>
      </c>
      <c r="D403" t="s">
        <v>10</v>
      </c>
      <c r="E403" t="s">
        <v>330</v>
      </c>
      <c r="F403" t="s">
        <v>171</v>
      </c>
      <c r="G403" s="2011">
        <v>150</v>
      </c>
      <c r="H403" s="2012"/>
      <c r="I403" s="2013">
        <v>NaN</v>
      </c>
      <c r="J403" t="s">
        <v>293</v>
      </c>
      <c r="K403" t="s">
        <v>331</v>
      </c>
    </row>
    <row r="404">
      <c r="B404">
        <v>24</v>
      </c>
      <c r="C404" s="2014">
        <v>46182</v>
      </c>
      <c r="D404" t="s">
        <v>10</v>
      </c>
      <c r="E404" t="s">
        <v>330</v>
      </c>
      <c r="F404" t="s">
        <v>188</v>
      </c>
      <c r="G404" s="2015">
        <v>50</v>
      </c>
      <c r="H404" s="2016"/>
      <c r="I404" s="2017">
        <v>NaN</v>
      </c>
      <c r="J404" t="s">
        <v>293</v>
      </c>
      <c r="K404" t="s">
        <v>331</v>
      </c>
    </row>
    <row r="405">
      <c r="B405">
        <v>24</v>
      </c>
      <c r="C405" s="2018">
        <v>46182</v>
      </c>
      <c r="D405" t="s">
        <v>10</v>
      </c>
      <c r="E405" t="s">
        <v>330</v>
      </c>
      <c r="F405" t="s">
        <v>182</v>
      </c>
      <c r="G405" s="2019">
        <v>136</v>
      </c>
      <c r="H405" s="2020"/>
      <c r="I405" s="2021">
        <v>NaN</v>
      </c>
      <c r="J405" t="s">
        <v>293</v>
      </c>
      <c r="K405" t="s">
        <v>331</v>
      </c>
    </row>
    <row r="406">
      <c r="B406">
        <v>24</v>
      </c>
      <c r="C406" s="2022">
        <v>46182</v>
      </c>
      <c r="D406" t="s">
        <v>10</v>
      </c>
      <c r="E406" t="s">
        <v>330</v>
      </c>
      <c r="F406" t="s">
        <v>184</v>
      </c>
      <c r="G406" s="2023">
        <v>30</v>
      </c>
      <c r="H406" s="2024"/>
      <c r="I406" s="2025">
        <v>NaN</v>
      </c>
      <c r="J406" t="s">
        <v>293</v>
      </c>
      <c r="K406" t="s">
        <v>331</v>
      </c>
    </row>
    <row r="407">
      <c r="B407">
        <v>24</v>
      </c>
      <c r="C407" s="2026">
        <v>46182</v>
      </c>
      <c r="D407" t="s">
        <v>10</v>
      </c>
      <c r="E407" t="s">
        <v>330</v>
      </c>
      <c r="F407" t="s">
        <v>181</v>
      </c>
      <c r="G407" s="2027">
        <v>30</v>
      </c>
      <c r="H407" s="2028"/>
      <c r="I407" s="2029">
        <v>NaN</v>
      </c>
      <c r="J407" t="s">
        <v>293</v>
      </c>
      <c r="K407" t="s">
        <v>331</v>
      </c>
    </row>
    <row r="408">
      <c r="B408">
        <v>24</v>
      </c>
      <c r="C408" s="2030">
        <v>46182</v>
      </c>
      <c r="D408" t="s">
        <v>10</v>
      </c>
      <c r="E408" t="s">
        <v>330</v>
      </c>
      <c r="F408" t="s">
        <v>179</v>
      </c>
      <c r="G408" s="2031">
        <v>100</v>
      </c>
      <c r="H408" s="2032"/>
      <c r="I408" s="2033">
        <v>NaN</v>
      </c>
      <c r="J408" t="s">
        <v>293</v>
      </c>
      <c r="K408" t="s">
        <v>331</v>
      </c>
    </row>
    <row r="409">
      <c r="B409">
        <v>24</v>
      </c>
      <c r="C409" s="2034">
        <v>46182</v>
      </c>
      <c r="D409" t="s">
        <v>10</v>
      </c>
      <c r="E409" t="s">
        <v>330</v>
      </c>
      <c r="F409" t="s">
        <v>177</v>
      </c>
      <c r="G409" s="2035">
        <v>60</v>
      </c>
      <c r="H409" s="2036"/>
      <c r="I409" s="2037">
        <v>NaN</v>
      </c>
      <c r="J409" t="s">
        <v>293</v>
      </c>
      <c r="K409" t="s">
        <v>331</v>
      </c>
    </row>
    <row r="410">
      <c r="B410">
        <v>24</v>
      </c>
      <c r="C410" s="2038">
        <v>46182</v>
      </c>
      <c r="D410" t="s">
        <v>10</v>
      </c>
      <c r="E410" t="s">
        <v>330</v>
      </c>
      <c r="F410" t="s">
        <v>194</v>
      </c>
      <c r="G410" s="2039">
        <v>20</v>
      </c>
      <c r="H410" s="2040"/>
      <c r="I410" s="2041">
        <v>NaN</v>
      </c>
      <c r="J410" t="s">
        <v>293</v>
      </c>
      <c r="K410" t="s">
        <v>331</v>
      </c>
    </row>
    <row r="411">
      <c r="B411">
        <v>24</v>
      </c>
      <c r="C411" s="2042">
        <v>46182</v>
      </c>
      <c r="D411" t="s">
        <v>8</v>
      </c>
      <c r="E411" t="s">
        <v>330</v>
      </c>
      <c r="F411" t="s">
        <v>95</v>
      </c>
      <c r="G411" s="2043">
        <v>70</v>
      </c>
      <c r="H411" s="2044"/>
      <c r="I411" s="2045">
        <v>NaN</v>
      </c>
      <c r="J411" t="s">
        <v>293</v>
      </c>
      <c r="K411" t="s">
        <v>331</v>
      </c>
    </row>
    <row r="412">
      <c r="B412">
        <v>24</v>
      </c>
      <c r="C412" s="2046">
        <v>46182</v>
      </c>
      <c r="D412" t="s">
        <v>8</v>
      </c>
      <c r="E412" t="s">
        <v>330</v>
      </c>
      <c r="F412" t="s">
        <v>200</v>
      </c>
      <c r="G412" s="2047">
        <v>50</v>
      </c>
      <c r="H412" s="2048"/>
      <c r="I412" s="2049">
        <v>NaN</v>
      </c>
      <c r="J412" t="s">
        <v>293</v>
      </c>
      <c r="K412" t="s">
        <v>331</v>
      </c>
    </row>
    <row r="413">
      <c r="B413">
        <v>24</v>
      </c>
      <c r="C413" s="2050">
        <v>46182</v>
      </c>
      <c r="D413" t="s">
        <v>8</v>
      </c>
      <c r="E413" t="s">
        <v>330</v>
      </c>
      <c r="F413" t="s">
        <v>100</v>
      </c>
      <c r="G413" s="2051">
        <v>60</v>
      </c>
      <c r="H413" s="2052"/>
      <c r="I413" s="2053">
        <v>NaN</v>
      </c>
      <c r="J413" t="s">
        <v>293</v>
      </c>
      <c r="K413" t="s">
        <v>331</v>
      </c>
    </row>
    <row r="414">
      <c r="B414">
        <v>24</v>
      </c>
      <c r="C414" s="2054">
        <v>46183</v>
      </c>
      <c r="D414" t="s">
        <v>6</v>
      </c>
      <c r="E414" t="s">
        <v>330</v>
      </c>
      <c r="F414" t="s">
        <v>165</v>
      </c>
      <c r="G414" s="2055">
        <v>20</v>
      </c>
      <c r="H414" s="2056"/>
      <c r="I414" s="2057">
        <v>NaN</v>
      </c>
      <c r="J414" t="s">
        <v>293</v>
      </c>
      <c r="K414" t="s">
        <v>331</v>
      </c>
    </row>
    <row r="415">
      <c r="B415">
        <v>24</v>
      </c>
      <c r="C415" s="2058">
        <v>46183</v>
      </c>
      <c r="D415" t="s">
        <v>6</v>
      </c>
      <c r="E415" t="s">
        <v>330</v>
      </c>
      <c r="F415" t="s">
        <v>164</v>
      </c>
      <c r="G415" s="2059">
        <v>250</v>
      </c>
      <c r="H415" s="2060"/>
      <c r="I415" s="2061">
        <v>NaN</v>
      </c>
      <c r="J415" t="s">
        <v>293</v>
      </c>
      <c r="K415" t="s">
        <v>331</v>
      </c>
    </row>
    <row r="416">
      <c r="B416">
        <v>24</v>
      </c>
      <c r="C416" s="2062">
        <v>46183</v>
      </c>
      <c r="D416" t="s">
        <v>6</v>
      </c>
      <c r="E416" t="s">
        <v>330</v>
      </c>
      <c r="F416" t="s">
        <v>95</v>
      </c>
      <c r="G416" s="2063">
        <v>30</v>
      </c>
      <c r="H416" s="2064"/>
      <c r="I416" s="2065">
        <v>NaN</v>
      </c>
      <c r="J416" t="s">
        <v>293</v>
      </c>
      <c r="K416" t="s">
        <v>331</v>
      </c>
    </row>
    <row r="417">
      <c r="B417">
        <v>24</v>
      </c>
      <c r="C417" s="2066">
        <v>46183</v>
      </c>
      <c r="D417" t="s">
        <v>210</v>
      </c>
      <c r="E417" t="s">
        <v>330</v>
      </c>
      <c r="F417" t="s">
        <v>211</v>
      </c>
      <c r="G417" s="2067">
        <v>100</v>
      </c>
      <c r="H417" s="2068"/>
      <c r="I417" s="2069">
        <v>NaN</v>
      </c>
      <c r="J417" t="s">
        <v>293</v>
      </c>
      <c r="K417" t="s">
        <v>331</v>
      </c>
    </row>
    <row r="418">
      <c r="B418">
        <v>24</v>
      </c>
      <c r="C418" s="2070">
        <v>46184</v>
      </c>
      <c r="D418" t="s">
        <v>6</v>
      </c>
      <c r="E418" t="s">
        <v>330</v>
      </c>
      <c r="F418" t="s">
        <v>86</v>
      </c>
      <c r="G418" s="2071">
        <v>30</v>
      </c>
      <c r="H418" s="2072"/>
      <c r="I418" s="2073">
        <v>NaN</v>
      </c>
      <c r="J418" t="s">
        <v>293</v>
      </c>
      <c r="K418" t="s">
        <v>331</v>
      </c>
    </row>
    <row r="419">
      <c r="B419">
        <v>24</v>
      </c>
      <c r="C419" s="2074">
        <v>46184</v>
      </c>
      <c r="D419" t="s">
        <v>6</v>
      </c>
      <c r="E419" t="s">
        <v>330</v>
      </c>
      <c r="F419" t="s">
        <v>181</v>
      </c>
      <c r="G419" s="2075">
        <v>30</v>
      </c>
      <c r="H419" s="2076"/>
      <c r="I419" s="2077">
        <v>NaN</v>
      </c>
      <c r="J419" t="s">
        <v>293</v>
      </c>
      <c r="K419" t="s">
        <v>331</v>
      </c>
    </row>
    <row r="420">
      <c r="B420">
        <v>24</v>
      </c>
      <c r="C420" s="2078">
        <v>46184</v>
      </c>
      <c r="D420" t="s">
        <v>6</v>
      </c>
      <c r="E420" t="s">
        <v>330</v>
      </c>
      <c r="F420" t="s">
        <v>160</v>
      </c>
      <c r="G420" s="2079">
        <v>136</v>
      </c>
      <c r="H420" s="2080"/>
      <c r="I420" s="2081">
        <v>NaN</v>
      </c>
      <c r="J420" t="s">
        <v>293</v>
      </c>
      <c r="K420" t="s">
        <v>331</v>
      </c>
    </row>
    <row r="421">
      <c r="B421">
        <v>24</v>
      </c>
      <c r="C421" s="2082">
        <v>46184</v>
      </c>
      <c r="D421" t="s">
        <v>6</v>
      </c>
      <c r="E421" t="s">
        <v>330</v>
      </c>
      <c r="F421" t="s">
        <v>165</v>
      </c>
      <c r="G421" s="2083">
        <v>20</v>
      </c>
      <c r="H421" s="2084"/>
      <c r="I421" s="2085">
        <v>NaN</v>
      </c>
      <c r="J421" t="s">
        <v>293</v>
      </c>
      <c r="K421" t="s">
        <v>331</v>
      </c>
    </row>
    <row r="422">
      <c r="B422">
        <v>24</v>
      </c>
      <c r="C422" s="2086">
        <v>46184</v>
      </c>
      <c r="D422" t="s">
        <v>6</v>
      </c>
      <c r="E422" t="s">
        <v>330</v>
      </c>
      <c r="F422" t="s">
        <v>95</v>
      </c>
      <c r="G422" s="2087">
        <v>20</v>
      </c>
      <c r="H422" s="2088"/>
      <c r="I422" s="2089">
        <v>NaN</v>
      </c>
      <c r="J422" t="s">
        <v>293</v>
      </c>
      <c r="K422" t="s">
        <v>331</v>
      </c>
    </row>
    <row r="423">
      <c r="B423">
        <v>24</v>
      </c>
      <c r="C423" s="2090">
        <v>46184</v>
      </c>
      <c r="D423" t="s">
        <v>6</v>
      </c>
      <c r="E423" t="s">
        <v>330</v>
      </c>
      <c r="F423" t="s">
        <v>192</v>
      </c>
      <c r="G423" s="2091">
        <v>20</v>
      </c>
      <c r="H423" s="2092"/>
      <c r="I423" s="2093">
        <v>NaN</v>
      </c>
      <c r="J423" t="s">
        <v>293</v>
      </c>
      <c r="K423" t="s">
        <v>331</v>
      </c>
    </row>
    <row r="424">
      <c r="B424">
        <v>24</v>
      </c>
      <c r="C424" s="2094">
        <v>46184</v>
      </c>
      <c r="D424" t="s">
        <v>332</v>
      </c>
      <c r="E424" t="s">
        <v>330</v>
      </c>
      <c r="F424" t="s">
        <v>217</v>
      </c>
      <c r="G424" s="2095">
        <v>238</v>
      </c>
      <c r="H424" s="2096"/>
      <c r="I424" s="2097">
        <v>NaN</v>
      </c>
      <c r="J424" t="s">
        <v>293</v>
      </c>
      <c r="K424" t="s">
        <v>331</v>
      </c>
    </row>
    <row r="425">
      <c r="B425">
        <v>24</v>
      </c>
      <c r="C425" s="2098">
        <v>46184</v>
      </c>
      <c r="D425" t="s">
        <v>8</v>
      </c>
      <c r="E425" t="s">
        <v>330</v>
      </c>
      <c r="F425" t="s">
        <v>100</v>
      </c>
      <c r="G425" s="2099">
        <v>80</v>
      </c>
      <c r="H425" s="2100"/>
      <c r="I425" s="2101">
        <v>NaN</v>
      </c>
      <c r="J425" t="s">
        <v>293</v>
      </c>
      <c r="K425" t="s">
        <v>331</v>
      </c>
    </row>
    <row r="426">
      <c r="B426">
        <v>24</v>
      </c>
      <c r="C426" s="2102">
        <v>46184</v>
      </c>
      <c r="D426" t="s">
        <v>8</v>
      </c>
      <c r="E426" t="s">
        <v>330</v>
      </c>
      <c r="F426" t="s">
        <v>194</v>
      </c>
      <c r="G426" s="2103">
        <v>50</v>
      </c>
      <c r="H426" s="2104"/>
      <c r="I426" s="2105">
        <v>NaN</v>
      </c>
      <c r="J426" t="s">
        <v>293</v>
      </c>
      <c r="K426" t="s">
        <v>331</v>
      </c>
    </row>
    <row r="427">
      <c r="B427">
        <v>24</v>
      </c>
      <c r="C427" s="2106">
        <v>46184</v>
      </c>
      <c r="D427" t="s">
        <v>8</v>
      </c>
      <c r="E427" t="s">
        <v>330</v>
      </c>
      <c r="F427" t="s">
        <v>95</v>
      </c>
      <c r="G427" s="2107">
        <v>70</v>
      </c>
      <c r="H427" s="2108"/>
      <c r="I427" s="2109">
        <v>NaN</v>
      </c>
      <c r="J427" t="s">
        <v>293</v>
      </c>
      <c r="K427" t="s">
        <v>331</v>
      </c>
    </row>
    <row r="428">
      <c r="B428">
        <v>24</v>
      </c>
      <c r="C428" s="2110">
        <v>46184</v>
      </c>
      <c r="D428" t="s">
        <v>8</v>
      </c>
      <c r="E428" t="s">
        <v>330</v>
      </c>
      <c r="F428" t="s">
        <v>190</v>
      </c>
      <c r="G428" s="2111">
        <v>80</v>
      </c>
      <c r="H428" s="2112"/>
      <c r="I428" s="2113">
        <v>NaN</v>
      </c>
      <c r="J428" t="s">
        <v>293</v>
      </c>
      <c r="K428" t="s">
        <v>331</v>
      </c>
    </row>
    <row r="429">
      <c r="B429">
        <v>24</v>
      </c>
      <c r="C429" s="2114">
        <v>46184</v>
      </c>
      <c r="D429" t="s">
        <v>8</v>
      </c>
      <c r="E429" t="s">
        <v>330</v>
      </c>
      <c r="F429" t="s">
        <v>160</v>
      </c>
      <c r="G429" s="2115">
        <v>185</v>
      </c>
      <c r="H429" s="2116"/>
      <c r="I429" s="2117">
        <v>NaN</v>
      </c>
      <c r="J429" t="s">
        <v>293</v>
      </c>
      <c r="K429" t="s">
        <v>331</v>
      </c>
    </row>
    <row r="430">
      <c r="B430">
        <v>24</v>
      </c>
      <c r="C430" s="2118">
        <v>46184</v>
      </c>
      <c r="D430" t="s">
        <v>8</v>
      </c>
      <c r="E430" t="s">
        <v>330</v>
      </c>
      <c r="F430" t="s">
        <v>200</v>
      </c>
      <c r="G430" s="2119">
        <v>50</v>
      </c>
      <c r="H430" s="2120"/>
      <c r="I430" s="2121">
        <v>NaN</v>
      </c>
      <c r="J430" t="s">
        <v>293</v>
      </c>
      <c r="K430" t="s">
        <v>331</v>
      </c>
    </row>
    <row r="431">
      <c r="B431">
        <v>24</v>
      </c>
      <c r="C431" s="2122">
        <v>46184</v>
      </c>
      <c r="D431" t="s">
        <v>8</v>
      </c>
      <c r="E431" t="s">
        <v>330</v>
      </c>
      <c r="F431" t="s">
        <v>200</v>
      </c>
      <c r="G431" s="2123">
        <v>40</v>
      </c>
      <c r="H431" s="2124"/>
      <c r="I431" s="2125">
        <v>NaN</v>
      </c>
      <c r="J431" t="s">
        <v>293</v>
      </c>
      <c r="K431" t="s">
        <v>331</v>
      </c>
    </row>
    <row r="432">
      <c r="B432">
        <v>24</v>
      </c>
      <c r="C432" s="2126">
        <v>46184</v>
      </c>
      <c r="D432" t="s">
        <v>8</v>
      </c>
      <c r="E432" t="s">
        <v>330</v>
      </c>
      <c r="F432" t="s">
        <v>181</v>
      </c>
      <c r="G432" s="2127">
        <v>40</v>
      </c>
      <c r="H432" s="2128"/>
      <c r="I432" s="2129">
        <v>NaN</v>
      </c>
      <c r="J432" t="s">
        <v>293</v>
      </c>
      <c r="K432" t="s">
        <v>331</v>
      </c>
    </row>
    <row r="433">
      <c r="B433">
        <v>24</v>
      </c>
      <c r="C433" s="2130">
        <v>46185</v>
      </c>
      <c r="D433" t="s">
        <v>10</v>
      </c>
      <c r="E433" t="s">
        <v>330</v>
      </c>
      <c r="F433" t="s">
        <v>184</v>
      </c>
      <c r="G433" s="2131">
        <v>32</v>
      </c>
      <c r="H433" s="2132"/>
      <c r="I433" s="2133">
        <v>NaN</v>
      </c>
      <c r="J433" t="s">
        <v>293</v>
      </c>
      <c r="K433" t="s">
        <v>331</v>
      </c>
    </row>
    <row r="434">
      <c r="B434">
        <v>24</v>
      </c>
      <c r="C434" s="2134">
        <v>46185</v>
      </c>
      <c r="D434" t="s">
        <v>10</v>
      </c>
      <c r="E434" t="s">
        <v>330</v>
      </c>
      <c r="F434" t="s">
        <v>186</v>
      </c>
      <c r="G434" s="2135">
        <v>30</v>
      </c>
      <c r="H434" s="2136"/>
      <c r="I434" s="2137">
        <v>NaN</v>
      </c>
      <c r="J434" t="s">
        <v>293</v>
      </c>
      <c r="K434" t="s">
        <v>331</v>
      </c>
    </row>
    <row r="435">
      <c r="B435">
        <v>24</v>
      </c>
      <c r="C435" s="2138">
        <v>46185</v>
      </c>
      <c r="D435" t="s">
        <v>10</v>
      </c>
      <c r="E435" t="s">
        <v>330</v>
      </c>
      <c r="F435" t="s">
        <v>175</v>
      </c>
      <c r="G435" s="2139">
        <v>30</v>
      </c>
      <c r="H435" s="2140"/>
      <c r="I435" s="2141">
        <v>NaN</v>
      </c>
      <c r="J435" t="s">
        <v>293</v>
      </c>
      <c r="K435" t="s">
        <v>331</v>
      </c>
    </row>
    <row r="436">
      <c r="B436">
        <v>24</v>
      </c>
      <c r="C436" s="2142">
        <v>46185</v>
      </c>
      <c r="D436" t="s">
        <v>10</v>
      </c>
      <c r="E436" t="s">
        <v>330</v>
      </c>
      <c r="F436" t="s">
        <v>177</v>
      </c>
      <c r="G436" s="2143">
        <v>50</v>
      </c>
      <c r="H436" s="2144"/>
      <c r="I436" s="2145">
        <v>NaN</v>
      </c>
      <c r="J436" t="s">
        <v>293</v>
      </c>
      <c r="K436" t="s">
        <v>331</v>
      </c>
    </row>
    <row r="437">
      <c r="B437">
        <v>24</v>
      </c>
      <c r="C437" s="2146">
        <v>46185</v>
      </c>
      <c r="D437" t="s">
        <v>10</v>
      </c>
      <c r="E437" t="s">
        <v>330</v>
      </c>
      <c r="F437" t="s">
        <v>182</v>
      </c>
      <c r="G437" s="2147">
        <v>120</v>
      </c>
      <c r="H437" s="2148"/>
      <c r="I437" s="2149">
        <v>NaN</v>
      </c>
      <c r="J437" t="s">
        <v>293</v>
      </c>
      <c r="K437" t="s">
        <v>331</v>
      </c>
    </row>
    <row r="438">
      <c r="B438">
        <v>24</v>
      </c>
      <c r="C438" s="2150">
        <v>46185</v>
      </c>
      <c r="D438" t="s">
        <v>10</v>
      </c>
      <c r="E438" t="s">
        <v>330</v>
      </c>
      <c r="F438" t="s">
        <v>188</v>
      </c>
      <c r="G438" s="2151">
        <v>40</v>
      </c>
      <c r="H438" s="2152"/>
      <c r="I438" s="2153">
        <v>NaN</v>
      </c>
      <c r="J438" t="s">
        <v>293</v>
      </c>
      <c r="K438" t="s">
        <v>331</v>
      </c>
    </row>
    <row r="439">
      <c r="B439">
        <v>24</v>
      </c>
      <c r="C439" s="2154">
        <v>46185</v>
      </c>
      <c r="D439" t="s">
        <v>10</v>
      </c>
      <c r="E439" t="s">
        <v>330</v>
      </c>
      <c r="F439" t="s">
        <v>171</v>
      </c>
      <c r="G439" s="2155">
        <v>200</v>
      </c>
      <c r="H439" s="2156"/>
      <c r="I439" s="2157">
        <v>NaN</v>
      </c>
      <c r="J439" t="s">
        <v>293</v>
      </c>
      <c r="K439" t="s">
        <v>331</v>
      </c>
    </row>
    <row r="440">
      <c r="B440">
        <v>24</v>
      </c>
      <c r="C440" s="2158">
        <v>46185</v>
      </c>
      <c r="D440" t="s">
        <v>6</v>
      </c>
      <c r="E440" t="s">
        <v>330</v>
      </c>
      <c r="F440" t="s">
        <v>165</v>
      </c>
      <c r="G440" s="2159">
        <v>20</v>
      </c>
      <c r="H440" s="2160"/>
      <c r="I440" s="2161">
        <v>NaN</v>
      </c>
      <c r="J440" t="s">
        <v>293</v>
      </c>
      <c r="K440" t="s">
        <v>331</v>
      </c>
    </row>
    <row r="441">
      <c r="B441">
        <v>24</v>
      </c>
      <c r="C441" s="2162">
        <v>46185</v>
      </c>
      <c r="D441" t="s">
        <v>6</v>
      </c>
      <c r="E441" t="s">
        <v>330</v>
      </c>
      <c r="F441" t="s">
        <v>181</v>
      </c>
      <c r="G441" s="2163">
        <v>30</v>
      </c>
      <c r="H441" s="2164"/>
      <c r="I441" s="2165">
        <v>NaN</v>
      </c>
      <c r="J441" t="s">
        <v>293</v>
      </c>
      <c r="K441" t="s">
        <v>331</v>
      </c>
    </row>
    <row r="442">
      <c r="B442">
        <v>24</v>
      </c>
      <c r="C442" s="2166">
        <v>46185</v>
      </c>
      <c r="D442" t="s">
        <v>6</v>
      </c>
      <c r="E442" t="s">
        <v>330</v>
      </c>
      <c r="F442" t="s">
        <v>192</v>
      </c>
      <c r="G442" s="2167">
        <v>20</v>
      </c>
      <c r="H442" s="2168"/>
      <c r="I442" s="2169">
        <v>NaN</v>
      </c>
      <c r="J442" t="s">
        <v>293</v>
      </c>
      <c r="K442" t="s">
        <v>331</v>
      </c>
    </row>
    <row r="443">
      <c r="B443">
        <v>24</v>
      </c>
      <c r="C443" s="2170">
        <v>46185</v>
      </c>
      <c r="D443" t="s">
        <v>6</v>
      </c>
      <c r="E443" t="s">
        <v>330</v>
      </c>
      <c r="F443" t="s">
        <v>86</v>
      </c>
      <c r="G443" s="2171">
        <v>40</v>
      </c>
      <c r="H443" s="2172"/>
      <c r="I443" s="2173">
        <v>NaN</v>
      </c>
      <c r="J443" t="s">
        <v>293</v>
      </c>
      <c r="K443" t="s">
        <v>331</v>
      </c>
    </row>
    <row r="444">
      <c r="B444">
        <v>24</v>
      </c>
      <c r="C444" s="2174">
        <v>46185</v>
      </c>
      <c r="D444" t="s">
        <v>6</v>
      </c>
      <c r="E444" t="s">
        <v>330</v>
      </c>
      <c r="F444" t="s">
        <v>164</v>
      </c>
      <c r="G444" s="2175">
        <v>250</v>
      </c>
      <c r="H444" s="2176"/>
      <c r="I444" s="2177">
        <v>NaN</v>
      </c>
      <c r="J444" t="s">
        <v>293</v>
      </c>
      <c r="K444" t="s">
        <v>331</v>
      </c>
    </row>
    <row r="445">
      <c r="B445">
        <v>25</v>
      </c>
      <c r="C445" s="2178">
        <v>46188</v>
      </c>
      <c r="D445" t="s">
        <v>6</v>
      </c>
      <c r="E445" t="s">
        <v>330</v>
      </c>
      <c r="F445" t="s">
        <v>333</v>
      </c>
      <c r="G445" s="2179">
        <v>200</v>
      </c>
      <c r="H445" s="2180"/>
      <c r="I445" s="2181">
        <v>NaN</v>
      </c>
      <c r="J445" t="s">
        <v>293</v>
      </c>
      <c r="K445" t="s">
        <v>331</v>
      </c>
    </row>
    <row r="446">
      <c r="B446">
        <v>25</v>
      </c>
      <c r="C446" s="2182">
        <v>46188</v>
      </c>
      <c r="D446" t="s">
        <v>6</v>
      </c>
      <c r="E446" t="s">
        <v>330</v>
      </c>
      <c r="F446" t="s">
        <v>334</v>
      </c>
      <c r="G446" s="2183">
        <v>40</v>
      </c>
      <c r="H446" s="2184"/>
      <c r="I446" s="2185">
        <v>NaN</v>
      </c>
      <c r="J446" t="s">
        <v>293</v>
      </c>
      <c r="K446" t="s">
        <v>331</v>
      </c>
    </row>
    <row r="447">
      <c r="B447">
        <v>25</v>
      </c>
      <c r="C447" s="2186">
        <v>46188</v>
      </c>
      <c r="D447" t="s">
        <v>6</v>
      </c>
      <c r="E447" t="s">
        <v>330</v>
      </c>
      <c r="F447" t="s">
        <v>310</v>
      </c>
      <c r="G447" s="2187">
        <v>30</v>
      </c>
      <c r="H447" s="2188"/>
      <c r="I447" s="2189">
        <v>NaN</v>
      </c>
      <c r="J447" t="s">
        <v>293</v>
      </c>
      <c r="K447" t="s">
        <v>331</v>
      </c>
    </row>
    <row r="448">
      <c r="B448">
        <v>25</v>
      </c>
      <c r="C448" s="2190">
        <v>46188</v>
      </c>
      <c r="D448" t="s">
        <v>6</v>
      </c>
      <c r="E448" t="s">
        <v>330</v>
      </c>
      <c r="F448" t="s">
        <v>311</v>
      </c>
      <c r="G448" s="2191">
        <v>50</v>
      </c>
      <c r="H448" s="2192"/>
      <c r="I448" s="2193">
        <v>NaN</v>
      </c>
      <c r="J448" t="s">
        <v>293</v>
      </c>
      <c r="K448" t="s">
        <v>331</v>
      </c>
    </row>
    <row r="449">
      <c r="B449">
        <v>25</v>
      </c>
      <c r="C449" s="2194">
        <v>46188</v>
      </c>
      <c r="D449" t="s">
        <v>8</v>
      </c>
      <c r="E449" t="s">
        <v>330</v>
      </c>
      <c r="F449" t="s">
        <v>335</v>
      </c>
      <c r="G449" s="2195">
        <v>73</v>
      </c>
      <c r="H449" s="2196"/>
      <c r="I449" s="2197">
        <v>NaN</v>
      </c>
      <c r="J449" t="s">
        <v>293</v>
      </c>
      <c r="K449" t="s">
        <v>331</v>
      </c>
    </row>
    <row r="450">
      <c r="B450">
        <v>25</v>
      </c>
      <c r="C450" s="2198">
        <v>46188</v>
      </c>
      <c r="D450" t="s">
        <v>6</v>
      </c>
      <c r="E450" t="s">
        <v>330</v>
      </c>
      <c r="F450" t="s">
        <v>336</v>
      </c>
      <c r="G450" s="2199">
        <v>99</v>
      </c>
      <c r="H450" s="2200"/>
      <c r="I450" s="2201">
        <v>NaN</v>
      </c>
      <c r="J450" t="s">
        <v>293</v>
      </c>
      <c r="K450" t="s">
        <v>331</v>
      </c>
    </row>
    <row r="451">
      <c r="B451">
        <v>25</v>
      </c>
      <c r="C451" s="2202">
        <v>46188</v>
      </c>
      <c r="D451" t="s">
        <v>6</v>
      </c>
      <c r="E451" t="s">
        <v>330</v>
      </c>
      <c r="F451" t="s">
        <v>337</v>
      </c>
      <c r="G451" s="2203">
        <v>50</v>
      </c>
      <c r="H451" s="2204"/>
      <c r="I451" s="2205">
        <v>NaN</v>
      </c>
      <c r="J451" t="s">
        <v>293</v>
      </c>
      <c r="K451" t="s">
        <v>331</v>
      </c>
    </row>
    <row r="452">
      <c r="B452">
        <v>25</v>
      </c>
      <c r="C452" s="2206">
        <v>46188</v>
      </c>
      <c r="D452" t="s">
        <v>210</v>
      </c>
      <c r="E452" t="s">
        <v>330</v>
      </c>
      <c r="F452" t="s">
        <v>211</v>
      </c>
      <c r="G452" s="2207">
        <v>70</v>
      </c>
      <c r="H452" s="2208"/>
      <c r="I452" s="2209">
        <v>NaN</v>
      </c>
      <c r="J452" t="s">
        <v>293</v>
      </c>
      <c r="K452" t="s">
        <v>331</v>
      </c>
    </row>
    <row r="453">
      <c r="B453">
        <v>25</v>
      </c>
      <c r="C453" s="2210">
        <v>46188</v>
      </c>
      <c r="D453" t="s">
        <v>8</v>
      </c>
      <c r="E453" t="s">
        <v>330</v>
      </c>
      <c r="F453" t="s">
        <v>310</v>
      </c>
      <c r="G453" s="2211">
        <v>24</v>
      </c>
      <c r="H453" s="2212"/>
      <c r="I453" s="2213">
        <v>NaN</v>
      </c>
      <c r="J453" t="s">
        <v>293</v>
      </c>
      <c r="K453" t="s">
        <v>331</v>
      </c>
    </row>
    <row r="454">
      <c r="B454">
        <v>25</v>
      </c>
      <c r="C454" s="2214">
        <v>46188</v>
      </c>
      <c r="D454" t="s">
        <v>332</v>
      </c>
      <c r="E454" t="s">
        <v>330</v>
      </c>
      <c r="F454" t="s">
        <v>217</v>
      </c>
      <c r="G454" s="2215">
        <v>265</v>
      </c>
      <c r="H454" s="2216"/>
      <c r="I454" s="2217">
        <v>NaN</v>
      </c>
      <c r="J454" t="s">
        <v>293</v>
      </c>
      <c r="K454" t="s">
        <v>331</v>
      </c>
    </row>
    <row r="455">
      <c r="B455">
        <v>25</v>
      </c>
      <c r="C455" s="2218">
        <v>46188</v>
      </c>
      <c r="D455" t="s">
        <v>210</v>
      </c>
      <c r="E455" t="s">
        <v>330</v>
      </c>
      <c r="F455" t="s">
        <v>338</v>
      </c>
      <c r="G455" s="2219">
        <v>33</v>
      </c>
      <c r="H455" s="2220"/>
      <c r="I455" s="2221">
        <v>NaN</v>
      </c>
      <c r="J455" t="s">
        <v>293</v>
      </c>
      <c r="K455" t="s">
        <v>331</v>
      </c>
    </row>
    <row r="456">
      <c r="B456">
        <v>25</v>
      </c>
      <c r="C456" s="2222">
        <v>46188</v>
      </c>
      <c r="D456" t="s">
        <v>8</v>
      </c>
      <c r="E456" t="s">
        <v>330</v>
      </c>
      <c r="F456" t="s">
        <v>337</v>
      </c>
      <c r="G456" s="2223">
        <v>60</v>
      </c>
      <c r="H456" s="2224"/>
      <c r="I456" s="2225">
        <v>NaN</v>
      </c>
      <c r="J456" t="s">
        <v>293</v>
      </c>
      <c r="K456" t="s">
        <v>331</v>
      </c>
    </row>
    <row r="457">
      <c r="B457">
        <v>25</v>
      </c>
      <c r="C457" s="2226">
        <v>46188</v>
      </c>
      <c r="D457" t="s">
        <v>8</v>
      </c>
      <c r="E457" t="s">
        <v>330</v>
      </c>
      <c r="F457" t="s">
        <v>298</v>
      </c>
      <c r="G457" s="2227">
        <v>52</v>
      </c>
      <c r="H457" s="2228"/>
      <c r="I457" s="2229">
        <v>NaN</v>
      </c>
      <c r="J457" t="s">
        <v>293</v>
      </c>
      <c r="K457" t="s">
        <v>331</v>
      </c>
    </row>
    <row r="458">
      <c r="B458">
        <v>25</v>
      </c>
      <c r="C458" s="2230">
        <v>46188</v>
      </c>
      <c r="D458" t="s">
        <v>8</v>
      </c>
      <c r="E458" t="s">
        <v>330</v>
      </c>
      <c r="F458" t="s">
        <v>198</v>
      </c>
      <c r="G458" s="2231">
        <v>25</v>
      </c>
      <c r="H458" s="2232"/>
      <c r="I458" s="2233">
        <v>NaN</v>
      </c>
      <c r="J458" t="s">
        <v>293</v>
      </c>
      <c r="K458" t="s">
        <v>331</v>
      </c>
    </row>
    <row r="459">
      <c r="B459">
        <v>25</v>
      </c>
      <c r="C459" s="2234">
        <v>46188</v>
      </c>
      <c r="D459" t="s">
        <v>8</v>
      </c>
      <c r="E459" t="s">
        <v>330</v>
      </c>
      <c r="F459" t="s">
        <v>334</v>
      </c>
      <c r="G459" s="2235">
        <v>55</v>
      </c>
      <c r="H459" s="2236"/>
      <c r="I459" s="2237">
        <v>NaN</v>
      </c>
      <c r="J459" t="s">
        <v>293</v>
      </c>
      <c r="K459" t="s">
        <v>331</v>
      </c>
    </row>
    <row r="460">
      <c r="B460">
        <v>25</v>
      </c>
      <c r="C460" s="2238">
        <v>46188</v>
      </c>
      <c r="D460" t="s">
        <v>210</v>
      </c>
      <c r="E460" t="s">
        <v>330</v>
      </c>
      <c r="F460" t="s">
        <v>297</v>
      </c>
      <c r="G460" s="2239">
        <v>200</v>
      </c>
      <c r="H460" s="2240"/>
      <c r="I460" s="2241">
        <v>NaN</v>
      </c>
      <c r="J460" t="s">
        <v>293</v>
      </c>
      <c r="K460" t="s">
        <v>331</v>
      </c>
    </row>
    <row r="461">
      <c r="B461">
        <v>25</v>
      </c>
      <c r="C461" s="2242">
        <v>46188</v>
      </c>
      <c r="D461" t="s">
        <v>224</v>
      </c>
      <c r="E461" t="s">
        <v>330</v>
      </c>
      <c r="F461" t="s">
        <v>306</v>
      </c>
      <c r="G461" s="2243">
        <v>300</v>
      </c>
      <c r="H461" s="2244"/>
      <c r="I461" s="2245">
        <v>NaN</v>
      </c>
      <c r="J461" t="s">
        <v>293</v>
      </c>
      <c r="K461" t="s">
        <v>331</v>
      </c>
    </row>
    <row r="462">
      <c r="B462">
        <v>25</v>
      </c>
      <c r="C462" s="2246">
        <v>46188</v>
      </c>
      <c r="D462" t="s">
        <v>224</v>
      </c>
      <c r="E462" t="s">
        <v>330</v>
      </c>
      <c r="F462" t="s">
        <v>315</v>
      </c>
      <c r="G462" s="2247">
        <v>100</v>
      </c>
      <c r="H462" s="2248"/>
      <c r="I462" s="2249">
        <v>NaN</v>
      </c>
      <c r="J462" t="s">
        <v>293</v>
      </c>
      <c r="K462" t="s">
        <v>331</v>
      </c>
    </row>
    <row r="463">
      <c r="B463">
        <v>25</v>
      </c>
      <c r="C463" s="2250">
        <v>46188</v>
      </c>
      <c r="D463" t="s">
        <v>224</v>
      </c>
      <c r="E463" t="s">
        <v>330</v>
      </c>
      <c r="F463" t="s">
        <v>339</v>
      </c>
      <c r="G463" s="2251">
        <v>400</v>
      </c>
      <c r="H463" s="2252"/>
      <c r="I463" s="2253">
        <v>NaN</v>
      </c>
      <c r="J463" t="s">
        <v>293</v>
      </c>
      <c r="K463" t="s">
        <v>331</v>
      </c>
    </row>
    <row r="464">
      <c r="B464">
        <v>25</v>
      </c>
      <c r="C464" s="2254">
        <v>46189</v>
      </c>
      <c r="D464" t="s">
        <v>6</v>
      </c>
      <c r="E464" t="s">
        <v>330</v>
      </c>
      <c r="F464" t="s">
        <v>333</v>
      </c>
      <c r="G464" s="2255">
        <v>200</v>
      </c>
      <c r="H464" s="2256"/>
      <c r="I464" s="2257">
        <v>NaN</v>
      </c>
      <c r="J464" t="s">
        <v>293</v>
      </c>
      <c r="K464" t="s">
        <v>331</v>
      </c>
    </row>
    <row r="465">
      <c r="B465">
        <v>25</v>
      </c>
      <c r="C465" s="2258">
        <v>46189</v>
      </c>
      <c r="D465" t="s">
        <v>6</v>
      </c>
      <c r="E465" t="s">
        <v>330</v>
      </c>
      <c r="F465" t="s">
        <v>310</v>
      </c>
      <c r="G465" s="2259">
        <v>32</v>
      </c>
      <c r="H465" s="2260"/>
      <c r="I465" s="2261">
        <v>NaN</v>
      </c>
      <c r="J465" t="s">
        <v>293</v>
      </c>
      <c r="K465" t="s">
        <v>331</v>
      </c>
    </row>
    <row r="466">
      <c r="B466">
        <v>25</v>
      </c>
      <c r="C466" s="2262">
        <v>46189</v>
      </c>
      <c r="D466" t="s">
        <v>6</v>
      </c>
      <c r="E466" t="s">
        <v>330</v>
      </c>
      <c r="F466" t="s">
        <v>311</v>
      </c>
      <c r="G466" s="2263">
        <v>30</v>
      </c>
      <c r="H466" s="2264"/>
      <c r="I466" s="2265">
        <v>NaN</v>
      </c>
      <c r="J466" t="s">
        <v>293</v>
      </c>
      <c r="K466" t="s">
        <v>331</v>
      </c>
    </row>
    <row r="467">
      <c r="B467">
        <v>25</v>
      </c>
      <c r="C467" s="2266">
        <v>46189</v>
      </c>
      <c r="D467" t="s">
        <v>6</v>
      </c>
      <c r="E467" t="s">
        <v>330</v>
      </c>
      <c r="F467" t="s">
        <v>326</v>
      </c>
      <c r="G467" s="2267">
        <v>30</v>
      </c>
      <c r="H467" s="2268"/>
      <c r="I467" s="2269">
        <v>NaN</v>
      </c>
      <c r="J467" t="s">
        <v>293</v>
      </c>
      <c r="K467" t="s">
        <v>331</v>
      </c>
    </row>
    <row r="468">
      <c r="B468">
        <v>25</v>
      </c>
      <c r="C468" s="2270">
        <v>46189</v>
      </c>
      <c r="D468" t="s">
        <v>6</v>
      </c>
      <c r="E468" t="s">
        <v>330</v>
      </c>
      <c r="F468" t="s">
        <v>336</v>
      </c>
      <c r="G468" s="2271">
        <v>107</v>
      </c>
      <c r="H468" s="2272"/>
      <c r="I468" s="2273">
        <v>NaN</v>
      </c>
      <c r="J468" t="s">
        <v>293</v>
      </c>
      <c r="K468" t="s">
        <v>331</v>
      </c>
    </row>
    <row r="469">
      <c r="B469">
        <v>25</v>
      </c>
      <c r="C469" s="2274">
        <v>46189</v>
      </c>
      <c r="D469" t="s">
        <v>6</v>
      </c>
      <c r="E469" t="s">
        <v>330</v>
      </c>
      <c r="F469" t="s">
        <v>334</v>
      </c>
      <c r="G469" s="2275">
        <v>40</v>
      </c>
      <c r="H469" s="2276"/>
      <c r="I469" s="2277">
        <v>NaN</v>
      </c>
      <c r="J469" t="s">
        <v>293</v>
      </c>
      <c r="K469" t="s">
        <v>331</v>
      </c>
    </row>
    <row r="470">
      <c r="B470">
        <v>25</v>
      </c>
      <c r="C470" s="2278">
        <v>46189</v>
      </c>
      <c r="D470" t="s">
        <v>6</v>
      </c>
      <c r="E470" t="s">
        <v>330</v>
      </c>
      <c r="F470" t="s">
        <v>337</v>
      </c>
      <c r="G470" s="2279">
        <v>50</v>
      </c>
      <c r="H470" s="2280"/>
      <c r="I470" s="2281">
        <v>NaN</v>
      </c>
      <c r="J470" t="s">
        <v>293</v>
      </c>
      <c r="K470" t="s">
        <v>331</v>
      </c>
    </row>
    <row r="471">
      <c r="B471">
        <v>25</v>
      </c>
      <c r="C471" s="2282">
        <v>46189</v>
      </c>
      <c r="D471" t="s">
        <v>8</v>
      </c>
      <c r="E471" t="s">
        <v>330</v>
      </c>
      <c r="F471" t="s">
        <v>318</v>
      </c>
      <c r="G471" s="2283">
        <v>50</v>
      </c>
      <c r="H471" s="2284"/>
      <c r="I471" s="2285">
        <v>NaN</v>
      </c>
      <c r="J471" t="s">
        <v>293</v>
      </c>
      <c r="K471" t="s">
        <v>331</v>
      </c>
    </row>
    <row r="472">
      <c r="B472">
        <v>25</v>
      </c>
      <c r="C472" s="2286">
        <v>46189</v>
      </c>
      <c r="D472" t="s">
        <v>332</v>
      </c>
      <c r="E472" t="s">
        <v>330</v>
      </c>
      <c r="F472" t="s">
        <v>337</v>
      </c>
      <c r="G472" s="2287">
        <v>50</v>
      </c>
      <c r="H472" s="2288"/>
      <c r="I472" s="2289">
        <v>NaN</v>
      </c>
      <c r="J472" t="s">
        <v>293</v>
      </c>
      <c r="K472" t="s">
        <v>331</v>
      </c>
    </row>
    <row r="473">
      <c r="B473">
        <v>25</v>
      </c>
      <c r="C473" s="2290">
        <v>46189</v>
      </c>
      <c r="D473" t="s">
        <v>332</v>
      </c>
      <c r="E473" t="s">
        <v>330</v>
      </c>
      <c r="F473" t="s">
        <v>211</v>
      </c>
      <c r="G473" s="2291">
        <v>1001</v>
      </c>
      <c r="H473" s="2292"/>
      <c r="I473" s="2293">
        <v>NaN</v>
      </c>
      <c r="J473" t="s">
        <v>293</v>
      </c>
      <c r="K473" t="s">
        <v>331</v>
      </c>
    </row>
    <row r="474">
      <c r="B474">
        <v>25</v>
      </c>
      <c r="C474" s="2294">
        <v>46189</v>
      </c>
      <c r="D474" t="s">
        <v>8</v>
      </c>
      <c r="E474" t="s">
        <v>330</v>
      </c>
      <c r="F474" t="s">
        <v>340</v>
      </c>
      <c r="G474" s="2295">
        <v>350</v>
      </c>
      <c r="H474" s="2296"/>
      <c r="I474" s="2297">
        <v>NaN</v>
      </c>
      <c r="J474" t="s">
        <v>293</v>
      </c>
      <c r="K474" t="s">
        <v>331</v>
      </c>
    </row>
    <row r="475">
      <c r="B475">
        <v>25</v>
      </c>
      <c r="C475" s="2298">
        <v>46189</v>
      </c>
      <c r="D475" t="s">
        <v>210</v>
      </c>
      <c r="E475" t="s">
        <v>330</v>
      </c>
      <c r="F475" t="s">
        <v>340</v>
      </c>
      <c r="G475" s="2299">
        <v>200</v>
      </c>
      <c r="H475" s="2300"/>
      <c r="I475" s="2301">
        <v>NaN</v>
      </c>
      <c r="J475" t="s">
        <v>293</v>
      </c>
      <c r="K475" t="s">
        <v>331</v>
      </c>
    </row>
    <row r="476">
      <c r="B476">
        <v>25</v>
      </c>
      <c r="C476" s="2302">
        <v>46189</v>
      </c>
      <c r="D476" t="s">
        <v>8</v>
      </c>
      <c r="E476" t="s">
        <v>330</v>
      </c>
      <c r="F476" t="s">
        <v>318</v>
      </c>
      <c r="G476" s="2303">
        <v>50</v>
      </c>
      <c r="H476" s="2304"/>
      <c r="I476" s="2305">
        <v>NaN</v>
      </c>
      <c r="J476" t="s">
        <v>293</v>
      </c>
      <c r="K476" t="s">
        <v>331</v>
      </c>
    </row>
    <row r="477">
      <c r="B477">
        <v>25</v>
      </c>
      <c r="C477" s="2306">
        <v>46189</v>
      </c>
      <c r="D477" t="s">
        <v>8</v>
      </c>
      <c r="E477" t="s">
        <v>330</v>
      </c>
      <c r="F477" t="s">
        <v>335</v>
      </c>
      <c r="G477" s="2307">
        <v>165</v>
      </c>
      <c r="H477" s="2308"/>
      <c r="I477" s="2309">
        <v>NaN</v>
      </c>
      <c r="J477" t="s">
        <v>293</v>
      </c>
      <c r="K477" t="s">
        <v>331</v>
      </c>
    </row>
    <row r="478">
      <c r="B478">
        <v>25</v>
      </c>
      <c r="C478" s="2310">
        <v>46190</v>
      </c>
      <c r="D478" t="s">
        <v>6</v>
      </c>
      <c r="E478" t="s">
        <v>330</v>
      </c>
      <c r="F478" t="s">
        <v>333</v>
      </c>
      <c r="G478" s="2311">
        <v>200</v>
      </c>
      <c r="H478" s="2312"/>
      <c r="I478" s="2313">
        <v>NaN</v>
      </c>
      <c r="J478" t="s">
        <v>293</v>
      </c>
      <c r="K478" t="s">
        <v>331</v>
      </c>
    </row>
    <row r="479">
      <c r="B479">
        <v>25</v>
      </c>
      <c r="C479" s="2314">
        <v>46190</v>
      </c>
      <c r="D479" t="s">
        <v>6</v>
      </c>
      <c r="E479" t="s">
        <v>330</v>
      </c>
      <c r="F479" t="s">
        <v>336</v>
      </c>
      <c r="G479" s="2315">
        <v>120</v>
      </c>
      <c r="H479" s="2316"/>
      <c r="I479" s="2317">
        <v>NaN</v>
      </c>
      <c r="J479" t="s">
        <v>293</v>
      </c>
      <c r="K479" t="s">
        <v>331</v>
      </c>
    </row>
    <row r="480">
      <c r="B480">
        <v>25</v>
      </c>
      <c r="C480" s="2318">
        <v>46190</v>
      </c>
      <c r="D480" t="s">
        <v>6</v>
      </c>
      <c r="E480" t="s">
        <v>330</v>
      </c>
      <c r="F480" t="s">
        <v>310</v>
      </c>
      <c r="G480" s="2319">
        <v>30</v>
      </c>
      <c r="H480" s="2320"/>
      <c r="I480" s="2321">
        <v>NaN</v>
      </c>
      <c r="J480" t="s">
        <v>293</v>
      </c>
      <c r="K480" t="s">
        <v>331</v>
      </c>
    </row>
    <row r="481">
      <c r="B481">
        <v>25</v>
      </c>
      <c r="C481" s="2322">
        <v>46190</v>
      </c>
      <c r="D481" t="s">
        <v>6</v>
      </c>
      <c r="E481" t="s">
        <v>330</v>
      </c>
      <c r="F481" t="s">
        <v>311</v>
      </c>
      <c r="G481" s="2323">
        <v>30</v>
      </c>
      <c r="H481" s="2324"/>
      <c r="I481" s="2325">
        <v>NaN</v>
      </c>
      <c r="J481" t="s">
        <v>293</v>
      </c>
      <c r="K481" t="s">
        <v>331</v>
      </c>
    </row>
    <row r="482">
      <c r="B482">
        <v>25</v>
      </c>
      <c r="C482" s="2326">
        <v>46190</v>
      </c>
      <c r="D482" t="s">
        <v>6</v>
      </c>
      <c r="E482" t="s">
        <v>330</v>
      </c>
      <c r="F482" t="s">
        <v>326</v>
      </c>
      <c r="G482" s="2327">
        <v>28</v>
      </c>
      <c r="H482" s="2328"/>
      <c r="I482" s="2329">
        <v>NaN</v>
      </c>
      <c r="J482" t="s">
        <v>293</v>
      </c>
      <c r="K482" t="s">
        <v>331</v>
      </c>
    </row>
    <row r="483">
      <c r="B483">
        <v>25</v>
      </c>
      <c r="C483" s="2330">
        <v>46190</v>
      </c>
      <c r="D483" t="s">
        <v>6</v>
      </c>
      <c r="E483" t="s">
        <v>330</v>
      </c>
      <c r="F483" t="s">
        <v>334</v>
      </c>
      <c r="G483" s="2331">
        <v>60</v>
      </c>
      <c r="H483" s="2332"/>
      <c r="I483" s="2333">
        <v>NaN</v>
      </c>
      <c r="J483" t="s">
        <v>293</v>
      </c>
      <c r="K483" t="s">
        <v>331</v>
      </c>
    </row>
    <row r="484">
      <c r="B484">
        <v>25</v>
      </c>
      <c r="C484" s="2334">
        <v>46190</v>
      </c>
      <c r="D484" t="s">
        <v>8</v>
      </c>
      <c r="E484" t="s">
        <v>330</v>
      </c>
      <c r="F484" t="s">
        <v>303</v>
      </c>
      <c r="G484" s="2335">
        <v>80</v>
      </c>
      <c r="H484" s="2336"/>
      <c r="I484" s="2337">
        <v>NaN</v>
      </c>
      <c r="J484" t="s">
        <v>293</v>
      </c>
      <c r="K484" t="s">
        <v>331</v>
      </c>
    </row>
    <row r="485">
      <c r="B485">
        <v>25</v>
      </c>
      <c r="C485" s="2338">
        <v>46190</v>
      </c>
      <c r="D485" t="s">
        <v>210</v>
      </c>
      <c r="E485" t="s">
        <v>330</v>
      </c>
      <c r="F485" t="s">
        <v>310</v>
      </c>
      <c r="G485" s="2339">
        <v>20</v>
      </c>
      <c r="H485" s="2340"/>
      <c r="I485" s="2341">
        <v>NaN</v>
      </c>
      <c r="J485" t="s">
        <v>293</v>
      </c>
      <c r="K485" t="s">
        <v>331</v>
      </c>
    </row>
    <row r="486">
      <c r="B486">
        <v>25</v>
      </c>
      <c r="C486" s="2342">
        <v>46190</v>
      </c>
      <c r="D486" t="s">
        <v>224</v>
      </c>
      <c r="E486" t="s">
        <v>330</v>
      </c>
      <c r="F486" t="s">
        <v>306</v>
      </c>
      <c r="G486" s="2343">
        <v>100</v>
      </c>
      <c r="H486" s="2344"/>
      <c r="I486" s="2345">
        <v>NaN</v>
      </c>
      <c r="J486" t="s">
        <v>293</v>
      </c>
      <c r="K486" t="s">
        <v>331</v>
      </c>
    </row>
    <row r="487">
      <c r="B487">
        <v>25</v>
      </c>
      <c r="C487" s="2346">
        <v>46190</v>
      </c>
      <c r="D487" t="s">
        <v>224</v>
      </c>
      <c r="E487" t="s">
        <v>330</v>
      </c>
      <c r="F487" t="s">
        <v>339</v>
      </c>
      <c r="G487" s="2347">
        <v>200</v>
      </c>
      <c r="H487" s="2348"/>
      <c r="I487" s="2349">
        <v>NaN</v>
      </c>
      <c r="J487" t="s">
        <v>293</v>
      </c>
      <c r="K487" t="s">
        <v>331</v>
      </c>
    </row>
    <row r="488">
      <c r="B488">
        <v>25</v>
      </c>
      <c r="C488" s="2350">
        <v>46191</v>
      </c>
      <c r="D488" t="s">
        <v>6</v>
      </c>
      <c r="E488" t="s">
        <v>330</v>
      </c>
      <c r="F488" t="s">
        <v>333</v>
      </c>
      <c r="G488" s="2351">
        <v>200</v>
      </c>
      <c r="H488" s="2352"/>
      <c r="I488" s="2353">
        <v>NaN</v>
      </c>
      <c r="J488" t="s">
        <v>293</v>
      </c>
      <c r="K488" t="s">
        <v>331</v>
      </c>
    </row>
    <row r="489">
      <c r="B489">
        <v>25</v>
      </c>
      <c r="C489" s="2354">
        <v>46191</v>
      </c>
      <c r="D489" t="s">
        <v>6</v>
      </c>
      <c r="E489" t="s">
        <v>330</v>
      </c>
      <c r="F489" t="s">
        <v>336</v>
      </c>
      <c r="G489" s="2355">
        <v>115</v>
      </c>
      <c r="H489" s="2356"/>
      <c r="I489" s="2357">
        <v>NaN</v>
      </c>
      <c r="J489" t="s">
        <v>293</v>
      </c>
      <c r="K489" t="s">
        <v>331</v>
      </c>
    </row>
    <row r="490">
      <c r="B490">
        <v>25</v>
      </c>
      <c r="C490" s="2358">
        <v>46191</v>
      </c>
      <c r="D490" t="s">
        <v>6</v>
      </c>
      <c r="E490" t="s">
        <v>330</v>
      </c>
      <c r="F490" t="s">
        <v>311</v>
      </c>
      <c r="G490" s="2359">
        <v>30</v>
      </c>
      <c r="H490" s="2360"/>
      <c r="I490" s="2361">
        <v>NaN</v>
      </c>
      <c r="J490" t="s">
        <v>293</v>
      </c>
      <c r="K490" t="s">
        <v>331</v>
      </c>
    </row>
    <row r="491">
      <c r="B491">
        <v>25</v>
      </c>
      <c r="C491" s="2362">
        <v>46191</v>
      </c>
      <c r="D491" t="s">
        <v>6</v>
      </c>
      <c r="E491" t="s">
        <v>330</v>
      </c>
      <c r="F491" t="s">
        <v>310</v>
      </c>
      <c r="G491" s="2363">
        <v>30</v>
      </c>
      <c r="H491" s="2364"/>
      <c r="I491" s="2365">
        <v>NaN</v>
      </c>
      <c r="J491" t="s">
        <v>293</v>
      </c>
      <c r="K491" t="s">
        <v>331</v>
      </c>
    </row>
    <row r="492">
      <c r="B492">
        <v>25</v>
      </c>
      <c r="C492" s="2366">
        <v>46191</v>
      </c>
      <c r="D492" t="s">
        <v>6</v>
      </c>
      <c r="E492" t="s">
        <v>330</v>
      </c>
      <c r="F492" t="s">
        <v>334</v>
      </c>
      <c r="G492" s="2367">
        <v>30</v>
      </c>
      <c r="H492" s="2368"/>
      <c r="I492" s="2369">
        <v>NaN</v>
      </c>
      <c r="J492" t="s">
        <v>293</v>
      </c>
      <c r="K492" t="s">
        <v>331</v>
      </c>
    </row>
    <row r="493">
      <c r="B493">
        <v>25</v>
      </c>
      <c r="C493" s="2370">
        <v>46191</v>
      </c>
      <c r="D493" t="s">
        <v>6</v>
      </c>
      <c r="E493" t="s">
        <v>330</v>
      </c>
      <c r="F493" t="s">
        <v>337</v>
      </c>
      <c r="G493" s="2371">
        <v>50</v>
      </c>
      <c r="H493" s="2372"/>
      <c r="I493" s="2373">
        <v>NaN</v>
      </c>
      <c r="J493" t="s">
        <v>293</v>
      </c>
      <c r="K493" t="s">
        <v>331</v>
      </c>
    </row>
    <row r="494">
      <c r="B494">
        <v>25</v>
      </c>
      <c r="C494" s="2374">
        <v>46191</v>
      </c>
      <c r="D494" t="s">
        <v>224</v>
      </c>
      <c r="E494" t="s">
        <v>330</v>
      </c>
      <c r="F494" t="s">
        <v>306</v>
      </c>
      <c r="G494" s="2375">
        <v>200</v>
      </c>
      <c r="H494" s="2376"/>
      <c r="I494" s="2377">
        <v>NaN</v>
      </c>
      <c r="J494" t="s">
        <v>293</v>
      </c>
      <c r="K494" t="s">
        <v>331</v>
      </c>
    </row>
    <row r="495">
      <c r="B495">
        <v>25</v>
      </c>
      <c r="C495" s="2378">
        <v>46191</v>
      </c>
      <c r="D495" t="s">
        <v>224</v>
      </c>
      <c r="E495" t="s">
        <v>330</v>
      </c>
      <c r="F495" t="s">
        <v>308</v>
      </c>
      <c r="G495" s="2379">
        <v>100</v>
      </c>
      <c r="H495" s="2380"/>
      <c r="I495" s="2381">
        <v>NaN</v>
      </c>
      <c r="J495" t="s">
        <v>293</v>
      </c>
      <c r="K495" t="s">
        <v>331</v>
      </c>
    </row>
    <row r="496">
      <c r="B496">
        <v>25</v>
      </c>
      <c r="C496" s="2382">
        <v>46191</v>
      </c>
      <c r="D496" t="s">
        <v>224</v>
      </c>
      <c r="E496" t="s">
        <v>330</v>
      </c>
      <c r="F496" t="s">
        <v>309</v>
      </c>
      <c r="G496" s="2383">
        <v>100</v>
      </c>
      <c r="H496" s="2384"/>
      <c r="I496" s="2385">
        <v>NaN</v>
      </c>
      <c r="J496" t="s">
        <v>293</v>
      </c>
      <c r="K496" t="s">
        <v>331</v>
      </c>
    </row>
    <row r="497">
      <c r="B497">
        <v>25</v>
      </c>
      <c r="C497" s="2386">
        <v>46191</v>
      </c>
      <c r="D497" t="s">
        <v>224</v>
      </c>
      <c r="E497" t="s">
        <v>330</v>
      </c>
      <c r="F497" t="s">
        <v>315</v>
      </c>
      <c r="G497" s="2387">
        <v>100</v>
      </c>
      <c r="H497" s="2388"/>
      <c r="I497" s="2389">
        <v>NaN</v>
      </c>
      <c r="J497" t="s">
        <v>293</v>
      </c>
      <c r="K497" t="s">
        <v>331</v>
      </c>
    </row>
    <row r="498">
      <c r="B498">
        <v>25</v>
      </c>
      <c r="C498" s="2390">
        <v>46192</v>
      </c>
      <c r="D498" t="s">
        <v>8</v>
      </c>
      <c r="E498" t="s">
        <v>330</v>
      </c>
      <c r="F498" t="s">
        <v>337</v>
      </c>
      <c r="G498" s="2391">
        <v>40</v>
      </c>
      <c r="H498" s="2392"/>
      <c r="I498" s="2393">
        <v>NaN</v>
      </c>
      <c r="J498" t="s">
        <v>293</v>
      </c>
      <c r="K498" t="s">
        <v>331</v>
      </c>
    </row>
    <row r="499">
      <c r="B499">
        <v>25</v>
      </c>
      <c r="C499" s="2394">
        <v>46192</v>
      </c>
      <c r="D499" t="s">
        <v>341</v>
      </c>
      <c r="E499" t="s">
        <v>330</v>
      </c>
      <c r="F499" t="s">
        <v>337</v>
      </c>
      <c r="G499" s="2395">
        <v>40</v>
      </c>
      <c r="H499" s="2396"/>
      <c r="I499" s="2397">
        <v>NaN</v>
      </c>
      <c r="J499" t="s">
        <v>293</v>
      </c>
      <c r="K499" t="s">
        <v>331</v>
      </c>
    </row>
    <row r="500">
      <c r="B500">
        <v>25</v>
      </c>
      <c r="C500" s="2398">
        <v>46192</v>
      </c>
      <c r="D500" t="s">
        <v>8</v>
      </c>
      <c r="E500" t="s">
        <v>330</v>
      </c>
      <c r="F500" t="s">
        <v>298</v>
      </c>
      <c r="G500" s="2399">
        <v>43</v>
      </c>
      <c r="H500" s="2400"/>
      <c r="I500" s="2401">
        <v>NaN</v>
      </c>
      <c r="J500" t="s">
        <v>293</v>
      </c>
      <c r="K500" t="s">
        <v>331</v>
      </c>
    </row>
    <row r="501">
      <c r="B501">
        <v>25</v>
      </c>
      <c r="C501" s="2402">
        <v>46192</v>
      </c>
      <c r="D501" t="s">
        <v>8</v>
      </c>
      <c r="E501" t="s">
        <v>330</v>
      </c>
      <c r="F501" t="s">
        <v>310</v>
      </c>
      <c r="G501" s="2403">
        <v>50</v>
      </c>
      <c r="H501" s="2404"/>
      <c r="I501" s="2405">
        <v>NaN</v>
      </c>
      <c r="J501" t="s">
        <v>293</v>
      </c>
      <c r="K501" t="s">
        <v>331</v>
      </c>
    </row>
    <row r="502">
      <c r="B502">
        <v>25</v>
      </c>
      <c r="C502" s="2406">
        <v>46192</v>
      </c>
      <c r="D502" t="s">
        <v>8</v>
      </c>
      <c r="E502" t="s">
        <v>330</v>
      </c>
      <c r="F502" t="s">
        <v>334</v>
      </c>
      <c r="G502" s="2407">
        <v>80</v>
      </c>
      <c r="H502" s="2408"/>
      <c r="I502" s="2409">
        <v>NaN</v>
      </c>
      <c r="J502" t="s">
        <v>293</v>
      </c>
      <c r="K502" t="s">
        <v>331</v>
      </c>
    </row>
    <row r="503">
      <c r="B503">
        <v>25</v>
      </c>
      <c r="C503" s="2410">
        <v>46192</v>
      </c>
      <c r="D503" t="s">
        <v>8</v>
      </c>
      <c r="E503" t="s">
        <v>330</v>
      </c>
      <c r="F503" t="s">
        <v>302</v>
      </c>
      <c r="G503" s="2411">
        <v>30</v>
      </c>
      <c r="H503" s="2412"/>
      <c r="I503" s="2413">
        <v>NaN</v>
      </c>
      <c r="J503" t="s">
        <v>293</v>
      </c>
      <c r="K503" t="s">
        <v>331</v>
      </c>
    </row>
    <row r="504">
      <c r="B504">
        <v>25</v>
      </c>
      <c r="C504" s="2414">
        <v>46192</v>
      </c>
      <c r="D504" t="s">
        <v>8</v>
      </c>
      <c r="E504" t="s">
        <v>330</v>
      </c>
      <c r="F504" t="s">
        <v>335</v>
      </c>
      <c r="G504" s="2415">
        <v>160</v>
      </c>
      <c r="H504" s="2416"/>
      <c r="I504" s="2417">
        <v>NaN</v>
      </c>
      <c r="J504" t="s">
        <v>293</v>
      </c>
      <c r="K504" t="s">
        <v>331</v>
      </c>
    </row>
    <row r="505">
      <c r="B505">
        <v>25</v>
      </c>
      <c r="C505" s="2418">
        <v>46192</v>
      </c>
      <c r="D505" t="s">
        <v>8</v>
      </c>
      <c r="E505" t="s">
        <v>330</v>
      </c>
      <c r="F505" t="s">
        <v>318</v>
      </c>
      <c r="G505" s="2419">
        <v>50</v>
      </c>
      <c r="H505" s="2420"/>
      <c r="I505" s="2421">
        <v>NaN</v>
      </c>
      <c r="J505" t="s">
        <v>293</v>
      </c>
      <c r="K505" t="s">
        <v>331</v>
      </c>
    </row>
    <row r="506">
      <c r="B506">
        <v>25</v>
      </c>
      <c r="C506" s="2422">
        <v>46192</v>
      </c>
      <c r="D506" t="s">
        <v>210</v>
      </c>
      <c r="E506" t="s">
        <v>330</v>
      </c>
      <c r="F506" t="s">
        <v>307</v>
      </c>
      <c r="G506" s="2423">
        <v>60</v>
      </c>
      <c r="H506" s="2424"/>
      <c r="I506" s="2425">
        <v>NaN</v>
      </c>
      <c r="J506" t="s">
        <v>293</v>
      </c>
      <c r="K506" t="s">
        <v>331</v>
      </c>
    </row>
    <row r="507">
      <c r="B507">
        <v>25</v>
      </c>
      <c r="C507" s="2426">
        <v>46192</v>
      </c>
      <c r="D507" t="s">
        <v>6</v>
      </c>
      <c r="E507" t="s">
        <v>330</v>
      </c>
      <c r="F507" t="s">
        <v>336</v>
      </c>
      <c r="G507" s="2427">
        <v>120</v>
      </c>
      <c r="H507" s="2428"/>
      <c r="I507" s="2429">
        <v>NaN</v>
      </c>
      <c r="J507" t="s">
        <v>293</v>
      </c>
      <c r="K507" t="s">
        <v>331</v>
      </c>
    </row>
    <row r="508">
      <c r="B508">
        <v>25</v>
      </c>
      <c r="C508" s="2430">
        <v>46192</v>
      </c>
      <c r="D508" t="s">
        <v>6</v>
      </c>
      <c r="E508" t="s">
        <v>330</v>
      </c>
      <c r="F508" t="s">
        <v>310</v>
      </c>
      <c r="G508" s="2431">
        <v>30</v>
      </c>
      <c r="H508" s="2432"/>
      <c r="I508" s="2433">
        <v>NaN</v>
      </c>
      <c r="J508" t="s">
        <v>293</v>
      </c>
      <c r="K508" t="s">
        <v>331</v>
      </c>
    </row>
    <row r="509">
      <c r="B509">
        <v>25</v>
      </c>
      <c r="C509" s="2434">
        <v>46192</v>
      </c>
      <c r="D509" t="s">
        <v>6</v>
      </c>
      <c r="E509" t="s">
        <v>330</v>
      </c>
      <c r="F509" t="s">
        <v>311</v>
      </c>
      <c r="G509" s="2435">
        <v>84</v>
      </c>
      <c r="H509" s="2436"/>
      <c r="I509" s="2437">
        <v>NaN</v>
      </c>
      <c r="J509" t="s">
        <v>293</v>
      </c>
      <c r="K509" t="s">
        <v>331</v>
      </c>
    </row>
    <row r="510">
      <c r="B510">
        <v>25</v>
      </c>
      <c r="C510" s="2438">
        <v>46192</v>
      </c>
      <c r="D510" t="s">
        <v>6</v>
      </c>
      <c r="E510" t="s">
        <v>330</v>
      </c>
      <c r="F510" t="s">
        <v>334</v>
      </c>
      <c r="G510" s="2439">
        <v>40</v>
      </c>
      <c r="H510" s="2440"/>
      <c r="I510" s="2441">
        <v>NaN</v>
      </c>
      <c r="J510" t="s">
        <v>293</v>
      </c>
      <c r="K510" t="s">
        <v>331</v>
      </c>
    </row>
    <row r="511">
      <c r="B511">
        <v>25</v>
      </c>
      <c r="C511" s="2442">
        <v>46192</v>
      </c>
      <c r="D511" t="s">
        <v>6</v>
      </c>
      <c r="E511" t="s">
        <v>330</v>
      </c>
      <c r="F511" t="s">
        <v>326</v>
      </c>
      <c r="G511" s="2443">
        <v>30</v>
      </c>
      <c r="H511" s="2444"/>
      <c r="I511" s="2445">
        <v>NaN</v>
      </c>
      <c r="J511" t="s">
        <v>293</v>
      </c>
      <c r="K511" t="s">
        <v>331</v>
      </c>
    </row>
    <row r="512">
      <c r="B512">
        <v>25</v>
      </c>
      <c r="C512" s="2446">
        <v>46192</v>
      </c>
      <c r="D512" t="s">
        <v>210</v>
      </c>
      <c r="E512" t="s">
        <v>330</v>
      </c>
      <c r="F512" t="s">
        <v>307</v>
      </c>
      <c r="G512" s="2447">
        <v>50</v>
      </c>
      <c r="H512" s="2448"/>
      <c r="I512" s="2449">
        <v>NaN</v>
      </c>
      <c r="J512" t="s">
        <v>293</v>
      </c>
      <c r="K512" t="s">
        <v>331</v>
      </c>
    </row>
    <row r="513">
      <c r="B513">
        <v>25</v>
      </c>
      <c r="C513" s="2450">
        <v>46192</v>
      </c>
      <c r="D513" t="s">
        <v>210</v>
      </c>
      <c r="E513" t="s">
        <v>330</v>
      </c>
      <c r="F513" t="s">
        <v>313</v>
      </c>
      <c r="G513" s="2451">
        <v>10</v>
      </c>
      <c r="H513" s="2452"/>
      <c r="I513" s="2453">
        <v>NaN</v>
      </c>
      <c r="J513" t="s">
        <v>293</v>
      </c>
      <c r="K513" t="s">
        <v>331</v>
      </c>
    </row>
    <row r="514">
      <c r="B514">
        <v>26</v>
      </c>
      <c r="C514" s="2454">
        <v>46195</v>
      </c>
      <c r="D514" t="s">
        <v>6</v>
      </c>
      <c r="E514" t="s">
        <v>330</v>
      </c>
      <c r="F514" t="s">
        <v>300</v>
      </c>
      <c r="G514" s="2455">
        <v>106</v>
      </c>
      <c r="H514" s="2456"/>
      <c r="I514" s="2457">
        <v>NaN</v>
      </c>
      <c r="J514" t="s">
        <v>293</v>
      </c>
      <c r="K514" t="s">
        <v>331</v>
      </c>
    </row>
    <row r="515">
      <c r="B515">
        <v>26</v>
      </c>
      <c r="C515" s="2458">
        <v>46195</v>
      </c>
      <c r="D515" t="s">
        <v>6</v>
      </c>
      <c r="E515" t="s">
        <v>330</v>
      </c>
      <c r="F515" t="s">
        <v>311</v>
      </c>
      <c r="G515" s="2459">
        <v>50</v>
      </c>
      <c r="H515" s="2460"/>
      <c r="I515" s="2461">
        <v>NaN</v>
      </c>
      <c r="J515" t="s">
        <v>293</v>
      </c>
      <c r="K515" t="s">
        <v>331</v>
      </c>
    </row>
    <row r="516">
      <c r="B516">
        <v>26</v>
      </c>
      <c r="C516" s="2462">
        <v>46195</v>
      </c>
      <c r="D516" t="s">
        <v>6</v>
      </c>
      <c r="E516" t="s">
        <v>330</v>
      </c>
      <c r="F516" t="s">
        <v>325</v>
      </c>
      <c r="G516" s="2463">
        <v>50</v>
      </c>
      <c r="H516" s="2464"/>
      <c r="I516" s="2465">
        <v>NaN</v>
      </c>
      <c r="J516" t="s">
        <v>293</v>
      </c>
      <c r="K516" t="s">
        <v>331</v>
      </c>
    </row>
    <row r="517">
      <c r="B517">
        <v>26</v>
      </c>
      <c r="C517" s="2466">
        <v>46195</v>
      </c>
      <c r="D517" t="s">
        <v>6</v>
      </c>
      <c r="E517" t="s">
        <v>330</v>
      </c>
      <c r="F517" t="s">
        <v>299</v>
      </c>
      <c r="G517" s="2467">
        <v>60</v>
      </c>
      <c r="H517" s="2468"/>
      <c r="I517" s="2469">
        <v>NaN</v>
      </c>
      <c r="J517" t="s">
        <v>293</v>
      </c>
      <c r="K517" t="s">
        <v>331</v>
      </c>
    </row>
    <row r="518">
      <c r="B518">
        <v>26</v>
      </c>
      <c r="C518" s="2470">
        <v>46195</v>
      </c>
      <c r="D518" t="s">
        <v>6</v>
      </c>
      <c r="E518" t="s">
        <v>330</v>
      </c>
      <c r="F518" t="s">
        <v>340</v>
      </c>
      <c r="G518" s="2471">
        <v>250</v>
      </c>
      <c r="H518" s="2472"/>
      <c r="I518" s="2473">
        <v>NaN</v>
      </c>
      <c r="J518" t="s">
        <v>293</v>
      </c>
      <c r="K518" t="s">
        <v>331</v>
      </c>
    </row>
    <row r="519">
      <c r="B519">
        <v>26</v>
      </c>
      <c r="C519" s="2474">
        <v>46195</v>
      </c>
      <c r="D519" t="s">
        <v>8</v>
      </c>
      <c r="E519" t="s">
        <v>330</v>
      </c>
      <c r="F519" t="s">
        <v>305</v>
      </c>
      <c r="G519" s="2475">
        <v>40</v>
      </c>
      <c r="H519" s="2476"/>
      <c r="I519" s="2477">
        <v>NaN</v>
      </c>
      <c r="J519" t="s">
        <v>293</v>
      </c>
      <c r="K519" t="s">
        <v>331</v>
      </c>
    </row>
    <row r="520">
      <c r="B520">
        <v>26</v>
      </c>
      <c r="C520" s="2478">
        <v>46195</v>
      </c>
      <c r="D520" t="s">
        <v>341</v>
      </c>
      <c r="E520" t="s">
        <v>330</v>
      </c>
      <c r="F520" t="s">
        <v>305</v>
      </c>
      <c r="G520" s="2479">
        <v>40</v>
      </c>
      <c r="H520" s="2480"/>
      <c r="I520" s="2481">
        <v>NaN</v>
      </c>
      <c r="J520" t="s">
        <v>293</v>
      </c>
      <c r="K520" t="s">
        <v>331</v>
      </c>
    </row>
    <row r="521">
      <c r="B521">
        <v>26</v>
      </c>
      <c r="C521" s="2482">
        <v>46195</v>
      </c>
      <c r="D521" t="s">
        <v>210</v>
      </c>
      <c r="E521" t="s">
        <v>330</v>
      </c>
      <c r="F521" t="s">
        <v>327</v>
      </c>
      <c r="G521" s="2483">
        <v>110</v>
      </c>
      <c r="H521" s="2484"/>
      <c r="I521" s="2485">
        <v>NaN</v>
      </c>
      <c r="J521" t="s">
        <v>293</v>
      </c>
      <c r="K521" t="s">
        <v>331</v>
      </c>
    </row>
    <row r="522">
      <c r="B522">
        <v>26</v>
      </c>
      <c r="C522" s="2486">
        <v>46195</v>
      </c>
      <c r="D522" t="s">
        <v>8</v>
      </c>
      <c r="E522" t="s">
        <v>330</v>
      </c>
      <c r="F522" t="s">
        <v>329</v>
      </c>
      <c r="G522" s="2487">
        <v>50</v>
      </c>
      <c r="H522" s="2488"/>
      <c r="I522" s="2489">
        <v>NaN</v>
      </c>
      <c r="J522" t="s">
        <v>293</v>
      </c>
      <c r="K522" t="s">
        <v>331</v>
      </c>
    </row>
    <row r="523">
      <c r="B523">
        <v>26</v>
      </c>
      <c r="C523" s="2490">
        <v>46195</v>
      </c>
      <c r="D523" t="s">
        <v>6</v>
      </c>
      <c r="E523" t="s">
        <v>330</v>
      </c>
      <c r="F523" t="s">
        <v>297</v>
      </c>
      <c r="G523" s="2491">
        <v>250</v>
      </c>
      <c r="H523" s="2492"/>
      <c r="I523" s="2493">
        <v>NaN</v>
      </c>
      <c r="J523" t="s">
        <v>293</v>
      </c>
      <c r="K523" t="s">
        <v>331</v>
      </c>
    </row>
    <row r="524">
      <c r="B524">
        <v>26</v>
      </c>
      <c r="C524" s="2494">
        <v>46195</v>
      </c>
      <c r="D524" t="s">
        <v>8</v>
      </c>
      <c r="E524" t="s">
        <v>330</v>
      </c>
      <c r="F524" t="s">
        <v>302</v>
      </c>
      <c r="G524" s="2495">
        <v>50</v>
      </c>
      <c r="H524" s="2496"/>
      <c r="I524" s="2497">
        <v>NaN</v>
      </c>
      <c r="J524" t="s">
        <v>293</v>
      </c>
      <c r="K524" t="s">
        <v>331</v>
      </c>
    </row>
    <row r="525">
      <c r="B525">
        <v>26</v>
      </c>
      <c r="C525" s="2498">
        <v>46195</v>
      </c>
      <c r="D525" t="s">
        <v>8</v>
      </c>
      <c r="E525" t="s">
        <v>330</v>
      </c>
      <c r="F525" t="s">
        <v>342</v>
      </c>
      <c r="G525" s="2499">
        <v>162</v>
      </c>
      <c r="H525" s="2500"/>
      <c r="I525" s="2501">
        <v>NaN</v>
      </c>
      <c r="J525" t="s">
        <v>293</v>
      </c>
      <c r="K525" t="s">
        <v>331</v>
      </c>
    </row>
    <row r="526">
      <c r="B526">
        <v>26</v>
      </c>
      <c r="C526" s="2502">
        <v>46195</v>
      </c>
      <c r="D526" t="s">
        <v>8</v>
      </c>
      <c r="E526" t="s">
        <v>330</v>
      </c>
      <c r="F526" t="s">
        <v>318</v>
      </c>
      <c r="G526" s="2503">
        <v>50</v>
      </c>
      <c r="H526" s="2504"/>
      <c r="I526" s="2505">
        <v>NaN</v>
      </c>
      <c r="J526" t="s">
        <v>293</v>
      </c>
      <c r="K526" t="s">
        <v>331</v>
      </c>
    </row>
    <row r="527">
      <c r="B527">
        <v>26</v>
      </c>
      <c r="C527" s="2506">
        <v>46195</v>
      </c>
      <c r="D527" t="s">
        <v>8</v>
      </c>
      <c r="E527" t="s">
        <v>330</v>
      </c>
      <c r="F527" t="s">
        <v>302</v>
      </c>
      <c r="G527" s="2507">
        <v>50</v>
      </c>
      <c r="H527" s="2508"/>
      <c r="I527" s="2509">
        <v>NaN</v>
      </c>
      <c r="J527" t="s">
        <v>293</v>
      </c>
      <c r="K527" t="s">
        <v>331</v>
      </c>
    </row>
    <row r="528">
      <c r="B528">
        <v>26</v>
      </c>
      <c r="C528" s="2510">
        <v>46196</v>
      </c>
      <c r="D528" t="s">
        <v>332</v>
      </c>
      <c r="E528" t="s">
        <v>330</v>
      </c>
      <c r="F528" t="s">
        <v>315</v>
      </c>
      <c r="G528" s="2511">
        <v>275</v>
      </c>
      <c r="H528" s="2512"/>
      <c r="I528" s="2513">
        <v>NaN</v>
      </c>
      <c r="J528" t="s">
        <v>293</v>
      </c>
      <c r="K528" t="s">
        <v>331</v>
      </c>
    </row>
    <row r="529">
      <c r="B529">
        <v>26</v>
      </c>
      <c r="C529" s="2514">
        <v>46196</v>
      </c>
      <c r="D529" t="s">
        <v>332</v>
      </c>
      <c r="E529" t="s">
        <v>330</v>
      </c>
      <c r="F529" t="s">
        <v>314</v>
      </c>
      <c r="G529" s="2515">
        <v>20</v>
      </c>
      <c r="H529" s="2516"/>
      <c r="I529" s="2517">
        <v>NaN</v>
      </c>
      <c r="J529" t="s">
        <v>293</v>
      </c>
      <c r="K529" t="s">
        <v>331</v>
      </c>
    </row>
    <row r="530">
      <c r="B530">
        <v>26</v>
      </c>
      <c r="C530" s="2518">
        <v>46196</v>
      </c>
      <c r="D530" t="s">
        <v>210</v>
      </c>
      <c r="E530" t="s">
        <v>330</v>
      </c>
      <c r="F530" t="s">
        <v>327</v>
      </c>
      <c r="G530" s="2519">
        <v>110</v>
      </c>
      <c r="H530" s="2520"/>
      <c r="I530" s="2521">
        <v>NaN</v>
      </c>
      <c r="J530" t="s">
        <v>293</v>
      </c>
      <c r="K530" t="s">
        <v>331</v>
      </c>
    </row>
    <row r="531">
      <c r="B531">
        <v>26</v>
      </c>
      <c r="C531" s="2522">
        <v>46196</v>
      </c>
      <c r="D531" t="s">
        <v>332</v>
      </c>
      <c r="E531" t="s">
        <v>330</v>
      </c>
      <c r="F531" t="s">
        <v>343</v>
      </c>
      <c r="G531" s="2523">
        <v>100</v>
      </c>
      <c r="H531" s="2524"/>
      <c r="I531" s="2525">
        <v>NaN</v>
      </c>
      <c r="J531" t="s">
        <v>293</v>
      </c>
      <c r="K531" t="s">
        <v>331</v>
      </c>
    </row>
    <row r="532">
      <c r="B532">
        <v>26</v>
      </c>
      <c r="C532" s="2526">
        <v>46196</v>
      </c>
      <c r="D532" t="s">
        <v>8</v>
      </c>
      <c r="E532" t="s">
        <v>330</v>
      </c>
      <c r="F532" t="s">
        <v>299</v>
      </c>
      <c r="G532" s="2527">
        <v>50</v>
      </c>
      <c r="H532" s="2528"/>
      <c r="I532" s="2529">
        <v>NaN</v>
      </c>
      <c r="J532" t="s">
        <v>293</v>
      </c>
      <c r="K532" t="s">
        <v>331</v>
      </c>
    </row>
    <row r="533">
      <c r="B533">
        <v>26</v>
      </c>
      <c r="C533" s="2530">
        <v>46196</v>
      </c>
      <c r="D533" t="s">
        <v>210</v>
      </c>
      <c r="E533" t="s">
        <v>330</v>
      </c>
      <c r="F533" t="s">
        <v>297</v>
      </c>
      <c r="G533" s="2531">
        <v>96</v>
      </c>
      <c r="H533" s="2532"/>
      <c r="I533" s="2533">
        <v>NaN</v>
      </c>
      <c r="J533" t="s">
        <v>293</v>
      </c>
      <c r="K533" t="s">
        <v>331</v>
      </c>
    </row>
    <row r="534">
      <c r="B534">
        <v>26</v>
      </c>
      <c r="C534" s="2534">
        <v>46196</v>
      </c>
      <c r="D534" t="s">
        <v>6</v>
      </c>
      <c r="E534" t="s">
        <v>330</v>
      </c>
      <c r="F534" t="s">
        <v>336</v>
      </c>
      <c r="G534" s="2535">
        <v>21</v>
      </c>
      <c r="H534" s="2536"/>
      <c r="I534" s="2537">
        <v>NaN</v>
      </c>
      <c r="J534" t="s">
        <v>293</v>
      </c>
      <c r="K534" t="s">
        <v>331</v>
      </c>
    </row>
    <row r="535">
      <c r="B535">
        <v>26</v>
      </c>
      <c r="C535" s="2538">
        <v>46196</v>
      </c>
      <c r="D535" t="s">
        <v>6</v>
      </c>
      <c r="E535" t="s">
        <v>330</v>
      </c>
      <c r="F535" t="s">
        <v>334</v>
      </c>
      <c r="G535" s="2539">
        <v>50</v>
      </c>
      <c r="H535" s="2540"/>
      <c r="I535" s="2541">
        <v>NaN</v>
      </c>
      <c r="J535" t="s">
        <v>293</v>
      </c>
      <c r="K535" t="s">
        <v>331</v>
      </c>
    </row>
    <row r="536">
      <c r="B536">
        <v>26</v>
      </c>
      <c r="C536" s="2542">
        <v>46196</v>
      </c>
      <c r="D536" t="s">
        <v>6</v>
      </c>
      <c r="E536" t="s">
        <v>330</v>
      </c>
      <c r="F536" t="s">
        <v>326</v>
      </c>
      <c r="G536" s="2543">
        <v>31</v>
      </c>
      <c r="H536" s="2544"/>
      <c r="I536" s="2545">
        <v>NaN</v>
      </c>
      <c r="J536" t="s">
        <v>293</v>
      </c>
      <c r="K536" t="s">
        <v>331</v>
      </c>
    </row>
    <row r="537">
      <c r="B537">
        <v>26</v>
      </c>
      <c r="C537" s="2546">
        <v>46196</v>
      </c>
      <c r="D537" t="s">
        <v>224</v>
      </c>
      <c r="E537" t="s">
        <v>330</v>
      </c>
      <c r="F537" t="s">
        <v>339</v>
      </c>
      <c r="G537" s="2547">
        <v>100</v>
      </c>
      <c r="H537" s="2548"/>
      <c r="I537" s="2549">
        <v>NaN</v>
      </c>
      <c r="J537" t="s">
        <v>293</v>
      </c>
      <c r="K537" t="s">
        <v>331</v>
      </c>
    </row>
    <row r="538">
      <c r="B538">
        <v>26</v>
      </c>
      <c r="C538" s="2550">
        <v>46196</v>
      </c>
      <c r="D538" t="s">
        <v>224</v>
      </c>
      <c r="E538" t="s">
        <v>330</v>
      </c>
      <c r="F538" t="s">
        <v>308</v>
      </c>
      <c r="G538" s="2551">
        <v>50</v>
      </c>
      <c r="H538" s="2552"/>
      <c r="I538" s="2553">
        <v>NaN</v>
      </c>
      <c r="J538" t="s">
        <v>293</v>
      </c>
      <c r="K538" t="s">
        <v>331</v>
      </c>
    </row>
    <row r="539">
      <c r="B539">
        <v>26</v>
      </c>
      <c r="C539" s="2554">
        <v>46197</v>
      </c>
      <c r="D539" t="s">
        <v>6</v>
      </c>
      <c r="E539" t="s">
        <v>330</v>
      </c>
      <c r="F539" t="s">
        <v>310</v>
      </c>
      <c r="G539" s="2555">
        <v>35</v>
      </c>
      <c r="H539" s="2556"/>
      <c r="I539" s="2557">
        <v>NaN</v>
      </c>
      <c r="J539" t="s">
        <v>293</v>
      </c>
      <c r="K539" t="s">
        <v>331</v>
      </c>
    </row>
    <row r="540">
      <c r="B540">
        <v>26</v>
      </c>
      <c r="C540" s="2558">
        <v>46197</v>
      </c>
      <c r="D540" t="s">
        <v>6</v>
      </c>
      <c r="E540" t="s">
        <v>330</v>
      </c>
      <c r="F540" t="s">
        <v>342</v>
      </c>
      <c r="G540" s="2559">
        <v>76</v>
      </c>
      <c r="H540" s="2560"/>
      <c r="I540" s="2561">
        <v>NaN</v>
      </c>
      <c r="J540" t="s">
        <v>293</v>
      </c>
      <c r="K540" t="s">
        <v>331</v>
      </c>
    </row>
    <row r="541">
      <c r="B541">
        <v>26</v>
      </c>
      <c r="C541" s="2562">
        <v>46197</v>
      </c>
      <c r="D541" t="s">
        <v>6</v>
      </c>
      <c r="E541" t="s">
        <v>330</v>
      </c>
      <c r="F541" t="s">
        <v>310</v>
      </c>
      <c r="G541" s="2563">
        <v>40</v>
      </c>
      <c r="H541" s="2564"/>
      <c r="I541" s="2565">
        <v>NaN</v>
      </c>
      <c r="J541" t="s">
        <v>293</v>
      </c>
      <c r="K541" t="s">
        <v>331</v>
      </c>
    </row>
    <row r="542">
      <c r="B542">
        <v>26</v>
      </c>
      <c r="C542" s="2566">
        <v>46197</v>
      </c>
      <c r="D542" t="s">
        <v>6</v>
      </c>
      <c r="E542" t="s">
        <v>330</v>
      </c>
      <c r="F542" t="s">
        <v>334</v>
      </c>
      <c r="G542" s="2567">
        <v>40</v>
      </c>
      <c r="H542" s="2568"/>
      <c r="I542" s="2569">
        <v>NaN</v>
      </c>
      <c r="J542" t="s">
        <v>293</v>
      </c>
      <c r="K542" t="s">
        <v>331</v>
      </c>
    </row>
    <row r="543">
      <c r="B543">
        <v>26</v>
      </c>
      <c r="C543" s="2570">
        <v>46197</v>
      </c>
      <c r="D543" t="s">
        <v>6</v>
      </c>
      <c r="E543" t="s">
        <v>330</v>
      </c>
      <c r="F543" t="s">
        <v>340</v>
      </c>
      <c r="G543" s="2571">
        <v>200</v>
      </c>
      <c r="H543" s="2572"/>
      <c r="I543" s="2573">
        <v>NaN</v>
      </c>
      <c r="J543" t="s">
        <v>293</v>
      </c>
      <c r="K543" t="s">
        <v>331</v>
      </c>
    </row>
    <row r="544">
      <c r="B544">
        <v>26</v>
      </c>
      <c r="C544" s="2574">
        <v>46197</v>
      </c>
      <c r="D544" t="s">
        <v>210</v>
      </c>
      <c r="E544" t="s">
        <v>330</v>
      </c>
      <c r="F544" t="s">
        <v>327</v>
      </c>
      <c r="G544" s="2575">
        <v>120</v>
      </c>
      <c r="H544" s="2576"/>
      <c r="I544" s="2577">
        <v>NaN</v>
      </c>
      <c r="J544" t="s">
        <v>293</v>
      </c>
      <c r="K544" t="s">
        <v>331</v>
      </c>
    </row>
    <row r="545">
      <c r="B545">
        <v>26</v>
      </c>
      <c r="C545" s="2578">
        <v>46197</v>
      </c>
      <c r="D545" t="s">
        <v>6</v>
      </c>
      <c r="E545" t="s">
        <v>330</v>
      </c>
      <c r="F545" t="s">
        <v>311</v>
      </c>
      <c r="G545" s="2579">
        <v>50</v>
      </c>
      <c r="H545" s="2580"/>
      <c r="I545" s="2581">
        <v>NaN</v>
      </c>
      <c r="J545" t="s">
        <v>293</v>
      </c>
      <c r="K545" t="s">
        <v>331</v>
      </c>
    </row>
    <row r="546">
      <c r="B546">
        <v>26</v>
      </c>
      <c r="C546" s="2582">
        <v>46197</v>
      </c>
      <c r="D546" t="s">
        <v>6</v>
      </c>
      <c r="E546" t="s">
        <v>330</v>
      </c>
      <c r="F546" t="s">
        <v>302</v>
      </c>
      <c r="G546" s="2583">
        <v>30</v>
      </c>
      <c r="H546" s="2584"/>
      <c r="I546" s="2585">
        <v>NaN</v>
      </c>
      <c r="J546" t="s">
        <v>293</v>
      </c>
      <c r="K546" t="s">
        <v>331</v>
      </c>
    </row>
    <row r="547">
      <c r="B547">
        <v>26</v>
      </c>
      <c r="C547" s="2586">
        <v>46197</v>
      </c>
      <c r="D547" t="s">
        <v>8</v>
      </c>
      <c r="E547" t="s">
        <v>330</v>
      </c>
      <c r="F547" t="s">
        <v>303</v>
      </c>
      <c r="G547" s="2587">
        <v>129</v>
      </c>
      <c r="H547" s="2588"/>
      <c r="I547" s="2589">
        <v>NaN</v>
      </c>
      <c r="J547" t="s">
        <v>293</v>
      </c>
      <c r="K547" t="s">
        <v>331</v>
      </c>
    </row>
    <row r="548">
      <c r="B548">
        <v>26</v>
      </c>
      <c r="C548" s="2590">
        <v>46197</v>
      </c>
      <c r="D548" t="s">
        <v>8</v>
      </c>
      <c r="E548" t="s">
        <v>330</v>
      </c>
      <c r="F548" t="s">
        <v>344</v>
      </c>
      <c r="G548" s="2591">
        <v>88</v>
      </c>
      <c r="H548" s="2592"/>
      <c r="I548" s="2593">
        <v>NaN</v>
      </c>
      <c r="J548" t="s">
        <v>293</v>
      </c>
      <c r="K548" t="s">
        <v>331</v>
      </c>
    </row>
    <row r="549">
      <c r="B549">
        <v>26</v>
      </c>
      <c r="C549" s="2594">
        <v>46197</v>
      </c>
      <c r="D549" t="s">
        <v>8</v>
      </c>
      <c r="E549" t="s">
        <v>330</v>
      </c>
      <c r="F549" t="s">
        <v>318</v>
      </c>
      <c r="G549" s="2595">
        <v>90</v>
      </c>
      <c r="H549" s="2596"/>
      <c r="I549" s="2597">
        <v>NaN</v>
      </c>
      <c r="J549" t="s">
        <v>293</v>
      </c>
      <c r="K549" t="s">
        <v>331</v>
      </c>
    </row>
    <row r="550">
      <c r="B550">
        <v>26</v>
      </c>
      <c r="C550" s="2598">
        <v>46197</v>
      </c>
      <c r="D550" t="s">
        <v>8</v>
      </c>
      <c r="E550" t="s">
        <v>330</v>
      </c>
      <c r="F550" t="s">
        <v>337</v>
      </c>
      <c r="G550" s="2599">
        <v>62</v>
      </c>
      <c r="H550" s="2600"/>
      <c r="I550" s="2601">
        <v>NaN</v>
      </c>
      <c r="J550" t="s">
        <v>293</v>
      </c>
      <c r="K550" t="s">
        <v>331</v>
      </c>
    </row>
    <row r="551">
      <c r="B551">
        <v>26</v>
      </c>
      <c r="C551" s="2602">
        <v>46197</v>
      </c>
      <c r="D551" t="s">
        <v>341</v>
      </c>
      <c r="E551" t="s">
        <v>330</v>
      </c>
      <c r="F551" t="s">
        <v>337</v>
      </c>
      <c r="G551" s="2603">
        <v>62</v>
      </c>
      <c r="H551" s="2604"/>
      <c r="I551" s="2605">
        <v>NaN</v>
      </c>
      <c r="J551" t="s">
        <v>293</v>
      </c>
      <c r="K551" t="s">
        <v>331</v>
      </c>
    </row>
    <row r="552">
      <c r="B552">
        <v>26</v>
      </c>
      <c r="C552" s="2606">
        <v>46198</v>
      </c>
      <c r="D552" t="s">
        <v>6</v>
      </c>
      <c r="E552" t="s">
        <v>330</v>
      </c>
      <c r="F552" t="s">
        <v>326</v>
      </c>
      <c r="G552" s="2607">
        <v>26</v>
      </c>
      <c r="H552" s="2608"/>
      <c r="I552" s="2609">
        <v>NaN</v>
      </c>
      <c r="J552" t="s">
        <v>293</v>
      </c>
      <c r="K552" t="s">
        <v>331</v>
      </c>
    </row>
    <row r="553">
      <c r="B553">
        <v>26</v>
      </c>
      <c r="C553" s="2610">
        <v>46198</v>
      </c>
      <c r="D553" t="s">
        <v>6</v>
      </c>
      <c r="E553" t="s">
        <v>330</v>
      </c>
      <c r="F553" t="s">
        <v>337</v>
      </c>
      <c r="G553" s="2611">
        <v>50</v>
      </c>
      <c r="H553" s="2612"/>
      <c r="I553" s="2613">
        <v>NaN</v>
      </c>
      <c r="J553" t="s">
        <v>293</v>
      </c>
      <c r="K553" t="s">
        <v>331</v>
      </c>
    </row>
    <row r="554">
      <c r="B554">
        <v>26</v>
      </c>
      <c r="C554" s="2614">
        <v>46198</v>
      </c>
      <c r="D554" t="s">
        <v>6</v>
      </c>
      <c r="E554" t="s">
        <v>330</v>
      </c>
      <c r="F554" t="s">
        <v>310</v>
      </c>
      <c r="G554" s="2615">
        <v>30</v>
      </c>
      <c r="H554" s="2616"/>
      <c r="I554" s="2617">
        <v>NaN</v>
      </c>
      <c r="J554" t="s">
        <v>293</v>
      </c>
      <c r="K554" t="s">
        <v>331</v>
      </c>
    </row>
    <row r="555">
      <c r="B555">
        <v>26</v>
      </c>
      <c r="C555" s="2618">
        <v>46198</v>
      </c>
      <c r="D555" t="s">
        <v>6</v>
      </c>
      <c r="E555" t="s">
        <v>330</v>
      </c>
      <c r="F555" t="s">
        <v>302</v>
      </c>
      <c r="G555" s="2619">
        <v>14</v>
      </c>
      <c r="H555" s="2620"/>
      <c r="I555" s="2621">
        <v>NaN</v>
      </c>
      <c r="J555" t="s">
        <v>293</v>
      </c>
      <c r="K555" t="s">
        <v>331</v>
      </c>
    </row>
    <row r="556">
      <c r="B556">
        <v>26</v>
      </c>
      <c r="C556" s="2622">
        <v>46198</v>
      </c>
      <c r="D556" t="s">
        <v>6</v>
      </c>
      <c r="E556" t="s">
        <v>330</v>
      </c>
      <c r="F556" t="s">
        <v>311</v>
      </c>
      <c r="G556" s="2623">
        <v>30</v>
      </c>
      <c r="H556" s="2624"/>
      <c r="I556" s="2625">
        <v>NaN</v>
      </c>
      <c r="J556" t="s">
        <v>293</v>
      </c>
      <c r="K556" t="s">
        <v>331</v>
      </c>
    </row>
    <row r="557">
      <c r="B557">
        <v>26</v>
      </c>
      <c r="C557" s="2626">
        <v>46198</v>
      </c>
      <c r="D557" t="s">
        <v>210</v>
      </c>
      <c r="E557" t="s">
        <v>330</v>
      </c>
      <c r="F557" t="s">
        <v>327</v>
      </c>
      <c r="G557" s="2627">
        <v>120</v>
      </c>
      <c r="H557" s="2628"/>
      <c r="I557" s="2629">
        <v>NaN</v>
      </c>
      <c r="J557" t="s">
        <v>293</v>
      </c>
      <c r="K557" t="s">
        <v>331</v>
      </c>
    </row>
    <row r="558">
      <c r="B558">
        <v>26</v>
      </c>
      <c r="C558" s="2630">
        <v>46198</v>
      </c>
      <c r="D558" t="s">
        <v>332</v>
      </c>
      <c r="E558" t="s">
        <v>330</v>
      </c>
      <c r="F558" t="s">
        <v>337</v>
      </c>
      <c r="G558" s="2631">
        <v>160</v>
      </c>
      <c r="H558" s="2632"/>
      <c r="I558" s="2633">
        <v>NaN</v>
      </c>
      <c r="J558" t="s">
        <v>293</v>
      </c>
      <c r="K558" t="s">
        <v>331</v>
      </c>
    </row>
    <row r="559">
      <c r="B559">
        <v>26</v>
      </c>
      <c r="C559" s="2634">
        <v>46198</v>
      </c>
      <c r="D559" t="s">
        <v>8</v>
      </c>
      <c r="E559" t="s">
        <v>330</v>
      </c>
      <c r="F559" t="s">
        <v>340</v>
      </c>
      <c r="G559" s="2635">
        <v>140</v>
      </c>
      <c r="H559" s="2636"/>
      <c r="I559" s="2637">
        <v>NaN</v>
      </c>
      <c r="J559" t="s">
        <v>293</v>
      </c>
      <c r="K559" t="s">
        <v>331</v>
      </c>
    </row>
    <row r="560">
      <c r="B560">
        <v>26</v>
      </c>
      <c r="C560" s="2638">
        <v>46198</v>
      </c>
      <c r="D560" t="s">
        <v>332</v>
      </c>
      <c r="E560" t="s">
        <v>330</v>
      </c>
      <c r="F560" t="s">
        <v>345</v>
      </c>
      <c r="G560" s="2639">
        <v>222</v>
      </c>
      <c r="H560" s="2640"/>
      <c r="I560" s="2641">
        <v>NaN</v>
      </c>
      <c r="J560" t="s">
        <v>293</v>
      </c>
      <c r="K560" t="s">
        <v>331</v>
      </c>
    </row>
    <row r="561">
      <c r="B561">
        <v>26</v>
      </c>
      <c r="C561" s="2642">
        <v>46198</v>
      </c>
      <c r="D561" t="s">
        <v>332</v>
      </c>
      <c r="E561" t="s">
        <v>330</v>
      </c>
      <c r="F561" t="s">
        <v>315</v>
      </c>
      <c r="G561" s="2643">
        <v>217</v>
      </c>
      <c r="H561" s="2644"/>
      <c r="I561" s="2645">
        <v>NaN</v>
      </c>
      <c r="J561" t="s">
        <v>293</v>
      </c>
      <c r="K561" t="s">
        <v>331</v>
      </c>
    </row>
    <row r="562">
      <c r="B562">
        <v>26</v>
      </c>
      <c r="C562" s="2646">
        <v>46198</v>
      </c>
      <c r="D562" t="s">
        <v>332</v>
      </c>
      <c r="E562" t="s">
        <v>330</v>
      </c>
      <c r="F562" t="s">
        <v>327</v>
      </c>
      <c r="G562" s="2647">
        <v>850</v>
      </c>
      <c r="H562" s="2648"/>
      <c r="I562" s="2649">
        <v>NaN</v>
      </c>
      <c r="J562" t="s">
        <v>293</v>
      </c>
      <c r="K562" t="s">
        <v>331</v>
      </c>
    </row>
    <row r="563">
      <c r="B563">
        <v>26</v>
      </c>
      <c r="C563" s="2650">
        <v>46198</v>
      </c>
      <c r="D563" t="s">
        <v>8</v>
      </c>
      <c r="E563" t="s">
        <v>330</v>
      </c>
      <c r="F563" t="s">
        <v>334</v>
      </c>
      <c r="G563" s="2651">
        <v>50</v>
      </c>
      <c r="H563" s="2652"/>
      <c r="I563" s="2653">
        <v>NaN</v>
      </c>
      <c r="J563" t="s">
        <v>293</v>
      </c>
      <c r="K563" t="s">
        <v>331</v>
      </c>
    </row>
    <row r="564">
      <c r="B564">
        <v>26</v>
      </c>
      <c r="C564" s="2654">
        <v>46198</v>
      </c>
      <c r="D564" t="s">
        <v>8</v>
      </c>
      <c r="E564" t="s">
        <v>330</v>
      </c>
      <c r="F564" t="s">
        <v>298</v>
      </c>
      <c r="G564" s="2655">
        <v>50</v>
      </c>
      <c r="H564" s="2656"/>
      <c r="I564" s="2657">
        <v>NaN</v>
      </c>
      <c r="J564" t="s">
        <v>293</v>
      </c>
      <c r="K564" t="s">
        <v>331</v>
      </c>
    </row>
    <row r="565">
      <c r="B565">
        <v>26</v>
      </c>
      <c r="C565" s="2658">
        <v>46198</v>
      </c>
      <c r="D565" t="s">
        <v>8</v>
      </c>
      <c r="E565" t="s">
        <v>330</v>
      </c>
      <c r="F565" t="s">
        <v>335</v>
      </c>
      <c r="G565" s="2659">
        <v>177</v>
      </c>
      <c r="H565" s="2660"/>
      <c r="I565" s="2661">
        <v>NaN</v>
      </c>
      <c r="J565" t="s">
        <v>293</v>
      </c>
      <c r="K565" t="s">
        <v>331</v>
      </c>
    </row>
    <row r="566">
      <c r="B566">
        <v>26</v>
      </c>
      <c r="C566" s="2662">
        <v>46198</v>
      </c>
      <c r="D566" t="s">
        <v>224</v>
      </c>
      <c r="E566" t="s">
        <v>330</v>
      </c>
      <c r="F566" t="s">
        <v>339</v>
      </c>
      <c r="G566" s="2663">
        <v>100</v>
      </c>
      <c r="H566" s="2664"/>
      <c r="I566" s="2665">
        <v>NaN</v>
      </c>
      <c r="J566" t="s">
        <v>293</v>
      </c>
      <c r="K566" t="s">
        <v>331</v>
      </c>
    </row>
    <row r="567">
      <c r="B567">
        <v>26</v>
      </c>
      <c r="C567" s="2666">
        <v>46199</v>
      </c>
      <c r="D567" t="s">
        <v>210</v>
      </c>
      <c r="E567" t="s">
        <v>330</v>
      </c>
      <c r="F567" t="s">
        <v>346</v>
      </c>
      <c r="G567" s="2667">
        <v>90</v>
      </c>
      <c r="H567" s="2668"/>
      <c r="I567" s="2669">
        <v>NaN</v>
      </c>
      <c r="J567" t="s">
        <v>293</v>
      </c>
      <c r="K567" t="s">
        <v>331</v>
      </c>
    </row>
    <row r="568">
      <c r="B568">
        <v>26</v>
      </c>
      <c r="C568" s="2670">
        <v>46199</v>
      </c>
      <c r="D568" t="s">
        <v>210</v>
      </c>
      <c r="E568" t="s">
        <v>330</v>
      </c>
      <c r="F568" t="s">
        <v>307</v>
      </c>
      <c r="G568" s="2671">
        <v>48</v>
      </c>
      <c r="H568" s="2672"/>
      <c r="I568" s="2673">
        <v>NaN</v>
      </c>
      <c r="J568" t="s">
        <v>293</v>
      </c>
      <c r="K568" t="s">
        <v>331</v>
      </c>
    </row>
    <row r="569">
      <c r="B569">
        <v>26</v>
      </c>
      <c r="C569" s="2674">
        <v>46199</v>
      </c>
      <c r="D569" t="s">
        <v>6</v>
      </c>
      <c r="E569" t="s">
        <v>330</v>
      </c>
      <c r="F569" t="s">
        <v>310</v>
      </c>
      <c r="G569" s="2675">
        <v>40</v>
      </c>
      <c r="H569" s="2676"/>
      <c r="I569" s="2677">
        <v>NaN</v>
      </c>
      <c r="J569" t="s">
        <v>293</v>
      </c>
      <c r="K569" t="s">
        <v>331</v>
      </c>
    </row>
    <row r="570">
      <c r="B570">
        <v>26</v>
      </c>
      <c r="C570" s="2678">
        <v>46199</v>
      </c>
      <c r="D570" t="s">
        <v>6</v>
      </c>
      <c r="E570" t="s">
        <v>330</v>
      </c>
      <c r="F570" t="s">
        <v>311</v>
      </c>
      <c r="G570" s="2679">
        <v>30</v>
      </c>
      <c r="H570" s="2680"/>
      <c r="I570" s="2681">
        <v>NaN</v>
      </c>
      <c r="J570" t="s">
        <v>293</v>
      </c>
      <c r="K570" t="s">
        <v>331</v>
      </c>
    </row>
    <row r="571">
      <c r="B571">
        <v>26</v>
      </c>
      <c r="C571" s="2682">
        <v>46199</v>
      </c>
      <c r="D571" t="s">
        <v>6</v>
      </c>
      <c r="E571" t="s">
        <v>330</v>
      </c>
      <c r="F571" t="s">
        <v>302</v>
      </c>
      <c r="G571" s="2683">
        <v>16</v>
      </c>
      <c r="H571" s="2684"/>
      <c r="I571" s="2685">
        <v>NaN</v>
      </c>
      <c r="J571" t="s">
        <v>293</v>
      </c>
      <c r="K571" t="s">
        <v>331</v>
      </c>
    </row>
    <row r="572">
      <c r="B572">
        <v>26</v>
      </c>
      <c r="C572" s="2686">
        <v>46199</v>
      </c>
      <c r="D572" t="s">
        <v>6</v>
      </c>
      <c r="E572" t="s">
        <v>330</v>
      </c>
      <c r="F572" t="s">
        <v>336</v>
      </c>
      <c r="G572" s="2687">
        <v>120</v>
      </c>
      <c r="H572" s="2688"/>
      <c r="I572" s="2689">
        <v>NaN</v>
      </c>
      <c r="J572" t="s">
        <v>293</v>
      </c>
      <c r="K572" t="s">
        <v>331</v>
      </c>
    </row>
    <row r="573">
      <c r="B573">
        <v>26</v>
      </c>
      <c r="C573" s="2690">
        <v>46199</v>
      </c>
      <c r="D573" t="s">
        <v>6</v>
      </c>
      <c r="E573" t="s">
        <v>330</v>
      </c>
      <c r="F573" t="s">
        <v>310</v>
      </c>
      <c r="G573" s="2691">
        <v>32</v>
      </c>
      <c r="H573" s="2692"/>
      <c r="I573" s="2693">
        <v>NaN</v>
      </c>
      <c r="J573" t="s">
        <v>293</v>
      </c>
      <c r="K573" t="s">
        <v>331</v>
      </c>
    </row>
    <row r="574">
      <c r="B574">
        <v>26</v>
      </c>
      <c r="C574" s="2694">
        <v>46199</v>
      </c>
      <c r="D574" t="s">
        <v>6</v>
      </c>
      <c r="E574" t="s">
        <v>330</v>
      </c>
      <c r="F574" t="s">
        <v>334</v>
      </c>
      <c r="G574" s="2695">
        <v>40</v>
      </c>
      <c r="H574" s="2696"/>
      <c r="I574" s="2697">
        <v>NaN</v>
      </c>
      <c r="J574" t="s">
        <v>293</v>
      </c>
      <c r="K574" t="s">
        <v>331</v>
      </c>
    </row>
    <row r="575">
      <c r="B575">
        <v>26</v>
      </c>
      <c r="C575" s="2698">
        <v>46199</v>
      </c>
      <c r="D575" t="s">
        <v>8</v>
      </c>
      <c r="E575" t="s">
        <v>330</v>
      </c>
      <c r="F575" t="s">
        <v>337</v>
      </c>
      <c r="G575" s="2699">
        <v>41</v>
      </c>
      <c r="H575" s="2700"/>
      <c r="I575" s="2701">
        <v>NaN</v>
      </c>
      <c r="J575" t="s">
        <v>293</v>
      </c>
      <c r="K575" t="s">
        <v>331</v>
      </c>
    </row>
    <row r="576">
      <c r="B576">
        <v>26</v>
      </c>
      <c r="C576" s="2702">
        <v>46199</v>
      </c>
      <c r="D576" t="s">
        <v>6</v>
      </c>
      <c r="E576" t="s">
        <v>330</v>
      </c>
      <c r="F576" t="s">
        <v>297</v>
      </c>
      <c r="G576" s="2703">
        <v>329</v>
      </c>
      <c r="H576" s="2704"/>
      <c r="I576" s="2705">
        <v>NaN</v>
      </c>
      <c r="J576" t="s">
        <v>293</v>
      </c>
      <c r="K576" t="s">
        <v>331</v>
      </c>
    </row>
    <row r="577">
      <c r="B577">
        <v>26</v>
      </c>
      <c r="C577" s="2706">
        <v>46199</v>
      </c>
      <c r="D577" t="s">
        <v>210</v>
      </c>
      <c r="E577" t="s">
        <v>330</v>
      </c>
      <c r="F577" t="s">
        <v>327</v>
      </c>
      <c r="G577" s="2707">
        <v>480</v>
      </c>
      <c r="H577" s="2708"/>
      <c r="I577" s="2709">
        <v>NaN</v>
      </c>
      <c r="J577" t="s">
        <v>293</v>
      </c>
      <c r="K577" t="s">
        <v>331</v>
      </c>
    </row>
    <row r="578">
      <c r="B578">
        <v>26</v>
      </c>
      <c r="C578" s="2710">
        <v>46199</v>
      </c>
      <c r="D578" t="s">
        <v>210</v>
      </c>
      <c r="E578" t="s">
        <v>330</v>
      </c>
      <c r="F578" t="s">
        <v>346</v>
      </c>
      <c r="G578" s="2711">
        <v>220</v>
      </c>
      <c r="H578" s="2712"/>
      <c r="I578" s="2713">
        <v>NaN</v>
      </c>
      <c r="J578" t="s">
        <v>293</v>
      </c>
      <c r="K578" t="s">
        <v>331</v>
      </c>
    </row>
    <row r="579">
      <c r="B579">
        <v>26</v>
      </c>
      <c r="C579" s="2714">
        <v>46199</v>
      </c>
      <c r="D579" t="s">
        <v>210</v>
      </c>
      <c r="E579" t="s">
        <v>330</v>
      </c>
      <c r="F579" t="s">
        <v>338</v>
      </c>
      <c r="G579" s="2715">
        <v>80</v>
      </c>
      <c r="H579" s="2716"/>
      <c r="I579" s="2717">
        <v>NaN</v>
      </c>
      <c r="J579" t="s">
        <v>293</v>
      </c>
      <c r="K579" t="s">
        <v>331</v>
      </c>
    </row>
    <row r="580">
      <c r="B580">
        <v>26</v>
      </c>
      <c r="C580" s="2718">
        <v>46199</v>
      </c>
      <c r="D580" t="s">
        <v>210</v>
      </c>
      <c r="E580" t="s">
        <v>330</v>
      </c>
      <c r="F580" t="s">
        <v>307</v>
      </c>
      <c r="G580" s="2719">
        <v>80</v>
      </c>
      <c r="H580" s="2720"/>
      <c r="I580" s="2721">
        <v>NaN</v>
      </c>
      <c r="J580" t="s">
        <v>293</v>
      </c>
      <c r="K580" t="s">
        <v>331</v>
      </c>
    </row>
    <row r="581">
      <c r="B581">
        <v>26</v>
      </c>
      <c r="C581" s="2722">
        <v>46199</v>
      </c>
      <c r="D581" t="s">
        <v>6</v>
      </c>
      <c r="E581" t="s">
        <v>330</v>
      </c>
      <c r="F581" t="s">
        <v>297</v>
      </c>
      <c r="G581" s="2723">
        <v>200</v>
      </c>
      <c r="H581" s="2724"/>
      <c r="I581" s="2725">
        <v>NaN</v>
      </c>
      <c r="J581" t="s">
        <v>293</v>
      </c>
      <c r="K581" t="s">
        <v>331</v>
      </c>
    </row>
    <row r="582">
      <c r="B582">
        <v>26</v>
      </c>
      <c r="C582" s="2726">
        <v>46199</v>
      </c>
      <c r="D582" t="s">
        <v>224</v>
      </c>
      <c r="E582" t="s">
        <v>330</v>
      </c>
      <c r="F582" t="s">
        <v>339</v>
      </c>
      <c r="G582" s="2727">
        <v>200</v>
      </c>
      <c r="H582" s="2728"/>
      <c r="I582" s="2729">
        <v>NaN</v>
      </c>
      <c r="J582" t="s">
        <v>293</v>
      </c>
      <c r="K582" t="s">
        <v>331</v>
      </c>
    </row>
    <row r="583">
      <c r="B583">
        <v>26</v>
      </c>
      <c r="C583" s="2730">
        <v>46200</v>
      </c>
      <c r="D583" t="s">
        <v>6</v>
      </c>
      <c r="E583" t="s">
        <v>330</v>
      </c>
      <c r="F583" t="s">
        <v>326</v>
      </c>
      <c r="G583" s="2731">
        <v>24</v>
      </c>
      <c r="H583" s="2732"/>
      <c r="I583" s="2733">
        <v>NaN</v>
      </c>
      <c r="J583" t="s">
        <v>293</v>
      </c>
      <c r="K583" t="s">
        <v>331</v>
      </c>
    </row>
    <row r="584">
      <c r="B584">
        <v>26</v>
      </c>
      <c r="C584" s="2734">
        <v>46200</v>
      </c>
      <c r="D584" t="s">
        <v>6</v>
      </c>
      <c r="E584" t="s">
        <v>330</v>
      </c>
      <c r="F584" t="s">
        <v>318</v>
      </c>
      <c r="G584" s="2735">
        <v>50</v>
      </c>
      <c r="H584" s="2736"/>
      <c r="I584" s="2737">
        <v>NaN</v>
      </c>
      <c r="J584" t="s">
        <v>293</v>
      </c>
      <c r="K584" t="s">
        <v>331</v>
      </c>
    </row>
    <row r="585">
      <c r="B585">
        <v>26</v>
      </c>
      <c r="C585" s="2738">
        <v>46200</v>
      </c>
      <c r="D585" t="s">
        <v>6</v>
      </c>
      <c r="E585" t="s">
        <v>330</v>
      </c>
      <c r="F585" t="s">
        <v>297</v>
      </c>
      <c r="G585" s="2739">
        <v>118</v>
      </c>
      <c r="H585" s="2740"/>
      <c r="I585" s="2741">
        <v>NaN</v>
      </c>
      <c r="J585" t="s">
        <v>293</v>
      </c>
      <c r="K585" t="s">
        <v>331</v>
      </c>
    </row>
    <row r="586">
      <c r="B586">
        <v>26</v>
      </c>
      <c r="C586" s="2742">
        <v>46200</v>
      </c>
      <c r="D586" t="s">
        <v>224</v>
      </c>
      <c r="E586" t="s">
        <v>330</v>
      </c>
      <c r="F586" t="s">
        <v>339</v>
      </c>
      <c r="G586" s="2743">
        <v>100</v>
      </c>
      <c r="H586" s="2744"/>
      <c r="I586" s="2745">
        <v>NaN</v>
      </c>
      <c r="J586" t="s">
        <v>293</v>
      </c>
      <c r="K586" t="s">
        <v>331</v>
      </c>
    </row>
    <row r="587">
      <c r="B587">
        <v>26</v>
      </c>
      <c r="C587" s="2746">
        <v>46200</v>
      </c>
      <c r="D587" t="s">
        <v>224</v>
      </c>
      <c r="E587" t="s">
        <v>330</v>
      </c>
      <c r="F587" t="s">
        <v>309</v>
      </c>
      <c r="G587" s="2747">
        <v>60</v>
      </c>
      <c r="H587" s="2748"/>
      <c r="I587" s="2749">
        <v>NaN</v>
      </c>
      <c r="J587" t="s">
        <v>293</v>
      </c>
      <c r="K587" t="s">
        <v>331</v>
      </c>
    </row>
    <row r="588">
      <c r="B588">
        <v>26</v>
      </c>
      <c r="C588" s="2750">
        <v>46200</v>
      </c>
      <c r="D588" t="s">
        <v>224</v>
      </c>
      <c r="E588" t="s">
        <v>330</v>
      </c>
      <c r="F588" t="s">
        <v>308</v>
      </c>
      <c r="G588" s="2751">
        <v>40</v>
      </c>
      <c r="H588" s="2752"/>
      <c r="I588" s="2753">
        <v>NaN</v>
      </c>
      <c r="J588" t="s">
        <v>293</v>
      </c>
      <c r="K588" t="s">
        <v>331</v>
      </c>
    </row>
    <row r="589">
      <c r="B589">
        <v>26</v>
      </c>
      <c r="C589" s="2754">
        <v>46200</v>
      </c>
      <c r="D589" t="s">
        <v>224</v>
      </c>
      <c r="E589" t="s">
        <v>330</v>
      </c>
      <c r="F589" t="s">
        <v>315</v>
      </c>
      <c r="G589" s="2755">
        <v>200</v>
      </c>
      <c r="H589" s="2756"/>
      <c r="I589" s="2757">
        <v>NaN</v>
      </c>
      <c r="J589" t="s">
        <v>293</v>
      </c>
      <c r="K589" t="s">
        <v>331</v>
      </c>
    </row>
    <row r="590">
      <c r="B590">
        <v>26</v>
      </c>
      <c r="C590" s="2758">
        <v>46200</v>
      </c>
      <c r="D590" t="s">
        <v>224</v>
      </c>
      <c r="E590" t="s">
        <v>330</v>
      </c>
      <c r="F590" t="s">
        <v>347</v>
      </c>
      <c r="G590" s="2759">
        <v>200</v>
      </c>
      <c r="H590" s="2760"/>
      <c r="I590" s="2761">
        <v>NaN</v>
      </c>
      <c r="J590" t="s">
        <v>293</v>
      </c>
      <c r="K590" t="s">
        <v>331</v>
      </c>
    </row>
    <row r="591">
      <c r="B591">
        <v>27</v>
      </c>
      <c r="C591" s="2762">
        <v>46202</v>
      </c>
      <c r="D591" t="s">
        <v>6</v>
      </c>
      <c r="E591" t="s">
        <v>330</v>
      </c>
      <c r="F591" t="s">
        <v>336</v>
      </c>
      <c r="G591" s="2763">
        <v>102</v>
      </c>
      <c r="H591" s="2764"/>
      <c r="I591" s="2765">
        <v>NaN</v>
      </c>
      <c r="J591" t="s">
        <v>293</v>
      </c>
      <c r="K591" t="s">
        <v>331</v>
      </c>
    </row>
    <row r="592">
      <c r="B592">
        <v>27</v>
      </c>
      <c r="C592" s="2766">
        <v>46202</v>
      </c>
      <c r="D592" t="s">
        <v>6</v>
      </c>
      <c r="E592" t="s">
        <v>330</v>
      </c>
      <c r="F592" t="s">
        <v>325</v>
      </c>
      <c r="G592" s="2767">
        <v>41</v>
      </c>
      <c r="H592" s="2768"/>
      <c r="I592" s="2769">
        <v>NaN</v>
      </c>
      <c r="J592" t="s">
        <v>293</v>
      </c>
      <c r="K592" t="s">
        <v>331</v>
      </c>
    </row>
    <row r="593">
      <c r="B593">
        <v>27</v>
      </c>
      <c r="C593" s="2770">
        <v>46202</v>
      </c>
      <c r="D593" t="s">
        <v>6</v>
      </c>
      <c r="E593" t="s">
        <v>330</v>
      </c>
      <c r="F593" t="s">
        <v>338</v>
      </c>
      <c r="G593" s="2771">
        <v>23</v>
      </c>
      <c r="H593" s="2772"/>
      <c r="I593" s="2773">
        <v>NaN</v>
      </c>
      <c r="J593" t="s">
        <v>293</v>
      </c>
      <c r="K593" t="s">
        <v>331</v>
      </c>
    </row>
    <row r="594">
      <c r="B594">
        <v>27</v>
      </c>
      <c r="C594" s="2774">
        <v>46202</v>
      </c>
      <c r="D594" t="s">
        <v>6</v>
      </c>
      <c r="E594" t="s">
        <v>330</v>
      </c>
      <c r="F594" t="s">
        <v>334</v>
      </c>
      <c r="G594" s="2775">
        <v>60</v>
      </c>
      <c r="H594" s="2776"/>
      <c r="I594" s="2777">
        <v>NaN</v>
      </c>
      <c r="J594" t="s">
        <v>293</v>
      </c>
      <c r="K594" t="s">
        <v>331</v>
      </c>
    </row>
    <row r="595">
      <c r="B595">
        <v>27</v>
      </c>
      <c r="C595" s="2778">
        <v>46202</v>
      </c>
      <c r="D595" t="s">
        <v>6</v>
      </c>
      <c r="E595" t="s">
        <v>330</v>
      </c>
      <c r="F595" t="s">
        <v>297</v>
      </c>
      <c r="G595" s="2779">
        <v>97</v>
      </c>
      <c r="H595" s="2780"/>
      <c r="I595" s="2781">
        <v>NaN</v>
      </c>
      <c r="J595" t="s">
        <v>293</v>
      </c>
      <c r="K595" t="s">
        <v>331</v>
      </c>
    </row>
    <row r="596">
      <c r="B596">
        <v>27</v>
      </c>
      <c r="C596" s="2782">
        <v>46202</v>
      </c>
      <c r="D596" t="s">
        <v>8</v>
      </c>
      <c r="E596" t="s">
        <v>330</v>
      </c>
      <c r="F596" t="s">
        <v>335</v>
      </c>
      <c r="G596" s="2783">
        <v>178</v>
      </c>
      <c r="H596" s="2784"/>
      <c r="I596" s="2785">
        <v>NaN</v>
      </c>
      <c r="J596" t="s">
        <v>293</v>
      </c>
      <c r="K596" t="s">
        <v>331</v>
      </c>
    </row>
    <row r="597">
      <c r="B597">
        <v>27</v>
      </c>
      <c r="C597" s="2786">
        <v>46202</v>
      </c>
      <c r="D597" t="s">
        <v>8</v>
      </c>
      <c r="E597" t="s">
        <v>330</v>
      </c>
      <c r="F597" t="s">
        <v>310</v>
      </c>
      <c r="G597" s="2787">
        <v>38</v>
      </c>
      <c r="H597" s="2788"/>
      <c r="I597" s="2789">
        <v>NaN</v>
      </c>
      <c r="J597" t="s">
        <v>293</v>
      </c>
      <c r="K597" t="s">
        <v>331</v>
      </c>
    </row>
    <row r="598">
      <c r="B598">
        <v>27</v>
      </c>
      <c r="C598" s="2790">
        <v>46202</v>
      </c>
      <c r="D598" t="s">
        <v>6</v>
      </c>
      <c r="E598" t="s">
        <v>330</v>
      </c>
      <c r="F598" t="s">
        <v>337</v>
      </c>
      <c r="G598" s="2791">
        <v>50</v>
      </c>
      <c r="H598" s="2792"/>
      <c r="I598" s="2793">
        <v>NaN</v>
      </c>
      <c r="J598" t="s">
        <v>293</v>
      </c>
      <c r="K598" t="s">
        <v>331</v>
      </c>
    </row>
    <row r="599">
      <c r="B599">
        <v>27</v>
      </c>
      <c r="C599" s="2794">
        <v>46202</v>
      </c>
      <c r="D599" t="s">
        <v>224</v>
      </c>
      <c r="E599" t="s">
        <v>330</v>
      </c>
      <c r="F599" t="s">
        <v>339</v>
      </c>
      <c r="G599" s="2795">
        <v>200</v>
      </c>
      <c r="H599" s="2796"/>
      <c r="I599" s="2797">
        <v>NaN</v>
      </c>
      <c r="J599" t="s">
        <v>293</v>
      </c>
      <c r="K599" t="s">
        <v>331</v>
      </c>
    </row>
    <row r="600">
      <c r="B600">
        <v>27</v>
      </c>
      <c r="C600" s="2798">
        <v>46202</v>
      </c>
      <c r="D600" t="s">
        <v>224</v>
      </c>
      <c r="E600" t="s">
        <v>330</v>
      </c>
      <c r="F600" t="s">
        <v>339</v>
      </c>
      <c r="G600" s="2799">
        <v>80</v>
      </c>
      <c r="H600" s="2800"/>
      <c r="I600" s="2801">
        <v>NaN</v>
      </c>
      <c r="J600" t="s">
        <v>293</v>
      </c>
      <c r="K600" t="s">
        <v>331</v>
      </c>
    </row>
    <row r="601">
      <c r="B601">
        <v>27</v>
      </c>
      <c r="C601" s="2802">
        <v>46202</v>
      </c>
      <c r="D601" t="s">
        <v>224</v>
      </c>
      <c r="E601" t="s">
        <v>330</v>
      </c>
      <c r="F601" t="s">
        <v>306</v>
      </c>
      <c r="G601" s="2803">
        <v>300</v>
      </c>
      <c r="H601" s="2804"/>
      <c r="I601" s="2805">
        <v>NaN</v>
      </c>
      <c r="J601" t="s">
        <v>293</v>
      </c>
      <c r="K601" t="s">
        <v>331</v>
      </c>
    </row>
    <row r="602">
      <c r="B602">
        <v>27</v>
      </c>
      <c r="C602" s="2806">
        <v>46202</v>
      </c>
      <c r="D602" t="s">
        <v>8</v>
      </c>
      <c r="E602" t="s">
        <v>330</v>
      </c>
      <c r="F602" t="s">
        <v>310</v>
      </c>
      <c r="G602" s="2807">
        <v>38</v>
      </c>
      <c r="H602" s="2808"/>
      <c r="I602" s="2809">
        <v>NaN</v>
      </c>
      <c r="J602" t="s">
        <v>293</v>
      </c>
      <c r="K602" t="s">
        <v>331</v>
      </c>
    </row>
    <row r="603">
      <c r="B603">
        <v>27</v>
      </c>
      <c r="C603" s="2810">
        <v>46202</v>
      </c>
      <c r="D603" t="s">
        <v>214</v>
      </c>
      <c r="E603" t="s">
        <v>330</v>
      </c>
      <c r="F603" t="s">
        <v>315</v>
      </c>
      <c r="G603" s="2811">
        <v>210</v>
      </c>
      <c r="H603" s="2812"/>
      <c r="I603" s="2813">
        <v>NaN</v>
      </c>
      <c r="J603" t="s">
        <v>293</v>
      </c>
      <c r="K603" t="s">
        <v>331</v>
      </c>
    </row>
    <row r="604">
      <c r="B604">
        <v>27</v>
      </c>
      <c r="C604" s="2814">
        <v>46202</v>
      </c>
      <c r="D604" t="s">
        <v>214</v>
      </c>
      <c r="E604" t="s">
        <v>330</v>
      </c>
      <c r="F604" t="s">
        <v>317</v>
      </c>
      <c r="G604" s="2815">
        <v>300</v>
      </c>
      <c r="H604" s="2816"/>
      <c r="I604" s="2817">
        <v>NaN</v>
      </c>
      <c r="J604" t="s">
        <v>293</v>
      </c>
      <c r="K604" t="s">
        <v>331</v>
      </c>
    </row>
    <row r="605">
      <c r="B605">
        <v>27</v>
      </c>
      <c r="C605" s="2818">
        <v>46202</v>
      </c>
      <c r="D605" t="s">
        <v>341</v>
      </c>
      <c r="E605" t="s">
        <v>330</v>
      </c>
      <c r="F605" t="s">
        <v>337</v>
      </c>
      <c r="G605" s="2819">
        <v>60</v>
      </c>
      <c r="H605" s="2820"/>
      <c r="I605" s="2821">
        <v>NaN</v>
      </c>
      <c r="J605" t="s">
        <v>293</v>
      </c>
      <c r="K605" t="s">
        <v>331</v>
      </c>
    </row>
    <row r="606">
      <c r="B606">
        <v>27</v>
      </c>
      <c r="C606" s="2822">
        <v>46202</v>
      </c>
      <c r="D606" t="s">
        <v>8</v>
      </c>
      <c r="E606" t="s">
        <v>330</v>
      </c>
      <c r="F606" t="s">
        <v>337</v>
      </c>
      <c r="G606" s="2823">
        <v>59</v>
      </c>
      <c r="H606" s="2824"/>
      <c r="I606" s="2825">
        <v>NaN</v>
      </c>
      <c r="J606" t="s">
        <v>293</v>
      </c>
      <c r="K606" t="s">
        <v>331</v>
      </c>
    </row>
    <row r="607">
      <c r="B607">
        <v>27</v>
      </c>
      <c r="C607" s="2826">
        <v>46202</v>
      </c>
      <c r="D607" t="s">
        <v>8</v>
      </c>
      <c r="E607" t="s">
        <v>330</v>
      </c>
      <c r="F607" t="s">
        <v>318</v>
      </c>
      <c r="G607" s="2827">
        <v>94</v>
      </c>
      <c r="H607" s="2828"/>
      <c r="I607" s="2829">
        <v>NaN</v>
      </c>
      <c r="J607" t="s">
        <v>293</v>
      </c>
      <c r="K607" t="s">
        <v>331</v>
      </c>
    </row>
    <row r="608">
      <c r="B608">
        <v>27</v>
      </c>
      <c r="C608" s="2830">
        <v>46202</v>
      </c>
      <c r="D608" t="s">
        <v>210</v>
      </c>
      <c r="E608" t="s">
        <v>330</v>
      </c>
      <c r="F608" t="s">
        <v>334</v>
      </c>
      <c r="G608" s="2831">
        <v>45</v>
      </c>
      <c r="H608" s="2832"/>
      <c r="I608" s="2833">
        <v>NaN</v>
      </c>
      <c r="J608" t="s">
        <v>293</v>
      </c>
      <c r="K608" t="s">
        <v>331</v>
      </c>
    </row>
    <row r="609">
      <c r="B609">
        <v>27</v>
      </c>
      <c r="C609" s="2834">
        <v>46203</v>
      </c>
      <c r="D609" t="s">
        <v>8</v>
      </c>
      <c r="E609" t="s">
        <v>330</v>
      </c>
      <c r="F609" t="s">
        <v>340</v>
      </c>
      <c r="G609" s="2835">
        <v>400</v>
      </c>
      <c r="H609" s="2836"/>
      <c r="I609" s="2837">
        <v>NaN</v>
      </c>
      <c r="J609" t="s">
        <v>293</v>
      </c>
      <c r="K609" t="s">
        <v>331</v>
      </c>
    </row>
    <row r="610">
      <c r="B610">
        <v>27</v>
      </c>
      <c r="C610" s="2838">
        <v>46203</v>
      </c>
      <c r="D610" t="s">
        <v>8</v>
      </c>
      <c r="E610" t="s">
        <v>330</v>
      </c>
      <c r="F610" t="s">
        <v>298</v>
      </c>
      <c r="G610" s="2839">
        <v>30</v>
      </c>
      <c r="H610" s="2840"/>
      <c r="I610" s="2841">
        <v>NaN</v>
      </c>
      <c r="J610" t="s">
        <v>293</v>
      </c>
      <c r="K610" t="s">
        <v>331</v>
      </c>
    </row>
    <row r="611">
      <c r="B611">
        <v>27</v>
      </c>
      <c r="C611" s="2842">
        <v>46203</v>
      </c>
      <c r="D611" t="s">
        <v>224</v>
      </c>
      <c r="E611" t="s">
        <v>330</v>
      </c>
      <c r="F611" t="s">
        <v>339</v>
      </c>
      <c r="G611" s="2843">
        <v>100</v>
      </c>
      <c r="H611" s="2844"/>
      <c r="I611" s="2845">
        <v>NaN</v>
      </c>
      <c r="J611" t="s">
        <v>293</v>
      </c>
      <c r="K611" t="s">
        <v>331</v>
      </c>
    </row>
    <row r="612">
      <c r="B612"/>
      <c r="C612" s="2846">
        <v>46203</v>
      </c>
      <c r="D612" t="s">
        <v>348</v>
      </c>
      <c r="E612" t="s">
        <v>330</v>
      </c>
      <c r="F612" t="s">
        <v>349</v>
      </c>
      <c r="G612" s="2847">
        <v>50</v>
      </c>
      <c r="H612" s="2848"/>
      <c r="I612" s="2849">
        <v>NaN</v>
      </c>
      <c r="J612" t="s">
        <v>293</v>
      </c>
      <c r="K612" t="s">
        <v>331</v>
      </c>
    </row>
    <row r="613">
      <c r="B613"/>
      <c r="C613" s="2850">
        <v>46203</v>
      </c>
      <c r="D613" t="s">
        <v>348</v>
      </c>
      <c r="E613" t="s">
        <v>330</v>
      </c>
      <c r="F613" t="s">
        <v>302</v>
      </c>
      <c r="G613" s="2851">
        <v>50</v>
      </c>
      <c r="H613" s="2852"/>
      <c r="I613" s="2853">
        <v>NaN</v>
      </c>
      <c r="J613" t="s">
        <v>293</v>
      </c>
      <c r="K613" t="s">
        <v>331</v>
      </c>
    </row>
    <row r="614">
      <c r="B614"/>
      <c r="C614" s="2854">
        <v>46203</v>
      </c>
      <c r="D614" t="s">
        <v>348</v>
      </c>
      <c r="E614" t="s">
        <v>330</v>
      </c>
      <c r="F614" t="s">
        <v>350</v>
      </c>
      <c r="G614" s="2855">
        <v>100</v>
      </c>
      <c r="H614" s="2856"/>
      <c r="I614" s="2857">
        <v>NaN</v>
      </c>
      <c r="J614" t="s">
        <v>293</v>
      </c>
      <c r="K614" t="s">
        <v>331</v>
      </c>
    </row>
    <row r="615">
      <c r="B615"/>
      <c r="C615" s="2858">
        <v>46203</v>
      </c>
      <c r="D615" t="s">
        <v>8</v>
      </c>
      <c r="E615" t="s">
        <v>330</v>
      </c>
      <c r="F615" t="s">
        <v>314</v>
      </c>
      <c r="G615" s="2859">
        <v>29</v>
      </c>
      <c r="H615" s="2860"/>
      <c r="I615" s="2861">
        <v>NaN</v>
      </c>
      <c r="J615" t="s">
        <v>293</v>
      </c>
      <c r="K615" t="s">
        <v>331</v>
      </c>
    </row>
    <row r="616">
      <c r="B616"/>
      <c r="C616" s="2862">
        <v>46204</v>
      </c>
      <c r="D616" t="s">
        <v>6</v>
      </c>
      <c r="E616" t="s">
        <v>330</v>
      </c>
      <c r="F616" t="s">
        <v>325</v>
      </c>
      <c r="G616" s="2863">
        <v>33</v>
      </c>
      <c r="H616" s="2864"/>
      <c r="I616" s="2865">
        <v>NaN</v>
      </c>
      <c r="J616" t="s">
        <v>293</v>
      </c>
      <c r="K616" t="s">
        <v>331</v>
      </c>
    </row>
    <row r="617">
      <c r="B617"/>
      <c r="C617" s="2866">
        <v>46204</v>
      </c>
      <c r="D617" t="s">
        <v>6</v>
      </c>
      <c r="E617" t="s">
        <v>330</v>
      </c>
      <c r="F617" t="s">
        <v>302</v>
      </c>
      <c r="G617" s="2867">
        <v>40</v>
      </c>
      <c r="H617" s="2868"/>
      <c r="I617" s="2869">
        <v>NaN</v>
      </c>
      <c r="J617" t="s">
        <v>293</v>
      </c>
      <c r="K617" t="s">
        <v>331</v>
      </c>
    </row>
    <row r="618">
      <c r="B618"/>
      <c r="C618" s="2870">
        <v>46204</v>
      </c>
      <c r="D618" t="s">
        <v>6</v>
      </c>
      <c r="E618" t="s">
        <v>330</v>
      </c>
      <c r="F618" t="s">
        <v>338</v>
      </c>
      <c r="G618" s="2871">
        <v>40</v>
      </c>
      <c r="H618" s="2872"/>
      <c r="I618" s="2873">
        <v>NaN</v>
      </c>
      <c r="J618" t="s">
        <v>293</v>
      </c>
      <c r="K618" t="s">
        <v>331</v>
      </c>
    </row>
    <row r="619">
      <c r="B619"/>
      <c r="C619" s="2874">
        <v>46204</v>
      </c>
      <c r="D619" t="s">
        <v>6</v>
      </c>
      <c r="E619" t="s">
        <v>330</v>
      </c>
      <c r="F619" t="s">
        <v>311</v>
      </c>
      <c r="G619" s="2875">
        <v>40</v>
      </c>
      <c r="H619" s="2876"/>
      <c r="I619" s="2877">
        <v>NaN</v>
      </c>
      <c r="J619" t="s">
        <v>293</v>
      </c>
      <c r="K619" t="s">
        <v>331</v>
      </c>
    </row>
    <row r="620">
      <c r="B620"/>
      <c r="C620" s="2878">
        <v>46204</v>
      </c>
      <c r="D620" t="s">
        <v>6</v>
      </c>
      <c r="E620" t="s">
        <v>330</v>
      </c>
      <c r="F620" t="s">
        <v>345</v>
      </c>
      <c r="G620" s="2879">
        <v>120</v>
      </c>
      <c r="H620" s="2880"/>
      <c r="I620" s="2881">
        <v>NaN</v>
      </c>
      <c r="J620" t="s">
        <v>293</v>
      </c>
      <c r="K620" t="s">
        <v>331</v>
      </c>
    </row>
    <row r="621">
      <c r="B621"/>
      <c r="C621" s="2882">
        <v>46181</v>
      </c>
      <c r="D621" t="s">
        <v>332</v>
      </c>
      <c r="E621" t="s">
        <v>351</v>
      </c>
      <c r="F621" t="s">
        <v>352</v>
      </c>
      <c r="G621" t="s" s="2883">
        <v>210</v>
      </c>
      <c r="H621" s="2884">
        <v>27</v>
      </c>
      <c r="I621" s="2885">
        <v>NaN</v>
      </c>
      <c r="J621" t="s">
        <v>293</v>
      </c>
      <c r="K621" t="s">
        <v>353</v>
      </c>
    </row>
    <row r="622">
      <c r="B622"/>
      <c r="C622" s="2886">
        <v>46181</v>
      </c>
      <c r="D622" t="s">
        <v>332</v>
      </c>
      <c r="E622" t="s">
        <v>351</v>
      </c>
      <c r="F622" t="s">
        <v>352</v>
      </c>
      <c r="G622" t="s" s="2887">
        <v>214</v>
      </c>
      <c r="H622" s="2888">
        <v>27</v>
      </c>
      <c r="I622" s="2889">
        <v>NaN</v>
      </c>
      <c r="J622" t="s">
        <v>293</v>
      </c>
      <c r="K622" t="s">
        <v>353</v>
      </c>
    </row>
    <row r="623">
      <c r="B623"/>
      <c r="C623" s="2890">
        <v>46181</v>
      </c>
      <c r="D623" t="s">
        <v>332</v>
      </c>
      <c r="E623" t="s">
        <v>351</v>
      </c>
      <c r="F623" t="s">
        <v>352</v>
      </c>
      <c r="G623" t="s" s="2891">
        <v>214</v>
      </c>
      <c r="H623" s="2892">
        <v>27</v>
      </c>
      <c r="I623" s="2893">
        <v>NaN</v>
      </c>
      <c r="J623" t="s">
        <v>293</v>
      </c>
      <c r="K623" t="s">
        <v>353</v>
      </c>
    </row>
    <row r="624">
      <c r="B624"/>
      <c r="C624" s="2894">
        <v>46181</v>
      </c>
      <c r="D624" t="s">
        <v>332</v>
      </c>
      <c r="E624" t="s">
        <v>351</v>
      </c>
      <c r="F624" t="s">
        <v>352</v>
      </c>
      <c r="G624" t="s" s="2895">
        <v>210</v>
      </c>
      <c r="H624" s="2896">
        <v>27</v>
      </c>
      <c r="I624" s="2897">
        <v>NaN</v>
      </c>
      <c r="J624" t="s">
        <v>293</v>
      </c>
      <c r="K624" t="s">
        <v>353</v>
      </c>
    </row>
    <row r="625">
      <c r="B625"/>
      <c r="C625" s="2898">
        <v>46182</v>
      </c>
      <c r="D625" t="s">
        <v>332</v>
      </c>
      <c r="E625" t="s">
        <v>351</v>
      </c>
      <c r="F625" t="s">
        <v>354</v>
      </c>
      <c r="G625" t="s" s="2899">
        <v>8</v>
      </c>
      <c r="H625" s="2900">
        <v>27</v>
      </c>
      <c r="I625" s="2901">
        <v>NaN</v>
      </c>
      <c r="J625" t="s">
        <v>293</v>
      </c>
      <c r="K625" t="s">
        <v>353</v>
      </c>
    </row>
    <row r="626">
      <c r="B626"/>
      <c r="C626" s="2902">
        <v>46182</v>
      </c>
      <c r="D626" t="s">
        <v>332</v>
      </c>
      <c r="E626" t="s">
        <v>351</v>
      </c>
      <c r="F626" t="s">
        <v>355</v>
      </c>
      <c r="G626" t="s" s="2903">
        <v>8</v>
      </c>
      <c r="H626" s="2904">
        <v>27</v>
      </c>
      <c r="I626" s="2905">
        <v>NaN</v>
      </c>
      <c r="J626" t="s">
        <v>293</v>
      </c>
      <c r="K626" t="s">
        <v>353</v>
      </c>
    </row>
    <row r="627">
      <c r="B627"/>
      <c r="C627" s="2906">
        <v>46182</v>
      </c>
      <c r="D627" t="s">
        <v>332</v>
      </c>
      <c r="E627" t="s">
        <v>351</v>
      </c>
      <c r="F627" t="s">
        <v>356</v>
      </c>
      <c r="G627" t="s" s="2907">
        <v>8</v>
      </c>
      <c r="H627" s="2908">
        <v>27</v>
      </c>
      <c r="I627" s="2909">
        <v>NaN</v>
      </c>
      <c r="J627" t="s">
        <v>293</v>
      </c>
      <c r="K627" t="s">
        <v>353</v>
      </c>
    </row>
    <row r="628">
      <c r="B628"/>
      <c r="C628" s="2910">
        <v>46183</v>
      </c>
      <c r="D628" t="s">
        <v>332</v>
      </c>
      <c r="E628" t="s">
        <v>351</v>
      </c>
      <c r="F628" t="s">
        <v>352</v>
      </c>
      <c r="G628" t="s" s="2911">
        <v>210</v>
      </c>
      <c r="H628" s="2912">
        <v>27</v>
      </c>
      <c r="I628" s="2913">
        <v>NaN</v>
      </c>
      <c r="J628" t="s">
        <v>293</v>
      </c>
      <c r="K628" t="s">
        <v>353</v>
      </c>
    </row>
    <row r="629">
      <c r="B629"/>
      <c r="C629" s="2914">
        <v>46184</v>
      </c>
      <c r="D629" t="s">
        <v>332</v>
      </c>
      <c r="E629" t="s">
        <v>351</v>
      </c>
      <c r="F629" t="s">
        <v>357</v>
      </c>
      <c r="G629" t="s" s="2915">
        <v>214</v>
      </c>
      <c r="H629" s="2916">
        <v>27</v>
      </c>
      <c r="I629" s="2917">
        <v>NaN</v>
      </c>
      <c r="J629" t="s">
        <v>293</v>
      </c>
      <c r="K629" t="s">
        <v>353</v>
      </c>
    </row>
    <row r="630">
      <c r="B630"/>
      <c r="C630" s="2918">
        <v>46184</v>
      </c>
      <c r="D630" t="s">
        <v>332</v>
      </c>
      <c r="E630" t="s">
        <v>351</v>
      </c>
      <c r="F630" t="s">
        <v>356</v>
      </c>
      <c r="G630" t="s" s="2919">
        <v>8</v>
      </c>
      <c r="H630" s="2920">
        <v>27</v>
      </c>
      <c r="I630" s="2921">
        <v>NaN</v>
      </c>
      <c r="J630" t="s">
        <v>293</v>
      </c>
      <c r="K630" t="s">
        <v>353</v>
      </c>
    </row>
    <row r="631">
      <c r="B631"/>
      <c r="C631" s="2922">
        <v>46184</v>
      </c>
      <c r="D631" t="s">
        <v>332</v>
      </c>
      <c r="E631" t="s">
        <v>351</v>
      </c>
      <c r="F631" t="s">
        <v>358</v>
      </c>
      <c r="G631" t="s" s="2923">
        <v>8</v>
      </c>
      <c r="H631" s="2924">
        <v>27</v>
      </c>
      <c r="I631" s="2925">
        <v>NaN</v>
      </c>
      <c r="J631" t="s">
        <v>293</v>
      </c>
      <c r="K631" t="s">
        <v>353</v>
      </c>
    </row>
    <row r="632">
      <c r="B632"/>
      <c r="C632" s="2926">
        <v>46184</v>
      </c>
      <c r="D632" t="s">
        <v>332</v>
      </c>
      <c r="E632" t="s">
        <v>351</v>
      </c>
      <c r="F632" t="s">
        <v>354</v>
      </c>
      <c r="G632" t="s" s="2927">
        <v>8</v>
      </c>
      <c r="H632" s="2928">
        <v>27</v>
      </c>
      <c r="I632" s="2929">
        <v>NaN</v>
      </c>
      <c r="J632" t="s">
        <v>293</v>
      </c>
      <c r="K632" t="s">
        <v>353</v>
      </c>
    </row>
    <row r="633">
      <c r="B633"/>
      <c r="C633" s="2930">
        <v>46184</v>
      </c>
      <c r="D633" t="s">
        <v>332</v>
      </c>
      <c r="E633" t="s">
        <v>351</v>
      </c>
      <c r="F633" t="s">
        <v>359</v>
      </c>
      <c r="G633" t="s" s="2931">
        <v>8</v>
      </c>
      <c r="H633" s="2932">
        <v>27</v>
      </c>
      <c r="I633" s="2933">
        <v>NaN</v>
      </c>
      <c r="J633" t="s">
        <v>293</v>
      </c>
      <c r="K633" t="s">
        <v>353</v>
      </c>
    </row>
    <row r="634">
      <c r="B634"/>
      <c r="C634" s="2934">
        <v>46184</v>
      </c>
      <c r="D634" t="s">
        <v>332</v>
      </c>
      <c r="E634" t="s">
        <v>351</v>
      </c>
      <c r="F634" t="s">
        <v>360</v>
      </c>
      <c r="G634" t="s" s="2935">
        <v>8</v>
      </c>
      <c r="H634" s="2936">
        <v>27</v>
      </c>
      <c r="I634" s="2937">
        <v>NaN</v>
      </c>
      <c r="J634" t="s">
        <v>293</v>
      </c>
      <c r="K634" t="s">
        <v>353</v>
      </c>
    </row>
    <row r="635">
      <c r="B635"/>
      <c r="C635" s="2938">
        <v>46184</v>
      </c>
      <c r="D635" t="s">
        <v>332</v>
      </c>
      <c r="E635" t="s">
        <v>351</v>
      </c>
      <c r="F635" t="s">
        <v>355</v>
      </c>
      <c r="G635" t="s" s="2939">
        <v>8</v>
      </c>
      <c r="H635" s="2940">
        <v>27</v>
      </c>
      <c r="I635" s="2941">
        <v>NaN</v>
      </c>
      <c r="J635" t="s">
        <v>293</v>
      </c>
      <c r="K635" t="s">
        <v>353</v>
      </c>
    </row>
    <row r="636">
      <c r="B636"/>
      <c r="C636" s="2942">
        <v>46184</v>
      </c>
      <c r="D636" t="s">
        <v>332</v>
      </c>
      <c r="E636" t="s">
        <v>351</v>
      </c>
      <c r="F636" t="s">
        <v>355</v>
      </c>
      <c r="G636" t="s" s="2943">
        <v>8</v>
      </c>
      <c r="H636" s="2944">
        <v>27</v>
      </c>
      <c r="I636" s="2945">
        <v>NaN</v>
      </c>
      <c r="J636" t="s">
        <v>293</v>
      </c>
      <c r="K636" t="s">
        <v>353</v>
      </c>
    </row>
    <row r="637">
      <c r="B637"/>
      <c r="C637" s="2946">
        <v>46184</v>
      </c>
      <c r="D637" t="s">
        <v>332</v>
      </c>
      <c r="E637" t="s">
        <v>351</v>
      </c>
      <c r="F637" t="s">
        <v>361</v>
      </c>
      <c r="G637" t="s" s="2947">
        <v>8</v>
      </c>
      <c r="H637" s="2948">
        <v>27</v>
      </c>
      <c r="I637" s="2949">
        <v>NaN</v>
      </c>
      <c r="J637" t="s">
        <v>293</v>
      </c>
      <c r="K637" t="s">
        <v>353</v>
      </c>
    </row>
    <row r="638">
      <c r="B638"/>
      <c r="C638" s="2950">
        <v>46185</v>
      </c>
      <c r="D638" t="s">
        <v>332</v>
      </c>
      <c r="E638" t="s">
        <v>351</v>
      </c>
      <c r="F638" t="s">
        <v>362</v>
      </c>
      <c r="G638" t="s" s="2951">
        <v>210</v>
      </c>
      <c r="H638" s="2952">
        <v>27</v>
      </c>
      <c r="I638" s="2953">
        <v>NaN</v>
      </c>
      <c r="J638" t="s">
        <v>293</v>
      </c>
      <c r="K638" t="s">
        <v>353</v>
      </c>
    </row>
    <row r="639">
      <c r="B639"/>
      <c r="C639" s="2954">
        <v>46188</v>
      </c>
      <c r="D639" t="s">
        <v>332</v>
      </c>
      <c r="E639" t="s">
        <v>351</v>
      </c>
      <c r="F639" t="s">
        <v>363</v>
      </c>
      <c r="G639" t="s" s="2955">
        <v>210</v>
      </c>
      <c r="H639" s="2956">
        <v>27</v>
      </c>
      <c r="I639" s="2957">
        <v>NaN</v>
      </c>
      <c r="J639" t="s">
        <v>293</v>
      </c>
      <c r="K639" t="s">
        <v>353</v>
      </c>
    </row>
    <row r="640">
      <c r="B640"/>
      <c r="C640" s="2958">
        <v>46188</v>
      </c>
      <c r="D640" t="s">
        <v>332</v>
      </c>
      <c r="E640" t="s">
        <v>351</v>
      </c>
      <c r="F640" t="s">
        <v>364</v>
      </c>
      <c r="G640" t="s" s="2959">
        <v>8</v>
      </c>
      <c r="H640" s="2960">
        <v>27</v>
      </c>
      <c r="I640" s="2961">
        <v>NaN</v>
      </c>
      <c r="J640" t="s">
        <v>293</v>
      </c>
      <c r="K640" t="s">
        <v>353</v>
      </c>
    </row>
    <row r="641">
      <c r="B641"/>
      <c r="C641" s="2962">
        <v>46188</v>
      </c>
      <c r="D641" t="s">
        <v>332</v>
      </c>
      <c r="E641" t="s">
        <v>351</v>
      </c>
      <c r="F641" t="s">
        <v>365</v>
      </c>
      <c r="G641" t="s" s="2963">
        <v>214</v>
      </c>
      <c r="H641" s="2964">
        <v>27</v>
      </c>
      <c r="I641" s="2965">
        <v>NaN</v>
      </c>
      <c r="J641" t="s">
        <v>293</v>
      </c>
      <c r="K641" t="s">
        <v>353</v>
      </c>
    </row>
    <row r="642">
      <c r="B642"/>
      <c r="C642" s="2966">
        <v>46188</v>
      </c>
      <c r="D642" t="s">
        <v>332</v>
      </c>
      <c r="E642" t="s">
        <v>351</v>
      </c>
      <c r="F642" t="s">
        <v>366</v>
      </c>
      <c r="G642" t="s" s="2967">
        <v>210</v>
      </c>
      <c r="H642" s="2968">
        <v>27</v>
      </c>
      <c r="I642" s="2969">
        <v>NaN</v>
      </c>
      <c r="J642" t="s">
        <v>293</v>
      </c>
      <c r="K642" t="s">
        <v>353</v>
      </c>
    </row>
    <row r="643">
      <c r="B643"/>
      <c r="C643" s="2970">
        <v>46188</v>
      </c>
      <c r="D643" t="s">
        <v>332</v>
      </c>
      <c r="E643" t="s">
        <v>351</v>
      </c>
      <c r="F643" t="s">
        <v>367</v>
      </c>
      <c r="G643" t="s" s="2971">
        <v>8</v>
      </c>
      <c r="H643" s="2972">
        <v>27</v>
      </c>
      <c r="I643" s="2973">
        <v>NaN</v>
      </c>
      <c r="J643" t="s">
        <v>293</v>
      </c>
      <c r="K643" t="s">
        <v>353</v>
      </c>
    </row>
    <row r="644">
      <c r="B644"/>
      <c r="C644" s="2974">
        <v>46188</v>
      </c>
      <c r="D644" t="s">
        <v>332</v>
      </c>
      <c r="E644" t="s">
        <v>351</v>
      </c>
      <c r="F644" t="s">
        <v>368</v>
      </c>
      <c r="G644" t="s" s="2975">
        <v>8</v>
      </c>
      <c r="H644" s="2976">
        <v>27</v>
      </c>
      <c r="I644" s="2977">
        <v>NaN</v>
      </c>
      <c r="J644" t="s">
        <v>293</v>
      </c>
      <c r="K644" t="s">
        <v>353</v>
      </c>
    </row>
    <row r="645">
      <c r="B645"/>
      <c r="C645" s="2978">
        <v>46188</v>
      </c>
      <c r="D645" t="s">
        <v>332</v>
      </c>
      <c r="E645" t="s">
        <v>351</v>
      </c>
      <c r="F645" t="s">
        <v>369</v>
      </c>
      <c r="G645" t="s" s="2979">
        <v>8</v>
      </c>
      <c r="H645" s="2980">
        <v>27</v>
      </c>
      <c r="I645" s="2981">
        <v>NaN</v>
      </c>
      <c r="J645" t="s">
        <v>293</v>
      </c>
      <c r="K645" t="s">
        <v>353</v>
      </c>
    </row>
    <row r="646">
      <c r="B646"/>
      <c r="C646" s="2982">
        <v>46188</v>
      </c>
      <c r="D646" t="s">
        <v>332</v>
      </c>
      <c r="E646" t="s">
        <v>351</v>
      </c>
      <c r="F646" t="s">
        <v>370</v>
      </c>
      <c r="G646" t="s" s="2983">
        <v>8</v>
      </c>
      <c r="H646" s="2984">
        <v>27</v>
      </c>
      <c r="I646" s="2985">
        <v>NaN</v>
      </c>
      <c r="J646" t="s">
        <v>293</v>
      </c>
      <c r="K646" t="s">
        <v>353</v>
      </c>
    </row>
    <row r="647">
      <c r="B647"/>
      <c r="C647" s="2986">
        <v>46189</v>
      </c>
      <c r="D647" t="s">
        <v>332</v>
      </c>
      <c r="E647" t="s">
        <v>351</v>
      </c>
      <c r="F647" t="s">
        <v>371</v>
      </c>
      <c r="G647" t="s" s="2987">
        <v>8</v>
      </c>
      <c r="H647" s="2988">
        <v>27</v>
      </c>
      <c r="I647" s="2989">
        <v>NaN</v>
      </c>
      <c r="J647" t="s">
        <v>293</v>
      </c>
      <c r="K647" t="s">
        <v>353</v>
      </c>
    </row>
    <row r="648">
      <c r="B648"/>
      <c r="C648" s="2990">
        <v>46189</v>
      </c>
      <c r="D648" t="s">
        <v>332</v>
      </c>
      <c r="E648" t="s">
        <v>351</v>
      </c>
      <c r="F648" t="s">
        <v>372</v>
      </c>
      <c r="G648" t="s" s="2991">
        <v>214</v>
      </c>
      <c r="H648" s="2992">
        <v>27</v>
      </c>
      <c r="I648" s="2993">
        <v>NaN</v>
      </c>
      <c r="J648" t="s">
        <v>293</v>
      </c>
      <c r="K648" t="s">
        <v>353</v>
      </c>
    </row>
    <row r="649">
      <c r="B649"/>
      <c r="C649" s="2994">
        <v>46189</v>
      </c>
      <c r="D649" t="s">
        <v>332</v>
      </c>
      <c r="E649" t="s">
        <v>351</v>
      </c>
      <c r="F649" t="s">
        <v>363</v>
      </c>
      <c r="G649" t="s" s="2995">
        <v>214</v>
      </c>
      <c r="H649" s="2996">
        <v>27</v>
      </c>
      <c r="I649" s="2997">
        <v>NaN</v>
      </c>
      <c r="J649" t="s">
        <v>293</v>
      </c>
      <c r="K649" t="s">
        <v>353</v>
      </c>
    </row>
    <row r="650">
      <c r="B650"/>
      <c r="C650" s="2998">
        <v>46189</v>
      </c>
      <c r="D650" t="s">
        <v>332</v>
      </c>
      <c r="E650" t="s">
        <v>351</v>
      </c>
      <c r="F650" t="s">
        <v>373</v>
      </c>
      <c r="G650" t="s" s="2999">
        <v>8</v>
      </c>
      <c r="H650" s="3000">
        <v>27</v>
      </c>
      <c r="I650" s="3001">
        <v>NaN</v>
      </c>
      <c r="J650" t="s">
        <v>293</v>
      </c>
      <c r="K650" t="s">
        <v>353</v>
      </c>
    </row>
    <row r="651">
      <c r="B651"/>
      <c r="C651" s="3002">
        <v>46189</v>
      </c>
      <c r="D651" t="s">
        <v>332</v>
      </c>
      <c r="E651" t="s">
        <v>351</v>
      </c>
      <c r="F651" t="s">
        <v>373</v>
      </c>
      <c r="G651" t="s" s="3003">
        <v>210</v>
      </c>
      <c r="H651" s="3004">
        <v>27</v>
      </c>
      <c r="I651" s="3005">
        <v>NaN</v>
      </c>
      <c r="J651" t="s">
        <v>293</v>
      </c>
      <c r="K651" t="s">
        <v>353</v>
      </c>
    </row>
    <row r="652">
      <c r="B652"/>
      <c r="C652" s="3006">
        <v>46189</v>
      </c>
      <c r="D652" t="s">
        <v>332</v>
      </c>
      <c r="E652" t="s">
        <v>351</v>
      </c>
      <c r="F652" t="s">
        <v>371</v>
      </c>
      <c r="G652" t="s" s="3007">
        <v>8</v>
      </c>
      <c r="H652" s="3008">
        <v>27</v>
      </c>
      <c r="I652" s="3009">
        <v>NaN</v>
      </c>
      <c r="J652" t="s">
        <v>293</v>
      </c>
      <c r="K652" t="s">
        <v>353</v>
      </c>
    </row>
    <row r="653">
      <c r="B653"/>
      <c r="C653" s="3010">
        <v>46189</v>
      </c>
      <c r="D653" t="s">
        <v>332</v>
      </c>
      <c r="E653" t="s">
        <v>351</v>
      </c>
      <c r="F653" t="s">
        <v>374</v>
      </c>
      <c r="G653" t="s" s="3011">
        <v>8</v>
      </c>
      <c r="H653" s="3012">
        <v>27</v>
      </c>
      <c r="I653" s="3013">
        <v>NaN</v>
      </c>
      <c r="J653" t="s">
        <v>293</v>
      </c>
      <c r="K653" t="s">
        <v>353</v>
      </c>
    </row>
    <row r="654">
      <c r="B654"/>
      <c r="C654" s="3014">
        <v>46190</v>
      </c>
      <c r="D654" t="s">
        <v>332</v>
      </c>
      <c r="E654" t="s">
        <v>351</v>
      </c>
      <c r="F654" t="s">
        <v>375</v>
      </c>
      <c r="G654" t="s" s="3015">
        <v>8</v>
      </c>
      <c r="H654" s="3016">
        <v>27</v>
      </c>
      <c r="I654" s="3017">
        <v>NaN</v>
      </c>
      <c r="J654" t="s">
        <v>293</v>
      </c>
      <c r="K654" t="s">
        <v>353</v>
      </c>
    </row>
    <row r="655">
      <c r="B655"/>
      <c r="C655" s="3018">
        <v>46192</v>
      </c>
      <c r="D655" t="s">
        <v>332</v>
      </c>
      <c r="E655" t="s">
        <v>351</v>
      </c>
      <c r="F655" t="s">
        <v>367</v>
      </c>
      <c r="G655" t="s" s="3019">
        <v>8</v>
      </c>
      <c r="H655" s="3020">
        <v>27</v>
      </c>
      <c r="I655" s="3021">
        <v>NaN</v>
      </c>
      <c r="J655" t="s">
        <v>293</v>
      </c>
      <c r="K655" t="s">
        <v>353</v>
      </c>
    </row>
    <row r="656">
      <c r="B656"/>
      <c r="C656" s="3022">
        <v>46192</v>
      </c>
      <c r="D656" t="s">
        <v>332</v>
      </c>
      <c r="E656" t="s">
        <v>351</v>
      </c>
      <c r="F656" t="s">
        <v>367</v>
      </c>
      <c r="G656" t="s" s="3023">
        <v>341</v>
      </c>
      <c r="H656" s="3024">
        <v>27</v>
      </c>
      <c r="I656" s="3025">
        <v>NaN</v>
      </c>
      <c r="J656" t="s">
        <v>293</v>
      </c>
      <c r="K656" t="s">
        <v>353</v>
      </c>
    </row>
    <row r="657">
      <c r="B657"/>
      <c r="C657" s="3026">
        <v>46192</v>
      </c>
      <c r="D657" t="s">
        <v>332</v>
      </c>
      <c r="E657" t="s">
        <v>351</v>
      </c>
      <c r="F657" t="s">
        <v>368</v>
      </c>
      <c r="G657" t="s" s="3027">
        <v>8</v>
      </c>
      <c r="H657" s="3028">
        <v>27</v>
      </c>
      <c r="I657" s="3029">
        <v>NaN</v>
      </c>
      <c r="J657" t="s">
        <v>293</v>
      </c>
      <c r="K657" t="s">
        <v>353</v>
      </c>
    </row>
    <row r="658">
      <c r="B658"/>
      <c r="C658" s="3030">
        <v>46192</v>
      </c>
      <c r="D658" t="s">
        <v>332</v>
      </c>
      <c r="E658" t="s">
        <v>351</v>
      </c>
      <c r="F658" t="s">
        <v>364</v>
      </c>
      <c r="G658" t="s" s="3031">
        <v>8</v>
      </c>
      <c r="H658" s="3032">
        <v>27</v>
      </c>
      <c r="I658" s="3033">
        <v>NaN</v>
      </c>
      <c r="J658" t="s">
        <v>293</v>
      </c>
      <c r="K658" t="s">
        <v>353</v>
      </c>
    </row>
    <row r="659">
      <c r="B659"/>
      <c r="C659" s="3034">
        <v>46192</v>
      </c>
      <c r="D659" t="s">
        <v>332</v>
      </c>
      <c r="E659" t="s">
        <v>351</v>
      </c>
      <c r="F659" t="s">
        <v>370</v>
      </c>
      <c r="G659" t="s" s="3035">
        <v>8</v>
      </c>
      <c r="H659" s="3036">
        <v>27</v>
      </c>
      <c r="I659" s="3037">
        <v>NaN</v>
      </c>
      <c r="J659" t="s">
        <v>293</v>
      </c>
      <c r="K659" t="s">
        <v>353</v>
      </c>
    </row>
    <row r="660">
      <c r="B660"/>
      <c r="C660" s="3038">
        <v>46192</v>
      </c>
      <c r="D660" t="s">
        <v>332</v>
      </c>
      <c r="E660" t="s">
        <v>351</v>
      </c>
      <c r="F660" t="s">
        <v>376</v>
      </c>
      <c r="G660" t="s" s="3039">
        <v>8</v>
      </c>
      <c r="H660" s="3040">
        <v>27</v>
      </c>
      <c r="I660" s="3041">
        <v>NaN</v>
      </c>
      <c r="J660" t="s">
        <v>293</v>
      </c>
      <c r="K660" t="s">
        <v>353</v>
      </c>
    </row>
    <row r="661">
      <c r="B661"/>
      <c r="C661" s="3042">
        <v>46192</v>
      </c>
      <c r="D661" t="s">
        <v>332</v>
      </c>
      <c r="E661" t="s">
        <v>351</v>
      </c>
      <c r="F661" t="s">
        <v>374</v>
      </c>
      <c r="G661" t="s" s="3043">
        <v>8</v>
      </c>
      <c r="H661" s="3044">
        <v>27</v>
      </c>
      <c r="I661" s="3045">
        <v>NaN</v>
      </c>
      <c r="J661" t="s">
        <v>293</v>
      </c>
      <c r="K661" t="s">
        <v>353</v>
      </c>
    </row>
    <row r="662">
      <c r="B662"/>
      <c r="C662" s="3046">
        <v>46192</v>
      </c>
      <c r="D662" t="s">
        <v>332</v>
      </c>
      <c r="E662" t="s">
        <v>351</v>
      </c>
      <c r="F662" t="s">
        <v>371</v>
      </c>
      <c r="G662" t="s" s="3047">
        <v>8</v>
      </c>
      <c r="H662" s="3048">
        <v>27</v>
      </c>
      <c r="I662" s="3049">
        <v>NaN</v>
      </c>
      <c r="J662" t="s">
        <v>293</v>
      </c>
      <c r="K662" t="s">
        <v>353</v>
      </c>
    </row>
    <row r="663">
      <c r="B663"/>
      <c r="C663" s="3050">
        <v>46192</v>
      </c>
      <c r="D663" t="s">
        <v>332</v>
      </c>
      <c r="E663" t="s">
        <v>351</v>
      </c>
      <c r="F663" t="s">
        <v>377</v>
      </c>
      <c r="G663" t="s" s="3051">
        <v>210</v>
      </c>
      <c r="H663" s="3052">
        <v>27</v>
      </c>
      <c r="I663" s="3053">
        <v>NaN</v>
      </c>
      <c r="J663" t="s">
        <v>293</v>
      </c>
      <c r="K663" t="s">
        <v>353</v>
      </c>
    </row>
    <row r="664">
      <c r="B664"/>
      <c r="C664" s="3054">
        <v>46193</v>
      </c>
      <c r="D664" t="s">
        <v>332</v>
      </c>
      <c r="E664" t="s">
        <v>351</v>
      </c>
      <c r="F664" t="s">
        <v>363</v>
      </c>
      <c r="G664" t="s" s="3055">
        <v>210</v>
      </c>
      <c r="H664" s="3056">
        <v>27</v>
      </c>
      <c r="I664" s="3057">
        <v>NaN</v>
      </c>
      <c r="J664" t="s">
        <v>293</v>
      </c>
      <c r="K664" t="s">
        <v>353</v>
      </c>
    </row>
    <row r="665">
      <c r="B665"/>
      <c r="C665" s="3058">
        <v>46193</v>
      </c>
      <c r="D665" t="s">
        <v>332</v>
      </c>
      <c r="E665" t="s">
        <v>351</v>
      </c>
      <c r="F665" t="s">
        <v>363</v>
      </c>
      <c r="G665" t="s" s="3059">
        <v>214</v>
      </c>
      <c r="H665" s="3060">
        <v>27</v>
      </c>
      <c r="I665" s="3061">
        <v>NaN</v>
      </c>
      <c r="J665" t="s">
        <v>293</v>
      </c>
      <c r="K665" t="s">
        <v>353</v>
      </c>
    </row>
    <row r="666">
      <c r="B666"/>
      <c r="C666" s="3062">
        <v>46188</v>
      </c>
      <c r="D666" t="s">
        <v>332</v>
      </c>
      <c r="E666" t="s">
        <v>351</v>
      </c>
      <c r="F666" t="s">
        <v>378</v>
      </c>
      <c r="G666" t="s" s="3063">
        <v>210</v>
      </c>
      <c r="H666" s="3064">
        <v>27</v>
      </c>
      <c r="I666" s="3065">
        <v>NaN</v>
      </c>
      <c r="J666" t="s">
        <v>293</v>
      </c>
      <c r="K666" t="s">
        <v>353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94F695-8EA8-46BF-9D5B-CB9799FA2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Dashboard</vt:lpstr>
      <vt:lpstr>Dashboard_Ejecutivo</vt:lpstr>
      <vt:lpstr>Captura_Pegaso</vt:lpstr>
      <vt:lpstr>Captura_Marimba_M01</vt:lpstr>
      <vt:lpstr>Solicitudes</vt:lpstr>
      <vt:lpstr>Captura_Obra</vt:lpstr>
      <vt:lpstr>Conciliacion</vt:lpstr>
      <vt:lpstr>Catalogos</vt:lpstr>
      <vt:lpstr>Formatos_Fisicos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Jaramillo Rangel</dc:creator>
  <cp:lastModifiedBy>Jesus Jaramillo</cp:lastModifiedBy>
  <dcterms:created xsi:type="dcterms:W3CDTF">2026-06-08T23:01:45Z</dcterms:created>
  <dcterms:modified xsi:type="dcterms:W3CDTF">2026-06-17T21:01:25Z</dcterms:modified>
</cp:coreProperties>
</file>