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 IBAÑEZ\Downloads\"/>
    </mc:Choice>
  </mc:AlternateContent>
  <xr:revisionPtr revIDLastSave="0" documentId="8_{D28FBBA5-C7BC-40C6-9E69-90E8E0B19EBF}" xr6:coauthVersionLast="47" xr6:coauthVersionMax="47" xr10:uidLastSave="{00000000-0000-0000-0000-000000000000}"/>
  <bookViews>
    <workbookView xWindow="-108" yWindow="-108" windowWidth="23256" windowHeight="12456" xr2:uid="{7442850B-82B4-4CDE-928D-9AFC07A8D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0" i="1"/>
  <c r="J9" i="1"/>
</calcChain>
</file>

<file path=xl/sharedStrings.xml><?xml version="1.0" encoding="utf-8"?>
<sst xmlns="http://schemas.openxmlformats.org/spreadsheetml/2006/main" count="125" uniqueCount="56">
  <si>
    <t>SEMANA No:</t>
  </si>
  <si>
    <t>JDJ EQUIPO Y CONSTRUCCIONES SA DE CV.</t>
  </si>
  <si>
    <t>REPORTE SEMANAL DE DIESEL</t>
  </si>
  <si>
    <t>CENTRO DE TRABAJO:</t>
  </si>
  <si>
    <t>PERIODO:</t>
  </si>
  <si>
    <t xml:space="preserve">FECHA </t>
  </si>
  <si>
    <t xml:space="preserve">SEMANA </t>
  </si>
  <si>
    <t>CENTRO DE OBRA</t>
  </si>
  <si>
    <t xml:space="preserve">LTS SOLICITADOS </t>
  </si>
  <si>
    <t xml:space="preserve">LTS SURTIDOS </t>
  </si>
  <si>
    <t xml:space="preserve">MAQUINA </t>
  </si>
  <si>
    <t xml:space="preserve">NOMBRE DEL OPERADOR </t>
  </si>
  <si>
    <t>HOROMETRO</t>
  </si>
  <si>
    <t>CUENTA LITROS</t>
  </si>
  <si>
    <t>TOTAL</t>
  </si>
  <si>
    <t>LTS ENTREGADOS</t>
  </si>
  <si>
    <t xml:space="preserve">LTS HASTA EL MOMENTO </t>
  </si>
  <si>
    <t xml:space="preserve">BACHEO TOLUCA </t>
  </si>
  <si>
    <t xml:space="preserve">100LTS </t>
  </si>
  <si>
    <t xml:space="preserve">BIDONES </t>
  </si>
  <si>
    <t xml:space="preserve">TOMAS ARANDA </t>
  </si>
  <si>
    <t>N/A</t>
  </si>
  <si>
    <t xml:space="preserve">PLANTA PEGASO </t>
  </si>
  <si>
    <t>200LTS</t>
  </si>
  <si>
    <t xml:space="preserve">BDIONES </t>
  </si>
  <si>
    <t xml:space="preserve">JONATHAN </t>
  </si>
  <si>
    <t>209LTS</t>
  </si>
  <si>
    <t>80LTS</t>
  </si>
  <si>
    <t xml:space="preserve">LERMA-TENANGO </t>
  </si>
  <si>
    <t>50LTS</t>
  </si>
  <si>
    <t>RETRO 310K</t>
  </si>
  <si>
    <t xml:space="preserve">FRANCISCO </t>
  </si>
  <si>
    <t>70LTS</t>
  </si>
  <si>
    <t xml:space="preserve">JOSE MANUEL </t>
  </si>
  <si>
    <t xml:space="preserve">PETROLIZADORA </t>
  </si>
  <si>
    <t xml:space="preserve">FRANCISCO GOMORA </t>
  </si>
  <si>
    <t>60LTS</t>
  </si>
  <si>
    <t>100LTS</t>
  </si>
  <si>
    <t>40LTS</t>
  </si>
  <si>
    <t>NEUMATICO DYNAPAC</t>
  </si>
  <si>
    <t xml:space="preserve"> MARCO ESTRADA </t>
  </si>
  <si>
    <t>DOBLE RODILLO CAT</t>
  </si>
  <si>
    <t xml:space="preserve">LLENO </t>
  </si>
  <si>
    <t>238LTS</t>
  </si>
  <si>
    <t xml:space="preserve">PAYLODER </t>
  </si>
  <si>
    <t xml:space="preserve">JOSE ALVAREZ </t>
  </si>
  <si>
    <t xml:space="preserve">COMPRESOR </t>
  </si>
  <si>
    <t xml:space="preserve">BONICE </t>
  </si>
  <si>
    <t>08  AL 13  JUNIO 2026</t>
  </si>
  <si>
    <t>MAQUINARIA PEGASO</t>
  </si>
  <si>
    <t>IMPACTO</t>
  </si>
  <si>
    <t>VOGELE-3</t>
  </si>
  <si>
    <t xml:space="preserve">JOSE DE JESUS </t>
  </si>
  <si>
    <t>185LTS</t>
  </si>
  <si>
    <t>186LTS</t>
  </si>
  <si>
    <t xml:space="preserve">SE RECIIBE CARGA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</si>
</sst>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rial"/>
      <family val="2"/>
    </font>
    <font>
      <sz val="20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2" fillId="3" borderId="3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0" fillId="2" borderId="5" xfId="0" applyNumberFormat="1" applyFill="1" applyBorder="1"/>
    <xf numFmtId="164" fontId="0" fillId="2" borderId="0" xfId="0" applyNumberFormat="1" applyFill="1"/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d/mm/yyyy"/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180339</xdr:rowOff>
    </xdr:from>
    <xdr:ext cx="1685714" cy="869527"/>
    <xdr:pic>
      <xdr:nvPicPr>
        <xdr:cNvPr id="2" name="image1.png">
          <a:extLst>
            <a:ext uri="{FF2B5EF4-FFF2-40B4-BE49-F238E27FC236}">
              <a16:creationId xmlns:a16="http://schemas.microsoft.com/office/drawing/2014/main" id="{3407E21D-BAFE-4397-A970-2E5EC176F0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2720" y="180339"/>
          <a:ext cx="1685714" cy="869527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F5CC4-ACA2-4D18-AE83-1EB4F0B80FD6}" name="Tabla1" displayName="Tabla1" ref="A7:L26" totalsRowShown="0" tableBorderDxfId="1">
  <autoFilter ref="A7:L26" xr:uid="{375F5CC4-ACA2-4D18-AE83-1EB4F0B80FD6}"/>
  <tableColumns count="12">
    <tableColumn id="1" xr3:uid="{E30558E0-FA7A-49EF-A318-3D6A449B525A}" name="FECHA " dataDxfId="0"/>
    <tableColumn id="2" xr3:uid="{CEB92064-7571-4D29-98E5-B6D50CF70E05}" name="SEMANA "/>
    <tableColumn id="3" xr3:uid="{87CD2C2B-B923-4D04-865C-CAE0EB4A0CC4}" name="CENTRO DE OBRA"/>
    <tableColumn id="4" xr3:uid="{B2B1C85E-D6CF-4695-B916-BE39BF7AD0CE}" name="LTS SOLICITADOS "/>
    <tableColumn id="5" xr3:uid="{AE572E89-F64D-4634-BC32-D36BEDFEFF06}" name="LTS SURTIDOS "/>
    <tableColumn id="6" xr3:uid="{A1165639-6457-417E-8B54-88074EDA04F0}" name="MAQUINA "/>
    <tableColumn id="7" xr3:uid="{B874BD50-D8A4-4C8F-B2EE-B2BF4F1CCFFC}" name="NOMBRE DEL OPERADOR "/>
    <tableColumn id="8" xr3:uid="{2674525F-7CEC-45F3-908C-C65A2811F4FC}" name="HOROMETRO"/>
    <tableColumn id="9" xr3:uid="{3A4A31D0-CB78-45A9-AB61-25768B741B1F}" name="CUENTA LITROS"/>
    <tableColumn id="10" xr3:uid="{D6FFD75F-D843-41CF-A7D3-34AEF41375E3}" name="TOTAL"/>
    <tableColumn id="11" xr3:uid="{1DE0F728-13CD-47E4-A31B-374BDD92E00D}" name="LTS ENTREGADOS"/>
    <tableColumn id="12" xr3:uid="{40BFCC43-D281-4D7F-B527-D6B20686DD30}" name="LTS HASTA EL MOMENT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9A8E-FA18-4745-A6BD-4BCEC6EA0B9D}">
  <dimension ref="A1:L26"/>
  <sheetViews>
    <sheetView tabSelected="1" zoomScale="54" workbookViewId="0">
      <selection activeCell="I32" sqref="I32"/>
    </sheetView>
  </sheetViews>
  <sheetFormatPr baseColWidth="10" defaultRowHeight="14.4" x14ac:dyDescent="0.3"/>
  <cols>
    <col min="1" max="1" width="17.6640625" customWidth="1"/>
    <col min="2" max="2" width="21.88671875" customWidth="1"/>
    <col min="3" max="3" width="28.44140625" customWidth="1"/>
    <col min="4" max="4" width="18.6640625" customWidth="1"/>
    <col min="5" max="5" width="21.21875" customWidth="1"/>
    <col min="6" max="6" width="28.21875" customWidth="1"/>
    <col min="7" max="7" width="33.109375" customWidth="1"/>
    <col min="8" max="8" width="22.88671875" customWidth="1"/>
    <col min="9" max="9" width="22" customWidth="1"/>
    <col min="10" max="10" width="29.6640625" customWidth="1"/>
  </cols>
  <sheetData>
    <row r="1" spans="1:12" ht="25.2" thickBot="1" x14ac:dyDescent="0.45">
      <c r="A1" s="1"/>
      <c r="B1" s="2"/>
      <c r="C1" s="3"/>
      <c r="D1" s="3"/>
      <c r="E1" s="3"/>
      <c r="F1" s="3"/>
      <c r="G1" s="3"/>
      <c r="H1" s="3"/>
      <c r="I1" s="4" t="s">
        <v>0</v>
      </c>
      <c r="J1" s="5">
        <v>25</v>
      </c>
    </row>
    <row r="2" spans="1:12" ht="28.2" x14ac:dyDescent="0.5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2" ht="23.4" thickBot="1" x14ac:dyDescent="0.45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1"/>
    </row>
    <row r="4" spans="1:12" ht="17.399999999999999" thickBot="1" x14ac:dyDescent="0.35">
      <c r="A4" s="12"/>
      <c r="B4" s="13"/>
      <c r="C4" s="14"/>
      <c r="D4" s="15"/>
      <c r="E4" s="15"/>
      <c r="F4" s="15"/>
      <c r="G4" s="15"/>
      <c r="H4" s="16" t="s">
        <v>3</v>
      </c>
      <c r="I4" s="16"/>
      <c r="J4" s="17" t="s">
        <v>49</v>
      </c>
    </row>
    <row r="5" spans="1:12" ht="15" thickBot="1" x14ac:dyDescent="0.35">
      <c r="A5" s="12"/>
      <c r="B5" s="13"/>
      <c r="C5" s="14"/>
      <c r="D5" s="15"/>
      <c r="E5" s="15"/>
      <c r="F5" s="15"/>
      <c r="G5" s="15"/>
      <c r="H5" s="18" t="s">
        <v>4</v>
      </c>
      <c r="I5" s="19" t="s">
        <v>48</v>
      </c>
      <c r="J5" s="20"/>
    </row>
    <row r="6" spans="1:12" ht="15" thickBot="1" x14ac:dyDescent="0.35">
      <c r="A6" s="22"/>
      <c r="B6" s="22"/>
      <c r="C6" s="23"/>
      <c r="D6" s="23"/>
      <c r="E6" s="23"/>
      <c r="F6" s="23"/>
      <c r="G6" s="23"/>
      <c r="H6" s="23"/>
      <c r="I6" s="23"/>
      <c r="J6" s="21"/>
    </row>
    <row r="7" spans="1:12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1:12" x14ac:dyDescent="0.3">
      <c r="A8" s="24">
        <v>46181</v>
      </c>
      <c r="C8" t="s">
        <v>17</v>
      </c>
      <c r="D8" t="s">
        <v>18</v>
      </c>
      <c r="E8">
        <v>100</v>
      </c>
      <c r="F8" t="s">
        <v>19</v>
      </c>
      <c r="G8" t="s">
        <v>20</v>
      </c>
      <c r="H8" t="s">
        <v>21</v>
      </c>
      <c r="I8">
        <v>317973</v>
      </c>
      <c r="J8">
        <v>100</v>
      </c>
    </row>
    <row r="9" spans="1:12" x14ac:dyDescent="0.3">
      <c r="A9" s="24">
        <v>46181</v>
      </c>
      <c r="C9" t="s">
        <v>22</v>
      </c>
      <c r="D9" t="s">
        <v>23</v>
      </c>
      <c r="E9" t="s">
        <v>23</v>
      </c>
      <c r="F9" t="s">
        <v>24</v>
      </c>
      <c r="G9" t="s">
        <v>25</v>
      </c>
      <c r="H9" t="s">
        <v>21</v>
      </c>
      <c r="I9">
        <v>318173</v>
      </c>
      <c r="J9">
        <f>Tabla1[[#This Row],[CUENTA LITROS]]-I8</f>
        <v>200</v>
      </c>
    </row>
    <row r="10" spans="1:12" x14ac:dyDescent="0.3">
      <c r="A10" s="24">
        <v>46181</v>
      </c>
      <c r="C10" t="s">
        <v>22</v>
      </c>
      <c r="D10">
        <v>200</v>
      </c>
      <c r="E10" t="s">
        <v>26</v>
      </c>
      <c r="F10" t="s">
        <v>19</v>
      </c>
      <c r="G10" t="s">
        <v>25</v>
      </c>
      <c r="H10" t="s">
        <v>21</v>
      </c>
      <c r="I10">
        <v>318382</v>
      </c>
      <c r="J10">
        <f>Tabla1[[#This Row],[CUENTA LITROS]]-I9</f>
        <v>209</v>
      </c>
    </row>
    <row r="11" spans="1:12" x14ac:dyDescent="0.3">
      <c r="A11" s="24">
        <v>46181</v>
      </c>
      <c r="J11" s="25" t="s">
        <v>55</v>
      </c>
      <c r="K11" s="25">
        <v>2800</v>
      </c>
    </row>
    <row r="12" spans="1:12" x14ac:dyDescent="0.3">
      <c r="A12" s="24">
        <v>46182</v>
      </c>
      <c r="C12" t="s">
        <v>17</v>
      </c>
      <c r="D12" t="s">
        <v>27</v>
      </c>
      <c r="E12" t="s">
        <v>27</v>
      </c>
      <c r="F12" t="s">
        <v>19</v>
      </c>
      <c r="G12" t="s">
        <v>20</v>
      </c>
      <c r="H12" t="s">
        <v>21</v>
      </c>
      <c r="I12">
        <v>319835</v>
      </c>
      <c r="J12">
        <v>80</v>
      </c>
    </row>
    <row r="13" spans="1:12" x14ac:dyDescent="0.3">
      <c r="A13" s="24">
        <v>46182</v>
      </c>
      <c r="C13" t="s">
        <v>28</v>
      </c>
      <c r="D13" t="s">
        <v>29</v>
      </c>
      <c r="E13" t="s">
        <v>32</v>
      </c>
      <c r="F13" t="s">
        <v>30</v>
      </c>
      <c r="G13" t="s">
        <v>31</v>
      </c>
      <c r="H13" t="s">
        <v>21</v>
      </c>
      <c r="I13">
        <v>319905</v>
      </c>
      <c r="J13">
        <f>Tabla1[[#This Row],[CUENTA LITROS]]-I12</f>
        <v>70</v>
      </c>
    </row>
    <row r="14" spans="1:12" x14ac:dyDescent="0.3">
      <c r="A14" s="24">
        <v>46182</v>
      </c>
      <c r="C14" t="s">
        <v>28</v>
      </c>
      <c r="D14" t="s">
        <v>29</v>
      </c>
      <c r="E14" t="s">
        <v>29</v>
      </c>
      <c r="F14" t="s">
        <v>41</v>
      </c>
      <c r="G14" t="s">
        <v>33</v>
      </c>
      <c r="H14" t="s">
        <v>21</v>
      </c>
      <c r="I14">
        <v>319955</v>
      </c>
      <c r="J14">
        <f>Tabla1[[#This Row],[CUENTA LITROS]]-I13</f>
        <v>50</v>
      </c>
    </row>
    <row r="15" spans="1:12" x14ac:dyDescent="0.3">
      <c r="A15" s="24">
        <v>46182</v>
      </c>
      <c r="C15" t="s">
        <v>28</v>
      </c>
      <c r="D15" t="s">
        <v>36</v>
      </c>
      <c r="E15" t="s">
        <v>36</v>
      </c>
      <c r="F15" t="s">
        <v>34</v>
      </c>
      <c r="G15" t="s">
        <v>35</v>
      </c>
      <c r="H15" t="s">
        <v>21</v>
      </c>
      <c r="I15">
        <v>320015</v>
      </c>
      <c r="J15">
        <f>Tabla1[[#This Row],[CUENTA LITROS]]-I14</f>
        <v>60</v>
      </c>
    </row>
    <row r="16" spans="1:12" x14ac:dyDescent="0.3">
      <c r="A16" s="24">
        <v>46183</v>
      </c>
      <c r="C16" t="s">
        <v>17</v>
      </c>
      <c r="D16" t="s">
        <v>18</v>
      </c>
      <c r="E16" t="s">
        <v>37</v>
      </c>
      <c r="F16" t="s">
        <v>19</v>
      </c>
      <c r="G16" t="s">
        <v>20</v>
      </c>
      <c r="H16" t="s">
        <v>21</v>
      </c>
      <c r="I16">
        <v>320116</v>
      </c>
      <c r="J16">
        <f>Tabla1[[#This Row],[CUENTA LITROS]]-I15</f>
        <v>101</v>
      </c>
    </row>
    <row r="17" spans="1:10" x14ac:dyDescent="0.3">
      <c r="A17" s="24">
        <v>46184</v>
      </c>
      <c r="C17" t="s">
        <v>28</v>
      </c>
      <c r="D17" t="s">
        <v>38</v>
      </c>
      <c r="E17" t="s">
        <v>38</v>
      </c>
      <c r="F17" t="s">
        <v>39</v>
      </c>
      <c r="G17" t="s">
        <v>40</v>
      </c>
      <c r="H17" t="s">
        <v>21</v>
      </c>
      <c r="I17">
        <v>320156</v>
      </c>
      <c r="J17">
        <f>Tabla1[[#This Row],[CUENTA LITROS]]-I16</f>
        <v>40</v>
      </c>
    </row>
    <row r="18" spans="1:10" x14ac:dyDescent="0.3">
      <c r="A18" s="24">
        <v>46184</v>
      </c>
      <c r="C18" t="s">
        <v>28</v>
      </c>
      <c r="D18" t="s">
        <v>38</v>
      </c>
      <c r="E18" t="s">
        <v>38</v>
      </c>
      <c r="F18" t="s">
        <v>41</v>
      </c>
      <c r="G18" t="s">
        <v>33</v>
      </c>
      <c r="H18" t="s">
        <v>21</v>
      </c>
      <c r="I18">
        <v>320196</v>
      </c>
      <c r="J18">
        <f>Tabla1[[#This Row],[CUENTA LITROS]]-I17</f>
        <v>40</v>
      </c>
    </row>
    <row r="19" spans="1:10" x14ac:dyDescent="0.3">
      <c r="A19" s="24">
        <v>46184</v>
      </c>
      <c r="C19" t="s">
        <v>22</v>
      </c>
      <c r="D19" t="s">
        <v>42</v>
      </c>
      <c r="E19" t="s">
        <v>43</v>
      </c>
      <c r="F19" t="s">
        <v>44</v>
      </c>
      <c r="G19" t="s">
        <v>45</v>
      </c>
      <c r="H19" t="s">
        <v>21</v>
      </c>
      <c r="I19">
        <v>320435</v>
      </c>
      <c r="J19">
        <f>Tabla1[[#This Row],[CUENTA LITROS]]-I18</f>
        <v>239</v>
      </c>
    </row>
    <row r="20" spans="1:10" x14ac:dyDescent="0.3">
      <c r="A20" s="24">
        <v>46184</v>
      </c>
      <c r="C20" t="s">
        <v>28</v>
      </c>
      <c r="D20" t="s">
        <v>27</v>
      </c>
      <c r="E20" t="s">
        <v>27</v>
      </c>
      <c r="F20" t="s">
        <v>34</v>
      </c>
      <c r="G20" t="s">
        <v>35</v>
      </c>
      <c r="H20" t="s">
        <v>21</v>
      </c>
      <c r="I20">
        <v>320516</v>
      </c>
      <c r="J20">
        <f>Tabla1[[#This Row],[CUENTA LITROS]]-I19</f>
        <v>81</v>
      </c>
    </row>
    <row r="21" spans="1:10" x14ac:dyDescent="0.3">
      <c r="A21" s="24">
        <v>46184</v>
      </c>
      <c r="C21" t="s">
        <v>28</v>
      </c>
      <c r="D21" t="s">
        <v>29</v>
      </c>
      <c r="E21" t="s">
        <v>29</v>
      </c>
      <c r="F21" t="s">
        <v>46</v>
      </c>
      <c r="G21" t="s">
        <v>47</v>
      </c>
      <c r="H21" t="s">
        <v>21</v>
      </c>
      <c r="I21">
        <v>320566</v>
      </c>
      <c r="J21">
        <f>Tabla1[[#This Row],[CUENTA LITROS]]-I20</f>
        <v>50</v>
      </c>
    </row>
    <row r="22" spans="1:10" x14ac:dyDescent="0.3">
      <c r="A22" s="24">
        <v>46184</v>
      </c>
      <c r="C22" t="s">
        <v>28</v>
      </c>
      <c r="D22" t="s">
        <v>32</v>
      </c>
      <c r="E22" t="s">
        <v>32</v>
      </c>
      <c r="F22" t="s">
        <v>30</v>
      </c>
      <c r="G22" t="s">
        <v>31</v>
      </c>
      <c r="H22" t="s">
        <v>21</v>
      </c>
      <c r="I22">
        <v>320636</v>
      </c>
      <c r="J22">
        <f>Tabla1[[#This Row],[CUENTA LITROS]]-I21</f>
        <v>70</v>
      </c>
    </row>
    <row r="23" spans="1:10" x14ac:dyDescent="0.3">
      <c r="A23" s="24">
        <v>46184</v>
      </c>
      <c r="C23" t="s">
        <v>28</v>
      </c>
      <c r="D23" t="s">
        <v>27</v>
      </c>
      <c r="E23" t="s">
        <v>27</v>
      </c>
      <c r="F23" t="s">
        <v>50</v>
      </c>
      <c r="G23" t="s">
        <v>47</v>
      </c>
      <c r="H23" t="s">
        <v>21</v>
      </c>
      <c r="I23">
        <v>320716</v>
      </c>
      <c r="J23">
        <f>Tabla1[[#This Row],[CUENTA LITROS]]-I22</f>
        <v>80</v>
      </c>
    </row>
    <row r="24" spans="1:10" x14ac:dyDescent="0.3">
      <c r="A24" s="24">
        <v>46184</v>
      </c>
      <c r="C24" t="s">
        <v>28</v>
      </c>
      <c r="D24" t="s">
        <v>53</v>
      </c>
      <c r="E24" t="s">
        <v>54</v>
      </c>
      <c r="F24" t="s">
        <v>51</v>
      </c>
      <c r="G24" t="s">
        <v>52</v>
      </c>
      <c r="I24">
        <v>320902</v>
      </c>
      <c r="J24">
        <f>Tabla1[[#This Row],[CUENTA LITROS]]-I23</f>
        <v>186</v>
      </c>
    </row>
    <row r="25" spans="1:10" x14ac:dyDescent="0.3">
      <c r="A25" s="24">
        <v>46184</v>
      </c>
      <c r="C25" t="s">
        <v>28</v>
      </c>
      <c r="D25" t="s">
        <v>29</v>
      </c>
      <c r="E25" t="s">
        <v>29</v>
      </c>
      <c r="F25" t="s">
        <v>41</v>
      </c>
      <c r="G25" t="s">
        <v>33</v>
      </c>
      <c r="H25" t="s">
        <v>21</v>
      </c>
      <c r="I25">
        <v>320952</v>
      </c>
      <c r="J25">
        <f>Tabla1[[#This Row],[CUENTA LITROS]]-I24</f>
        <v>50</v>
      </c>
    </row>
    <row r="26" spans="1:10" x14ac:dyDescent="0.3">
      <c r="A26" s="24">
        <v>46185</v>
      </c>
      <c r="C26" t="s">
        <v>17</v>
      </c>
      <c r="D26" t="s">
        <v>32</v>
      </c>
      <c r="E26" t="s">
        <v>32</v>
      </c>
      <c r="F26" t="s">
        <v>19</v>
      </c>
      <c r="G26" t="s">
        <v>20</v>
      </c>
      <c r="H26" t="s">
        <v>21</v>
      </c>
      <c r="I26">
        <v>321022</v>
      </c>
      <c r="J26">
        <f>Tabla1[[#This Row],[CUENTA LITROS]]-I25</f>
        <v>70</v>
      </c>
    </row>
  </sheetData>
  <mergeCells count="4">
    <mergeCell ref="A2:J2"/>
    <mergeCell ref="A3:J3"/>
    <mergeCell ref="H4:I4"/>
    <mergeCell ref="I5:J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IBAÑEZ</dc:creator>
  <cp:lastModifiedBy>ANTONIO IBAÑEZ</cp:lastModifiedBy>
  <dcterms:created xsi:type="dcterms:W3CDTF">2026-06-15T19:52:26Z</dcterms:created>
  <dcterms:modified xsi:type="dcterms:W3CDTF">2026-06-15T20:30:54Z</dcterms:modified>
</cp:coreProperties>
</file>