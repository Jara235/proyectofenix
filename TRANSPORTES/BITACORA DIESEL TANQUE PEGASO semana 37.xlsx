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TRANSPORTES\"/>
    </mc:Choice>
  </mc:AlternateContent>
  <xr:revisionPtr revIDLastSave="0" documentId="13_ncr:1_{67B0B397-54FD-4934-8407-E733DB935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 37" sheetId="39" r:id="rId1"/>
    <sheet name="SEM 38" sheetId="41" r:id="rId2"/>
    <sheet name="Hoja5" sheetId="4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41" l="1"/>
  <c r="F40" i="41"/>
  <c r="F41" i="41"/>
  <c r="F42" i="41"/>
  <c r="F58" i="41"/>
  <c r="E57" i="41"/>
  <c r="F57" i="41" s="1"/>
  <c r="E56" i="41"/>
  <c r="E59" i="41" s="1"/>
  <c r="F55" i="41"/>
  <c r="F54" i="41"/>
  <c r="F53" i="41"/>
  <c r="F52" i="41"/>
  <c r="I48" i="41"/>
  <c r="E48" i="41"/>
  <c r="I47" i="41"/>
  <c r="F47" i="41"/>
  <c r="G47" i="41" s="1"/>
  <c r="G48" i="41" s="1"/>
  <c r="E50" i="39"/>
  <c r="I29" i="39"/>
  <c r="I10" i="39"/>
  <c r="I11" i="39"/>
  <c r="I12" i="39"/>
  <c r="I13" i="39"/>
  <c r="I14" i="39"/>
  <c r="I15" i="39"/>
  <c r="I16" i="39"/>
  <c r="I23" i="39"/>
  <c r="I24" i="39"/>
  <c r="I27" i="39"/>
  <c r="I28" i="39"/>
  <c r="I32" i="39"/>
  <c r="I33" i="39"/>
  <c r="I34" i="39"/>
  <c r="I35" i="39"/>
  <c r="I44" i="39"/>
  <c r="I47" i="39"/>
  <c r="I48" i="39"/>
  <c r="I49" i="39"/>
  <c r="F54" i="39"/>
  <c r="F55" i="39"/>
  <c r="F60" i="39"/>
  <c r="E59" i="39"/>
  <c r="F59" i="39" s="1"/>
  <c r="E58" i="39"/>
  <c r="F58" i="39"/>
  <c r="F57" i="39"/>
  <c r="F56" i="39"/>
  <c r="E21" i="39"/>
  <c r="E20" i="39"/>
  <c r="E19" i="39"/>
  <c r="E18" i="39"/>
  <c r="G10" i="39"/>
  <c r="F11" i="39" s="1"/>
  <c r="G11" i="39" s="1"/>
  <c r="F12" i="39" s="1"/>
  <c r="G12" i="39" s="1"/>
  <c r="F13" i="39" s="1"/>
  <c r="G13" i="39" s="1"/>
  <c r="F14" i="39" s="1"/>
  <c r="G14" i="39" s="1"/>
  <c r="F15" i="39" s="1"/>
  <c r="G15" i="39" s="1"/>
  <c r="F16" i="39" s="1"/>
  <c r="G16" i="39" s="1"/>
  <c r="F23" i="39" s="1"/>
  <c r="G23" i="39" s="1"/>
  <c r="F24" i="39" s="1"/>
  <c r="G24" i="39" s="1"/>
  <c r="F25" i="39" s="1"/>
  <c r="G25" i="39" s="1"/>
  <c r="F26" i="39" s="1"/>
  <c r="G26" i="39" s="1"/>
  <c r="F27" i="39" s="1"/>
  <c r="G27" i="39" s="1"/>
  <c r="F28" i="39" s="1"/>
  <c r="G28" i="39" s="1"/>
  <c r="F29" i="39" s="1"/>
  <c r="G29" i="39" s="1"/>
  <c r="F30" i="39" s="1"/>
  <c r="E61" i="39" l="1"/>
  <c r="F56" i="41"/>
  <c r="F59" i="41"/>
  <c r="F61" i="39"/>
  <c r="G30" i="39"/>
  <c r="F31" i="39" l="1"/>
  <c r="G31" i="39" s="1"/>
  <c r="F32" i="39" l="1"/>
  <c r="G32" i="39" s="1"/>
  <c r="F33" i="39" s="1"/>
  <c r="G33" i="39" s="1"/>
  <c r="F34" i="39" s="1"/>
  <c r="G34" i="39" s="1"/>
  <c r="F35" i="39" s="1"/>
  <c r="G35" i="39" s="1"/>
  <c r="F36" i="39" s="1"/>
  <c r="G36" i="39" s="1"/>
  <c r="F37" i="39" s="1"/>
  <c r="G37" i="39" s="1"/>
  <c r="F38" i="39" s="1"/>
  <c r="G38" i="39" s="1"/>
  <c r="F39" i="39" s="1"/>
  <c r="G39" i="39" s="1"/>
  <c r="F40" i="39" s="1"/>
  <c r="G40" i="39" s="1"/>
  <c r="F41" i="39" s="1"/>
  <c r="G41" i="39" s="1"/>
  <c r="F42" i="39" s="1"/>
  <c r="G42" i="39" s="1"/>
  <c r="F43" i="39" s="1"/>
  <c r="G43" i="39" s="1"/>
  <c r="F44" i="39" s="1"/>
  <c r="G44" i="39" s="1"/>
  <c r="F45" i="39" s="1"/>
  <c r="G45" i="39" s="1"/>
  <c r="F46" i="39" s="1"/>
  <c r="G46" i="39" s="1"/>
  <c r="F47" i="39" l="1"/>
  <c r="G47" i="39" s="1"/>
  <c r="F48" i="39" s="1"/>
  <c r="G48" i="39" s="1"/>
  <c r="F49" i="39" s="1"/>
  <c r="G49" i="39" s="1"/>
  <c r="F10" i="41"/>
  <c r="G10" i="41" s="1"/>
  <c r="F11" i="41" s="1"/>
  <c r="G11" i="41" s="1"/>
  <c r="F12" i="41" s="1"/>
  <c r="G12" i="41" s="1"/>
  <c r="F13" i="41" s="1"/>
  <c r="G13" i="41" s="1"/>
  <c r="F14" i="41" s="1"/>
  <c r="G14" i="41" s="1"/>
  <c r="F15" i="41" s="1"/>
  <c r="G15" i="41" s="1"/>
  <c r="F16" i="41" s="1"/>
  <c r="G16" i="41" s="1"/>
  <c r="F17" i="41" s="1"/>
  <c r="G17" i="41" s="1"/>
  <c r="F18" i="41" s="1"/>
  <c r="G18" i="41" s="1"/>
  <c r="F19" i="41" s="1"/>
  <c r="G19" i="41" s="1"/>
  <c r="F20" i="41" s="1"/>
  <c r="G20" i="41" s="1"/>
  <c r="F21" i="41" s="1"/>
  <c r="G21" i="41" s="1"/>
  <c r="F22" i="41" s="1"/>
  <c r="G22" i="41" s="1"/>
  <c r="F23" i="41" s="1"/>
  <c r="G23" i="41" s="1"/>
  <c r="F24" i="41" s="1"/>
  <c r="G24" i="41" s="1"/>
  <c r="F25" i="41" s="1"/>
  <c r="G25" i="41" s="1"/>
  <c r="F26" i="41" s="1"/>
  <c r="G26" i="41" s="1"/>
  <c r="C8" i="39"/>
  <c r="E8" i="39" s="1"/>
  <c r="C8" i="41" s="1"/>
  <c r="E8" i="41" s="1"/>
  <c r="I50" i="39"/>
  <c r="F27" i="41" l="1"/>
  <c r="G27" i="41" s="1"/>
  <c r="G50" i="39"/>
  <c r="F28" i="41" l="1"/>
  <c r="G28" i="41" s="1"/>
  <c r="F29" i="41" s="1"/>
  <c r="G29" i="41" s="1"/>
  <c r="F30" i="41" l="1"/>
  <c r="G30" i="41" s="1"/>
  <c r="F31" i="41" l="1"/>
  <c r="G31" i="41" s="1"/>
  <c r="F32" i="41" s="1"/>
  <c r="G32" i="41" s="1"/>
  <c r="F33" i="41" l="1"/>
  <c r="G33" i="41" s="1"/>
  <c r="F34" i="41" l="1"/>
  <c r="G34" i="41" s="1"/>
  <c r="F35" i="41" s="1"/>
  <c r="G35" i="41" s="1"/>
  <c r="F36" i="41" l="1"/>
  <c r="G36" i="41" s="1"/>
  <c r="F37" i="41" l="1"/>
  <c r="G37" i="41" s="1"/>
  <c r="F38" i="41" s="1"/>
</calcChain>
</file>

<file path=xl/sharedStrings.xml><?xml version="1.0" encoding="utf-8"?>
<sst xmlns="http://schemas.openxmlformats.org/spreadsheetml/2006/main" count="276" uniqueCount="137">
  <si>
    <t>SEMANA No:</t>
  </si>
  <si>
    <t>TRITURADORA ROCA DURA SAN MIGUEL</t>
  </si>
  <si>
    <t>REPORTE SEMANAL DE DIESEL</t>
  </si>
  <si>
    <t>CENTRO DE TRABAJO:</t>
  </si>
  <si>
    <t>PERIODO:</t>
  </si>
  <si>
    <t>DIESEL INICIAL SEMANAL :</t>
  </si>
  <si>
    <t>DIESEL FINAL :</t>
  </si>
  <si>
    <t>FECHA DE CARGA</t>
  </si>
  <si>
    <t xml:space="preserve">EQUIPO </t>
  </si>
  <si>
    <t>OPERADOR</t>
  </si>
  <si>
    <t>LITROS</t>
  </si>
  <si>
    <t>LITROS INICIALES</t>
  </si>
  <si>
    <t>LITROS FINALES</t>
  </si>
  <si>
    <t>TOTAL:</t>
  </si>
  <si>
    <t>LITROS SOBRANTES:</t>
  </si>
  <si>
    <t>MONTO</t>
  </si>
  <si>
    <t>TOTAL</t>
  </si>
  <si>
    <t>FECHA</t>
  </si>
  <si>
    <t xml:space="preserve">PRODUCTO </t>
  </si>
  <si>
    <t>GASOLINERA</t>
  </si>
  <si>
    <t xml:space="preserve">FACTURA </t>
  </si>
  <si>
    <t xml:space="preserve">JUDITH GRANADOS PACHECO </t>
  </si>
  <si>
    <t>PIPA BLANCA</t>
  </si>
  <si>
    <t xml:space="preserve">LAVADA DE CAJA </t>
  </si>
  <si>
    <t>ECO 5</t>
  </si>
  <si>
    <t>ECO 6</t>
  </si>
  <si>
    <t>ECO 10</t>
  </si>
  <si>
    <t xml:space="preserve">TORTON COLIMBIA </t>
  </si>
  <si>
    <t>ECO 18</t>
  </si>
  <si>
    <t>JAVIER SANABRIA</t>
  </si>
  <si>
    <t xml:space="preserve">ALEJANDRO LORENZO </t>
  </si>
  <si>
    <t>LEONERL CARDENAS</t>
  </si>
  <si>
    <t xml:space="preserve">JOSE LUIS CRUZ CISNEROS </t>
  </si>
  <si>
    <t>HUSSEIN BLAS SANABRIA</t>
  </si>
  <si>
    <t>ARMANDO SANABRIA</t>
  </si>
  <si>
    <t xml:space="preserve">DIESEL </t>
  </si>
  <si>
    <t xml:space="preserve">DERIVADOS DEL PETROLEO CASTILLA </t>
  </si>
  <si>
    <t>A-11276</t>
  </si>
  <si>
    <t>ECO 14</t>
  </si>
  <si>
    <t>ECO 3</t>
  </si>
  <si>
    <t>ECO 7</t>
  </si>
  <si>
    <t xml:space="preserve">ADOLFO CRUZ </t>
  </si>
  <si>
    <t xml:space="preserve">GABRIEL CRUZ CISNEROS </t>
  </si>
  <si>
    <t>EDGAR MENDOZA</t>
  </si>
  <si>
    <t>CARGAS DIRECTAS EN GASOLINAERA</t>
  </si>
  <si>
    <t>A-11292</t>
  </si>
  <si>
    <t>DIESEL CARGAS DIRECTAS</t>
  </si>
  <si>
    <t>LITROS ESCANER</t>
  </si>
  <si>
    <t xml:space="preserve">KM RECORRIDOS </t>
  </si>
  <si>
    <t xml:space="preserve">RENDIMIENTO </t>
  </si>
  <si>
    <t>FLEJES VIEJOS</t>
  </si>
  <si>
    <t xml:space="preserve">FLEJES NUEVOS </t>
  </si>
  <si>
    <t>KM</t>
  </si>
  <si>
    <t>A-11289</t>
  </si>
  <si>
    <t xml:space="preserve">AUTOBUS PERSONAL </t>
  </si>
  <si>
    <t xml:space="preserve">PIPA MACK </t>
  </si>
  <si>
    <t>EULOGIO OLIVARES</t>
  </si>
  <si>
    <t>EMANUEL OLIVARES</t>
  </si>
  <si>
    <t xml:space="preserve">JOSE LUIS CRU CISNEROS </t>
  </si>
  <si>
    <t xml:space="preserve">LEONEL CARDENAS </t>
  </si>
  <si>
    <t xml:space="preserve">LUIS ALBERTO BERNAL </t>
  </si>
  <si>
    <t>A-11315</t>
  </si>
  <si>
    <t>A-11302</t>
  </si>
  <si>
    <t>A-11322</t>
  </si>
  <si>
    <t xml:space="preserve">GASOLINA EXTRA </t>
  </si>
  <si>
    <t>A-11329</t>
  </si>
  <si>
    <t>DEL 07 DE SEPTIEMBRE  AL 13 DE SEPTIEMBRE DE 2026</t>
  </si>
  <si>
    <t xml:space="preserve">TRANSPORTES </t>
  </si>
  <si>
    <t>47445-47446</t>
  </si>
  <si>
    <t>47564-47593</t>
  </si>
  <si>
    <t>47502-47581-47584</t>
  </si>
  <si>
    <t>47523-47522-47530</t>
  </si>
  <si>
    <t>47518-47547</t>
  </si>
  <si>
    <t>47509-47557</t>
  </si>
  <si>
    <t>47503-47514</t>
  </si>
  <si>
    <t>47594-47598</t>
  </si>
  <si>
    <t>47575-47576</t>
  </si>
  <si>
    <t>47558-47555</t>
  </si>
  <si>
    <t>47282-47589</t>
  </si>
  <si>
    <t>47543-47564</t>
  </si>
  <si>
    <t>47532-47524</t>
  </si>
  <si>
    <t>47566-47505-47531</t>
  </si>
  <si>
    <t>ECO 17</t>
  </si>
  <si>
    <t xml:space="preserve">ISMAEL SANABRIA </t>
  </si>
  <si>
    <t>ECO 13</t>
  </si>
  <si>
    <t>ECO 11</t>
  </si>
  <si>
    <t xml:space="preserve">CARLOS OLIVARES </t>
  </si>
  <si>
    <t>47473-47444</t>
  </si>
  <si>
    <t>47513-47525</t>
  </si>
  <si>
    <t xml:space="preserve">RABON BLANCO </t>
  </si>
  <si>
    <t>RABON BLANCO</t>
  </si>
  <si>
    <t>47574-47575</t>
  </si>
  <si>
    <t>47569-47537</t>
  </si>
  <si>
    <t>47526-47532</t>
  </si>
  <si>
    <t>4758-47547</t>
  </si>
  <si>
    <t>47529-47578</t>
  </si>
  <si>
    <t>47567-47506</t>
  </si>
  <si>
    <t>CT</t>
  </si>
  <si>
    <t xml:space="preserve">OBRA SAN JUAN TILAPA </t>
  </si>
  <si>
    <t xml:space="preserve">CAMION COLUMBIA </t>
  </si>
  <si>
    <t xml:space="preserve">BACHEO ZUMPAHUACAN </t>
  </si>
  <si>
    <t>VICTOR CRUZ</t>
  </si>
  <si>
    <t>47511-47593</t>
  </si>
  <si>
    <t>47574-47588</t>
  </si>
  <si>
    <t>47505-47531-47566</t>
  </si>
  <si>
    <t>47519-47591-47568</t>
  </si>
  <si>
    <t xml:space="preserve">ANTICIPO </t>
  </si>
  <si>
    <t xml:space="preserve">RESTANTE </t>
  </si>
  <si>
    <t>ENTRADA DE COMBUSTIBLE  SEMANA 37</t>
  </si>
  <si>
    <t>FLOTILLA TRASNPORTES</t>
  </si>
  <si>
    <t>SERGIO HUITRON</t>
  </si>
  <si>
    <t>J D J EQUIPO Y CONSTRUCCIONES SA DE CV</t>
  </si>
  <si>
    <t>LAVAR PIEZAS</t>
  </si>
  <si>
    <t xml:space="preserve">BRANDON CISNEROS </t>
  </si>
  <si>
    <t>FLOTILLA TRANSPORTES</t>
  </si>
  <si>
    <t>ADOLFO CRUZ</t>
  </si>
  <si>
    <t>ECO 15</t>
  </si>
  <si>
    <t>47543-47553</t>
  </si>
  <si>
    <t xml:space="preserve">ROBON BLANCO </t>
  </si>
  <si>
    <t>47524-47526</t>
  </si>
  <si>
    <t>47528-47541</t>
  </si>
  <si>
    <t>M1</t>
  </si>
  <si>
    <t xml:space="preserve">JESUS JAIR </t>
  </si>
  <si>
    <t>MINA CUAJOMAC</t>
  </si>
  <si>
    <t>LEONEL CARDENAS</t>
  </si>
  <si>
    <t>47506-47567</t>
  </si>
  <si>
    <t>47310-47560</t>
  </si>
  <si>
    <t>ANTONIO RODRIGUEZ</t>
  </si>
  <si>
    <t>47568-47591-47519</t>
  </si>
  <si>
    <t>47515-47540-47516</t>
  </si>
  <si>
    <t>47588-47574</t>
  </si>
  <si>
    <t>47538-47539</t>
  </si>
  <si>
    <t>47533-47543</t>
  </si>
  <si>
    <t>47536-47527</t>
  </si>
  <si>
    <t xml:space="preserve">EULOGIO OLIVARES </t>
  </si>
  <si>
    <t>47550-47534</t>
  </si>
  <si>
    <t>47574-47554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</si>
</sst>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F800]dddd\,\ mmmm\ dd\,\ yyyy"/>
    <numFmt numFmtId="165" formatCode="#,##0&quot; LTS&quot;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0"/>
      <name val="Arial"/>
      <family val="2"/>
    </font>
    <font>
      <sz val="20"/>
      <name val="Arial"/>
      <family val="2"/>
    </font>
    <font>
      <b/>
      <sz val="22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2" xfId="0" applyFill="1" applyBorder="1"/>
    <xf numFmtId="0" fontId="2" fillId="3" borderId="3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6" fillId="2" borderId="0" xfId="0" applyFont="1" applyFill="1" applyAlignment="1">
      <alignment horizontal="right" vertical="center"/>
    </xf>
    <xf numFmtId="164" fontId="8" fillId="3" borderId="3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right"/>
    </xf>
    <xf numFmtId="165" fontId="9" fillId="4" borderId="12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165" fontId="10" fillId="0" borderId="1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4" fontId="11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right" vertical="center"/>
    </xf>
    <xf numFmtId="2" fontId="11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165" fontId="11" fillId="5" borderId="0" xfId="0" applyNumberFormat="1" applyFont="1" applyFill="1" applyAlignment="1">
      <alignment horizontal="center" vertical="center"/>
    </xf>
    <xf numFmtId="14" fontId="11" fillId="5" borderId="0" xfId="0" applyNumberFormat="1" applyFont="1" applyFill="1" applyAlignment="1">
      <alignment horizontal="center" vertical="center"/>
    </xf>
    <xf numFmtId="44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164" fontId="8" fillId="6" borderId="14" xfId="0" applyNumberFormat="1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7" borderId="0" xfId="0" applyFont="1" applyFill="1" applyAlignment="1">
      <alignment horizontal="right" vertical="center"/>
    </xf>
    <xf numFmtId="44" fontId="1" fillId="7" borderId="0" xfId="0" applyNumberFormat="1" applyFont="1" applyFill="1" applyAlignment="1">
      <alignment vertical="center"/>
    </xf>
    <xf numFmtId="164" fontId="0" fillId="2" borderId="1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44" fontId="0" fillId="0" borderId="15" xfId="0" applyNumberFormat="1" applyBorder="1" applyAlignment="1">
      <alignment vertical="center"/>
    </xf>
    <xf numFmtId="0" fontId="14" fillId="9" borderId="0" xfId="0" applyFont="1" applyFill="1" applyAlignment="1">
      <alignment horizontal="center" vertical="center"/>
    </xf>
    <xf numFmtId="44" fontId="14" fillId="9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16" fillId="10" borderId="0" xfId="0" applyNumberFormat="1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2" fontId="16" fillId="10" borderId="0" xfId="0" applyNumberFormat="1" applyFont="1" applyFill="1" applyAlignment="1">
      <alignment horizontal="center" vertical="center"/>
    </xf>
    <xf numFmtId="165" fontId="16" fillId="10" borderId="0" xfId="0" applyNumberFormat="1" applyFont="1" applyFill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/>
    </xf>
    <xf numFmtId="44" fontId="0" fillId="11" borderId="15" xfId="0" applyNumberFormat="1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1" fontId="14" fillId="9" borderId="0" xfId="0" applyNumberFormat="1" applyFont="1" applyFill="1" applyAlignment="1">
      <alignment horizontal="center" vertical="center"/>
    </xf>
    <xf numFmtId="0" fontId="8" fillId="6" borderId="19" xfId="0" applyFont="1" applyFill="1" applyBorder="1" applyAlignment="1">
      <alignment horizontal="center"/>
    </xf>
    <xf numFmtId="0" fontId="12" fillId="8" borderId="16" xfId="0" applyFont="1" applyFill="1" applyBorder="1" applyAlignment="1">
      <alignment horizontal="center" vertical="center" wrapText="1"/>
    </xf>
    <xf numFmtId="0" fontId="12" fillId="8" borderId="20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4" fontId="15" fillId="6" borderId="18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</cellXfs>
  <cellStyles count="1">
    <cellStyle name="Normal" xfId="0" builtinId="0"/>
  </cellStyles>
  <dxfs count="5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5" formatCode="#,##0&quot; LTS&quot;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65" formatCode="#,##0&quot; LTS&quot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</dxf>
    <dxf>
      <numFmt numFmtId="165" formatCode="#,##0&quot; LTS&quot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[$-F800]dddd\,\ mmmm\ dd\,\ 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rgb="FF002060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5" formatCode="#,##0&quot; LTS&quot;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65" formatCode="#,##0&quot; LTS&quot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</dxf>
    <dxf>
      <numFmt numFmtId="165" formatCode="#,##0&quot; LTS&quot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[$-F800]dddd\,\ mmmm\ dd\,\ 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rgb="FF002060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50B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567383</xdr:colOff>
      <xdr:row>0</xdr:row>
      <xdr:rowOff>160021</xdr:rowOff>
    </xdr:from>
    <xdr:to>
      <xdr:col>0</xdr:col>
      <xdr:colOff>2354580</xdr:colOff>
      <xdr:row>4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BC66DC-577B-433B-A235-C7DD26A61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383" y="160021"/>
          <a:ext cx="1787197" cy="1059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15239</xdr:colOff>
      <xdr:row>0</xdr:row>
      <xdr:rowOff>129540</xdr:rowOff>
    </xdr:from>
    <xdr:ext cx="1501141" cy="769620"/>
    <xdr:pic>
      <xdr:nvPicPr>
        <xdr:cNvPr id="3" name="image1.png">
          <a:extLst>
            <a:ext uri="{FF2B5EF4-FFF2-40B4-BE49-F238E27FC236}">
              <a16:creationId xmlns:a16="http://schemas.microsoft.com/office/drawing/2014/main" id="{F790F030-C947-4EDA-93E6-EFD4C7646D0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685519" y="129540"/>
          <a:ext cx="1501141" cy="76962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662939</xdr:colOff>
      <xdr:row>0</xdr:row>
      <xdr:rowOff>160020</xdr:rowOff>
    </xdr:from>
    <xdr:ext cx="1729741" cy="1112520"/>
    <xdr:pic>
      <xdr:nvPicPr>
        <xdr:cNvPr id="3" name="image1.png">
          <a:extLst>
            <a:ext uri="{FF2B5EF4-FFF2-40B4-BE49-F238E27FC236}">
              <a16:creationId xmlns:a16="http://schemas.microsoft.com/office/drawing/2014/main" id="{F6A6586E-92B4-4F8B-8121-99E3620A21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939" y="160020"/>
          <a:ext cx="1729741" cy="111252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4C54C45-0AC7-4CAC-9565-0158C206CF05}" name="Tabla134567891011121314151617181920212223242527282930313233343456789101112131416171819202122232425262729283031323334353638" displayName="Tabla134567891011121314151617181920212223242527282930313233343456789101112131416171819202122232425262729283031323334353638" ref="A9:M50" totalsRowCount="1" headerRowDxfId="57" totalsRowDxfId="55" headerRowBorderDxfId="56">
  <autoFilter ref="A9:M49" xr:uid="{54C54C45-0AC7-4CAC-9565-0158C206CF05}"/>
  <tableColumns count="13">
    <tableColumn id="1" xr3:uid="{00667D96-7ECB-4C7F-8217-288C2BE6B14D}" name="FECHA DE CARGA" dataDxfId="54" totalsRowDxfId="53"/>
    <tableColumn id="2" xr3:uid="{B6515EF1-A5B9-4D86-93C5-9142EF310490}" name="EQUIPO " dataDxfId="52" totalsRowDxfId="51"/>
    <tableColumn id="3" xr3:uid="{25429597-6B8C-42D1-851C-11EA644C7564}" name="OPERADOR" totalsRowLabel="TOTAL:" dataDxfId="50" totalsRowDxfId="49"/>
    <tableColumn id="13" xr3:uid="{9702D854-DC27-4EDE-BE23-CFCDE55BC96D}" name="CT" dataDxfId="48" totalsRowDxfId="47"/>
    <tableColumn id="4" xr3:uid="{641A3BEF-519B-4A80-B55D-0933196FCD4B}" name="LITROS" totalsRowFunction="custom" dataDxfId="46" totalsRowDxfId="45">
      <totalsRowFormula>E10+E11+E12+E13+E14+E15+E16+E23+E24+E25+E26+E27+E28+E29+E30+E31+E32+E33+E34+E35+E36+E37+E38+E39+E40+E41+E42+E43+E44+E45+E46+E47+E48+E49</totalsRowFormula>
    </tableColumn>
    <tableColumn id="5" xr3:uid="{CA12AEF3-4256-4446-AFC0-A8D138D430D9}" name="LITROS INICIALES" totalsRowLabel="LITROS SOBRANTES:" dataDxfId="44" totalsRowDxfId="43"/>
    <tableColumn id="6" xr3:uid="{BB54F04B-3E48-4FEF-B085-A1AEAB6128FA}" name="LITROS FINALES" totalsRowFunction="custom" dataDxfId="42" totalsRowDxfId="41">
      <calculatedColumnFormula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calculatedColumnFormula>
      <totalsRowFormula>G49</totalsRowFormula>
    </tableColumn>
    <tableColumn id="7" xr3:uid="{188AA378-8155-44C4-B78A-3D40176316F9}" name="LITROS ESCANER" dataDxfId="40" totalsRowDxfId="39"/>
    <tableColumn id="8" xr3:uid="{EB3375D2-0028-48C5-BBC6-5C87234C64AD}" name="KM" totalsRowFunction="custom" dataDxfId="38" totalsRowDxfId="37">
      <calculatedColumnFormula>J10-K10</calculatedColumnFormula>
      <totalsRowFormula>SUBTOTAL(9,Tabla134567891011121314151617181920212223242527282930313233343456789101112131416171819202122232425262729283031323334353638[KM])-I27</totalsRowFormula>
    </tableColumn>
    <tableColumn id="10" xr3:uid="{43C644F4-87D4-489C-846D-5EC0D3D26941}" name="KM RECORRIDOS " dataDxfId="36" totalsRowDxfId="35"/>
    <tableColumn id="11" xr3:uid="{C71F42E0-4088-4ED6-BD0E-0AC649244B2E}" name="RENDIMIENTO " dataDxfId="34" totalsRowDxfId="33"/>
    <tableColumn id="12" xr3:uid="{CFDE9E0D-750D-422E-841E-96056130502B}" name="FLEJES VIEJOS" dataDxfId="32" totalsRowDxfId="31"/>
    <tableColumn id="9" xr3:uid="{715E04CF-7AAB-498D-AB4D-6842BBF787E0}" name="FLEJES NUEVOS " dataDxfId="30" totalsRow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ACD9D-49CB-4B1C-A913-827D0503530E}" name="Tabla1345678910111213141516171819202122232425272829303132333434567891011121314161718192021222324252627292830313233343536382" displayName="Tabla1345678910111213141516171819202122232425272829303132333434567891011121314161718192021222324252627292830313233343536382" ref="A9:M48" totalsRowCount="1" headerRowDxfId="28" totalsRowDxfId="26" headerRowBorderDxfId="27">
  <autoFilter ref="A9:M47" xr:uid="{54C54C45-0AC7-4CAC-9565-0158C206CF05}"/>
  <tableColumns count="13">
    <tableColumn id="1" xr3:uid="{BD877805-4B58-46F7-ABF5-3675C6B96B82}" name="FECHA DE CARGA" dataDxfId="25" totalsRowDxfId="24"/>
    <tableColumn id="2" xr3:uid="{C304CB70-51C4-4D6D-AC10-7B804CB900A2}" name="EQUIPO " dataDxfId="23" totalsRowDxfId="22"/>
    <tableColumn id="3" xr3:uid="{0AE9E65D-FA2C-4D32-9864-8B449D46A388}" name="OPERADOR" totalsRowLabel="TOTAL:" dataDxfId="21" totalsRowDxfId="20"/>
    <tableColumn id="13" xr3:uid="{5B52FB55-5F7E-4984-AB39-3AADCA7E48D9}" name="CT" dataDxfId="19" totalsRowDxfId="18"/>
    <tableColumn id="4" xr3:uid="{8E668819-D6B5-466F-959F-E1F60BA01CE2}" name="LITROS" totalsRowFunction="custom" dataDxfId="17" totalsRowDxfId="16">
      <totalsRowFormula>E10+E11+E12+E13+E14+E15+E16+E21+E22+E23+E24+E25+E26+E27+E28+E29+E30+E31+E32+E33+E34+E35+E36+E37+E38+E39+E40+E41+E42+E43+E44+E45+E46+E47</totalsRowFormula>
    </tableColumn>
    <tableColumn id="5" xr3:uid="{AB2D892A-70AA-4F63-B9B1-A5BB380B11A6}" name="LITROS INICIALES" totalsRowLabel="LITROS SOBRANTES:" dataDxfId="15" totalsRowDxfId="14"/>
    <tableColumn id="6" xr3:uid="{FE93CB28-45D4-4C4F-A7C1-0C450C2DCBEA}" name="LITROS FINALES" totalsRowFunction="custom" dataDxfId="13" totalsRowDxfId="12">
      <calculatedColumnFormula>Tabla1345678910111213141516171819202122232425272829303132333434567891011121314161718192021222324252627292830313233343536382[[#This Row],[LITROS INICIALES]]+Tabla1345678910111213141516171819202122232425272829303132333434567891011121314161718192021222324252627292830313233343536382[[#This Row],[LITROS]]</calculatedColumnFormula>
      <totalsRowFormula>G47</totalsRowFormula>
    </tableColumn>
    <tableColumn id="7" xr3:uid="{754C7D15-005B-4B60-B842-C60A81413B07}" name="LITROS ESCANER" dataDxfId="11" totalsRowDxfId="10"/>
    <tableColumn id="8" xr3:uid="{5BBA5897-29BA-4B44-8391-EED5EBBF693B}" name="KM" totalsRowFunction="custom" dataDxfId="9" totalsRowDxfId="8">
      <calculatedColumnFormula>J10-K10</calculatedColumnFormula>
      <totalsRowFormula>SUBTOTAL(9,Tabla1345678910111213141516171819202122232425272829303132333434567891011121314161718192021222324252627292830313233343536382[KM])-I25</totalsRowFormula>
    </tableColumn>
    <tableColumn id="10" xr3:uid="{7F9A1421-2A5D-4103-AACE-F81AEDF783CB}" name="KM RECORRIDOS " dataDxfId="7" totalsRowDxfId="6"/>
    <tableColumn id="11" xr3:uid="{4FFC4844-2E51-428E-B911-E3EEF042E08C}" name="RENDIMIENTO " dataDxfId="5" totalsRowDxfId="4"/>
    <tableColumn id="12" xr3:uid="{C54C3097-AACD-435D-B7EA-8EE573E7921C}" name="FLEJES VIEJOS" dataDxfId="3" totalsRowDxfId="2"/>
    <tableColumn id="9" xr3:uid="{F2941EEC-E986-4C4C-B22F-57D461D93A17}" name="FLEJES NUEVOS 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FD3C-D53D-4CC8-B66B-991E78F9AD16}">
  <sheetPr>
    <tabColor rgb="FF7030A0"/>
    <pageSetUpPr fitToPage="1"/>
  </sheetPr>
  <dimension ref="A1:M64"/>
  <sheetViews>
    <sheetView tabSelected="1" topLeftCell="A32" workbookViewId="0">
      <selection activeCell="C13" sqref="C13"/>
    </sheetView>
  </sheetViews>
  <sheetFormatPr baseColWidth="10" defaultRowHeight="14.4" x14ac:dyDescent="0.3"/>
  <cols>
    <col min="1" max="1" width="50.77734375" style="38" customWidth="1"/>
    <col min="2" max="2" width="48.44140625" customWidth="1"/>
    <col min="3" max="3" width="41.6640625" customWidth="1"/>
    <col min="4" max="4" width="24.21875" customWidth="1"/>
    <col min="5" max="5" width="19.33203125" customWidth="1"/>
    <col min="6" max="6" width="19.6640625" customWidth="1"/>
    <col min="7" max="7" width="22.88671875" customWidth="1"/>
    <col min="8" max="11" width="20.88671875" customWidth="1"/>
    <col min="12" max="12" width="30.77734375" customWidth="1"/>
    <col min="13" max="13" width="22.5546875" customWidth="1"/>
  </cols>
  <sheetData>
    <row r="1" spans="1:13" ht="25.2" thickBot="1" x14ac:dyDescent="0.45">
      <c r="A1" s="36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3">
        <v>37</v>
      </c>
    </row>
    <row r="2" spans="1:13" ht="28.2" x14ac:dyDescent="0.5">
      <c r="A2" s="66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8"/>
    </row>
    <row r="3" spans="1:13" ht="23.4" thickBot="1" x14ac:dyDescent="0.45">
      <c r="A3" s="69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1"/>
    </row>
    <row r="4" spans="1:13" ht="17.399999999999999" thickBot="1" x14ac:dyDescent="0.35">
      <c r="A4" s="37"/>
      <c r="B4" s="4"/>
      <c r="C4" s="5"/>
      <c r="D4" s="5"/>
      <c r="E4" s="5"/>
      <c r="F4" s="5"/>
      <c r="G4" s="72" t="s">
        <v>3</v>
      </c>
      <c r="H4" s="72"/>
      <c r="I4" s="45"/>
      <c r="J4" s="45"/>
      <c r="K4" s="45"/>
      <c r="L4" s="6" t="s">
        <v>67</v>
      </c>
    </row>
    <row r="5" spans="1:13" ht="15" thickBot="1" x14ac:dyDescent="0.35">
      <c r="A5" s="37"/>
      <c r="B5" s="4"/>
      <c r="C5" s="5"/>
      <c r="D5" s="5"/>
      <c r="E5" s="5"/>
      <c r="F5" s="5"/>
      <c r="G5" s="7" t="s">
        <v>4</v>
      </c>
      <c r="H5" s="73" t="s">
        <v>66</v>
      </c>
      <c r="I5" s="73"/>
      <c r="J5" s="73"/>
      <c r="K5" s="73"/>
      <c r="L5" s="74"/>
    </row>
    <row r="6" spans="1:13" ht="15" thickBot="1" x14ac:dyDescent="0.3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3" x14ac:dyDescent="0.3">
      <c r="A7" s="37"/>
      <c r="B7" s="4"/>
      <c r="C7" s="4"/>
      <c r="D7" s="4"/>
      <c r="E7" s="4"/>
      <c r="F7" s="4"/>
      <c r="G7" s="4"/>
      <c r="H7" s="4"/>
      <c r="I7" s="4"/>
      <c r="J7" s="4"/>
      <c r="K7" s="4"/>
      <c r="L7" s="11"/>
    </row>
    <row r="8" spans="1:13" ht="15" thickBot="1" x14ac:dyDescent="0.35">
      <c r="A8" s="75" t="s">
        <v>5</v>
      </c>
      <c r="B8" s="76"/>
      <c r="C8" s="12">
        <f>E61</f>
        <v>17950.058939999999</v>
      </c>
      <c r="D8" s="13" t="s">
        <v>6</v>
      </c>
      <c r="E8" s="14">
        <f>C8-Tabla134567891011121314151617181920212223242527282930313233343456789101112131416171819202122232425262729283031323334353638[[#Totals],[LITROS]]</f>
        <v>7107.058939999999</v>
      </c>
      <c r="H8" s="4"/>
      <c r="I8" s="4"/>
      <c r="J8" s="4"/>
      <c r="K8" s="4"/>
      <c r="L8" s="11"/>
    </row>
    <row r="9" spans="1:13" ht="28.2" thickBot="1" x14ac:dyDescent="0.35">
      <c r="A9" s="8" t="s">
        <v>7</v>
      </c>
      <c r="B9" s="9" t="s">
        <v>8</v>
      </c>
      <c r="C9" s="9" t="s">
        <v>9</v>
      </c>
      <c r="D9" s="9" t="s">
        <v>97</v>
      </c>
      <c r="E9" s="9" t="s">
        <v>10</v>
      </c>
      <c r="F9" s="9" t="s">
        <v>11</v>
      </c>
      <c r="G9" s="9" t="s">
        <v>12</v>
      </c>
      <c r="H9" s="9" t="s">
        <v>47</v>
      </c>
      <c r="I9" s="9" t="s">
        <v>52</v>
      </c>
      <c r="J9" s="9" t="s">
        <v>48</v>
      </c>
      <c r="K9" s="9" t="s">
        <v>49</v>
      </c>
      <c r="L9" s="9" t="s">
        <v>50</v>
      </c>
      <c r="M9" s="10" t="s">
        <v>51</v>
      </c>
    </row>
    <row r="10" spans="1:13" x14ac:dyDescent="0.3">
      <c r="A10" s="15">
        <v>46272</v>
      </c>
      <c r="B10" s="16" t="s">
        <v>22</v>
      </c>
      <c r="C10" s="16" t="s">
        <v>29</v>
      </c>
      <c r="D10" s="16"/>
      <c r="E10" s="17">
        <v>91</v>
      </c>
      <c r="F10" s="18">
        <v>722069</v>
      </c>
      <c r="G10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722160</v>
      </c>
      <c r="H10" s="19"/>
      <c r="I10" s="54">
        <f t="shared" ref="I10:I49" si="0">J10-K10</f>
        <v>0</v>
      </c>
      <c r="J10" s="16"/>
      <c r="K10" s="16"/>
      <c r="L10" s="16"/>
      <c r="M10" s="20"/>
    </row>
    <row r="11" spans="1:13" x14ac:dyDescent="0.3">
      <c r="A11" s="15">
        <v>46273</v>
      </c>
      <c r="B11" s="16" t="s">
        <v>23</v>
      </c>
      <c r="C11" s="16" t="s">
        <v>30</v>
      </c>
      <c r="D11" s="16"/>
      <c r="E11" s="17">
        <v>5</v>
      </c>
      <c r="F11" s="18">
        <f t="shared" ref="F11:F16" si="1">G10</f>
        <v>722160</v>
      </c>
      <c r="G11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722165</v>
      </c>
      <c r="H11" s="19"/>
      <c r="I11" s="54">
        <f t="shared" si="0"/>
        <v>0</v>
      </c>
      <c r="J11" s="16"/>
      <c r="K11" s="16"/>
      <c r="L11" s="16"/>
      <c r="M11" s="20"/>
    </row>
    <row r="12" spans="1:13" x14ac:dyDescent="0.3">
      <c r="A12" s="15">
        <v>46273</v>
      </c>
      <c r="B12" s="16" t="s">
        <v>24</v>
      </c>
      <c r="C12" s="16" t="s">
        <v>30</v>
      </c>
      <c r="D12" s="16"/>
      <c r="E12" s="17">
        <v>501</v>
      </c>
      <c r="F12" s="18">
        <f t="shared" si="1"/>
        <v>722165</v>
      </c>
      <c r="G12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722666</v>
      </c>
      <c r="H12" s="19"/>
      <c r="I12" s="54">
        <f t="shared" si="0"/>
        <v>0</v>
      </c>
      <c r="J12" s="16"/>
      <c r="K12" s="16"/>
      <c r="L12" s="16"/>
      <c r="M12" s="20"/>
    </row>
    <row r="13" spans="1:13" x14ac:dyDescent="0.3">
      <c r="A13" s="15">
        <v>46273</v>
      </c>
      <c r="B13" s="16" t="s">
        <v>25</v>
      </c>
      <c r="C13" s="16" t="s">
        <v>31</v>
      </c>
      <c r="D13" s="16"/>
      <c r="E13" s="17">
        <v>500</v>
      </c>
      <c r="F13" s="18">
        <f t="shared" si="1"/>
        <v>722666</v>
      </c>
      <c r="G13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723166</v>
      </c>
      <c r="H13" s="19"/>
      <c r="I13" s="54">
        <f t="shared" si="0"/>
        <v>0</v>
      </c>
      <c r="J13" s="16"/>
      <c r="K13" s="16"/>
      <c r="L13" s="16"/>
      <c r="M13" s="20"/>
    </row>
    <row r="14" spans="1:13" x14ac:dyDescent="0.3">
      <c r="A14" s="15">
        <v>46273</v>
      </c>
      <c r="B14" s="16" t="s">
        <v>26</v>
      </c>
      <c r="C14" s="16" t="s">
        <v>32</v>
      </c>
      <c r="D14" s="16"/>
      <c r="E14" s="17">
        <v>500</v>
      </c>
      <c r="F14" s="18">
        <f t="shared" si="1"/>
        <v>723166</v>
      </c>
      <c r="G14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723666</v>
      </c>
      <c r="H14" s="19"/>
      <c r="I14" s="54">
        <f t="shared" si="0"/>
        <v>0</v>
      </c>
      <c r="J14" s="16"/>
      <c r="K14" s="16"/>
      <c r="L14" s="16"/>
      <c r="M14" s="20"/>
    </row>
    <row r="15" spans="1:13" x14ac:dyDescent="0.3">
      <c r="A15" s="15">
        <v>46273</v>
      </c>
      <c r="B15" s="16" t="s">
        <v>27</v>
      </c>
      <c r="C15" s="16" t="s">
        <v>33</v>
      </c>
      <c r="D15" s="16"/>
      <c r="E15" s="17">
        <v>100</v>
      </c>
      <c r="F15" s="18">
        <f t="shared" si="1"/>
        <v>723666</v>
      </c>
      <c r="G15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723766</v>
      </c>
      <c r="H15" s="19"/>
      <c r="I15" s="54">
        <f t="shared" si="0"/>
        <v>0</v>
      </c>
      <c r="J15" s="16"/>
      <c r="K15" s="16"/>
      <c r="L15" s="16"/>
      <c r="M15" s="20"/>
    </row>
    <row r="16" spans="1:13" x14ac:dyDescent="0.3">
      <c r="A16" s="15">
        <v>46273</v>
      </c>
      <c r="B16" s="16" t="s">
        <v>28</v>
      </c>
      <c r="C16" s="16" t="s">
        <v>34</v>
      </c>
      <c r="D16" s="16"/>
      <c r="E16" s="17">
        <v>110</v>
      </c>
      <c r="F16" s="18">
        <f t="shared" si="1"/>
        <v>723766</v>
      </c>
      <c r="G16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723876</v>
      </c>
      <c r="H16" s="19"/>
      <c r="I16" s="54">
        <f t="shared" si="0"/>
        <v>0</v>
      </c>
      <c r="J16" s="16"/>
      <c r="K16" s="16"/>
      <c r="L16" s="16"/>
      <c r="M16" s="20"/>
    </row>
    <row r="17" spans="1:13" ht="18" x14ac:dyDescent="0.3">
      <c r="A17" s="46" t="s">
        <v>44</v>
      </c>
      <c r="B17" s="47" t="s">
        <v>45</v>
      </c>
      <c r="C17" s="47"/>
      <c r="D17" s="47"/>
      <c r="E17" s="48"/>
      <c r="F17" s="49"/>
      <c r="G17" s="49"/>
      <c r="H17" s="49"/>
      <c r="I17" s="49"/>
      <c r="J17" s="49"/>
      <c r="K17" s="49"/>
      <c r="L17" s="49"/>
      <c r="M17" s="49"/>
    </row>
    <row r="18" spans="1:13" x14ac:dyDescent="0.3">
      <c r="A18" s="15">
        <v>46273</v>
      </c>
      <c r="B18" s="16" t="s">
        <v>38</v>
      </c>
      <c r="C18" s="16" t="s">
        <v>41</v>
      </c>
      <c r="D18" s="16"/>
      <c r="E18" s="17">
        <f>370.336+370.336</f>
        <v>740.67200000000003</v>
      </c>
      <c r="F18" s="18"/>
      <c r="G18" s="18"/>
      <c r="H18" s="19"/>
      <c r="I18" s="54">
        <v>559724.1</v>
      </c>
      <c r="J18" s="16"/>
      <c r="K18" s="16"/>
      <c r="L18" s="16" t="s">
        <v>68</v>
      </c>
      <c r="M18" s="20" t="s">
        <v>69</v>
      </c>
    </row>
    <row r="19" spans="1:13" x14ac:dyDescent="0.3">
      <c r="A19" s="15">
        <v>46273</v>
      </c>
      <c r="B19" s="16" t="s">
        <v>39</v>
      </c>
      <c r="C19" s="16" t="s">
        <v>42</v>
      </c>
      <c r="D19" s="16"/>
      <c r="E19" s="17">
        <f>316.907+370.336</f>
        <v>687.24299999999994</v>
      </c>
      <c r="F19" s="18"/>
      <c r="G19" s="18"/>
      <c r="H19" s="19"/>
      <c r="I19" s="54">
        <v>602360</v>
      </c>
      <c r="J19" s="16"/>
      <c r="K19" s="16"/>
      <c r="L19" s="16" t="s">
        <v>70</v>
      </c>
      <c r="M19" s="20" t="s">
        <v>71</v>
      </c>
    </row>
    <row r="20" spans="1:13" x14ac:dyDescent="0.3">
      <c r="A20" s="15">
        <v>46273</v>
      </c>
      <c r="B20" s="16" t="s">
        <v>24</v>
      </c>
      <c r="C20" s="16" t="s">
        <v>30</v>
      </c>
      <c r="D20" s="16"/>
      <c r="E20" s="17">
        <f>370.336+64.971</f>
        <v>435.30700000000002</v>
      </c>
      <c r="F20" s="18"/>
      <c r="G20" s="18"/>
      <c r="H20" s="19"/>
      <c r="I20" s="54">
        <v>445629</v>
      </c>
      <c r="J20" s="16"/>
      <c r="K20" s="16"/>
      <c r="L20" s="16">
        <v>47570</v>
      </c>
      <c r="M20" s="20" t="s">
        <v>72</v>
      </c>
    </row>
    <row r="21" spans="1:13" x14ac:dyDescent="0.3">
      <c r="A21" s="15">
        <v>46273</v>
      </c>
      <c r="B21" s="16" t="s">
        <v>40</v>
      </c>
      <c r="C21" s="16" t="s">
        <v>43</v>
      </c>
      <c r="D21" s="16"/>
      <c r="E21" s="17">
        <f>370.336+214.096</f>
        <v>584.43200000000002</v>
      </c>
      <c r="F21" s="18"/>
      <c r="G21" s="18"/>
      <c r="H21" s="19"/>
      <c r="I21" s="54">
        <v>715874.6</v>
      </c>
      <c r="J21" s="16"/>
      <c r="K21" s="16"/>
      <c r="L21" s="16" t="s">
        <v>73</v>
      </c>
      <c r="M21" s="20" t="s">
        <v>74</v>
      </c>
    </row>
    <row r="22" spans="1:13" ht="18" x14ac:dyDescent="0.3">
      <c r="A22" s="46"/>
      <c r="B22" s="47"/>
      <c r="C22" s="47"/>
      <c r="D22" s="47"/>
      <c r="E22" s="48"/>
      <c r="F22" s="49"/>
      <c r="G22" s="49"/>
      <c r="H22" s="49"/>
      <c r="I22" s="49"/>
      <c r="J22" s="49"/>
      <c r="K22" s="49"/>
      <c r="L22" s="49"/>
      <c r="M22" s="49"/>
    </row>
    <row r="23" spans="1:13" x14ac:dyDescent="0.3">
      <c r="A23" s="15">
        <v>46273</v>
      </c>
      <c r="B23" s="16" t="s">
        <v>54</v>
      </c>
      <c r="C23" s="16" t="s">
        <v>56</v>
      </c>
      <c r="D23" s="16"/>
      <c r="E23" s="17">
        <v>104</v>
      </c>
      <c r="F23" s="18">
        <f>G16</f>
        <v>723876</v>
      </c>
      <c r="G23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723980</v>
      </c>
      <c r="H23" s="19"/>
      <c r="I23" s="54">
        <f t="shared" si="0"/>
        <v>0</v>
      </c>
      <c r="J23" s="16"/>
      <c r="K23" s="16"/>
      <c r="L23" s="16"/>
      <c r="M23" s="20"/>
    </row>
    <row r="24" spans="1:13" x14ac:dyDescent="0.3">
      <c r="A24" s="15">
        <v>46273</v>
      </c>
      <c r="B24" s="16" t="s">
        <v>90</v>
      </c>
      <c r="C24" s="16" t="s">
        <v>57</v>
      </c>
      <c r="D24" s="16"/>
      <c r="E24" s="17">
        <v>170</v>
      </c>
      <c r="F24" s="18">
        <f>G23</f>
        <v>723980</v>
      </c>
      <c r="G24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724150</v>
      </c>
      <c r="H24" s="19"/>
      <c r="I24" s="54">
        <f t="shared" si="0"/>
        <v>0</v>
      </c>
      <c r="J24" s="16"/>
      <c r="K24" s="16"/>
      <c r="L24" s="16"/>
      <c r="M24" s="20"/>
    </row>
    <row r="25" spans="1:13" x14ac:dyDescent="0.3">
      <c r="A25" s="15">
        <v>46274</v>
      </c>
      <c r="B25" s="16" t="s">
        <v>26</v>
      </c>
      <c r="C25" s="16" t="s">
        <v>58</v>
      </c>
      <c r="D25" s="16"/>
      <c r="E25" s="17">
        <v>390</v>
      </c>
      <c r="F25" s="18">
        <f>G24</f>
        <v>724150</v>
      </c>
      <c r="G25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724540</v>
      </c>
      <c r="H25" s="19"/>
      <c r="I25" s="54">
        <v>640357.6</v>
      </c>
      <c r="J25" s="16"/>
      <c r="K25" s="16"/>
      <c r="L25" s="16" t="s">
        <v>75</v>
      </c>
      <c r="M25" s="20" t="s">
        <v>76</v>
      </c>
    </row>
    <row r="26" spans="1:13" x14ac:dyDescent="0.3">
      <c r="A26" s="15">
        <v>46274</v>
      </c>
      <c r="B26" s="16" t="s">
        <v>25</v>
      </c>
      <c r="C26" s="16" t="s">
        <v>59</v>
      </c>
      <c r="D26" s="16"/>
      <c r="E26" s="17">
        <v>560</v>
      </c>
      <c r="F26" s="18">
        <f t="shared" ref="F26:F49" si="2">G25</f>
        <v>724540</v>
      </c>
      <c r="G26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725100</v>
      </c>
      <c r="H26" s="19"/>
      <c r="I26" s="54">
        <v>607722</v>
      </c>
      <c r="J26" s="16"/>
      <c r="K26" s="16"/>
      <c r="L26" s="16" t="s">
        <v>77</v>
      </c>
      <c r="M26" s="20" t="s">
        <v>78</v>
      </c>
    </row>
    <row r="27" spans="1:13" x14ac:dyDescent="0.3">
      <c r="A27" s="15">
        <v>46274</v>
      </c>
      <c r="B27" s="16" t="s">
        <v>55</v>
      </c>
      <c r="C27" s="16" t="s">
        <v>60</v>
      </c>
      <c r="D27" s="16"/>
      <c r="E27" s="17">
        <v>351</v>
      </c>
      <c r="F27" s="18">
        <f t="shared" si="2"/>
        <v>725100</v>
      </c>
      <c r="G27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725451</v>
      </c>
      <c r="H27" s="19"/>
      <c r="I27" s="54">
        <f t="shared" si="0"/>
        <v>0</v>
      </c>
      <c r="J27" s="16"/>
      <c r="K27" s="16"/>
      <c r="L27" s="16"/>
      <c r="M27" s="20"/>
    </row>
    <row r="28" spans="1:13" x14ac:dyDescent="0.3">
      <c r="A28" s="15">
        <v>46275</v>
      </c>
      <c r="B28" s="16" t="s">
        <v>54</v>
      </c>
      <c r="C28" s="16" t="s">
        <v>56</v>
      </c>
      <c r="D28" s="16"/>
      <c r="E28" s="17">
        <v>20</v>
      </c>
      <c r="F28" s="18">
        <f t="shared" si="2"/>
        <v>725451</v>
      </c>
      <c r="G28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725471</v>
      </c>
      <c r="H28" s="19"/>
      <c r="I28" s="54">
        <f t="shared" si="0"/>
        <v>0</v>
      </c>
      <c r="J28" s="16"/>
      <c r="K28" s="16"/>
      <c r="L28" s="16"/>
      <c r="M28" s="20"/>
    </row>
    <row r="29" spans="1:13" x14ac:dyDescent="0.3">
      <c r="A29" s="15">
        <v>46275</v>
      </c>
      <c r="B29" s="16" t="s">
        <v>82</v>
      </c>
      <c r="C29" s="16" t="s">
        <v>83</v>
      </c>
      <c r="D29" s="16"/>
      <c r="E29" s="17">
        <v>604</v>
      </c>
      <c r="F29" s="18">
        <f>G28</f>
        <v>725471</v>
      </c>
      <c r="G29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726075</v>
      </c>
      <c r="H29" s="19"/>
      <c r="I29" s="54">
        <f>J29-K29</f>
        <v>0</v>
      </c>
      <c r="J29" s="16"/>
      <c r="K29" s="16"/>
      <c r="L29" s="16"/>
      <c r="M29" s="20"/>
    </row>
    <row r="30" spans="1:13" x14ac:dyDescent="0.3">
      <c r="A30" s="15">
        <v>46275</v>
      </c>
      <c r="B30" s="16" t="s">
        <v>38</v>
      </c>
      <c r="C30" s="16" t="s">
        <v>41</v>
      </c>
      <c r="D30" s="16"/>
      <c r="E30" s="17">
        <v>590</v>
      </c>
      <c r="F30" s="18">
        <f>G29</f>
        <v>726075</v>
      </c>
      <c r="G30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726665</v>
      </c>
      <c r="H30" s="19"/>
      <c r="I30" s="54">
        <v>560479.4</v>
      </c>
      <c r="J30" s="16"/>
      <c r="K30" s="16"/>
      <c r="L30" s="16" t="s">
        <v>79</v>
      </c>
      <c r="M30" s="20" t="s">
        <v>80</v>
      </c>
    </row>
    <row r="31" spans="1:13" x14ac:dyDescent="0.3">
      <c r="A31" s="15">
        <v>46275</v>
      </c>
      <c r="B31" s="16" t="s">
        <v>39</v>
      </c>
      <c r="C31" s="16" t="s">
        <v>42</v>
      </c>
      <c r="D31" s="16"/>
      <c r="E31" s="17">
        <v>462</v>
      </c>
      <c r="F31" s="18">
        <f>G30</f>
        <v>726665</v>
      </c>
      <c r="G31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727127</v>
      </c>
      <c r="H31" s="19"/>
      <c r="I31" s="54">
        <v>602958</v>
      </c>
      <c r="J31" s="16"/>
      <c r="K31" s="16"/>
      <c r="L31" s="16" t="s">
        <v>71</v>
      </c>
      <c r="M31" s="20" t="s">
        <v>81</v>
      </c>
    </row>
    <row r="32" spans="1:13" x14ac:dyDescent="0.3">
      <c r="A32" s="15">
        <v>46275</v>
      </c>
      <c r="B32" s="16" t="s">
        <v>54</v>
      </c>
      <c r="C32" s="16" t="s">
        <v>56</v>
      </c>
      <c r="D32" s="16"/>
      <c r="E32" s="17">
        <v>60</v>
      </c>
      <c r="F32" s="18">
        <f>G31</f>
        <v>727127</v>
      </c>
      <c r="G32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727187</v>
      </c>
      <c r="H32" s="19"/>
      <c r="I32" s="54">
        <f t="shared" si="0"/>
        <v>0</v>
      </c>
      <c r="J32" s="16"/>
      <c r="K32" s="16"/>
      <c r="L32" s="16"/>
      <c r="M32" s="20"/>
    </row>
    <row r="33" spans="1:13" x14ac:dyDescent="0.3">
      <c r="A33" s="15">
        <v>46275</v>
      </c>
      <c r="B33" s="16" t="s">
        <v>28</v>
      </c>
      <c r="C33" s="16" t="s">
        <v>34</v>
      </c>
      <c r="D33" s="16"/>
      <c r="E33" s="17">
        <v>700</v>
      </c>
      <c r="F33" s="18">
        <f t="shared" si="2"/>
        <v>727187</v>
      </c>
      <c r="G33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727887</v>
      </c>
      <c r="H33" s="19"/>
      <c r="I33" s="54">
        <f t="shared" si="0"/>
        <v>0</v>
      </c>
      <c r="J33" s="16"/>
      <c r="K33" s="16"/>
      <c r="L33" s="16"/>
      <c r="M33" s="20"/>
    </row>
    <row r="34" spans="1:13" x14ac:dyDescent="0.3">
      <c r="A34" s="15">
        <v>46276</v>
      </c>
      <c r="B34" s="16" t="s">
        <v>85</v>
      </c>
      <c r="C34" s="16" t="s">
        <v>86</v>
      </c>
      <c r="D34" s="16"/>
      <c r="E34" s="17">
        <v>680</v>
      </c>
      <c r="F34" s="18">
        <f t="shared" si="2"/>
        <v>727887</v>
      </c>
      <c r="G34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728567</v>
      </c>
      <c r="H34" s="19"/>
      <c r="I34" s="54">
        <f t="shared" si="0"/>
        <v>0</v>
      </c>
      <c r="J34" s="16"/>
      <c r="K34" s="16"/>
      <c r="L34" s="16" t="s">
        <v>87</v>
      </c>
      <c r="M34" s="20" t="s">
        <v>88</v>
      </c>
    </row>
    <row r="35" spans="1:13" x14ac:dyDescent="0.3">
      <c r="A35" s="15">
        <v>46275</v>
      </c>
      <c r="B35" s="16" t="s">
        <v>54</v>
      </c>
      <c r="C35" s="16" t="s">
        <v>56</v>
      </c>
      <c r="D35" s="16"/>
      <c r="E35" s="17">
        <v>160</v>
      </c>
      <c r="F35" s="18">
        <f t="shared" si="2"/>
        <v>728567</v>
      </c>
      <c r="G35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728727</v>
      </c>
      <c r="H35" s="19"/>
      <c r="I35" s="54">
        <f t="shared" si="0"/>
        <v>0</v>
      </c>
      <c r="J35" s="16"/>
      <c r="K35" s="16"/>
      <c r="L35" s="16"/>
      <c r="M35" s="20"/>
    </row>
    <row r="36" spans="1:13" x14ac:dyDescent="0.3">
      <c r="A36" s="15">
        <v>46275</v>
      </c>
      <c r="B36" s="16" t="s">
        <v>89</v>
      </c>
      <c r="C36" s="16" t="s">
        <v>57</v>
      </c>
      <c r="D36" s="16"/>
      <c r="E36" s="17">
        <v>116</v>
      </c>
      <c r="F36" s="18">
        <f t="shared" si="2"/>
        <v>728727</v>
      </c>
      <c r="G36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728843</v>
      </c>
      <c r="H36" s="19"/>
      <c r="I36" s="54">
        <v>57195</v>
      </c>
      <c r="J36" s="16"/>
      <c r="K36" s="16"/>
      <c r="L36" s="16"/>
      <c r="M36" s="20"/>
    </row>
    <row r="37" spans="1:13" x14ac:dyDescent="0.3">
      <c r="A37" s="15">
        <v>46276</v>
      </c>
      <c r="B37" s="16" t="s">
        <v>26</v>
      </c>
      <c r="C37" s="16" t="s">
        <v>32</v>
      </c>
      <c r="D37" s="16"/>
      <c r="E37" s="17">
        <v>580</v>
      </c>
      <c r="F37" s="18">
        <f t="shared" si="2"/>
        <v>728843</v>
      </c>
      <c r="G37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729423</v>
      </c>
      <c r="H37" s="19"/>
      <c r="I37" s="54"/>
      <c r="J37" s="16"/>
      <c r="K37" s="16"/>
      <c r="L37" s="16" t="s">
        <v>91</v>
      </c>
      <c r="M37" s="20" t="s">
        <v>92</v>
      </c>
    </row>
    <row r="38" spans="1:13" x14ac:dyDescent="0.3">
      <c r="A38" s="15">
        <v>46276</v>
      </c>
      <c r="B38" s="16" t="s">
        <v>40</v>
      </c>
      <c r="C38" s="16" t="s">
        <v>43</v>
      </c>
      <c r="D38" s="16"/>
      <c r="E38" s="17">
        <v>782</v>
      </c>
      <c r="F38" s="18">
        <f t="shared" si="2"/>
        <v>729423</v>
      </c>
      <c r="G38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730205</v>
      </c>
      <c r="H38" s="19"/>
      <c r="I38" s="54">
        <v>716988.9</v>
      </c>
      <c r="J38" s="16"/>
      <c r="K38" s="16"/>
      <c r="L38" s="16" t="s">
        <v>74</v>
      </c>
      <c r="M38" s="20" t="s">
        <v>93</v>
      </c>
    </row>
    <row r="39" spans="1:13" x14ac:dyDescent="0.3">
      <c r="A39" s="15">
        <v>46276</v>
      </c>
      <c r="B39" s="16" t="s">
        <v>24</v>
      </c>
      <c r="C39" s="16" t="s">
        <v>30</v>
      </c>
      <c r="D39" s="16"/>
      <c r="E39" s="17">
        <v>615</v>
      </c>
      <c r="F39" s="18">
        <f t="shared" si="2"/>
        <v>730205</v>
      </c>
      <c r="G39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730820</v>
      </c>
      <c r="H39" s="19"/>
      <c r="I39" s="54">
        <v>446567</v>
      </c>
      <c r="J39" s="16"/>
      <c r="K39" s="16"/>
      <c r="L39" s="16" t="s">
        <v>94</v>
      </c>
      <c r="M39" s="20" t="s">
        <v>95</v>
      </c>
    </row>
    <row r="40" spans="1:13" x14ac:dyDescent="0.3">
      <c r="A40" s="15">
        <v>46276</v>
      </c>
      <c r="B40" s="16" t="s">
        <v>25</v>
      </c>
      <c r="C40" s="16" t="s">
        <v>59</v>
      </c>
      <c r="D40" s="16"/>
      <c r="E40" s="17">
        <v>423</v>
      </c>
      <c r="F40" s="18">
        <f t="shared" si="2"/>
        <v>730820</v>
      </c>
      <c r="G40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731243</v>
      </c>
      <c r="H40" s="19"/>
      <c r="I40" s="54">
        <v>608383</v>
      </c>
      <c r="J40" s="16"/>
      <c r="K40" s="16"/>
      <c r="L40" s="16">
        <v>47582</v>
      </c>
      <c r="M40" s="20" t="s">
        <v>96</v>
      </c>
    </row>
    <row r="41" spans="1:13" x14ac:dyDescent="0.3">
      <c r="A41" s="15">
        <v>46276</v>
      </c>
      <c r="B41" s="16" t="s">
        <v>22</v>
      </c>
      <c r="C41" s="16" t="s">
        <v>29</v>
      </c>
      <c r="D41" s="16"/>
      <c r="E41" s="17">
        <v>254</v>
      </c>
      <c r="F41" s="18">
        <f t="shared" si="2"/>
        <v>731243</v>
      </c>
      <c r="G41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731497</v>
      </c>
      <c r="H41" s="19"/>
      <c r="I41" s="54">
        <v>312378</v>
      </c>
      <c r="J41" s="16"/>
      <c r="K41" s="16"/>
      <c r="L41" s="16"/>
      <c r="M41" s="20"/>
    </row>
    <row r="42" spans="1:13" x14ac:dyDescent="0.3">
      <c r="A42" s="15">
        <v>46276</v>
      </c>
      <c r="B42" s="16" t="s">
        <v>90</v>
      </c>
      <c r="C42" s="16" t="s">
        <v>57</v>
      </c>
      <c r="D42" s="16" t="s">
        <v>98</v>
      </c>
      <c r="E42" s="17">
        <v>91</v>
      </c>
      <c r="F42" s="18">
        <f t="shared" si="2"/>
        <v>731497</v>
      </c>
      <c r="G42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731588</v>
      </c>
      <c r="H42" s="19"/>
      <c r="I42" s="54">
        <v>57308</v>
      </c>
      <c r="J42" s="16"/>
      <c r="K42" s="16"/>
      <c r="L42" s="16">
        <v>47586</v>
      </c>
      <c r="M42" s="20">
        <v>47573</v>
      </c>
    </row>
    <row r="43" spans="1:13" x14ac:dyDescent="0.3">
      <c r="A43" s="15">
        <v>46276</v>
      </c>
      <c r="B43" s="16" t="s">
        <v>99</v>
      </c>
      <c r="C43" s="16" t="s">
        <v>33</v>
      </c>
      <c r="D43" s="16" t="s">
        <v>100</v>
      </c>
      <c r="E43" s="17">
        <v>250</v>
      </c>
      <c r="F43" s="18">
        <f t="shared" si="2"/>
        <v>731588</v>
      </c>
      <c r="G43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731838</v>
      </c>
      <c r="H43" s="19"/>
      <c r="I43" s="54">
        <v>37554.6</v>
      </c>
      <c r="J43" s="16"/>
      <c r="K43" s="16"/>
      <c r="L43" s="16"/>
      <c r="M43" s="20"/>
    </row>
    <row r="44" spans="1:13" x14ac:dyDescent="0.3">
      <c r="A44" s="15">
        <v>46276</v>
      </c>
      <c r="B44" s="16" t="s">
        <v>23</v>
      </c>
      <c r="C44" s="16" t="s">
        <v>43</v>
      </c>
      <c r="D44" s="16"/>
      <c r="E44" s="17">
        <v>10</v>
      </c>
      <c r="F44" s="18">
        <f t="shared" si="2"/>
        <v>731838</v>
      </c>
      <c r="G44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731848</v>
      </c>
      <c r="H44" s="19"/>
      <c r="I44" s="54">
        <f t="shared" si="0"/>
        <v>0</v>
      </c>
      <c r="J44" s="16"/>
      <c r="K44" s="16"/>
      <c r="L44" s="16"/>
      <c r="M44" s="20"/>
    </row>
    <row r="45" spans="1:13" x14ac:dyDescent="0.3">
      <c r="A45" s="15">
        <v>46277</v>
      </c>
      <c r="B45" s="16" t="s">
        <v>84</v>
      </c>
      <c r="C45" s="16" t="s">
        <v>101</v>
      </c>
      <c r="D45" s="16"/>
      <c r="E45" s="17">
        <v>587</v>
      </c>
      <c r="F45" s="18">
        <f t="shared" si="2"/>
        <v>731848</v>
      </c>
      <c r="G45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732435</v>
      </c>
      <c r="H45" s="19"/>
      <c r="I45" s="54">
        <v>541345.69999999995</v>
      </c>
      <c r="J45" s="16"/>
      <c r="K45" s="16"/>
      <c r="L45" s="16" t="s">
        <v>102</v>
      </c>
      <c r="M45" s="20" t="s">
        <v>103</v>
      </c>
    </row>
    <row r="46" spans="1:13" x14ac:dyDescent="0.3">
      <c r="A46" s="15">
        <v>46277</v>
      </c>
      <c r="B46" s="16" t="s">
        <v>39</v>
      </c>
      <c r="C46" s="16" t="s">
        <v>42</v>
      </c>
      <c r="D46" s="16"/>
      <c r="E46" s="17">
        <v>477</v>
      </c>
      <c r="F46" s="18">
        <f t="shared" si="2"/>
        <v>732435</v>
      </c>
      <c r="G46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732912</v>
      </c>
      <c r="H46" s="19"/>
      <c r="I46" s="54">
        <v>603755</v>
      </c>
      <c r="J46" s="16"/>
      <c r="K46" s="16"/>
      <c r="L46" s="16" t="s">
        <v>104</v>
      </c>
      <c r="M46" s="20" t="s">
        <v>105</v>
      </c>
    </row>
    <row r="47" spans="1:13" x14ac:dyDescent="0.3">
      <c r="A47" s="15"/>
      <c r="B47" s="16"/>
      <c r="C47" s="16"/>
      <c r="D47" s="16"/>
      <c r="E47" s="17"/>
      <c r="F47" s="18">
        <f t="shared" si="2"/>
        <v>732912</v>
      </c>
      <c r="G47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732912</v>
      </c>
      <c r="H47" s="19"/>
      <c r="I47" s="54">
        <f t="shared" si="0"/>
        <v>0</v>
      </c>
      <c r="J47" s="16"/>
      <c r="K47" s="16"/>
      <c r="L47" s="16"/>
      <c r="M47" s="20"/>
    </row>
    <row r="48" spans="1:13" x14ac:dyDescent="0.3">
      <c r="A48" s="15"/>
      <c r="B48" s="16"/>
      <c r="C48" s="16"/>
      <c r="D48" s="16"/>
      <c r="E48" s="17"/>
      <c r="F48" s="18">
        <f t="shared" si="2"/>
        <v>732912</v>
      </c>
      <c r="G48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732912</v>
      </c>
      <c r="H48" s="19"/>
      <c r="I48" s="54">
        <f t="shared" si="0"/>
        <v>0</v>
      </c>
      <c r="J48" s="16"/>
      <c r="K48" s="16"/>
      <c r="L48" s="16"/>
      <c r="M48" s="20"/>
    </row>
    <row r="49" spans="1:13" x14ac:dyDescent="0.3">
      <c r="A49" s="15"/>
      <c r="B49" s="16"/>
      <c r="C49" s="16"/>
      <c r="D49" s="16"/>
      <c r="E49" s="17"/>
      <c r="F49" s="18">
        <f t="shared" si="2"/>
        <v>732912</v>
      </c>
      <c r="G49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732912</v>
      </c>
      <c r="H49" s="19"/>
      <c r="I49" s="55">
        <f t="shared" si="0"/>
        <v>0</v>
      </c>
      <c r="J49" s="43"/>
      <c r="K49" s="43"/>
      <c r="L49" s="43"/>
      <c r="M49" s="44"/>
    </row>
    <row r="50" spans="1:13" s="29" customFormat="1" ht="31.2" x14ac:dyDescent="0.3">
      <c r="A50" s="21"/>
      <c r="B50" s="22"/>
      <c r="C50" s="23" t="s">
        <v>13</v>
      </c>
      <c r="D50" s="23"/>
      <c r="E50" s="24">
        <f>E10+E11+E12+E13+E14+E15+E16+E23+E24+E25+E26+E27+E28+E29+E30+E31+E32+E33+E34+E35+E36+E37+E38+E39+E40+E41+E42+E43+E44+E45+E46+E47+E48+E49</f>
        <v>10843</v>
      </c>
      <c r="F50" s="25" t="s">
        <v>14</v>
      </c>
      <c r="G50" s="26">
        <f>G49</f>
        <v>732912</v>
      </c>
      <c r="H50" s="27"/>
      <c r="I50" s="24">
        <f>SUBTOTAL(9,Tabla134567891011121314151617181920212223242527282930313233343456789101112131416171819202122232425262729283031323334353638[KM])-I27</f>
        <v>8116579.9000000004</v>
      </c>
      <c r="J50" s="24"/>
      <c r="K50" s="24"/>
      <c r="L50" s="24"/>
      <c r="M50" s="28"/>
    </row>
    <row r="52" spans="1:13" ht="18" x14ac:dyDescent="0.35">
      <c r="A52" s="65" t="s">
        <v>108</v>
      </c>
      <c r="B52" s="65"/>
      <c r="C52" s="65"/>
      <c r="D52" s="65"/>
      <c r="E52" s="65"/>
      <c r="F52" s="65"/>
    </row>
    <row r="53" spans="1:13" ht="19.2" customHeight="1" x14ac:dyDescent="0.3">
      <c r="A53" s="30" t="s">
        <v>17</v>
      </c>
      <c r="B53" s="30" t="s">
        <v>18</v>
      </c>
      <c r="C53" s="30" t="s">
        <v>19</v>
      </c>
      <c r="D53" s="31" t="s">
        <v>20</v>
      </c>
      <c r="E53" s="31" t="s">
        <v>10</v>
      </c>
      <c r="F53" s="32" t="s">
        <v>15</v>
      </c>
      <c r="G53" s="56" t="s">
        <v>106</v>
      </c>
      <c r="H53" s="56" t="s">
        <v>107</v>
      </c>
    </row>
    <row r="54" spans="1:13" s="33" customFormat="1" x14ac:dyDescent="0.3">
      <c r="A54" s="39">
        <v>46273</v>
      </c>
      <c r="B54" s="40" t="s">
        <v>35</v>
      </c>
      <c r="C54" s="40" t="s">
        <v>36</v>
      </c>
      <c r="D54" s="41" t="s">
        <v>37</v>
      </c>
      <c r="E54" s="41">
        <v>2000.0081399999999</v>
      </c>
      <c r="F54" s="42">
        <f t="shared" ref="F54:F59" si="3">E54*27</f>
        <v>54000.219779999999</v>
      </c>
    </row>
    <row r="55" spans="1:13" s="33" customFormat="1" x14ac:dyDescent="0.3">
      <c r="A55" s="39">
        <v>46273</v>
      </c>
      <c r="B55" s="40" t="s">
        <v>46</v>
      </c>
      <c r="C55" s="40" t="s">
        <v>36</v>
      </c>
      <c r="D55" s="41" t="s">
        <v>45</v>
      </c>
      <c r="E55" s="41">
        <v>2447.6410000000001</v>
      </c>
      <c r="F55" s="42">
        <f t="shared" si="3"/>
        <v>66086.307000000001</v>
      </c>
    </row>
    <row r="56" spans="1:13" s="33" customFormat="1" x14ac:dyDescent="0.3">
      <c r="A56" s="39">
        <v>46273</v>
      </c>
      <c r="B56" s="40" t="s">
        <v>35</v>
      </c>
      <c r="C56" s="40" t="s">
        <v>36</v>
      </c>
      <c r="D56" s="41" t="s">
        <v>53</v>
      </c>
      <c r="E56" s="41">
        <v>4000.0135</v>
      </c>
      <c r="F56" s="42">
        <f t="shared" si="3"/>
        <v>108000.3645</v>
      </c>
    </row>
    <row r="57" spans="1:13" s="33" customFormat="1" x14ac:dyDescent="0.3">
      <c r="A57" s="39">
        <v>46275</v>
      </c>
      <c r="B57" s="40" t="s">
        <v>35</v>
      </c>
      <c r="C57" s="40" t="s">
        <v>36</v>
      </c>
      <c r="D57" s="41" t="s">
        <v>61</v>
      </c>
      <c r="E57" s="41">
        <v>4000.0135</v>
      </c>
      <c r="F57" s="42">
        <f t="shared" si="3"/>
        <v>108000.3645</v>
      </c>
    </row>
    <row r="58" spans="1:13" s="33" customFormat="1" x14ac:dyDescent="0.3">
      <c r="A58" s="39">
        <v>46275</v>
      </c>
      <c r="B58" s="40" t="s">
        <v>35</v>
      </c>
      <c r="C58" s="40" t="s">
        <v>36</v>
      </c>
      <c r="D58" s="41" t="s">
        <v>62</v>
      </c>
      <c r="E58" s="41">
        <f>3700.01+250.011</f>
        <v>3950.0210000000002</v>
      </c>
      <c r="F58" s="42">
        <f t="shared" si="3"/>
        <v>106650.56700000001</v>
      </c>
    </row>
    <row r="59" spans="1:13" s="33" customFormat="1" x14ac:dyDescent="0.3">
      <c r="A59" s="39">
        <v>46276</v>
      </c>
      <c r="B59" s="40" t="s">
        <v>35</v>
      </c>
      <c r="C59" s="40" t="s">
        <v>36</v>
      </c>
      <c r="D59" s="41" t="s">
        <v>63</v>
      </c>
      <c r="E59" s="41">
        <f>2800.008+298.225+256.063+93.926+51.778+250.0011+250.0017</f>
        <v>4000.0027999999993</v>
      </c>
      <c r="F59" s="42">
        <f t="shared" si="3"/>
        <v>108000.07559999998</v>
      </c>
    </row>
    <row r="60" spans="1:13" s="33" customFormat="1" x14ac:dyDescent="0.3">
      <c r="A60" s="50">
        <v>46276</v>
      </c>
      <c r="B60" s="51" t="s">
        <v>64</v>
      </c>
      <c r="C60" s="51" t="s">
        <v>36</v>
      </c>
      <c r="D60" s="52" t="s">
        <v>65</v>
      </c>
      <c r="E60" s="52">
        <v>161.91499999999999</v>
      </c>
      <c r="F60" s="53">
        <f>E60*23.9</f>
        <v>3869.7684999999997</v>
      </c>
    </row>
    <row r="61" spans="1:13" s="33" customFormat="1" ht="29.4" customHeight="1" x14ac:dyDescent="0.3">
      <c r="A61" s="15"/>
      <c r="D61" s="34" t="s">
        <v>16</v>
      </c>
      <c r="E61" s="34">
        <f>E54+E56+E57+E58+E59</f>
        <v>17950.058939999999</v>
      </c>
      <c r="F61" s="35">
        <f>SUM(F54:F60)</f>
        <v>554607.66688000003</v>
      </c>
    </row>
    <row r="62" spans="1:13" ht="15" thickBot="1" x14ac:dyDescent="0.35"/>
    <row r="63" spans="1:13" ht="45.6" customHeight="1" thickBot="1" x14ac:dyDescent="0.35">
      <c r="A63" s="57" t="s">
        <v>109</v>
      </c>
      <c r="B63" s="58"/>
      <c r="C63" s="62" t="s">
        <v>21</v>
      </c>
      <c r="D63" s="63"/>
      <c r="E63" s="63"/>
      <c r="F63" s="64"/>
    </row>
    <row r="64" spans="1:13" ht="45.6" customHeight="1" thickBot="1" x14ac:dyDescent="0.35">
      <c r="A64" s="57" t="s">
        <v>36</v>
      </c>
      <c r="B64" s="58"/>
      <c r="C64" s="59" t="s">
        <v>110</v>
      </c>
      <c r="D64" s="60"/>
      <c r="E64" s="60"/>
      <c r="F64" s="61"/>
    </row>
  </sheetData>
  <mergeCells count="10">
    <mergeCell ref="A2:L2"/>
    <mergeCell ref="A3:L3"/>
    <mergeCell ref="G4:H4"/>
    <mergeCell ref="H5:L5"/>
    <mergeCell ref="A8:B8"/>
    <mergeCell ref="A64:B64"/>
    <mergeCell ref="C64:F64"/>
    <mergeCell ref="A63:B63"/>
    <mergeCell ref="C63:F63"/>
    <mergeCell ref="A52:F52"/>
  </mergeCells>
  <pageMargins left="0.7" right="0.7" top="0.75" bottom="0.75" header="0.3" footer="0.3"/>
  <pageSetup scale="33" orientation="landscape" horizontalDpi="360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CFFE-7D6A-4363-ADCB-9FD42A79F2CE}">
  <sheetPr>
    <tabColor rgb="FFC50BB8"/>
    <pageSetUpPr fitToPage="1"/>
  </sheetPr>
  <dimension ref="A1:M62"/>
  <sheetViews>
    <sheetView topLeftCell="A6" workbookViewId="0">
      <selection activeCell="A22" sqref="A22"/>
    </sheetView>
  </sheetViews>
  <sheetFormatPr baseColWidth="10" defaultRowHeight="14.4" x14ac:dyDescent="0.3"/>
  <cols>
    <col min="1" max="1" width="50.77734375" style="38" customWidth="1"/>
    <col min="2" max="2" width="48.44140625" customWidth="1"/>
    <col min="3" max="3" width="41.6640625" customWidth="1"/>
    <col min="4" max="4" width="24.21875" customWidth="1"/>
    <col min="5" max="5" width="19.33203125" customWidth="1"/>
    <col min="6" max="6" width="19.6640625" customWidth="1"/>
    <col min="7" max="7" width="22.88671875" customWidth="1"/>
    <col min="8" max="11" width="20.88671875" customWidth="1"/>
    <col min="12" max="12" width="30.77734375" customWidth="1"/>
    <col min="13" max="13" width="22.5546875" customWidth="1"/>
  </cols>
  <sheetData>
    <row r="1" spans="1:13" ht="25.2" thickBot="1" x14ac:dyDescent="0.45">
      <c r="A1" s="36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3">
        <v>38</v>
      </c>
    </row>
    <row r="2" spans="1:13" ht="28.2" x14ac:dyDescent="0.5">
      <c r="A2" s="66" t="s">
        <v>111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8"/>
    </row>
    <row r="3" spans="1:13" ht="23.4" thickBot="1" x14ac:dyDescent="0.45">
      <c r="A3" s="69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1"/>
    </row>
    <row r="4" spans="1:13" ht="17.399999999999999" thickBot="1" x14ac:dyDescent="0.35">
      <c r="A4" s="37"/>
      <c r="B4" s="4"/>
      <c r="C4" s="5"/>
      <c r="D4" s="5"/>
      <c r="E4" s="5"/>
      <c r="F4" s="5"/>
      <c r="G4" s="72" t="s">
        <v>3</v>
      </c>
      <c r="H4" s="72"/>
      <c r="I4" s="45"/>
      <c r="J4" s="45"/>
      <c r="K4" s="45"/>
      <c r="L4" s="6" t="s">
        <v>67</v>
      </c>
    </row>
    <row r="5" spans="1:13" ht="15" thickBot="1" x14ac:dyDescent="0.35">
      <c r="A5" s="37"/>
      <c r="B5" s="4"/>
      <c r="C5" s="5"/>
      <c r="D5" s="5"/>
      <c r="E5" s="5"/>
      <c r="F5" s="5"/>
      <c r="G5" s="7" t="s">
        <v>4</v>
      </c>
      <c r="H5" s="73" t="s">
        <v>66</v>
      </c>
      <c r="I5" s="73"/>
      <c r="J5" s="73"/>
      <c r="K5" s="73"/>
      <c r="L5" s="74"/>
    </row>
    <row r="6" spans="1:13" ht="15" thickBot="1" x14ac:dyDescent="0.3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3" x14ac:dyDescent="0.3">
      <c r="A7" s="37"/>
      <c r="B7" s="4"/>
      <c r="C7" s="4"/>
      <c r="D7" s="4"/>
      <c r="E7" s="4"/>
      <c r="F7" s="4"/>
      <c r="G7" s="4"/>
      <c r="H7" s="4"/>
      <c r="I7" s="4"/>
      <c r="J7" s="4"/>
      <c r="K7" s="4"/>
      <c r="L7" s="11"/>
    </row>
    <row r="8" spans="1:13" ht="15" thickBot="1" x14ac:dyDescent="0.35">
      <c r="A8" s="75" t="s">
        <v>5</v>
      </c>
      <c r="B8" s="76"/>
      <c r="C8" s="12">
        <f>'SEM 37'!E8</f>
        <v>7107.058939999999</v>
      </c>
      <c r="D8" s="13" t="s">
        <v>6</v>
      </c>
      <c r="E8" s="14">
        <f>C8-Tabla1345678910111213141516171819202122232425272829303132333434567891011121314161718192021222324252627292830313233343536382[[#Totals],[LITROS]]</f>
        <v>3504.058939999999</v>
      </c>
      <c r="H8" s="4"/>
      <c r="I8" s="4"/>
      <c r="J8" s="4"/>
      <c r="K8" s="4"/>
      <c r="L8" s="11"/>
    </row>
    <row r="9" spans="1:13" ht="15" thickBot="1" x14ac:dyDescent="0.35">
      <c r="A9" s="8" t="s">
        <v>7</v>
      </c>
      <c r="B9" s="9" t="s">
        <v>8</v>
      </c>
      <c r="C9" s="9" t="s">
        <v>9</v>
      </c>
      <c r="D9" s="9" t="s">
        <v>97</v>
      </c>
      <c r="E9" s="9" t="s">
        <v>10</v>
      </c>
      <c r="F9" s="9" t="s">
        <v>11</v>
      </c>
      <c r="G9" s="9" t="s">
        <v>12</v>
      </c>
      <c r="H9" s="9" t="s">
        <v>47</v>
      </c>
      <c r="I9" s="9" t="s">
        <v>52</v>
      </c>
      <c r="J9" s="9" t="s">
        <v>48</v>
      </c>
      <c r="K9" s="9" t="s">
        <v>49</v>
      </c>
      <c r="L9" s="9" t="s">
        <v>50</v>
      </c>
      <c r="M9" s="10" t="s">
        <v>51</v>
      </c>
    </row>
    <row r="10" spans="1:13" x14ac:dyDescent="0.3">
      <c r="A10" s="15">
        <v>46279</v>
      </c>
      <c r="B10" s="16" t="s">
        <v>112</v>
      </c>
      <c r="C10" s="16" t="s">
        <v>113</v>
      </c>
      <c r="D10" s="16" t="s">
        <v>114</v>
      </c>
      <c r="E10" s="17">
        <v>16</v>
      </c>
      <c r="F10" s="18">
        <f>'SEM 37'!G46</f>
        <v>732912</v>
      </c>
      <c r="G10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732928</v>
      </c>
      <c r="H10" s="19"/>
      <c r="I10" s="54"/>
      <c r="J10" s="16"/>
      <c r="K10" s="16"/>
      <c r="L10" s="16"/>
      <c r="M10" s="20"/>
    </row>
    <row r="11" spans="1:13" x14ac:dyDescent="0.3">
      <c r="A11" s="15">
        <v>46279</v>
      </c>
      <c r="B11" s="16" t="s">
        <v>38</v>
      </c>
      <c r="C11" s="16" t="s">
        <v>115</v>
      </c>
      <c r="D11" s="16" t="s">
        <v>114</v>
      </c>
      <c r="E11" s="17">
        <v>590</v>
      </c>
      <c r="F11" s="18">
        <f>G10</f>
        <v>732928</v>
      </c>
      <c r="G11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733518</v>
      </c>
      <c r="H11" s="19"/>
      <c r="I11" s="54"/>
      <c r="J11" s="16"/>
      <c r="K11" s="16"/>
      <c r="L11" s="16"/>
      <c r="M11" s="20"/>
    </row>
    <row r="12" spans="1:13" x14ac:dyDescent="0.3">
      <c r="A12" s="15">
        <v>46279</v>
      </c>
      <c r="B12" s="16" t="s">
        <v>116</v>
      </c>
      <c r="C12" s="16" t="s">
        <v>32</v>
      </c>
      <c r="D12" s="16" t="s">
        <v>114</v>
      </c>
      <c r="E12" s="17">
        <v>322</v>
      </c>
      <c r="F12" s="18">
        <f>G11</f>
        <v>733518</v>
      </c>
      <c r="G12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733840</v>
      </c>
      <c r="H12" s="19"/>
      <c r="I12" s="54">
        <v>641547.19999999995</v>
      </c>
      <c r="J12" s="16"/>
      <c r="K12" s="16"/>
      <c r="L12" s="16" t="s">
        <v>92</v>
      </c>
      <c r="M12" s="20" t="s">
        <v>117</v>
      </c>
    </row>
    <row r="13" spans="1:13" x14ac:dyDescent="0.3">
      <c r="A13" s="15">
        <v>46279</v>
      </c>
      <c r="B13" s="16" t="s">
        <v>55</v>
      </c>
      <c r="C13" s="16" t="s">
        <v>60</v>
      </c>
      <c r="D13" s="16" t="s">
        <v>114</v>
      </c>
      <c r="E13" s="17">
        <v>324</v>
      </c>
      <c r="F13" s="18">
        <f>G12</f>
        <v>733840</v>
      </c>
      <c r="G13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734164</v>
      </c>
      <c r="H13" s="19"/>
      <c r="I13" s="54"/>
      <c r="J13" s="16"/>
      <c r="K13" s="16"/>
      <c r="L13" s="16"/>
      <c r="M13" s="20"/>
    </row>
    <row r="14" spans="1:13" x14ac:dyDescent="0.3">
      <c r="A14" s="15">
        <v>46279</v>
      </c>
      <c r="B14" s="16" t="s">
        <v>118</v>
      </c>
      <c r="C14" s="16" t="s">
        <v>57</v>
      </c>
      <c r="D14" s="16" t="s">
        <v>114</v>
      </c>
      <c r="E14" s="17">
        <v>124</v>
      </c>
      <c r="F14" s="18">
        <f>G13</f>
        <v>734164</v>
      </c>
      <c r="G14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734288</v>
      </c>
      <c r="H14" s="19"/>
      <c r="I14" s="54">
        <v>57455</v>
      </c>
      <c r="J14" s="16"/>
      <c r="K14" s="16"/>
      <c r="L14" s="16">
        <v>47573</v>
      </c>
      <c r="M14" s="16">
        <v>47580</v>
      </c>
    </row>
    <row r="15" spans="1:13" x14ac:dyDescent="0.3">
      <c r="A15" s="15">
        <v>46279</v>
      </c>
      <c r="B15" s="16" t="s">
        <v>116</v>
      </c>
      <c r="C15" s="16" t="s">
        <v>42</v>
      </c>
      <c r="D15" s="16" t="s">
        <v>114</v>
      </c>
      <c r="E15" s="17">
        <v>370</v>
      </c>
      <c r="F15" s="18">
        <f t="shared" ref="F15:F16" si="0">G14</f>
        <v>734288</v>
      </c>
      <c r="G15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734658</v>
      </c>
      <c r="H15" s="19"/>
      <c r="I15" s="54"/>
      <c r="J15" s="16"/>
      <c r="K15" s="16"/>
      <c r="L15" s="16"/>
      <c r="M15" s="20"/>
    </row>
    <row r="16" spans="1:13" x14ac:dyDescent="0.3">
      <c r="A16" s="15">
        <v>46280</v>
      </c>
      <c r="B16" s="16" t="s">
        <v>40</v>
      </c>
      <c r="C16" s="16" t="s">
        <v>43</v>
      </c>
      <c r="D16" s="16" t="s">
        <v>114</v>
      </c>
      <c r="E16" s="17">
        <v>695</v>
      </c>
      <c r="F16" s="18">
        <f t="shared" si="0"/>
        <v>734658</v>
      </c>
      <c r="G16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735353</v>
      </c>
      <c r="H16" s="19"/>
      <c r="I16" s="54">
        <v>717964.2</v>
      </c>
      <c r="J16" s="16"/>
      <c r="K16" s="16"/>
      <c r="L16" s="16" t="s">
        <v>119</v>
      </c>
      <c r="M16" s="20" t="s">
        <v>120</v>
      </c>
    </row>
    <row r="17" spans="1:13" x14ac:dyDescent="0.3">
      <c r="A17" s="15">
        <v>46280</v>
      </c>
      <c r="B17" s="16" t="s">
        <v>121</v>
      </c>
      <c r="C17" s="16" t="s">
        <v>122</v>
      </c>
      <c r="D17" s="16" t="s">
        <v>123</v>
      </c>
      <c r="E17" s="17">
        <v>110</v>
      </c>
      <c r="F17" s="18">
        <f>G16</f>
        <v>735353</v>
      </c>
      <c r="G17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735463</v>
      </c>
      <c r="H17" s="19"/>
      <c r="I17" s="54"/>
      <c r="J17" s="16"/>
      <c r="K17" s="16"/>
      <c r="L17" s="16"/>
      <c r="M17" s="20"/>
    </row>
    <row r="18" spans="1:13" x14ac:dyDescent="0.3">
      <c r="A18" s="15">
        <v>46280</v>
      </c>
      <c r="B18" s="16" t="s">
        <v>25</v>
      </c>
      <c r="C18" s="16" t="s">
        <v>124</v>
      </c>
      <c r="D18" s="16" t="s">
        <v>114</v>
      </c>
      <c r="E18" s="17">
        <v>720</v>
      </c>
      <c r="F18" s="18">
        <f t="shared" ref="F18" si="1">G17</f>
        <v>735463</v>
      </c>
      <c r="G18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736183</v>
      </c>
      <c r="H18" s="19"/>
      <c r="I18" s="54">
        <v>609429</v>
      </c>
      <c r="J18" s="16"/>
      <c r="K18" s="16"/>
      <c r="L18" s="16" t="s">
        <v>125</v>
      </c>
      <c r="M18" s="20" t="s">
        <v>126</v>
      </c>
    </row>
    <row r="19" spans="1:13" x14ac:dyDescent="0.3">
      <c r="A19" s="15">
        <v>46280</v>
      </c>
      <c r="B19" s="16" t="s">
        <v>39</v>
      </c>
      <c r="C19" s="16" t="s">
        <v>127</v>
      </c>
      <c r="D19" s="16" t="s">
        <v>114</v>
      </c>
      <c r="E19" s="17">
        <v>552</v>
      </c>
      <c r="F19" s="18">
        <f>G18</f>
        <v>736183</v>
      </c>
      <c r="G19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736735</v>
      </c>
      <c r="H19" s="19"/>
      <c r="I19" s="54">
        <v>604457</v>
      </c>
      <c r="J19" s="16"/>
      <c r="K19" s="16"/>
      <c r="L19" s="16" t="s">
        <v>128</v>
      </c>
      <c r="M19" s="20" t="s">
        <v>129</v>
      </c>
    </row>
    <row r="20" spans="1:13" x14ac:dyDescent="0.3">
      <c r="A20" s="15">
        <v>46280</v>
      </c>
      <c r="B20" s="16" t="s">
        <v>84</v>
      </c>
      <c r="C20" s="16" t="s">
        <v>101</v>
      </c>
      <c r="D20" s="16" t="s">
        <v>114</v>
      </c>
      <c r="E20" s="17">
        <v>500</v>
      </c>
      <c r="F20" s="18">
        <f t="shared" ref="F20:F42" si="2">G19</f>
        <v>736735</v>
      </c>
      <c r="G20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737235</v>
      </c>
      <c r="H20" s="19"/>
      <c r="I20" s="54">
        <v>541968.80000000005</v>
      </c>
      <c r="J20" s="16"/>
      <c r="K20" s="16"/>
      <c r="L20" s="16" t="s">
        <v>130</v>
      </c>
      <c r="M20" s="20" t="s">
        <v>131</v>
      </c>
    </row>
    <row r="21" spans="1:13" x14ac:dyDescent="0.3">
      <c r="A21" s="15">
        <v>46280</v>
      </c>
      <c r="B21" s="16" t="s">
        <v>116</v>
      </c>
      <c r="C21" s="16" t="s">
        <v>32</v>
      </c>
      <c r="D21" s="16" t="s">
        <v>114</v>
      </c>
      <c r="E21" s="17">
        <v>300</v>
      </c>
      <c r="F21" s="18">
        <f t="shared" si="2"/>
        <v>737235</v>
      </c>
      <c r="G21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737535</v>
      </c>
      <c r="H21" s="19"/>
      <c r="I21" s="54">
        <v>641923.80000000005</v>
      </c>
      <c r="J21" s="16"/>
      <c r="K21" s="16"/>
      <c r="L21" s="16" t="s">
        <v>132</v>
      </c>
      <c r="M21" s="20" t="s">
        <v>133</v>
      </c>
    </row>
    <row r="22" spans="1:13" x14ac:dyDescent="0.3">
      <c r="A22" s="15">
        <v>46281</v>
      </c>
      <c r="B22" s="16" t="s">
        <v>54</v>
      </c>
      <c r="C22" s="16" t="s">
        <v>134</v>
      </c>
      <c r="D22" s="16" t="s">
        <v>114</v>
      </c>
      <c r="E22" s="17">
        <v>107</v>
      </c>
      <c r="F22" s="18">
        <f t="shared" si="2"/>
        <v>737535</v>
      </c>
      <c r="G22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737642</v>
      </c>
      <c r="H22" s="19"/>
      <c r="I22" s="54"/>
      <c r="J22" s="16"/>
      <c r="K22" s="16"/>
      <c r="L22" s="16"/>
      <c r="M22" s="20"/>
    </row>
    <row r="23" spans="1:13" x14ac:dyDescent="0.3">
      <c r="A23" s="15">
        <v>46281</v>
      </c>
      <c r="B23" s="16" t="s">
        <v>38</v>
      </c>
      <c r="C23" s="16" t="s">
        <v>115</v>
      </c>
      <c r="D23" s="16" t="s">
        <v>114</v>
      </c>
      <c r="E23" s="17">
        <v>755</v>
      </c>
      <c r="F23" s="18">
        <f t="shared" si="2"/>
        <v>737642</v>
      </c>
      <c r="G23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23" s="19"/>
      <c r="I23" s="54"/>
      <c r="J23" s="16"/>
      <c r="K23" s="16"/>
      <c r="L23" s="16" t="s">
        <v>135</v>
      </c>
      <c r="M23" s="20" t="s">
        <v>136</v>
      </c>
    </row>
    <row r="24" spans="1:13" x14ac:dyDescent="0.3">
      <c r="A24" s="15"/>
      <c r="B24" s="16"/>
      <c r="C24" s="16"/>
      <c r="D24" s="16"/>
      <c r="E24" s="17"/>
      <c r="F24" s="18">
        <f t="shared" si="2"/>
        <v>738397</v>
      </c>
      <c r="G24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24" s="19"/>
      <c r="I24" s="54"/>
      <c r="J24" s="16"/>
      <c r="K24" s="16"/>
      <c r="L24" s="16"/>
      <c r="M24" s="20"/>
    </row>
    <row r="25" spans="1:13" x14ac:dyDescent="0.3">
      <c r="A25" s="15"/>
      <c r="B25" s="16"/>
      <c r="C25" s="16"/>
      <c r="D25" s="16"/>
      <c r="E25" s="17"/>
      <c r="F25" s="18">
        <f t="shared" si="2"/>
        <v>738397</v>
      </c>
      <c r="G25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25" s="19"/>
      <c r="I25" s="54"/>
      <c r="J25" s="16"/>
      <c r="K25" s="16"/>
      <c r="L25" s="16"/>
      <c r="M25" s="20"/>
    </row>
    <row r="26" spans="1:13" x14ac:dyDescent="0.3">
      <c r="A26" s="15"/>
      <c r="B26" s="16"/>
      <c r="C26" s="16"/>
      <c r="D26" s="16"/>
      <c r="E26" s="17"/>
      <c r="F26" s="18">
        <f t="shared" si="2"/>
        <v>738397</v>
      </c>
      <c r="G26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26" s="19"/>
      <c r="I26" s="54"/>
      <c r="J26" s="16"/>
      <c r="K26" s="16"/>
      <c r="L26" s="16"/>
      <c r="M26" s="20"/>
    </row>
    <row r="27" spans="1:13" x14ac:dyDescent="0.3">
      <c r="A27" s="15"/>
      <c r="B27" s="16"/>
      <c r="C27" s="16"/>
      <c r="D27" s="16"/>
      <c r="E27" s="17"/>
      <c r="F27" s="18">
        <f t="shared" si="2"/>
        <v>738397</v>
      </c>
      <c r="G27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27" s="19"/>
      <c r="I27" s="54"/>
      <c r="J27" s="16"/>
      <c r="K27" s="16"/>
      <c r="L27" s="16"/>
      <c r="M27" s="20"/>
    </row>
    <row r="28" spans="1:13" x14ac:dyDescent="0.3">
      <c r="A28" s="15"/>
      <c r="B28" s="16"/>
      <c r="C28" s="16"/>
      <c r="D28" s="16"/>
      <c r="E28" s="17"/>
      <c r="F28" s="18">
        <f t="shared" si="2"/>
        <v>738397</v>
      </c>
      <c r="G28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28" s="19"/>
      <c r="I28" s="54"/>
      <c r="J28" s="16"/>
      <c r="K28" s="16"/>
      <c r="L28" s="16"/>
      <c r="M28" s="20"/>
    </row>
    <row r="29" spans="1:13" x14ac:dyDescent="0.3">
      <c r="A29" s="15"/>
      <c r="B29" s="16"/>
      <c r="C29" s="16"/>
      <c r="D29" s="16"/>
      <c r="E29" s="17"/>
      <c r="F29" s="18">
        <f t="shared" si="2"/>
        <v>738397</v>
      </c>
      <c r="G29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29" s="19"/>
      <c r="I29" s="54"/>
      <c r="J29" s="16"/>
      <c r="K29" s="16"/>
      <c r="L29" s="16"/>
      <c r="M29" s="20"/>
    </row>
    <row r="30" spans="1:13" x14ac:dyDescent="0.3">
      <c r="A30" s="15"/>
      <c r="B30" s="16"/>
      <c r="C30" s="16"/>
      <c r="D30" s="16"/>
      <c r="E30" s="17"/>
      <c r="F30" s="18">
        <f t="shared" si="2"/>
        <v>738397</v>
      </c>
      <c r="G30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30" s="19"/>
      <c r="I30" s="54"/>
      <c r="J30" s="16"/>
      <c r="K30" s="16"/>
      <c r="L30" s="16"/>
      <c r="M30" s="20"/>
    </row>
    <row r="31" spans="1:13" x14ac:dyDescent="0.3">
      <c r="A31" s="15"/>
      <c r="B31" s="16"/>
      <c r="C31" s="16"/>
      <c r="D31" s="16"/>
      <c r="E31" s="17"/>
      <c r="F31" s="18">
        <f t="shared" si="2"/>
        <v>738397</v>
      </c>
      <c r="G31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31" s="19"/>
      <c r="I31" s="54"/>
      <c r="J31" s="16"/>
      <c r="K31" s="16"/>
      <c r="L31" s="16"/>
      <c r="M31" s="20"/>
    </row>
    <row r="32" spans="1:13" x14ac:dyDescent="0.3">
      <c r="A32" s="15"/>
      <c r="B32" s="16"/>
      <c r="C32" s="16"/>
      <c r="D32" s="16"/>
      <c r="E32" s="17"/>
      <c r="F32" s="18">
        <f t="shared" si="2"/>
        <v>738397</v>
      </c>
      <c r="G32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32" s="19"/>
      <c r="I32" s="54"/>
      <c r="J32" s="16"/>
      <c r="K32" s="16"/>
      <c r="L32" s="16"/>
      <c r="M32" s="20"/>
    </row>
    <row r="33" spans="1:13" x14ac:dyDescent="0.3">
      <c r="A33" s="15"/>
      <c r="B33" s="16"/>
      <c r="C33" s="16"/>
      <c r="D33" s="16"/>
      <c r="E33" s="17"/>
      <c r="F33" s="18">
        <f t="shared" si="2"/>
        <v>738397</v>
      </c>
      <c r="G33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33" s="19"/>
      <c r="I33" s="54"/>
      <c r="J33" s="16"/>
      <c r="K33" s="16"/>
      <c r="L33" s="16"/>
      <c r="M33" s="20"/>
    </row>
    <row r="34" spans="1:13" x14ac:dyDescent="0.3">
      <c r="A34" s="15"/>
      <c r="B34" s="16"/>
      <c r="C34" s="16"/>
      <c r="D34" s="16"/>
      <c r="E34" s="17"/>
      <c r="F34" s="18">
        <f t="shared" si="2"/>
        <v>738397</v>
      </c>
      <c r="G34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34" s="19"/>
      <c r="I34" s="54"/>
      <c r="J34" s="16"/>
      <c r="K34" s="16"/>
      <c r="L34" s="16"/>
      <c r="M34" s="20"/>
    </row>
    <row r="35" spans="1:13" x14ac:dyDescent="0.3">
      <c r="A35" s="15"/>
      <c r="B35" s="16"/>
      <c r="C35" s="16"/>
      <c r="D35" s="16"/>
      <c r="E35" s="17"/>
      <c r="F35" s="18">
        <f t="shared" si="2"/>
        <v>738397</v>
      </c>
      <c r="G35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35" s="19"/>
      <c r="I35" s="54"/>
      <c r="J35" s="16"/>
      <c r="K35" s="16"/>
      <c r="L35" s="16"/>
      <c r="M35" s="20"/>
    </row>
    <row r="36" spans="1:13" x14ac:dyDescent="0.3">
      <c r="A36" s="15"/>
      <c r="B36" s="16"/>
      <c r="C36" s="16"/>
      <c r="D36" s="16"/>
      <c r="E36" s="17"/>
      <c r="F36" s="18">
        <f t="shared" si="2"/>
        <v>738397</v>
      </c>
      <c r="G36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36" s="19"/>
      <c r="I36" s="54"/>
      <c r="J36" s="16"/>
      <c r="K36" s="16"/>
      <c r="L36" s="16"/>
      <c r="M36" s="20"/>
    </row>
    <row r="37" spans="1:13" x14ac:dyDescent="0.3">
      <c r="A37" s="15"/>
      <c r="B37" s="16"/>
      <c r="C37" s="16"/>
      <c r="D37" s="16"/>
      <c r="E37" s="17"/>
      <c r="F37" s="18">
        <f t="shared" si="2"/>
        <v>738397</v>
      </c>
      <c r="G37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37" s="19"/>
      <c r="I37" s="54"/>
      <c r="J37" s="16"/>
      <c r="K37" s="16"/>
      <c r="L37" s="16"/>
      <c r="M37" s="20"/>
    </row>
    <row r="38" spans="1:13" x14ac:dyDescent="0.3">
      <c r="A38" s="15"/>
      <c r="B38" s="16"/>
      <c r="C38" s="16"/>
      <c r="D38" s="16"/>
      <c r="E38" s="17"/>
      <c r="F38" s="18">
        <f t="shared" si="2"/>
        <v>738397</v>
      </c>
      <c r="G38" s="18"/>
      <c r="H38" s="19"/>
      <c r="I38" s="54"/>
      <c r="J38" s="16"/>
      <c r="K38" s="16"/>
      <c r="L38" s="16"/>
      <c r="M38" s="20"/>
    </row>
    <row r="39" spans="1:13" x14ac:dyDescent="0.3">
      <c r="A39" s="15"/>
      <c r="B39" s="16"/>
      <c r="C39" s="16"/>
      <c r="D39" s="16"/>
      <c r="E39" s="17"/>
      <c r="F39" s="18">
        <f t="shared" si="2"/>
        <v>0</v>
      </c>
      <c r="G39" s="18"/>
      <c r="H39" s="19"/>
      <c r="I39" s="54"/>
      <c r="J39" s="16"/>
      <c r="K39" s="16"/>
      <c r="L39" s="16"/>
      <c r="M39" s="20"/>
    </row>
    <row r="40" spans="1:13" x14ac:dyDescent="0.3">
      <c r="A40" s="15"/>
      <c r="B40" s="16"/>
      <c r="C40" s="16"/>
      <c r="D40" s="16"/>
      <c r="E40" s="17"/>
      <c r="F40" s="18">
        <f t="shared" si="2"/>
        <v>0</v>
      </c>
      <c r="G40" s="18"/>
      <c r="H40" s="19"/>
      <c r="I40" s="54"/>
      <c r="J40" s="16"/>
      <c r="K40" s="16"/>
      <c r="L40" s="16"/>
      <c r="M40" s="20"/>
    </row>
    <row r="41" spans="1:13" x14ac:dyDescent="0.3">
      <c r="A41" s="15"/>
      <c r="B41" s="16"/>
      <c r="C41" s="16"/>
      <c r="D41" s="16"/>
      <c r="E41" s="17"/>
      <c r="F41" s="18">
        <f t="shared" si="2"/>
        <v>0</v>
      </c>
      <c r="G41" s="18"/>
      <c r="H41" s="19"/>
      <c r="I41" s="54"/>
      <c r="J41" s="16"/>
      <c r="K41" s="16"/>
      <c r="L41" s="16"/>
      <c r="M41" s="20"/>
    </row>
    <row r="42" spans="1:13" x14ac:dyDescent="0.3">
      <c r="A42" s="15"/>
      <c r="B42" s="16"/>
      <c r="C42" s="16"/>
      <c r="D42" s="16"/>
      <c r="E42" s="17"/>
      <c r="F42" s="18">
        <f t="shared" si="2"/>
        <v>0</v>
      </c>
      <c r="G42" s="18"/>
      <c r="H42" s="19"/>
      <c r="I42" s="54"/>
      <c r="J42" s="16"/>
      <c r="K42" s="16"/>
      <c r="L42" s="16"/>
      <c r="M42" s="20"/>
    </row>
    <row r="43" spans="1:13" x14ac:dyDescent="0.3">
      <c r="A43" s="15"/>
      <c r="B43" s="16"/>
      <c r="C43" s="16"/>
      <c r="D43" s="16"/>
      <c r="E43" s="17"/>
      <c r="F43" s="18"/>
      <c r="G43" s="18"/>
      <c r="H43" s="19"/>
      <c r="I43" s="54"/>
      <c r="J43" s="16"/>
      <c r="K43" s="16"/>
      <c r="L43" s="16"/>
      <c r="M43" s="20"/>
    </row>
    <row r="44" spans="1:13" x14ac:dyDescent="0.3">
      <c r="A44" s="15"/>
      <c r="B44" s="16"/>
      <c r="C44" s="16"/>
      <c r="D44" s="16"/>
      <c r="E44" s="17"/>
      <c r="F44" s="18"/>
      <c r="G44" s="18"/>
      <c r="H44" s="19"/>
      <c r="I44" s="54"/>
      <c r="J44" s="16"/>
      <c r="K44" s="16"/>
      <c r="L44" s="16"/>
      <c r="M44" s="20"/>
    </row>
    <row r="45" spans="1:13" x14ac:dyDescent="0.3">
      <c r="A45" s="15"/>
      <c r="B45" s="16"/>
      <c r="C45" s="16"/>
      <c r="D45" s="16"/>
      <c r="E45" s="17"/>
      <c r="F45" s="18"/>
      <c r="G45" s="18"/>
      <c r="H45" s="19"/>
      <c r="I45" s="54"/>
      <c r="J45" s="16"/>
      <c r="K45" s="16"/>
      <c r="L45" s="16"/>
      <c r="M45" s="20"/>
    </row>
    <row r="46" spans="1:13" x14ac:dyDescent="0.3">
      <c r="A46" s="15"/>
      <c r="B46" s="16"/>
      <c r="C46" s="16"/>
      <c r="D46" s="16"/>
      <c r="E46" s="17"/>
      <c r="F46" s="18"/>
      <c r="G46" s="18"/>
      <c r="H46" s="19"/>
      <c r="I46" s="54"/>
      <c r="J46" s="16"/>
      <c r="K46" s="16"/>
      <c r="L46" s="16"/>
      <c r="M46" s="20"/>
    </row>
    <row r="47" spans="1:13" x14ac:dyDescent="0.3">
      <c r="A47" s="15"/>
      <c r="B47" s="16"/>
      <c r="C47" s="16"/>
      <c r="D47" s="16"/>
      <c r="E47" s="17"/>
      <c r="F47" s="18">
        <f t="shared" ref="F47" si="3">G46</f>
        <v>0</v>
      </c>
      <c r="G47" s="18">
        <f>Tabla1345678910111213141516171819202122232425272829303132333434567891011121314161718192021222324252627292830313233343536382[[#This Row],[LITROS INICIALES]]+Tabla1345678910111213141516171819202122232425272829303132333434567891011121314161718192021222324252627292830313233343536382[[#This Row],[LITROS]]</f>
        <v>0</v>
      </c>
      <c r="H47" s="19"/>
      <c r="I47" s="55">
        <f t="shared" ref="I47" si="4">J47-K47</f>
        <v>0</v>
      </c>
      <c r="J47" s="43"/>
      <c r="K47" s="43"/>
      <c r="L47" s="43"/>
      <c r="M47" s="44"/>
    </row>
    <row r="48" spans="1:13" s="29" customFormat="1" ht="31.2" x14ac:dyDescent="0.3">
      <c r="A48" s="21"/>
      <c r="B48" s="22"/>
      <c r="C48" s="23" t="s">
        <v>13</v>
      </c>
      <c r="D48" s="23"/>
      <c r="E48" s="24">
        <f>E10+E11+E12+E13+E14+E15+E16+E21+E22+E23+E24+E25+E26+E27+E28+E29+E30+E31+E32+E33+E34+E35+E36+E37+E38+E39+E40+E41+E42+E43+E44+E45+E46+E47</f>
        <v>3603</v>
      </c>
      <c r="F48" s="25" t="s">
        <v>14</v>
      </c>
      <c r="G48" s="26">
        <f>G47</f>
        <v>0</v>
      </c>
      <c r="H48" s="27"/>
      <c r="I48" s="24">
        <f>SUBTOTAL(9,Tabla1345678910111213141516171819202122232425272829303132333434567891011121314161718192021222324252627292830313233343536382[KM])-I25</f>
        <v>3814745</v>
      </c>
      <c r="J48" s="24"/>
      <c r="K48" s="24"/>
      <c r="L48" s="24"/>
      <c r="M48" s="28"/>
    </row>
    <row r="50" spans="1:8" ht="18" x14ac:dyDescent="0.35">
      <c r="A50" s="65" t="s">
        <v>108</v>
      </c>
      <c r="B50" s="65"/>
      <c r="C50" s="65"/>
      <c r="D50" s="65"/>
      <c r="E50" s="65"/>
      <c r="F50" s="65"/>
    </row>
    <row r="51" spans="1:8" ht="19.2" customHeight="1" x14ac:dyDescent="0.3">
      <c r="A51" s="30" t="s">
        <v>17</v>
      </c>
      <c r="B51" s="30" t="s">
        <v>18</v>
      </c>
      <c r="C51" s="30" t="s">
        <v>19</v>
      </c>
      <c r="D51" s="31" t="s">
        <v>20</v>
      </c>
      <c r="E51" s="31" t="s">
        <v>10</v>
      </c>
      <c r="F51" s="32" t="s">
        <v>15</v>
      </c>
      <c r="G51" s="56" t="s">
        <v>106</v>
      </c>
      <c r="H51" s="56" t="s">
        <v>107</v>
      </c>
    </row>
    <row r="52" spans="1:8" s="33" customFormat="1" x14ac:dyDescent="0.3">
      <c r="A52" s="39">
        <v>46273</v>
      </c>
      <c r="B52" s="40" t="s">
        <v>35</v>
      </c>
      <c r="C52" s="40" t="s">
        <v>36</v>
      </c>
      <c r="D52" s="41" t="s">
        <v>37</v>
      </c>
      <c r="E52" s="41">
        <v>2000.0081399999999</v>
      </c>
      <c r="F52" s="42">
        <f t="shared" ref="F52:F57" si="5">E52*27</f>
        <v>54000.219779999999</v>
      </c>
    </row>
    <row r="53" spans="1:8" s="33" customFormat="1" x14ac:dyDescent="0.3">
      <c r="A53" s="39">
        <v>46273</v>
      </c>
      <c r="B53" s="40" t="s">
        <v>46</v>
      </c>
      <c r="C53" s="40" t="s">
        <v>36</v>
      </c>
      <c r="D53" s="41" t="s">
        <v>45</v>
      </c>
      <c r="E53" s="41">
        <v>2447.6410000000001</v>
      </c>
      <c r="F53" s="42">
        <f t="shared" si="5"/>
        <v>66086.307000000001</v>
      </c>
    </row>
    <row r="54" spans="1:8" s="33" customFormat="1" x14ac:dyDescent="0.3">
      <c r="A54" s="39">
        <v>46273</v>
      </c>
      <c r="B54" s="40" t="s">
        <v>35</v>
      </c>
      <c r="C54" s="40" t="s">
        <v>36</v>
      </c>
      <c r="D54" s="41" t="s">
        <v>53</v>
      </c>
      <c r="E54" s="41">
        <v>4000.0135</v>
      </c>
      <c r="F54" s="42">
        <f t="shared" si="5"/>
        <v>108000.3645</v>
      </c>
    </row>
    <row r="55" spans="1:8" s="33" customFormat="1" x14ac:dyDescent="0.3">
      <c r="A55" s="39">
        <v>46275</v>
      </c>
      <c r="B55" s="40" t="s">
        <v>35</v>
      </c>
      <c r="C55" s="40" t="s">
        <v>36</v>
      </c>
      <c r="D55" s="41" t="s">
        <v>61</v>
      </c>
      <c r="E55" s="41">
        <v>4000.0135</v>
      </c>
      <c r="F55" s="42">
        <f t="shared" si="5"/>
        <v>108000.3645</v>
      </c>
    </row>
    <row r="56" spans="1:8" s="33" customFormat="1" x14ac:dyDescent="0.3">
      <c r="A56" s="39">
        <v>46275</v>
      </c>
      <c r="B56" s="40" t="s">
        <v>35</v>
      </c>
      <c r="C56" s="40" t="s">
        <v>36</v>
      </c>
      <c r="D56" s="41" t="s">
        <v>62</v>
      </c>
      <c r="E56" s="41">
        <f>3700.01+250.011</f>
        <v>3950.0210000000002</v>
      </c>
      <c r="F56" s="42">
        <f t="shared" si="5"/>
        <v>106650.56700000001</v>
      </c>
    </row>
    <row r="57" spans="1:8" s="33" customFormat="1" x14ac:dyDescent="0.3">
      <c r="A57" s="39">
        <v>46276</v>
      </c>
      <c r="B57" s="40" t="s">
        <v>35</v>
      </c>
      <c r="C57" s="40" t="s">
        <v>36</v>
      </c>
      <c r="D57" s="41" t="s">
        <v>63</v>
      </c>
      <c r="E57" s="41">
        <f>2800.008+298.225+256.063+93.926+51.778+250.0011+250.0017</f>
        <v>4000.0027999999993</v>
      </c>
      <c r="F57" s="42">
        <f t="shared" si="5"/>
        <v>108000.07559999998</v>
      </c>
    </row>
    <row r="58" spans="1:8" s="33" customFormat="1" x14ac:dyDescent="0.3">
      <c r="A58" s="50">
        <v>46276</v>
      </c>
      <c r="B58" s="51" t="s">
        <v>64</v>
      </c>
      <c r="C58" s="51" t="s">
        <v>36</v>
      </c>
      <c r="D58" s="52" t="s">
        <v>65</v>
      </c>
      <c r="E58" s="52">
        <v>161.91499999999999</v>
      </c>
      <c r="F58" s="53">
        <f>E58*23.9</f>
        <v>3869.7684999999997</v>
      </c>
    </row>
    <row r="59" spans="1:8" s="33" customFormat="1" ht="29.4" customHeight="1" x14ac:dyDescent="0.3">
      <c r="A59" s="15"/>
      <c r="D59" s="34" t="s">
        <v>16</v>
      </c>
      <c r="E59" s="34">
        <f>E52+E54+E55+E56+E57</f>
        <v>17950.058939999999</v>
      </c>
      <c r="F59" s="35">
        <f>SUM(F52:F58)</f>
        <v>554607.66688000003</v>
      </c>
    </row>
    <row r="60" spans="1:8" ht="15" thickBot="1" x14ac:dyDescent="0.35"/>
    <row r="61" spans="1:8" ht="45.6" customHeight="1" thickBot="1" x14ac:dyDescent="0.35">
      <c r="A61" s="57" t="s">
        <v>109</v>
      </c>
      <c r="B61" s="58"/>
      <c r="C61" s="62" t="s">
        <v>21</v>
      </c>
      <c r="D61" s="63"/>
      <c r="E61" s="63"/>
      <c r="F61" s="64"/>
    </row>
    <row r="62" spans="1:8" ht="45.6" customHeight="1" thickBot="1" x14ac:dyDescent="0.35">
      <c r="A62" s="57" t="s">
        <v>36</v>
      </c>
      <c r="B62" s="58"/>
      <c r="C62" s="59" t="s">
        <v>110</v>
      </c>
      <c r="D62" s="60"/>
      <c r="E62" s="60"/>
      <c r="F62" s="61"/>
    </row>
  </sheetData>
  <mergeCells count="10">
    <mergeCell ref="A61:B61"/>
    <mergeCell ref="C61:F61"/>
    <mergeCell ref="A62:B62"/>
    <mergeCell ref="C62:F62"/>
    <mergeCell ref="A2:L2"/>
    <mergeCell ref="A3:L3"/>
    <mergeCell ref="G4:H4"/>
    <mergeCell ref="H5:L5"/>
    <mergeCell ref="A8:B8"/>
    <mergeCell ref="A50:F50"/>
  </mergeCells>
  <pageMargins left="0.7" right="0.7" top="0.75" bottom="0.75" header="0.3" footer="0.3"/>
  <pageSetup scale="33" orientation="landscape" horizontalDpi="360" verticalDpi="36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7C41-7845-47A2-A457-D6D8CA89EEE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SEM 37</vt:lpstr>
      <vt:lpstr>SEM 38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GRUPO TRUJANO 03</cp:lastModifiedBy>
  <cp:lastPrinted>2026-09-15T17:32:26Z</cp:lastPrinted>
  <dcterms:created xsi:type="dcterms:W3CDTF">2015-06-05T18:19:34Z</dcterms:created>
  <dcterms:modified xsi:type="dcterms:W3CDTF">2026-09-21T22:46:49Z</dcterms:modified>
</cp:coreProperties>
</file>