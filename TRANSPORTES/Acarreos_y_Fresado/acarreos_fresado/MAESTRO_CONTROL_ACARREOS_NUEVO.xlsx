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9221BCA4-4AD9-42CD-AF31-1758CADFAA5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TALOGOS" sheetId="1" r:id="rId1"/>
    <sheet name="BD_ACARREOS" sheetId="2" r:id="rId2"/>
    <sheet name="BD_FACTURAS" sheetId="3" r:id="rId3"/>
    <sheet name="TABLAS_DINAMIC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2" i="2"/>
  <c r="O500" i="2" l="1"/>
  <c r="O499" i="2"/>
  <c r="O498" i="2"/>
  <c r="O497" i="2"/>
  <c r="O496" i="2"/>
  <c r="O495" i="2"/>
  <c r="O494" i="2"/>
  <c r="O493" i="2"/>
  <c r="O492" i="2"/>
  <c r="O491" i="2"/>
  <c r="O490" i="2"/>
  <c r="O489" i="2"/>
  <c r="O488" i="2"/>
  <c r="O487" i="2"/>
  <c r="O486" i="2"/>
  <c r="O485" i="2"/>
  <c r="O484" i="2"/>
  <c r="O483" i="2"/>
  <c r="O482" i="2"/>
  <c r="O481" i="2"/>
  <c r="O480" i="2"/>
  <c r="O479" i="2"/>
  <c r="O478" i="2"/>
  <c r="O477" i="2"/>
  <c r="O476" i="2"/>
  <c r="O475" i="2"/>
  <c r="O474" i="2"/>
  <c r="O473" i="2"/>
  <c r="O472" i="2"/>
  <c r="O471" i="2"/>
  <c r="O470" i="2"/>
  <c r="O469" i="2"/>
  <c r="O468" i="2"/>
  <c r="O467" i="2"/>
  <c r="O466" i="2"/>
  <c r="O465" i="2"/>
  <c r="O464" i="2"/>
  <c r="O463" i="2"/>
  <c r="O462" i="2"/>
  <c r="O461" i="2"/>
  <c r="O460" i="2"/>
  <c r="O459" i="2"/>
  <c r="O458" i="2"/>
  <c r="O457" i="2"/>
  <c r="O456" i="2"/>
  <c r="O455" i="2"/>
  <c r="O454" i="2"/>
  <c r="O453" i="2"/>
  <c r="O452" i="2"/>
  <c r="O451" i="2"/>
  <c r="O450" i="2"/>
  <c r="O449" i="2"/>
  <c r="O448" i="2"/>
  <c r="O447" i="2"/>
  <c r="O446" i="2"/>
  <c r="O445" i="2"/>
  <c r="O444" i="2"/>
  <c r="O443" i="2"/>
  <c r="O442" i="2"/>
  <c r="O441" i="2"/>
  <c r="O440" i="2"/>
  <c r="O439" i="2"/>
  <c r="O438" i="2"/>
  <c r="O437" i="2"/>
  <c r="O436" i="2"/>
  <c r="O435" i="2"/>
  <c r="O434" i="2"/>
  <c r="O433" i="2"/>
  <c r="O432" i="2"/>
  <c r="O431" i="2"/>
  <c r="O430" i="2"/>
  <c r="O429" i="2"/>
  <c r="O428" i="2"/>
  <c r="O427" i="2"/>
  <c r="O426" i="2"/>
  <c r="O425" i="2"/>
  <c r="O424" i="2"/>
  <c r="O423" i="2"/>
  <c r="O422" i="2"/>
  <c r="O421" i="2"/>
  <c r="O420" i="2"/>
  <c r="O419" i="2"/>
  <c r="O418" i="2"/>
  <c r="O417" i="2"/>
  <c r="O416" i="2"/>
  <c r="O415" i="2"/>
  <c r="O414" i="2"/>
  <c r="O413" i="2"/>
  <c r="O412" i="2"/>
  <c r="O411" i="2"/>
  <c r="O410" i="2"/>
  <c r="O409" i="2"/>
  <c r="O408" i="2"/>
  <c r="O407" i="2"/>
  <c r="O406" i="2"/>
  <c r="O405" i="2"/>
  <c r="O404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90" i="2"/>
  <c r="O389" i="2"/>
  <c r="O388" i="2"/>
  <c r="O387" i="2"/>
  <c r="O386" i="2"/>
  <c r="O385" i="2"/>
  <c r="O384" i="2"/>
  <c r="O383" i="2"/>
  <c r="O382" i="2"/>
  <c r="O381" i="2"/>
  <c r="O380" i="2"/>
  <c r="O379" i="2"/>
  <c r="O378" i="2"/>
  <c r="O377" i="2"/>
  <c r="O376" i="2"/>
  <c r="O375" i="2"/>
  <c r="O374" i="2"/>
  <c r="O373" i="2"/>
  <c r="O372" i="2"/>
  <c r="O371" i="2"/>
  <c r="O370" i="2"/>
  <c r="O369" i="2"/>
  <c r="O368" i="2"/>
  <c r="O367" i="2"/>
  <c r="O366" i="2"/>
  <c r="O365" i="2"/>
  <c r="O364" i="2"/>
  <c r="O363" i="2"/>
  <c r="O362" i="2"/>
  <c r="O361" i="2"/>
  <c r="O360" i="2"/>
  <c r="O359" i="2"/>
  <c r="O358" i="2"/>
  <c r="O357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O274" i="2"/>
  <c r="O273" i="2"/>
  <c r="O272" i="2"/>
  <c r="O271" i="2"/>
  <c r="O270" i="2"/>
  <c r="O269" i="2"/>
  <c r="O268" i="2"/>
  <c r="O267" i="2"/>
  <c r="O266" i="2"/>
  <c r="O265" i="2"/>
  <c r="O264" i="2"/>
  <c r="O263" i="2"/>
  <c r="O262" i="2"/>
  <c r="O261" i="2"/>
  <c r="O260" i="2"/>
  <c r="O259" i="2"/>
  <c r="O258" i="2"/>
  <c r="O257" i="2"/>
  <c r="O256" i="2"/>
  <c r="O255" i="2"/>
  <c r="O254" i="2"/>
  <c r="O253" i="2"/>
  <c r="O252" i="2"/>
  <c r="O251" i="2"/>
  <c r="O250" i="2"/>
  <c r="O249" i="2"/>
  <c r="O248" i="2"/>
  <c r="O247" i="2"/>
  <c r="O246" i="2"/>
  <c r="O245" i="2"/>
  <c r="O244" i="2"/>
  <c r="O243" i="2"/>
  <c r="O242" i="2"/>
  <c r="O241" i="2"/>
  <c r="O240" i="2"/>
  <c r="O239" i="2"/>
  <c r="O238" i="2"/>
  <c r="O237" i="2"/>
  <c r="O236" i="2"/>
  <c r="O235" i="2"/>
  <c r="O234" i="2"/>
  <c r="O233" i="2"/>
  <c r="O232" i="2"/>
  <c r="O231" i="2"/>
  <c r="O230" i="2"/>
  <c r="O229" i="2"/>
  <c r="O228" i="2"/>
  <c r="O227" i="2"/>
  <c r="O226" i="2"/>
  <c r="O225" i="2"/>
  <c r="O224" i="2"/>
  <c r="O223" i="2"/>
  <c r="O222" i="2"/>
  <c r="O221" i="2"/>
  <c r="O220" i="2"/>
  <c r="O219" i="2"/>
  <c r="O218" i="2"/>
  <c r="O217" i="2"/>
  <c r="O216" i="2"/>
  <c r="O215" i="2"/>
  <c r="O214" i="2"/>
  <c r="O213" i="2"/>
  <c r="O212" i="2"/>
  <c r="O211" i="2"/>
  <c r="O210" i="2"/>
  <c r="O209" i="2"/>
  <c r="O208" i="2"/>
  <c r="O207" i="2"/>
  <c r="O206" i="2"/>
  <c r="O205" i="2"/>
  <c r="O204" i="2"/>
  <c r="O203" i="2"/>
  <c r="O202" i="2"/>
  <c r="O201" i="2"/>
  <c r="O200" i="2"/>
  <c r="O199" i="2"/>
  <c r="O198" i="2"/>
  <c r="O197" i="2"/>
  <c r="O196" i="2"/>
  <c r="O195" i="2"/>
  <c r="O194" i="2"/>
  <c r="O193" i="2"/>
  <c r="O192" i="2"/>
  <c r="O191" i="2"/>
  <c r="O190" i="2"/>
  <c r="O189" i="2"/>
  <c r="O188" i="2"/>
  <c r="O187" i="2"/>
  <c r="O186" i="2"/>
  <c r="O185" i="2"/>
  <c r="O184" i="2"/>
  <c r="O183" i="2"/>
  <c r="O182" i="2"/>
  <c r="O181" i="2"/>
  <c r="O180" i="2"/>
  <c r="O179" i="2"/>
  <c r="O178" i="2"/>
  <c r="O177" i="2"/>
  <c r="O176" i="2"/>
  <c r="O175" i="2"/>
  <c r="O174" i="2"/>
  <c r="O173" i="2"/>
  <c r="O172" i="2"/>
  <c r="O171" i="2"/>
  <c r="O170" i="2"/>
  <c r="O169" i="2"/>
  <c r="O168" i="2"/>
  <c r="O167" i="2"/>
  <c r="O166" i="2"/>
  <c r="O165" i="2"/>
  <c r="O164" i="2"/>
  <c r="O163" i="2"/>
  <c r="O162" i="2"/>
  <c r="O161" i="2"/>
  <c r="O160" i="2"/>
  <c r="O159" i="2"/>
  <c r="O158" i="2"/>
  <c r="O157" i="2"/>
  <c r="O156" i="2"/>
  <c r="O155" i="2"/>
  <c r="O154" i="2"/>
  <c r="O153" i="2"/>
  <c r="O152" i="2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</calcChain>
</file>

<file path=xl/sharedStrings.xml><?xml version="1.0" encoding="utf-8"?>
<sst xmlns="http://schemas.openxmlformats.org/spreadsheetml/2006/main" count="2504" uniqueCount="180">
  <si>
    <t>OBRAS</t>
  </si>
  <si>
    <t>CODIGO_OBRA</t>
  </si>
  <si>
    <t>SINDICATOS</t>
  </si>
  <si>
    <t>MATERIALES</t>
  </si>
  <si>
    <t>CAMIONES</t>
  </si>
  <si>
    <t>PLACA_CAMION</t>
  </si>
  <si>
    <t>ORIGEN</t>
  </si>
  <si>
    <t>FOLIO_CONCILIACION</t>
  </si>
  <si>
    <t>FECHA</t>
  </si>
  <si>
    <t>SEMANA</t>
  </si>
  <si>
    <t>SINDICATO</t>
  </si>
  <si>
    <t>MATERIAL</t>
  </si>
  <si>
    <t>OBRA_DESTINO</t>
  </si>
  <si>
    <t>CAPACIDAD_M3</t>
  </si>
  <si>
    <t>PRECIO_UNITARIO</t>
  </si>
  <si>
    <t>IMPORTE_TOTAL</t>
  </si>
  <si>
    <t>ESTATUS_CONCILIACION</t>
  </si>
  <si>
    <t>OBSERVACIONES</t>
  </si>
  <si>
    <t>FOLIO_FACTURA</t>
  </si>
  <si>
    <t>FECHA_FACTURA</t>
  </si>
  <si>
    <t>SINDICATO_PROVEEDOR</t>
  </si>
  <si>
    <t>VIAJES_AMPARADOS</t>
  </si>
  <si>
    <t>IMPORTE</t>
  </si>
  <si>
    <t>I.V.A</t>
  </si>
  <si>
    <t>Aquí puedes insertar tus tablas dinámicas de resumen</t>
  </si>
  <si>
    <t>FOLIO</t>
  </si>
  <si>
    <t>15/06/2026</t>
  </si>
  <si>
    <t>16/06/2026</t>
  </si>
  <si>
    <t>19/06/2026</t>
  </si>
  <si>
    <t>17/06/2026</t>
  </si>
  <si>
    <t>18/06/2026</t>
  </si>
  <si>
    <t>18/20/2026</t>
  </si>
  <si>
    <t>22/06/2026</t>
  </si>
  <si>
    <t>23/06/2026</t>
  </si>
  <si>
    <t>24/06/2026</t>
  </si>
  <si>
    <t>25/20/2026</t>
  </si>
  <si>
    <t>25/06/2026</t>
  </si>
  <si>
    <t>26/06/2026</t>
  </si>
  <si>
    <t>27/06/2026</t>
  </si>
  <si>
    <t>COSUM-TOLUCA</t>
  </si>
  <si>
    <t>COSUM-HUIXQUILUCAN</t>
  </si>
  <si>
    <t>CANCELADAS</t>
  </si>
  <si>
    <t>EMULSIONES Y ASFALTOS JORGE</t>
  </si>
  <si>
    <t>JDJ TRANSPORTES</t>
  </si>
  <si>
    <t>OBRAS PUBLICAS</t>
  </si>
  <si>
    <t>CARPETA DENSA</t>
  </si>
  <si>
    <t>FRESADO</t>
  </si>
  <si>
    <t>CANCELADO</t>
  </si>
  <si>
    <t>CAMION DE LIMPIEZA</t>
  </si>
  <si>
    <t>PROTOCOLO AMAAC III</t>
  </si>
  <si>
    <t>LIMPIEZA</t>
  </si>
  <si>
    <t>ASFALTO</t>
  </si>
  <si>
    <t>NOTA CANCELADA</t>
  </si>
  <si>
    <t>CARPETA</t>
  </si>
  <si>
    <t>MEXICO-TOLUCA</t>
  </si>
  <si>
    <t>Lerma - Tres Marías</t>
  </si>
  <si>
    <t>BACHEO TOLUCA</t>
  </si>
  <si>
    <t>22-BC-9R</t>
  </si>
  <si>
    <t>HE-4281-J</t>
  </si>
  <si>
    <t>NJ-66-440</t>
  </si>
  <si>
    <t>HD-57-440</t>
  </si>
  <si>
    <t>MY-7967-B</t>
  </si>
  <si>
    <t>LD-58-235</t>
  </si>
  <si>
    <t>NB-1258-D</t>
  </si>
  <si>
    <t>NR-0950-C</t>
  </si>
  <si>
    <t>LF-544-30</t>
  </si>
  <si>
    <t>HS-74-40</t>
  </si>
  <si>
    <t>43-BD-6E</t>
  </si>
  <si>
    <t>487 AP-2</t>
  </si>
  <si>
    <t>320-EY-2</t>
  </si>
  <si>
    <t>98-BM-8P</t>
  </si>
  <si>
    <t>LG-013-21</t>
  </si>
  <si>
    <t>LC-457-53</t>
  </si>
  <si>
    <t>12-AN-1U</t>
  </si>
  <si>
    <t>94-9E-W7</t>
  </si>
  <si>
    <t>73-BG-1U</t>
  </si>
  <si>
    <t>NV-172-87</t>
  </si>
  <si>
    <t>48-7A-P2</t>
  </si>
  <si>
    <t>NS-1640-C</t>
  </si>
  <si>
    <t>94-AC-5F</t>
  </si>
  <si>
    <t>120-AJ-3</t>
  </si>
  <si>
    <t>119-AJ-3</t>
  </si>
  <si>
    <t>98- BM-8P</t>
  </si>
  <si>
    <t>57-6A-NS</t>
  </si>
  <si>
    <t>17-AN-4C</t>
  </si>
  <si>
    <t>ND-5931-C</t>
  </si>
  <si>
    <t>14-BG-5W</t>
  </si>
  <si>
    <t>73 BG-1U</t>
  </si>
  <si>
    <t>NJ-6644-D</t>
  </si>
  <si>
    <t>586-AN-5</t>
  </si>
  <si>
    <t>19-AS-5A</t>
  </si>
  <si>
    <t>02-BG-7T</t>
  </si>
  <si>
    <t>949-EW-7</t>
  </si>
  <si>
    <t>95AX5D</t>
  </si>
  <si>
    <t>HC-1139-G</t>
  </si>
  <si>
    <t>LH-16-062</t>
  </si>
  <si>
    <t>-</t>
  </si>
  <si>
    <t>95-AX5D</t>
  </si>
  <si>
    <t>MY-7968-B</t>
  </si>
  <si>
    <t>HG5343F</t>
  </si>
  <si>
    <t>HC1924G</t>
  </si>
  <si>
    <t>NG9783D</t>
  </si>
  <si>
    <t>464AJ2</t>
  </si>
  <si>
    <t>HA6315A</t>
  </si>
  <si>
    <t>511AN4</t>
  </si>
  <si>
    <t>52BM3K</t>
  </si>
  <si>
    <t>48BA2X</t>
  </si>
  <si>
    <t>30BD4K</t>
  </si>
  <si>
    <t>HF4385-G</t>
  </si>
  <si>
    <t>87-A2-GY</t>
  </si>
  <si>
    <t>HB-9873-H</t>
  </si>
  <si>
    <t>HG-2412-G</t>
  </si>
  <si>
    <t>NT-2814-C</t>
  </si>
  <si>
    <t>7-HV-8457</t>
  </si>
  <si>
    <t>HB-4926-H</t>
  </si>
  <si>
    <t>HF-4385-G</t>
  </si>
  <si>
    <t>MV31759</t>
  </si>
  <si>
    <t>HG6103D</t>
  </si>
  <si>
    <t>GX6772H</t>
  </si>
  <si>
    <t>HG5430G</t>
  </si>
  <si>
    <t>LD89123</t>
  </si>
  <si>
    <t>LG38782</t>
  </si>
  <si>
    <t>K500977</t>
  </si>
  <si>
    <t>K82488A</t>
  </si>
  <si>
    <t>KV00970</t>
  </si>
  <si>
    <t>HC8639C</t>
  </si>
  <si>
    <t>GY5160G</t>
  </si>
  <si>
    <t>GX3053G</t>
  </si>
  <si>
    <t>KZ488A</t>
  </si>
  <si>
    <t>LG44173</t>
  </si>
  <si>
    <t>NR0950C</t>
  </si>
  <si>
    <t>NB1258D</t>
  </si>
  <si>
    <t>K50097A</t>
  </si>
  <si>
    <t>MY7967B</t>
  </si>
  <si>
    <t>MY7968B</t>
  </si>
  <si>
    <t>LD57526</t>
  </si>
  <si>
    <t>LG38955</t>
  </si>
  <si>
    <t>20AC73</t>
  </si>
  <si>
    <t>NE4904D</t>
  </si>
  <si>
    <t>KS2488A</t>
  </si>
  <si>
    <t>MC8639C</t>
  </si>
  <si>
    <t>LG38705</t>
  </si>
  <si>
    <t>K52488A</t>
  </si>
  <si>
    <t>20A57G</t>
  </si>
  <si>
    <t>KS0097A</t>
  </si>
  <si>
    <t>98IEF7</t>
  </si>
  <si>
    <t>94DM90</t>
  </si>
  <si>
    <t>KT-2277-A</t>
  </si>
  <si>
    <t>NV-17-287</t>
  </si>
  <si>
    <t>19-A5-5A</t>
  </si>
  <si>
    <t>LC-4575-3</t>
  </si>
  <si>
    <t>43-BD6E</t>
  </si>
  <si>
    <t>HE-4251-J</t>
  </si>
  <si>
    <t>LG-01-321</t>
  </si>
  <si>
    <t>412-AT-3</t>
  </si>
  <si>
    <t>98-BM8P</t>
  </si>
  <si>
    <t>28-AC4M</t>
  </si>
  <si>
    <t>94-AC5F</t>
  </si>
  <si>
    <t>73-BG1U</t>
  </si>
  <si>
    <t>22-BC9R</t>
  </si>
  <si>
    <t>HE-4881-J</t>
  </si>
  <si>
    <t>LC-45753</t>
  </si>
  <si>
    <t>43-BD66</t>
  </si>
  <si>
    <t>48-7AP2</t>
  </si>
  <si>
    <t>LM-1606-2</t>
  </si>
  <si>
    <t>IG-0132-1</t>
  </si>
  <si>
    <t>17-AN4C</t>
  </si>
  <si>
    <t>HD-5744-O</t>
  </si>
  <si>
    <t>HE-4251-G</t>
  </si>
  <si>
    <t>LG-01321</t>
  </si>
  <si>
    <t>NT-8021-C</t>
  </si>
  <si>
    <t>GZ-0900-G</t>
  </si>
  <si>
    <t>NT-804-C</t>
  </si>
  <si>
    <t>B2-0900-G</t>
  </si>
  <si>
    <t>GY-7350-F</t>
  </si>
  <si>
    <t>HG2835G</t>
  </si>
  <si>
    <t>14 M3</t>
  </si>
  <si>
    <t>8 M3</t>
  </si>
  <si>
    <t>IVA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</si>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</sst>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  <xf numFmtId="0" fontId="0" fillId="3" borderId="2" xfId="0" applyFill="1" applyBorder="1"/>
    <xf numFmtId="164" fontId="0" fillId="3" borderId="1" xfId="0" applyNumberFormat="1" applyFill="1" applyBorder="1"/>
    <xf numFmtId="164" fontId="0" fillId="4" borderId="1" xfId="0" applyNumberFormat="1" applyFill="1" applyBorder="1"/>
    <xf numFmtId="164" fontId="0" fillId="3" borderId="2" xfId="0" applyNumberForma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workbookViewId="0"/>
  </sheetViews>
  <sheetFormatPr baseColWidth="10" defaultColWidth="8.88671875" defaultRowHeight="14.4" x14ac:dyDescent="0.3"/>
  <cols>
    <col min="1" max="7" width="2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0"/>
  <sheetViews>
    <sheetView tabSelected="1" workbookViewId="0">
      <selection activeCell="N2" sqref="N2:N500"/>
    </sheetView>
  </sheetViews>
  <sheetFormatPr baseColWidth="10" defaultColWidth="8.88671875" defaultRowHeight="14.4" x14ac:dyDescent="0.3"/>
  <cols>
    <col min="1" max="16" width="20" customWidth="1"/>
  </cols>
  <sheetData>
    <row r="1" spans="1:16" x14ac:dyDescent="0.3">
      <c r="A1" s="1" t="s">
        <v>7</v>
      </c>
      <c r="B1" s="1" t="s">
        <v>8</v>
      </c>
      <c r="C1" s="1" t="s">
        <v>9</v>
      </c>
      <c r="D1" s="1" t="s">
        <v>25</v>
      </c>
      <c r="E1" s="1" t="s">
        <v>10</v>
      </c>
      <c r="F1" s="1" t="s">
        <v>11</v>
      </c>
      <c r="G1" s="1" t="s">
        <v>6</v>
      </c>
      <c r="H1" s="1" t="s">
        <v>12</v>
      </c>
      <c r="I1" s="1" t="s">
        <v>5</v>
      </c>
      <c r="J1" s="1" t="s">
        <v>13</v>
      </c>
      <c r="K1" s="1" t="s">
        <v>14</v>
      </c>
      <c r="L1" s="1" t="s">
        <v>179</v>
      </c>
      <c r="M1" s="1" t="s">
        <v>178</v>
      </c>
      <c r="N1" s="1" t="s">
        <v>15</v>
      </c>
      <c r="O1" s="1" t="s">
        <v>16</v>
      </c>
      <c r="P1" s="1" t="s">
        <v>17</v>
      </c>
    </row>
    <row r="2" spans="1:16" x14ac:dyDescent="0.3">
      <c r="B2" s="2" t="s">
        <v>26</v>
      </c>
      <c r="D2">
        <v>5704</v>
      </c>
      <c r="E2" s="2" t="s">
        <v>39</v>
      </c>
      <c r="F2" s="2" t="s">
        <v>45</v>
      </c>
      <c r="H2" s="2" t="s">
        <v>54</v>
      </c>
      <c r="I2" s="2" t="s">
        <v>57</v>
      </c>
      <c r="J2" s="2" t="s">
        <v>176</v>
      </c>
      <c r="K2" s="5">
        <v>2850</v>
      </c>
      <c r="L2" s="5">
        <v>2850</v>
      </c>
      <c r="M2" s="5">
        <v>456</v>
      </c>
      <c r="N2" s="8">
        <f>L2+M2</f>
        <v>3306</v>
      </c>
      <c r="O2" t="str">
        <f>IF(A2="", "", IF(SUMIFS(BD_FACTURAS!I:I, BD_FACTURAS!A:A, A2) = N2, "✅ Cuadrado", "⚠️ Diferencia"))</f>
        <v/>
      </c>
    </row>
    <row r="3" spans="1:16" x14ac:dyDescent="0.3">
      <c r="B3" s="3" t="s">
        <v>26</v>
      </c>
      <c r="D3">
        <v>5705</v>
      </c>
      <c r="E3" s="3" t="s">
        <v>39</v>
      </c>
      <c r="F3" s="3" t="s">
        <v>45</v>
      </c>
      <c r="H3" s="3" t="s">
        <v>54</v>
      </c>
      <c r="I3" s="3" t="s">
        <v>58</v>
      </c>
      <c r="J3" s="3" t="s">
        <v>176</v>
      </c>
      <c r="K3" s="6">
        <v>2850</v>
      </c>
      <c r="L3" s="6">
        <v>2850</v>
      </c>
      <c r="M3" s="6">
        <v>456</v>
      </c>
      <c r="N3" s="8">
        <f t="shared" ref="N3:N66" si="0">L3+M3</f>
        <v>3306</v>
      </c>
      <c r="O3" t="str">
        <f>IF(A3="", "", IF(SUMIFS(BD_FACTURAS!I:I, BD_FACTURAS!A:A, A3) = N3, "✅ Cuadrado", "⚠️ Diferencia"))</f>
        <v/>
      </c>
    </row>
    <row r="4" spans="1:16" x14ac:dyDescent="0.3">
      <c r="B4" s="2" t="s">
        <v>26</v>
      </c>
      <c r="D4">
        <v>5706</v>
      </c>
      <c r="E4" s="2" t="s">
        <v>39</v>
      </c>
      <c r="F4" s="2" t="s">
        <v>45</v>
      </c>
      <c r="H4" s="2" t="s">
        <v>54</v>
      </c>
      <c r="I4" s="2" t="s">
        <v>59</v>
      </c>
      <c r="J4" s="2" t="s">
        <v>176</v>
      </c>
      <c r="K4" s="5">
        <v>2850</v>
      </c>
      <c r="L4" s="5">
        <v>2850</v>
      </c>
      <c r="M4" s="5">
        <v>456</v>
      </c>
      <c r="N4" s="8">
        <f t="shared" si="0"/>
        <v>3306</v>
      </c>
      <c r="O4" t="str">
        <f>IF(A4="", "", IF(SUMIFS(BD_FACTURAS!I:I, BD_FACTURAS!A:A, A4) = N4, "✅ Cuadrado", "⚠️ Diferencia"))</f>
        <v/>
      </c>
    </row>
    <row r="5" spans="1:16" x14ac:dyDescent="0.3">
      <c r="B5" s="3" t="s">
        <v>26</v>
      </c>
      <c r="D5">
        <v>5707</v>
      </c>
      <c r="E5" s="3" t="s">
        <v>39</v>
      </c>
      <c r="F5" s="3" t="s">
        <v>45</v>
      </c>
      <c r="H5" s="3" t="s">
        <v>54</v>
      </c>
      <c r="I5" s="3" t="s">
        <v>60</v>
      </c>
      <c r="J5" s="3" t="s">
        <v>176</v>
      </c>
      <c r="K5" s="6">
        <v>2850</v>
      </c>
      <c r="L5" s="6">
        <v>2850</v>
      </c>
      <c r="M5" s="6">
        <v>456</v>
      </c>
      <c r="N5" s="8">
        <f t="shared" si="0"/>
        <v>3306</v>
      </c>
      <c r="O5" t="str">
        <f>IF(A5="", "", IF(SUMIFS(BD_FACTURAS!I:I, BD_FACTURAS!A:A, A5) = N5, "✅ Cuadrado", "⚠️ Diferencia"))</f>
        <v/>
      </c>
    </row>
    <row r="6" spans="1:16" x14ac:dyDescent="0.3">
      <c r="B6" s="2" t="s">
        <v>26</v>
      </c>
      <c r="D6">
        <v>5708</v>
      </c>
      <c r="E6" s="2" t="s">
        <v>39</v>
      </c>
      <c r="F6" s="2" t="s">
        <v>45</v>
      </c>
      <c r="H6" s="2" t="s">
        <v>54</v>
      </c>
      <c r="I6" s="2" t="s">
        <v>61</v>
      </c>
      <c r="J6" s="2" t="s">
        <v>176</v>
      </c>
      <c r="K6" s="5">
        <v>2850</v>
      </c>
      <c r="L6" s="5">
        <v>2850</v>
      </c>
      <c r="M6" s="5">
        <v>456</v>
      </c>
      <c r="N6" s="8">
        <f t="shared" si="0"/>
        <v>3306</v>
      </c>
      <c r="O6" t="str">
        <f>IF(A6="", "", IF(SUMIFS(BD_FACTURAS!I:I, BD_FACTURAS!A:A, A6) = N6, "✅ Cuadrado", "⚠️ Diferencia"))</f>
        <v/>
      </c>
    </row>
    <row r="7" spans="1:16" x14ac:dyDescent="0.3">
      <c r="B7" s="3" t="s">
        <v>26</v>
      </c>
      <c r="D7">
        <v>5709</v>
      </c>
      <c r="E7" s="3" t="s">
        <v>39</v>
      </c>
      <c r="F7" s="3" t="s">
        <v>45</v>
      </c>
      <c r="H7" s="3" t="s">
        <v>54</v>
      </c>
      <c r="I7" s="3" t="s">
        <v>62</v>
      </c>
      <c r="J7" s="3" t="s">
        <v>176</v>
      </c>
      <c r="K7" s="6">
        <v>2850</v>
      </c>
      <c r="L7" s="6">
        <v>2850</v>
      </c>
      <c r="M7" s="6">
        <v>456</v>
      </c>
      <c r="N7" s="8">
        <f t="shared" si="0"/>
        <v>3306</v>
      </c>
      <c r="O7" t="str">
        <f>IF(A7="", "", IF(SUMIFS(BD_FACTURAS!I:I, BD_FACTURAS!A:A, A7) = N7, "✅ Cuadrado", "⚠️ Diferencia"))</f>
        <v/>
      </c>
    </row>
    <row r="8" spans="1:16" x14ac:dyDescent="0.3">
      <c r="B8" s="2" t="s">
        <v>26</v>
      </c>
      <c r="D8">
        <v>5710</v>
      </c>
      <c r="E8" s="2" t="s">
        <v>39</v>
      </c>
      <c r="F8" s="2" t="s">
        <v>45</v>
      </c>
      <c r="H8" s="2" t="s">
        <v>54</v>
      </c>
      <c r="I8" s="2" t="s">
        <v>63</v>
      </c>
      <c r="J8" s="2" t="s">
        <v>176</v>
      </c>
      <c r="K8" s="5">
        <v>2850</v>
      </c>
      <c r="L8" s="5">
        <v>2850</v>
      </c>
      <c r="M8" s="5">
        <v>456</v>
      </c>
      <c r="N8" s="8">
        <f t="shared" si="0"/>
        <v>3306</v>
      </c>
      <c r="O8" t="str">
        <f>IF(A8="", "", IF(SUMIFS(BD_FACTURAS!I:I, BD_FACTURAS!A:A, A8) = N8, "✅ Cuadrado", "⚠️ Diferencia"))</f>
        <v/>
      </c>
    </row>
    <row r="9" spans="1:16" x14ac:dyDescent="0.3">
      <c r="B9" s="3" t="s">
        <v>26</v>
      </c>
      <c r="D9">
        <v>5711</v>
      </c>
      <c r="E9" s="3" t="s">
        <v>39</v>
      </c>
      <c r="F9" s="3" t="s">
        <v>45</v>
      </c>
      <c r="H9" s="3" t="s">
        <v>54</v>
      </c>
      <c r="I9" s="3" t="s">
        <v>64</v>
      </c>
      <c r="J9" s="3" t="s">
        <v>176</v>
      </c>
      <c r="K9" s="6">
        <v>2850</v>
      </c>
      <c r="L9" s="6">
        <v>2850</v>
      </c>
      <c r="M9" s="6">
        <v>456</v>
      </c>
      <c r="N9" s="8">
        <f t="shared" si="0"/>
        <v>3306</v>
      </c>
      <c r="O9" t="str">
        <f>IF(A9="", "", IF(SUMIFS(BD_FACTURAS!I:I, BD_FACTURAS!A:A, A9) = N9, "✅ Cuadrado", "⚠️ Diferencia"))</f>
        <v/>
      </c>
    </row>
    <row r="10" spans="1:16" x14ac:dyDescent="0.3">
      <c r="B10" s="2" t="s">
        <v>26</v>
      </c>
      <c r="D10">
        <v>5712</v>
      </c>
      <c r="E10" s="2" t="s">
        <v>39</v>
      </c>
      <c r="F10" s="2" t="s">
        <v>45</v>
      </c>
      <c r="H10" s="2" t="s">
        <v>54</v>
      </c>
      <c r="I10" s="2" t="s">
        <v>65</v>
      </c>
      <c r="J10" s="2" t="s">
        <v>176</v>
      </c>
      <c r="K10" s="5">
        <v>2850</v>
      </c>
      <c r="L10" s="5">
        <v>2850</v>
      </c>
      <c r="M10" s="5">
        <v>456</v>
      </c>
      <c r="N10" s="8">
        <f t="shared" si="0"/>
        <v>3306</v>
      </c>
      <c r="O10" t="str">
        <f>IF(A10="", "", IF(SUMIFS(BD_FACTURAS!I:I, BD_FACTURAS!A:A, A10) = N10, "✅ Cuadrado", "⚠️ Diferencia"))</f>
        <v/>
      </c>
    </row>
    <row r="11" spans="1:16" x14ac:dyDescent="0.3">
      <c r="B11" s="3" t="s">
        <v>26</v>
      </c>
      <c r="D11">
        <v>5713</v>
      </c>
      <c r="E11" s="3" t="s">
        <v>39</v>
      </c>
      <c r="F11" s="3" t="s">
        <v>45</v>
      </c>
      <c r="H11" s="3" t="s">
        <v>54</v>
      </c>
      <c r="I11" s="3" t="s">
        <v>58</v>
      </c>
      <c r="J11" s="3" t="s">
        <v>176</v>
      </c>
      <c r="K11" s="6">
        <v>2850</v>
      </c>
      <c r="L11" s="6">
        <v>2850</v>
      </c>
      <c r="M11" s="6">
        <v>456</v>
      </c>
      <c r="N11" s="8">
        <f t="shared" si="0"/>
        <v>3306</v>
      </c>
      <c r="O11" t="str">
        <f>IF(A11="", "", IF(SUMIFS(BD_FACTURAS!I:I, BD_FACTURAS!A:A, A11) = N11, "✅ Cuadrado", "⚠️ Diferencia"))</f>
        <v/>
      </c>
    </row>
    <row r="12" spans="1:16" x14ac:dyDescent="0.3">
      <c r="B12" s="2" t="s">
        <v>26</v>
      </c>
      <c r="D12">
        <v>5714</v>
      </c>
      <c r="E12" s="2" t="s">
        <v>39</v>
      </c>
      <c r="F12" s="2" t="s">
        <v>45</v>
      </c>
      <c r="H12" s="2" t="s">
        <v>54</v>
      </c>
      <c r="I12" s="2" t="s">
        <v>57</v>
      </c>
      <c r="J12" s="2" t="s">
        <v>176</v>
      </c>
      <c r="K12" s="5">
        <v>2850</v>
      </c>
      <c r="L12" s="5">
        <v>2850</v>
      </c>
      <c r="M12" s="5">
        <v>456</v>
      </c>
      <c r="N12" s="8">
        <f t="shared" si="0"/>
        <v>3306</v>
      </c>
      <c r="O12" t="str">
        <f>IF(A12="", "", IF(SUMIFS(BD_FACTURAS!I:I, BD_FACTURAS!A:A, A12) = N12, "✅ Cuadrado", "⚠️ Diferencia"))</f>
        <v/>
      </c>
    </row>
    <row r="13" spans="1:16" x14ac:dyDescent="0.3">
      <c r="B13" s="3" t="s">
        <v>26</v>
      </c>
      <c r="D13">
        <v>5715</v>
      </c>
      <c r="E13" s="3" t="s">
        <v>39</v>
      </c>
      <c r="F13" s="3" t="s">
        <v>45</v>
      </c>
      <c r="H13" s="3" t="s">
        <v>54</v>
      </c>
      <c r="I13" s="3" t="s">
        <v>61</v>
      </c>
      <c r="J13" s="3" t="s">
        <v>177</v>
      </c>
      <c r="K13" s="6">
        <v>2850</v>
      </c>
      <c r="L13" s="6">
        <v>2850</v>
      </c>
      <c r="M13" s="6">
        <v>456</v>
      </c>
      <c r="N13" s="8">
        <f t="shared" si="0"/>
        <v>3306</v>
      </c>
      <c r="O13" t="str">
        <f>IF(A13="", "", IF(SUMIFS(BD_FACTURAS!I:I, BD_FACTURAS!A:A, A13) = N13, "✅ Cuadrado", "⚠️ Diferencia"))</f>
        <v/>
      </c>
    </row>
    <row r="14" spans="1:16" x14ac:dyDescent="0.3">
      <c r="B14" s="2" t="s">
        <v>27</v>
      </c>
      <c r="D14">
        <v>5719</v>
      </c>
      <c r="E14" s="2" t="s">
        <v>39</v>
      </c>
      <c r="F14" s="2" t="s">
        <v>45</v>
      </c>
      <c r="H14" s="2" t="s">
        <v>54</v>
      </c>
      <c r="I14" s="2" t="s">
        <v>59</v>
      </c>
      <c r="J14" s="2" t="s">
        <v>176</v>
      </c>
      <c r="K14" s="5">
        <v>2850</v>
      </c>
      <c r="L14" s="5">
        <v>2850</v>
      </c>
      <c r="M14" s="5">
        <v>456</v>
      </c>
      <c r="N14" s="8">
        <f t="shared" si="0"/>
        <v>3306</v>
      </c>
      <c r="O14" t="str">
        <f>IF(A14="", "", IF(SUMIFS(BD_FACTURAS!I:I, BD_FACTURAS!A:A, A14) = N14, "✅ Cuadrado", "⚠️ Diferencia"))</f>
        <v/>
      </c>
    </row>
    <row r="15" spans="1:16" x14ac:dyDescent="0.3">
      <c r="B15" s="3" t="s">
        <v>27</v>
      </c>
      <c r="D15">
        <v>5720</v>
      </c>
      <c r="E15" s="3" t="s">
        <v>39</v>
      </c>
      <c r="F15" s="3" t="s">
        <v>45</v>
      </c>
      <c r="H15" s="3" t="s">
        <v>54</v>
      </c>
      <c r="I15" s="3" t="s">
        <v>66</v>
      </c>
      <c r="J15" s="3" t="s">
        <v>176</v>
      </c>
      <c r="K15" s="6">
        <v>2850</v>
      </c>
      <c r="L15" s="6">
        <v>2850</v>
      </c>
      <c r="M15" s="6">
        <v>456</v>
      </c>
      <c r="N15" s="8">
        <f t="shared" si="0"/>
        <v>3306</v>
      </c>
      <c r="O15" t="str">
        <f>IF(A15="", "", IF(SUMIFS(BD_FACTURAS!I:I, BD_FACTURAS!A:A, A15) = N15, "✅ Cuadrado", "⚠️ Diferencia"))</f>
        <v/>
      </c>
    </row>
    <row r="16" spans="1:16" x14ac:dyDescent="0.3">
      <c r="B16" s="2" t="s">
        <v>27</v>
      </c>
      <c r="D16">
        <v>5721</v>
      </c>
      <c r="E16" s="2" t="s">
        <v>39</v>
      </c>
      <c r="F16" s="2" t="s">
        <v>45</v>
      </c>
      <c r="H16" s="2" t="s">
        <v>54</v>
      </c>
      <c r="I16" s="2" t="s">
        <v>63</v>
      </c>
      <c r="J16" s="2" t="s">
        <v>176</v>
      </c>
      <c r="K16" s="5">
        <v>2850</v>
      </c>
      <c r="L16" s="5">
        <v>2850</v>
      </c>
      <c r="M16" s="5">
        <v>456</v>
      </c>
      <c r="N16" s="8">
        <f t="shared" si="0"/>
        <v>3306</v>
      </c>
      <c r="O16" t="str">
        <f>IF(A16="", "", IF(SUMIFS(BD_FACTURAS!I:I, BD_FACTURAS!A:A, A16) = N16, "✅ Cuadrado", "⚠️ Diferencia"))</f>
        <v/>
      </c>
    </row>
    <row r="17" spans="2:15" x14ac:dyDescent="0.3">
      <c r="B17" s="3" t="s">
        <v>28</v>
      </c>
      <c r="D17">
        <v>5722</v>
      </c>
      <c r="E17" s="3" t="s">
        <v>39</v>
      </c>
      <c r="F17" s="3" t="s">
        <v>45</v>
      </c>
      <c r="H17" s="3" t="s">
        <v>54</v>
      </c>
      <c r="I17" s="3" t="s">
        <v>64</v>
      </c>
      <c r="J17" s="3" t="s">
        <v>176</v>
      </c>
      <c r="K17" s="6">
        <v>2850</v>
      </c>
      <c r="L17" s="6">
        <v>2850</v>
      </c>
      <c r="M17" s="6">
        <v>456</v>
      </c>
      <c r="N17" s="8">
        <f t="shared" si="0"/>
        <v>3306</v>
      </c>
      <c r="O17" t="str">
        <f>IF(A17="", "", IF(SUMIFS(BD_FACTURAS!I:I, BD_FACTURAS!A:A, A17) = N17, "✅ Cuadrado", "⚠️ Diferencia"))</f>
        <v/>
      </c>
    </row>
    <row r="18" spans="2:15" x14ac:dyDescent="0.3">
      <c r="B18" s="2" t="s">
        <v>27</v>
      </c>
      <c r="D18">
        <v>5723</v>
      </c>
      <c r="E18" s="2" t="s">
        <v>39</v>
      </c>
      <c r="F18" s="2" t="s">
        <v>45</v>
      </c>
      <c r="H18" s="2" t="s">
        <v>54</v>
      </c>
      <c r="I18" s="2" t="s">
        <v>61</v>
      </c>
      <c r="J18" s="2" t="s">
        <v>176</v>
      </c>
      <c r="K18" s="5">
        <v>2850</v>
      </c>
      <c r="L18" s="5">
        <v>2850</v>
      </c>
      <c r="M18" s="5">
        <v>456</v>
      </c>
      <c r="N18" s="8">
        <f t="shared" si="0"/>
        <v>3306</v>
      </c>
      <c r="O18" t="str">
        <f>IF(A18="", "", IF(SUMIFS(BD_FACTURAS!I:I, BD_FACTURAS!A:A, A18) = N18, "✅ Cuadrado", "⚠️ Diferencia"))</f>
        <v/>
      </c>
    </row>
    <row r="19" spans="2:15" x14ac:dyDescent="0.3">
      <c r="B19" s="3" t="s">
        <v>27</v>
      </c>
      <c r="D19">
        <v>5724</v>
      </c>
      <c r="E19" s="3" t="s">
        <v>39</v>
      </c>
      <c r="F19" s="3" t="s">
        <v>45</v>
      </c>
      <c r="H19" s="3" t="s">
        <v>54</v>
      </c>
      <c r="I19" s="3" t="s">
        <v>58</v>
      </c>
      <c r="J19" s="3" t="s">
        <v>176</v>
      </c>
      <c r="K19" s="6">
        <v>2850</v>
      </c>
      <c r="L19" s="6">
        <v>2850</v>
      </c>
      <c r="M19" s="6">
        <v>456</v>
      </c>
      <c r="N19" s="8">
        <f t="shared" si="0"/>
        <v>3306</v>
      </c>
      <c r="O19" t="str">
        <f>IF(A19="", "", IF(SUMIFS(BD_FACTURAS!I:I, BD_FACTURAS!A:A, A19) = N19, "✅ Cuadrado", "⚠️ Diferencia"))</f>
        <v/>
      </c>
    </row>
    <row r="20" spans="2:15" x14ac:dyDescent="0.3">
      <c r="B20" s="2" t="s">
        <v>27</v>
      </c>
      <c r="D20">
        <v>5725</v>
      </c>
      <c r="E20" s="2" t="s">
        <v>39</v>
      </c>
      <c r="F20" s="2" t="s">
        <v>45</v>
      </c>
      <c r="H20" s="2" t="s">
        <v>54</v>
      </c>
      <c r="I20" s="2" t="s">
        <v>57</v>
      </c>
      <c r="J20" s="2" t="s">
        <v>176</v>
      </c>
      <c r="K20" s="5">
        <v>2850</v>
      </c>
      <c r="L20" s="5">
        <v>2850</v>
      </c>
      <c r="M20" s="5">
        <v>456</v>
      </c>
      <c r="N20" s="8">
        <f t="shared" si="0"/>
        <v>3306</v>
      </c>
      <c r="O20" t="str">
        <f>IF(A20="", "", IF(SUMIFS(BD_FACTURAS!I:I, BD_FACTURAS!A:A, A20) = N20, "✅ Cuadrado", "⚠️ Diferencia"))</f>
        <v/>
      </c>
    </row>
    <row r="21" spans="2:15" x14ac:dyDescent="0.3">
      <c r="B21" s="3" t="s">
        <v>27</v>
      </c>
      <c r="D21">
        <v>5726</v>
      </c>
      <c r="E21" s="3" t="s">
        <v>40</v>
      </c>
      <c r="F21" s="3" t="s">
        <v>45</v>
      </c>
      <c r="H21" s="3" t="s">
        <v>54</v>
      </c>
      <c r="I21" s="3" t="s">
        <v>67</v>
      </c>
      <c r="J21" s="3" t="s">
        <v>176</v>
      </c>
      <c r="K21" s="6">
        <v>2850</v>
      </c>
      <c r="L21" s="6">
        <v>2850</v>
      </c>
      <c r="M21" s="6">
        <v>456</v>
      </c>
      <c r="N21" s="8">
        <f t="shared" si="0"/>
        <v>3306</v>
      </c>
      <c r="O21" t="str">
        <f>IF(A21="", "", IF(SUMIFS(BD_FACTURAS!I:I, BD_FACTURAS!A:A, A21) = N21, "✅ Cuadrado", "⚠️ Diferencia"))</f>
        <v/>
      </c>
    </row>
    <row r="22" spans="2:15" x14ac:dyDescent="0.3">
      <c r="B22" s="2" t="s">
        <v>27</v>
      </c>
      <c r="D22">
        <v>5727</v>
      </c>
      <c r="E22" s="2" t="s">
        <v>40</v>
      </c>
      <c r="F22" s="2" t="s">
        <v>45</v>
      </c>
      <c r="H22" s="2" t="s">
        <v>54</v>
      </c>
      <c r="I22" s="2" t="s">
        <v>68</v>
      </c>
      <c r="J22" s="2" t="s">
        <v>176</v>
      </c>
      <c r="K22" s="5">
        <v>2850</v>
      </c>
      <c r="L22" s="5">
        <v>2850</v>
      </c>
      <c r="M22" s="5">
        <v>456</v>
      </c>
      <c r="N22" s="8">
        <f t="shared" si="0"/>
        <v>3306</v>
      </c>
      <c r="O22" t="str">
        <f>IF(A22="", "", IF(SUMIFS(BD_FACTURAS!I:I, BD_FACTURAS!A:A, A22) = N22, "✅ Cuadrado", "⚠️ Diferencia"))</f>
        <v/>
      </c>
    </row>
    <row r="23" spans="2:15" x14ac:dyDescent="0.3">
      <c r="B23" s="3" t="s">
        <v>27</v>
      </c>
      <c r="D23">
        <v>5728</v>
      </c>
      <c r="E23" s="3" t="s">
        <v>40</v>
      </c>
      <c r="F23" s="3" t="s">
        <v>45</v>
      </c>
      <c r="H23" s="3" t="s">
        <v>54</v>
      </c>
      <c r="I23" s="3" t="s">
        <v>69</v>
      </c>
      <c r="J23" s="3" t="s">
        <v>176</v>
      </c>
      <c r="K23" s="6">
        <v>2850</v>
      </c>
      <c r="L23" s="6">
        <v>2850</v>
      </c>
      <c r="M23" s="6">
        <v>456</v>
      </c>
      <c r="N23" s="8">
        <f t="shared" si="0"/>
        <v>3306</v>
      </c>
      <c r="O23" t="str">
        <f>IF(A23="", "", IF(SUMIFS(BD_FACTURAS!I:I, BD_FACTURAS!A:A, A23) = N23, "✅ Cuadrado", "⚠️ Diferencia"))</f>
        <v/>
      </c>
    </row>
    <row r="24" spans="2:15" x14ac:dyDescent="0.3">
      <c r="B24" s="2" t="s">
        <v>27</v>
      </c>
      <c r="D24">
        <v>5729</v>
      </c>
      <c r="E24" s="2" t="s">
        <v>40</v>
      </c>
      <c r="F24" s="2" t="s">
        <v>45</v>
      </c>
      <c r="H24" s="2" t="s">
        <v>54</v>
      </c>
      <c r="I24" s="2" t="s">
        <v>70</v>
      </c>
      <c r="J24" s="2" t="s">
        <v>176</v>
      </c>
      <c r="K24" s="5">
        <v>2850</v>
      </c>
      <c r="L24" s="5">
        <v>2850</v>
      </c>
      <c r="M24" s="5">
        <v>456</v>
      </c>
      <c r="N24" s="8">
        <f t="shared" si="0"/>
        <v>3306</v>
      </c>
      <c r="O24" t="str">
        <f>IF(A24="", "", IF(SUMIFS(BD_FACTURAS!I:I, BD_FACTURAS!A:A, A24) = N24, "✅ Cuadrado", "⚠️ Diferencia"))</f>
        <v/>
      </c>
    </row>
    <row r="25" spans="2:15" x14ac:dyDescent="0.3">
      <c r="B25" s="3" t="s">
        <v>27</v>
      </c>
      <c r="D25">
        <v>5730</v>
      </c>
      <c r="E25" s="3" t="s">
        <v>40</v>
      </c>
      <c r="F25" s="3" t="s">
        <v>45</v>
      </c>
      <c r="H25" s="3" t="s">
        <v>54</v>
      </c>
      <c r="I25" s="3" t="s">
        <v>71</v>
      </c>
      <c r="J25" s="3" t="s">
        <v>176</v>
      </c>
      <c r="K25" s="6">
        <v>2850</v>
      </c>
      <c r="L25" s="6">
        <v>2850</v>
      </c>
      <c r="M25" s="6">
        <v>456</v>
      </c>
      <c r="N25" s="8">
        <f t="shared" si="0"/>
        <v>3306</v>
      </c>
      <c r="O25" t="str">
        <f>IF(A25="", "", IF(SUMIFS(BD_FACTURAS!I:I, BD_FACTURAS!A:A, A25) = N25, "✅ Cuadrado", "⚠️ Diferencia"))</f>
        <v/>
      </c>
    </row>
    <row r="26" spans="2:15" x14ac:dyDescent="0.3">
      <c r="B26" s="2" t="s">
        <v>27</v>
      </c>
      <c r="D26">
        <v>5731</v>
      </c>
      <c r="E26" s="2" t="s">
        <v>40</v>
      </c>
      <c r="F26" s="2" t="s">
        <v>45</v>
      </c>
      <c r="H26" s="2" t="s">
        <v>54</v>
      </c>
      <c r="I26" s="2" t="s">
        <v>72</v>
      </c>
      <c r="J26" s="2" t="s">
        <v>176</v>
      </c>
      <c r="K26" s="5">
        <v>2850</v>
      </c>
      <c r="L26" s="5">
        <v>2850</v>
      </c>
      <c r="M26" s="5">
        <v>456</v>
      </c>
      <c r="N26" s="8">
        <f t="shared" si="0"/>
        <v>3306</v>
      </c>
      <c r="O26" t="str">
        <f>IF(A26="", "", IF(SUMIFS(BD_FACTURAS!I:I, BD_FACTURAS!A:A, A26) = N26, "✅ Cuadrado", "⚠️ Diferencia"))</f>
        <v/>
      </c>
    </row>
    <row r="27" spans="2:15" x14ac:dyDescent="0.3">
      <c r="B27" s="3" t="s">
        <v>27</v>
      </c>
      <c r="D27">
        <v>5732</v>
      </c>
      <c r="E27" s="3" t="s">
        <v>40</v>
      </c>
      <c r="F27" s="3" t="s">
        <v>45</v>
      </c>
      <c r="H27" s="3" t="s">
        <v>54</v>
      </c>
      <c r="I27" s="3" t="s">
        <v>73</v>
      </c>
      <c r="J27" s="3" t="s">
        <v>176</v>
      </c>
      <c r="K27" s="6">
        <v>2850</v>
      </c>
      <c r="L27" s="6">
        <v>2850</v>
      </c>
      <c r="M27" s="6">
        <v>456</v>
      </c>
      <c r="N27" s="8">
        <f t="shared" si="0"/>
        <v>3306</v>
      </c>
      <c r="O27" t="str">
        <f>IF(A27="", "", IF(SUMIFS(BD_FACTURAS!I:I, BD_FACTURAS!A:A, A27) = N27, "✅ Cuadrado", "⚠️ Diferencia"))</f>
        <v/>
      </c>
    </row>
    <row r="28" spans="2:15" x14ac:dyDescent="0.3">
      <c r="B28" s="2" t="s">
        <v>27</v>
      </c>
      <c r="D28">
        <v>5733</v>
      </c>
      <c r="E28" s="2" t="s">
        <v>40</v>
      </c>
      <c r="F28" s="2" t="s">
        <v>45</v>
      </c>
      <c r="H28" s="2" t="s">
        <v>54</v>
      </c>
      <c r="I28" s="2" t="s">
        <v>74</v>
      </c>
      <c r="J28" s="2" t="s">
        <v>176</v>
      </c>
      <c r="K28" s="5">
        <v>2850</v>
      </c>
      <c r="L28" s="5">
        <v>2850</v>
      </c>
      <c r="M28" s="5">
        <v>456</v>
      </c>
      <c r="N28" s="8">
        <f t="shared" si="0"/>
        <v>3306</v>
      </c>
      <c r="O28" t="str">
        <f>IF(A28="", "", IF(SUMIFS(BD_FACTURAS!I:I, BD_FACTURAS!A:A, A28) = N28, "✅ Cuadrado", "⚠️ Diferencia"))</f>
        <v/>
      </c>
    </row>
    <row r="29" spans="2:15" x14ac:dyDescent="0.3">
      <c r="B29" s="3" t="s">
        <v>27</v>
      </c>
      <c r="D29">
        <v>5734</v>
      </c>
      <c r="E29" s="3" t="s">
        <v>40</v>
      </c>
      <c r="F29" s="3" t="s">
        <v>45</v>
      </c>
      <c r="H29" s="3" t="s">
        <v>54</v>
      </c>
      <c r="I29" s="3" t="s">
        <v>75</v>
      </c>
      <c r="J29" s="3" t="s">
        <v>176</v>
      </c>
      <c r="K29" s="6">
        <v>2850</v>
      </c>
      <c r="L29" s="6">
        <v>2850</v>
      </c>
      <c r="M29" s="6">
        <v>456</v>
      </c>
      <c r="N29" s="8">
        <f t="shared" si="0"/>
        <v>3306</v>
      </c>
      <c r="O29" t="str">
        <f>IF(A29="", "", IF(SUMIFS(BD_FACTURAS!I:I, BD_FACTURAS!A:A, A29) = N29, "✅ Cuadrado", "⚠️ Diferencia"))</f>
        <v/>
      </c>
    </row>
    <row r="30" spans="2:15" x14ac:dyDescent="0.3">
      <c r="B30" s="2" t="s">
        <v>27</v>
      </c>
      <c r="D30">
        <v>5735</v>
      </c>
      <c r="E30" s="2" t="s">
        <v>40</v>
      </c>
      <c r="F30" s="2" t="s">
        <v>45</v>
      </c>
      <c r="H30" s="2" t="s">
        <v>54</v>
      </c>
      <c r="I30" s="2" t="s">
        <v>76</v>
      </c>
      <c r="J30" s="2" t="s">
        <v>176</v>
      </c>
      <c r="K30" s="5">
        <v>2850</v>
      </c>
      <c r="L30" s="5">
        <v>2850</v>
      </c>
      <c r="M30" s="5">
        <v>456</v>
      </c>
      <c r="N30" s="8">
        <f t="shared" si="0"/>
        <v>3306</v>
      </c>
      <c r="O30" t="str">
        <f>IF(A30="", "", IF(SUMIFS(BD_FACTURAS!I:I, BD_FACTURAS!A:A, A30) = N30, "✅ Cuadrado", "⚠️ Diferencia"))</f>
        <v/>
      </c>
    </row>
    <row r="31" spans="2:15" x14ac:dyDescent="0.3">
      <c r="B31" s="3" t="s">
        <v>29</v>
      </c>
      <c r="D31">
        <v>5738</v>
      </c>
      <c r="E31" s="3" t="s">
        <v>39</v>
      </c>
      <c r="F31" s="3" t="s">
        <v>45</v>
      </c>
      <c r="H31" s="3" t="s">
        <v>54</v>
      </c>
      <c r="I31" s="3" t="s">
        <v>60</v>
      </c>
      <c r="J31" s="3" t="s">
        <v>176</v>
      </c>
      <c r="K31" s="6">
        <v>2850</v>
      </c>
      <c r="L31" s="6">
        <v>2850</v>
      </c>
      <c r="M31" s="6">
        <v>456</v>
      </c>
      <c r="N31" s="8">
        <f t="shared" si="0"/>
        <v>3306</v>
      </c>
      <c r="O31" t="str">
        <f>IF(A31="", "", IF(SUMIFS(BD_FACTURAS!I:I, BD_FACTURAS!A:A, A31) = N31, "✅ Cuadrado", "⚠️ Diferencia"))</f>
        <v/>
      </c>
    </row>
    <row r="32" spans="2:15" x14ac:dyDescent="0.3">
      <c r="B32" s="2" t="s">
        <v>29</v>
      </c>
      <c r="D32">
        <v>5739</v>
      </c>
      <c r="E32" s="2" t="s">
        <v>40</v>
      </c>
      <c r="F32" s="2" t="s">
        <v>45</v>
      </c>
      <c r="H32" s="2" t="s">
        <v>54</v>
      </c>
      <c r="I32" s="2" t="s">
        <v>67</v>
      </c>
      <c r="J32" s="2" t="s">
        <v>176</v>
      </c>
      <c r="K32" s="5">
        <v>2850</v>
      </c>
      <c r="L32" s="5">
        <v>2850</v>
      </c>
      <c r="M32" s="5">
        <v>456</v>
      </c>
      <c r="N32" s="8">
        <f t="shared" si="0"/>
        <v>3306</v>
      </c>
      <c r="O32" t="str">
        <f>IF(A32="", "", IF(SUMIFS(BD_FACTURAS!I:I, BD_FACTURAS!A:A, A32) = N32, "✅ Cuadrado", "⚠️ Diferencia"))</f>
        <v/>
      </c>
    </row>
    <row r="33" spans="2:15" x14ac:dyDescent="0.3">
      <c r="B33" s="3" t="s">
        <v>29</v>
      </c>
      <c r="D33">
        <v>5740</v>
      </c>
      <c r="E33" s="3" t="s">
        <v>39</v>
      </c>
      <c r="F33" s="3" t="s">
        <v>45</v>
      </c>
      <c r="H33" s="3" t="s">
        <v>54</v>
      </c>
      <c r="I33" s="3" t="s">
        <v>59</v>
      </c>
      <c r="J33" s="3" t="s">
        <v>176</v>
      </c>
      <c r="K33" s="6">
        <v>2850</v>
      </c>
      <c r="L33" s="6">
        <v>2850</v>
      </c>
      <c r="M33" s="6">
        <v>456</v>
      </c>
      <c r="N33" s="8">
        <f t="shared" si="0"/>
        <v>3306</v>
      </c>
      <c r="O33" t="str">
        <f>IF(A33="", "", IF(SUMIFS(BD_FACTURAS!I:I, BD_FACTURAS!A:A, A33) = N33, "✅ Cuadrado", "⚠️ Diferencia"))</f>
        <v/>
      </c>
    </row>
    <row r="34" spans="2:15" x14ac:dyDescent="0.3">
      <c r="B34" s="2" t="s">
        <v>29</v>
      </c>
      <c r="D34">
        <v>5741</v>
      </c>
      <c r="E34" s="2" t="s">
        <v>39</v>
      </c>
      <c r="F34" s="2" t="s">
        <v>45</v>
      </c>
      <c r="H34" s="2" t="s">
        <v>54</v>
      </c>
      <c r="I34" s="2" t="s">
        <v>74</v>
      </c>
      <c r="J34" s="2" t="s">
        <v>176</v>
      </c>
      <c r="K34" s="5">
        <v>2850</v>
      </c>
      <c r="L34" s="5">
        <v>2850</v>
      </c>
      <c r="M34" s="5">
        <v>456</v>
      </c>
      <c r="N34" s="8">
        <f t="shared" si="0"/>
        <v>3306</v>
      </c>
      <c r="O34" t="str">
        <f>IF(A34="", "", IF(SUMIFS(BD_FACTURAS!I:I, BD_FACTURAS!A:A, A34) = N34, "✅ Cuadrado", "⚠️ Diferencia"))</f>
        <v/>
      </c>
    </row>
    <row r="35" spans="2:15" x14ac:dyDescent="0.3">
      <c r="B35" s="3" t="s">
        <v>29</v>
      </c>
      <c r="D35">
        <v>5742</v>
      </c>
      <c r="E35" s="3" t="s">
        <v>40</v>
      </c>
      <c r="F35" s="3" t="s">
        <v>45</v>
      </c>
      <c r="H35" s="3" t="s">
        <v>54</v>
      </c>
      <c r="I35" s="3" t="s">
        <v>77</v>
      </c>
      <c r="J35" s="3" t="s">
        <v>176</v>
      </c>
      <c r="K35" s="6">
        <v>2850</v>
      </c>
      <c r="L35" s="6">
        <v>2850</v>
      </c>
      <c r="M35" s="6">
        <v>456</v>
      </c>
      <c r="N35" s="8">
        <f t="shared" si="0"/>
        <v>3306</v>
      </c>
      <c r="O35" t="str">
        <f>IF(A35="", "", IF(SUMIFS(BD_FACTURAS!I:I, BD_FACTURAS!A:A, A35) = N35, "✅ Cuadrado", "⚠️ Diferencia"))</f>
        <v/>
      </c>
    </row>
    <row r="36" spans="2:15" x14ac:dyDescent="0.3">
      <c r="B36" s="2" t="s">
        <v>29</v>
      </c>
      <c r="D36">
        <v>5743</v>
      </c>
      <c r="E36" s="2" t="s">
        <v>40</v>
      </c>
      <c r="F36" s="2" t="s">
        <v>45</v>
      </c>
      <c r="H36" s="2" t="s">
        <v>54</v>
      </c>
      <c r="I36" s="2" t="s">
        <v>78</v>
      </c>
      <c r="J36" s="2" t="s">
        <v>176</v>
      </c>
      <c r="K36" s="5">
        <v>2850</v>
      </c>
      <c r="L36" s="5">
        <v>2850</v>
      </c>
      <c r="M36" s="5">
        <v>456</v>
      </c>
      <c r="N36" s="8">
        <f t="shared" si="0"/>
        <v>3306</v>
      </c>
      <c r="O36" t="str">
        <f>IF(A36="", "", IF(SUMIFS(BD_FACTURAS!I:I, BD_FACTURAS!A:A, A36) = N36, "✅ Cuadrado", "⚠️ Diferencia"))</f>
        <v/>
      </c>
    </row>
    <row r="37" spans="2:15" x14ac:dyDescent="0.3">
      <c r="B37" s="3" t="s">
        <v>29</v>
      </c>
      <c r="D37">
        <v>5744</v>
      </c>
      <c r="E37" s="3" t="s">
        <v>40</v>
      </c>
      <c r="F37" s="3" t="s">
        <v>45</v>
      </c>
      <c r="H37" s="3" t="s">
        <v>54</v>
      </c>
      <c r="I37" s="3" t="s">
        <v>72</v>
      </c>
      <c r="J37" s="3" t="s">
        <v>176</v>
      </c>
      <c r="K37" s="6">
        <v>2850</v>
      </c>
      <c r="L37" s="6">
        <v>2850</v>
      </c>
      <c r="M37" s="6">
        <v>456</v>
      </c>
      <c r="N37" s="8">
        <f t="shared" si="0"/>
        <v>3306</v>
      </c>
      <c r="O37" t="str">
        <f>IF(A37="", "", IF(SUMIFS(BD_FACTURAS!I:I, BD_FACTURAS!A:A, A37) = N37, "✅ Cuadrado", "⚠️ Diferencia"))</f>
        <v/>
      </c>
    </row>
    <row r="38" spans="2:15" x14ac:dyDescent="0.3">
      <c r="B38" s="2" t="s">
        <v>29</v>
      </c>
      <c r="D38">
        <v>5745</v>
      </c>
      <c r="E38" s="2" t="s">
        <v>40</v>
      </c>
      <c r="F38" s="2" t="s">
        <v>45</v>
      </c>
      <c r="H38" s="2" t="s">
        <v>54</v>
      </c>
      <c r="I38" s="2" t="s">
        <v>79</v>
      </c>
      <c r="J38" s="2" t="s">
        <v>176</v>
      </c>
      <c r="K38" s="5">
        <v>2850</v>
      </c>
      <c r="L38" s="5">
        <v>2850</v>
      </c>
      <c r="M38" s="5">
        <v>456</v>
      </c>
      <c r="N38" s="8">
        <f t="shared" si="0"/>
        <v>3306</v>
      </c>
      <c r="O38" t="str">
        <f>IF(A38="", "", IF(SUMIFS(BD_FACTURAS!I:I, BD_FACTURAS!A:A, A38) = N38, "✅ Cuadrado", "⚠️ Diferencia"))</f>
        <v/>
      </c>
    </row>
    <row r="39" spans="2:15" x14ac:dyDescent="0.3">
      <c r="B39" s="3" t="s">
        <v>29</v>
      </c>
      <c r="D39">
        <v>5746</v>
      </c>
      <c r="E39" s="3" t="s">
        <v>40</v>
      </c>
      <c r="F39" s="3" t="s">
        <v>45</v>
      </c>
      <c r="H39" s="3" t="s">
        <v>54</v>
      </c>
      <c r="I39" s="3" t="s">
        <v>71</v>
      </c>
      <c r="J39" s="3" t="s">
        <v>176</v>
      </c>
      <c r="K39" s="6">
        <v>2850</v>
      </c>
      <c r="L39" s="6">
        <v>2850</v>
      </c>
      <c r="M39" s="6">
        <v>456</v>
      </c>
      <c r="N39" s="8">
        <f t="shared" si="0"/>
        <v>3306</v>
      </c>
      <c r="O39" t="str">
        <f>IF(A39="", "", IF(SUMIFS(BD_FACTURAS!I:I, BD_FACTURAS!A:A, A39) = N39, "✅ Cuadrado", "⚠️ Diferencia"))</f>
        <v/>
      </c>
    </row>
    <row r="40" spans="2:15" x14ac:dyDescent="0.3">
      <c r="B40" s="2" t="s">
        <v>29</v>
      </c>
      <c r="D40">
        <v>5747</v>
      </c>
      <c r="E40" s="2" t="s">
        <v>40</v>
      </c>
      <c r="F40" s="2" t="s">
        <v>45</v>
      </c>
      <c r="H40" s="2" t="s">
        <v>54</v>
      </c>
      <c r="I40" s="2" t="s">
        <v>80</v>
      </c>
      <c r="J40" s="2" t="s">
        <v>176</v>
      </c>
      <c r="K40" s="5">
        <v>2850</v>
      </c>
      <c r="L40" s="5">
        <v>2850</v>
      </c>
      <c r="M40" s="5">
        <v>456</v>
      </c>
      <c r="N40" s="8">
        <f t="shared" si="0"/>
        <v>3306</v>
      </c>
      <c r="O40" t="str">
        <f>IF(A40="", "", IF(SUMIFS(BD_FACTURAS!I:I, BD_FACTURAS!A:A, A40) = N40, "✅ Cuadrado", "⚠️ Diferencia"))</f>
        <v/>
      </c>
    </row>
    <row r="41" spans="2:15" x14ac:dyDescent="0.3">
      <c r="B41" s="3" t="s">
        <v>29</v>
      </c>
      <c r="D41">
        <v>5748</v>
      </c>
      <c r="E41" s="3" t="s">
        <v>40</v>
      </c>
      <c r="F41" s="3" t="s">
        <v>45</v>
      </c>
      <c r="H41" s="3" t="s">
        <v>54</v>
      </c>
      <c r="I41" s="3" t="s">
        <v>75</v>
      </c>
      <c r="J41" s="3" t="s">
        <v>176</v>
      </c>
      <c r="K41" s="6">
        <v>2850</v>
      </c>
      <c r="L41" s="6">
        <v>2850</v>
      </c>
      <c r="M41" s="6">
        <v>456</v>
      </c>
      <c r="N41" s="8">
        <f t="shared" si="0"/>
        <v>3306</v>
      </c>
      <c r="O41" t="str">
        <f>IF(A41="", "", IF(SUMIFS(BD_FACTURAS!I:I, BD_FACTURAS!A:A, A41) = N41, "✅ Cuadrado", "⚠️ Diferencia"))</f>
        <v/>
      </c>
    </row>
    <row r="42" spans="2:15" x14ac:dyDescent="0.3">
      <c r="B42" s="2" t="s">
        <v>29</v>
      </c>
      <c r="D42">
        <v>5749</v>
      </c>
      <c r="E42" s="2" t="s">
        <v>40</v>
      </c>
      <c r="F42" s="2" t="s">
        <v>45</v>
      </c>
      <c r="H42" s="2" t="s">
        <v>54</v>
      </c>
      <c r="I42" s="2" t="s">
        <v>76</v>
      </c>
      <c r="J42" s="2" t="s">
        <v>176</v>
      </c>
      <c r="K42" s="5">
        <v>2850</v>
      </c>
      <c r="L42" s="5">
        <v>2850</v>
      </c>
      <c r="M42" s="5">
        <v>456</v>
      </c>
      <c r="N42" s="8">
        <f t="shared" si="0"/>
        <v>3306</v>
      </c>
      <c r="O42" t="str">
        <f>IF(A42="", "", IF(SUMIFS(BD_FACTURAS!I:I, BD_FACTURAS!A:A, A42) = N42, "✅ Cuadrado", "⚠️ Diferencia"))</f>
        <v/>
      </c>
    </row>
    <row r="43" spans="2:15" x14ac:dyDescent="0.3">
      <c r="B43" s="3" t="s">
        <v>30</v>
      </c>
      <c r="D43">
        <v>251</v>
      </c>
      <c r="E43" s="3" t="s">
        <v>40</v>
      </c>
      <c r="F43" s="3" t="s">
        <v>45</v>
      </c>
      <c r="H43" s="3" t="s">
        <v>54</v>
      </c>
      <c r="I43" s="3" t="s">
        <v>74</v>
      </c>
      <c r="J43" s="3" t="s">
        <v>176</v>
      </c>
      <c r="K43" s="6">
        <v>2850</v>
      </c>
      <c r="L43" s="6">
        <v>2850</v>
      </c>
      <c r="M43" s="6">
        <v>456</v>
      </c>
      <c r="N43" s="8">
        <f t="shared" si="0"/>
        <v>3306</v>
      </c>
      <c r="O43" t="str">
        <f>IF(A43="", "", IF(SUMIFS(BD_FACTURAS!I:I, BD_FACTURAS!A:A, A43) = N43, "✅ Cuadrado", "⚠️ Diferencia"))</f>
        <v/>
      </c>
    </row>
    <row r="44" spans="2:15" x14ac:dyDescent="0.3">
      <c r="B44" s="2" t="s">
        <v>30</v>
      </c>
      <c r="D44">
        <v>252</v>
      </c>
      <c r="E44" s="2" t="s">
        <v>40</v>
      </c>
      <c r="F44" s="2" t="s">
        <v>45</v>
      </c>
      <c r="H44" s="2" t="s">
        <v>54</v>
      </c>
      <c r="I44" s="2" t="s">
        <v>67</v>
      </c>
      <c r="J44" s="2" t="s">
        <v>176</v>
      </c>
      <c r="K44" s="5">
        <v>2850</v>
      </c>
      <c r="L44" s="5">
        <v>2850</v>
      </c>
      <c r="M44" s="5">
        <v>456</v>
      </c>
      <c r="N44" s="8">
        <f t="shared" si="0"/>
        <v>3306</v>
      </c>
      <c r="O44" t="str">
        <f>IF(A44="", "", IF(SUMIFS(BD_FACTURAS!I:I, BD_FACTURAS!A:A, A44) = N44, "✅ Cuadrado", "⚠️ Diferencia"))</f>
        <v/>
      </c>
    </row>
    <row r="45" spans="2:15" x14ac:dyDescent="0.3">
      <c r="B45" s="3" t="s">
        <v>30</v>
      </c>
      <c r="D45">
        <v>253</v>
      </c>
      <c r="E45" s="3" t="s">
        <v>40</v>
      </c>
      <c r="F45" s="3" t="s">
        <v>45</v>
      </c>
      <c r="H45" s="3" t="s">
        <v>54</v>
      </c>
      <c r="I45" s="3" t="s">
        <v>81</v>
      </c>
      <c r="J45" s="3" t="s">
        <v>176</v>
      </c>
      <c r="K45" s="6">
        <v>2850</v>
      </c>
      <c r="L45" s="6">
        <v>2850</v>
      </c>
      <c r="M45" s="6">
        <v>456</v>
      </c>
      <c r="N45" s="8">
        <f t="shared" si="0"/>
        <v>3306</v>
      </c>
      <c r="O45" t="str">
        <f>IF(A45="", "", IF(SUMIFS(BD_FACTURAS!I:I, BD_FACTURAS!A:A, A45) = N45, "✅ Cuadrado", "⚠️ Diferencia"))</f>
        <v/>
      </c>
    </row>
    <row r="46" spans="2:15" x14ac:dyDescent="0.3">
      <c r="B46" s="2" t="s">
        <v>30</v>
      </c>
      <c r="D46">
        <v>254</v>
      </c>
      <c r="E46" s="2" t="s">
        <v>40</v>
      </c>
      <c r="F46" s="2" t="s">
        <v>45</v>
      </c>
      <c r="H46" s="2" t="s">
        <v>54</v>
      </c>
      <c r="I46" s="2" t="s">
        <v>82</v>
      </c>
      <c r="J46" s="2" t="s">
        <v>176</v>
      </c>
      <c r="K46" s="5">
        <v>2850</v>
      </c>
      <c r="L46" s="5">
        <v>2850</v>
      </c>
      <c r="M46" s="5">
        <v>456</v>
      </c>
      <c r="N46" s="8">
        <f t="shared" si="0"/>
        <v>3306</v>
      </c>
      <c r="O46" t="str">
        <f>IF(A46="", "", IF(SUMIFS(BD_FACTURAS!I:I, BD_FACTURAS!A:A, A46) = N46, "✅ Cuadrado", "⚠️ Diferencia"))</f>
        <v/>
      </c>
    </row>
    <row r="47" spans="2:15" x14ac:dyDescent="0.3">
      <c r="B47" s="3" t="s">
        <v>30</v>
      </c>
      <c r="D47">
        <v>255</v>
      </c>
      <c r="E47" s="3" t="s">
        <v>39</v>
      </c>
      <c r="F47" s="3" t="s">
        <v>45</v>
      </c>
      <c r="H47" s="3" t="s">
        <v>54</v>
      </c>
      <c r="I47" s="3" t="s">
        <v>83</v>
      </c>
      <c r="J47" s="3" t="s">
        <v>176</v>
      </c>
      <c r="K47" s="6">
        <v>2850</v>
      </c>
      <c r="L47" s="6">
        <v>2850</v>
      </c>
      <c r="M47" s="6">
        <v>456</v>
      </c>
      <c r="N47" s="8">
        <f t="shared" si="0"/>
        <v>3306</v>
      </c>
      <c r="O47" t="str">
        <f>IF(A47="", "", IF(SUMIFS(BD_FACTURAS!I:I, BD_FACTURAS!A:A, A47) = N47, "✅ Cuadrado", "⚠️ Diferencia"))</f>
        <v/>
      </c>
    </row>
    <row r="48" spans="2:15" x14ac:dyDescent="0.3">
      <c r="B48" s="2" t="s">
        <v>30</v>
      </c>
      <c r="D48">
        <v>256</v>
      </c>
      <c r="E48" s="2" t="s">
        <v>40</v>
      </c>
      <c r="F48" s="2" t="s">
        <v>45</v>
      </c>
      <c r="H48" s="2" t="s">
        <v>54</v>
      </c>
      <c r="I48" s="2" t="s">
        <v>77</v>
      </c>
      <c r="J48" s="2" t="s">
        <v>176</v>
      </c>
      <c r="K48" s="5">
        <v>2850</v>
      </c>
      <c r="L48" s="5">
        <v>2850</v>
      </c>
      <c r="M48" s="5">
        <v>456</v>
      </c>
      <c r="N48" s="8">
        <f t="shared" si="0"/>
        <v>3306</v>
      </c>
      <c r="O48" t="str">
        <f>IF(A48="", "", IF(SUMIFS(BD_FACTURAS!I:I, BD_FACTURAS!A:A, A48) = N48, "✅ Cuadrado", "⚠️ Diferencia"))</f>
        <v/>
      </c>
    </row>
    <row r="49" spans="2:15" x14ac:dyDescent="0.3">
      <c r="B49" s="3" t="s">
        <v>30</v>
      </c>
      <c r="D49">
        <v>257</v>
      </c>
      <c r="E49" s="3" t="s">
        <v>40</v>
      </c>
      <c r="F49" s="3" t="s">
        <v>45</v>
      </c>
      <c r="H49" s="3" t="s">
        <v>54</v>
      </c>
      <c r="I49" s="3" t="s">
        <v>72</v>
      </c>
      <c r="J49" s="3" t="s">
        <v>176</v>
      </c>
      <c r="K49" s="6">
        <v>2850</v>
      </c>
      <c r="L49" s="6">
        <v>2850</v>
      </c>
      <c r="M49" s="6">
        <v>456</v>
      </c>
      <c r="N49" s="8">
        <f t="shared" si="0"/>
        <v>3306</v>
      </c>
      <c r="O49" t="str">
        <f>IF(A49="", "", IF(SUMIFS(BD_FACTURAS!I:I, BD_FACTURAS!A:A, A49) = N49, "✅ Cuadrado", "⚠️ Diferencia"))</f>
        <v/>
      </c>
    </row>
    <row r="50" spans="2:15" x14ac:dyDescent="0.3">
      <c r="B50" s="2" t="s">
        <v>30</v>
      </c>
      <c r="D50">
        <v>258</v>
      </c>
      <c r="E50" s="2" t="s">
        <v>40</v>
      </c>
      <c r="F50" s="2" t="s">
        <v>45</v>
      </c>
      <c r="H50" s="2" t="s">
        <v>54</v>
      </c>
      <c r="I50" s="2" t="s">
        <v>79</v>
      </c>
      <c r="J50" s="2" t="s">
        <v>176</v>
      </c>
      <c r="K50" s="5">
        <v>2850</v>
      </c>
      <c r="L50" s="5">
        <v>2850</v>
      </c>
      <c r="M50" s="5">
        <v>456</v>
      </c>
      <c r="N50" s="8">
        <f t="shared" si="0"/>
        <v>3306</v>
      </c>
      <c r="O50" t="str">
        <f>IF(A50="", "", IF(SUMIFS(BD_FACTURAS!I:I, BD_FACTURAS!A:A, A50) = N50, "✅ Cuadrado", "⚠️ Diferencia"))</f>
        <v/>
      </c>
    </row>
    <row r="51" spans="2:15" x14ac:dyDescent="0.3">
      <c r="B51" s="3" t="s">
        <v>30</v>
      </c>
      <c r="D51">
        <v>259</v>
      </c>
      <c r="E51" s="3" t="s">
        <v>40</v>
      </c>
      <c r="F51" s="3" t="s">
        <v>45</v>
      </c>
      <c r="H51" s="3" t="s">
        <v>54</v>
      </c>
      <c r="I51" s="3" t="s">
        <v>84</v>
      </c>
      <c r="J51" s="3" t="s">
        <v>176</v>
      </c>
      <c r="K51" s="6">
        <v>2850</v>
      </c>
      <c r="L51" s="6">
        <v>2850</v>
      </c>
      <c r="M51" s="6">
        <v>456</v>
      </c>
      <c r="N51" s="8">
        <f t="shared" si="0"/>
        <v>3306</v>
      </c>
      <c r="O51" t="str">
        <f>IF(A51="", "", IF(SUMIFS(BD_FACTURAS!I:I, BD_FACTURAS!A:A, A51) = N51, "✅ Cuadrado", "⚠️ Diferencia"))</f>
        <v/>
      </c>
    </row>
    <row r="52" spans="2:15" x14ac:dyDescent="0.3">
      <c r="B52" s="2" t="s">
        <v>30</v>
      </c>
      <c r="D52">
        <v>260</v>
      </c>
      <c r="E52" s="2" t="s">
        <v>40</v>
      </c>
      <c r="F52" s="2" t="s">
        <v>45</v>
      </c>
      <c r="H52" s="2" t="s">
        <v>54</v>
      </c>
      <c r="I52" s="2" t="s">
        <v>71</v>
      </c>
      <c r="J52" s="2" t="s">
        <v>176</v>
      </c>
      <c r="K52" s="5">
        <v>2850</v>
      </c>
      <c r="L52" s="5">
        <v>2850</v>
      </c>
      <c r="M52" s="5">
        <v>456</v>
      </c>
      <c r="N52" s="8">
        <f t="shared" si="0"/>
        <v>3306</v>
      </c>
      <c r="O52" t="str">
        <f>IF(A52="", "", IF(SUMIFS(BD_FACTURAS!I:I, BD_FACTURAS!A:A, A52) = N52, "✅ Cuadrado", "⚠️ Diferencia"))</f>
        <v/>
      </c>
    </row>
    <row r="53" spans="2:15" x14ac:dyDescent="0.3">
      <c r="B53" s="3" t="s">
        <v>30</v>
      </c>
      <c r="D53">
        <v>261</v>
      </c>
      <c r="E53" s="3" t="s">
        <v>40</v>
      </c>
      <c r="F53" s="3" t="s">
        <v>45</v>
      </c>
      <c r="H53" s="3" t="s">
        <v>54</v>
      </c>
      <c r="I53" s="3" t="s">
        <v>85</v>
      </c>
      <c r="J53" s="3" t="s">
        <v>176</v>
      </c>
      <c r="K53" s="6">
        <v>2850</v>
      </c>
      <c r="L53" s="6">
        <v>2850</v>
      </c>
      <c r="M53" s="6">
        <v>456</v>
      </c>
      <c r="N53" s="8">
        <f t="shared" si="0"/>
        <v>3306</v>
      </c>
      <c r="O53" t="str">
        <f>IF(A53="", "", IF(SUMIFS(BD_FACTURAS!I:I, BD_FACTURAS!A:A, A53) = N53, "✅ Cuadrado", "⚠️ Diferencia"))</f>
        <v/>
      </c>
    </row>
    <row r="54" spans="2:15" x14ac:dyDescent="0.3">
      <c r="B54" s="2" t="s">
        <v>30</v>
      </c>
      <c r="D54">
        <v>262</v>
      </c>
      <c r="E54" s="2" t="s">
        <v>40</v>
      </c>
      <c r="F54" s="2" t="s">
        <v>45</v>
      </c>
      <c r="H54" s="2" t="s">
        <v>54</v>
      </c>
      <c r="I54" s="2" t="s">
        <v>86</v>
      </c>
      <c r="J54" s="2" t="s">
        <v>176</v>
      </c>
      <c r="K54" s="5">
        <v>2850</v>
      </c>
      <c r="L54" s="5">
        <v>2850</v>
      </c>
      <c r="M54" s="5">
        <v>456</v>
      </c>
      <c r="N54" s="8">
        <f t="shared" si="0"/>
        <v>3306</v>
      </c>
      <c r="O54" t="str">
        <f>IF(A54="", "", IF(SUMIFS(BD_FACTURAS!I:I, BD_FACTURAS!A:A, A54) = N54, "✅ Cuadrado", "⚠️ Diferencia"))</f>
        <v/>
      </c>
    </row>
    <row r="55" spans="2:15" x14ac:dyDescent="0.3">
      <c r="B55" s="3" t="s">
        <v>30</v>
      </c>
      <c r="D55">
        <v>263</v>
      </c>
      <c r="E55" s="3" t="s">
        <v>40</v>
      </c>
      <c r="F55" s="3" t="s">
        <v>45</v>
      </c>
      <c r="H55" s="3" t="s">
        <v>54</v>
      </c>
      <c r="I55" s="3" t="s">
        <v>73</v>
      </c>
      <c r="J55" s="3" t="s">
        <v>176</v>
      </c>
      <c r="K55" s="6">
        <v>2850</v>
      </c>
      <c r="L55" s="6">
        <v>2850</v>
      </c>
      <c r="M55" s="6">
        <v>456</v>
      </c>
      <c r="N55" s="8">
        <f t="shared" si="0"/>
        <v>3306</v>
      </c>
      <c r="O55" t="str">
        <f>IF(A55="", "", IF(SUMIFS(BD_FACTURAS!I:I, BD_FACTURAS!A:A, A55) = N55, "✅ Cuadrado", "⚠️ Diferencia"))</f>
        <v/>
      </c>
    </row>
    <row r="56" spans="2:15" x14ac:dyDescent="0.3">
      <c r="B56" s="2" t="s">
        <v>30</v>
      </c>
      <c r="D56">
        <v>264</v>
      </c>
      <c r="E56" s="2" t="s">
        <v>40</v>
      </c>
      <c r="F56" s="2" t="s">
        <v>45</v>
      </c>
      <c r="H56" s="2" t="s">
        <v>54</v>
      </c>
      <c r="I56" s="2" t="s">
        <v>87</v>
      </c>
      <c r="J56" s="2" t="s">
        <v>176</v>
      </c>
      <c r="K56" s="5">
        <v>2850</v>
      </c>
      <c r="L56" s="5">
        <v>2850</v>
      </c>
      <c r="M56" s="5">
        <v>456</v>
      </c>
      <c r="N56" s="8">
        <f t="shared" si="0"/>
        <v>3306</v>
      </c>
      <c r="O56" t="str">
        <f>IF(A56="", "", IF(SUMIFS(BD_FACTURAS!I:I, BD_FACTURAS!A:A, A56) = N56, "✅ Cuadrado", "⚠️ Diferencia"))</f>
        <v/>
      </c>
    </row>
    <row r="57" spans="2:15" x14ac:dyDescent="0.3">
      <c r="B57" s="3" t="s">
        <v>28</v>
      </c>
      <c r="D57">
        <v>265</v>
      </c>
      <c r="E57" s="3" t="s">
        <v>40</v>
      </c>
      <c r="F57" s="3" t="s">
        <v>45</v>
      </c>
      <c r="H57" s="3" t="s">
        <v>54</v>
      </c>
      <c r="I57" s="3" t="s">
        <v>70</v>
      </c>
      <c r="J57" s="3" t="s">
        <v>176</v>
      </c>
      <c r="K57" s="6">
        <v>2850</v>
      </c>
      <c r="L57" s="6">
        <v>2850</v>
      </c>
      <c r="M57" s="6">
        <v>456</v>
      </c>
      <c r="N57" s="8">
        <f t="shared" si="0"/>
        <v>3306</v>
      </c>
      <c r="O57" t="str">
        <f>IF(A57="", "", IF(SUMIFS(BD_FACTURAS!I:I, BD_FACTURAS!A:A, A57) = N57, "✅ Cuadrado", "⚠️ Diferencia"))</f>
        <v/>
      </c>
    </row>
    <row r="58" spans="2:15" x14ac:dyDescent="0.3">
      <c r="B58" s="2" t="s">
        <v>28</v>
      </c>
      <c r="D58">
        <v>266</v>
      </c>
      <c r="E58" s="2" t="s">
        <v>39</v>
      </c>
      <c r="F58" s="2" t="s">
        <v>45</v>
      </c>
      <c r="H58" s="2" t="s">
        <v>54</v>
      </c>
      <c r="I58" s="2" t="s">
        <v>88</v>
      </c>
      <c r="J58" s="2" t="s">
        <v>176</v>
      </c>
      <c r="K58" s="5">
        <v>2850</v>
      </c>
      <c r="L58" s="5">
        <v>2850</v>
      </c>
      <c r="M58" s="5">
        <v>456</v>
      </c>
      <c r="N58" s="8">
        <f t="shared" si="0"/>
        <v>3306</v>
      </c>
      <c r="O58" t="str">
        <f>IF(A58="", "", IF(SUMIFS(BD_FACTURAS!I:I, BD_FACTURAS!A:A, A58) = N58, "✅ Cuadrado", "⚠️ Diferencia"))</f>
        <v/>
      </c>
    </row>
    <row r="59" spans="2:15" x14ac:dyDescent="0.3">
      <c r="B59" s="3" t="s">
        <v>28</v>
      </c>
      <c r="D59">
        <v>267</v>
      </c>
      <c r="E59" s="3" t="s">
        <v>40</v>
      </c>
      <c r="F59" s="3" t="s">
        <v>45</v>
      </c>
      <c r="H59" s="3" t="s">
        <v>54</v>
      </c>
      <c r="I59" s="3" t="s">
        <v>89</v>
      </c>
      <c r="J59" s="3" t="s">
        <v>176</v>
      </c>
      <c r="K59" s="6">
        <v>2850</v>
      </c>
      <c r="L59" s="6">
        <v>2850</v>
      </c>
      <c r="M59" s="6">
        <v>456</v>
      </c>
      <c r="N59" s="8">
        <f t="shared" si="0"/>
        <v>3306</v>
      </c>
      <c r="O59" t="str">
        <f>IF(A59="", "", IF(SUMIFS(BD_FACTURAS!I:I, BD_FACTURAS!A:A, A59) = N59, "✅ Cuadrado", "⚠️ Diferencia"))</f>
        <v/>
      </c>
    </row>
    <row r="60" spans="2:15" x14ac:dyDescent="0.3">
      <c r="B60" s="2" t="s">
        <v>28</v>
      </c>
      <c r="D60">
        <v>268</v>
      </c>
      <c r="E60" s="2" t="s">
        <v>39</v>
      </c>
      <c r="F60" s="2" t="s">
        <v>45</v>
      </c>
      <c r="H60" s="2" t="s">
        <v>54</v>
      </c>
      <c r="I60" s="2" t="s">
        <v>58</v>
      </c>
      <c r="J60" s="2" t="s">
        <v>176</v>
      </c>
      <c r="K60" s="5">
        <v>2850</v>
      </c>
      <c r="L60" s="5">
        <v>2850</v>
      </c>
      <c r="M60" s="5">
        <v>456</v>
      </c>
      <c r="N60" s="8">
        <f t="shared" si="0"/>
        <v>3306</v>
      </c>
      <c r="O60" t="str">
        <f>IF(A60="", "", IF(SUMIFS(BD_FACTURAS!I:I, BD_FACTURAS!A:A, A60) = N60, "✅ Cuadrado", "⚠️ Diferencia"))</f>
        <v/>
      </c>
    </row>
    <row r="61" spans="2:15" x14ac:dyDescent="0.3">
      <c r="B61" s="3" t="s">
        <v>28</v>
      </c>
      <c r="D61">
        <v>269</v>
      </c>
      <c r="E61" s="3" t="s">
        <v>39</v>
      </c>
      <c r="F61" s="3" t="s">
        <v>45</v>
      </c>
      <c r="H61" s="3" t="s">
        <v>54</v>
      </c>
      <c r="I61" s="3" t="s">
        <v>60</v>
      </c>
      <c r="J61" s="3" t="s">
        <v>176</v>
      </c>
      <c r="K61" s="6">
        <v>2850</v>
      </c>
      <c r="L61" s="6">
        <v>2850</v>
      </c>
      <c r="M61" s="6">
        <v>456</v>
      </c>
      <c r="N61" s="8">
        <f t="shared" si="0"/>
        <v>3306</v>
      </c>
      <c r="O61" t="str">
        <f>IF(A61="", "", IF(SUMIFS(BD_FACTURAS!I:I, BD_FACTURAS!A:A, A61) = N61, "✅ Cuadrado", "⚠️ Diferencia"))</f>
        <v/>
      </c>
    </row>
    <row r="62" spans="2:15" x14ac:dyDescent="0.3">
      <c r="B62" s="2" t="s">
        <v>28</v>
      </c>
      <c r="D62">
        <v>270</v>
      </c>
      <c r="E62" s="2" t="s">
        <v>39</v>
      </c>
      <c r="F62" s="2" t="s">
        <v>45</v>
      </c>
      <c r="H62" s="2" t="s">
        <v>54</v>
      </c>
      <c r="I62" s="2" t="s">
        <v>57</v>
      </c>
      <c r="J62" s="2" t="s">
        <v>176</v>
      </c>
      <c r="K62" s="5">
        <v>2850</v>
      </c>
      <c r="L62" s="5">
        <v>2850</v>
      </c>
      <c r="M62" s="5">
        <v>456</v>
      </c>
      <c r="N62" s="8">
        <f t="shared" si="0"/>
        <v>3306</v>
      </c>
      <c r="O62" t="str">
        <f>IF(A62="", "", IF(SUMIFS(BD_FACTURAS!I:I, BD_FACTURAS!A:A, A62) = N62, "✅ Cuadrado", "⚠️ Diferencia"))</f>
        <v/>
      </c>
    </row>
    <row r="63" spans="2:15" x14ac:dyDescent="0.3">
      <c r="B63" s="3" t="s">
        <v>28</v>
      </c>
      <c r="D63">
        <v>271</v>
      </c>
      <c r="E63" s="3" t="s">
        <v>40</v>
      </c>
      <c r="F63" s="3" t="s">
        <v>45</v>
      </c>
      <c r="H63" s="3" t="s">
        <v>54</v>
      </c>
      <c r="I63" s="3" t="s">
        <v>75</v>
      </c>
      <c r="J63" s="3" t="s">
        <v>176</v>
      </c>
      <c r="K63" s="6">
        <v>2850</v>
      </c>
      <c r="L63" s="6">
        <v>2850</v>
      </c>
      <c r="M63" s="6">
        <v>456</v>
      </c>
      <c r="N63" s="8">
        <f t="shared" si="0"/>
        <v>3306</v>
      </c>
      <c r="O63" t="str">
        <f>IF(A63="", "", IF(SUMIFS(BD_FACTURAS!I:I, BD_FACTURAS!A:A, A63) = N63, "✅ Cuadrado", "⚠️ Diferencia"))</f>
        <v/>
      </c>
    </row>
    <row r="64" spans="2:15" x14ac:dyDescent="0.3">
      <c r="B64" s="2" t="s">
        <v>28</v>
      </c>
      <c r="D64">
        <v>272</v>
      </c>
      <c r="E64" s="2" t="s">
        <v>40</v>
      </c>
      <c r="F64" s="2" t="s">
        <v>45</v>
      </c>
      <c r="H64" s="2" t="s">
        <v>54</v>
      </c>
      <c r="I64" s="2" t="s">
        <v>90</v>
      </c>
      <c r="J64" s="2" t="s">
        <v>176</v>
      </c>
      <c r="K64" s="5">
        <v>2850</v>
      </c>
      <c r="L64" s="5">
        <v>2850</v>
      </c>
      <c r="M64" s="5">
        <v>456</v>
      </c>
      <c r="N64" s="8">
        <f t="shared" si="0"/>
        <v>3306</v>
      </c>
      <c r="O64" t="str">
        <f>IF(A64="", "", IF(SUMIFS(BD_FACTURAS!I:I, BD_FACTURAS!A:A, A64) = N64, "✅ Cuadrado", "⚠️ Diferencia"))</f>
        <v/>
      </c>
    </row>
    <row r="65" spans="2:15" x14ac:dyDescent="0.3">
      <c r="B65" s="3" t="s">
        <v>28</v>
      </c>
      <c r="D65">
        <v>273</v>
      </c>
      <c r="E65" s="3" t="s">
        <v>40</v>
      </c>
      <c r="F65" s="3" t="s">
        <v>45</v>
      </c>
      <c r="H65" s="3" t="s">
        <v>54</v>
      </c>
      <c r="I65" s="3" t="s">
        <v>72</v>
      </c>
      <c r="J65" s="3" t="s">
        <v>176</v>
      </c>
      <c r="K65" s="6">
        <v>2850</v>
      </c>
      <c r="L65" s="6">
        <v>2850</v>
      </c>
      <c r="M65" s="6">
        <v>456</v>
      </c>
      <c r="N65" s="8">
        <f t="shared" si="0"/>
        <v>3306</v>
      </c>
      <c r="O65" t="str">
        <f>IF(A65="", "", IF(SUMIFS(BD_FACTURAS!I:I, BD_FACTURAS!A:A, A65) = N65, "✅ Cuadrado", "⚠️ Diferencia"))</f>
        <v/>
      </c>
    </row>
    <row r="66" spans="2:15" x14ac:dyDescent="0.3">
      <c r="B66" s="2" t="s">
        <v>28</v>
      </c>
      <c r="D66">
        <v>274</v>
      </c>
      <c r="E66" s="2" t="s">
        <v>40</v>
      </c>
      <c r="F66" s="2" t="s">
        <v>45</v>
      </c>
      <c r="H66" s="2" t="s">
        <v>54</v>
      </c>
      <c r="I66" s="2" t="s">
        <v>79</v>
      </c>
      <c r="J66" s="2" t="s">
        <v>176</v>
      </c>
      <c r="K66" s="5">
        <v>2850</v>
      </c>
      <c r="L66" s="5">
        <v>2850</v>
      </c>
      <c r="M66" s="5">
        <v>456</v>
      </c>
      <c r="N66" s="8">
        <f t="shared" si="0"/>
        <v>3306</v>
      </c>
      <c r="O66" t="str">
        <f>IF(A66="", "", IF(SUMIFS(BD_FACTURAS!I:I, BD_FACTURAS!A:A, A66) = N66, "✅ Cuadrado", "⚠️ Diferencia"))</f>
        <v/>
      </c>
    </row>
    <row r="67" spans="2:15" x14ac:dyDescent="0.3">
      <c r="B67" s="3" t="s">
        <v>28</v>
      </c>
      <c r="D67">
        <v>275</v>
      </c>
      <c r="E67" s="3" t="s">
        <v>40</v>
      </c>
      <c r="F67" s="3" t="s">
        <v>45</v>
      </c>
      <c r="H67" s="3" t="s">
        <v>54</v>
      </c>
      <c r="I67" s="3" t="s">
        <v>91</v>
      </c>
      <c r="J67" s="3" t="s">
        <v>176</v>
      </c>
      <c r="K67" s="6">
        <v>2850</v>
      </c>
      <c r="L67" s="6">
        <v>2850</v>
      </c>
      <c r="M67" s="6">
        <v>456</v>
      </c>
      <c r="N67" s="8">
        <f t="shared" ref="N67:N130" si="1">L67+M67</f>
        <v>3306</v>
      </c>
      <c r="O67" t="str">
        <f>IF(A67="", "", IF(SUMIFS(BD_FACTURAS!I:I, BD_FACTURAS!A:A, A67) = N67, "✅ Cuadrado", "⚠️ Diferencia"))</f>
        <v/>
      </c>
    </row>
    <row r="68" spans="2:15" x14ac:dyDescent="0.3">
      <c r="B68" s="2" t="s">
        <v>28</v>
      </c>
      <c r="D68">
        <v>276</v>
      </c>
      <c r="E68" s="2" t="s">
        <v>40</v>
      </c>
      <c r="F68" s="2" t="s">
        <v>45</v>
      </c>
      <c r="H68" s="2" t="s">
        <v>54</v>
      </c>
      <c r="I68" s="2" t="s">
        <v>92</v>
      </c>
      <c r="J68" s="2" t="s">
        <v>176</v>
      </c>
      <c r="K68" s="5">
        <v>2850</v>
      </c>
      <c r="L68" s="5">
        <v>2850</v>
      </c>
      <c r="M68" s="5">
        <v>456</v>
      </c>
      <c r="N68" s="8">
        <f t="shared" si="1"/>
        <v>3306</v>
      </c>
      <c r="O68" t="str">
        <f>IF(A68="", "", IF(SUMIFS(BD_FACTURAS!I:I, BD_FACTURAS!A:A, A68) = N68, "✅ Cuadrado", "⚠️ Diferencia"))</f>
        <v/>
      </c>
    </row>
    <row r="69" spans="2:15" x14ac:dyDescent="0.3">
      <c r="B69" s="3" t="s">
        <v>28</v>
      </c>
      <c r="D69">
        <v>277</v>
      </c>
      <c r="E69" s="3" t="s">
        <v>40</v>
      </c>
      <c r="F69" s="3" t="s">
        <v>45</v>
      </c>
      <c r="H69" s="3" t="s">
        <v>54</v>
      </c>
      <c r="I69" s="3" t="s">
        <v>71</v>
      </c>
      <c r="J69" s="3" t="s">
        <v>176</v>
      </c>
      <c r="K69" s="6">
        <v>2850</v>
      </c>
      <c r="L69" s="6">
        <v>2850</v>
      </c>
      <c r="M69" s="6">
        <v>456</v>
      </c>
      <c r="N69" s="8">
        <f t="shared" si="1"/>
        <v>3306</v>
      </c>
      <c r="O69" t="str">
        <f>IF(A69="", "", IF(SUMIFS(BD_FACTURAS!I:I, BD_FACTURAS!A:A, A69) = N69, "✅ Cuadrado", "⚠️ Diferencia"))</f>
        <v/>
      </c>
    </row>
    <row r="70" spans="2:15" x14ac:dyDescent="0.3">
      <c r="B70" s="2" t="s">
        <v>28</v>
      </c>
      <c r="D70">
        <v>278</v>
      </c>
      <c r="E70" s="2" t="s">
        <v>40</v>
      </c>
      <c r="F70" s="2" t="s">
        <v>45</v>
      </c>
      <c r="H70" s="2" t="s">
        <v>54</v>
      </c>
      <c r="I70" s="2" t="s">
        <v>73</v>
      </c>
      <c r="J70" s="2" t="s">
        <v>176</v>
      </c>
      <c r="K70" s="5">
        <v>2850</v>
      </c>
      <c r="L70" s="5">
        <v>2850</v>
      </c>
      <c r="M70" s="5">
        <v>456</v>
      </c>
      <c r="N70" s="8">
        <f t="shared" si="1"/>
        <v>3306</v>
      </c>
      <c r="O70" t="str">
        <f>IF(A70="", "", IF(SUMIFS(BD_FACTURAS!I:I, BD_FACTURAS!A:A, A70) = N70, "✅ Cuadrado", "⚠️ Diferencia"))</f>
        <v/>
      </c>
    </row>
    <row r="71" spans="2:15" x14ac:dyDescent="0.3">
      <c r="B71" s="3" t="s">
        <v>26</v>
      </c>
      <c r="D71">
        <v>532</v>
      </c>
      <c r="E71" s="3" t="s">
        <v>39</v>
      </c>
      <c r="F71" s="3" t="s">
        <v>46</v>
      </c>
      <c r="H71" s="3" t="s">
        <v>54</v>
      </c>
      <c r="I71" s="3" t="s">
        <v>93</v>
      </c>
      <c r="J71" s="3">
        <v>14</v>
      </c>
      <c r="K71" s="6">
        <v>2000</v>
      </c>
      <c r="L71" s="6">
        <v>2000</v>
      </c>
      <c r="M71" s="6">
        <v>320</v>
      </c>
      <c r="N71" s="8">
        <f t="shared" si="1"/>
        <v>2320</v>
      </c>
      <c r="O71" t="str">
        <f>IF(A71="", "", IF(SUMIFS(BD_FACTURAS!I:I, BD_FACTURAS!A:A, A71) = N71, "✅ Cuadrado", "⚠️ Diferencia"))</f>
        <v/>
      </c>
    </row>
    <row r="72" spans="2:15" x14ac:dyDescent="0.3">
      <c r="B72" s="2" t="s">
        <v>26</v>
      </c>
      <c r="D72">
        <v>533</v>
      </c>
      <c r="E72" s="2" t="s">
        <v>39</v>
      </c>
      <c r="F72" s="2" t="s">
        <v>46</v>
      </c>
      <c r="H72" s="2" t="s">
        <v>54</v>
      </c>
      <c r="I72" s="2" t="s">
        <v>94</v>
      </c>
      <c r="J72" s="2">
        <v>14</v>
      </c>
      <c r="K72" s="5">
        <v>2000</v>
      </c>
      <c r="L72" s="5">
        <v>2000</v>
      </c>
      <c r="M72" s="5">
        <v>320</v>
      </c>
      <c r="N72" s="8">
        <f t="shared" si="1"/>
        <v>2320</v>
      </c>
      <c r="O72" t="str">
        <f>IF(A72="", "", IF(SUMIFS(BD_FACTURAS!I:I, BD_FACTURAS!A:A, A72) = N72, "✅ Cuadrado", "⚠️ Diferencia"))</f>
        <v/>
      </c>
    </row>
    <row r="73" spans="2:15" x14ac:dyDescent="0.3">
      <c r="B73" s="3" t="s">
        <v>26</v>
      </c>
      <c r="D73">
        <v>534</v>
      </c>
      <c r="E73" s="3" t="s">
        <v>39</v>
      </c>
      <c r="F73" s="3" t="s">
        <v>46</v>
      </c>
      <c r="H73" s="3" t="s">
        <v>54</v>
      </c>
      <c r="I73" s="3" t="s">
        <v>95</v>
      </c>
      <c r="J73" s="3">
        <v>14</v>
      </c>
      <c r="K73" s="6">
        <v>2000</v>
      </c>
      <c r="L73" s="6">
        <v>2000</v>
      </c>
      <c r="M73" s="6">
        <v>320</v>
      </c>
      <c r="N73" s="8">
        <f t="shared" si="1"/>
        <v>2320</v>
      </c>
      <c r="O73" t="str">
        <f>IF(A73="", "", IF(SUMIFS(BD_FACTURAS!I:I, BD_FACTURAS!A:A, A73) = N73, "✅ Cuadrado", "⚠️ Diferencia"))</f>
        <v/>
      </c>
    </row>
    <row r="74" spans="2:15" x14ac:dyDescent="0.3">
      <c r="B74" s="2" t="s">
        <v>26</v>
      </c>
      <c r="D74">
        <v>535</v>
      </c>
      <c r="E74" s="2" t="s">
        <v>39</v>
      </c>
      <c r="F74" s="2" t="s">
        <v>46</v>
      </c>
      <c r="H74" s="2" t="s">
        <v>54</v>
      </c>
      <c r="I74" s="2" t="s">
        <v>93</v>
      </c>
      <c r="J74" s="2">
        <v>14</v>
      </c>
      <c r="K74" s="5">
        <v>2000</v>
      </c>
      <c r="L74" s="5">
        <v>2000</v>
      </c>
      <c r="M74" s="5">
        <v>320</v>
      </c>
      <c r="N74" s="8">
        <f t="shared" si="1"/>
        <v>2320</v>
      </c>
      <c r="O74" t="str">
        <f>IF(A74="", "", IF(SUMIFS(BD_FACTURAS!I:I, BD_FACTURAS!A:A, A74) = N74, "✅ Cuadrado", "⚠️ Diferencia"))</f>
        <v/>
      </c>
    </row>
    <row r="75" spans="2:15" x14ac:dyDescent="0.3">
      <c r="B75" s="3" t="s">
        <v>26</v>
      </c>
      <c r="D75">
        <v>536</v>
      </c>
      <c r="E75" s="3" t="s">
        <v>39</v>
      </c>
      <c r="F75" s="3" t="s">
        <v>46</v>
      </c>
      <c r="H75" s="3" t="s">
        <v>54</v>
      </c>
      <c r="I75" s="3" t="s">
        <v>94</v>
      </c>
      <c r="J75" s="3">
        <v>14</v>
      </c>
      <c r="K75" s="6">
        <v>2000</v>
      </c>
      <c r="L75" s="6">
        <v>2000</v>
      </c>
      <c r="M75" s="6">
        <v>320</v>
      </c>
      <c r="N75" s="8">
        <f t="shared" si="1"/>
        <v>2320</v>
      </c>
      <c r="O75" t="str">
        <f>IF(A75="", "", IF(SUMIFS(BD_FACTURAS!I:I, BD_FACTURAS!A:A, A75) = N75, "✅ Cuadrado", "⚠️ Diferencia"))</f>
        <v/>
      </c>
    </row>
    <row r="76" spans="2:15" x14ac:dyDescent="0.3">
      <c r="B76" s="2" t="s">
        <v>26</v>
      </c>
      <c r="D76">
        <v>537</v>
      </c>
      <c r="E76" s="2" t="s">
        <v>39</v>
      </c>
      <c r="F76" s="2" t="s">
        <v>46</v>
      </c>
      <c r="H76" s="2" t="s">
        <v>54</v>
      </c>
      <c r="I76" s="2" t="s">
        <v>95</v>
      </c>
      <c r="J76" s="2">
        <v>14</v>
      </c>
      <c r="K76" s="5">
        <v>2000</v>
      </c>
      <c r="L76" s="5">
        <v>2000</v>
      </c>
      <c r="M76" s="5">
        <v>320</v>
      </c>
      <c r="N76" s="8">
        <f t="shared" si="1"/>
        <v>2320</v>
      </c>
      <c r="O76" t="str">
        <f>IF(A76="", "", IF(SUMIFS(BD_FACTURAS!I:I, BD_FACTURAS!A:A, A76) = N76, "✅ Cuadrado", "⚠️ Diferencia"))</f>
        <v/>
      </c>
    </row>
    <row r="77" spans="2:15" x14ac:dyDescent="0.3">
      <c r="B77" s="3" t="s">
        <v>26</v>
      </c>
      <c r="D77">
        <v>538</v>
      </c>
      <c r="E77" s="3" t="s">
        <v>39</v>
      </c>
      <c r="F77" s="3" t="s">
        <v>46</v>
      </c>
      <c r="H77" s="3" t="s">
        <v>54</v>
      </c>
      <c r="I77" s="3" t="s">
        <v>93</v>
      </c>
      <c r="J77" s="3">
        <v>14</v>
      </c>
      <c r="K77" s="6">
        <v>2000</v>
      </c>
      <c r="L77" s="6">
        <v>2000</v>
      </c>
      <c r="M77" s="6">
        <v>320</v>
      </c>
      <c r="N77" s="8">
        <f t="shared" si="1"/>
        <v>2320</v>
      </c>
      <c r="O77" t="str">
        <f>IF(A77="", "", IF(SUMIFS(BD_FACTURAS!I:I, BD_FACTURAS!A:A, A77) = N77, "✅ Cuadrado", "⚠️ Diferencia"))</f>
        <v/>
      </c>
    </row>
    <row r="78" spans="2:15" x14ac:dyDescent="0.3">
      <c r="B78" s="2" t="s">
        <v>26</v>
      </c>
      <c r="D78">
        <v>539</v>
      </c>
      <c r="E78" s="2" t="s">
        <v>39</v>
      </c>
      <c r="F78" s="2" t="s">
        <v>46</v>
      </c>
      <c r="H78" s="2" t="s">
        <v>54</v>
      </c>
      <c r="I78" s="2" t="s">
        <v>94</v>
      </c>
      <c r="J78" s="2">
        <v>14</v>
      </c>
      <c r="K78" s="5">
        <v>2000</v>
      </c>
      <c r="L78" s="5">
        <v>2000</v>
      </c>
      <c r="M78" s="5">
        <v>320</v>
      </c>
      <c r="N78" s="8">
        <f t="shared" si="1"/>
        <v>2320</v>
      </c>
      <c r="O78" t="str">
        <f>IF(A78="", "", IF(SUMIFS(BD_FACTURAS!I:I, BD_FACTURAS!A:A, A78) = N78, "✅ Cuadrado", "⚠️ Diferencia"))</f>
        <v/>
      </c>
    </row>
    <row r="79" spans="2:15" x14ac:dyDescent="0.3">
      <c r="B79" s="3" t="s">
        <v>26</v>
      </c>
      <c r="D79">
        <v>540</v>
      </c>
      <c r="E79" s="3" t="s">
        <v>39</v>
      </c>
      <c r="F79" s="3" t="s">
        <v>46</v>
      </c>
      <c r="H79" s="3" t="s">
        <v>54</v>
      </c>
      <c r="I79" s="3" t="s">
        <v>93</v>
      </c>
      <c r="J79" s="3">
        <v>14</v>
      </c>
      <c r="K79" s="6">
        <v>2000</v>
      </c>
      <c r="L79" s="6">
        <v>2000</v>
      </c>
      <c r="M79" s="6">
        <v>320</v>
      </c>
      <c r="N79" s="8">
        <f t="shared" si="1"/>
        <v>2320</v>
      </c>
      <c r="O79" t="str">
        <f>IF(A79="", "", IF(SUMIFS(BD_FACTURAS!I:I, BD_FACTURAS!A:A, A79) = N79, "✅ Cuadrado", "⚠️ Diferencia"))</f>
        <v/>
      </c>
    </row>
    <row r="80" spans="2:15" x14ac:dyDescent="0.3">
      <c r="B80" s="2" t="s">
        <v>26</v>
      </c>
      <c r="D80">
        <v>541</v>
      </c>
      <c r="E80" s="2" t="s">
        <v>39</v>
      </c>
      <c r="F80" s="2" t="s">
        <v>46</v>
      </c>
      <c r="H80" s="2" t="s">
        <v>54</v>
      </c>
      <c r="I80" s="2" t="s">
        <v>95</v>
      </c>
      <c r="J80" s="2">
        <v>14</v>
      </c>
      <c r="K80" s="5">
        <v>2000</v>
      </c>
      <c r="L80" s="5">
        <v>2000</v>
      </c>
      <c r="M80" s="5">
        <v>320</v>
      </c>
      <c r="N80" s="8">
        <f t="shared" si="1"/>
        <v>2320</v>
      </c>
      <c r="O80" t="str">
        <f>IF(A80="", "", IF(SUMIFS(BD_FACTURAS!I:I, BD_FACTURAS!A:A, A80) = N80, "✅ Cuadrado", "⚠️ Diferencia"))</f>
        <v/>
      </c>
    </row>
    <row r="81" spans="2:15" x14ac:dyDescent="0.3">
      <c r="B81" s="3" t="s">
        <v>26</v>
      </c>
      <c r="D81">
        <v>542</v>
      </c>
      <c r="E81" s="3" t="s">
        <v>39</v>
      </c>
      <c r="F81" s="3" t="s">
        <v>46</v>
      </c>
      <c r="H81" s="3" t="s">
        <v>54</v>
      </c>
      <c r="I81" s="3" t="s">
        <v>94</v>
      </c>
      <c r="J81" s="3">
        <v>14</v>
      </c>
      <c r="K81" s="6">
        <v>2000</v>
      </c>
      <c r="L81" s="6">
        <v>2000</v>
      </c>
      <c r="M81" s="6">
        <v>320</v>
      </c>
      <c r="N81" s="8">
        <f t="shared" si="1"/>
        <v>2320</v>
      </c>
      <c r="O81" t="str">
        <f>IF(A81="", "", IF(SUMIFS(BD_FACTURAS!I:I, BD_FACTURAS!A:A, A81) = N81, "✅ Cuadrado", "⚠️ Diferencia"))</f>
        <v/>
      </c>
    </row>
    <row r="82" spans="2:15" x14ac:dyDescent="0.3">
      <c r="B82" s="2" t="s">
        <v>26</v>
      </c>
      <c r="D82">
        <v>543</v>
      </c>
      <c r="E82" s="2" t="s">
        <v>39</v>
      </c>
      <c r="F82" s="2" t="s">
        <v>46</v>
      </c>
      <c r="H82" s="2" t="s">
        <v>54</v>
      </c>
      <c r="I82" s="2" t="s">
        <v>93</v>
      </c>
      <c r="J82" s="2">
        <v>14</v>
      </c>
      <c r="K82" s="5">
        <v>2000</v>
      </c>
      <c r="L82" s="5">
        <v>2000</v>
      </c>
      <c r="M82" s="5">
        <v>320</v>
      </c>
      <c r="N82" s="8">
        <f t="shared" si="1"/>
        <v>2320</v>
      </c>
      <c r="O82" t="str">
        <f>IF(A82="", "", IF(SUMIFS(BD_FACTURAS!I:I, BD_FACTURAS!A:A, A82) = N82, "✅ Cuadrado", "⚠️ Diferencia"))</f>
        <v/>
      </c>
    </row>
    <row r="83" spans="2:15" x14ac:dyDescent="0.3">
      <c r="B83" s="3" t="s">
        <v>26</v>
      </c>
      <c r="D83">
        <v>544</v>
      </c>
      <c r="E83" s="3" t="s">
        <v>39</v>
      </c>
      <c r="F83" s="3" t="s">
        <v>46</v>
      </c>
      <c r="H83" s="3" t="s">
        <v>54</v>
      </c>
      <c r="I83" s="3" t="s">
        <v>95</v>
      </c>
      <c r="J83" s="3">
        <v>14</v>
      </c>
      <c r="K83" s="6">
        <v>2000</v>
      </c>
      <c r="L83" s="6">
        <v>2000</v>
      </c>
      <c r="M83" s="6">
        <v>320</v>
      </c>
      <c r="N83" s="8">
        <f t="shared" si="1"/>
        <v>2320</v>
      </c>
      <c r="O83" t="str">
        <f>IF(A83="", "", IF(SUMIFS(BD_FACTURAS!I:I, BD_FACTURAS!A:A, A83) = N83, "✅ Cuadrado", "⚠️ Diferencia"))</f>
        <v/>
      </c>
    </row>
    <row r="84" spans="2:15" x14ac:dyDescent="0.3">
      <c r="B84" s="2" t="s">
        <v>26</v>
      </c>
      <c r="D84">
        <v>545</v>
      </c>
      <c r="E84" s="2" t="s">
        <v>39</v>
      </c>
      <c r="F84" s="2" t="s">
        <v>46</v>
      </c>
      <c r="H84" s="2" t="s">
        <v>54</v>
      </c>
      <c r="I84" s="2" t="s">
        <v>94</v>
      </c>
      <c r="J84" s="2">
        <v>14</v>
      </c>
      <c r="K84" s="5">
        <v>2000</v>
      </c>
      <c r="L84" s="5">
        <v>2000</v>
      </c>
      <c r="M84" s="5">
        <v>320</v>
      </c>
      <c r="N84" s="8">
        <f t="shared" si="1"/>
        <v>2320</v>
      </c>
      <c r="O84" t="str">
        <f>IF(A84="", "", IF(SUMIFS(BD_FACTURAS!I:I, BD_FACTURAS!A:A, A84) = N84, "✅ Cuadrado", "⚠️ Diferencia"))</f>
        <v/>
      </c>
    </row>
    <row r="85" spans="2:15" x14ac:dyDescent="0.3">
      <c r="B85" s="3" t="s">
        <v>26</v>
      </c>
      <c r="D85">
        <v>546</v>
      </c>
      <c r="E85" s="3" t="s">
        <v>39</v>
      </c>
      <c r="F85" s="3" t="s">
        <v>46</v>
      </c>
      <c r="H85" s="3" t="s">
        <v>54</v>
      </c>
      <c r="I85" s="3" t="s">
        <v>93</v>
      </c>
      <c r="J85" s="3">
        <v>14</v>
      </c>
      <c r="K85" s="6">
        <v>2000</v>
      </c>
      <c r="L85" s="6">
        <v>2000</v>
      </c>
      <c r="M85" s="6">
        <v>320</v>
      </c>
      <c r="N85" s="8">
        <f t="shared" si="1"/>
        <v>2320</v>
      </c>
      <c r="O85" t="str">
        <f>IF(A85="", "", IF(SUMIFS(BD_FACTURAS!I:I, BD_FACTURAS!A:A, A85) = N85, "✅ Cuadrado", "⚠️ Diferencia"))</f>
        <v/>
      </c>
    </row>
    <row r="86" spans="2:15" x14ac:dyDescent="0.3">
      <c r="B86" s="2" t="s">
        <v>26</v>
      </c>
      <c r="D86">
        <v>547</v>
      </c>
      <c r="E86" s="2" t="s">
        <v>39</v>
      </c>
      <c r="F86" s="2" t="s">
        <v>46</v>
      </c>
      <c r="H86" s="2" t="s">
        <v>54</v>
      </c>
      <c r="I86" s="2" t="s">
        <v>95</v>
      </c>
      <c r="J86" s="2">
        <v>14</v>
      </c>
      <c r="K86" s="5">
        <v>2000</v>
      </c>
      <c r="L86" s="5">
        <v>2000</v>
      </c>
      <c r="M86" s="5">
        <v>320</v>
      </c>
      <c r="N86" s="8">
        <f t="shared" si="1"/>
        <v>2320</v>
      </c>
      <c r="O86" t="str">
        <f>IF(A86="", "", IF(SUMIFS(BD_FACTURAS!I:I, BD_FACTURAS!A:A, A86) = N86, "✅ Cuadrado", "⚠️ Diferencia"))</f>
        <v/>
      </c>
    </row>
    <row r="87" spans="2:15" x14ac:dyDescent="0.3">
      <c r="B87" s="3" t="s">
        <v>26</v>
      </c>
      <c r="D87">
        <v>548</v>
      </c>
      <c r="E87" s="3" t="s">
        <v>41</v>
      </c>
      <c r="F87" s="3" t="s">
        <v>47</v>
      </c>
      <c r="H87" s="3" t="s">
        <v>54</v>
      </c>
      <c r="I87" s="3" t="s">
        <v>96</v>
      </c>
      <c r="J87" s="3" t="s">
        <v>96</v>
      </c>
      <c r="K87" s="6">
        <v>0</v>
      </c>
      <c r="L87" s="6">
        <v>0</v>
      </c>
      <c r="M87" s="6">
        <v>0</v>
      </c>
      <c r="N87" s="8">
        <f t="shared" si="1"/>
        <v>0</v>
      </c>
      <c r="O87" t="str">
        <f>IF(A87="", "", IF(SUMIFS(BD_FACTURAS!I:I, BD_FACTURAS!A:A, A87) = N87, "✅ Cuadrado", "⚠️ Diferencia"))</f>
        <v/>
      </c>
    </row>
    <row r="88" spans="2:15" x14ac:dyDescent="0.3">
      <c r="B88" s="2" t="s">
        <v>26</v>
      </c>
      <c r="D88">
        <v>549</v>
      </c>
      <c r="E88" s="2" t="s">
        <v>39</v>
      </c>
      <c r="F88" s="2" t="s">
        <v>46</v>
      </c>
      <c r="H88" s="2" t="s">
        <v>54</v>
      </c>
      <c r="I88" s="2" t="s">
        <v>94</v>
      </c>
      <c r="J88" s="2">
        <v>14</v>
      </c>
      <c r="K88" s="5">
        <v>2000</v>
      </c>
      <c r="L88" s="5">
        <v>2000</v>
      </c>
      <c r="M88" s="5">
        <v>320</v>
      </c>
      <c r="N88" s="8">
        <f t="shared" si="1"/>
        <v>2320</v>
      </c>
      <c r="O88" t="str">
        <f>IF(A88="", "", IF(SUMIFS(BD_FACTURAS!I:I, BD_FACTURAS!A:A, A88) = N88, "✅ Cuadrado", "⚠️ Diferencia"))</f>
        <v/>
      </c>
    </row>
    <row r="89" spans="2:15" x14ac:dyDescent="0.3">
      <c r="B89" s="3" t="s">
        <v>27</v>
      </c>
      <c r="D89">
        <v>550</v>
      </c>
      <c r="E89" s="3" t="s">
        <v>39</v>
      </c>
      <c r="F89" s="3" t="s">
        <v>46</v>
      </c>
      <c r="H89" s="3" t="s">
        <v>54</v>
      </c>
      <c r="I89" s="3" t="s">
        <v>97</v>
      </c>
      <c r="J89" s="3">
        <v>14</v>
      </c>
      <c r="K89" s="6">
        <v>2000</v>
      </c>
      <c r="L89" s="6">
        <v>2000</v>
      </c>
      <c r="M89" s="6">
        <v>320</v>
      </c>
      <c r="N89" s="8">
        <f t="shared" si="1"/>
        <v>2320</v>
      </c>
      <c r="O89" t="str">
        <f>IF(A89="", "", IF(SUMIFS(BD_FACTURAS!I:I, BD_FACTURAS!A:A, A89) = N89, "✅ Cuadrado", "⚠️ Diferencia"))</f>
        <v/>
      </c>
    </row>
    <row r="90" spans="2:15" x14ac:dyDescent="0.3">
      <c r="B90" s="2" t="s">
        <v>27</v>
      </c>
      <c r="D90">
        <v>351</v>
      </c>
      <c r="E90" s="2" t="s">
        <v>39</v>
      </c>
      <c r="F90" s="2" t="s">
        <v>46</v>
      </c>
      <c r="H90" s="2" t="s">
        <v>54</v>
      </c>
      <c r="I90" s="2" t="s">
        <v>98</v>
      </c>
      <c r="J90" s="2">
        <v>14</v>
      </c>
      <c r="K90" s="5">
        <v>2000</v>
      </c>
      <c r="L90" s="5">
        <v>2000</v>
      </c>
      <c r="M90" s="5">
        <v>320</v>
      </c>
      <c r="N90" s="8">
        <f t="shared" si="1"/>
        <v>2320</v>
      </c>
      <c r="O90" t="str">
        <f>IF(A90="", "", IF(SUMIFS(BD_FACTURAS!I:I, BD_FACTURAS!A:A, A90) = N90, "✅ Cuadrado", "⚠️ Diferencia"))</f>
        <v/>
      </c>
    </row>
    <row r="91" spans="2:15" x14ac:dyDescent="0.3">
      <c r="B91" s="3" t="s">
        <v>27</v>
      </c>
      <c r="D91">
        <v>352</v>
      </c>
      <c r="E91" s="3" t="s">
        <v>39</v>
      </c>
      <c r="F91" s="3" t="s">
        <v>46</v>
      </c>
      <c r="H91" s="3" t="s">
        <v>54</v>
      </c>
      <c r="I91" s="3" t="s">
        <v>94</v>
      </c>
      <c r="J91" s="3">
        <v>14</v>
      </c>
      <c r="K91" s="6">
        <v>2000</v>
      </c>
      <c r="L91" s="6">
        <v>2000</v>
      </c>
      <c r="M91" s="6">
        <v>320</v>
      </c>
      <c r="N91" s="8">
        <f t="shared" si="1"/>
        <v>2320</v>
      </c>
      <c r="O91" t="str">
        <f>IF(A91="", "", IF(SUMIFS(BD_FACTURAS!I:I, BD_FACTURAS!A:A, A91) = N91, "✅ Cuadrado", "⚠️ Diferencia"))</f>
        <v/>
      </c>
    </row>
    <row r="92" spans="2:15" x14ac:dyDescent="0.3">
      <c r="B92" s="2" t="s">
        <v>27</v>
      </c>
      <c r="D92">
        <v>353</v>
      </c>
      <c r="E92" s="2" t="s">
        <v>39</v>
      </c>
      <c r="F92" s="2" t="s">
        <v>46</v>
      </c>
      <c r="H92" s="2" t="s">
        <v>54</v>
      </c>
      <c r="I92" s="2" t="s">
        <v>95</v>
      </c>
      <c r="J92" s="2">
        <v>14</v>
      </c>
      <c r="K92" s="5">
        <v>2000</v>
      </c>
      <c r="L92" s="5">
        <v>2000</v>
      </c>
      <c r="M92" s="5">
        <v>320</v>
      </c>
      <c r="N92" s="8">
        <f t="shared" si="1"/>
        <v>2320</v>
      </c>
      <c r="O92" t="str">
        <f>IF(A92="", "", IF(SUMIFS(BD_FACTURAS!I:I, BD_FACTURAS!A:A, A92) = N92, "✅ Cuadrado", "⚠️ Diferencia"))</f>
        <v/>
      </c>
    </row>
    <row r="93" spans="2:15" x14ac:dyDescent="0.3">
      <c r="B93" s="3" t="s">
        <v>27</v>
      </c>
      <c r="D93">
        <v>354</v>
      </c>
      <c r="E93" s="3" t="s">
        <v>39</v>
      </c>
      <c r="F93" s="3" t="s">
        <v>46</v>
      </c>
      <c r="H93" s="3" t="s">
        <v>54</v>
      </c>
      <c r="I93" s="3" t="s">
        <v>97</v>
      </c>
      <c r="J93" s="3">
        <v>14</v>
      </c>
      <c r="K93" s="6">
        <v>2000</v>
      </c>
      <c r="L93" s="6">
        <v>2000</v>
      </c>
      <c r="M93" s="6">
        <v>320</v>
      </c>
      <c r="N93" s="8">
        <f t="shared" si="1"/>
        <v>2320</v>
      </c>
      <c r="O93" t="str">
        <f>IF(A93="", "", IF(SUMIFS(BD_FACTURAS!I:I, BD_FACTURAS!A:A, A93) = N93, "✅ Cuadrado", "⚠️ Diferencia"))</f>
        <v/>
      </c>
    </row>
    <row r="94" spans="2:15" x14ac:dyDescent="0.3">
      <c r="B94" s="2" t="s">
        <v>27</v>
      </c>
      <c r="D94">
        <v>355</v>
      </c>
      <c r="E94" s="2" t="s">
        <v>39</v>
      </c>
      <c r="F94" s="2" t="s">
        <v>46</v>
      </c>
      <c r="H94" s="2" t="s">
        <v>54</v>
      </c>
      <c r="I94" s="2" t="s">
        <v>98</v>
      </c>
      <c r="J94" s="2">
        <v>14</v>
      </c>
      <c r="K94" s="5">
        <v>2000</v>
      </c>
      <c r="L94" s="5">
        <v>2000</v>
      </c>
      <c r="M94" s="5">
        <v>320</v>
      </c>
      <c r="N94" s="8">
        <f t="shared" si="1"/>
        <v>2320</v>
      </c>
      <c r="O94" t="str">
        <f>IF(A94="", "", IF(SUMIFS(BD_FACTURAS!I:I, BD_FACTURAS!A:A, A94) = N94, "✅ Cuadrado", "⚠️ Diferencia"))</f>
        <v/>
      </c>
    </row>
    <row r="95" spans="2:15" x14ac:dyDescent="0.3">
      <c r="B95" s="3" t="s">
        <v>27</v>
      </c>
      <c r="D95">
        <v>356</v>
      </c>
      <c r="E95" s="3" t="s">
        <v>39</v>
      </c>
      <c r="F95" s="3" t="s">
        <v>46</v>
      </c>
      <c r="H95" s="3" t="s">
        <v>54</v>
      </c>
      <c r="I95" s="3" t="s">
        <v>95</v>
      </c>
      <c r="J95" s="3">
        <v>14</v>
      </c>
      <c r="K95" s="6">
        <v>2000</v>
      </c>
      <c r="L95" s="6">
        <v>2000</v>
      </c>
      <c r="M95" s="6">
        <v>320</v>
      </c>
      <c r="N95" s="8">
        <f t="shared" si="1"/>
        <v>2320</v>
      </c>
      <c r="O95" t="str">
        <f>IF(A95="", "", IF(SUMIFS(BD_FACTURAS!I:I, BD_FACTURAS!A:A, A95) = N95, "✅ Cuadrado", "⚠️ Diferencia"))</f>
        <v/>
      </c>
    </row>
    <row r="96" spans="2:15" x14ac:dyDescent="0.3">
      <c r="B96" s="2" t="s">
        <v>27</v>
      </c>
      <c r="D96">
        <v>357</v>
      </c>
      <c r="E96" s="2" t="s">
        <v>39</v>
      </c>
      <c r="F96" s="2" t="s">
        <v>46</v>
      </c>
      <c r="H96" s="2" t="s">
        <v>54</v>
      </c>
      <c r="I96" s="2" t="s">
        <v>94</v>
      </c>
      <c r="J96" s="2">
        <v>14</v>
      </c>
      <c r="K96" s="5">
        <v>2000</v>
      </c>
      <c r="L96" s="5">
        <v>2000</v>
      </c>
      <c r="M96" s="5">
        <v>320</v>
      </c>
      <c r="N96" s="8">
        <f t="shared" si="1"/>
        <v>2320</v>
      </c>
      <c r="O96" t="str">
        <f>IF(A96="", "", IF(SUMIFS(BD_FACTURAS!I:I, BD_FACTURAS!A:A, A96) = N96, "✅ Cuadrado", "⚠️ Diferencia"))</f>
        <v/>
      </c>
    </row>
    <row r="97" spans="2:15" x14ac:dyDescent="0.3">
      <c r="B97" s="3" t="s">
        <v>27</v>
      </c>
      <c r="D97">
        <v>358</v>
      </c>
      <c r="E97" s="3" t="s">
        <v>39</v>
      </c>
      <c r="F97" s="3" t="s">
        <v>46</v>
      </c>
      <c r="H97" s="3" t="s">
        <v>54</v>
      </c>
      <c r="I97" s="3" t="s">
        <v>97</v>
      </c>
      <c r="J97" s="3">
        <v>14</v>
      </c>
      <c r="K97" s="6">
        <v>2000</v>
      </c>
      <c r="L97" s="6">
        <v>2000</v>
      </c>
      <c r="M97" s="6">
        <v>320</v>
      </c>
      <c r="N97" s="8">
        <f t="shared" si="1"/>
        <v>2320</v>
      </c>
      <c r="O97" t="str">
        <f>IF(A97="", "", IF(SUMIFS(BD_FACTURAS!I:I, BD_FACTURAS!A:A, A97) = N97, "✅ Cuadrado", "⚠️ Diferencia"))</f>
        <v/>
      </c>
    </row>
    <row r="98" spans="2:15" x14ac:dyDescent="0.3">
      <c r="B98" s="2" t="s">
        <v>27</v>
      </c>
      <c r="D98">
        <v>359</v>
      </c>
      <c r="E98" s="2" t="s">
        <v>39</v>
      </c>
      <c r="F98" s="2" t="s">
        <v>46</v>
      </c>
      <c r="H98" s="2" t="s">
        <v>54</v>
      </c>
      <c r="I98" s="2" t="s">
        <v>98</v>
      </c>
      <c r="J98" s="2">
        <v>14</v>
      </c>
      <c r="K98" s="5">
        <v>2000</v>
      </c>
      <c r="L98" s="5">
        <v>2000</v>
      </c>
      <c r="M98" s="5">
        <v>320</v>
      </c>
      <c r="N98" s="8">
        <f t="shared" si="1"/>
        <v>2320</v>
      </c>
      <c r="O98" t="str">
        <f>IF(A98="", "", IF(SUMIFS(BD_FACTURAS!I:I, BD_FACTURAS!A:A, A98) = N98, "✅ Cuadrado", "⚠️ Diferencia"))</f>
        <v/>
      </c>
    </row>
    <row r="99" spans="2:15" x14ac:dyDescent="0.3">
      <c r="B99" s="3" t="s">
        <v>27</v>
      </c>
      <c r="D99">
        <v>360</v>
      </c>
      <c r="E99" s="3" t="s">
        <v>39</v>
      </c>
      <c r="F99" s="3" t="s">
        <v>46</v>
      </c>
      <c r="H99" s="3" t="s">
        <v>54</v>
      </c>
      <c r="I99" s="3" t="s">
        <v>95</v>
      </c>
      <c r="J99" s="3">
        <v>14</v>
      </c>
      <c r="K99" s="6">
        <v>2000</v>
      </c>
      <c r="L99" s="6">
        <v>2000</v>
      </c>
      <c r="M99" s="6">
        <v>320</v>
      </c>
      <c r="N99" s="8">
        <f t="shared" si="1"/>
        <v>2320</v>
      </c>
      <c r="O99" t="str">
        <f>IF(A99="", "", IF(SUMIFS(BD_FACTURAS!I:I, BD_FACTURAS!A:A, A99) = N99, "✅ Cuadrado", "⚠️ Diferencia"))</f>
        <v/>
      </c>
    </row>
    <row r="100" spans="2:15" x14ac:dyDescent="0.3">
      <c r="B100" s="2" t="s">
        <v>27</v>
      </c>
      <c r="D100">
        <v>361</v>
      </c>
      <c r="E100" s="2" t="s">
        <v>39</v>
      </c>
      <c r="F100" s="2" t="s">
        <v>46</v>
      </c>
      <c r="H100" s="2" t="s">
        <v>54</v>
      </c>
      <c r="I100" s="2" t="s">
        <v>94</v>
      </c>
      <c r="J100" s="2">
        <v>14</v>
      </c>
      <c r="K100" s="5">
        <v>2000</v>
      </c>
      <c r="L100" s="5">
        <v>2000</v>
      </c>
      <c r="M100" s="5">
        <v>320</v>
      </c>
      <c r="N100" s="8">
        <f t="shared" si="1"/>
        <v>2320</v>
      </c>
      <c r="O100" t="str">
        <f>IF(A100="", "", IF(SUMIFS(BD_FACTURAS!I:I, BD_FACTURAS!A:A, A100) = N100, "✅ Cuadrado", "⚠️ Diferencia"))</f>
        <v/>
      </c>
    </row>
    <row r="101" spans="2:15" x14ac:dyDescent="0.3">
      <c r="B101" s="3" t="s">
        <v>27</v>
      </c>
      <c r="D101">
        <v>362</v>
      </c>
      <c r="E101" s="3" t="s">
        <v>39</v>
      </c>
      <c r="F101" s="3" t="s">
        <v>46</v>
      </c>
      <c r="H101" s="3" t="s">
        <v>54</v>
      </c>
      <c r="I101" s="3" t="s">
        <v>97</v>
      </c>
      <c r="J101" s="3">
        <v>14</v>
      </c>
      <c r="K101" s="6">
        <v>2000</v>
      </c>
      <c r="L101" s="6">
        <v>2000</v>
      </c>
      <c r="M101" s="6">
        <v>320</v>
      </c>
      <c r="N101" s="8">
        <f t="shared" si="1"/>
        <v>2320</v>
      </c>
      <c r="O101" t="str">
        <f>IF(A101="", "", IF(SUMIFS(BD_FACTURAS!I:I, BD_FACTURAS!A:A, A101) = N101, "✅ Cuadrado", "⚠️ Diferencia"))</f>
        <v/>
      </c>
    </row>
    <row r="102" spans="2:15" x14ac:dyDescent="0.3">
      <c r="B102" s="2" t="s">
        <v>27</v>
      </c>
      <c r="D102">
        <v>363</v>
      </c>
      <c r="E102" s="2" t="s">
        <v>39</v>
      </c>
      <c r="F102" s="2" t="s">
        <v>46</v>
      </c>
      <c r="H102" s="2" t="s">
        <v>54</v>
      </c>
      <c r="I102" s="2" t="s">
        <v>98</v>
      </c>
      <c r="J102" s="2">
        <v>14</v>
      </c>
      <c r="K102" s="5">
        <v>2000</v>
      </c>
      <c r="L102" s="5">
        <v>2000</v>
      </c>
      <c r="M102" s="5">
        <v>320</v>
      </c>
      <c r="N102" s="8">
        <f t="shared" si="1"/>
        <v>2320</v>
      </c>
      <c r="O102" t="str">
        <f>IF(A102="", "", IF(SUMIFS(BD_FACTURAS!I:I, BD_FACTURAS!A:A, A102) = N102, "✅ Cuadrado", "⚠️ Diferencia"))</f>
        <v/>
      </c>
    </row>
    <row r="103" spans="2:15" x14ac:dyDescent="0.3">
      <c r="B103" s="3" t="s">
        <v>27</v>
      </c>
      <c r="D103">
        <v>364</v>
      </c>
      <c r="E103" s="3" t="s">
        <v>39</v>
      </c>
      <c r="F103" s="3" t="s">
        <v>48</v>
      </c>
      <c r="H103" s="3" t="s">
        <v>54</v>
      </c>
      <c r="I103" s="3" t="s">
        <v>94</v>
      </c>
      <c r="J103" s="3">
        <v>14</v>
      </c>
      <c r="K103" s="6">
        <v>2000</v>
      </c>
      <c r="L103" s="6">
        <v>2000</v>
      </c>
      <c r="M103" s="6">
        <v>320</v>
      </c>
      <c r="N103" s="8">
        <f t="shared" si="1"/>
        <v>2320</v>
      </c>
      <c r="O103" t="str">
        <f>IF(A103="", "", IF(SUMIFS(BD_FACTURAS!I:I, BD_FACTURAS!A:A, A103) = N103, "✅ Cuadrado", "⚠️ Diferencia"))</f>
        <v/>
      </c>
    </row>
    <row r="104" spans="2:15" x14ac:dyDescent="0.3">
      <c r="B104" s="2" t="s">
        <v>29</v>
      </c>
      <c r="D104">
        <v>365</v>
      </c>
      <c r="E104" s="2" t="s">
        <v>39</v>
      </c>
      <c r="F104" s="2" t="s">
        <v>46</v>
      </c>
      <c r="H104" s="2" t="s">
        <v>54</v>
      </c>
      <c r="I104" s="2" t="s">
        <v>98</v>
      </c>
      <c r="J104" s="2">
        <v>14</v>
      </c>
      <c r="K104" s="5">
        <v>2000</v>
      </c>
      <c r="L104" s="5">
        <v>2000</v>
      </c>
      <c r="M104" s="5">
        <v>320</v>
      </c>
      <c r="N104" s="8">
        <f t="shared" si="1"/>
        <v>2320</v>
      </c>
      <c r="O104" t="str">
        <f>IF(A104="", "", IF(SUMIFS(BD_FACTURAS!I:I, BD_FACTURAS!A:A, A104) = N104, "✅ Cuadrado", "⚠️ Diferencia"))</f>
        <v/>
      </c>
    </row>
    <row r="105" spans="2:15" x14ac:dyDescent="0.3">
      <c r="B105" s="3" t="s">
        <v>29</v>
      </c>
      <c r="D105">
        <v>366</v>
      </c>
      <c r="E105" s="3" t="s">
        <v>39</v>
      </c>
      <c r="F105" s="3" t="s">
        <v>46</v>
      </c>
      <c r="H105" s="3" t="s">
        <v>54</v>
      </c>
      <c r="I105" s="3" t="s">
        <v>98</v>
      </c>
      <c r="J105" s="3">
        <v>14</v>
      </c>
      <c r="K105" s="6">
        <v>2000</v>
      </c>
      <c r="L105" s="6">
        <v>2000</v>
      </c>
      <c r="M105" s="6">
        <v>320</v>
      </c>
      <c r="N105" s="8">
        <f t="shared" si="1"/>
        <v>2320</v>
      </c>
      <c r="O105" t="str">
        <f>IF(A105="", "", IF(SUMIFS(BD_FACTURAS!I:I, BD_FACTURAS!A:A, A105) = N105, "✅ Cuadrado", "⚠️ Diferencia"))</f>
        <v/>
      </c>
    </row>
    <row r="106" spans="2:15" x14ac:dyDescent="0.3">
      <c r="B106" s="2" t="s">
        <v>29</v>
      </c>
      <c r="D106">
        <v>367</v>
      </c>
      <c r="E106" s="2" t="s">
        <v>39</v>
      </c>
      <c r="F106" s="2" t="s">
        <v>46</v>
      </c>
      <c r="H106" s="2" t="s">
        <v>54</v>
      </c>
      <c r="I106" s="2" t="s">
        <v>58</v>
      </c>
      <c r="J106" s="2">
        <v>14</v>
      </c>
      <c r="K106" s="5">
        <v>2000</v>
      </c>
      <c r="L106" s="5">
        <v>2000</v>
      </c>
      <c r="M106" s="5">
        <v>320</v>
      </c>
      <c r="N106" s="8">
        <f t="shared" si="1"/>
        <v>2320</v>
      </c>
      <c r="O106" t="str">
        <f>IF(A106="", "", IF(SUMIFS(BD_FACTURAS!I:I, BD_FACTURAS!A:A, A106) = N106, "✅ Cuadrado", "⚠️ Diferencia"))</f>
        <v/>
      </c>
    </row>
    <row r="107" spans="2:15" x14ac:dyDescent="0.3">
      <c r="B107" s="3" t="s">
        <v>29</v>
      </c>
      <c r="D107">
        <v>368</v>
      </c>
      <c r="E107" s="3" t="s">
        <v>39</v>
      </c>
      <c r="F107" s="3" t="s">
        <v>46</v>
      </c>
      <c r="H107" s="3" t="s">
        <v>54</v>
      </c>
      <c r="I107" s="3" t="s">
        <v>57</v>
      </c>
      <c r="J107" s="3">
        <v>14</v>
      </c>
      <c r="K107" s="6">
        <v>2000</v>
      </c>
      <c r="L107" s="6">
        <v>2000</v>
      </c>
      <c r="M107" s="6">
        <v>320</v>
      </c>
      <c r="N107" s="8">
        <f t="shared" si="1"/>
        <v>2320</v>
      </c>
      <c r="O107" t="str">
        <f>IF(A107="", "", IF(SUMIFS(BD_FACTURAS!I:I, BD_FACTURAS!A:A, A107) = N107, "✅ Cuadrado", "⚠️ Diferencia"))</f>
        <v/>
      </c>
    </row>
    <row r="108" spans="2:15" x14ac:dyDescent="0.3">
      <c r="B108" s="2" t="s">
        <v>29</v>
      </c>
      <c r="D108">
        <v>369</v>
      </c>
      <c r="E108" s="2" t="s">
        <v>39</v>
      </c>
      <c r="F108" s="2" t="s">
        <v>46</v>
      </c>
      <c r="H108" s="2" t="s">
        <v>54</v>
      </c>
      <c r="I108" s="2" t="s">
        <v>98</v>
      </c>
      <c r="J108" s="2">
        <v>14</v>
      </c>
      <c r="K108" s="5">
        <v>2000</v>
      </c>
      <c r="L108" s="5">
        <v>2000</v>
      </c>
      <c r="M108" s="5">
        <v>320</v>
      </c>
      <c r="N108" s="8">
        <f t="shared" si="1"/>
        <v>2320</v>
      </c>
      <c r="O108" t="str">
        <f>IF(A108="", "", IF(SUMIFS(BD_FACTURAS!I:I, BD_FACTURAS!A:A, A108) = N108, "✅ Cuadrado", "⚠️ Diferencia"))</f>
        <v/>
      </c>
    </row>
    <row r="109" spans="2:15" x14ac:dyDescent="0.3">
      <c r="B109" s="3" t="s">
        <v>29</v>
      </c>
      <c r="D109">
        <v>370</v>
      </c>
      <c r="E109" s="3" t="s">
        <v>39</v>
      </c>
      <c r="F109" s="3" t="s">
        <v>46</v>
      </c>
      <c r="H109" s="3" t="s">
        <v>54</v>
      </c>
      <c r="I109" s="3" t="s">
        <v>61</v>
      </c>
      <c r="J109" s="3">
        <v>14</v>
      </c>
      <c r="K109" s="6">
        <v>2000</v>
      </c>
      <c r="L109" s="6">
        <v>2000</v>
      </c>
      <c r="M109" s="6">
        <v>320</v>
      </c>
      <c r="N109" s="8">
        <f t="shared" si="1"/>
        <v>2320</v>
      </c>
      <c r="O109" t="str">
        <f>IF(A109="", "", IF(SUMIFS(BD_FACTURAS!I:I, BD_FACTURAS!A:A, A109) = N109, "✅ Cuadrado", "⚠️ Diferencia"))</f>
        <v/>
      </c>
    </row>
    <row r="110" spans="2:15" x14ac:dyDescent="0.3">
      <c r="B110" s="2" t="s">
        <v>29</v>
      </c>
      <c r="D110">
        <v>371</v>
      </c>
      <c r="E110" s="2" t="s">
        <v>39</v>
      </c>
      <c r="F110" s="2" t="s">
        <v>46</v>
      </c>
      <c r="H110" s="2" t="s">
        <v>54</v>
      </c>
      <c r="I110" s="2" t="s">
        <v>62</v>
      </c>
      <c r="J110" s="2">
        <v>14</v>
      </c>
      <c r="K110" s="5">
        <v>2000</v>
      </c>
      <c r="L110" s="5">
        <v>2000</v>
      </c>
      <c r="M110" s="5">
        <v>320</v>
      </c>
      <c r="N110" s="8">
        <f t="shared" si="1"/>
        <v>2320</v>
      </c>
      <c r="O110" t="str">
        <f>IF(A110="", "", IF(SUMIFS(BD_FACTURAS!I:I, BD_FACTURAS!A:A, A110) = N110, "✅ Cuadrado", "⚠️ Diferencia"))</f>
        <v/>
      </c>
    </row>
    <row r="111" spans="2:15" x14ac:dyDescent="0.3">
      <c r="B111" s="3" t="s">
        <v>29</v>
      </c>
      <c r="D111">
        <v>372</v>
      </c>
      <c r="E111" s="3" t="s">
        <v>39</v>
      </c>
      <c r="F111" s="3" t="s">
        <v>46</v>
      </c>
      <c r="H111" s="3" t="s">
        <v>54</v>
      </c>
      <c r="I111" s="3" t="s">
        <v>98</v>
      </c>
      <c r="J111" s="3">
        <v>14</v>
      </c>
      <c r="K111" s="6">
        <v>2000</v>
      </c>
      <c r="L111" s="6">
        <v>2000</v>
      </c>
      <c r="M111" s="6">
        <v>320</v>
      </c>
      <c r="N111" s="8">
        <f t="shared" si="1"/>
        <v>2320</v>
      </c>
      <c r="O111" t="str">
        <f>IF(A111="", "", IF(SUMIFS(BD_FACTURAS!I:I, BD_FACTURAS!A:A, A111) = N111, "✅ Cuadrado", "⚠️ Diferencia"))</f>
        <v/>
      </c>
    </row>
    <row r="112" spans="2:15" x14ac:dyDescent="0.3">
      <c r="B112" s="2" t="s">
        <v>29</v>
      </c>
      <c r="D112">
        <v>373</v>
      </c>
      <c r="E112" s="2" t="s">
        <v>41</v>
      </c>
      <c r="F112" s="2" t="s">
        <v>47</v>
      </c>
      <c r="H112" s="2" t="s">
        <v>54</v>
      </c>
      <c r="I112" s="2"/>
      <c r="J112" s="2"/>
      <c r="K112" s="5">
        <v>0</v>
      </c>
      <c r="L112" s="5">
        <v>0</v>
      </c>
      <c r="M112" s="5">
        <v>0</v>
      </c>
      <c r="N112" s="8">
        <f t="shared" si="1"/>
        <v>0</v>
      </c>
      <c r="O112" t="str">
        <f>IF(A112="", "", IF(SUMIFS(BD_FACTURAS!I:I, BD_FACTURAS!A:A, A112) = N112, "✅ Cuadrado", "⚠️ Diferencia"))</f>
        <v/>
      </c>
    </row>
    <row r="113" spans="2:15" x14ac:dyDescent="0.3">
      <c r="B113" s="3" t="s">
        <v>29</v>
      </c>
      <c r="D113">
        <v>374</v>
      </c>
      <c r="E113" s="3" t="s">
        <v>39</v>
      </c>
      <c r="F113" s="3" t="s">
        <v>46</v>
      </c>
      <c r="H113" s="3" t="s">
        <v>54</v>
      </c>
      <c r="I113" s="3" t="s">
        <v>61</v>
      </c>
      <c r="J113" s="3">
        <v>14</v>
      </c>
      <c r="K113" s="6">
        <v>2000</v>
      </c>
      <c r="L113" s="6">
        <v>2000</v>
      </c>
      <c r="M113" s="6">
        <v>320</v>
      </c>
      <c r="N113" s="8">
        <f t="shared" si="1"/>
        <v>2320</v>
      </c>
      <c r="O113" t="str">
        <f>IF(A113="", "", IF(SUMIFS(BD_FACTURAS!I:I, BD_FACTURAS!A:A, A113) = N113, "✅ Cuadrado", "⚠️ Diferencia"))</f>
        <v/>
      </c>
    </row>
    <row r="114" spans="2:15" x14ac:dyDescent="0.3">
      <c r="B114" s="2" t="s">
        <v>29</v>
      </c>
      <c r="D114">
        <v>375</v>
      </c>
      <c r="E114" s="2" t="s">
        <v>39</v>
      </c>
      <c r="F114" s="2" t="s">
        <v>46</v>
      </c>
      <c r="H114" s="2" t="s">
        <v>54</v>
      </c>
      <c r="I114" s="2" t="s">
        <v>98</v>
      </c>
      <c r="J114" s="2">
        <v>14</v>
      </c>
      <c r="K114" s="5">
        <v>2000</v>
      </c>
      <c r="L114" s="5">
        <v>2000</v>
      </c>
      <c r="M114" s="5">
        <v>320</v>
      </c>
      <c r="N114" s="8">
        <f t="shared" si="1"/>
        <v>2320</v>
      </c>
      <c r="O114" t="str">
        <f>IF(A114="", "", IF(SUMIFS(BD_FACTURAS!I:I, BD_FACTURAS!A:A, A114) = N114, "✅ Cuadrado", "⚠️ Diferencia"))</f>
        <v/>
      </c>
    </row>
    <row r="115" spans="2:15" x14ac:dyDescent="0.3">
      <c r="B115" s="3" t="s">
        <v>29</v>
      </c>
      <c r="D115">
        <v>376</v>
      </c>
      <c r="E115" s="3" t="s">
        <v>39</v>
      </c>
      <c r="F115" s="3" t="s">
        <v>46</v>
      </c>
      <c r="H115" s="3" t="s">
        <v>54</v>
      </c>
      <c r="I115" s="3" t="s">
        <v>61</v>
      </c>
      <c r="J115" s="3">
        <v>14</v>
      </c>
      <c r="K115" s="6">
        <v>2000</v>
      </c>
      <c r="L115" s="6">
        <v>2000</v>
      </c>
      <c r="M115" s="6">
        <v>320</v>
      </c>
      <c r="N115" s="8">
        <f t="shared" si="1"/>
        <v>2320</v>
      </c>
      <c r="O115" t="str">
        <f>IF(A115="", "", IF(SUMIFS(BD_FACTURAS!I:I, BD_FACTURAS!A:A, A115) = N115, "✅ Cuadrado", "⚠️ Diferencia"))</f>
        <v/>
      </c>
    </row>
    <row r="116" spans="2:15" x14ac:dyDescent="0.3">
      <c r="B116" s="2" t="s">
        <v>29</v>
      </c>
      <c r="D116">
        <v>377</v>
      </c>
      <c r="E116" s="2" t="s">
        <v>39</v>
      </c>
      <c r="F116" s="2" t="s">
        <v>46</v>
      </c>
      <c r="H116" s="2" t="s">
        <v>54</v>
      </c>
      <c r="I116" s="2" t="s">
        <v>98</v>
      </c>
      <c r="J116" s="2">
        <v>14</v>
      </c>
      <c r="K116" s="5">
        <v>2000</v>
      </c>
      <c r="L116" s="5">
        <v>2000</v>
      </c>
      <c r="M116" s="5">
        <v>320</v>
      </c>
      <c r="N116" s="8">
        <f t="shared" si="1"/>
        <v>2320</v>
      </c>
      <c r="O116" t="str">
        <f>IF(A116="", "", IF(SUMIFS(BD_FACTURAS!I:I, BD_FACTURAS!A:A, A116) = N116, "✅ Cuadrado", "⚠️ Diferencia"))</f>
        <v/>
      </c>
    </row>
    <row r="117" spans="2:15" x14ac:dyDescent="0.3">
      <c r="B117" s="3" t="s">
        <v>29</v>
      </c>
      <c r="D117">
        <v>378</v>
      </c>
      <c r="E117" s="3" t="s">
        <v>39</v>
      </c>
      <c r="F117" s="3" t="s">
        <v>46</v>
      </c>
      <c r="H117" s="3" t="s">
        <v>54</v>
      </c>
      <c r="I117" s="3" t="s">
        <v>61</v>
      </c>
      <c r="J117" s="3">
        <v>14</v>
      </c>
      <c r="K117" s="6">
        <v>2000</v>
      </c>
      <c r="L117" s="6">
        <v>2000</v>
      </c>
      <c r="M117" s="6">
        <v>320</v>
      </c>
      <c r="N117" s="8">
        <f t="shared" si="1"/>
        <v>2320</v>
      </c>
      <c r="O117" t="str">
        <f>IF(A117="", "", IF(SUMIFS(BD_FACTURAS!I:I, BD_FACTURAS!A:A, A117) = N117, "✅ Cuadrado", "⚠️ Diferencia"))</f>
        <v/>
      </c>
    </row>
    <row r="118" spans="2:15" x14ac:dyDescent="0.3">
      <c r="B118" s="2" t="s">
        <v>29</v>
      </c>
      <c r="D118">
        <v>379</v>
      </c>
      <c r="E118" s="2" t="s">
        <v>39</v>
      </c>
      <c r="F118" s="2" t="s">
        <v>46</v>
      </c>
      <c r="H118" s="2" t="s">
        <v>54</v>
      </c>
      <c r="I118" s="2" t="s">
        <v>98</v>
      </c>
      <c r="J118" s="2">
        <v>14</v>
      </c>
      <c r="K118" s="5">
        <v>2000</v>
      </c>
      <c r="L118" s="5">
        <v>2000</v>
      </c>
      <c r="M118" s="5">
        <v>320</v>
      </c>
      <c r="N118" s="8">
        <f t="shared" si="1"/>
        <v>2320</v>
      </c>
      <c r="O118" t="str">
        <f>IF(A118="", "", IF(SUMIFS(BD_FACTURAS!I:I, BD_FACTURAS!A:A, A118) = N118, "✅ Cuadrado", "⚠️ Diferencia"))</f>
        <v/>
      </c>
    </row>
    <row r="119" spans="2:15" x14ac:dyDescent="0.3">
      <c r="B119" s="3" t="s">
        <v>29</v>
      </c>
      <c r="D119">
        <v>380</v>
      </c>
      <c r="E119" s="3" t="s">
        <v>39</v>
      </c>
      <c r="F119" s="3" t="s">
        <v>46</v>
      </c>
      <c r="H119" s="3" t="s">
        <v>54</v>
      </c>
      <c r="I119" s="3" t="s">
        <v>61</v>
      </c>
      <c r="J119" s="3">
        <v>14</v>
      </c>
      <c r="K119" s="6">
        <v>2000</v>
      </c>
      <c r="L119" s="6">
        <v>2000</v>
      </c>
      <c r="M119" s="6">
        <v>320</v>
      </c>
      <c r="N119" s="8">
        <f t="shared" si="1"/>
        <v>2320</v>
      </c>
      <c r="O119" t="str">
        <f>IF(A119="", "", IF(SUMIFS(BD_FACTURAS!I:I, BD_FACTURAS!A:A, A119) = N119, "✅ Cuadrado", "⚠️ Diferencia"))</f>
        <v/>
      </c>
    </row>
    <row r="120" spans="2:15" x14ac:dyDescent="0.3">
      <c r="B120" s="2" t="s">
        <v>29</v>
      </c>
      <c r="D120">
        <v>381</v>
      </c>
      <c r="E120" s="2" t="s">
        <v>39</v>
      </c>
      <c r="F120" s="2" t="s">
        <v>46</v>
      </c>
      <c r="H120" s="2" t="s">
        <v>54</v>
      </c>
      <c r="I120" s="2" t="s">
        <v>61</v>
      </c>
      <c r="J120" s="2">
        <v>14</v>
      </c>
      <c r="K120" s="5">
        <v>2000</v>
      </c>
      <c r="L120" s="5">
        <v>2000</v>
      </c>
      <c r="M120" s="5">
        <v>320</v>
      </c>
      <c r="N120" s="8">
        <f t="shared" si="1"/>
        <v>2320</v>
      </c>
      <c r="O120" t="str">
        <f>IF(A120="", "", IF(SUMIFS(BD_FACTURAS!I:I, BD_FACTURAS!A:A, A120) = N120, "✅ Cuadrado", "⚠️ Diferencia"))</f>
        <v/>
      </c>
    </row>
    <row r="121" spans="2:15" x14ac:dyDescent="0.3">
      <c r="B121" s="3" t="s">
        <v>29</v>
      </c>
      <c r="D121">
        <v>382</v>
      </c>
      <c r="E121" s="3" t="s">
        <v>39</v>
      </c>
      <c r="F121" s="3" t="s">
        <v>46</v>
      </c>
      <c r="H121" s="3" t="s">
        <v>54</v>
      </c>
      <c r="I121" s="3" t="s">
        <v>61</v>
      </c>
      <c r="J121" s="3">
        <v>14</v>
      </c>
      <c r="K121" s="6">
        <v>2000</v>
      </c>
      <c r="L121" s="6">
        <v>2000</v>
      </c>
      <c r="M121" s="6">
        <v>320</v>
      </c>
      <c r="N121" s="8">
        <f t="shared" si="1"/>
        <v>2320</v>
      </c>
      <c r="O121" t="str">
        <f>IF(A121="", "", IF(SUMIFS(BD_FACTURAS!I:I, BD_FACTURAS!A:A, A121) = N121, "✅ Cuadrado", "⚠️ Diferencia"))</f>
        <v/>
      </c>
    </row>
    <row r="122" spans="2:15" x14ac:dyDescent="0.3">
      <c r="B122" s="2" t="s">
        <v>29</v>
      </c>
      <c r="D122">
        <v>383</v>
      </c>
      <c r="E122" s="2" t="s">
        <v>39</v>
      </c>
      <c r="F122" s="2" t="s">
        <v>46</v>
      </c>
      <c r="H122" s="2" t="s">
        <v>54</v>
      </c>
      <c r="I122" s="2" t="s">
        <v>61</v>
      </c>
      <c r="J122" s="2">
        <v>14</v>
      </c>
      <c r="K122" s="5">
        <v>2000</v>
      </c>
      <c r="L122" s="5">
        <v>2000</v>
      </c>
      <c r="M122" s="5">
        <v>320</v>
      </c>
      <c r="N122" s="8">
        <f t="shared" si="1"/>
        <v>2320</v>
      </c>
      <c r="O122" t="str">
        <f>IF(A122="", "", IF(SUMIFS(BD_FACTURAS!I:I, BD_FACTURAS!A:A, A122) = N122, "✅ Cuadrado", "⚠️ Diferencia"))</f>
        <v/>
      </c>
    </row>
    <row r="123" spans="2:15" x14ac:dyDescent="0.3">
      <c r="B123" s="3" t="s">
        <v>29</v>
      </c>
      <c r="D123">
        <v>384</v>
      </c>
      <c r="E123" s="3" t="s">
        <v>41</v>
      </c>
      <c r="F123" s="3" t="s">
        <v>47</v>
      </c>
      <c r="H123" s="3" t="s">
        <v>54</v>
      </c>
      <c r="I123" s="3"/>
      <c r="J123" s="3"/>
      <c r="K123" s="6">
        <v>0</v>
      </c>
      <c r="L123" s="6">
        <v>0</v>
      </c>
      <c r="M123" s="6">
        <v>0</v>
      </c>
      <c r="N123" s="8">
        <f t="shared" si="1"/>
        <v>0</v>
      </c>
      <c r="O123" t="str">
        <f>IF(A123="", "", IF(SUMIFS(BD_FACTURAS!I:I, BD_FACTURAS!A:A, A123) = N123, "✅ Cuadrado", "⚠️ Diferencia"))</f>
        <v/>
      </c>
    </row>
    <row r="124" spans="2:15" x14ac:dyDescent="0.3">
      <c r="B124" s="2" t="s">
        <v>29</v>
      </c>
      <c r="D124">
        <v>385</v>
      </c>
      <c r="E124" s="2" t="s">
        <v>39</v>
      </c>
      <c r="F124" s="2" t="s">
        <v>46</v>
      </c>
      <c r="H124" s="2" t="s">
        <v>54</v>
      </c>
      <c r="I124" s="2" t="s">
        <v>61</v>
      </c>
      <c r="J124" s="2">
        <v>14</v>
      </c>
      <c r="K124" s="5">
        <v>2000</v>
      </c>
      <c r="L124" s="5">
        <v>2000</v>
      </c>
      <c r="M124" s="5">
        <v>320</v>
      </c>
      <c r="N124" s="8">
        <f t="shared" si="1"/>
        <v>2320</v>
      </c>
      <c r="O124" t="str">
        <f>IF(A124="", "", IF(SUMIFS(BD_FACTURAS!I:I, BD_FACTURAS!A:A, A124) = N124, "✅ Cuadrado", "⚠️ Diferencia"))</f>
        <v/>
      </c>
    </row>
    <row r="125" spans="2:15" x14ac:dyDescent="0.3">
      <c r="B125" s="3" t="s">
        <v>29</v>
      </c>
      <c r="D125">
        <v>384</v>
      </c>
      <c r="E125" s="3" t="s">
        <v>41</v>
      </c>
      <c r="F125" s="3" t="s">
        <v>47</v>
      </c>
      <c r="H125" s="3" t="s">
        <v>54</v>
      </c>
      <c r="I125" s="3"/>
      <c r="J125" s="3"/>
      <c r="K125" s="6">
        <v>0</v>
      </c>
      <c r="L125" s="6">
        <v>0</v>
      </c>
      <c r="M125" s="6">
        <v>0</v>
      </c>
      <c r="N125" s="8">
        <f t="shared" si="1"/>
        <v>0</v>
      </c>
      <c r="O125" t="str">
        <f>IF(A125="", "", IF(SUMIFS(BD_FACTURAS!I:I, BD_FACTURAS!A:A, A125) = N125, "✅ Cuadrado", "⚠️ Diferencia"))</f>
        <v/>
      </c>
    </row>
    <row r="126" spans="2:15" x14ac:dyDescent="0.3">
      <c r="B126" s="2" t="s">
        <v>29</v>
      </c>
      <c r="D126">
        <v>387</v>
      </c>
      <c r="E126" s="2" t="s">
        <v>39</v>
      </c>
      <c r="F126" s="2" t="s">
        <v>46</v>
      </c>
      <c r="H126" s="2" t="s">
        <v>54</v>
      </c>
      <c r="I126" s="2" t="s">
        <v>61</v>
      </c>
      <c r="J126" s="2">
        <v>14</v>
      </c>
      <c r="K126" s="5">
        <v>2000</v>
      </c>
      <c r="L126" s="5">
        <v>2000</v>
      </c>
      <c r="M126" s="5">
        <v>320</v>
      </c>
      <c r="N126" s="8">
        <f t="shared" si="1"/>
        <v>2320</v>
      </c>
      <c r="O126" t="str">
        <f>IF(A126="", "", IF(SUMIFS(BD_FACTURAS!I:I, BD_FACTURAS!A:A, A126) = N126, "✅ Cuadrado", "⚠️ Diferencia"))</f>
        <v/>
      </c>
    </row>
    <row r="127" spans="2:15" x14ac:dyDescent="0.3">
      <c r="B127" s="3" t="s">
        <v>30</v>
      </c>
      <c r="D127">
        <v>388</v>
      </c>
      <c r="E127" s="3" t="s">
        <v>39</v>
      </c>
      <c r="F127" s="3" t="s">
        <v>46</v>
      </c>
      <c r="H127" s="3" t="s">
        <v>54</v>
      </c>
      <c r="I127" s="3" t="s">
        <v>97</v>
      </c>
      <c r="J127" s="3">
        <v>14</v>
      </c>
      <c r="K127" s="6">
        <v>2000</v>
      </c>
      <c r="L127" s="6">
        <v>2000</v>
      </c>
      <c r="M127" s="6">
        <v>320</v>
      </c>
      <c r="N127" s="8">
        <f t="shared" si="1"/>
        <v>2320</v>
      </c>
      <c r="O127" t="str">
        <f>IF(A127="", "", IF(SUMIFS(BD_FACTURAS!I:I, BD_FACTURAS!A:A, A127) = N127, "✅ Cuadrado", "⚠️ Diferencia"))</f>
        <v/>
      </c>
    </row>
    <row r="128" spans="2:15" x14ac:dyDescent="0.3">
      <c r="B128" s="2" t="s">
        <v>30</v>
      </c>
      <c r="D128">
        <v>389</v>
      </c>
      <c r="E128" s="2" t="s">
        <v>39</v>
      </c>
      <c r="F128" s="2" t="s">
        <v>46</v>
      </c>
      <c r="H128" s="2" t="s">
        <v>54</v>
      </c>
      <c r="I128" s="2" t="s">
        <v>98</v>
      </c>
      <c r="J128" s="2">
        <v>14</v>
      </c>
      <c r="K128" s="5">
        <v>2000</v>
      </c>
      <c r="L128" s="5">
        <v>2000</v>
      </c>
      <c r="M128" s="5">
        <v>320</v>
      </c>
      <c r="N128" s="8">
        <f t="shared" si="1"/>
        <v>2320</v>
      </c>
      <c r="O128" t="str">
        <f>IF(A128="", "", IF(SUMIFS(BD_FACTURAS!I:I, BD_FACTURAS!A:A, A128) = N128, "✅ Cuadrado", "⚠️ Diferencia"))</f>
        <v/>
      </c>
    </row>
    <row r="129" spans="2:15" x14ac:dyDescent="0.3">
      <c r="B129" s="3" t="s">
        <v>30</v>
      </c>
      <c r="D129">
        <v>390</v>
      </c>
      <c r="E129" s="3" t="s">
        <v>39</v>
      </c>
      <c r="F129" s="3" t="s">
        <v>46</v>
      </c>
      <c r="H129" s="3" t="s">
        <v>54</v>
      </c>
      <c r="I129" s="3" t="s">
        <v>57</v>
      </c>
      <c r="J129" s="3">
        <v>14</v>
      </c>
      <c r="K129" s="6">
        <v>2000</v>
      </c>
      <c r="L129" s="6">
        <v>2000</v>
      </c>
      <c r="M129" s="6">
        <v>320</v>
      </c>
      <c r="N129" s="8">
        <f t="shared" si="1"/>
        <v>2320</v>
      </c>
      <c r="O129" t="str">
        <f>IF(A129="", "", IF(SUMIFS(BD_FACTURAS!I:I, BD_FACTURAS!A:A, A129) = N129, "✅ Cuadrado", "⚠️ Diferencia"))</f>
        <v/>
      </c>
    </row>
    <row r="130" spans="2:15" x14ac:dyDescent="0.3">
      <c r="B130" s="2" t="s">
        <v>30</v>
      </c>
      <c r="D130">
        <v>391</v>
      </c>
      <c r="E130" s="2" t="s">
        <v>41</v>
      </c>
      <c r="F130" s="2" t="s">
        <v>47</v>
      </c>
      <c r="H130" s="2" t="s">
        <v>54</v>
      </c>
      <c r="I130" s="2"/>
      <c r="J130" s="2"/>
      <c r="K130" s="5">
        <v>0</v>
      </c>
      <c r="L130" s="5">
        <v>0</v>
      </c>
      <c r="M130" s="5">
        <v>0</v>
      </c>
      <c r="N130" s="8">
        <f t="shared" si="1"/>
        <v>0</v>
      </c>
      <c r="O130" t="str">
        <f>IF(A130="", "", IF(SUMIFS(BD_FACTURAS!I:I, BD_FACTURAS!A:A, A130) = N130, "✅ Cuadrado", "⚠️ Diferencia"))</f>
        <v/>
      </c>
    </row>
    <row r="131" spans="2:15" x14ac:dyDescent="0.3">
      <c r="B131" s="3" t="s">
        <v>30</v>
      </c>
      <c r="D131">
        <v>392</v>
      </c>
      <c r="E131" s="3" t="s">
        <v>39</v>
      </c>
      <c r="F131" s="3" t="s">
        <v>46</v>
      </c>
      <c r="H131" s="3" t="s">
        <v>54</v>
      </c>
      <c r="I131" s="3" t="s">
        <v>58</v>
      </c>
      <c r="J131" s="3">
        <v>14</v>
      </c>
      <c r="K131" s="6">
        <v>2000</v>
      </c>
      <c r="L131" s="6">
        <v>2000</v>
      </c>
      <c r="M131" s="6">
        <v>320</v>
      </c>
      <c r="N131" s="8">
        <f t="shared" ref="N131:N194" si="2">L131+M131</f>
        <v>2320</v>
      </c>
      <c r="O131" t="str">
        <f>IF(A131="", "", IF(SUMIFS(BD_FACTURAS!I:I, BD_FACTURAS!A:A, A131) = N131, "✅ Cuadrado", "⚠️ Diferencia"))</f>
        <v/>
      </c>
    </row>
    <row r="132" spans="2:15" x14ac:dyDescent="0.3">
      <c r="B132" s="2" t="s">
        <v>30</v>
      </c>
      <c r="D132">
        <v>393</v>
      </c>
      <c r="E132" s="2" t="s">
        <v>39</v>
      </c>
      <c r="F132" s="2" t="s">
        <v>46</v>
      </c>
      <c r="H132" s="2" t="s">
        <v>54</v>
      </c>
      <c r="I132" s="2" t="s">
        <v>60</v>
      </c>
      <c r="J132" s="2">
        <v>14</v>
      </c>
      <c r="K132" s="5">
        <v>2000</v>
      </c>
      <c r="L132" s="5">
        <v>2000</v>
      </c>
      <c r="M132" s="5">
        <v>320</v>
      </c>
      <c r="N132" s="8">
        <f t="shared" si="2"/>
        <v>2320</v>
      </c>
      <c r="O132" t="str">
        <f>IF(A132="", "", IF(SUMIFS(BD_FACTURAS!I:I, BD_FACTURAS!A:A, A132) = N132, "✅ Cuadrado", "⚠️ Diferencia"))</f>
        <v/>
      </c>
    </row>
    <row r="133" spans="2:15" x14ac:dyDescent="0.3">
      <c r="B133" s="3" t="s">
        <v>30</v>
      </c>
      <c r="D133">
        <v>394</v>
      </c>
      <c r="E133" s="3" t="s">
        <v>39</v>
      </c>
      <c r="F133" s="3" t="s">
        <v>46</v>
      </c>
      <c r="H133" s="3" t="s">
        <v>54</v>
      </c>
      <c r="I133" s="3" t="s">
        <v>88</v>
      </c>
      <c r="J133" s="3">
        <v>14</v>
      </c>
      <c r="K133" s="6">
        <v>2000</v>
      </c>
      <c r="L133" s="6">
        <v>2000</v>
      </c>
      <c r="M133" s="6">
        <v>320</v>
      </c>
      <c r="N133" s="8">
        <f t="shared" si="2"/>
        <v>2320</v>
      </c>
      <c r="O133" t="str">
        <f>IF(A133="", "", IF(SUMIFS(BD_FACTURAS!I:I, BD_FACTURAS!A:A, A133) = N133, "✅ Cuadrado", "⚠️ Diferencia"))</f>
        <v/>
      </c>
    </row>
    <row r="134" spans="2:15" x14ac:dyDescent="0.3">
      <c r="B134" s="2" t="s">
        <v>30</v>
      </c>
      <c r="D134">
        <v>395</v>
      </c>
      <c r="E134" s="2" t="s">
        <v>39</v>
      </c>
      <c r="F134" s="2" t="s">
        <v>46</v>
      </c>
      <c r="H134" s="2" t="s">
        <v>54</v>
      </c>
      <c r="I134" s="2" t="s">
        <v>62</v>
      </c>
      <c r="J134" s="2">
        <v>14</v>
      </c>
      <c r="K134" s="5">
        <v>2000</v>
      </c>
      <c r="L134" s="5">
        <v>2000</v>
      </c>
      <c r="M134" s="5">
        <v>320</v>
      </c>
      <c r="N134" s="8">
        <f t="shared" si="2"/>
        <v>2320</v>
      </c>
      <c r="O134" t="str">
        <f>IF(A134="", "", IF(SUMIFS(BD_FACTURAS!I:I, BD_FACTURAS!A:A, A134) = N134, "✅ Cuadrado", "⚠️ Diferencia"))</f>
        <v/>
      </c>
    </row>
    <row r="135" spans="2:15" x14ac:dyDescent="0.3">
      <c r="B135" s="3" t="s">
        <v>30</v>
      </c>
      <c r="D135">
        <v>396</v>
      </c>
      <c r="E135" s="3" t="s">
        <v>39</v>
      </c>
      <c r="F135" s="3" t="s">
        <v>46</v>
      </c>
      <c r="H135" s="3" t="s">
        <v>54</v>
      </c>
      <c r="I135" s="3" t="s">
        <v>97</v>
      </c>
      <c r="J135" s="3">
        <v>14</v>
      </c>
      <c r="K135" s="6">
        <v>2000</v>
      </c>
      <c r="L135" s="6">
        <v>2000</v>
      </c>
      <c r="M135" s="6">
        <v>320</v>
      </c>
      <c r="N135" s="8">
        <f t="shared" si="2"/>
        <v>2320</v>
      </c>
      <c r="O135" t="str">
        <f>IF(A135="", "", IF(SUMIFS(BD_FACTURAS!I:I, BD_FACTURAS!A:A, A135) = N135, "✅ Cuadrado", "⚠️ Diferencia"))</f>
        <v/>
      </c>
    </row>
    <row r="136" spans="2:15" x14ac:dyDescent="0.3">
      <c r="B136" s="2" t="s">
        <v>30</v>
      </c>
      <c r="D136">
        <v>397</v>
      </c>
      <c r="E136" s="2" t="s">
        <v>39</v>
      </c>
      <c r="F136" s="2" t="s">
        <v>46</v>
      </c>
      <c r="H136" s="2" t="s">
        <v>54</v>
      </c>
      <c r="I136" s="2" t="s">
        <v>98</v>
      </c>
      <c r="J136" s="2">
        <v>14</v>
      </c>
      <c r="K136" s="5">
        <v>2000</v>
      </c>
      <c r="L136" s="5">
        <v>2000</v>
      </c>
      <c r="M136" s="5">
        <v>320</v>
      </c>
      <c r="N136" s="8">
        <f t="shared" si="2"/>
        <v>2320</v>
      </c>
      <c r="O136" t="str">
        <f>IF(A136="", "", IF(SUMIFS(BD_FACTURAS!I:I, BD_FACTURAS!A:A, A136) = N136, "✅ Cuadrado", "⚠️ Diferencia"))</f>
        <v/>
      </c>
    </row>
    <row r="137" spans="2:15" x14ac:dyDescent="0.3">
      <c r="B137" s="3" t="s">
        <v>30</v>
      </c>
      <c r="D137">
        <v>398</v>
      </c>
      <c r="E137" s="3" t="s">
        <v>39</v>
      </c>
      <c r="F137" s="3" t="s">
        <v>46</v>
      </c>
      <c r="H137" s="3" t="s">
        <v>54</v>
      </c>
      <c r="I137" s="3" t="s">
        <v>97</v>
      </c>
      <c r="J137" s="3">
        <v>14</v>
      </c>
      <c r="K137" s="6">
        <v>2000</v>
      </c>
      <c r="L137" s="6">
        <v>2000</v>
      </c>
      <c r="M137" s="6">
        <v>320</v>
      </c>
      <c r="N137" s="8">
        <f t="shared" si="2"/>
        <v>2320</v>
      </c>
      <c r="O137" t="str">
        <f>IF(A137="", "", IF(SUMIFS(BD_FACTURAS!I:I, BD_FACTURAS!A:A, A137) = N137, "✅ Cuadrado", "⚠️ Diferencia"))</f>
        <v/>
      </c>
    </row>
    <row r="138" spans="2:15" x14ac:dyDescent="0.3">
      <c r="B138" s="2" t="s">
        <v>30</v>
      </c>
      <c r="D138">
        <v>399</v>
      </c>
      <c r="E138" s="2" t="s">
        <v>39</v>
      </c>
      <c r="F138" s="2" t="s">
        <v>46</v>
      </c>
      <c r="H138" s="2" t="s">
        <v>54</v>
      </c>
      <c r="I138" s="2" t="s">
        <v>98</v>
      </c>
      <c r="J138" s="2">
        <v>14</v>
      </c>
      <c r="K138" s="5">
        <v>2000</v>
      </c>
      <c r="L138" s="5">
        <v>2000</v>
      </c>
      <c r="M138" s="5">
        <v>320</v>
      </c>
      <c r="N138" s="8">
        <f t="shared" si="2"/>
        <v>2320</v>
      </c>
      <c r="O138" t="str">
        <f>IF(A138="", "", IF(SUMIFS(BD_FACTURAS!I:I, BD_FACTURAS!A:A, A138) = N138, "✅ Cuadrado", "⚠️ Diferencia"))</f>
        <v/>
      </c>
    </row>
    <row r="139" spans="2:15" x14ac:dyDescent="0.3">
      <c r="B139" s="3" t="s">
        <v>30</v>
      </c>
      <c r="D139">
        <v>400</v>
      </c>
      <c r="E139" s="3" t="s">
        <v>39</v>
      </c>
      <c r="F139" s="3" t="s">
        <v>46</v>
      </c>
      <c r="H139" s="3" t="s">
        <v>54</v>
      </c>
      <c r="I139" s="3" t="s">
        <v>97</v>
      </c>
      <c r="J139" s="3">
        <v>14</v>
      </c>
      <c r="K139" s="6">
        <v>2000</v>
      </c>
      <c r="L139" s="6">
        <v>2000</v>
      </c>
      <c r="M139" s="6">
        <v>320</v>
      </c>
      <c r="N139" s="8">
        <f t="shared" si="2"/>
        <v>2320</v>
      </c>
      <c r="O139" t="str">
        <f>IF(A139="", "", IF(SUMIFS(BD_FACTURAS!I:I, BD_FACTURAS!A:A, A139) = N139, "✅ Cuadrado", "⚠️ Diferencia"))</f>
        <v/>
      </c>
    </row>
    <row r="140" spans="2:15" x14ac:dyDescent="0.3">
      <c r="B140" s="2" t="s">
        <v>30</v>
      </c>
      <c r="D140">
        <v>401</v>
      </c>
      <c r="E140" s="2" t="s">
        <v>39</v>
      </c>
      <c r="F140" s="2" t="s">
        <v>46</v>
      </c>
      <c r="H140" s="2" t="s">
        <v>54</v>
      </c>
      <c r="I140" s="2" t="s">
        <v>98</v>
      </c>
      <c r="J140" s="2">
        <v>14</v>
      </c>
      <c r="K140" s="5">
        <v>2000</v>
      </c>
      <c r="L140" s="5">
        <v>2000</v>
      </c>
      <c r="M140" s="5">
        <v>320</v>
      </c>
      <c r="N140" s="8">
        <f t="shared" si="2"/>
        <v>2320</v>
      </c>
      <c r="O140" t="str">
        <f>IF(A140="", "", IF(SUMIFS(BD_FACTURAS!I:I, BD_FACTURAS!A:A, A140) = N140, "✅ Cuadrado", "⚠️ Diferencia"))</f>
        <v/>
      </c>
    </row>
    <row r="141" spans="2:15" x14ac:dyDescent="0.3">
      <c r="B141" s="3" t="s">
        <v>30</v>
      </c>
      <c r="D141">
        <v>402</v>
      </c>
      <c r="E141" s="3" t="s">
        <v>39</v>
      </c>
      <c r="F141" s="3" t="s">
        <v>46</v>
      </c>
      <c r="H141" s="3" t="s">
        <v>54</v>
      </c>
      <c r="I141" s="3" t="s">
        <v>62</v>
      </c>
      <c r="J141" s="3">
        <v>14</v>
      </c>
      <c r="K141" s="6">
        <v>2000</v>
      </c>
      <c r="L141" s="6">
        <v>2000</v>
      </c>
      <c r="M141" s="6">
        <v>320</v>
      </c>
      <c r="N141" s="8">
        <f t="shared" si="2"/>
        <v>2320</v>
      </c>
      <c r="O141" t="str">
        <f>IF(A141="", "", IF(SUMIFS(BD_FACTURAS!I:I, BD_FACTURAS!A:A, A141) = N141, "✅ Cuadrado", "⚠️ Diferencia"))</f>
        <v/>
      </c>
    </row>
    <row r="142" spans="2:15" x14ac:dyDescent="0.3">
      <c r="B142" s="2" t="s">
        <v>30</v>
      </c>
      <c r="D142">
        <v>403</v>
      </c>
      <c r="E142" s="2" t="s">
        <v>39</v>
      </c>
      <c r="F142" s="2" t="s">
        <v>46</v>
      </c>
      <c r="H142" s="2" t="s">
        <v>54</v>
      </c>
      <c r="I142" s="2" t="s">
        <v>97</v>
      </c>
      <c r="J142" s="2">
        <v>14</v>
      </c>
      <c r="K142" s="5">
        <v>2000</v>
      </c>
      <c r="L142" s="5">
        <v>2000</v>
      </c>
      <c r="M142" s="5">
        <v>320</v>
      </c>
      <c r="N142" s="8">
        <f t="shared" si="2"/>
        <v>2320</v>
      </c>
      <c r="O142" t="str">
        <f>IF(A142="", "", IF(SUMIFS(BD_FACTURAS!I:I, BD_FACTURAS!A:A, A142) = N142, "✅ Cuadrado", "⚠️ Diferencia"))</f>
        <v/>
      </c>
    </row>
    <row r="143" spans="2:15" x14ac:dyDescent="0.3">
      <c r="B143" s="3" t="s">
        <v>30</v>
      </c>
      <c r="D143">
        <v>404</v>
      </c>
      <c r="E143" s="3" t="s">
        <v>39</v>
      </c>
      <c r="F143" s="3" t="s">
        <v>46</v>
      </c>
      <c r="H143" s="3" t="s">
        <v>54</v>
      </c>
      <c r="I143" s="3" t="s">
        <v>62</v>
      </c>
      <c r="J143" s="3">
        <v>14</v>
      </c>
      <c r="K143" s="6">
        <v>2000</v>
      </c>
      <c r="L143" s="6">
        <v>2000</v>
      </c>
      <c r="M143" s="6">
        <v>320</v>
      </c>
      <c r="N143" s="8">
        <f t="shared" si="2"/>
        <v>2320</v>
      </c>
      <c r="O143" t="str">
        <f>IF(A143="", "", IF(SUMIFS(BD_FACTURAS!I:I, BD_FACTURAS!A:A, A143) = N143, "✅ Cuadrado", "⚠️ Diferencia"))</f>
        <v/>
      </c>
    </row>
    <row r="144" spans="2:15" x14ac:dyDescent="0.3">
      <c r="B144" s="2" t="s">
        <v>30</v>
      </c>
      <c r="D144">
        <v>405</v>
      </c>
      <c r="E144" s="2" t="s">
        <v>39</v>
      </c>
      <c r="F144" s="2" t="s">
        <v>46</v>
      </c>
      <c r="H144" s="2" t="s">
        <v>54</v>
      </c>
      <c r="I144" s="2" t="s">
        <v>98</v>
      </c>
      <c r="J144" s="2">
        <v>14</v>
      </c>
      <c r="K144" s="5">
        <v>2000</v>
      </c>
      <c r="L144" s="5">
        <v>2000</v>
      </c>
      <c r="M144" s="5">
        <v>320</v>
      </c>
      <c r="N144" s="8">
        <f t="shared" si="2"/>
        <v>2320</v>
      </c>
      <c r="O144" t="str">
        <f>IF(A144="", "", IF(SUMIFS(BD_FACTURAS!I:I, BD_FACTURAS!A:A, A144) = N144, "✅ Cuadrado", "⚠️ Diferencia"))</f>
        <v/>
      </c>
    </row>
    <row r="145" spans="2:15" x14ac:dyDescent="0.3">
      <c r="B145" s="3" t="s">
        <v>30</v>
      </c>
      <c r="D145">
        <v>406</v>
      </c>
      <c r="E145" s="3" t="s">
        <v>39</v>
      </c>
      <c r="F145" s="3" t="s">
        <v>46</v>
      </c>
      <c r="H145" s="3" t="s">
        <v>54</v>
      </c>
      <c r="I145" s="3" t="s">
        <v>62</v>
      </c>
      <c r="J145" s="3">
        <v>14</v>
      </c>
      <c r="K145" s="6">
        <v>2000</v>
      </c>
      <c r="L145" s="6">
        <v>2000</v>
      </c>
      <c r="M145" s="6">
        <v>320</v>
      </c>
      <c r="N145" s="8">
        <f t="shared" si="2"/>
        <v>2320</v>
      </c>
      <c r="O145" t="str">
        <f>IF(A145="", "", IF(SUMIFS(BD_FACTURAS!I:I, BD_FACTURAS!A:A, A145) = N145, "✅ Cuadrado", "⚠️ Diferencia"))</f>
        <v/>
      </c>
    </row>
    <row r="146" spans="2:15" x14ac:dyDescent="0.3">
      <c r="B146" s="2" t="s">
        <v>30</v>
      </c>
      <c r="D146">
        <v>407</v>
      </c>
      <c r="E146" s="2" t="s">
        <v>39</v>
      </c>
      <c r="F146" s="2" t="s">
        <v>48</v>
      </c>
      <c r="H146" s="2" t="s">
        <v>54</v>
      </c>
      <c r="I146" s="2" t="s">
        <v>62</v>
      </c>
      <c r="J146" s="2">
        <v>14</v>
      </c>
      <c r="K146" s="5">
        <v>2000</v>
      </c>
      <c r="L146" s="5">
        <v>2000</v>
      </c>
      <c r="M146" s="5">
        <v>320</v>
      </c>
      <c r="N146" s="8">
        <f t="shared" si="2"/>
        <v>2320</v>
      </c>
      <c r="O146" t="str">
        <f>IF(A146="", "", IF(SUMIFS(BD_FACTURAS!I:I, BD_FACTURAS!A:A, A146) = N146, "✅ Cuadrado", "⚠️ Diferencia"))</f>
        <v/>
      </c>
    </row>
    <row r="147" spans="2:15" x14ac:dyDescent="0.3">
      <c r="B147" s="3"/>
      <c r="D147">
        <v>1</v>
      </c>
      <c r="E147" s="3"/>
      <c r="F147" s="3"/>
      <c r="H147" s="3" t="s">
        <v>54</v>
      </c>
      <c r="I147" s="3"/>
      <c r="J147" s="3"/>
      <c r="K147" s="6">
        <v>0</v>
      </c>
      <c r="L147" s="6">
        <v>0</v>
      </c>
      <c r="M147" s="6">
        <v>0</v>
      </c>
      <c r="N147" s="8">
        <f t="shared" si="2"/>
        <v>0</v>
      </c>
      <c r="O147" t="str">
        <f>IF(A147="", "", IF(SUMIFS(BD_FACTURAS!I:I, BD_FACTURAS!A:A, A147) = N147, "✅ Cuadrado", "⚠️ Diferencia"))</f>
        <v/>
      </c>
    </row>
    <row r="148" spans="2:15" x14ac:dyDescent="0.3">
      <c r="B148" s="2" t="s">
        <v>26</v>
      </c>
      <c r="D148">
        <v>83</v>
      </c>
      <c r="E148" s="2" t="s">
        <v>42</v>
      </c>
      <c r="F148" s="2" t="s">
        <v>49</v>
      </c>
      <c r="H148" s="2" t="s">
        <v>55</v>
      </c>
      <c r="I148" s="2" t="s">
        <v>99</v>
      </c>
      <c r="J148" s="2">
        <v>14</v>
      </c>
      <c r="K148" s="5">
        <v>6280</v>
      </c>
      <c r="L148" s="5">
        <v>1004.8000000000001</v>
      </c>
      <c r="M148" s="5">
        <v>7284.8</v>
      </c>
      <c r="N148" s="8">
        <f t="shared" si="2"/>
        <v>8289.6</v>
      </c>
      <c r="O148" t="str">
        <f>IF(A148="", "", IF(SUMIFS(BD_FACTURAS!I:I, BD_FACTURAS!A:A, A148) = N148, "✅ Cuadrado", "⚠️ Diferencia"))</f>
        <v/>
      </c>
    </row>
    <row r="149" spans="2:15" x14ac:dyDescent="0.3">
      <c r="B149" s="3" t="s">
        <v>26</v>
      </c>
      <c r="D149">
        <v>84</v>
      </c>
      <c r="E149" s="3" t="s">
        <v>42</v>
      </c>
      <c r="F149" s="3" t="s">
        <v>49</v>
      </c>
      <c r="H149" s="3" t="s">
        <v>55</v>
      </c>
      <c r="I149" s="3" t="s">
        <v>100</v>
      </c>
      <c r="J149" s="3">
        <v>14</v>
      </c>
      <c r="K149" s="6">
        <v>6280</v>
      </c>
      <c r="L149" s="6">
        <v>1004.8000000000001</v>
      </c>
      <c r="M149" s="6">
        <v>7284.8</v>
      </c>
      <c r="N149" s="8">
        <f t="shared" si="2"/>
        <v>8289.6</v>
      </c>
      <c r="O149" t="str">
        <f>IF(A149="", "", IF(SUMIFS(BD_FACTURAS!I:I, BD_FACTURAS!A:A, A149) = N149, "✅ Cuadrado", "⚠️ Diferencia"))</f>
        <v/>
      </c>
    </row>
    <row r="150" spans="2:15" x14ac:dyDescent="0.3">
      <c r="B150" s="2" t="s">
        <v>26</v>
      </c>
      <c r="D150">
        <v>85</v>
      </c>
      <c r="E150" s="2" t="s">
        <v>42</v>
      </c>
      <c r="F150" s="2" t="s">
        <v>49</v>
      </c>
      <c r="H150" s="2" t="s">
        <v>55</v>
      </c>
      <c r="I150" s="2" t="s">
        <v>101</v>
      </c>
      <c r="J150" s="2">
        <v>14</v>
      </c>
      <c r="K150" s="5">
        <v>6280</v>
      </c>
      <c r="L150" s="5">
        <v>1004.8000000000001</v>
      </c>
      <c r="M150" s="5">
        <v>7284.8</v>
      </c>
      <c r="N150" s="8">
        <f t="shared" si="2"/>
        <v>8289.6</v>
      </c>
      <c r="O150" t="str">
        <f>IF(A150="", "", IF(SUMIFS(BD_FACTURAS!I:I, BD_FACTURAS!A:A, A150) = N150, "✅ Cuadrado", "⚠️ Diferencia"))</f>
        <v/>
      </c>
    </row>
    <row r="151" spans="2:15" x14ac:dyDescent="0.3">
      <c r="B151" s="3" t="s">
        <v>26</v>
      </c>
      <c r="D151">
        <v>86</v>
      </c>
      <c r="E151" s="3" t="s">
        <v>42</v>
      </c>
      <c r="F151" s="3" t="s">
        <v>49</v>
      </c>
      <c r="H151" s="3" t="s">
        <v>55</v>
      </c>
      <c r="I151" s="3" t="s">
        <v>102</v>
      </c>
      <c r="J151" s="3">
        <v>14</v>
      </c>
      <c r="K151" s="6">
        <v>6280</v>
      </c>
      <c r="L151" s="6">
        <v>1004.8000000000001</v>
      </c>
      <c r="M151" s="6">
        <v>7284.8</v>
      </c>
      <c r="N151" s="8">
        <f t="shared" si="2"/>
        <v>8289.6</v>
      </c>
      <c r="O151" t="str">
        <f>IF(A151="", "", IF(SUMIFS(BD_FACTURAS!I:I, BD_FACTURAS!A:A, A151) = N151, "✅ Cuadrado", "⚠️ Diferencia"))</f>
        <v/>
      </c>
    </row>
    <row r="152" spans="2:15" x14ac:dyDescent="0.3">
      <c r="B152" s="2" t="s">
        <v>26</v>
      </c>
      <c r="D152">
        <v>89</v>
      </c>
      <c r="E152" s="2" t="s">
        <v>42</v>
      </c>
      <c r="F152" s="2" t="s">
        <v>49</v>
      </c>
      <c r="H152" s="2" t="s">
        <v>55</v>
      </c>
      <c r="I152" s="2" t="s">
        <v>103</v>
      </c>
      <c r="J152" s="2">
        <v>14</v>
      </c>
      <c r="K152" s="5">
        <v>6280</v>
      </c>
      <c r="L152" s="5">
        <v>1004.8000000000001</v>
      </c>
      <c r="M152" s="5">
        <v>7284.8</v>
      </c>
      <c r="N152" s="8">
        <f t="shared" si="2"/>
        <v>8289.6</v>
      </c>
      <c r="O152" t="str">
        <f>IF(A152="", "", IF(SUMIFS(BD_FACTURAS!I:I, BD_FACTURAS!A:A, A152) = N152, "✅ Cuadrado", "⚠️ Diferencia"))</f>
        <v/>
      </c>
    </row>
    <row r="153" spans="2:15" x14ac:dyDescent="0.3">
      <c r="B153" s="3" t="s">
        <v>26</v>
      </c>
      <c r="D153">
        <v>90</v>
      </c>
      <c r="E153" s="3" t="s">
        <v>42</v>
      </c>
      <c r="F153" s="3" t="s">
        <v>49</v>
      </c>
      <c r="H153" s="3" t="s">
        <v>55</v>
      </c>
      <c r="I153" s="3" t="s">
        <v>104</v>
      </c>
      <c r="J153" s="3">
        <v>14</v>
      </c>
      <c r="K153" s="6">
        <v>6280</v>
      </c>
      <c r="L153" s="6">
        <v>1004.8000000000001</v>
      </c>
      <c r="M153" s="6">
        <v>7284.8</v>
      </c>
      <c r="N153" s="8">
        <f t="shared" si="2"/>
        <v>8289.6</v>
      </c>
      <c r="O153" t="str">
        <f>IF(A153="", "", IF(SUMIFS(BD_FACTURAS!I:I, BD_FACTURAS!A:A, A153) = N153, "✅ Cuadrado", "⚠️ Diferencia"))</f>
        <v/>
      </c>
    </row>
    <row r="154" spans="2:15" x14ac:dyDescent="0.3">
      <c r="B154" s="2" t="s">
        <v>26</v>
      </c>
      <c r="D154">
        <v>91</v>
      </c>
      <c r="E154" s="2" t="s">
        <v>42</v>
      </c>
      <c r="F154" s="2" t="s">
        <v>49</v>
      </c>
      <c r="H154" s="2" t="s">
        <v>55</v>
      </c>
      <c r="I154" s="2" t="s">
        <v>105</v>
      </c>
      <c r="J154" s="2">
        <v>14</v>
      </c>
      <c r="K154" s="5">
        <v>6280</v>
      </c>
      <c r="L154" s="5">
        <v>1004.8000000000001</v>
      </c>
      <c r="M154" s="5">
        <v>7284.8</v>
      </c>
      <c r="N154" s="8">
        <f t="shared" si="2"/>
        <v>8289.6</v>
      </c>
      <c r="O154" t="str">
        <f>IF(A154="", "", IF(SUMIFS(BD_FACTURAS!I:I, BD_FACTURAS!A:A, A154) = N154, "✅ Cuadrado", "⚠️ Diferencia"))</f>
        <v/>
      </c>
    </row>
    <row r="155" spans="2:15" x14ac:dyDescent="0.3">
      <c r="B155" s="3" t="s">
        <v>26</v>
      </c>
      <c r="D155">
        <v>92</v>
      </c>
      <c r="E155" s="3" t="s">
        <v>42</v>
      </c>
      <c r="F155" s="3" t="s">
        <v>49</v>
      </c>
      <c r="H155" s="3" t="s">
        <v>55</v>
      </c>
      <c r="I155" s="3" t="s">
        <v>106</v>
      </c>
      <c r="J155" s="3">
        <v>14</v>
      </c>
      <c r="K155" s="6">
        <v>6280</v>
      </c>
      <c r="L155" s="6">
        <v>1004.8000000000001</v>
      </c>
      <c r="M155" s="6">
        <v>7284.8</v>
      </c>
      <c r="N155" s="8">
        <f t="shared" si="2"/>
        <v>8289.6</v>
      </c>
      <c r="O155" t="str">
        <f>IF(A155="", "", IF(SUMIFS(BD_FACTURAS!I:I, BD_FACTURAS!A:A, A155) = N155, "✅ Cuadrado", "⚠️ Diferencia"))</f>
        <v/>
      </c>
    </row>
    <row r="156" spans="2:15" x14ac:dyDescent="0.3">
      <c r="B156" s="2" t="s">
        <v>26</v>
      </c>
      <c r="D156">
        <v>100</v>
      </c>
      <c r="E156" s="2" t="s">
        <v>42</v>
      </c>
      <c r="F156" s="2" t="s">
        <v>49</v>
      </c>
      <c r="H156" s="2" t="s">
        <v>55</v>
      </c>
      <c r="I156" s="2" t="s">
        <v>99</v>
      </c>
      <c r="J156" s="2">
        <v>14</v>
      </c>
      <c r="K156" s="5">
        <v>6280</v>
      </c>
      <c r="L156" s="5">
        <v>1004.8000000000001</v>
      </c>
      <c r="M156" s="5">
        <v>7284.8</v>
      </c>
      <c r="N156" s="8">
        <f t="shared" si="2"/>
        <v>8289.6</v>
      </c>
      <c r="O156" t="str">
        <f>IF(A156="", "", IF(SUMIFS(BD_FACTURAS!I:I, BD_FACTURAS!A:A, A156) = N156, "✅ Cuadrado", "⚠️ Diferencia"))</f>
        <v/>
      </c>
    </row>
    <row r="157" spans="2:15" x14ac:dyDescent="0.3">
      <c r="B157" s="3" t="s">
        <v>27</v>
      </c>
      <c r="D157">
        <v>113</v>
      </c>
      <c r="E157" s="3" t="s">
        <v>42</v>
      </c>
      <c r="F157" s="3" t="s">
        <v>49</v>
      </c>
      <c r="H157" s="3" t="s">
        <v>55</v>
      </c>
      <c r="I157" s="3" t="s">
        <v>101</v>
      </c>
      <c r="J157" s="3">
        <v>14</v>
      </c>
      <c r="K157" s="6">
        <v>6280</v>
      </c>
      <c r="L157" s="6">
        <v>1004.8000000000001</v>
      </c>
      <c r="M157" s="6">
        <v>7284.8</v>
      </c>
      <c r="N157" s="8">
        <f t="shared" si="2"/>
        <v>8289.6</v>
      </c>
      <c r="O157" t="str">
        <f>IF(A157="", "", IF(SUMIFS(BD_FACTURAS!I:I, BD_FACTURAS!A:A, A157) = N157, "✅ Cuadrado", "⚠️ Diferencia"))</f>
        <v/>
      </c>
    </row>
    <row r="158" spans="2:15" x14ac:dyDescent="0.3">
      <c r="B158" s="2" t="s">
        <v>27</v>
      </c>
      <c r="D158">
        <v>114</v>
      </c>
      <c r="E158" s="2" t="s">
        <v>42</v>
      </c>
      <c r="F158" s="2" t="s">
        <v>49</v>
      </c>
      <c r="H158" s="2" t="s">
        <v>55</v>
      </c>
      <c r="I158" s="2" t="s">
        <v>102</v>
      </c>
      <c r="J158" s="2">
        <v>14</v>
      </c>
      <c r="K158" s="5">
        <v>6280</v>
      </c>
      <c r="L158" s="5">
        <v>1004.8000000000001</v>
      </c>
      <c r="M158" s="5">
        <v>7284.8</v>
      </c>
      <c r="N158" s="8">
        <f t="shared" si="2"/>
        <v>8289.6</v>
      </c>
      <c r="O158" t="str">
        <f>IF(A158="", "", IF(SUMIFS(BD_FACTURAS!I:I, BD_FACTURAS!A:A, A158) = N158, "✅ Cuadrado", "⚠️ Diferencia"))</f>
        <v/>
      </c>
    </row>
    <row r="159" spans="2:15" x14ac:dyDescent="0.3">
      <c r="B159" s="3" t="s">
        <v>27</v>
      </c>
      <c r="D159">
        <v>115</v>
      </c>
      <c r="E159" s="3" t="s">
        <v>42</v>
      </c>
      <c r="F159" s="3" t="s">
        <v>49</v>
      </c>
      <c r="H159" s="3" t="s">
        <v>55</v>
      </c>
      <c r="I159" s="3" t="s">
        <v>103</v>
      </c>
      <c r="J159" s="3">
        <v>14</v>
      </c>
      <c r="K159" s="6">
        <v>6280</v>
      </c>
      <c r="L159" s="6">
        <v>1004.8000000000001</v>
      </c>
      <c r="M159" s="6">
        <v>7284.8</v>
      </c>
      <c r="N159" s="8">
        <f t="shared" si="2"/>
        <v>8289.6</v>
      </c>
      <c r="O159" t="str">
        <f>IF(A159="", "", IF(SUMIFS(BD_FACTURAS!I:I, BD_FACTURAS!A:A, A159) = N159, "✅ Cuadrado", "⚠️ Diferencia"))</f>
        <v/>
      </c>
    </row>
    <row r="160" spans="2:15" x14ac:dyDescent="0.3">
      <c r="B160" s="2" t="s">
        <v>27</v>
      </c>
      <c r="D160">
        <v>116</v>
      </c>
      <c r="E160" s="2" t="s">
        <v>42</v>
      </c>
      <c r="F160" s="2" t="s">
        <v>49</v>
      </c>
      <c r="H160" s="2" t="s">
        <v>55</v>
      </c>
      <c r="I160" s="2" t="s">
        <v>107</v>
      </c>
      <c r="J160" s="2">
        <v>14</v>
      </c>
      <c r="K160" s="5">
        <v>6280</v>
      </c>
      <c r="L160" s="5">
        <v>1004.8000000000001</v>
      </c>
      <c r="M160" s="5">
        <v>7284.8</v>
      </c>
      <c r="N160" s="8">
        <f t="shared" si="2"/>
        <v>8289.6</v>
      </c>
      <c r="O160" t="str">
        <f>IF(A160="", "", IF(SUMIFS(BD_FACTURAS!I:I, BD_FACTURAS!A:A, A160) = N160, "✅ Cuadrado", "⚠️ Diferencia"))</f>
        <v/>
      </c>
    </row>
    <row r="161" spans="2:15" x14ac:dyDescent="0.3">
      <c r="B161" s="3" t="s">
        <v>27</v>
      </c>
      <c r="D161">
        <v>117</v>
      </c>
      <c r="E161" s="3" t="s">
        <v>42</v>
      </c>
      <c r="F161" s="3" t="s">
        <v>49</v>
      </c>
      <c r="H161" s="3" t="s">
        <v>55</v>
      </c>
      <c r="I161" s="3" t="s">
        <v>104</v>
      </c>
      <c r="J161" s="3">
        <v>14</v>
      </c>
      <c r="K161" s="6">
        <v>6280</v>
      </c>
      <c r="L161" s="6">
        <v>1004.8000000000001</v>
      </c>
      <c r="M161" s="6">
        <v>7284.8</v>
      </c>
      <c r="N161" s="8">
        <f t="shared" si="2"/>
        <v>8289.6</v>
      </c>
      <c r="O161" t="str">
        <f>IF(A161="", "", IF(SUMIFS(BD_FACTURAS!I:I, BD_FACTURAS!A:A, A161) = N161, "✅ Cuadrado", "⚠️ Diferencia"))</f>
        <v/>
      </c>
    </row>
    <row r="162" spans="2:15" x14ac:dyDescent="0.3">
      <c r="B162" s="2" t="s">
        <v>27</v>
      </c>
      <c r="D162">
        <v>118</v>
      </c>
      <c r="E162" s="2" t="s">
        <v>42</v>
      </c>
      <c r="F162" s="2" t="s">
        <v>49</v>
      </c>
      <c r="H162" s="2" t="s">
        <v>55</v>
      </c>
      <c r="I162" s="2" t="s">
        <v>100</v>
      </c>
      <c r="J162" s="2">
        <v>14</v>
      </c>
      <c r="K162" s="5">
        <v>6280</v>
      </c>
      <c r="L162" s="5">
        <v>1004.8000000000001</v>
      </c>
      <c r="M162" s="5">
        <v>7284.8</v>
      </c>
      <c r="N162" s="8">
        <f t="shared" si="2"/>
        <v>8289.6</v>
      </c>
      <c r="O162" t="str">
        <f>IF(A162="", "", IF(SUMIFS(BD_FACTURAS!I:I, BD_FACTURAS!A:A, A162) = N162, "✅ Cuadrado", "⚠️ Diferencia"))</f>
        <v/>
      </c>
    </row>
    <row r="163" spans="2:15" x14ac:dyDescent="0.3">
      <c r="B163" s="3" t="s">
        <v>27</v>
      </c>
      <c r="D163">
        <v>119</v>
      </c>
      <c r="E163" s="3" t="s">
        <v>42</v>
      </c>
      <c r="F163" s="3" t="s">
        <v>49</v>
      </c>
      <c r="H163" s="3" t="s">
        <v>55</v>
      </c>
      <c r="I163" s="3" t="s">
        <v>106</v>
      </c>
      <c r="J163" s="3">
        <v>14</v>
      </c>
      <c r="K163" s="6">
        <v>6280</v>
      </c>
      <c r="L163" s="6">
        <v>1004.8000000000001</v>
      </c>
      <c r="M163" s="6">
        <v>7284.8</v>
      </c>
      <c r="N163" s="8">
        <f t="shared" si="2"/>
        <v>8289.6</v>
      </c>
      <c r="O163" t="str">
        <f>IF(A163="", "", IF(SUMIFS(BD_FACTURAS!I:I, BD_FACTURAS!A:A, A163) = N163, "✅ Cuadrado", "⚠️ Diferencia"))</f>
        <v/>
      </c>
    </row>
    <row r="164" spans="2:15" x14ac:dyDescent="0.3">
      <c r="B164" s="2" t="s">
        <v>27</v>
      </c>
      <c r="D164">
        <v>120</v>
      </c>
      <c r="E164" s="2" t="s">
        <v>42</v>
      </c>
      <c r="F164" s="2" t="s">
        <v>49</v>
      </c>
      <c r="H164" s="2" t="s">
        <v>55</v>
      </c>
      <c r="I164" s="2" t="s">
        <v>105</v>
      </c>
      <c r="J164" s="2">
        <v>14</v>
      </c>
      <c r="K164" s="5">
        <v>6280</v>
      </c>
      <c r="L164" s="5">
        <v>1004.8000000000001</v>
      </c>
      <c r="M164" s="5">
        <v>7284.8</v>
      </c>
      <c r="N164" s="8">
        <f t="shared" si="2"/>
        <v>8289.6</v>
      </c>
      <c r="O164" t="str">
        <f>IF(A164="", "", IF(SUMIFS(BD_FACTURAS!I:I, BD_FACTURAS!A:A, A164) = N164, "✅ Cuadrado", "⚠️ Diferencia"))</f>
        <v/>
      </c>
    </row>
    <row r="165" spans="2:15" x14ac:dyDescent="0.3">
      <c r="B165" s="3" t="s">
        <v>27</v>
      </c>
      <c r="D165">
        <v>121</v>
      </c>
      <c r="E165" s="3" t="s">
        <v>42</v>
      </c>
      <c r="F165" s="3" t="s">
        <v>49</v>
      </c>
      <c r="H165" s="3" t="s">
        <v>55</v>
      </c>
      <c r="I165" s="3" t="s">
        <v>99</v>
      </c>
      <c r="J165" s="3">
        <v>14</v>
      </c>
      <c r="K165" s="6">
        <v>6280</v>
      </c>
      <c r="L165" s="6">
        <v>1004.8000000000001</v>
      </c>
      <c r="M165" s="6">
        <v>7284.8</v>
      </c>
      <c r="N165" s="8">
        <f t="shared" si="2"/>
        <v>8289.6</v>
      </c>
      <c r="O165" t="str">
        <f>IF(A165="", "", IF(SUMIFS(BD_FACTURAS!I:I, BD_FACTURAS!A:A, A165) = N165, "✅ Cuadrado", "⚠️ Diferencia"))</f>
        <v/>
      </c>
    </row>
    <row r="166" spans="2:15" x14ac:dyDescent="0.3">
      <c r="B166" s="2" t="s">
        <v>29</v>
      </c>
      <c r="D166">
        <v>133</v>
      </c>
      <c r="E166" s="2" t="s">
        <v>42</v>
      </c>
      <c r="F166" s="2" t="s">
        <v>49</v>
      </c>
      <c r="H166" s="2" t="s">
        <v>55</v>
      </c>
      <c r="I166" s="2" t="s">
        <v>107</v>
      </c>
      <c r="J166" s="2">
        <v>14</v>
      </c>
      <c r="K166" s="5">
        <v>6280</v>
      </c>
      <c r="L166" s="5">
        <v>1004.8000000000001</v>
      </c>
      <c r="M166" s="5">
        <v>7284.8</v>
      </c>
      <c r="N166" s="8">
        <f t="shared" si="2"/>
        <v>8289.6</v>
      </c>
      <c r="O166" t="str">
        <f>IF(A166="", "", IF(SUMIFS(BD_FACTURAS!I:I, BD_FACTURAS!A:A, A166) = N166, "✅ Cuadrado", "⚠️ Diferencia"))</f>
        <v/>
      </c>
    </row>
    <row r="167" spans="2:15" x14ac:dyDescent="0.3">
      <c r="B167" s="3" t="s">
        <v>29</v>
      </c>
      <c r="D167">
        <v>134</v>
      </c>
      <c r="E167" s="3" t="s">
        <v>42</v>
      </c>
      <c r="F167" s="3" t="s">
        <v>49</v>
      </c>
      <c r="H167" s="3" t="s">
        <v>55</v>
      </c>
      <c r="I167" s="3" t="s">
        <v>106</v>
      </c>
      <c r="J167" s="3">
        <v>14</v>
      </c>
      <c r="K167" s="6">
        <v>6280</v>
      </c>
      <c r="L167" s="6">
        <v>1004.8000000000001</v>
      </c>
      <c r="M167" s="6">
        <v>7284.8</v>
      </c>
      <c r="N167" s="8">
        <f t="shared" si="2"/>
        <v>8289.6</v>
      </c>
      <c r="O167" t="str">
        <f>IF(A167="", "", IF(SUMIFS(BD_FACTURAS!I:I, BD_FACTURAS!A:A, A167) = N167, "✅ Cuadrado", "⚠️ Diferencia"))</f>
        <v/>
      </c>
    </row>
    <row r="168" spans="2:15" x14ac:dyDescent="0.3">
      <c r="B168" s="2" t="s">
        <v>29</v>
      </c>
      <c r="D168">
        <v>135</v>
      </c>
      <c r="E168" s="2" t="s">
        <v>42</v>
      </c>
      <c r="F168" s="2" t="s">
        <v>49</v>
      </c>
      <c r="H168" s="2" t="s">
        <v>55</v>
      </c>
      <c r="I168" s="2" t="s">
        <v>108</v>
      </c>
      <c r="J168" s="2">
        <v>14</v>
      </c>
      <c r="K168" s="5">
        <v>6280</v>
      </c>
      <c r="L168" s="5">
        <v>1004.8000000000001</v>
      </c>
      <c r="M168" s="5">
        <v>7284.8</v>
      </c>
      <c r="N168" s="8">
        <f t="shared" si="2"/>
        <v>8289.6</v>
      </c>
      <c r="O168" t="str">
        <f>IF(A168="", "", IF(SUMIFS(BD_FACTURAS!I:I, BD_FACTURAS!A:A, A168) = N168, "✅ Cuadrado", "⚠️ Diferencia"))</f>
        <v/>
      </c>
    </row>
    <row r="169" spans="2:15" x14ac:dyDescent="0.3">
      <c r="B169" s="3" t="s">
        <v>29</v>
      </c>
      <c r="D169">
        <v>136</v>
      </c>
      <c r="E169" s="3" t="s">
        <v>42</v>
      </c>
      <c r="F169" s="3" t="s">
        <v>49</v>
      </c>
      <c r="H169" s="3" t="s">
        <v>55</v>
      </c>
      <c r="I169" s="3" t="s">
        <v>104</v>
      </c>
      <c r="J169" s="3">
        <v>14</v>
      </c>
      <c r="K169" s="6">
        <v>6280</v>
      </c>
      <c r="L169" s="6">
        <v>1004.8000000000001</v>
      </c>
      <c r="M169" s="6">
        <v>7284.8</v>
      </c>
      <c r="N169" s="8">
        <f t="shared" si="2"/>
        <v>8289.6</v>
      </c>
      <c r="O169" t="str">
        <f>IF(A169="", "", IF(SUMIFS(BD_FACTURAS!I:I, BD_FACTURAS!A:A, A169) = N169, "✅ Cuadrado", "⚠️ Diferencia"))</f>
        <v/>
      </c>
    </row>
    <row r="170" spans="2:15" x14ac:dyDescent="0.3">
      <c r="B170" s="2" t="s">
        <v>29</v>
      </c>
      <c r="D170">
        <v>137</v>
      </c>
      <c r="E170" s="2" t="s">
        <v>42</v>
      </c>
      <c r="F170" s="2" t="s">
        <v>49</v>
      </c>
      <c r="H170" s="2" t="s">
        <v>55</v>
      </c>
      <c r="I170" s="2" t="s">
        <v>103</v>
      </c>
      <c r="J170" s="2">
        <v>14</v>
      </c>
      <c r="K170" s="5">
        <v>6280</v>
      </c>
      <c r="L170" s="5">
        <v>1004.8000000000001</v>
      </c>
      <c r="M170" s="5">
        <v>7284.8</v>
      </c>
      <c r="N170" s="8">
        <f t="shared" si="2"/>
        <v>8289.6</v>
      </c>
      <c r="O170" t="str">
        <f>IF(A170="", "", IF(SUMIFS(BD_FACTURAS!I:I, BD_FACTURAS!A:A, A170) = N170, "✅ Cuadrado", "⚠️ Diferencia"))</f>
        <v/>
      </c>
    </row>
    <row r="171" spans="2:15" x14ac:dyDescent="0.3">
      <c r="B171" s="3" t="s">
        <v>29</v>
      </c>
      <c r="D171">
        <v>138</v>
      </c>
      <c r="E171" s="3" t="s">
        <v>42</v>
      </c>
      <c r="F171" s="3" t="s">
        <v>49</v>
      </c>
      <c r="H171" s="3" t="s">
        <v>55</v>
      </c>
      <c r="I171" s="3" t="s">
        <v>102</v>
      </c>
      <c r="J171" s="3">
        <v>14</v>
      </c>
      <c r="K171" s="6">
        <v>6280</v>
      </c>
      <c r="L171" s="6">
        <v>1004.8000000000001</v>
      </c>
      <c r="M171" s="6">
        <v>7284.8</v>
      </c>
      <c r="N171" s="8">
        <f t="shared" si="2"/>
        <v>8289.6</v>
      </c>
      <c r="O171" t="str">
        <f>IF(A171="", "", IF(SUMIFS(BD_FACTURAS!I:I, BD_FACTURAS!A:A, A171) = N171, "✅ Cuadrado", "⚠️ Diferencia"))</f>
        <v/>
      </c>
    </row>
    <row r="172" spans="2:15" x14ac:dyDescent="0.3">
      <c r="B172" s="2" t="s">
        <v>29</v>
      </c>
      <c r="D172">
        <v>139</v>
      </c>
      <c r="E172" s="2" t="s">
        <v>42</v>
      </c>
      <c r="F172" s="2" t="s">
        <v>49</v>
      </c>
      <c r="H172" s="2" t="s">
        <v>55</v>
      </c>
      <c r="I172" s="2" t="s">
        <v>100</v>
      </c>
      <c r="J172" s="2">
        <v>14</v>
      </c>
      <c r="K172" s="5">
        <v>6280</v>
      </c>
      <c r="L172" s="5">
        <v>1004.8000000000001</v>
      </c>
      <c r="M172" s="5">
        <v>7284.8</v>
      </c>
      <c r="N172" s="8">
        <f t="shared" si="2"/>
        <v>8289.6</v>
      </c>
      <c r="O172" t="str">
        <f>IF(A172="", "", IF(SUMIFS(BD_FACTURAS!I:I, BD_FACTURAS!A:A, A172) = N172, "✅ Cuadrado", "⚠️ Diferencia"))</f>
        <v/>
      </c>
    </row>
    <row r="173" spans="2:15" x14ac:dyDescent="0.3">
      <c r="B173" s="3" t="s">
        <v>29</v>
      </c>
      <c r="D173">
        <v>140</v>
      </c>
      <c r="E173" s="3" t="s">
        <v>42</v>
      </c>
      <c r="F173" s="3" t="s">
        <v>49</v>
      </c>
      <c r="H173" s="3" t="s">
        <v>55</v>
      </c>
      <c r="I173" s="3" t="s">
        <v>99</v>
      </c>
      <c r="J173" s="3">
        <v>14</v>
      </c>
      <c r="K173" s="6">
        <v>6280</v>
      </c>
      <c r="L173" s="6">
        <v>1004.8000000000001</v>
      </c>
      <c r="M173" s="6">
        <v>7284.8</v>
      </c>
      <c r="N173" s="8">
        <f t="shared" si="2"/>
        <v>8289.6</v>
      </c>
      <c r="O173" t="str">
        <f>IF(A173="", "", IF(SUMIFS(BD_FACTURAS!I:I, BD_FACTURAS!A:A, A173) = N173, "✅ Cuadrado", "⚠️ Diferencia"))</f>
        <v/>
      </c>
    </row>
    <row r="174" spans="2:15" x14ac:dyDescent="0.3">
      <c r="B174" s="2" t="s">
        <v>29</v>
      </c>
      <c r="D174">
        <v>141</v>
      </c>
      <c r="E174" s="2" t="s">
        <v>42</v>
      </c>
      <c r="F174" s="2" t="s">
        <v>49</v>
      </c>
      <c r="H174" s="2" t="s">
        <v>55</v>
      </c>
      <c r="I174" s="2" t="s">
        <v>109</v>
      </c>
      <c r="J174" s="2">
        <v>14</v>
      </c>
      <c r="K174" s="5">
        <v>6280</v>
      </c>
      <c r="L174" s="5">
        <v>1004.8000000000001</v>
      </c>
      <c r="M174" s="5">
        <v>7284.8</v>
      </c>
      <c r="N174" s="8">
        <f t="shared" si="2"/>
        <v>8289.6</v>
      </c>
      <c r="O174" t="str">
        <f>IF(A174="", "", IF(SUMIFS(BD_FACTURAS!I:I, BD_FACTURAS!A:A, A174) = N174, "✅ Cuadrado", "⚠️ Diferencia"))</f>
        <v/>
      </c>
    </row>
    <row r="175" spans="2:15" x14ac:dyDescent="0.3">
      <c r="B175" s="3" t="s">
        <v>30</v>
      </c>
      <c r="D175">
        <v>152</v>
      </c>
      <c r="E175" s="3" t="s">
        <v>42</v>
      </c>
      <c r="F175" s="3" t="s">
        <v>49</v>
      </c>
      <c r="H175" s="3" t="s">
        <v>55</v>
      </c>
      <c r="I175" s="3" t="s">
        <v>103</v>
      </c>
      <c r="J175" s="3">
        <v>14</v>
      </c>
      <c r="K175" s="6">
        <v>6280</v>
      </c>
      <c r="L175" s="6">
        <v>1004.8000000000001</v>
      </c>
      <c r="M175" s="6">
        <v>7284.8</v>
      </c>
      <c r="N175" s="8">
        <f t="shared" si="2"/>
        <v>8289.6</v>
      </c>
      <c r="O175" t="str">
        <f>IF(A175="", "", IF(SUMIFS(BD_FACTURAS!I:I, BD_FACTURAS!A:A, A175) = N175, "✅ Cuadrado", "⚠️ Diferencia"))</f>
        <v/>
      </c>
    </row>
    <row r="176" spans="2:15" x14ac:dyDescent="0.3">
      <c r="B176" s="2" t="s">
        <v>30</v>
      </c>
      <c r="D176">
        <v>153</v>
      </c>
      <c r="E176" s="2" t="s">
        <v>42</v>
      </c>
      <c r="F176" s="2" t="s">
        <v>49</v>
      </c>
      <c r="H176" s="2" t="s">
        <v>55</v>
      </c>
      <c r="I176" s="2" t="s">
        <v>102</v>
      </c>
      <c r="J176" s="2">
        <v>14</v>
      </c>
      <c r="K176" s="5">
        <v>6280</v>
      </c>
      <c r="L176" s="5">
        <v>1004.8000000000001</v>
      </c>
      <c r="M176" s="5">
        <v>7284.8</v>
      </c>
      <c r="N176" s="8">
        <f t="shared" si="2"/>
        <v>8289.6</v>
      </c>
      <c r="O176" t="str">
        <f>IF(A176="", "", IF(SUMIFS(BD_FACTURAS!I:I, BD_FACTURAS!A:A, A176) = N176, "✅ Cuadrado", "⚠️ Diferencia"))</f>
        <v/>
      </c>
    </row>
    <row r="177" spans="2:15" x14ac:dyDescent="0.3">
      <c r="B177" s="3" t="s">
        <v>30</v>
      </c>
      <c r="D177">
        <v>154</v>
      </c>
      <c r="E177" s="3" t="s">
        <v>42</v>
      </c>
      <c r="F177" s="3" t="s">
        <v>49</v>
      </c>
      <c r="H177" s="3" t="s">
        <v>55</v>
      </c>
      <c r="I177" s="3" t="s">
        <v>107</v>
      </c>
      <c r="J177" s="3">
        <v>14</v>
      </c>
      <c r="K177" s="6">
        <v>6280</v>
      </c>
      <c r="L177" s="6">
        <v>1004.8000000000001</v>
      </c>
      <c r="M177" s="6">
        <v>7284.8</v>
      </c>
      <c r="N177" s="8">
        <f t="shared" si="2"/>
        <v>8289.6</v>
      </c>
      <c r="O177" t="str">
        <f>IF(A177="", "", IF(SUMIFS(BD_FACTURAS!I:I, BD_FACTURAS!A:A, A177) = N177, "✅ Cuadrado", "⚠️ Diferencia"))</f>
        <v/>
      </c>
    </row>
    <row r="178" spans="2:15" x14ac:dyDescent="0.3">
      <c r="B178" s="2" t="s">
        <v>30</v>
      </c>
      <c r="D178">
        <v>155</v>
      </c>
      <c r="E178" s="2" t="s">
        <v>42</v>
      </c>
      <c r="F178" s="2" t="s">
        <v>49</v>
      </c>
      <c r="H178" s="2" t="s">
        <v>55</v>
      </c>
      <c r="I178" s="2" t="s">
        <v>106</v>
      </c>
      <c r="J178" s="2">
        <v>14</v>
      </c>
      <c r="K178" s="5">
        <v>6280</v>
      </c>
      <c r="L178" s="5">
        <v>1004.8000000000001</v>
      </c>
      <c r="M178" s="5">
        <v>7284.8</v>
      </c>
      <c r="N178" s="8">
        <f t="shared" si="2"/>
        <v>8289.6</v>
      </c>
      <c r="O178" t="str">
        <f>IF(A178="", "", IF(SUMIFS(BD_FACTURAS!I:I, BD_FACTURAS!A:A, A178) = N178, "✅ Cuadrado", "⚠️ Diferencia"))</f>
        <v/>
      </c>
    </row>
    <row r="179" spans="2:15" x14ac:dyDescent="0.3">
      <c r="B179" s="3" t="s">
        <v>30</v>
      </c>
      <c r="D179">
        <v>156</v>
      </c>
      <c r="E179" s="3" t="s">
        <v>42</v>
      </c>
      <c r="F179" s="3" t="s">
        <v>49</v>
      </c>
      <c r="H179" s="3" t="s">
        <v>55</v>
      </c>
      <c r="I179" s="3" t="s">
        <v>104</v>
      </c>
      <c r="J179" s="3">
        <v>14</v>
      </c>
      <c r="K179" s="6">
        <v>6280</v>
      </c>
      <c r="L179" s="6">
        <v>1004.8000000000001</v>
      </c>
      <c r="M179" s="6">
        <v>7284.8</v>
      </c>
      <c r="N179" s="8">
        <f t="shared" si="2"/>
        <v>8289.6</v>
      </c>
      <c r="O179" t="str">
        <f>IF(A179="", "", IF(SUMIFS(BD_FACTURAS!I:I, BD_FACTURAS!A:A, A179) = N179, "✅ Cuadrado", "⚠️ Diferencia"))</f>
        <v/>
      </c>
    </row>
    <row r="180" spans="2:15" x14ac:dyDescent="0.3">
      <c r="B180" s="2" t="s">
        <v>30</v>
      </c>
      <c r="D180">
        <v>157</v>
      </c>
      <c r="E180" s="2" t="s">
        <v>42</v>
      </c>
      <c r="F180" s="2" t="s">
        <v>49</v>
      </c>
      <c r="H180" s="2" t="s">
        <v>55</v>
      </c>
      <c r="I180" s="2" t="s">
        <v>100</v>
      </c>
      <c r="J180" s="2">
        <v>14</v>
      </c>
      <c r="K180" s="5">
        <v>6280</v>
      </c>
      <c r="L180" s="5">
        <v>1004.8000000000001</v>
      </c>
      <c r="M180" s="5">
        <v>7284.8</v>
      </c>
      <c r="N180" s="8">
        <f t="shared" si="2"/>
        <v>8289.6</v>
      </c>
      <c r="O180" t="str">
        <f>IF(A180="", "", IF(SUMIFS(BD_FACTURAS!I:I, BD_FACTURAS!A:A, A180) = N180, "✅ Cuadrado", "⚠️ Diferencia"))</f>
        <v/>
      </c>
    </row>
    <row r="181" spans="2:15" x14ac:dyDescent="0.3">
      <c r="B181" s="3" t="s">
        <v>30</v>
      </c>
      <c r="D181">
        <v>158</v>
      </c>
      <c r="E181" s="3" t="s">
        <v>42</v>
      </c>
      <c r="F181" s="3" t="s">
        <v>49</v>
      </c>
      <c r="H181" s="3" t="s">
        <v>55</v>
      </c>
      <c r="I181" s="3" t="s">
        <v>108</v>
      </c>
      <c r="J181" s="3">
        <v>14</v>
      </c>
      <c r="K181" s="6">
        <v>6280</v>
      </c>
      <c r="L181" s="6">
        <v>1004.8000000000001</v>
      </c>
      <c r="M181" s="6">
        <v>7284.8</v>
      </c>
      <c r="N181" s="8">
        <f t="shared" si="2"/>
        <v>8289.6</v>
      </c>
      <c r="O181" t="str">
        <f>IF(A181="", "", IF(SUMIFS(BD_FACTURAS!I:I, BD_FACTURAS!A:A, A181) = N181, "✅ Cuadrado", "⚠️ Diferencia"))</f>
        <v/>
      </c>
    </row>
    <row r="182" spans="2:15" x14ac:dyDescent="0.3">
      <c r="B182" s="2" t="s">
        <v>30</v>
      </c>
      <c r="D182">
        <v>159</v>
      </c>
      <c r="E182" s="2" t="s">
        <v>42</v>
      </c>
      <c r="F182" s="2" t="s">
        <v>49</v>
      </c>
      <c r="H182" s="2" t="s">
        <v>55</v>
      </c>
      <c r="I182" s="2" t="s">
        <v>99</v>
      </c>
      <c r="J182" s="2">
        <v>14</v>
      </c>
      <c r="K182" s="5">
        <v>6280</v>
      </c>
      <c r="L182" s="5">
        <v>1004.8000000000001</v>
      </c>
      <c r="M182" s="5">
        <v>7284.8</v>
      </c>
      <c r="N182" s="8">
        <f t="shared" si="2"/>
        <v>8289.6</v>
      </c>
      <c r="O182" t="str">
        <f>IF(A182="", "", IF(SUMIFS(BD_FACTURAS!I:I, BD_FACTURAS!A:A, A182) = N182, "✅ Cuadrado", "⚠️ Diferencia"))</f>
        <v/>
      </c>
    </row>
    <row r="183" spans="2:15" x14ac:dyDescent="0.3">
      <c r="B183" s="3" t="s">
        <v>28</v>
      </c>
      <c r="D183">
        <v>186</v>
      </c>
      <c r="E183" s="3" t="s">
        <v>42</v>
      </c>
      <c r="F183" s="3" t="s">
        <v>49</v>
      </c>
      <c r="H183" s="3" t="s">
        <v>55</v>
      </c>
      <c r="I183" s="3" t="s">
        <v>103</v>
      </c>
      <c r="J183" s="3">
        <v>14</v>
      </c>
      <c r="K183" s="6">
        <v>6280</v>
      </c>
      <c r="L183" s="6">
        <v>1004.8000000000001</v>
      </c>
      <c r="M183" s="6">
        <v>7284.8</v>
      </c>
      <c r="N183" s="8">
        <f t="shared" si="2"/>
        <v>8289.6</v>
      </c>
      <c r="O183" t="str">
        <f>IF(A183="", "", IF(SUMIFS(BD_FACTURAS!I:I, BD_FACTURAS!A:A, A183) = N183, "✅ Cuadrado", "⚠️ Diferencia"))</f>
        <v/>
      </c>
    </row>
    <row r="184" spans="2:15" x14ac:dyDescent="0.3">
      <c r="B184" s="2" t="s">
        <v>28</v>
      </c>
      <c r="D184">
        <v>187</v>
      </c>
      <c r="E184" s="2" t="s">
        <v>42</v>
      </c>
      <c r="F184" s="2" t="s">
        <v>49</v>
      </c>
      <c r="H184" s="2" t="s">
        <v>55</v>
      </c>
      <c r="I184" s="2" t="s">
        <v>102</v>
      </c>
      <c r="J184" s="2">
        <v>14</v>
      </c>
      <c r="K184" s="5">
        <v>6280</v>
      </c>
      <c r="L184" s="5">
        <v>1004.8000000000001</v>
      </c>
      <c r="M184" s="5">
        <v>7284.8</v>
      </c>
      <c r="N184" s="8">
        <f t="shared" si="2"/>
        <v>8289.6</v>
      </c>
      <c r="O184" t="str">
        <f>IF(A184="", "", IF(SUMIFS(BD_FACTURAS!I:I, BD_FACTURAS!A:A, A184) = N184, "✅ Cuadrado", "⚠️ Diferencia"))</f>
        <v/>
      </c>
    </row>
    <row r="185" spans="2:15" x14ac:dyDescent="0.3">
      <c r="B185" s="3" t="s">
        <v>28</v>
      </c>
      <c r="D185">
        <v>188</v>
      </c>
      <c r="E185" s="3" t="s">
        <v>42</v>
      </c>
      <c r="F185" s="3" t="s">
        <v>49</v>
      </c>
      <c r="H185" s="3" t="s">
        <v>55</v>
      </c>
      <c r="I185" s="3" t="s">
        <v>107</v>
      </c>
      <c r="J185" s="3">
        <v>14</v>
      </c>
      <c r="K185" s="6">
        <v>6280</v>
      </c>
      <c r="L185" s="6">
        <v>1004.8000000000001</v>
      </c>
      <c r="M185" s="6">
        <v>7284.8</v>
      </c>
      <c r="N185" s="8">
        <f t="shared" si="2"/>
        <v>8289.6</v>
      </c>
      <c r="O185" t="str">
        <f>IF(A185="", "", IF(SUMIFS(BD_FACTURAS!I:I, BD_FACTURAS!A:A, A185) = N185, "✅ Cuadrado", "⚠️ Diferencia"))</f>
        <v/>
      </c>
    </row>
    <row r="186" spans="2:15" x14ac:dyDescent="0.3">
      <c r="B186" s="2" t="s">
        <v>28</v>
      </c>
      <c r="D186">
        <v>189</v>
      </c>
      <c r="E186" s="2" t="s">
        <v>42</v>
      </c>
      <c r="F186" s="2" t="s">
        <v>49</v>
      </c>
      <c r="H186" s="2" t="s">
        <v>55</v>
      </c>
      <c r="I186" s="2" t="s">
        <v>99</v>
      </c>
      <c r="J186" s="2">
        <v>14</v>
      </c>
      <c r="K186" s="5">
        <v>6280</v>
      </c>
      <c r="L186" s="5">
        <v>1004.8000000000001</v>
      </c>
      <c r="M186" s="5">
        <v>7284.8</v>
      </c>
      <c r="N186" s="8">
        <f t="shared" si="2"/>
        <v>8289.6</v>
      </c>
      <c r="O186" t="str">
        <f>IF(A186="", "", IF(SUMIFS(BD_FACTURAS!I:I, BD_FACTURAS!A:A, A186) = N186, "✅ Cuadrado", "⚠️ Diferencia"))</f>
        <v/>
      </c>
    </row>
    <row r="187" spans="2:15" x14ac:dyDescent="0.3">
      <c r="B187" s="3"/>
      <c r="D187">
        <v>1</v>
      </c>
      <c r="E187" s="3"/>
      <c r="F187" s="3"/>
      <c r="H187" s="3" t="s">
        <v>55</v>
      </c>
      <c r="I187" s="3"/>
      <c r="J187" s="3"/>
      <c r="K187" s="6">
        <v>0</v>
      </c>
      <c r="L187" s="6">
        <v>0</v>
      </c>
      <c r="M187" s="6">
        <v>0</v>
      </c>
      <c r="N187" s="8">
        <f t="shared" si="2"/>
        <v>0</v>
      </c>
      <c r="O187" t="str">
        <f>IF(A187="", "", IF(SUMIFS(BD_FACTURAS!I:I, BD_FACTURAS!A:A, A187) = N187, "✅ Cuadrado", "⚠️ Diferencia"))</f>
        <v/>
      </c>
    </row>
    <row r="188" spans="2:15" x14ac:dyDescent="0.3">
      <c r="B188" s="2"/>
      <c r="D188">
        <v>1</v>
      </c>
      <c r="E188" s="2"/>
      <c r="F188" s="2"/>
      <c r="H188" s="2" t="s">
        <v>55</v>
      </c>
      <c r="I188" s="2"/>
      <c r="J188" s="2"/>
      <c r="K188" s="5">
        <v>0</v>
      </c>
      <c r="L188" s="5">
        <v>0</v>
      </c>
      <c r="M188" s="5">
        <v>0</v>
      </c>
      <c r="N188" s="8">
        <f t="shared" si="2"/>
        <v>0</v>
      </c>
      <c r="O188" t="str">
        <f>IF(A188="", "", IF(SUMIFS(BD_FACTURAS!I:I, BD_FACTURAS!A:A, A188) = N188, "✅ Cuadrado", "⚠️ Diferencia"))</f>
        <v/>
      </c>
    </row>
    <row r="189" spans="2:15" x14ac:dyDescent="0.3">
      <c r="B189" s="3" t="s">
        <v>26</v>
      </c>
      <c r="D189">
        <v>5808</v>
      </c>
      <c r="E189" s="3" t="s">
        <v>42</v>
      </c>
      <c r="F189" s="3" t="s">
        <v>46</v>
      </c>
      <c r="H189" s="3" t="s">
        <v>55</v>
      </c>
      <c r="I189" s="3" t="s">
        <v>110</v>
      </c>
      <c r="J189" s="3">
        <v>14</v>
      </c>
      <c r="K189" s="6">
        <v>7000</v>
      </c>
      <c r="L189" s="6">
        <v>7000</v>
      </c>
      <c r="M189" s="6">
        <v>1120</v>
      </c>
      <c r="N189" s="8">
        <f t="shared" si="2"/>
        <v>8120</v>
      </c>
      <c r="O189" t="str">
        <f>IF(A189="", "", IF(SUMIFS(BD_FACTURAS!I:I, BD_FACTURAS!A:A, A189) = N189, "✅ Cuadrado", "⚠️ Diferencia"))</f>
        <v/>
      </c>
    </row>
    <row r="190" spans="2:15" x14ac:dyDescent="0.3">
      <c r="B190" s="2" t="s">
        <v>26</v>
      </c>
      <c r="D190">
        <v>5809</v>
      </c>
      <c r="E190" s="2" t="s">
        <v>42</v>
      </c>
      <c r="F190" s="2" t="s">
        <v>46</v>
      </c>
      <c r="H190" s="2" t="s">
        <v>55</v>
      </c>
      <c r="I190" s="2" t="s">
        <v>111</v>
      </c>
      <c r="J190" s="2">
        <v>14</v>
      </c>
      <c r="K190" s="5">
        <v>7000</v>
      </c>
      <c r="L190" s="5">
        <v>7000</v>
      </c>
      <c r="M190" s="5">
        <v>1120</v>
      </c>
      <c r="N190" s="8">
        <f t="shared" si="2"/>
        <v>8120</v>
      </c>
      <c r="O190" t="str">
        <f>IF(A190="", "", IF(SUMIFS(BD_FACTURAS!I:I, BD_FACTURAS!A:A, A190) = N190, "✅ Cuadrado", "⚠️ Diferencia"))</f>
        <v/>
      </c>
    </row>
    <row r="191" spans="2:15" x14ac:dyDescent="0.3">
      <c r="B191" s="3" t="s">
        <v>26</v>
      </c>
      <c r="D191">
        <v>5810</v>
      </c>
      <c r="E191" s="3" t="s">
        <v>42</v>
      </c>
      <c r="F191" s="3" t="s">
        <v>46</v>
      </c>
      <c r="H191" s="3" t="s">
        <v>55</v>
      </c>
      <c r="I191" s="3" t="s">
        <v>112</v>
      </c>
      <c r="J191" s="3">
        <v>14</v>
      </c>
      <c r="K191" s="6">
        <v>7000</v>
      </c>
      <c r="L191" s="6">
        <v>7000</v>
      </c>
      <c r="M191" s="6">
        <v>1120</v>
      </c>
      <c r="N191" s="8">
        <f t="shared" si="2"/>
        <v>8120</v>
      </c>
      <c r="O191" t="str">
        <f>IF(A191="", "", IF(SUMIFS(BD_FACTURAS!I:I, BD_FACTURAS!A:A, A191) = N191, "✅ Cuadrado", "⚠️ Diferencia"))</f>
        <v/>
      </c>
    </row>
    <row r="192" spans="2:15" x14ac:dyDescent="0.3">
      <c r="B192" s="2" t="s">
        <v>26</v>
      </c>
      <c r="D192">
        <v>5811</v>
      </c>
      <c r="E192" s="2" t="s">
        <v>42</v>
      </c>
      <c r="F192" s="2" t="s">
        <v>46</v>
      </c>
      <c r="H192" s="2" t="s">
        <v>55</v>
      </c>
      <c r="I192" s="2" t="s">
        <v>109</v>
      </c>
      <c r="J192" s="2">
        <v>14</v>
      </c>
      <c r="K192" s="5">
        <v>7000</v>
      </c>
      <c r="L192" s="5">
        <v>7000</v>
      </c>
      <c r="M192" s="5">
        <v>1120</v>
      </c>
      <c r="N192" s="8">
        <f t="shared" si="2"/>
        <v>8120</v>
      </c>
      <c r="O192" t="str">
        <f>IF(A192="", "", IF(SUMIFS(BD_FACTURAS!I:I, BD_FACTURAS!A:A, A192) = N192, "✅ Cuadrado", "⚠️ Diferencia"))</f>
        <v/>
      </c>
    </row>
    <row r="193" spans="2:15" x14ac:dyDescent="0.3">
      <c r="B193" s="3" t="s">
        <v>26</v>
      </c>
      <c r="D193">
        <v>5812</v>
      </c>
      <c r="E193" s="3" t="s">
        <v>42</v>
      </c>
      <c r="F193" s="3" t="s">
        <v>46</v>
      </c>
      <c r="H193" s="3" t="s">
        <v>55</v>
      </c>
      <c r="I193" s="3" t="s">
        <v>110</v>
      </c>
      <c r="J193" s="3">
        <v>14</v>
      </c>
      <c r="K193" s="6">
        <v>7000</v>
      </c>
      <c r="L193" s="6">
        <v>7000</v>
      </c>
      <c r="M193" s="6">
        <v>1120</v>
      </c>
      <c r="N193" s="8">
        <f t="shared" si="2"/>
        <v>8120</v>
      </c>
      <c r="O193" t="str">
        <f>IF(A193="", "", IF(SUMIFS(BD_FACTURAS!I:I, BD_FACTURAS!A:A, A193) = N193, "✅ Cuadrado", "⚠️ Diferencia"))</f>
        <v/>
      </c>
    </row>
    <row r="194" spans="2:15" x14ac:dyDescent="0.3">
      <c r="B194" s="2" t="s">
        <v>26</v>
      </c>
      <c r="D194">
        <v>5813</v>
      </c>
      <c r="E194" s="2" t="s">
        <v>42</v>
      </c>
      <c r="F194" s="2" t="s">
        <v>46</v>
      </c>
      <c r="H194" s="2" t="s">
        <v>55</v>
      </c>
      <c r="I194" s="2" t="s">
        <v>111</v>
      </c>
      <c r="J194" s="2">
        <v>14</v>
      </c>
      <c r="K194" s="5">
        <v>7000</v>
      </c>
      <c r="L194" s="5">
        <v>7000</v>
      </c>
      <c r="M194" s="5">
        <v>1120</v>
      </c>
      <c r="N194" s="8">
        <f t="shared" si="2"/>
        <v>8120</v>
      </c>
      <c r="O194" t="str">
        <f>IF(A194="", "", IF(SUMIFS(BD_FACTURAS!I:I, BD_FACTURAS!A:A, A194) = N194, "✅ Cuadrado", "⚠️ Diferencia"))</f>
        <v/>
      </c>
    </row>
    <row r="195" spans="2:15" x14ac:dyDescent="0.3">
      <c r="B195" s="3" t="s">
        <v>26</v>
      </c>
      <c r="D195">
        <v>5814</v>
      </c>
      <c r="E195" s="3" t="s">
        <v>42</v>
      </c>
      <c r="F195" s="3" t="s">
        <v>46</v>
      </c>
      <c r="H195" s="3" t="s">
        <v>55</v>
      </c>
      <c r="I195" s="3" t="s">
        <v>112</v>
      </c>
      <c r="J195" s="3">
        <v>14</v>
      </c>
      <c r="K195" s="6">
        <v>7000</v>
      </c>
      <c r="L195" s="6">
        <v>7000</v>
      </c>
      <c r="M195" s="6">
        <v>1120</v>
      </c>
      <c r="N195" s="8">
        <f t="shared" ref="N195:N258" si="3">L195+M195</f>
        <v>8120</v>
      </c>
      <c r="O195" t="str">
        <f>IF(A195="", "", IF(SUMIFS(BD_FACTURAS!I:I, BD_FACTURAS!A:A, A195) = N195, "✅ Cuadrado", "⚠️ Diferencia"))</f>
        <v/>
      </c>
    </row>
    <row r="196" spans="2:15" x14ac:dyDescent="0.3">
      <c r="B196" s="2" t="s">
        <v>26</v>
      </c>
      <c r="D196">
        <v>5815</v>
      </c>
      <c r="E196" s="2" t="s">
        <v>42</v>
      </c>
      <c r="F196" s="2" t="s">
        <v>46</v>
      </c>
      <c r="H196" s="2" t="s">
        <v>55</v>
      </c>
      <c r="I196" s="2" t="s">
        <v>109</v>
      </c>
      <c r="J196" s="2">
        <v>14</v>
      </c>
      <c r="K196" s="5">
        <v>7000</v>
      </c>
      <c r="L196" s="5">
        <v>7000</v>
      </c>
      <c r="M196" s="5">
        <v>1120</v>
      </c>
      <c r="N196" s="8">
        <f t="shared" si="3"/>
        <v>8120</v>
      </c>
      <c r="O196" t="str">
        <f>IF(A196="", "", IF(SUMIFS(BD_FACTURAS!I:I, BD_FACTURAS!A:A, A196) = N196, "✅ Cuadrado", "⚠️ Diferencia"))</f>
        <v/>
      </c>
    </row>
    <row r="197" spans="2:15" x14ac:dyDescent="0.3">
      <c r="B197" s="3" t="s">
        <v>26</v>
      </c>
      <c r="D197">
        <v>5816</v>
      </c>
      <c r="E197" s="3" t="s">
        <v>42</v>
      </c>
      <c r="F197" s="3" t="s">
        <v>46</v>
      </c>
      <c r="H197" s="3" t="s">
        <v>55</v>
      </c>
      <c r="I197" s="3" t="s">
        <v>110</v>
      </c>
      <c r="J197" s="3">
        <v>14</v>
      </c>
      <c r="K197" s="6">
        <v>7000</v>
      </c>
      <c r="L197" s="6">
        <v>7000</v>
      </c>
      <c r="M197" s="6">
        <v>1120</v>
      </c>
      <c r="N197" s="8">
        <f t="shared" si="3"/>
        <v>8120</v>
      </c>
      <c r="O197" t="str">
        <f>IF(A197="", "", IF(SUMIFS(BD_FACTURAS!I:I, BD_FACTURAS!A:A, A197) = N197, "✅ Cuadrado", "⚠️ Diferencia"))</f>
        <v/>
      </c>
    </row>
    <row r="198" spans="2:15" x14ac:dyDescent="0.3">
      <c r="B198" s="2" t="s">
        <v>26</v>
      </c>
      <c r="D198">
        <v>5817</v>
      </c>
      <c r="E198" s="2" t="s">
        <v>42</v>
      </c>
      <c r="F198" s="2" t="s">
        <v>50</v>
      </c>
      <c r="H198" s="2" t="s">
        <v>55</v>
      </c>
      <c r="I198" s="2" t="s">
        <v>111</v>
      </c>
      <c r="J198" s="2">
        <v>14</v>
      </c>
      <c r="K198" s="5">
        <v>7000</v>
      </c>
      <c r="L198" s="5">
        <v>7000</v>
      </c>
      <c r="M198" s="5">
        <v>1120</v>
      </c>
      <c r="N198" s="8">
        <f t="shared" si="3"/>
        <v>8120</v>
      </c>
      <c r="O198" t="str">
        <f>IF(A198="", "", IF(SUMIFS(BD_FACTURAS!I:I, BD_FACTURAS!A:A, A198) = N198, "✅ Cuadrado", "⚠️ Diferencia"))</f>
        <v/>
      </c>
    </row>
    <row r="199" spans="2:15" x14ac:dyDescent="0.3">
      <c r="B199" s="3" t="s">
        <v>27</v>
      </c>
      <c r="D199">
        <v>5818</v>
      </c>
      <c r="E199" s="3" t="s">
        <v>42</v>
      </c>
      <c r="F199" s="3" t="s">
        <v>46</v>
      </c>
      <c r="H199" s="3" t="s">
        <v>55</v>
      </c>
      <c r="I199" s="3" t="s">
        <v>110</v>
      </c>
      <c r="J199" s="3">
        <v>14</v>
      </c>
      <c r="K199" s="6">
        <v>7000</v>
      </c>
      <c r="L199" s="6">
        <v>7000</v>
      </c>
      <c r="M199" s="6">
        <v>1120</v>
      </c>
      <c r="N199" s="8">
        <f t="shared" si="3"/>
        <v>8120</v>
      </c>
      <c r="O199" t="str">
        <f>IF(A199="", "", IF(SUMIFS(BD_FACTURAS!I:I, BD_FACTURAS!A:A, A199) = N199, "✅ Cuadrado", "⚠️ Diferencia"))</f>
        <v/>
      </c>
    </row>
    <row r="200" spans="2:15" x14ac:dyDescent="0.3">
      <c r="B200" s="2" t="s">
        <v>27</v>
      </c>
      <c r="D200">
        <v>5819</v>
      </c>
      <c r="E200" s="2" t="s">
        <v>42</v>
      </c>
      <c r="F200" s="2" t="s">
        <v>46</v>
      </c>
      <c r="H200" s="2" t="s">
        <v>55</v>
      </c>
      <c r="I200" s="2" t="s">
        <v>110</v>
      </c>
      <c r="J200" s="2">
        <v>14</v>
      </c>
      <c r="K200" s="5">
        <v>7000</v>
      </c>
      <c r="L200" s="5">
        <v>7000</v>
      </c>
      <c r="M200" s="5">
        <v>1120</v>
      </c>
      <c r="N200" s="8">
        <f t="shared" si="3"/>
        <v>8120</v>
      </c>
      <c r="O200" t="str">
        <f>IF(A200="", "", IF(SUMIFS(BD_FACTURAS!I:I, BD_FACTURAS!A:A, A200) = N200, "✅ Cuadrado", "⚠️ Diferencia"))</f>
        <v/>
      </c>
    </row>
    <row r="201" spans="2:15" x14ac:dyDescent="0.3">
      <c r="B201" s="3" t="s">
        <v>27</v>
      </c>
      <c r="D201">
        <v>5820</v>
      </c>
      <c r="E201" s="3" t="s">
        <v>43</v>
      </c>
      <c r="F201" s="3" t="s">
        <v>46</v>
      </c>
      <c r="H201" s="3" t="s">
        <v>55</v>
      </c>
      <c r="I201" s="3" t="s">
        <v>113</v>
      </c>
      <c r="J201" s="3">
        <v>28</v>
      </c>
      <c r="K201" s="6">
        <v>0</v>
      </c>
      <c r="L201" s="6">
        <v>0</v>
      </c>
      <c r="M201" s="6">
        <v>0</v>
      </c>
      <c r="N201" s="8">
        <f t="shared" si="3"/>
        <v>0</v>
      </c>
      <c r="O201" t="str">
        <f>IF(A201="", "", IF(SUMIFS(BD_FACTURAS!I:I, BD_FACTURAS!A:A, A201) = N201, "✅ Cuadrado", "⚠️ Diferencia"))</f>
        <v/>
      </c>
    </row>
    <row r="202" spans="2:15" x14ac:dyDescent="0.3">
      <c r="B202" s="2" t="s">
        <v>27</v>
      </c>
      <c r="D202">
        <v>5821</v>
      </c>
      <c r="E202" s="2" t="s">
        <v>42</v>
      </c>
      <c r="F202" s="2" t="s">
        <v>46</v>
      </c>
      <c r="H202" s="2" t="s">
        <v>55</v>
      </c>
      <c r="I202" s="2" t="s">
        <v>111</v>
      </c>
      <c r="J202" s="2">
        <v>14</v>
      </c>
      <c r="K202" s="5">
        <v>7000</v>
      </c>
      <c r="L202" s="5">
        <v>7000</v>
      </c>
      <c r="M202" s="5">
        <v>1120</v>
      </c>
      <c r="N202" s="8">
        <f t="shared" si="3"/>
        <v>8120</v>
      </c>
      <c r="O202" t="str">
        <f>IF(A202="", "", IF(SUMIFS(BD_FACTURAS!I:I, BD_FACTURAS!A:A, A202) = N202, "✅ Cuadrado", "⚠️ Diferencia"))</f>
        <v/>
      </c>
    </row>
    <row r="203" spans="2:15" x14ac:dyDescent="0.3">
      <c r="B203" s="3" t="s">
        <v>27</v>
      </c>
      <c r="D203">
        <v>5822</v>
      </c>
      <c r="E203" s="3" t="s">
        <v>42</v>
      </c>
      <c r="F203" s="3" t="s">
        <v>46</v>
      </c>
      <c r="H203" s="3" t="s">
        <v>55</v>
      </c>
      <c r="I203" s="3" t="s">
        <v>112</v>
      </c>
      <c r="J203" s="3">
        <v>14</v>
      </c>
      <c r="K203" s="6">
        <v>7000</v>
      </c>
      <c r="L203" s="6">
        <v>7000</v>
      </c>
      <c r="M203" s="6">
        <v>1120</v>
      </c>
      <c r="N203" s="8">
        <f t="shared" si="3"/>
        <v>8120</v>
      </c>
      <c r="O203" t="str">
        <f>IF(A203="", "", IF(SUMIFS(BD_FACTURAS!I:I, BD_FACTURAS!A:A, A203) = N203, "✅ Cuadrado", "⚠️ Diferencia"))</f>
        <v/>
      </c>
    </row>
    <row r="204" spans="2:15" x14ac:dyDescent="0.3">
      <c r="B204" s="2" t="s">
        <v>27</v>
      </c>
      <c r="D204">
        <v>5823</v>
      </c>
      <c r="E204" s="2" t="s">
        <v>42</v>
      </c>
      <c r="F204" s="2" t="s">
        <v>46</v>
      </c>
      <c r="H204" s="2" t="s">
        <v>55</v>
      </c>
      <c r="I204" s="2" t="s">
        <v>109</v>
      </c>
      <c r="J204" s="2">
        <v>14</v>
      </c>
      <c r="K204" s="5">
        <v>7000</v>
      </c>
      <c r="L204" s="5">
        <v>7000</v>
      </c>
      <c r="M204" s="5">
        <v>1120</v>
      </c>
      <c r="N204" s="8">
        <f t="shared" si="3"/>
        <v>8120</v>
      </c>
      <c r="O204" t="str">
        <f>IF(A204="", "", IF(SUMIFS(BD_FACTURAS!I:I, BD_FACTURAS!A:A, A204) = N204, "✅ Cuadrado", "⚠️ Diferencia"))</f>
        <v/>
      </c>
    </row>
    <row r="205" spans="2:15" x14ac:dyDescent="0.3">
      <c r="B205" s="3" t="s">
        <v>27</v>
      </c>
      <c r="D205">
        <v>5824</v>
      </c>
      <c r="E205" s="3" t="s">
        <v>42</v>
      </c>
      <c r="F205" s="3" t="s">
        <v>46</v>
      </c>
      <c r="H205" s="3" t="s">
        <v>55</v>
      </c>
      <c r="I205" s="3" t="s">
        <v>110</v>
      </c>
      <c r="J205" s="3">
        <v>14</v>
      </c>
      <c r="K205" s="6">
        <v>7000</v>
      </c>
      <c r="L205" s="6">
        <v>7000</v>
      </c>
      <c r="M205" s="6">
        <v>1120</v>
      </c>
      <c r="N205" s="8">
        <f t="shared" si="3"/>
        <v>8120</v>
      </c>
      <c r="O205" t="str">
        <f>IF(A205="", "", IF(SUMIFS(BD_FACTURAS!I:I, BD_FACTURAS!A:A, A205) = N205, "✅ Cuadrado", "⚠️ Diferencia"))</f>
        <v/>
      </c>
    </row>
    <row r="206" spans="2:15" x14ac:dyDescent="0.3">
      <c r="B206" s="2" t="s">
        <v>27</v>
      </c>
      <c r="D206">
        <v>5825</v>
      </c>
      <c r="E206" s="2" t="s">
        <v>42</v>
      </c>
      <c r="F206" s="2" t="s">
        <v>46</v>
      </c>
      <c r="H206" s="2" t="s">
        <v>55</v>
      </c>
      <c r="I206" s="2" t="s">
        <v>111</v>
      </c>
      <c r="J206" s="2">
        <v>14</v>
      </c>
      <c r="K206" s="5">
        <v>7000</v>
      </c>
      <c r="L206" s="5">
        <v>7000</v>
      </c>
      <c r="M206" s="5">
        <v>1120</v>
      </c>
      <c r="N206" s="8">
        <f t="shared" si="3"/>
        <v>8120</v>
      </c>
      <c r="O206" t="str">
        <f>IF(A206="", "", IF(SUMIFS(BD_FACTURAS!I:I, BD_FACTURAS!A:A, A206) = N206, "✅ Cuadrado", "⚠️ Diferencia"))</f>
        <v/>
      </c>
    </row>
    <row r="207" spans="2:15" x14ac:dyDescent="0.3">
      <c r="B207" s="3" t="s">
        <v>27</v>
      </c>
      <c r="D207">
        <v>5826</v>
      </c>
      <c r="E207" s="3" t="s">
        <v>42</v>
      </c>
      <c r="F207" s="3" t="s">
        <v>46</v>
      </c>
      <c r="H207" s="3" t="s">
        <v>55</v>
      </c>
      <c r="I207" s="3" t="s">
        <v>112</v>
      </c>
      <c r="J207" s="3">
        <v>14</v>
      </c>
      <c r="K207" s="6">
        <v>7000</v>
      </c>
      <c r="L207" s="6">
        <v>7000</v>
      </c>
      <c r="M207" s="6">
        <v>1120</v>
      </c>
      <c r="N207" s="8">
        <f t="shared" si="3"/>
        <v>8120</v>
      </c>
      <c r="O207" t="str">
        <f>IF(A207="", "", IF(SUMIFS(BD_FACTURAS!I:I, BD_FACTURAS!A:A, A207) = N207, "✅ Cuadrado", "⚠️ Diferencia"))</f>
        <v/>
      </c>
    </row>
    <row r="208" spans="2:15" x14ac:dyDescent="0.3">
      <c r="B208" s="2" t="s">
        <v>27</v>
      </c>
      <c r="D208">
        <v>5827</v>
      </c>
      <c r="E208" s="2" t="s">
        <v>42</v>
      </c>
      <c r="F208" s="2" t="s">
        <v>50</v>
      </c>
      <c r="H208" s="2" t="s">
        <v>55</v>
      </c>
      <c r="I208" s="2" t="s">
        <v>109</v>
      </c>
      <c r="J208" s="2">
        <v>14</v>
      </c>
      <c r="K208" s="5">
        <v>7000</v>
      </c>
      <c r="L208" s="5">
        <v>7000</v>
      </c>
      <c r="M208" s="5">
        <v>1120</v>
      </c>
      <c r="N208" s="8">
        <f t="shared" si="3"/>
        <v>8120</v>
      </c>
      <c r="O208" t="str">
        <f>IF(A208="", "", IF(SUMIFS(BD_FACTURAS!I:I, BD_FACTURAS!A:A, A208) = N208, "✅ Cuadrado", "⚠️ Diferencia"))</f>
        <v/>
      </c>
    </row>
    <row r="209" spans="2:15" x14ac:dyDescent="0.3">
      <c r="B209" s="3" t="s">
        <v>29</v>
      </c>
      <c r="D209">
        <v>5828</v>
      </c>
      <c r="E209" s="3" t="s">
        <v>42</v>
      </c>
      <c r="F209" s="3" t="s">
        <v>46</v>
      </c>
      <c r="H209" s="3" t="s">
        <v>55</v>
      </c>
      <c r="I209" s="3" t="s">
        <v>110</v>
      </c>
      <c r="J209" s="3">
        <v>14</v>
      </c>
      <c r="K209" s="6">
        <v>7000</v>
      </c>
      <c r="L209" s="6">
        <v>7000</v>
      </c>
      <c r="M209" s="6">
        <v>1120</v>
      </c>
      <c r="N209" s="8">
        <f t="shared" si="3"/>
        <v>8120</v>
      </c>
      <c r="O209" t="str">
        <f>IF(A209="", "", IF(SUMIFS(BD_FACTURAS!I:I, BD_FACTURAS!A:A, A209) = N209, "✅ Cuadrado", "⚠️ Diferencia"))</f>
        <v/>
      </c>
    </row>
    <row r="210" spans="2:15" x14ac:dyDescent="0.3">
      <c r="B210" s="2" t="s">
        <v>29</v>
      </c>
      <c r="D210">
        <v>5829</v>
      </c>
      <c r="E210" s="2" t="s">
        <v>42</v>
      </c>
      <c r="F210" s="2" t="s">
        <v>46</v>
      </c>
      <c r="H210" s="2" t="s">
        <v>55</v>
      </c>
      <c r="I210" s="2" t="s">
        <v>112</v>
      </c>
      <c r="J210" s="2">
        <v>14</v>
      </c>
      <c r="K210" s="5">
        <v>7000</v>
      </c>
      <c r="L210" s="5">
        <v>7000</v>
      </c>
      <c r="M210" s="5">
        <v>1120</v>
      </c>
      <c r="N210" s="8">
        <f t="shared" si="3"/>
        <v>8120</v>
      </c>
      <c r="O210" t="str">
        <f>IF(A210="", "", IF(SUMIFS(BD_FACTURAS!I:I, BD_FACTURAS!A:A, A210) = N210, "✅ Cuadrado", "⚠️ Diferencia"))</f>
        <v/>
      </c>
    </row>
    <row r="211" spans="2:15" x14ac:dyDescent="0.3">
      <c r="B211" s="3" t="s">
        <v>29</v>
      </c>
      <c r="D211">
        <v>5830</v>
      </c>
      <c r="E211" s="3" t="s">
        <v>42</v>
      </c>
      <c r="F211" s="3" t="s">
        <v>46</v>
      </c>
      <c r="H211" s="3" t="s">
        <v>55</v>
      </c>
      <c r="I211" s="3" t="s">
        <v>111</v>
      </c>
      <c r="J211" s="3">
        <v>14</v>
      </c>
      <c r="K211" s="6">
        <v>7000</v>
      </c>
      <c r="L211" s="6">
        <v>7000</v>
      </c>
      <c r="M211" s="6">
        <v>1120</v>
      </c>
      <c r="N211" s="8">
        <f t="shared" si="3"/>
        <v>8120</v>
      </c>
      <c r="O211" t="str">
        <f>IF(A211="", "", IF(SUMIFS(BD_FACTURAS!I:I, BD_FACTURAS!A:A, A211) = N211, "✅ Cuadrado", "⚠️ Diferencia"))</f>
        <v/>
      </c>
    </row>
    <row r="212" spans="2:15" x14ac:dyDescent="0.3">
      <c r="B212" s="2" t="s">
        <v>29</v>
      </c>
      <c r="D212">
        <v>5831</v>
      </c>
      <c r="E212" s="2" t="s">
        <v>42</v>
      </c>
      <c r="F212" s="2" t="s">
        <v>46</v>
      </c>
      <c r="H212" s="2" t="s">
        <v>55</v>
      </c>
      <c r="I212" s="2" t="s">
        <v>112</v>
      </c>
      <c r="J212" s="2">
        <v>14</v>
      </c>
      <c r="K212" s="5">
        <v>7000</v>
      </c>
      <c r="L212" s="5">
        <v>7000</v>
      </c>
      <c r="M212" s="5">
        <v>1120</v>
      </c>
      <c r="N212" s="8">
        <f t="shared" si="3"/>
        <v>8120</v>
      </c>
      <c r="O212" t="str">
        <f>IF(A212="", "", IF(SUMIFS(BD_FACTURAS!I:I, BD_FACTURAS!A:A, A212) = N212, "✅ Cuadrado", "⚠️ Diferencia"))</f>
        <v/>
      </c>
    </row>
    <row r="213" spans="2:15" x14ac:dyDescent="0.3">
      <c r="B213" s="3" t="s">
        <v>29</v>
      </c>
      <c r="D213">
        <v>5832</v>
      </c>
      <c r="E213" s="3" t="s">
        <v>42</v>
      </c>
      <c r="F213" s="3" t="s">
        <v>46</v>
      </c>
      <c r="H213" s="3" t="s">
        <v>55</v>
      </c>
      <c r="I213" s="3" t="s">
        <v>110</v>
      </c>
      <c r="J213" s="3">
        <v>14</v>
      </c>
      <c r="K213" s="6">
        <v>7000</v>
      </c>
      <c r="L213" s="6">
        <v>7000</v>
      </c>
      <c r="M213" s="6">
        <v>1120</v>
      </c>
      <c r="N213" s="8">
        <f t="shared" si="3"/>
        <v>8120</v>
      </c>
      <c r="O213" t="str">
        <f>IF(A213="", "", IF(SUMIFS(BD_FACTURAS!I:I, BD_FACTURAS!A:A, A213) = N213, "✅ Cuadrado", "⚠️ Diferencia"))</f>
        <v/>
      </c>
    </row>
    <row r="214" spans="2:15" x14ac:dyDescent="0.3">
      <c r="B214" s="2" t="s">
        <v>29</v>
      </c>
      <c r="D214">
        <v>5833</v>
      </c>
      <c r="E214" s="2" t="s">
        <v>42</v>
      </c>
      <c r="F214" s="2" t="s">
        <v>46</v>
      </c>
      <c r="H214" s="2" t="s">
        <v>55</v>
      </c>
      <c r="I214" s="2" t="s">
        <v>109</v>
      </c>
      <c r="J214" s="2">
        <v>14</v>
      </c>
      <c r="K214" s="5">
        <v>7000</v>
      </c>
      <c r="L214" s="5">
        <v>7000</v>
      </c>
      <c r="M214" s="5">
        <v>1120</v>
      </c>
      <c r="N214" s="8">
        <f t="shared" si="3"/>
        <v>8120</v>
      </c>
      <c r="O214" t="str">
        <f>IF(A214="", "", IF(SUMIFS(BD_FACTURAS!I:I, BD_FACTURAS!A:A, A214) = N214, "✅ Cuadrado", "⚠️ Diferencia"))</f>
        <v/>
      </c>
    </row>
    <row r="215" spans="2:15" x14ac:dyDescent="0.3">
      <c r="B215" s="3" t="s">
        <v>29</v>
      </c>
      <c r="D215">
        <v>5834</v>
      </c>
      <c r="E215" s="3" t="s">
        <v>42</v>
      </c>
      <c r="F215" s="3" t="s">
        <v>46</v>
      </c>
      <c r="H215" s="3" t="s">
        <v>55</v>
      </c>
      <c r="I215" s="3" t="s">
        <v>111</v>
      </c>
      <c r="J215" s="3">
        <v>14</v>
      </c>
      <c r="K215" s="6">
        <v>7000</v>
      </c>
      <c r="L215" s="6">
        <v>7000</v>
      </c>
      <c r="M215" s="6">
        <v>1120</v>
      </c>
      <c r="N215" s="8">
        <f t="shared" si="3"/>
        <v>8120</v>
      </c>
      <c r="O215" t="str">
        <f>IF(A215="", "", IF(SUMIFS(BD_FACTURAS!I:I, BD_FACTURAS!A:A, A215) = N215, "✅ Cuadrado", "⚠️ Diferencia"))</f>
        <v/>
      </c>
    </row>
    <row r="216" spans="2:15" x14ac:dyDescent="0.3">
      <c r="B216" s="2" t="s">
        <v>29</v>
      </c>
      <c r="D216">
        <v>5835</v>
      </c>
      <c r="E216" s="2" t="s">
        <v>42</v>
      </c>
      <c r="F216" s="2" t="s">
        <v>46</v>
      </c>
      <c r="H216" s="2" t="s">
        <v>55</v>
      </c>
      <c r="I216" s="2" t="s">
        <v>112</v>
      </c>
      <c r="J216" s="2">
        <v>14</v>
      </c>
      <c r="K216" s="5">
        <v>7000</v>
      </c>
      <c r="L216" s="5">
        <v>7000</v>
      </c>
      <c r="M216" s="5">
        <v>1120</v>
      </c>
      <c r="N216" s="8">
        <f t="shared" si="3"/>
        <v>8120</v>
      </c>
      <c r="O216" t="str">
        <f>IF(A216="", "", IF(SUMIFS(BD_FACTURAS!I:I, BD_FACTURAS!A:A, A216) = N216, "✅ Cuadrado", "⚠️ Diferencia"))</f>
        <v/>
      </c>
    </row>
    <row r="217" spans="2:15" x14ac:dyDescent="0.3">
      <c r="B217" s="3" t="s">
        <v>29</v>
      </c>
      <c r="D217">
        <v>5836</v>
      </c>
      <c r="E217" s="3" t="s">
        <v>42</v>
      </c>
      <c r="F217" s="3" t="s">
        <v>46</v>
      </c>
      <c r="H217" s="3" t="s">
        <v>55</v>
      </c>
      <c r="I217" s="3" t="s">
        <v>110</v>
      </c>
      <c r="J217" s="3">
        <v>14</v>
      </c>
      <c r="K217" s="6">
        <v>7000</v>
      </c>
      <c r="L217" s="6">
        <v>7000</v>
      </c>
      <c r="M217" s="6">
        <v>1120</v>
      </c>
      <c r="N217" s="8">
        <f t="shared" si="3"/>
        <v>8120</v>
      </c>
      <c r="O217" t="str">
        <f>IF(A217="", "", IF(SUMIFS(BD_FACTURAS!I:I, BD_FACTURAS!A:A, A217) = N217, "✅ Cuadrado", "⚠️ Diferencia"))</f>
        <v/>
      </c>
    </row>
    <row r="218" spans="2:15" x14ac:dyDescent="0.3">
      <c r="B218" s="2" t="s">
        <v>29</v>
      </c>
      <c r="D218">
        <v>5837</v>
      </c>
      <c r="E218" s="2" t="s">
        <v>42</v>
      </c>
      <c r="F218" s="2" t="s">
        <v>50</v>
      </c>
      <c r="H218" s="2" t="s">
        <v>55</v>
      </c>
      <c r="I218" s="2" t="s">
        <v>109</v>
      </c>
      <c r="J218" s="2">
        <v>14</v>
      </c>
      <c r="K218" s="5">
        <v>7000</v>
      </c>
      <c r="L218" s="5">
        <v>7000</v>
      </c>
      <c r="M218" s="5">
        <v>1120</v>
      </c>
      <c r="N218" s="8">
        <f t="shared" si="3"/>
        <v>8120</v>
      </c>
      <c r="O218" t="str">
        <f>IF(A218="", "", IF(SUMIFS(BD_FACTURAS!I:I, BD_FACTURAS!A:A, A218) = N218, "✅ Cuadrado", "⚠️ Diferencia"))</f>
        <v/>
      </c>
    </row>
    <row r="219" spans="2:15" x14ac:dyDescent="0.3">
      <c r="B219" s="3" t="s">
        <v>29</v>
      </c>
      <c r="D219">
        <v>5838</v>
      </c>
      <c r="E219" s="3" t="s">
        <v>42</v>
      </c>
      <c r="F219" s="3" t="s">
        <v>46</v>
      </c>
      <c r="H219" s="3" t="s">
        <v>55</v>
      </c>
      <c r="I219" s="3" t="s">
        <v>109</v>
      </c>
      <c r="J219" s="3">
        <v>14</v>
      </c>
      <c r="K219" s="6">
        <v>7000</v>
      </c>
      <c r="L219" s="6">
        <v>7000</v>
      </c>
      <c r="M219" s="6">
        <v>1120</v>
      </c>
      <c r="N219" s="8">
        <f t="shared" si="3"/>
        <v>8120</v>
      </c>
      <c r="O219" t="str">
        <f>IF(A219="", "", IF(SUMIFS(BD_FACTURAS!I:I, BD_FACTURAS!A:A, A219) = N219, "✅ Cuadrado", "⚠️ Diferencia"))</f>
        <v/>
      </c>
    </row>
    <row r="220" spans="2:15" x14ac:dyDescent="0.3">
      <c r="B220" s="2" t="s">
        <v>30</v>
      </c>
      <c r="D220">
        <v>5839</v>
      </c>
      <c r="E220" s="2" t="s">
        <v>42</v>
      </c>
      <c r="F220" s="2" t="s">
        <v>46</v>
      </c>
      <c r="H220" s="2" t="s">
        <v>55</v>
      </c>
      <c r="I220" s="2" t="s">
        <v>110</v>
      </c>
      <c r="J220" s="2">
        <v>14</v>
      </c>
      <c r="K220" s="5">
        <v>7000</v>
      </c>
      <c r="L220" s="5">
        <v>7000</v>
      </c>
      <c r="M220" s="5">
        <v>1120</v>
      </c>
      <c r="N220" s="8">
        <f t="shared" si="3"/>
        <v>8120</v>
      </c>
      <c r="O220" t="str">
        <f>IF(A220="", "", IF(SUMIFS(BD_FACTURAS!I:I, BD_FACTURAS!A:A, A220) = N220, "✅ Cuadrado", "⚠️ Diferencia"))</f>
        <v/>
      </c>
    </row>
    <row r="221" spans="2:15" x14ac:dyDescent="0.3">
      <c r="B221" s="3" t="s">
        <v>30</v>
      </c>
      <c r="D221">
        <v>5840</v>
      </c>
      <c r="E221" s="3" t="s">
        <v>42</v>
      </c>
      <c r="F221" s="3" t="s">
        <v>46</v>
      </c>
      <c r="H221" s="3" t="s">
        <v>55</v>
      </c>
      <c r="I221" s="3" t="s">
        <v>109</v>
      </c>
      <c r="J221" s="3">
        <v>14</v>
      </c>
      <c r="K221" s="6">
        <v>7000</v>
      </c>
      <c r="L221" s="6">
        <v>7000</v>
      </c>
      <c r="M221" s="6">
        <v>1120</v>
      </c>
      <c r="N221" s="8">
        <f t="shared" si="3"/>
        <v>8120</v>
      </c>
      <c r="O221" t="str">
        <f>IF(A221="", "", IF(SUMIFS(BD_FACTURAS!I:I, BD_FACTURAS!A:A, A221) = N221, "✅ Cuadrado", "⚠️ Diferencia"))</f>
        <v/>
      </c>
    </row>
    <row r="222" spans="2:15" x14ac:dyDescent="0.3">
      <c r="B222" s="2" t="s">
        <v>30</v>
      </c>
      <c r="D222">
        <v>5841</v>
      </c>
      <c r="E222" s="2" t="s">
        <v>42</v>
      </c>
      <c r="F222" s="2" t="s">
        <v>46</v>
      </c>
      <c r="H222" s="2" t="s">
        <v>55</v>
      </c>
      <c r="I222" s="2" t="s">
        <v>112</v>
      </c>
      <c r="J222" s="2">
        <v>14</v>
      </c>
      <c r="K222" s="5">
        <v>7000</v>
      </c>
      <c r="L222" s="5">
        <v>7000</v>
      </c>
      <c r="M222" s="5">
        <v>1120</v>
      </c>
      <c r="N222" s="8">
        <f t="shared" si="3"/>
        <v>8120</v>
      </c>
      <c r="O222" t="str">
        <f>IF(A222="", "", IF(SUMIFS(BD_FACTURAS!I:I, BD_FACTURAS!A:A, A222) = N222, "✅ Cuadrado", "⚠️ Diferencia"))</f>
        <v/>
      </c>
    </row>
    <row r="223" spans="2:15" x14ac:dyDescent="0.3">
      <c r="B223" s="3" t="s">
        <v>30</v>
      </c>
      <c r="D223">
        <v>5842</v>
      </c>
      <c r="E223" s="3" t="s">
        <v>42</v>
      </c>
      <c r="F223" s="3" t="s">
        <v>46</v>
      </c>
      <c r="H223" s="3" t="s">
        <v>55</v>
      </c>
      <c r="I223" s="3" t="s">
        <v>111</v>
      </c>
      <c r="J223" s="3">
        <v>14</v>
      </c>
      <c r="K223" s="6">
        <v>7000</v>
      </c>
      <c r="L223" s="6">
        <v>7000</v>
      </c>
      <c r="M223" s="6">
        <v>1120</v>
      </c>
      <c r="N223" s="8">
        <f t="shared" si="3"/>
        <v>8120</v>
      </c>
      <c r="O223" t="str">
        <f>IF(A223="", "", IF(SUMIFS(BD_FACTURAS!I:I, BD_FACTURAS!A:A, A223) = N223, "✅ Cuadrado", "⚠️ Diferencia"))</f>
        <v/>
      </c>
    </row>
    <row r="224" spans="2:15" x14ac:dyDescent="0.3">
      <c r="B224" s="2" t="s">
        <v>30</v>
      </c>
      <c r="D224">
        <v>5843</v>
      </c>
      <c r="E224" s="2" t="s">
        <v>42</v>
      </c>
      <c r="F224" s="2" t="s">
        <v>46</v>
      </c>
      <c r="H224" s="2" t="s">
        <v>55</v>
      </c>
      <c r="I224" s="2" t="s">
        <v>114</v>
      </c>
      <c r="J224" s="2">
        <v>14</v>
      </c>
      <c r="K224" s="5">
        <v>7000</v>
      </c>
      <c r="L224" s="5">
        <v>7000</v>
      </c>
      <c r="M224" s="5">
        <v>1120</v>
      </c>
      <c r="N224" s="8">
        <f t="shared" si="3"/>
        <v>8120</v>
      </c>
      <c r="O224" t="str">
        <f>IF(A224="", "", IF(SUMIFS(BD_FACTURAS!I:I, BD_FACTURAS!A:A, A224) = N224, "✅ Cuadrado", "⚠️ Diferencia"))</f>
        <v/>
      </c>
    </row>
    <row r="225" spans="2:15" x14ac:dyDescent="0.3">
      <c r="B225" s="3" t="s">
        <v>30</v>
      </c>
      <c r="D225">
        <v>5844</v>
      </c>
      <c r="E225" s="3" t="s">
        <v>42</v>
      </c>
      <c r="F225" s="3" t="s">
        <v>46</v>
      </c>
      <c r="H225" s="3" t="s">
        <v>55</v>
      </c>
      <c r="I225" s="3" t="s">
        <v>109</v>
      </c>
      <c r="J225" s="3">
        <v>14</v>
      </c>
      <c r="K225" s="6">
        <v>7000</v>
      </c>
      <c r="L225" s="6">
        <v>7000</v>
      </c>
      <c r="M225" s="6">
        <v>1120</v>
      </c>
      <c r="N225" s="8">
        <f t="shared" si="3"/>
        <v>8120</v>
      </c>
      <c r="O225" t="str">
        <f>IF(A225="", "", IF(SUMIFS(BD_FACTURAS!I:I, BD_FACTURAS!A:A, A225) = N225, "✅ Cuadrado", "⚠️ Diferencia"))</f>
        <v/>
      </c>
    </row>
    <row r="226" spans="2:15" x14ac:dyDescent="0.3">
      <c r="B226" s="2" t="s">
        <v>30</v>
      </c>
      <c r="D226">
        <v>5845</v>
      </c>
      <c r="E226" s="2" t="s">
        <v>42</v>
      </c>
      <c r="F226" s="2" t="s">
        <v>46</v>
      </c>
      <c r="H226" s="2" t="s">
        <v>55</v>
      </c>
      <c r="I226" s="2" t="s">
        <v>112</v>
      </c>
      <c r="J226" s="2">
        <v>14</v>
      </c>
      <c r="K226" s="5">
        <v>7000</v>
      </c>
      <c r="L226" s="5">
        <v>7000</v>
      </c>
      <c r="M226" s="5">
        <v>1120</v>
      </c>
      <c r="N226" s="8">
        <f t="shared" si="3"/>
        <v>8120</v>
      </c>
      <c r="O226" t="str">
        <f>IF(A226="", "", IF(SUMIFS(BD_FACTURAS!I:I, BD_FACTURAS!A:A, A226) = N226, "✅ Cuadrado", "⚠️ Diferencia"))</f>
        <v/>
      </c>
    </row>
    <row r="227" spans="2:15" x14ac:dyDescent="0.3">
      <c r="B227" s="3" t="s">
        <v>30</v>
      </c>
      <c r="D227">
        <v>5846</v>
      </c>
      <c r="E227" s="3" t="s">
        <v>42</v>
      </c>
      <c r="F227" s="3" t="s">
        <v>46</v>
      </c>
      <c r="H227" s="3" t="s">
        <v>55</v>
      </c>
      <c r="I227" s="3" t="s">
        <v>111</v>
      </c>
      <c r="J227" s="3">
        <v>14</v>
      </c>
      <c r="K227" s="6">
        <v>7000</v>
      </c>
      <c r="L227" s="6">
        <v>7000</v>
      </c>
      <c r="M227" s="6">
        <v>1120</v>
      </c>
      <c r="N227" s="8">
        <f t="shared" si="3"/>
        <v>8120</v>
      </c>
      <c r="O227" t="str">
        <f>IF(A227="", "", IF(SUMIFS(BD_FACTURAS!I:I, BD_FACTURAS!A:A, A227) = N227, "✅ Cuadrado", "⚠️ Diferencia"))</f>
        <v/>
      </c>
    </row>
    <row r="228" spans="2:15" x14ac:dyDescent="0.3">
      <c r="B228" s="2" t="s">
        <v>30</v>
      </c>
      <c r="D228">
        <v>5847</v>
      </c>
      <c r="E228" s="2" t="s">
        <v>42</v>
      </c>
      <c r="F228" s="2" t="s">
        <v>46</v>
      </c>
      <c r="H228" s="2" t="s">
        <v>55</v>
      </c>
      <c r="I228" s="2" t="s">
        <v>114</v>
      </c>
      <c r="J228" s="2">
        <v>14</v>
      </c>
      <c r="K228" s="5">
        <v>7000</v>
      </c>
      <c r="L228" s="5">
        <v>7000</v>
      </c>
      <c r="M228" s="5">
        <v>1120</v>
      </c>
      <c r="N228" s="8">
        <f t="shared" si="3"/>
        <v>8120</v>
      </c>
      <c r="O228" t="str">
        <f>IF(A228="", "", IF(SUMIFS(BD_FACTURAS!I:I, BD_FACTURAS!A:A, A228) = N228, "✅ Cuadrado", "⚠️ Diferencia"))</f>
        <v/>
      </c>
    </row>
    <row r="229" spans="2:15" x14ac:dyDescent="0.3">
      <c r="B229" s="3" t="s">
        <v>30</v>
      </c>
      <c r="D229">
        <v>5848</v>
      </c>
      <c r="E229" s="3" t="s">
        <v>42</v>
      </c>
      <c r="F229" s="3" t="s">
        <v>46</v>
      </c>
      <c r="H229" s="3" t="s">
        <v>55</v>
      </c>
      <c r="I229" s="3" t="s">
        <v>115</v>
      </c>
      <c r="J229" s="3">
        <v>14</v>
      </c>
      <c r="K229" s="6">
        <v>7000</v>
      </c>
      <c r="L229" s="6">
        <v>7000</v>
      </c>
      <c r="M229" s="6">
        <v>1120</v>
      </c>
      <c r="N229" s="8">
        <f t="shared" si="3"/>
        <v>8120</v>
      </c>
      <c r="O229" t="str">
        <f>IF(A229="", "", IF(SUMIFS(BD_FACTURAS!I:I, BD_FACTURAS!A:A, A229) = N229, "✅ Cuadrado", "⚠️ Diferencia"))</f>
        <v/>
      </c>
    </row>
    <row r="230" spans="2:15" x14ac:dyDescent="0.3">
      <c r="B230" s="2" t="s">
        <v>28</v>
      </c>
      <c r="D230">
        <v>5849</v>
      </c>
      <c r="E230" s="2" t="s">
        <v>42</v>
      </c>
      <c r="F230" s="2" t="s">
        <v>46</v>
      </c>
      <c r="H230" s="2" t="s">
        <v>55</v>
      </c>
      <c r="I230" s="2" t="s">
        <v>111</v>
      </c>
      <c r="J230" s="2">
        <v>14</v>
      </c>
      <c r="K230" s="5">
        <v>7000</v>
      </c>
      <c r="L230" s="5">
        <v>7000</v>
      </c>
      <c r="M230" s="5">
        <v>1120</v>
      </c>
      <c r="N230" s="8">
        <f t="shared" si="3"/>
        <v>8120</v>
      </c>
      <c r="O230" t="str">
        <f>IF(A230="", "", IF(SUMIFS(BD_FACTURAS!I:I, BD_FACTURAS!A:A, A230) = N230, "✅ Cuadrado", "⚠️ Diferencia"))</f>
        <v/>
      </c>
    </row>
    <row r="231" spans="2:15" x14ac:dyDescent="0.3">
      <c r="B231" s="3" t="s">
        <v>28</v>
      </c>
      <c r="D231">
        <v>5850</v>
      </c>
      <c r="E231" s="3" t="s">
        <v>42</v>
      </c>
      <c r="F231" s="3" t="s">
        <v>46</v>
      </c>
      <c r="H231" s="3" t="s">
        <v>55</v>
      </c>
      <c r="I231" s="3" t="s">
        <v>109</v>
      </c>
      <c r="J231" s="3">
        <v>14</v>
      </c>
      <c r="K231" s="6">
        <v>7000</v>
      </c>
      <c r="L231" s="6">
        <v>7000</v>
      </c>
      <c r="M231" s="6">
        <v>1120</v>
      </c>
      <c r="N231" s="8">
        <f t="shared" si="3"/>
        <v>8120</v>
      </c>
      <c r="O231" t="str">
        <f>IF(A231="", "", IF(SUMIFS(BD_FACTURAS!I:I, BD_FACTURAS!A:A, A231) = N231, "✅ Cuadrado", "⚠️ Diferencia"))</f>
        <v/>
      </c>
    </row>
    <row r="232" spans="2:15" x14ac:dyDescent="0.3">
      <c r="B232" s="2" t="s">
        <v>28</v>
      </c>
      <c r="D232">
        <v>5951</v>
      </c>
      <c r="E232" s="2" t="s">
        <v>42</v>
      </c>
      <c r="F232" s="2" t="s">
        <v>46</v>
      </c>
      <c r="H232" s="2" t="s">
        <v>55</v>
      </c>
      <c r="I232" s="2" t="s">
        <v>112</v>
      </c>
      <c r="J232" s="2">
        <v>14</v>
      </c>
      <c r="K232" s="5">
        <v>7000</v>
      </c>
      <c r="L232" s="5">
        <v>7000</v>
      </c>
      <c r="M232" s="5">
        <v>1120</v>
      </c>
      <c r="N232" s="8">
        <f t="shared" si="3"/>
        <v>8120</v>
      </c>
      <c r="O232" t="str">
        <f>IF(A232="", "", IF(SUMIFS(BD_FACTURAS!I:I, BD_FACTURAS!A:A, A232) = N232, "✅ Cuadrado", "⚠️ Diferencia"))</f>
        <v/>
      </c>
    </row>
    <row r="233" spans="2:15" x14ac:dyDescent="0.3">
      <c r="B233" s="3" t="s">
        <v>28</v>
      </c>
      <c r="D233">
        <v>5952</v>
      </c>
      <c r="E233" s="3" t="s">
        <v>42</v>
      </c>
      <c r="F233" s="3" t="s">
        <v>46</v>
      </c>
      <c r="H233" s="3" t="s">
        <v>55</v>
      </c>
      <c r="I233" s="3" t="s">
        <v>109</v>
      </c>
      <c r="J233" s="3">
        <v>14</v>
      </c>
      <c r="K233" s="6">
        <v>7000</v>
      </c>
      <c r="L233" s="6">
        <v>7000</v>
      </c>
      <c r="M233" s="6">
        <v>1120</v>
      </c>
      <c r="N233" s="8">
        <f t="shared" si="3"/>
        <v>8120</v>
      </c>
      <c r="O233" t="str">
        <f>IF(A233="", "", IF(SUMIFS(BD_FACTURAS!I:I, BD_FACTURAS!A:A, A233) = N233, "✅ Cuadrado", "⚠️ Diferencia"))</f>
        <v/>
      </c>
    </row>
    <row r="234" spans="2:15" x14ac:dyDescent="0.3">
      <c r="B234" s="2" t="s">
        <v>28</v>
      </c>
      <c r="D234">
        <v>5953</v>
      </c>
      <c r="E234" s="2" t="s">
        <v>42</v>
      </c>
      <c r="F234" s="2" t="s">
        <v>46</v>
      </c>
      <c r="H234" s="2" t="s">
        <v>55</v>
      </c>
      <c r="I234" s="2" t="s">
        <v>112</v>
      </c>
      <c r="J234" s="2">
        <v>14</v>
      </c>
      <c r="K234" s="5">
        <v>7000</v>
      </c>
      <c r="L234" s="5">
        <v>7000</v>
      </c>
      <c r="M234" s="5">
        <v>1120</v>
      </c>
      <c r="N234" s="8">
        <f t="shared" si="3"/>
        <v>8120</v>
      </c>
      <c r="O234" t="str">
        <f>IF(A234="", "", IF(SUMIFS(BD_FACTURAS!I:I, BD_FACTURAS!A:A, A234) = N234, "✅ Cuadrado", "⚠️ Diferencia"))</f>
        <v/>
      </c>
    </row>
    <row r="235" spans="2:15" x14ac:dyDescent="0.3">
      <c r="B235" s="3"/>
      <c r="D235">
        <v>1</v>
      </c>
      <c r="E235" s="3"/>
      <c r="F235" s="3"/>
      <c r="H235" s="3" t="s">
        <v>55</v>
      </c>
      <c r="I235" s="3"/>
      <c r="J235" s="3"/>
      <c r="K235" s="6">
        <v>0</v>
      </c>
      <c r="L235" s="6">
        <v>0</v>
      </c>
      <c r="M235" s="6">
        <v>0</v>
      </c>
      <c r="N235" s="8">
        <f t="shared" si="3"/>
        <v>0</v>
      </c>
      <c r="O235" t="str">
        <f>IF(A235="", "", IF(SUMIFS(BD_FACTURAS!I:I, BD_FACTURAS!A:A, A235) = N235, "✅ Cuadrado", "⚠️ Diferencia"))</f>
        <v/>
      </c>
    </row>
    <row r="236" spans="2:15" x14ac:dyDescent="0.3">
      <c r="B236" s="2"/>
      <c r="D236">
        <v>1</v>
      </c>
      <c r="E236" s="2"/>
      <c r="F236" s="2"/>
      <c r="H236" s="2" t="s">
        <v>55</v>
      </c>
      <c r="I236" s="2"/>
      <c r="J236" s="2"/>
      <c r="K236" s="5">
        <v>0</v>
      </c>
      <c r="L236" s="5">
        <v>0</v>
      </c>
      <c r="M236" s="5">
        <v>0</v>
      </c>
      <c r="N236" s="8">
        <f t="shared" si="3"/>
        <v>0</v>
      </c>
      <c r="O236" t="str">
        <f>IF(A236="", "", IF(SUMIFS(BD_FACTURAS!I:I, BD_FACTURAS!A:A, A236) = N236, "✅ Cuadrado", "⚠️ Diferencia"))</f>
        <v/>
      </c>
    </row>
    <row r="237" spans="2:15" x14ac:dyDescent="0.3">
      <c r="B237" s="3" t="s">
        <v>26</v>
      </c>
      <c r="D237">
        <v>98</v>
      </c>
      <c r="E237" s="3" t="s">
        <v>39</v>
      </c>
      <c r="F237" s="3" t="s">
        <v>51</v>
      </c>
      <c r="H237" s="3" t="s">
        <v>56</v>
      </c>
      <c r="I237" s="3" t="s">
        <v>116</v>
      </c>
      <c r="J237" s="3">
        <v>14</v>
      </c>
      <c r="K237" s="6">
        <v>2850</v>
      </c>
      <c r="L237" s="6">
        <v>2850</v>
      </c>
      <c r="M237" s="6">
        <v>456</v>
      </c>
      <c r="N237" s="8">
        <f t="shared" si="3"/>
        <v>3306</v>
      </c>
      <c r="O237" t="str">
        <f>IF(A237="", "", IF(SUMIFS(BD_FACTURAS!I:I, BD_FACTURAS!A:A, A237) = N237, "✅ Cuadrado", "⚠️ Diferencia"))</f>
        <v/>
      </c>
    </row>
    <row r="238" spans="2:15" x14ac:dyDescent="0.3">
      <c r="B238" s="2" t="s">
        <v>26</v>
      </c>
      <c r="D238">
        <v>99</v>
      </c>
      <c r="E238" s="2" t="s">
        <v>39</v>
      </c>
      <c r="F238" s="2" t="s">
        <v>51</v>
      </c>
      <c r="H238" s="2" t="s">
        <v>56</v>
      </c>
      <c r="I238" s="2" t="s">
        <v>117</v>
      </c>
      <c r="J238" s="2">
        <v>10</v>
      </c>
      <c r="K238" s="5">
        <v>2850</v>
      </c>
      <c r="L238" s="5">
        <v>2850</v>
      </c>
      <c r="M238" s="5">
        <v>456</v>
      </c>
      <c r="N238" s="8">
        <f t="shared" si="3"/>
        <v>3306</v>
      </c>
      <c r="O238" t="str">
        <f>IF(A238="", "", IF(SUMIFS(BD_FACTURAS!I:I, BD_FACTURAS!A:A, A238) = N238, "✅ Cuadrado", "⚠️ Diferencia"))</f>
        <v/>
      </c>
    </row>
    <row r="239" spans="2:15" x14ac:dyDescent="0.3">
      <c r="B239" s="3" t="s">
        <v>27</v>
      </c>
      <c r="D239">
        <v>110</v>
      </c>
      <c r="E239" s="3" t="s">
        <v>39</v>
      </c>
      <c r="F239" s="3" t="s">
        <v>51</v>
      </c>
      <c r="H239" s="3" t="s">
        <v>56</v>
      </c>
      <c r="I239" s="3" t="s">
        <v>118</v>
      </c>
      <c r="J239" s="3">
        <v>10</v>
      </c>
      <c r="K239" s="6">
        <v>2850</v>
      </c>
      <c r="L239" s="6">
        <v>2850</v>
      </c>
      <c r="M239" s="6">
        <v>456</v>
      </c>
      <c r="N239" s="8">
        <f t="shared" si="3"/>
        <v>3306</v>
      </c>
      <c r="O239" t="str">
        <f>IF(A239="", "", IF(SUMIFS(BD_FACTURAS!I:I, BD_FACTURAS!A:A, A239) = N239, "✅ Cuadrado", "⚠️ Diferencia"))</f>
        <v/>
      </c>
    </row>
    <row r="240" spans="2:15" x14ac:dyDescent="0.3">
      <c r="B240" s="2" t="s">
        <v>29</v>
      </c>
      <c r="D240">
        <v>131</v>
      </c>
      <c r="E240" s="2" t="s">
        <v>39</v>
      </c>
      <c r="F240" s="2" t="s">
        <v>51</v>
      </c>
      <c r="H240" s="2" t="s">
        <v>56</v>
      </c>
      <c r="I240" s="2" t="s">
        <v>117</v>
      </c>
      <c r="J240" s="2">
        <v>14</v>
      </c>
      <c r="K240" s="5">
        <v>2850</v>
      </c>
      <c r="L240" s="5">
        <v>2850</v>
      </c>
      <c r="M240" s="5">
        <v>456</v>
      </c>
      <c r="N240" s="8">
        <f t="shared" si="3"/>
        <v>3306</v>
      </c>
      <c r="O240" t="str">
        <f>IF(A240="", "", IF(SUMIFS(BD_FACTURAS!I:I, BD_FACTURAS!A:A, A240) = N240, "✅ Cuadrado", "⚠️ Diferencia"))</f>
        <v/>
      </c>
    </row>
    <row r="241" spans="2:15" x14ac:dyDescent="0.3">
      <c r="B241" s="3" t="s">
        <v>29</v>
      </c>
      <c r="D241">
        <v>130</v>
      </c>
      <c r="E241" s="3" t="s">
        <v>39</v>
      </c>
      <c r="F241" s="3" t="s">
        <v>51</v>
      </c>
      <c r="H241" s="3" t="s">
        <v>56</v>
      </c>
      <c r="I241" s="3" t="s">
        <v>119</v>
      </c>
      <c r="J241" s="3">
        <v>10</v>
      </c>
      <c r="K241" s="6">
        <v>2850</v>
      </c>
      <c r="L241" s="6">
        <v>2850</v>
      </c>
      <c r="M241" s="6">
        <v>456</v>
      </c>
      <c r="N241" s="8">
        <f t="shared" si="3"/>
        <v>3306</v>
      </c>
      <c r="O241" t="str">
        <f>IF(A241="", "", IF(SUMIFS(BD_FACTURAS!I:I, BD_FACTURAS!A:A, A241) = N241, "✅ Cuadrado", "⚠️ Diferencia"))</f>
        <v/>
      </c>
    </row>
    <row r="242" spans="2:15" x14ac:dyDescent="0.3">
      <c r="B242" s="2" t="s">
        <v>31</v>
      </c>
      <c r="D242">
        <v>150</v>
      </c>
      <c r="E242" s="2" t="s">
        <v>39</v>
      </c>
      <c r="F242" s="2" t="s">
        <v>51</v>
      </c>
      <c r="H242" s="2" t="s">
        <v>56</v>
      </c>
      <c r="I242" s="2" t="s">
        <v>117</v>
      </c>
      <c r="J242" s="2">
        <v>14</v>
      </c>
      <c r="K242" s="5">
        <v>2850</v>
      </c>
      <c r="L242" s="5">
        <v>2850</v>
      </c>
      <c r="M242" s="5">
        <v>456</v>
      </c>
      <c r="N242" s="8">
        <f t="shared" si="3"/>
        <v>3306</v>
      </c>
      <c r="O242" t="str">
        <f>IF(A242="", "", IF(SUMIFS(BD_FACTURAS!I:I, BD_FACTURAS!A:A, A242) = N242, "✅ Cuadrado", "⚠️ Diferencia"))</f>
        <v/>
      </c>
    </row>
    <row r="243" spans="2:15" x14ac:dyDescent="0.3">
      <c r="B243" s="3" t="s">
        <v>30</v>
      </c>
      <c r="D243">
        <v>151</v>
      </c>
      <c r="E243" s="3" t="s">
        <v>39</v>
      </c>
      <c r="F243" s="3" t="s">
        <v>51</v>
      </c>
      <c r="H243" s="3" t="s">
        <v>56</v>
      </c>
      <c r="I243" s="3" t="s">
        <v>119</v>
      </c>
      <c r="J243" s="3">
        <v>10</v>
      </c>
      <c r="K243" s="6">
        <v>2850</v>
      </c>
      <c r="L243" s="6">
        <v>2850</v>
      </c>
      <c r="M243" s="6">
        <v>456</v>
      </c>
      <c r="N243" s="8">
        <f t="shared" si="3"/>
        <v>3306</v>
      </c>
      <c r="O243" t="str">
        <f>IF(A243="", "", IF(SUMIFS(BD_FACTURAS!I:I, BD_FACTURAS!A:A, A243) = N243, "✅ Cuadrado", "⚠️ Diferencia"))</f>
        <v/>
      </c>
    </row>
    <row r="244" spans="2:15" x14ac:dyDescent="0.3">
      <c r="B244" s="2" t="s">
        <v>28</v>
      </c>
      <c r="D244">
        <v>185</v>
      </c>
      <c r="E244" s="2" t="s">
        <v>39</v>
      </c>
      <c r="F244" s="2" t="s">
        <v>51</v>
      </c>
      <c r="H244" s="2" t="s">
        <v>56</v>
      </c>
      <c r="I244" s="2" t="s">
        <v>117</v>
      </c>
      <c r="J244" s="2">
        <v>14</v>
      </c>
      <c r="K244" s="5">
        <v>2850</v>
      </c>
      <c r="L244" s="5">
        <v>2850</v>
      </c>
      <c r="M244" s="5">
        <v>456</v>
      </c>
      <c r="N244" s="8">
        <f t="shared" si="3"/>
        <v>3306</v>
      </c>
      <c r="O244" t="str">
        <f>IF(A244="", "", IF(SUMIFS(BD_FACTURAS!I:I, BD_FACTURAS!A:A, A244) = N244, "✅ Cuadrado", "⚠️ Diferencia"))</f>
        <v/>
      </c>
    </row>
    <row r="245" spans="2:15" x14ac:dyDescent="0.3">
      <c r="B245" s="3" t="s">
        <v>28</v>
      </c>
      <c r="D245">
        <v>184</v>
      </c>
      <c r="E245" s="3" t="s">
        <v>39</v>
      </c>
      <c r="F245" s="3" t="s">
        <v>51</v>
      </c>
      <c r="H245" s="3" t="s">
        <v>56</v>
      </c>
      <c r="I245" s="3" t="s">
        <v>119</v>
      </c>
      <c r="J245" s="3">
        <v>10</v>
      </c>
      <c r="K245" s="6">
        <v>2850</v>
      </c>
      <c r="L245" s="6">
        <v>2850</v>
      </c>
      <c r="M245" s="6">
        <v>456</v>
      </c>
      <c r="N245" s="8">
        <f t="shared" si="3"/>
        <v>3306</v>
      </c>
      <c r="O245" t="str">
        <f>IF(A245="", "", IF(SUMIFS(BD_FACTURAS!I:I, BD_FACTURAS!A:A, A245) = N245, "✅ Cuadrado", "⚠️ Diferencia"))</f>
        <v/>
      </c>
    </row>
    <row r="246" spans="2:15" x14ac:dyDescent="0.3">
      <c r="B246" s="2" t="s">
        <v>26</v>
      </c>
      <c r="D246">
        <v>94</v>
      </c>
      <c r="E246" s="2" t="s">
        <v>44</v>
      </c>
      <c r="F246" s="2" t="s">
        <v>51</v>
      </c>
      <c r="H246" s="2" t="s">
        <v>56</v>
      </c>
      <c r="I246" s="2" t="s">
        <v>120</v>
      </c>
      <c r="J246" s="2">
        <v>10</v>
      </c>
      <c r="K246" s="5">
        <v>2850</v>
      </c>
      <c r="L246" s="5">
        <v>2850</v>
      </c>
      <c r="M246" s="5">
        <v>456</v>
      </c>
      <c r="N246" s="8">
        <f t="shared" si="3"/>
        <v>3306</v>
      </c>
      <c r="O246" t="str">
        <f>IF(A246="", "", IF(SUMIFS(BD_FACTURAS!I:I, BD_FACTURAS!A:A, A246) = N246, "✅ Cuadrado", "⚠️ Diferencia"))</f>
        <v/>
      </c>
    </row>
    <row r="247" spans="2:15" x14ac:dyDescent="0.3">
      <c r="B247" s="3" t="s">
        <v>27</v>
      </c>
      <c r="D247">
        <v>104</v>
      </c>
      <c r="E247" s="3" t="s">
        <v>44</v>
      </c>
      <c r="F247" s="3" t="s">
        <v>51</v>
      </c>
      <c r="H247" s="3" t="s">
        <v>56</v>
      </c>
      <c r="I247" s="3" t="s">
        <v>120</v>
      </c>
      <c r="J247" s="3">
        <v>10</v>
      </c>
      <c r="K247" s="6">
        <v>2850</v>
      </c>
      <c r="L247" s="6">
        <v>2850</v>
      </c>
      <c r="M247" s="6">
        <v>456</v>
      </c>
      <c r="N247" s="8">
        <f t="shared" si="3"/>
        <v>3306</v>
      </c>
      <c r="O247" t="str">
        <f>IF(A247="", "", IF(SUMIFS(BD_FACTURAS!I:I, BD_FACTURAS!A:A, A247) = N247, "✅ Cuadrado", "⚠️ Diferencia"))</f>
        <v/>
      </c>
    </row>
    <row r="248" spans="2:15" x14ac:dyDescent="0.3">
      <c r="B248" s="2" t="s">
        <v>27</v>
      </c>
      <c r="D248">
        <v>95</v>
      </c>
      <c r="E248" s="2" t="s">
        <v>44</v>
      </c>
      <c r="F248" s="2" t="s">
        <v>51</v>
      </c>
      <c r="H248" s="2" t="s">
        <v>56</v>
      </c>
      <c r="I248" s="2" t="s">
        <v>121</v>
      </c>
      <c r="J248" s="2">
        <v>10</v>
      </c>
      <c r="K248" s="5">
        <v>2850</v>
      </c>
      <c r="L248" s="5">
        <v>2850</v>
      </c>
      <c r="M248" s="5">
        <v>456</v>
      </c>
      <c r="N248" s="8">
        <f t="shared" si="3"/>
        <v>3306</v>
      </c>
      <c r="O248" t="str">
        <f>IF(A248="", "", IF(SUMIFS(BD_FACTURAS!I:I, BD_FACTURAS!A:A, A248) = N248, "✅ Cuadrado", "⚠️ Diferencia"))</f>
        <v/>
      </c>
    </row>
    <row r="249" spans="2:15" x14ac:dyDescent="0.3">
      <c r="B249" s="3" t="s">
        <v>29</v>
      </c>
      <c r="D249">
        <v>123</v>
      </c>
      <c r="E249" s="3" t="s">
        <v>44</v>
      </c>
      <c r="F249" s="3" t="s">
        <v>51</v>
      </c>
      <c r="H249" s="3" t="s">
        <v>56</v>
      </c>
      <c r="I249" s="3" t="s">
        <v>122</v>
      </c>
      <c r="J249" s="3">
        <v>10</v>
      </c>
      <c r="K249" s="6">
        <v>2850</v>
      </c>
      <c r="L249" s="6">
        <v>2850</v>
      </c>
      <c r="M249" s="6">
        <v>456</v>
      </c>
      <c r="N249" s="8">
        <f t="shared" si="3"/>
        <v>3306</v>
      </c>
      <c r="O249" t="str">
        <f>IF(A249="", "", IF(SUMIFS(BD_FACTURAS!I:I, BD_FACTURAS!A:A, A249) = N249, "✅ Cuadrado", "⚠️ Diferencia"))</f>
        <v/>
      </c>
    </row>
    <row r="250" spans="2:15" x14ac:dyDescent="0.3">
      <c r="B250" s="2" t="s">
        <v>29</v>
      </c>
      <c r="D250">
        <v>126</v>
      </c>
      <c r="E250" s="2" t="s">
        <v>44</v>
      </c>
      <c r="F250" s="2" t="s">
        <v>51</v>
      </c>
      <c r="H250" s="2" t="s">
        <v>56</v>
      </c>
      <c r="I250" s="2" t="s">
        <v>120</v>
      </c>
      <c r="J250" s="2">
        <v>10</v>
      </c>
      <c r="K250" s="5">
        <v>2850</v>
      </c>
      <c r="L250" s="5">
        <v>2850</v>
      </c>
      <c r="M250" s="5">
        <v>456</v>
      </c>
      <c r="N250" s="8">
        <f t="shared" si="3"/>
        <v>3306</v>
      </c>
      <c r="O250" t="str">
        <f>IF(A250="", "", IF(SUMIFS(BD_FACTURAS!I:I, BD_FACTURAS!A:A, A250) = N250, "✅ Cuadrado", "⚠️ Diferencia"))</f>
        <v/>
      </c>
    </row>
    <row r="251" spans="2:15" x14ac:dyDescent="0.3">
      <c r="B251" s="3" t="s">
        <v>29</v>
      </c>
      <c r="D251">
        <v>128</v>
      </c>
      <c r="E251" s="3" t="s">
        <v>44</v>
      </c>
      <c r="F251" s="3" t="s">
        <v>51</v>
      </c>
      <c r="H251" s="3" t="s">
        <v>56</v>
      </c>
      <c r="I251" s="3" t="s">
        <v>121</v>
      </c>
      <c r="J251" s="3">
        <v>10</v>
      </c>
      <c r="K251" s="6">
        <v>2850</v>
      </c>
      <c r="L251" s="6">
        <v>2850</v>
      </c>
      <c r="M251" s="6">
        <v>456</v>
      </c>
      <c r="N251" s="8">
        <f t="shared" si="3"/>
        <v>3306</v>
      </c>
      <c r="O251" t="str">
        <f>IF(A251="", "", IF(SUMIFS(BD_FACTURAS!I:I, BD_FACTURAS!A:A, A251) = N251, "✅ Cuadrado", "⚠️ Diferencia"))</f>
        <v/>
      </c>
    </row>
    <row r="252" spans="2:15" x14ac:dyDescent="0.3">
      <c r="B252" s="2" t="s">
        <v>30</v>
      </c>
      <c r="D252">
        <v>148</v>
      </c>
      <c r="E252" s="2" t="s">
        <v>44</v>
      </c>
      <c r="F252" s="2" t="s">
        <v>51</v>
      </c>
      <c r="H252" s="2" t="s">
        <v>56</v>
      </c>
      <c r="I252" s="2" t="s">
        <v>120</v>
      </c>
      <c r="J252" s="2">
        <v>10</v>
      </c>
      <c r="K252" s="5">
        <v>2850</v>
      </c>
      <c r="L252" s="5">
        <v>2850</v>
      </c>
      <c r="M252" s="5">
        <v>456</v>
      </c>
      <c r="N252" s="8">
        <f t="shared" si="3"/>
        <v>3306</v>
      </c>
      <c r="O252" t="str">
        <f>IF(A252="", "", IF(SUMIFS(BD_FACTURAS!I:I, BD_FACTURAS!A:A, A252) = N252, "✅ Cuadrado", "⚠️ Diferencia"))</f>
        <v/>
      </c>
    </row>
    <row r="253" spans="2:15" x14ac:dyDescent="0.3">
      <c r="B253" s="3" t="s">
        <v>30</v>
      </c>
      <c r="D253">
        <v>149</v>
      </c>
      <c r="E253" s="3" t="s">
        <v>44</v>
      </c>
      <c r="F253" s="3" t="s">
        <v>51</v>
      </c>
      <c r="H253" s="3" t="s">
        <v>56</v>
      </c>
      <c r="I253" s="3" t="s">
        <v>121</v>
      </c>
      <c r="J253" s="3">
        <v>10</v>
      </c>
      <c r="K253" s="6">
        <v>2850</v>
      </c>
      <c r="L253" s="6">
        <v>2850</v>
      </c>
      <c r="M253" s="6">
        <v>456</v>
      </c>
      <c r="N253" s="8">
        <f t="shared" si="3"/>
        <v>3306</v>
      </c>
      <c r="O253" t="str">
        <f>IF(A253="", "", IF(SUMIFS(BD_FACTURAS!I:I, BD_FACTURAS!A:A, A253) = N253, "✅ Cuadrado", "⚠️ Diferencia"))</f>
        <v/>
      </c>
    </row>
    <row r="254" spans="2:15" x14ac:dyDescent="0.3">
      <c r="B254" s="2" t="s">
        <v>28</v>
      </c>
      <c r="D254">
        <v>182</v>
      </c>
      <c r="E254" s="2" t="s">
        <v>44</v>
      </c>
      <c r="F254" s="2" t="s">
        <v>51</v>
      </c>
      <c r="H254" s="2" t="s">
        <v>56</v>
      </c>
      <c r="I254" s="2" t="s">
        <v>120</v>
      </c>
      <c r="J254" s="2">
        <v>10</v>
      </c>
      <c r="K254" s="5">
        <v>2850</v>
      </c>
      <c r="L254" s="5">
        <v>2850</v>
      </c>
      <c r="M254" s="5">
        <v>456</v>
      </c>
      <c r="N254" s="8">
        <f t="shared" si="3"/>
        <v>3306</v>
      </c>
      <c r="O254" t="str">
        <f>IF(A254="", "", IF(SUMIFS(BD_FACTURAS!I:I, BD_FACTURAS!A:A, A254) = N254, "✅ Cuadrado", "⚠️ Diferencia"))</f>
        <v/>
      </c>
    </row>
    <row r="255" spans="2:15" x14ac:dyDescent="0.3">
      <c r="B255" s="3" t="s">
        <v>28</v>
      </c>
      <c r="D255">
        <v>183</v>
      </c>
      <c r="E255" s="3" t="s">
        <v>44</v>
      </c>
      <c r="F255" s="3" t="s">
        <v>51</v>
      </c>
      <c r="H255" s="3" t="s">
        <v>56</v>
      </c>
      <c r="I255" s="3" t="s">
        <v>121</v>
      </c>
      <c r="J255" s="3">
        <v>10</v>
      </c>
      <c r="K255" s="6">
        <v>2850</v>
      </c>
      <c r="L255" s="6">
        <v>2850</v>
      </c>
      <c r="M255" s="6">
        <v>456</v>
      </c>
      <c r="N255" s="8">
        <f t="shared" si="3"/>
        <v>3306</v>
      </c>
      <c r="O255" t="str">
        <f>IF(A255="", "", IF(SUMIFS(BD_FACTURAS!I:I, BD_FACTURAS!A:A, A255) = N255, "✅ Cuadrado", "⚠️ Diferencia"))</f>
        <v/>
      </c>
    </row>
    <row r="256" spans="2:15" x14ac:dyDescent="0.3">
      <c r="B256" s="2" t="s">
        <v>27</v>
      </c>
      <c r="D256">
        <v>101</v>
      </c>
      <c r="E256" s="2" t="s">
        <v>44</v>
      </c>
      <c r="F256" s="2" t="s">
        <v>51</v>
      </c>
      <c r="H256" s="2" t="s">
        <v>56</v>
      </c>
      <c r="I256" s="2" t="s">
        <v>123</v>
      </c>
      <c r="J256" s="2">
        <v>10</v>
      </c>
      <c r="K256" s="5">
        <v>2850</v>
      </c>
      <c r="L256" s="5">
        <v>2850</v>
      </c>
      <c r="M256" s="5">
        <v>456</v>
      </c>
      <c r="N256" s="8">
        <f t="shared" si="3"/>
        <v>3306</v>
      </c>
      <c r="O256" t="str">
        <f>IF(A256="", "", IF(SUMIFS(BD_FACTURAS!I:I, BD_FACTURAS!A:A, A256) = N256, "✅ Cuadrado", "⚠️ Diferencia"))</f>
        <v/>
      </c>
    </row>
    <row r="257" spans="2:15" x14ac:dyDescent="0.3">
      <c r="B257" s="3" t="s">
        <v>27</v>
      </c>
      <c r="D257">
        <v>102</v>
      </c>
      <c r="E257" s="3" t="s">
        <v>44</v>
      </c>
      <c r="F257" s="3" t="s">
        <v>51</v>
      </c>
      <c r="H257" s="3" t="s">
        <v>56</v>
      </c>
      <c r="I257" s="3" t="s">
        <v>124</v>
      </c>
      <c r="J257" s="3">
        <v>10</v>
      </c>
      <c r="K257" s="6">
        <v>2850</v>
      </c>
      <c r="L257" s="6">
        <v>2850</v>
      </c>
      <c r="M257" s="6">
        <v>456</v>
      </c>
      <c r="N257" s="8">
        <f t="shared" si="3"/>
        <v>3306</v>
      </c>
      <c r="O257" t="str">
        <f>IF(A257="", "", IF(SUMIFS(BD_FACTURAS!I:I, BD_FACTURAS!A:A, A257) = N257, "✅ Cuadrado", "⚠️ Diferencia"))</f>
        <v/>
      </c>
    </row>
    <row r="258" spans="2:15" x14ac:dyDescent="0.3">
      <c r="B258" s="2" t="s">
        <v>27</v>
      </c>
      <c r="D258">
        <v>103</v>
      </c>
      <c r="E258" s="2" t="s">
        <v>39</v>
      </c>
      <c r="F258" s="2" t="s">
        <v>51</v>
      </c>
      <c r="H258" s="2" t="s">
        <v>56</v>
      </c>
      <c r="I258" s="2" t="s">
        <v>125</v>
      </c>
      <c r="J258" s="2">
        <v>14</v>
      </c>
      <c r="K258" s="5">
        <v>2850</v>
      </c>
      <c r="L258" s="5">
        <v>2850</v>
      </c>
      <c r="M258" s="5">
        <v>456</v>
      </c>
      <c r="N258" s="8">
        <f t="shared" si="3"/>
        <v>3306</v>
      </c>
      <c r="O258" t="str">
        <f>IF(A258="", "", IF(SUMIFS(BD_FACTURAS!I:I, BD_FACTURAS!A:A, A258) = N258, "✅ Cuadrado", "⚠️ Diferencia"))</f>
        <v/>
      </c>
    </row>
    <row r="259" spans="2:15" x14ac:dyDescent="0.3">
      <c r="B259" s="3" t="s">
        <v>27</v>
      </c>
      <c r="D259">
        <v>106</v>
      </c>
      <c r="E259" s="3" t="s">
        <v>39</v>
      </c>
      <c r="F259" s="3" t="s">
        <v>51</v>
      </c>
      <c r="H259" s="3" t="s">
        <v>56</v>
      </c>
      <c r="I259" s="3" t="s">
        <v>126</v>
      </c>
      <c r="J259" s="3">
        <v>14</v>
      </c>
      <c r="K259" s="6">
        <v>2850</v>
      </c>
      <c r="L259" s="6">
        <v>2850</v>
      </c>
      <c r="M259" s="6">
        <v>456</v>
      </c>
      <c r="N259" s="8">
        <f t="shared" ref="N259:N322" si="4">L259+M259</f>
        <v>3306</v>
      </c>
      <c r="O259" t="str">
        <f>IF(A259="", "", IF(SUMIFS(BD_FACTURAS!I:I, BD_FACTURAS!A:A, A259) = N259, "✅ Cuadrado", "⚠️ Diferencia"))</f>
        <v/>
      </c>
    </row>
    <row r="260" spans="2:15" x14ac:dyDescent="0.3">
      <c r="B260" s="2" t="s">
        <v>27</v>
      </c>
      <c r="D260">
        <v>105</v>
      </c>
      <c r="E260" s="2" t="s">
        <v>39</v>
      </c>
      <c r="F260" s="2" t="s">
        <v>51</v>
      </c>
      <c r="H260" s="2" t="s">
        <v>56</v>
      </c>
      <c r="I260" s="2" t="s">
        <v>127</v>
      </c>
      <c r="J260" s="2">
        <v>14</v>
      </c>
      <c r="K260" s="5">
        <v>2850</v>
      </c>
      <c r="L260" s="5">
        <v>2850</v>
      </c>
      <c r="M260" s="5">
        <v>456</v>
      </c>
      <c r="N260" s="8">
        <f t="shared" si="4"/>
        <v>3306</v>
      </c>
      <c r="O260" t="str">
        <f>IF(A260="", "", IF(SUMIFS(BD_FACTURAS!I:I, BD_FACTURAS!A:A, A260) = N260, "✅ Cuadrado", "⚠️ Diferencia"))</f>
        <v/>
      </c>
    </row>
    <row r="261" spans="2:15" x14ac:dyDescent="0.3">
      <c r="B261" s="3" t="s">
        <v>29</v>
      </c>
      <c r="D261">
        <v>122</v>
      </c>
      <c r="E261" s="3" t="s">
        <v>44</v>
      </c>
      <c r="F261" s="3" t="s">
        <v>51</v>
      </c>
      <c r="H261" s="3" t="s">
        <v>56</v>
      </c>
      <c r="I261" s="3" t="s">
        <v>128</v>
      </c>
      <c r="J261" s="3">
        <v>10</v>
      </c>
      <c r="K261" s="6">
        <v>2850</v>
      </c>
      <c r="L261" s="6">
        <v>2850</v>
      </c>
      <c r="M261" s="6">
        <v>456</v>
      </c>
      <c r="N261" s="8">
        <f t="shared" si="4"/>
        <v>3306</v>
      </c>
      <c r="O261" t="str">
        <f>IF(A261="", "", IF(SUMIFS(BD_FACTURAS!I:I, BD_FACTURAS!A:A, A261) = N261, "✅ Cuadrado", "⚠️ Diferencia"))</f>
        <v/>
      </c>
    </row>
    <row r="262" spans="2:15" x14ac:dyDescent="0.3">
      <c r="B262" s="2" t="s">
        <v>29</v>
      </c>
      <c r="D262">
        <v>124</v>
      </c>
      <c r="E262" s="2" t="s">
        <v>44</v>
      </c>
      <c r="F262" s="2" t="s">
        <v>51</v>
      </c>
      <c r="H262" s="2" t="s">
        <v>56</v>
      </c>
      <c r="I262" s="2" t="s">
        <v>129</v>
      </c>
      <c r="J262" s="2">
        <v>10</v>
      </c>
      <c r="K262" s="5">
        <v>2850</v>
      </c>
      <c r="L262" s="5">
        <v>2850</v>
      </c>
      <c r="M262" s="5">
        <v>456</v>
      </c>
      <c r="N262" s="8">
        <f t="shared" si="4"/>
        <v>3306</v>
      </c>
      <c r="O262" t="str">
        <f>IF(A262="", "", IF(SUMIFS(BD_FACTURAS!I:I, BD_FACTURAS!A:A, A262) = N262, "✅ Cuadrado", "⚠️ Diferencia"))</f>
        <v/>
      </c>
    </row>
    <row r="263" spans="2:15" x14ac:dyDescent="0.3">
      <c r="B263" s="3" t="s">
        <v>29</v>
      </c>
      <c r="D263">
        <v>125</v>
      </c>
      <c r="E263" s="3" t="s">
        <v>39</v>
      </c>
      <c r="F263" s="3" t="s">
        <v>51</v>
      </c>
      <c r="H263" s="3" t="s">
        <v>56</v>
      </c>
      <c r="I263" s="3" t="s">
        <v>130</v>
      </c>
      <c r="J263" s="3">
        <v>14</v>
      </c>
      <c r="K263" s="6">
        <v>2850</v>
      </c>
      <c r="L263" s="6">
        <v>2850</v>
      </c>
      <c r="M263" s="6">
        <v>456</v>
      </c>
      <c r="N263" s="8">
        <f t="shared" si="4"/>
        <v>3306</v>
      </c>
      <c r="O263" t="str">
        <f>IF(A263="", "", IF(SUMIFS(BD_FACTURAS!I:I, BD_FACTURAS!A:A, A263) = N263, "✅ Cuadrado", "⚠️ Diferencia"))</f>
        <v/>
      </c>
    </row>
    <row r="264" spans="2:15" x14ac:dyDescent="0.3">
      <c r="B264" s="2" t="s">
        <v>29</v>
      </c>
      <c r="D264">
        <v>127</v>
      </c>
      <c r="E264" s="2" t="s">
        <v>39</v>
      </c>
      <c r="F264" s="2" t="s">
        <v>51</v>
      </c>
      <c r="H264" s="2" t="s">
        <v>56</v>
      </c>
      <c r="I264" s="2" t="s">
        <v>93</v>
      </c>
      <c r="J264" s="2">
        <v>14</v>
      </c>
      <c r="K264" s="5">
        <v>2850</v>
      </c>
      <c r="L264" s="5">
        <v>2850</v>
      </c>
      <c r="M264" s="5">
        <v>456</v>
      </c>
      <c r="N264" s="8">
        <f t="shared" si="4"/>
        <v>3306</v>
      </c>
      <c r="O264" t="str">
        <f>IF(A264="", "", IF(SUMIFS(BD_FACTURAS!I:I, BD_FACTURAS!A:A, A264) = N264, "✅ Cuadrado", "⚠️ Diferencia"))</f>
        <v/>
      </c>
    </row>
    <row r="265" spans="2:15" x14ac:dyDescent="0.3">
      <c r="B265" s="3" t="s">
        <v>29</v>
      </c>
      <c r="D265">
        <v>129</v>
      </c>
      <c r="E265" s="3" t="s">
        <v>39</v>
      </c>
      <c r="F265" s="3" t="s">
        <v>51</v>
      </c>
      <c r="H265" s="3" t="s">
        <v>56</v>
      </c>
      <c r="I265" s="3" t="s">
        <v>131</v>
      </c>
      <c r="J265" s="3">
        <v>14</v>
      </c>
      <c r="K265" s="6">
        <v>2850</v>
      </c>
      <c r="L265" s="6">
        <v>2850</v>
      </c>
      <c r="M265" s="6">
        <v>456</v>
      </c>
      <c r="N265" s="8">
        <f t="shared" si="4"/>
        <v>3306</v>
      </c>
      <c r="O265" t="str">
        <f>IF(A265="", "", IF(SUMIFS(BD_FACTURAS!I:I, BD_FACTURAS!A:A, A265) = N265, "✅ Cuadrado", "⚠️ Diferencia"))</f>
        <v/>
      </c>
    </row>
    <row r="266" spans="2:15" x14ac:dyDescent="0.3">
      <c r="B266" s="2" t="s">
        <v>30</v>
      </c>
      <c r="D266">
        <v>143</v>
      </c>
      <c r="E266" s="2" t="s">
        <v>44</v>
      </c>
      <c r="F266" s="2" t="s">
        <v>51</v>
      </c>
      <c r="H266" s="2" t="s">
        <v>56</v>
      </c>
      <c r="I266" s="2" t="s">
        <v>132</v>
      </c>
      <c r="J266" s="2">
        <v>10</v>
      </c>
      <c r="K266" s="5">
        <v>2850</v>
      </c>
      <c r="L266" s="5">
        <v>2850</v>
      </c>
      <c r="M266" s="5">
        <v>456</v>
      </c>
      <c r="N266" s="8">
        <f t="shared" si="4"/>
        <v>3306</v>
      </c>
      <c r="O266" t="str">
        <f>IF(A266="", "", IF(SUMIFS(BD_FACTURAS!I:I, BD_FACTURAS!A:A, A266) = N266, "✅ Cuadrado", "⚠️ Diferencia"))</f>
        <v/>
      </c>
    </row>
    <row r="267" spans="2:15" x14ac:dyDescent="0.3">
      <c r="B267" s="3" t="s">
        <v>30</v>
      </c>
      <c r="D267">
        <v>147</v>
      </c>
      <c r="E267" s="3" t="s">
        <v>39</v>
      </c>
      <c r="F267" s="3" t="s">
        <v>51</v>
      </c>
      <c r="H267" s="3" t="s">
        <v>56</v>
      </c>
      <c r="I267" s="3" t="s">
        <v>130</v>
      </c>
      <c r="J267" s="3">
        <v>14</v>
      </c>
      <c r="K267" s="6">
        <v>2850</v>
      </c>
      <c r="L267" s="6">
        <v>2850</v>
      </c>
      <c r="M267" s="6">
        <v>456</v>
      </c>
      <c r="N267" s="8">
        <f t="shared" si="4"/>
        <v>3306</v>
      </c>
      <c r="O267" t="str">
        <f>IF(A267="", "", IF(SUMIFS(BD_FACTURAS!I:I, BD_FACTURAS!A:A, A267) = N267, "✅ Cuadrado", "⚠️ Diferencia"))</f>
        <v/>
      </c>
    </row>
    <row r="268" spans="2:15" x14ac:dyDescent="0.3">
      <c r="B268" s="2" t="s">
        <v>30</v>
      </c>
      <c r="D268">
        <v>144</v>
      </c>
      <c r="E268" s="2" t="s">
        <v>39</v>
      </c>
      <c r="F268" s="2" t="s">
        <v>51</v>
      </c>
      <c r="H268" s="2" t="s">
        <v>56</v>
      </c>
      <c r="I268" s="2" t="s">
        <v>131</v>
      </c>
      <c r="J268" s="2">
        <v>14</v>
      </c>
      <c r="K268" s="5">
        <v>2850</v>
      </c>
      <c r="L268" s="5">
        <v>2850</v>
      </c>
      <c r="M268" s="5">
        <v>456</v>
      </c>
      <c r="N268" s="8">
        <f t="shared" si="4"/>
        <v>3306</v>
      </c>
      <c r="O268" t="str">
        <f>IF(A268="", "", IF(SUMIFS(BD_FACTURAS!I:I, BD_FACTURAS!A:A, A268) = N268, "✅ Cuadrado", "⚠️ Diferencia"))</f>
        <v/>
      </c>
    </row>
    <row r="269" spans="2:15" x14ac:dyDescent="0.3">
      <c r="B269" s="3" t="s">
        <v>30</v>
      </c>
      <c r="D269">
        <v>146</v>
      </c>
      <c r="E269" s="3" t="s">
        <v>39</v>
      </c>
      <c r="F269" s="3" t="s">
        <v>51</v>
      </c>
      <c r="H269" s="3" t="s">
        <v>56</v>
      </c>
      <c r="I269" s="3" t="s">
        <v>133</v>
      </c>
      <c r="J269" s="3">
        <v>14</v>
      </c>
      <c r="K269" s="6">
        <v>2850</v>
      </c>
      <c r="L269" s="6">
        <v>2850</v>
      </c>
      <c r="M269" s="6">
        <v>456</v>
      </c>
      <c r="N269" s="8">
        <f t="shared" si="4"/>
        <v>3306</v>
      </c>
      <c r="O269" t="str">
        <f>IF(A269="", "", IF(SUMIFS(BD_FACTURAS!I:I, BD_FACTURAS!A:A, A269) = N269, "✅ Cuadrado", "⚠️ Diferencia"))</f>
        <v/>
      </c>
    </row>
    <row r="270" spans="2:15" x14ac:dyDescent="0.3">
      <c r="B270" s="2" t="s">
        <v>30</v>
      </c>
      <c r="D270">
        <v>142</v>
      </c>
      <c r="E270" s="2" t="s">
        <v>44</v>
      </c>
      <c r="F270" s="2" t="s">
        <v>51</v>
      </c>
      <c r="H270" s="2" t="s">
        <v>56</v>
      </c>
      <c r="I270" s="2" t="s">
        <v>128</v>
      </c>
      <c r="J270" s="2">
        <v>10</v>
      </c>
      <c r="K270" s="5">
        <v>2850</v>
      </c>
      <c r="L270" s="5">
        <v>2850</v>
      </c>
      <c r="M270" s="5">
        <v>456</v>
      </c>
      <c r="N270" s="8">
        <f t="shared" si="4"/>
        <v>3306</v>
      </c>
      <c r="O270" t="str">
        <f>IF(A270="", "", IF(SUMIFS(BD_FACTURAS!I:I, BD_FACTURAS!A:A, A270) = N270, "✅ Cuadrado", "⚠️ Diferencia"))</f>
        <v/>
      </c>
    </row>
    <row r="271" spans="2:15" x14ac:dyDescent="0.3">
      <c r="B271" s="3" t="s">
        <v>28</v>
      </c>
      <c r="D271">
        <v>177</v>
      </c>
      <c r="E271" s="3" t="s">
        <v>44</v>
      </c>
      <c r="F271" s="3" t="s">
        <v>51</v>
      </c>
      <c r="H271" s="3" t="s">
        <v>56</v>
      </c>
      <c r="I271" s="3" t="s">
        <v>132</v>
      </c>
      <c r="J271" s="3">
        <v>10</v>
      </c>
      <c r="K271" s="6">
        <v>2850</v>
      </c>
      <c r="L271" s="6">
        <v>2850</v>
      </c>
      <c r="M271" s="6">
        <v>456</v>
      </c>
      <c r="N271" s="8">
        <f t="shared" si="4"/>
        <v>3306</v>
      </c>
      <c r="O271" t="str">
        <f>IF(A271="", "", IF(SUMIFS(BD_FACTURAS!I:I, BD_FACTURAS!A:A, A271) = N271, "✅ Cuadrado", "⚠️ Diferencia"))</f>
        <v/>
      </c>
    </row>
    <row r="272" spans="2:15" x14ac:dyDescent="0.3">
      <c r="B272" s="2" t="s">
        <v>28</v>
      </c>
      <c r="D272">
        <v>178</v>
      </c>
      <c r="E272" s="2" t="s">
        <v>44</v>
      </c>
      <c r="F272" s="2" t="s">
        <v>51</v>
      </c>
      <c r="H272" s="2" t="s">
        <v>56</v>
      </c>
      <c r="I272" s="2" t="s">
        <v>128</v>
      </c>
      <c r="J272" s="2">
        <v>10</v>
      </c>
      <c r="K272" s="5">
        <v>2850</v>
      </c>
      <c r="L272" s="5">
        <v>2850</v>
      </c>
      <c r="M272" s="5">
        <v>456</v>
      </c>
      <c r="N272" s="8">
        <f t="shared" si="4"/>
        <v>3306</v>
      </c>
      <c r="O272" t="str">
        <f>IF(A272="", "", IF(SUMIFS(BD_FACTURAS!I:I, BD_FACTURAS!A:A, A272) = N272, "✅ Cuadrado", "⚠️ Diferencia"))</f>
        <v/>
      </c>
    </row>
    <row r="273" spans="2:15" x14ac:dyDescent="0.3">
      <c r="B273" s="3" t="s">
        <v>28</v>
      </c>
      <c r="D273">
        <v>180</v>
      </c>
      <c r="E273" s="3" t="s">
        <v>39</v>
      </c>
      <c r="F273" s="3" t="s">
        <v>51</v>
      </c>
      <c r="H273" s="3" t="s">
        <v>56</v>
      </c>
      <c r="I273" s="3" t="s">
        <v>93</v>
      </c>
      <c r="J273" s="3">
        <v>14</v>
      </c>
      <c r="K273" s="6">
        <v>2850</v>
      </c>
      <c r="L273" s="6">
        <v>2850</v>
      </c>
      <c r="M273" s="6">
        <v>456</v>
      </c>
      <c r="N273" s="8">
        <f t="shared" si="4"/>
        <v>3306</v>
      </c>
      <c r="O273" t="str">
        <f>IF(A273="", "", IF(SUMIFS(BD_FACTURAS!I:I, BD_FACTURAS!A:A, A273) = N273, "✅ Cuadrado", "⚠️ Diferencia"))</f>
        <v/>
      </c>
    </row>
    <row r="274" spans="2:15" x14ac:dyDescent="0.3">
      <c r="B274" s="2" t="s">
        <v>28</v>
      </c>
      <c r="D274">
        <v>179</v>
      </c>
      <c r="E274" s="2" t="s">
        <v>39</v>
      </c>
      <c r="F274" s="2" t="s">
        <v>51</v>
      </c>
      <c r="H274" s="2" t="s">
        <v>56</v>
      </c>
      <c r="I274" s="2" t="s">
        <v>134</v>
      </c>
      <c r="J274" s="2">
        <v>14</v>
      </c>
      <c r="K274" s="5">
        <v>2850</v>
      </c>
      <c r="L274" s="5">
        <v>2850</v>
      </c>
      <c r="M274" s="5">
        <v>456</v>
      </c>
      <c r="N274" s="8">
        <f t="shared" si="4"/>
        <v>3306</v>
      </c>
      <c r="O274" t="str">
        <f>IF(A274="", "", IF(SUMIFS(BD_FACTURAS!I:I, BD_FACTURAS!A:A, A274) = N274, "✅ Cuadrado", "⚠️ Diferencia"))</f>
        <v/>
      </c>
    </row>
    <row r="275" spans="2:15" x14ac:dyDescent="0.3">
      <c r="B275" s="3" t="s">
        <v>28</v>
      </c>
      <c r="D275">
        <v>181</v>
      </c>
      <c r="E275" s="3" t="s">
        <v>39</v>
      </c>
      <c r="F275" s="3" t="s">
        <v>51</v>
      </c>
      <c r="H275" s="3" t="s">
        <v>56</v>
      </c>
      <c r="I275" s="3" t="s">
        <v>125</v>
      </c>
      <c r="J275" s="3">
        <v>14</v>
      </c>
      <c r="K275" s="6">
        <v>2850</v>
      </c>
      <c r="L275" s="6">
        <v>2850</v>
      </c>
      <c r="M275" s="6">
        <v>456</v>
      </c>
      <c r="N275" s="8">
        <f t="shared" si="4"/>
        <v>3306</v>
      </c>
      <c r="O275" t="str">
        <f>IF(A275="", "", IF(SUMIFS(BD_FACTURAS!I:I, BD_FACTURAS!A:A, A275) = N275, "✅ Cuadrado", "⚠️ Diferencia"))</f>
        <v/>
      </c>
    </row>
    <row r="276" spans="2:15" x14ac:dyDescent="0.3">
      <c r="B276" s="2" t="s">
        <v>32</v>
      </c>
      <c r="D276">
        <v>199</v>
      </c>
      <c r="E276" s="2" t="s">
        <v>39</v>
      </c>
      <c r="F276" s="2" t="s">
        <v>51</v>
      </c>
      <c r="H276" s="2" t="s">
        <v>56</v>
      </c>
      <c r="I276" s="2" t="s">
        <v>117</v>
      </c>
      <c r="J276" s="2">
        <v>14</v>
      </c>
      <c r="K276" s="5">
        <v>2850</v>
      </c>
      <c r="L276" s="5">
        <v>2850</v>
      </c>
      <c r="M276" s="5">
        <v>456</v>
      </c>
      <c r="N276" s="8">
        <f t="shared" si="4"/>
        <v>3306</v>
      </c>
      <c r="O276" t="str">
        <f>IF(A276="", "", IF(SUMIFS(BD_FACTURAS!I:I, BD_FACTURAS!A:A, A276) = N276, "✅ Cuadrado", "⚠️ Diferencia"))</f>
        <v/>
      </c>
    </row>
    <row r="277" spans="2:15" x14ac:dyDescent="0.3">
      <c r="B277" s="3" t="s">
        <v>32</v>
      </c>
      <c r="D277">
        <v>200</v>
      </c>
      <c r="E277" s="3" t="s">
        <v>39</v>
      </c>
      <c r="F277" s="3" t="s">
        <v>51</v>
      </c>
      <c r="H277" s="3" t="s">
        <v>56</v>
      </c>
      <c r="I277" s="3" t="s">
        <v>135</v>
      </c>
      <c r="J277" s="3">
        <v>10</v>
      </c>
      <c r="K277" s="6">
        <v>2850</v>
      </c>
      <c r="L277" s="6">
        <v>2850</v>
      </c>
      <c r="M277" s="6">
        <v>456</v>
      </c>
      <c r="N277" s="8">
        <f t="shared" si="4"/>
        <v>3306</v>
      </c>
      <c r="O277" t="str">
        <f>IF(A277="", "", IF(SUMIFS(BD_FACTURAS!I:I, BD_FACTURAS!A:A, A277) = N277, "✅ Cuadrado", "⚠️ Diferencia"))</f>
        <v/>
      </c>
    </row>
    <row r="278" spans="2:15" x14ac:dyDescent="0.3">
      <c r="B278" s="2" t="s">
        <v>33</v>
      </c>
      <c r="D278">
        <v>216</v>
      </c>
      <c r="E278" s="2" t="s">
        <v>39</v>
      </c>
      <c r="F278" s="2" t="s">
        <v>51</v>
      </c>
      <c r="H278" s="2" t="s">
        <v>56</v>
      </c>
      <c r="I278" s="2" t="s">
        <v>117</v>
      </c>
      <c r="J278" s="2">
        <v>14</v>
      </c>
      <c r="K278" s="5">
        <v>2850</v>
      </c>
      <c r="L278" s="5">
        <v>2850</v>
      </c>
      <c r="M278" s="5">
        <v>456</v>
      </c>
      <c r="N278" s="8">
        <f t="shared" si="4"/>
        <v>3306</v>
      </c>
      <c r="O278" t="str">
        <f>IF(A278="", "", IF(SUMIFS(BD_FACTURAS!I:I, BD_FACTURAS!A:A, A278) = N278, "✅ Cuadrado", "⚠️ Diferencia"))</f>
        <v/>
      </c>
    </row>
    <row r="279" spans="2:15" x14ac:dyDescent="0.3">
      <c r="B279" s="3" t="s">
        <v>34</v>
      </c>
      <c r="D279">
        <v>255</v>
      </c>
      <c r="E279" s="3" t="s">
        <v>39</v>
      </c>
      <c r="F279" s="3" t="s">
        <v>51</v>
      </c>
      <c r="H279" s="3" t="s">
        <v>56</v>
      </c>
      <c r="I279" s="3" t="s">
        <v>117</v>
      </c>
      <c r="J279" s="3">
        <v>14</v>
      </c>
      <c r="K279" s="6">
        <v>2850</v>
      </c>
      <c r="L279" s="6">
        <v>2850</v>
      </c>
      <c r="M279" s="6">
        <v>456</v>
      </c>
      <c r="N279" s="8">
        <f t="shared" si="4"/>
        <v>3306</v>
      </c>
      <c r="O279" t="str">
        <f>IF(A279="", "", IF(SUMIFS(BD_FACTURAS!I:I, BD_FACTURAS!A:A, A279) = N279, "✅ Cuadrado", "⚠️ Diferencia"))</f>
        <v/>
      </c>
    </row>
    <row r="280" spans="2:15" x14ac:dyDescent="0.3">
      <c r="B280" s="2" t="s">
        <v>34</v>
      </c>
      <c r="D280">
        <v>256</v>
      </c>
      <c r="E280" s="2" t="s">
        <v>39</v>
      </c>
      <c r="F280" s="2" t="s">
        <v>51</v>
      </c>
      <c r="H280" s="2" t="s">
        <v>56</v>
      </c>
      <c r="I280" s="2" t="s">
        <v>119</v>
      </c>
      <c r="J280" s="2">
        <v>10</v>
      </c>
      <c r="K280" s="5">
        <v>2850</v>
      </c>
      <c r="L280" s="5">
        <v>2850</v>
      </c>
      <c r="M280" s="5">
        <v>456</v>
      </c>
      <c r="N280" s="8">
        <f t="shared" si="4"/>
        <v>3306</v>
      </c>
      <c r="O280" t="str">
        <f>IF(A280="", "", IF(SUMIFS(BD_FACTURAS!I:I, BD_FACTURAS!A:A, A280) = N280, "✅ Cuadrado", "⚠️ Diferencia"))</f>
        <v/>
      </c>
    </row>
    <row r="281" spans="2:15" x14ac:dyDescent="0.3">
      <c r="B281" s="3" t="s">
        <v>35</v>
      </c>
      <c r="D281">
        <v>277</v>
      </c>
      <c r="E281" s="3" t="s">
        <v>39</v>
      </c>
      <c r="F281" s="3" t="s">
        <v>51</v>
      </c>
      <c r="H281" s="3" t="s">
        <v>56</v>
      </c>
      <c r="I281" s="3" t="s">
        <v>117</v>
      </c>
      <c r="J281" s="3">
        <v>14</v>
      </c>
      <c r="K281" s="6">
        <v>2850</v>
      </c>
      <c r="L281" s="6">
        <v>2850</v>
      </c>
      <c r="M281" s="6">
        <v>456</v>
      </c>
      <c r="N281" s="8">
        <f t="shared" si="4"/>
        <v>3306</v>
      </c>
      <c r="O281" t="str">
        <f>IF(A281="", "", IF(SUMIFS(BD_FACTURAS!I:I, BD_FACTURAS!A:A, A281) = N281, "✅ Cuadrado", "⚠️ Diferencia"))</f>
        <v/>
      </c>
    </row>
    <row r="282" spans="2:15" x14ac:dyDescent="0.3">
      <c r="B282" s="2" t="s">
        <v>36</v>
      </c>
      <c r="D282">
        <v>276</v>
      </c>
      <c r="E282" s="2" t="s">
        <v>39</v>
      </c>
      <c r="F282" s="2" t="s">
        <v>51</v>
      </c>
      <c r="H282" s="2" t="s">
        <v>56</v>
      </c>
      <c r="I282" s="2" t="s">
        <v>134</v>
      </c>
      <c r="J282" s="2">
        <v>10</v>
      </c>
      <c r="K282" s="5">
        <v>2850</v>
      </c>
      <c r="L282" s="5">
        <v>2850</v>
      </c>
      <c r="M282" s="5">
        <v>456</v>
      </c>
      <c r="N282" s="8">
        <f t="shared" si="4"/>
        <v>3306</v>
      </c>
      <c r="O282" t="str">
        <f>IF(A282="", "", IF(SUMIFS(BD_FACTURAS!I:I, BD_FACTURAS!A:A, A282) = N282, "✅ Cuadrado", "⚠️ Diferencia"))</f>
        <v/>
      </c>
    </row>
    <row r="283" spans="2:15" x14ac:dyDescent="0.3">
      <c r="B283" s="3" t="s">
        <v>37</v>
      </c>
      <c r="D283">
        <v>293</v>
      </c>
      <c r="E283" s="3" t="s">
        <v>39</v>
      </c>
      <c r="F283" s="3" t="s">
        <v>51</v>
      </c>
      <c r="H283" s="3" t="s">
        <v>56</v>
      </c>
      <c r="I283" s="3" t="s">
        <v>117</v>
      </c>
      <c r="J283" s="3">
        <v>14</v>
      </c>
      <c r="K283" s="6">
        <v>2850</v>
      </c>
      <c r="L283" s="6">
        <v>2850</v>
      </c>
      <c r="M283" s="6">
        <v>456</v>
      </c>
      <c r="N283" s="8">
        <f t="shared" si="4"/>
        <v>3306</v>
      </c>
      <c r="O283" t="str">
        <f>IF(A283="", "", IF(SUMIFS(BD_FACTURAS!I:I, BD_FACTURAS!A:A, A283) = N283, "✅ Cuadrado", "⚠️ Diferencia"))</f>
        <v/>
      </c>
    </row>
    <row r="284" spans="2:15" x14ac:dyDescent="0.3">
      <c r="B284" s="2" t="s">
        <v>37</v>
      </c>
      <c r="D284">
        <v>291</v>
      </c>
      <c r="E284" s="2" t="s">
        <v>39</v>
      </c>
      <c r="F284" s="2" t="s">
        <v>51</v>
      </c>
      <c r="H284" s="2" t="s">
        <v>56</v>
      </c>
      <c r="I284" s="2" t="s">
        <v>134</v>
      </c>
      <c r="J284" s="2">
        <v>10</v>
      </c>
      <c r="K284" s="5">
        <v>2850</v>
      </c>
      <c r="L284" s="5">
        <v>2850</v>
      </c>
      <c r="M284" s="5">
        <v>456</v>
      </c>
      <c r="N284" s="8">
        <f t="shared" si="4"/>
        <v>3306</v>
      </c>
      <c r="O284" t="str">
        <f>IF(A284="", "", IF(SUMIFS(BD_FACTURAS!I:I, BD_FACTURAS!A:A, A284) = N284, "✅ Cuadrado", "⚠️ Diferencia"))</f>
        <v/>
      </c>
    </row>
    <row r="285" spans="2:15" x14ac:dyDescent="0.3">
      <c r="B285" s="3" t="s">
        <v>32</v>
      </c>
      <c r="D285">
        <v>196</v>
      </c>
      <c r="E285" s="3" t="s">
        <v>44</v>
      </c>
      <c r="F285" s="3" t="s">
        <v>51</v>
      </c>
      <c r="H285" s="3" t="s">
        <v>56</v>
      </c>
      <c r="I285" s="3" t="s">
        <v>120</v>
      </c>
      <c r="J285" s="3">
        <v>10</v>
      </c>
      <c r="K285" s="6">
        <v>2850</v>
      </c>
      <c r="L285" s="6">
        <v>2850</v>
      </c>
      <c r="M285" s="6">
        <v>456</v>
      </c>
      <c r="N285" s="8">
        <f t="shared" si="4"/>
        <v>3306</v>
      </c>
      <c r="O285" t="str">
        <f>IF(A285="", "", IF(SUMIFS(BD_FACTURAS!I:I, BD_FACTURAS!A:A, A285) = N285, "✅ Cuadrado", "⚠️ Diferencia"))</f>
        <v/>
      </c>
    </row>
    <row r="286" spans="2:15" x14ac:dyDescent="0.3">
      <c r="B286" s="2" t="s">
        <v>32</v>
      </c>
      <c r="D286">
        <v>192</v>
      </c>
      <c r="E286" s="2" t="s">
        <v>44</v>
      </c>
      <c r="F286" s="2" t="s">
        <v>51</v>
      </c>
      <c r="H286" s="2" t="s">
        <v>56</v>
      </c>
      <c r="I286" s="2" t="s">
        <v>123</v>
      </c>
      <c r="J286" s="2">
        <v>10</v>
      </c>
      <c r="K286" s="5">
        <v>2850</v>
      </c>
      <c r="L286" s="5">
        <v>2850</v>
      </c>
      <c r="M286" s="5">
        <v>456</v>
      </c>
      <c r="N286" s="8">
        <f t="shared" si="4"/>
        <v>3306</v>
      </c>
      <c r="O286" t="str">
        <f>IF(A286="", "", IF(SUMIFS(BD_FACTURAS!I:I, BD_FACTURAS!A:A, A286) = N286, "✅ Cuadrado", "⚠️ Diferencia"))</f>
        <v/>
      </c>
    </row>
    <row r="287" spans="2:15" x14ac:dyDescent="0.3">
      <c r="B287" s="3" t="s">
        <v>33</v>
      </c>
      <c r="D287">
        <v>209</v>
      </c>
      <c r="E287" s="3" t="s">
        <v>44</v>
      </c>
      <c r="F287" s="3" t="s">
        <v>51</v>
      </c>
      <c r="H287" s="3" t="s">
        <v>56</v>
      </c>
      <c r="I287" s="3" t="s">
        <v>120</v>
      </c>
      <c r="J287" s="3">
        <v>10</v>
      </c>
      <c r="K287" s="6">
        <v>2850</v>
      </c>
      <c r="L287" s="6">
        <v>2850</v>
      </c>
      <c r="M287" s="6">
        <v>456</v>
      </c>
      <c r="N287" s="8">
        <f t="shared" si="4"/>
        <v>3306</v>
      </c>
      <c r="O287" t="str">
        <f>IF(A287="", "", IF(SUMIFS(BD_FACTURAS!I:I, BD_FACTURAS!A:A, A287) = N287, "✅ Cuadrado", "⚠️ Diferencia"))</f>
        <v/>
      </c>
    </row>
    <row r="288" spans="2:15" x14ac:dyDescent="0.3">
      <c r="B288" s="2" t="s">
        <v>33</v>
      </c>
      <c r="D288">
        <v>210</v>
      </c>
      <c r="E288" s="2" t="s">
        <v>44</v>
      </c>
      <c r="F288" s="2" t="s">
        <v>51</v>
      </c>
      <c r="H288" s="2" t="s">
        <v>56</v>
      </c>
      <c r="I288" s="2" t="s">
        <v>136</v>
      </c>
      <c r="J288" s="2">
        <v>10</v>
      </c>
      <c r="K288" s="5">
        <v>2850</v>
      </c>
      <c r="L288" s="5">
        <v>2850</v>
      </c>
      <c r="M288" s="5">
        <v>456</v>
      </c>
      <c r="N288" s="8">
        <f t="shared" si="4"/>
        <v>3306</v>
      </c>
      <c r="O288" t="str">
        <f>IF(A288="", "", IF(SUMIFS(BD_FACTURAS!I:I, BD_FACTURAS!A:A, A288) = N288, "✅ Cuadrado", "⚠️ Diferencia"))</f>
        <v/>
      </c>
    </row>
    <row r="289" spans="2:15" x14ac:dyDescent="0.3">
      <c r="B289" s="3" t="s">
        <v>34</v>
      </c>
      <c r="D289">
        <v>244</v>
      </c>
      <c r="E289" s="3" t="s">
        <v>44</v>
      </c>
      <c r="F289" s="3" t="s">
        <v>51</v>
      </c>
      <c r="H289" s="3" t="s">
        <v>56</v>
      </c>
      <c r="I289" s="3" t="s">
        <v>120</v>
      </c>
      <c r="J289" s="3">
        <v>10</v>
      </c>
      <c r="K289" s="6">
        <v>2850</v>
      </c>
      <c r="L289" s="6">
        <v>2850</v>
      </c>
      <c r="M289" s="6">
        <v>456</v>
      </c>
      <c r="N289" s="8">
        <f t="shared" si="4"/>
        <v>3306</v>
      </c>
      <c r="O289" t="str">
        <f>IF(A289="", "", IF(SUMIFS(BD_FACTURAS!I:I, BD_FACTURAS!A:A, A289) = N289, "✅ Cuadrado", "⚠️ Diferencia"))</f>
        <v/>
      </c>
    </row>
    <row r="290" spans="2:15" x14ac:dyDescent="0.3">
      <c r="B290" s="2" t="s">
        <v>34</v>
      </c>
      <c r="D290">
        <v>245</v>
      </c>
      <c r="E290" s="2" t="s">
        <v>44</v>
      </c>
      <c r="F290" s="2" t="s">
        <v>51</v>
      </c>
      <c r="H290" s="2" t="s">
        <v>56</v>
      </c>
      <c r="I290" s="2" t="s">
        <v>136</v>
      </c>
      <c r="J290" s="2">
        <v>10</v>
      </c>
      <c r="K290" s="5">
        <v>2850</v>
      </c>
      <c r="L290" s="5">
        <v>2850</v>
      </c>
      <c r="M290" s="5">
        <v>456</v>
      </c>
      <c r="N290" s="8">
        <f t="shared" si="4"/>
        <v>3306</v>
      </c>
      <c r="O290" t="str">
        <f>IF(A290="", "", IF(SUMIFS(BD_FACTURAS!I:I, BD_FACTURAS!A:A, A290) = N290, "✅ Cuadrado", "⚠️ Diferencia"))</f>
        <v/>
      </c>
    </row>
    <row r="291" spans="2:15" x14ac:dyDescent="0.3">
      <c r="B291" s="3" t="s">
        <v>36</v>
      </c>
      <c r="D291">
        <v>274</v>
      </c>
      <c r="E291" s="3" t="s">
        <v>44</v>
      </c>
      <c r="F291" s="3" t="s">
        <v>51</v>
      </c>
      <c r="H291" s="3" t="s">
        <v>56</v>
      </c>
      <c r="I291" s="3" t="s">
        <v>120</v>
      </c>
      <c r="J291" s="3">
        <v>10</v>
      </c>
      <c r="K291" s="6">
        <v>2850</v>
      </c>
      <c r="L291" s="6">
        <v>2850</v>
      </c>
      <c r="M291" s="6">
        <v>456</v>
      </c>
      <c r="N291" s="8">
        <f t="shared" si="4"/>
        <v>3306</v>
      </c>
      <c r="O291" t="str">
        <f>IF(A291="", "", IF(SUMIFS(BD_FACTURAS!I:I, BD_FACTURAS!A:A, A291) = N291, "✅ Cuadrado", "⚠️ Diferencia"))</f>
        <v/>
      </c>
    </row>
    <row r="292" spans="2:15" x14ac:dyDescent="0.3">
      <c r="B292" s="2" t="s">
        <v>36</v>
      </c>
      <c r="D292">
        <v>275</v>
      </c>
      <c r="E292" s="2" t="s">
        <v>44</v>
      </c>
      <c r="F292" s="2" t="s">
        <v>51</v>
      </c>
      <c r="H292" s="2" t="s">
        <v>56</v>
      </c>
      <c r="I292" s="2" t="s">
        <v>136</v>
      </c>
      <c r="J292" s="2">
        <v>10</v>
      </c>
      <c r="K292" s="5">
        <v>2850</v>
      </c>
      <c r="L292" s="5">
        <v>2850</v>
      </c>
      <c r="M292" s="5">
        <v>456</v>
      </c>
      <c r="N292" s="8">
        <f t="shared" si="4"/>
        <v>3306</v>
      </c>
      <c r="O292" t="str">
        <f>IF(A292="", "", IF(SUMIFS(BD_FACTURAS!I:I, BD_FACTURAS!A:A, A292) = N292, "✅ Cuadrado", "⚠️ Diferencia"))</f>
        <v/>
      </c>
    </row>
    <row r="293" spans="2:15" x14ac:dyDescent="0.3">
      <c r="B293" s="3" t="s">
        <v>36</v>
      </c>
      <c r="D293">
        <v>269</v>
      </c>
      <c r="E293" s="3" t="s">
        <v>44</v>
      </c>
      <c r="F293" s="3" t="s">
        <v>51</v>
      </c>
      <c r="H293" s="3" t="s">
        <v>56</v>
      </c>
      <c r="I293" s="3" t="s">
        <v>121</v>
      </c>
      <c r="J293" s="3">
        <v>10</v>
      </c>
      <c r="K293" s="6">
        <v>2850</v>
      </c>
      <c r="L293" s="6">
        <v>2850</v>
      </c>
      <c r="M293" s="6">
        <v>456</v>
      </c>
      <c r="N293" s="8">
        <f t="shared" si="4"/>
        <v>3306</v>
      </c>
      <c r="O293" t="str">
        <f>IF(A293="", "", IF(SUMIFS(BD_FACTURAS!I:I, BD_FACTURAS!A:A, A293) = N293, "✅ Cuadrado", "⚠️ Diferencia"))</f>
        <v/>
      </c>
    </row>
    <row r="294" spans="2:15" x14ac:dyDescent="0.3">
      <c r="B294" s="2" t="s">
        <v>37</v>
      </c>
      <c r="D294">
        <v>292</v>
      </c>
      <c r="E294" s="2" t="s">
        <v>44</v>
      </c>
      <c r="F294" s="2" t="s">
        <v>51</v>
      </c>
      <c r="H294" s="2" t="s">
        <v>56</v>
      </c>
      <c r="I294" s="2" t="s">
        <v>120</v>
      </c>
      <c r="J294" s="2">
        <v>10</v>
      </c>
      <c r="K294" s="5">
        <v>2850</v>
      </c>
      <c r="L294" s="5">
        <v>2850</v>
      </c>
      <c r="M294" s="5">
        <v>456</v>
      </c>
      <c r="N294" s="8">
        <f t="shared" si="4"/>
        <v>3306</v>
      </c>
      <c r="O294" t="str">
        <f>IF(A294="", "", IF(SUMIFS(BD_FACTURAS!I:I, BD_FACTURAS!A:A, A294) = N294, "✅ Cuadrado", "⚠️ Diferencia"))</f>
        <v/>
      </c>
    </row>
    <row r="295" spans="2:15" x14ac:dyDescent="0.3">
      <c r="B295" s="3" t="s">
        <v>37</v>
      </c>
      <c r="D295">
        <v>290</v>
      </c>
      <c r="E295" s="3" t="s">
        <v>44</v>
      </c>
      <c r="F295" s="3" t="s">
        <v>51</v>
      </c>
      <c r="H295" s="3" t="s">
        <v>56</v>
      </c>
      <c r="I295" s="3" t="s">
        <v>136</v>
      </c>
      <c r="J295" s="3">
        <v>10</v>
      </c>
      <c r="K295" s="6">
        <v>2850</v>
      </c>
      <c r="L295" s="6">
        <v>2850</v>
      </c>
      <c r="M295" s="6">
        <v>456</v>
      </c>
      <c r="N295" s="8">
        <f t="shared" si="4"/>
        <v>3306</v>
      </c>
      <c r="O295" t="str">
        <f>IF(A295="", "", IF(SUMIFS(BD_FACTURAS!I:I, BD_FACTURAS!A:A, A295) = N295, "✅ Cuadrado", "⚠️ Diferencia"))</f>
        <v/>
      </c>
    </row>
    <row r="296" spans="2:15" x14ac:dyDescent="0.3">
      <c r="B296" s="2" t="s">
        <v>32</v>
      </c>
      <c r="D296">
        <v>193</v>
      </c>
      <c r="E296" s="2" t="s">
        <v>44</v>
      </c>
      <c r="F296" s="2" t="s">
        <v>51</v>
      </c>
      <c r="H296" s="2" t="s">
        <v>56</v>
      </c>
      <c r="I296" s="2" t="s">
        <v>124</v>
      </c>
      <c r="J296" s="2">
        <v>10</v>
      </c>
      <c r="K296" s="5">
        <v>2850</v>
      </c>
      <c r="L296" s="5">
        <v>2850</v>
      </c>
      <c r="M296" s="5">
        <v>456</v>
      </c>
      <c r="N296" s="8">
        <f t="shared" si="4"/>
        <v>3306</v>
      </c>
      <c r="O296" t="str">
        <f>IF(A296="", "", IF(SUMIFS(BD_FACTURAS!I:I, BD_FACTURAS!A:A, A296) = N296, "✅ Cuadrado", "⚠️ Diferencia"))</f>
        <v/>
      </c>
    </row>
    <row r="297" spans="2:15" x14ac:dyDescent="0.3">
      <c r="B297" s="3" t="s">
        <v>32</v>
      </c>
      <c r="D297">
        <v>197</v>
      </c>
      <c r="E297" s="3" t="s">
        <v>44</v>
      </c>
      <c r="F297" s="3" t="s">
        <v>51</v>
      </c>
      <c r="H297" s="3" t="s">
        <v>56</v>
      </c>
      <c r="I297" s="3" t="s">
        <v>136</v>
      </c>
      <c r="J297" s="3">
        <v>10</v>
      </c>
      <c r="K297" s="6">
        <v>2850</v>
      </c>
      <c r="L297" s="6">
        <v>2850</v>
      </c>
      <c r="M297" s="6">
        <v>456</v>
      </c>
      <c r="N297" s="8">
        <f t="shared" si="4"/>
        <v>3306</v>
      </c>
      <c r="O297" t="str">
        <f>IF(A297="", "", IF(SUMIFS(BD_FACTURAS!I:I, BD_FACTURAS!A:A, A297) = N297, "✅ Cuadrado", "⚠️ Diferencia"))</f>
        <v/>
      </c>
    </row>
    <row r="298" spans="2:15" x14ac:dyDescent="0.3">
      <c r="B298" s="2" t="s">
        <v>32</v>
      </c>
      <c r="D298">
        <v>194</v>
      </c>
      <c r="E298" s="2" t="s">
        <v>39</v>
      </c>
      <c r="F298" s="2" t="s">
        <v>51</v>
      </c>
      <c r="H298" s="2" t="s">
        <v>56</v>
      </c>
      <c r="I298" s="2" t="s">
        <v>137</v>
      </c>
      <c r="J298" s="2">
        <v>14</v>
      </c>
      <c r="K298" s="5">
        <v>2850</v>
      </c>
      <c r="L298" s="5">
        <v>2850</v>
      </c>
      <c r="M298" s="5">
        <v>456</v>
      </c>
      <c r="N298" s="8">
        <f t="shared" si="4"/>
        <v>3306</v>
      </c>
      <c r="O298" t="str">
        <f>IF(A298="", "", IF(SUMIFS(BD_FACTURAS!I:I, BD_FACTURAS!A:A, A298) = N298, "✅ Cuadrado", "⚠️ Diferencia"))</f>
        <v/>
      </c>
    </row>
    <row r="299" spans="2:15" x14ac:dyDescent="0.3">
      <c r="B299" s="3" t="s">
        <v>32</v>
      </c>
      <c r="D299">
        <v>195</v>
      </c>
      <c r="E299" s="3" t="s">
        <v>39</v>
      </c>
      <c r="F299" s="3" t="s">
        <v>51</v>
      </c>
      <c r="H299" s="3" t="s">
        <v>56</v>
      </c>
      <c r="I299" s="3" t="s">
        <v>131</v>
      </c>
      <c r="J299" s="3">
        <v>14</v>
      </c>
      <c r="K299" s="6">
        <v>2850</v>
      </c>
      <c r="L299" s="6">
        <v>2850</v>
      </c>
      <c r="M299" s="6">
        <v>456</v>
      </c>
      <c r="N299" s="8">
        <f t="shared" si="4"/>
        <v>3306</v>
      </c>
      <c r="O299" t="str">
        <f>IF(A299="", "", IF(SUMIFS(BD_FACTURAS!I:I, BD_FACTURAS!A:A, A299) = N299, "✅ Cuadrado", "⚠️ Diferencia"))</f>
        <v/>
      </c>
    </row>
    <row r="300" spans="2:15" x14ac:dyDescent="0.3">
      <c r="B300" s="2" t="s">
        <v>32</v>
      </c>
      <c r="D300">
        <v>198</v>
      </c>
      <c r="E300" s="2" t="s">
        <v>39</v>
      </c>
      <c r="F300" s="2" t="s">
        <v>51</v>
      </c>
      <c r="H300" s="2" t="s">
        <v>56</v>
      </c>
      <c r="I300" s="2" t="s">
        <v>138</v>
      </c>
      <c r="J300" s="2">
        <v>14</v>
      </c>
      <c r="K300" s="5">
        <v>2850</v>
      </c>
      <c r="L300" s="5">
        <v>2850</v>
      </c>
      <c r="M300" s="5">
        <v>456</v>
      </c>
      <c r="N300" s="8">
        <f t="shared" si="4"/>
        <v>3306</v>
      </c>
      <c r="O300" t="str">
        <f>IF(A300="", "", IF(SUMIFS(BD_FACTURAS!I:I, BD_FACTURAS!A:A, A300) = N300, "✅ Cuadrado", "⚠️ Diferencia"))</f>
        <v/>
      </c>
    </row>
    <row r="301" spans="2:15" x14ac:dyDescent="0.3">
      <c r="B301" s="3" t="s">
        <v>33</v>
      </c>
      <c r="D301">
        <v>207</v>
      </c>
      <c r="E301" s="3" t="s">
        <v>44</v>
      </c>
      <c r="F301" s="3" t="s">
        <v>51</v>
      </c>
      <c r="H301" s="3" t="s">
        <v>56</v>
      </c>
      <c r="I301" s="3" t="s">
        <v>132</v>
      </c>
      <c r="J301" s="3">
        <v>10</v>
      </c>
      <c r="K301" s="6">
        <v>2850</v>
      </c>
      <c r="L301" s="6">
        <v>2850</v>
      </c>
      <c r="M301" s="6">
        <v>456</v>
      </c>
      <c r="N301" s="8">
        <f t="shared" si="4"/>
        <v>3306</v>
      </c>
      <c r="O301" t="str">
        <f>IF(A301="", "", IF(SUMIFS(BD_FACTURAS!I:I, BD_FACTURAS!A:A, A301) = N301, "✅ Cuadrado", "⚠️ Diferencia"))</f>
        <v/>
      </c>
    </row>
    <row r="302" spans="2:15" x14ac:dyDescent="0.3">
      <c r="B302" s="2" t="s">
        <v>33</v>
      </c>
      <c r="D302">
        <v>206</v>
      </c>
      <c r="E302" s="2" t="s">
        <v>44</v>
      </c>
      <c r="F302" s="2" t="s">
        <v>51</v>
      </c>
      <c r="H302" s="2" t="s">
        <v>56</v>
      </c>
      <c r="I302" s="2" t="s">
        <v>139</v>
      </c>
      <c r="J302" s="2">
        <v>10</v>
      </c>
      <c r="K302" s="5">
        <v>2850</v>
      </c>
      <c r="L302" s="5">
        <v>2850</v>
      </c>
      <c r="M302" s="5">
        <v>456</v>
      </c>
      <c r="N302" s="8">
        <f t="shared" si="4"/>
        <v>3306</v>
      </c>
      <c r="O302" t="str">
        <f>IF(A302="", "", IF(SUMIFS(BD_FACTURAS!I:I, BD_FACTURAS!A:A, A302) = N302, "✅ Cuadrado", "⚠️ Diferencia"))</f>
        <v/>
      </c>
    </row>
    <row r="303" spans="2:15" x14ac:dyDescent="0.3">
      <c r="B303" s="3" t="s">
        <v>33</v>
      </c>
      <c r="D303">
        <v>211</v>
      </c>
      <c r="E303" s="3" t="s">
        <v>39</v>
      </c>
      <c r="F303" s="3" t="s">
        <v>51</v>
      </c>
      <c r="H303" s="3" t="s">
        <v>56</v>
      </c>
      <c r="I303" s="3" t="s">
        <v>131</v>
      </c>
      <c r="J303" s="3">
        <v>14</v>
      </c>
      <c r="K303" s="6">
        <v>2850</v>
      </c>
      <c r="L303" s="6">
        <v>2850</v>
      </c>
      <c r="M303" s="6">
        <v>456</v>
      </c>
      <c r="N303" s="8">
        <f t="shared" si="4"/>
        <v>3306</v>
      </c>
      <c r="O303" t="str">
        <f>IF(A303="", "", IF(SUMIFS(BD_FACTURAS!I:I, BD_FACTURAS!A:A, A303) = N303, "✅ Cuadrado", "⚠️ Diferencia"))</f>
        <v/>
      </c>
    </row>
    <row r="304" spans="2:15" x14ac:dyDescent="0.3">
      <c r="B304" s="2" t="s">
        <v>33</v>
      </c>
      <c r="D304">
        <v>212</v>
      </c>
      <c r="E304" s="2" t="s">
        <v>39</v>
      </c>
      <c r="F304" s="2" t="s">
        <v>51</v>
      </c>
      <c r="H304" s="2" t="s">
        <v>56</v>
      </c>
      <c r="I304" s="2" t="s">
        <v>140</v>
      </c>
      <c r="J304" s="2">
        <v>14</v>
      </c>
      <c r="K304" s="5">
        <v>2850</v>
      </c>
      <c r="L304" s="5">
        <v>2850</v>
      </c>
      <c r="M304" s="5">
        <v>456</v>
      </c>
      <c r="N304" s="8">
        <f t="shared" si="4"/>
        <v>3306</v>
      </c>
      <c r="O304" t="str">
        <f>IF(A304="", "", IF(SUMIFS(BD_FACTURAS!I:I, BD_FACTURAS!A:A, A304) = N304, "✅ Cuadrado", "⚠️ Diferencia"))</f>
        <v/>
      </c>
    </row>
    <row r="305" spans="2:15" x14ac:dyDescent="0.3">
      <c r="B305" s="3" t="s">
        <v>33</v>
      </c>
      <c r="D305">
        <v>213</v>
      </c>
      <c r="E305" s="3" t="s">
        <v>39</v>
      </c>
      <c r="F305" s="3" t="s">
        <v>51</v>
      </c>
      <c r="H305" s="3" t="s">
        <v>56</v>
      </c>
      <c r="I305" s="3" t="s">
        <v>138</v>
      </c>
      <c r="J305" s="3">
        <v>14</v>
      </c>
      <c r="K305" s="6">
        <v>2850</v>
      </c>
      <c r="L305" s="6">
        <v>2850</v>
      </c>
      <c r="M305" s="6">
        <v>456</v>
      </c>
      <c r="N305" s="8">
        <f t="shared" si="4"/>
        <v>3306</v>
      </c>
      <c r="O305" t="str">
        <f>IF(A305="", "", IF(SUMIFS(BD_FACTURAS!I:I, BD_FACTURAS!A:A, A305) = N305, "✅ Cuadrado", "⚠️ Diferencia"))</f>
        <v/>
      </c>
    </row>
    <row r="306" spans="2:15" x14ac:dyDescent="0.3">
      <c r="B306" s="2" t="s">
        <v>33</v>
      </c>
      <c r="D306">
        <v>208</v>
      </c>
      <c r="E306" s="2" t="s">
        <v>44</v>
      </c>
      <c r="F306" s="2" t="s">
        <v>51</v>
      </c>
      <c r="H306" s="2" t="s">
        <v>56</v>
      </c>
      <c r="I306" s="2" t="s">
        <v>141</v>
      </c>
      <c r="J306" s="2">
        <v>10</v>
      </c>
      <c r="K306" s="5">
        <v>2850</v>
      </c>
      <c r="L306" s="5">
        <v>2850</v>
      </c>
      <c r="M306" s="5">
        <v>456</v>
      </c>
      <c r="N306" s="8">
        <f t="shared" si="4"/>
        <v>3306</v>
      </c>
      <c r="O306" t="str">
        <f>IF(A306="", "", IF(SUMIFS(BD_FACTURAS!I:I, BD_FACTURAS!A:A, A306) = N306, "✅ Cuadrado", "⚠️ Diferencia"))</f>
        <v/>
      </c>
    </row>
    <row r="307" spans="2:15" x14ac:dyDescent="0.3">
      <c r="B307" s="3" t="s">
        <v>33</v>
      </c>
      <c r="D307">
        <v>214</v>
      </c>
      <c r="E307" s="3" t="s">
        <v>39</v>
      </c>
      <c r="F307" s="3" t="s">
        <v>51</v>
      </c>
      <c r="H307" s="3" t="s">
        <v>56</v>
      </c>
      <c r="I307" s="3" t="s">
        <v>135</v>
      </c>
      <c r="J307" s="3">
        <v>14</v>
      </c>
      <c r="K307" s="6">
        <v>2850</v>
      </c>
      <c r="L307" s="6">
        <v>2850</v>
      </c>
      <c r="M307" s="6">
        <v>456</v>
      </c>
      <c r="N307" s="8">
        <f t="shared" si="4"/>
        <v>3306</v>
      </c>
      <c r="O307" t="str">
        <f>IF(A307="", "", IF(SUMIFS(BD_FACTURAS!I:I, BD_FACTURAS!A:A, A307) = N307, "✅ Cuadrado", "⚠️ Diferencia"))</f>
        <v/>
      </c>
    </row>
    <row r="308" spans="2:15" x14ac:dyDescent="0.3">
      <c r="B308" s="2" t="s">
        <v>34</v>
      </c>
      <c r="D308">
        <v>241</v>
      </c>
      <c r="E308" s="2" t="s">
        <v>44</v>
      </c>
      <c r="F308" s="2" t="s">
        <v>51</v>
      </c>
      <c r="H308" s="2" t="s">
        <v>56</v>
      </c>
      <c r="I308" s="2" t="s">
        <v>142</v>
      </c>
      <c r="J308" s="2">
        <v>10</v>
      </c>
      <c r="K308" s="5">
        <v>2850</v>
      </c>
      <c r="L308" s="5">
        <v>2850</v>
      </c>
      <c r="M308" s="5">
        <v>456</v>
      </c>
      <c r="N308" s="8">
        <f t="shared" si="4"/>
        <v>3306</v>
      </c>
      <c r="O308" t="str">
        <f>IF(A308="", "", IF(SUMIFS(BD_FACTURAS!I:I, BD_FACTURAS!A:A, A308) = N308, "✅ Cuadrado", "⚠️ Diferencia"))</f>
        <v/>
      </c>
    </row>
    <row r="309" spans="2:15" x14ac:dyDescent="0.3">
      <c r="B309" s="3" t="s">
        <v>34</v>
      </c>
      <c r="D309">
        <v>242</v>
      </c>
      <c r="E309" s="3" t="s">
        <v>44</v>
      </c>
      <c r="F309" s="3" t="s">
        <v>51</v>
      </c>
      <c r="H309" s="3" t="s">
        <v>56</v>
      </c>
      <c r="I309" s="3" t="s">
        <v>132</v>
      </c>
      <c r="J309" s="3">
        <v>10</v>
      </c>
      <c r="K309" s="6">
        <v>2850</v>
      </c>
      <c r="L309" s="6">
        <v>2850</v>
      </c>
      <c r="M309" s="6">
        <v>456</v>
      </c>
      <c r="N309" s="8">
        <f t="shared" si="4"/>
        <v>3306</v>
      </c>
      <c r="O309" t="str">
        <f>IF(A309="", "", IF(SUMIFS(BD_FACTURAS!I:I, BD_FACTURAS!A:A, A309) = N309, "✅ Cuadrado", "⚠️ Diferencia"))</f>
        <v/>
      </c>
    </row>
    <row r="310" spans="2:15" x14ac:dyDescent="0.3">
      <c r="B310" s="2" t="s">
        <v>34</v>
      </c>
      <c r="D310">
        <v>246</v>
      </c>
      <c r="E310" s="2" t="s">
        <v>39</v>
      </c>
      <c r="F310" s="2" t="s">
        <v>51</v>
      </c>
      <c r="H310" s="2" t="s">
        <v>56</v>
      </c>
      <c r="I310" s="2" t="s">
        <v>138</v>
      </c>
      <c r="J310" s="2">
        <v>14</v>
      </c>
      <c r="K310" s="5">
        <v>2850</v>
      </c>
      <c r="L310" s="5">
        <v>2850</v>
      </c>
      <c r="M310" s="5">
        <v>456</v>
      </c>
      <c r="N310" s="8">
        <f t="shared" si="4"/>
        <v>3306</v>
      </c>
      <c r="O310" t="str">
        <f>IF(A310="", "", IF(SUMIFS(BD_FACTURAS!I:I, BD_FACTURAS!A:A, A310) = N310, "✅ Cuadrado", "⚠️ Diferencia"))</f>
        <v/>
      </c>
    </row>
    <row r="311" spans="2:15" x14ac:dyDescent="0.3">
      <c r="B311" s="3" t="s">
        <v>34</v>
      </c>
      <c r="D311">
        <v>254</v>
      </c>
      <c r="E311" s="3" t="s">
        <v>39</v>
      </c>
      <c r="F311" s="3" t="s">
        <v>51</v>
      </c>
      <c r="H311" s="3" t="s">
        <v>56</v>
      </c>
      <c r="I311" s="3" t="s">
        <v>143</v>
      </c>
      <c r="J311" s="3">
        <v>14</v>
      </c>
      <c r="K311" s="6">
        <v>2850</v>
      </c>
      <c r="L311" s="6">
        <v>2850</v>
      </c>
      <c r="M311" s="6">
        <v>456</v>
      </c>
      <c r="N311" s="8">
        <f t="shared" si="4"/>
        <v>3306</v>
      </c>
      <c r="O311" t="str">
        <f>IF(A311="", "", IF(SUMIFS(BD_FACTURAS!I:I, BD_FACTURAS!A:A, A311) = N311, "✅ Cuadrado", "⚠️ Diferencia"))</f>
        <v/>
      </c>
    </row>
    <row r="312" spans="2:15" x14ac:dyDescent="0.3">
      <c r="B312" s="2" t="s">
        <v>36</v>
      </c>
      <c r="D312">
        <v>267</v>
      </c>
      <c r="E312" s="2" t="s">
        <v>44</v>
      </c>
      <c r="F312" s="2" t="s">
        <v>51</v>
      </c>
      <c r="H312" s="2" t="s">
        <v>56</v>
      </c>
      <c r="I312" s="2" t="s">
        <v>142</v>
      </c>
      <c r="J312" s="2">
        <v>10</v>
      </c>
      <c r="K312" s="5">
        <v>2850</v>
      </c>
      <c r="L312" s="5">
        <v>2850</v>
      </c>
      <c r="M312" s="5">
        <v>456</v>
      </c>
      <c r="N312" s="8">
        <f t="shared" si="4"/>
        <v>3306</v>
      </c>
      <c r="O312" t="str">
        <f>IF(A312="", "", IF(SUMIFS(BD_FACTURAS!I:I, BD_FACTURAS!A:A, A312) = N312, "✅ Cuadrado", "⚠️ Diferencia"))</f>
        <v/>
      </c>
    </row>
    <row r="313" spans="2:15" x14ac:dyDescent="0.3">
      <c r="B313" s="3" t="s">
        <v>36</v>
      </c>
      <c r="D313">
        <v>268</v>
      </c>
      <c r="E313" s="3" t="s">
        <v>44</v>
      </c>
      <c r="F313" s="3" t="s">
        <v>51</v>
      </c>
      <c r="H313" s="3" t="s">
        <v>56</v>
      </c>
      <c r="I313" s="3" t="s">
        <v>144</v>
      </c>
      <c r="J313" s="3">
        <v>10</v>
      </c>
      <c r="K313" s="6">
        <v>2850</v>
      </c>
      <c r="L313" s="6">
        <v>2850</v>
      </c>
      <c r="M313" s="6">
        <v>456</v>
      </c>
      <c r="N313" s="8">
        <f t="shared" si="4"/>
        <v>3306</v>
      </c>
      <c r="O313" t="str">
        <f>IF(A313="", "", IF(SUMIFS(BD_FACTURAS!I:I, BD_FACTURAS!A:A, A313) = N313, "✅ Cuadrado", "⚠️ Diferencia"))</f>
        <v/>
      </c>
    </row>
    <row r="314" spans="2:15" x14ac:dyDescent="0.3">
      <c r="B314" s="2" t="s">
        <v>36</v>
      </c>
      <c r="D314">
        <v>270</v>
      </c>
      <c r="E314" s="2" t="s">
        <v>39</v>
      </c>
      <c r="F314" s="2" t="s">
        <v>51</v>
      </c>
      <c r="H314" s="2" t="s">
        <v>56</v>
      </c>
      <c r="I314" s="2" t="s">
        <v>138</v>
      </c>
      <c r="J314" s="2">
        <v>14</v>
      </c>
      <c r="K314" s="5">
        <v>2850</v>
      </c>
      <c r="L314" s="5">
        <v>2850</v>
      </c>
      <c r="M314" s="5">
        <v>456</v>
      </c>
      <c r="N314" s="8">
        <f t="shared" si="4"/>
        <v>3306</v>
      </c>
      <c r="O314" t="str">
        <f>IF(A314="", "", IF(SUMIFS(BD_FACTURAS!I:I, BD_FACTURAS!A:A, A314) = N314, "✅ Cuadrado", "⚠️ Diferencia"))</f>
        <v/>
      </c>
    </row>
    <row r="315" spans="2:15" x14ac:dyDescent="0.3">
      <c r="B315" s="3" t="s">
        <v>36</v>
      </c>
      <c r="D315">
        <v>271</v>
      </c>
      <c r="E315" s="3" t="s">
        <v>39</v>
      </c>
      <c r="F315" s="3" t="s">
        <v>51</v>
      </c>
      <c r="H315" s="3" t="s">
        <v>56</v>
      </c>
      <c r="I315" s="3" t="s">
        <v>131</v>
      </c>
      <c r="J315" s="3">
        <v>14</v>
      </c>
      <c r="K315" s="6">
        <v>2850</v>
      </c>
      <c r="L315" s="6">
        <v>2850</v>
      </c>
      <c r="M315" s="6">
        <v>456</v>
      </c>
      <c r="N315" s="8">
        <f t="shared" si="4"/>
        <v>3306</v>
      </c>
      <c r="O315" t="str">
        <f>IF(A315="", "", IF(SUMIFS(BD_FACTURAS!I:I, BD_FACTURAS!A:A, A315) = N315, "✅ Cuadrado", "⚠️ Diferencia"))</f>
        <v/>
      </c>
    </row>
    <row r="316" spans="2:15" x14ac:dyDescent="0.3">
      <c r="B316" s="2" t="s">
        <v>36</v>
      </c>
      <c r="D316">
        <v>273</v>
      </c>
      <c r="E316" s="2" t="s">
        <v>39</v>
      </c>
      <c r="F316" s="2" t="s">
        <v>51</v>
      </c>
      <c r="H316" s="2" t="s">
        <v>56</v>
      </c>
      <c r="I316" s="2" t="s">
        <v>140</v>
      </c>
      <c r="J316" s="2">
        <v>14</v>
      </c>
      <c r="K316" s="5">
        <v>2850</v>
      </c>
      <c r="L316" s="5">
        <v>2850</v>
      </c>
      <c r="M316" s="5">
        <v>456</v>
      </c>
      <c r="N316" s="8">
        <f t="shared" si="4"/>
        <v>3306</v>
      </c>
      <c r="O316" t="str">
        <f>IF(A316="", "", IF(SUMIFS(BD_FACTURAS!I:I, BD_FACTURAS!A:A, A316) = N316, "✅ Cuadrado", "⚠️ Diferencia"))</f>
        <v/>
      </c>
    </row>
    <row r="317" spans="2:15" x14ac:dyDescent="0.3">
      <c r="B317" s="3" t="s">
        <v>36</v>
      </c>
      <c r="D317">
        <v>272</v>
      </c>
      <c r="E317" s="3" t="s">
        <v>39</v>
      </c>
      <c r="F317" s="3" t="s">
        <v>51</v>
      </c>
      <c r="H317" s="3" t="s">
        <v>56</v>
      </c>
      <c r="I317" s="3" t="s">
        <v>143</v>
      </c>
      <c r="J317" s="3">
        <v>14</v>
      </c>
      <c r="K317" s="6">
        <v>2850</v>
      </c>
      <c r="L317" s="6">
        <v>2850</v>
      </c>
      <c r="M317" s="6">
        <v>456</v>
      </c>
      <c r="N317" s="8">
        <f t="shared" si="4"/>
        <v>3306</v>
      </c>
      <c r="O317" t="str">
        <f>IF(A317="", "", IF(SUMIFS(BD_FACTURAS!I:I, BD_FACTURAS!A:A, A317) = N317, "✅ Cuadrado", "⚠️ Diferencia"))</f>
        <v/>
      </c>
    </row>
    <row r="318" spans="2:15" x14ac:dyDescent="0.3">
      <c r="B318" s="2" t="s">
        <v>37</v>
      </c>
      <c r="D318">
        <v>284</v>
      </c>
      <c r="E318" s="2" t="s">
        <v>44</v>
      </c>
      <c r="F318" s="2" t="s">
        <v>51</v>
      </c>
      <c r="H318" s="2" t="s">
        <v>56</v>
      </c>
      <c r="I318" s="2" t="s">
        <v>139</v>
      </c>
      <c r="J318" s="2">
        <v>10</v>
      </c>
      <c r="K318" s="5">
        <v>2850</v>
      </c>
      <c r="L318" s="5">
        <v>2850</v>
      </c>
      <c r="M318" s="5">
        <v>456</v>
      </c>
      <c r="N318" s="8">
        <f t="shared" si="4"/>
        <v>3306</v>
      </c>
      <c r="O318" t="str">
        <f>IF(A318="", "", IF(SUMIFS(BD_FACTURAS!I:I, BD_FACTURAS!A:A, A318) = N318, "✅ Cuadrado", "⚠️ Diferencia"))</f>
        <v/>
      </c>
    </row>
    <row r="319" spans="2:15" x14ac:dyDescent="0.3">
      <c r="B319" s="3" t="s">
        <v>37</v>
      </c>
      <c r="D319">
        <v>285</v>
      </c>
      <c r="E319" s="3" t="s">
        <v>44</v>
      </c>
      <c r="F319" s="3" t="s">
        <v>51</v>
      </c>
      <c r="H319" s="3" t="s">
        <v>56</v>
      </c>
      <c r="I319" s="3" t="s">
        <v>132</v>
      </c>
      <c r="J319" s="3">
        <v>10</v>
      </c>
      <c r="K319" s="6">
        <v>2850</v>
      </c>
      <c r="L319" s="6">
        <v>2850</v>
      </c>
      <c r="M319" s="6">
        <v>456</v>
      </c>
      <c r="N319" s="8">
        <f t="shared" si="4"/>
        <v>3306</v>
      </c>
      <c r="O319" t="str">
        <f>IF(A319="", "", IF(SUMIFS(BD_FACTURAS!I:I, BD_FACTURAS!A:A, A319) = N319, "✅ Cuadrado", "⚠️ Diferencia"))</f>
        <v/>
      </c>
    </row>
    <row r="320" spans="2:15" x14ac:dyDescent="0.3">
      <c r="B320" s="2" t="s">
        <v>37</v>
      </c>
      <c r="D320">
        <v>286</v>
      </c>
      <c r="E320" s="2" t="s">
        <v>39</v>
      </c>
      <c r="F320" s="2" t="s">
        <v>51</v>
      </c>
      <c r="H320" s="2" t="s">
        <v>56</v>
      </c>
      <c r="I320" s="2" t="s">
        <v>145</v>
      </c>
      <c r="J320" s="2">
        <v>14</v>
      </c>
      <c r="K320" s="5">
        <v>2850</v>
      </c>
      <c r="L320" s="5">
        <v>2850</v>
      </c>
      <c r="M320" s="5">
        <v>456</v>
      </c>
      <c r="N320" s="8">
        <f t="shared" si="4"/>
        <v>3306</v>
      </c>
      <c r="O320" t="str">
        <f>IF(A320="", "", IF(SUMIFS(BD_FACTURAS!I:I, BD_FACTURAS!A:A, A320) = N320, "✅ Cuadrado", "⚠️ Diferencia"))</f>
        <v/>
      </c>
    </row>
    <row r="321" spans="2:15" x14ac:dyDescent="0.3">
      <c r="B321" s="3" t="s">
        <v>37</v>
      </c>
      <c r="D321">
        <v>287</v>
      </c>
      <c r="E321" s="3" t="s">
        <v>39</v>
      </c>
      <c r="F321" s="3" t="s">
        <v>51</v>
      </c>
      <c r="H321" s="3" t="s">
        <v>56</v>
      </c>
      <c r="I321" s="3" t="s">
        <v>146</v>
      </c>
      <c r="J321" s="3">
        <v>14</v>
      </c>
      <c r="K321" s="6">
        <v>2850</v>
      </c>
      <c r="L321" s="6">
        <v>2850</v>
      </c>
      <c r="M321" s="6">
        <v>456</v>
      </c>
      <c r="N321" s="8">
        <f t="shared" si="4"/>
        <v>3306</v>
      </c>
      <c r="O321" t="str">
        <f>IF(A321="", "", IF(SUMIFS(BD_FACTURAS!I:I, BD_FACTURAS!A:A, A321) = N321, "✅ Cuadrado", "⚠️ Diferencia"))</f>
        <v/>
      </c>
    </row>
    <row r="322" spans="2:15" x14ac:dyDescent="0.3">
      <c r="B322" s="2" t="s">
        <v>37</v>
      </c>
      <c r="D322">
        <v>288</v>
      </c>
      <c r="E322" s="2" t="s">
        <v>39</v>
      </c>
      <c r="F322" s="2" t="s">
        <v>51</v>
      </c>
      <c r="H322" s="2" t="s">
        <v>56</v>
      </c>
      <c r="I322" s="2" t="s">
        <v>131</v>
      </c>
      <c r="J322" s="2">
        <v>14</v>
      </c>
      <c r="K322" s="5">
        <v>2850</v>
      </c>
      <c r="L322" s="5">
        <v>2850</v>
      </c>
      <c r="M322" s="5">
        <v>456</v>
      </c>
      <c r="N322" s="8">
        <f t="shared" si="4"/>
        <v>3306</v>
      </c>
      <c r="O322" t="str">
        <f>IF(A322="", "", IF(SUMIFS(BD_FACTURAS!I:I, BD_FACTURAS!A:A, A322) = N322, "✅ Cuadrado", "⚠️ Diferencia"))</f>
        <v/>
      </c>
    </row>
    <row r="323" spans="2:15" x14ac:dyDescent="0.3">
      <c r="B323" s="3" t="s">
        <v>37</v>
      </c>
      <c r="D323">
        <v>289</v>
      </c>
      <c r="E323" s="3" t="s">
        <v>39</v>
      </c>
      <c r="F323" s="3" t="s">
        <v>51</v>
      </c>
      <c r="H323" s="3" t="s">
        <v>56</v>
      </c>
      <c r="I323" s="3" t="s">
        <v>140</v>
      </c>
      <c r="J323" s="3">
        <v>14</v>
      </c>
      <c r="K323" s="6">
        <v>2850</v>
      </c>
      <c r="L323" s="6">
        <v>2850</v>
      </c>
      <c r="M323" s="6">
        <v>456</v>
      </c>
      <c r="N323" s="8">
        <f t="shared" ref="N323:N386" si="5">L323+M323</f>
        <v>3306</v>
      </c>
      <c r="O323" t="str">
        <f>IF(A323="", "", IF(SUMIFS(BD_FACTURAS!I:I, BD_FACTURAS!A:A, A323) = N323, "✅ Cuadrado", "⚠️ Diferencia"))</f>
        <v/>
      </c>
    </row>
    <row r="324" spans="2:15" x14ac:dyDescent="0.3">
      <c r="B324" s="2" t="s">
        <v>32</v>
      </c>
      <c r="D324">
        <v>408</v>
      </c>
      <c r="E324" s="2" t="s">
        <v>40</v>
      </c>
      <c r="F324" s="2" t="s">
        <v>46</v>
      </c>
      <c r="H324" s="2" t="s">
        <v>54</v>
      </c>
      <c r="I324" s="2" t="s">
        <v>58</v>
      </c>
      <c r="J324" s="2">
        <v>14</v>
      </c>
      <c r="K324" s="5">
        <v>2500</v>
      </c>
      <c r="L324" s="5">
        <v>2500</v>
      </c>
      <c r="M324" s="5">
        <v>400</v>
      </c>
      <c r="N324" s="8">
        <f t="shared" si="5"/>
        <v>2900</v>
      </c>
      <c r="O324" t="str">
        <f>IF(A324="", "", IF(SUMIFS(BD_FACTURAS!I:I, BD_FACTURAS!A:A, A324) = N324, "✅ Cuadrado", "⚠️ Diferencia"))</f>
        <v/>
      </c>
    </row>
    <row r="325" spans="2:15" x14ac:dyDescent="0.3">
      <c r="B325" s="3" t="s">
        <v>32</v>
      </c>
      <c r="D325">
        <v>409</v>
      </c>
      <c r="E325" s="3" t="s">
        <v>40</v>
      </c>
      <c r="F325" s="3" t="s">
        <v>46</v>
      </c>
      <c r="H325" s="3" t="s">
        <v>54</v>
      </c>
      <c r="I325" s="3" t="s">
        <v>64</v>
      </c>
      <c r="J325" s="3">
        <v>14</v>
      </c>
      <c r="K325" s="6">
        <v>2500</v>
      </c>
      <c r="L325" s="6">
        <v>2500</v>
      </c>
      <c r="M325" s="6">
        <v>400</v>
      </c>
      <c r="N325" s="8">
        <f t="shared" si="5"/>
        <v>2900</v>
      </c>
      <c r="O325" t="str">
        <f>IF(A325="", "", IF(SUMIFS(BD_FACTURAS!I:I, BD_FACTURAS!A:A, A325) = N325, "✅ Cuadrado", "⚠️ Diferencia"))</f>
        <v/>
      </c>
    </row>
    <row r="326" spans="2:15" x14ac:dyDescent="0.3">
      <c r="B326" s="2" t="s">
        <v>32</v>
      </c>
      <c r="D326">
        <v>410</v>
      </c>
      <c r="E326" s="2" t="s">
        <v>40</v>
      </c>
      <c r="F326" s="2" t="s">
        <v>46</v>
      </c>
      <c r="H326" s="2" t="s">
        <v>54</v>
      </c>
      <c r="I326" s="2" t="s">
        <v>97</v>
      </c>
      <c r="J326" s="2">
        <v>14</v>
      </c>
      <c r="K326" s="5">
        <v>2500</v>
      </c>
      <c r="L326" s="5">
        <v>2500</v>
      </c>
      <c r="M326" s="5">
        <v>400</v>
      </c>
      <c r="N326" s="8">
        <f t="shared" si="5"/>
        <v>2900</v>
      </c>
      <c r="O326" t="str">
        <f>IF(A326="", "", IF(SUMIFS(BD_FACTURAS!I:I, BD_FACTURAS!A:A, A326) = N326, "✅ Cuadrado", "⚠️ Diferencia"))</f>
        <v/>
      </c>
    </row>
    <row r="327" spans="2:15" x14ac:dyDescent="0.3">
      <c r="B327" s="3" t="s">
        <v>32</v>
      </c>
      <c r="D327">
        <v>411</v>
      </c>
      <c r="E327" s="3" t="s">
        <v>40</v>
      </c>
      <c r="F327" s="3" t="s">
        <v>46</v>
      </c>
      <c r="H327" s="3" t="s">
        <v>54</v>
      </c>
      <c r="I327" s="3" t="s">
        <v>98</v>
      </c>
      <c r="J327" s="3">
        <v>14</v>
      </c>
      <c r="K327" s="6">
        <v>2500</v>
      </c>
      <c r="L327" s="6">
        <v>2500</v>
      </c>
      <c r="M327" s="6">
        <v>400</v>
      </c>
      <c r="N327" s="8">
        <f t="shared" si="5"/>
        <v>2900</v>
      </c>
      <c r="O327" t="str">
        <f>IF(A327="", "", IF(SUMIFS(BD_FACTURAS!I:I, BD_FACTURAS!A:A, A327) = N327, "✅ Cuadrado", "⚠️ Diferencia"))</f>
        <v/>
      </c>
    </row>
    <row r="328" spans="2:15" x14ac:dyDescent="0.3">
      <c r="B328" s="2" t="s">
        <v>32</v>
      </c>
      <c r="D328">
        <v>412</v>
      </c>
      <c r="E328" s="2" t="s">
        <v>40</v>
      </c>
      <c r="F328" s="2" t="s">
        <v>46</v>
      </c>
      <c r="H328" s="2" t="s">
        <v>54</v>
      </c>
      <c r="I328" s="2" t="s">
        <v>60</v>
      </c>
      <c r="J328" s="2">
        <v>14</v>
      </c>
      <c r="K328" s="5">
        <v>2500</v>
      </c>
      <c r="L328" s="5">
        <v>2500</v>
      </c>
      <c r="M328" s="5">
        <v>400</v>
      </c>
      <c r="N328" s="8">
        <f t="shared" si="5"/>
        <v>2900</v>
      </c>
      <c r="O328" t="str">
        <f>IF(A328="", "", IF(SUMIFS(BD_FACTURAS!I:I, BD_FACTURAS!A:A, A328) = N328, "✅ Cuadrado", "⚠️ Diferencia"))</f>
        <v/>
      </c>
    </row>
    <row r="329" spans="2:15" x14ac:dyDescent="0.3">
      <c r="B329" s="3" t="s">
        <v>32</v>
      </c>
      <c r="D329">
        <v>413</v>
      </c>
      <c r="E329" s="3"/>
      <c r="F329" s="3" t="s">
        <v>52</v>
      </c>
      <c r="H329" s="3" t="s">
        <v>54</v>
      </c>
      <c r="I329" s="3"/>
      <c r="J329" s="3"/>
      <c r="K329" s="6">
        <v>0</v>
      </c>
      <c r="L329" s="6">
        <v>0</v>
      </c>
      <c r="M329" s="6">
        <v>0</v>
      </c>
      <c r="N329" s="8">
        <f t="shared" si="5"/>
        <v>0</v>
      </c>
      <c r="O329" t="str">
        <f>IF(A329="", "", IF(SUMIFS(BD_FACTURAS!I:I, BD_FACTURAS!A:A, A329) = N329, "✅ Cuadrado", "⚠️ Diferencia"))</f>
        <v/>
      </c>
    </row>
    <row r="330" spans="2:15" x14ac:dyDescent="0.3">
      <c r="B330" s="2" t="s">
        <v>32</v>
      </c>
      <c r="D330">
        <v>414</v>
      </c>
      <c r="E330" s="2" t="s">
        <v>40</v>
      </c>
      <c r="F330" s="2" t="s">
        <v>46</v>
      </c>
      <c r="H330" s="2" t="s">
        <v>54</v>
      </c>
      <c r="I330" s="2" t="s">
        <v>97</v>
      </c>
      <c r="J330" s="2">
        <v>14</v>
      </c>
      <c r="K330" s="5">
        <v>2500</v>
      </c>
      <c r="L330" s="5">
        <v>2500</v>
      </c>
      <c r="M330" s="5">
        <v>400</v>
      </c>
      <c r="N330" s="8">
        <f t="shared" si="5"/>
        <v>2900</v>
      </c>
      <c r="O330" t="str">
        <f>IF(A330="", "", IF(SUMIFS(BD_FACTURAS!I:I, BD_FACTURAS!A:A, A330) = N330, "✅ Cuadrado", "⚠️ Diferencia"))</f>
        <v/>
      </c>
    </row>
    <row r="331" spans="2:15" x14ac:dyDescent="0.3">
      <c r="B331" s="3" t="s">
        <v>32</v>
      </c>
      <c r="D331">
        <v>415</v>
      </c>
      <c r="E331" s="3" t="s">
        <v>40</v>
      </c>
      <c r="F331" s="3" t="s">
        <v>46</v>
      </c>
      <c r="H331" s="3" t="s">
        <v>54</v>
      </c>
      <c r="I331" s="3" t="s">
        <v>98</v>
      </c>
      <c r="J331" s="3">
        <v>14</v>
      </c>
      <c r="K331" s="6">
        <v>2500</v>
      </c>
      <c r="L331" s="6">
        <v>2500</v>
      </c>
      <c r="M331" s="6">
        <v>400</v>
      </c>
      <c r="N331" s="8">
        <f t="shared" si="5"/>
        <v>2900</v>
      </c>
      <c r="O331" t="str">
        <f>IF(A331="", "", IF(SUMIFS(BD_FACTURAS!I:I, BD_FACTURAS!A:A, A331) = N331, "✅ Cuadrado", "⚠️ Diferencia"))</f>
        <v/>
      </c>
    </row>
    <row r="332" spans="2:15" x14ac:dyDescent="0.3">
      <c r="B332" s="2" t="s">
        <v>32</v>
      </c>
      <c r="D332">
        <v>416</v>
      </c>
      <c r="E332" s="2" t="s">
        <v>40</v>
      </c>
      <c r="F332" s="2" t="s">
        <v>46</v>
      </c>
      <c r="H332" s="2" t="s">
        <v>54</v>
      </c>
      <c r="I332" s="2" t="s">
        <v>98</v>
      </c>
      <c r="J332" s="2">
        <v>14</v>
      </c>
      <c r="K332" s="5">
        <v>2500</v>
      </c>
      <c r="L332" s="5">
        <v>2500</v>
      </c>
      <c r="M332" s="5">
        <v>400</v>
      </c>
      <c r="N332" s="8">
        <f t="shared" si="5"/>
        <v>2900</v>
      </c>
      <c r="O332" t="str">
        <f>IF(A332="", "", IF(SUMIFS(BD_FACTURAS!I:I, BD_FACTURAS!A:A, A332) = N332, "✅ Cuadrado", "⚠️ Diferencia"))</f>
        <v/>
      </c>
    </row>
    <row r="333" spans="2:15" x14ac:dyDescent="0.3">
      <c r="B333" s="3" t="s">
        <v>32</v>
      </c>
      <c r="D333">
        <v>417</v>
      </c>
      <c r="E333" s="3" t="s">
        <v>40</v>
      </c>
      <c r="F333" s="3" t="s">
        <v>46</v>
      </c>
      <c r="H333" s="3" t="s">
        <v>54</v>
      </c>
      <c r="I333" s="3" t="s">
        <v>97</v>
      </c>
      <c r="J333" s="3">
        <v>14</v>
      </c>
      <c r="K333" s="6">
        <v>2500</v>
      </c>
      <c r="L333" s="6">
        <v>2500</v>
      </c>
      <c r="M333" s="6">
        <v>400</v>
      </c>
      <c r="N333" s="8">
        <f t="shared" si="5"/>
        <v>2900</v>
      </c>
      <c r="O333" t="str">
        <f>IF(A333="", "", IF(SUMIFS(BD_FACTURAS!I:I, BD_FACTURAS!A:A, A333) = N333, "✅ Cuadrado", "⚠️ Diferencia"))</f>
        <v/>
      </c>
    </row>
    <row r="334" spans="2:15" x14ac:dyDescent="0.3">
      <c r="B334" s="2" t="s">
        <v>32</v>
      </c>
      <c r="D334">
        <v>418</v>
      </c>
      <c r="E334" s="2" t="s">
        <v>40</v>
      </c>
      <c r="F334" s="2" t="s">
        <v>46</v>
      </c>
      <c r="H334" s="2" t="s">
        <v>54</v>
      </c>
      <c r="I334" s="2" t="s">
        <v>61</v>
      </c>
      <c r="J334" s="2">
        <v>14</v>
      </c>
      <c r="K334" s="5">
        <v>2500</v>
      </c>
      <c r="L334" s="5">
        <v>2500</v>
      </c>
      <c r="M334" s="5">
        <v>400</v>
      </c>
      <c r="N334" s="8">
        <f t="shared" si="5"/>
        <v>2900</v>
      </c>
      <c r="O334" t="str">
        <f>IF(A334="", "", IF(SUMIFS(BD_FACTURAS!I:I, BD_FACTURAS!A:A, A334) = N334, "✅ Cuadrado", "⚠️ Diferencia"))</f>
        <v/>
      </c>
    </row>
    <row r="335" spans="2:15" x14ac:dyDescent="0.3">
      <c r="B335" s="3" t="s">
        <v>32</v>
      </c>
      <c r="D335">
        <v>419</v>
      </c>
      <c r="E335" s="3"/>
      <c r="F335" s="3" t="s">
        <v>52</v>
      </c>
      <c r="H335" s="3" t="s">
        <v>54</v>
      </c>
      <c r="I335" s="3"/>
      <c r="J335" s="3"/>
      <c r="K335" s="6">
        <v>0</v>
      </c>
      <c r="L335" s="6">
        <v>0</v>
      </c>
      <c r="M335" s="6">
        <v>0</v>
      </c>
      <c r="N335" s="8">
        <f t="shared" si="5"/>
        <v>0</v>
      </c>
      <c r="O335" t="str">
        <f>IF(A335="", "", IF(SUMIFS(BD_FACTURAS!I:I, BD_FACTURAS!A:A, A335) = N335, "✅ Cuadrado", "⚠️ Diferencia"))</f>
        <v/>
      </c>
    </row>
    <row r="336" spans="2:15" x14ac:dyDescent="0.3">
      <c r="B336" s="2" t="s">
        <v>32</v>
      </c>
      <c r="D336">
        <v>420</v>
      </c>
      <c r="E336" s="2" t="s">
        <v>40</v>
      </c>
      <c r="F336" s="2" t="s">
        <v>46</v>
      </c>
      <c r="H336" s="2" t="s">
        <v>54</v>
      </c>
      <c r="I336" s="2" t="s">
        <v>98</v>
      </c>
      <c r="J336" s="2">
        <v>14</v>
      </c>
      <c r="K336" s="5">
        <v>2500</v>
      </c>
      <c r="L336" s="5">
        <v>2500</v>
      </c>
      <c r="M336" s="5">
        <v>400</v>
      </c>
      <c r="N336" s="8">
        <f t="shared" si="5"/>
        <v>2900</v>
      </c>
      <c r="O336" t="str">
        <f>IF(A336="", "", IF(SUMIFS(BD_FACTURAS!I:I, BD_FACTURAS!A:A, A336) = N336, "✅ Cuadrado", "⚠️ Diferencia"))</f>
        <v/>
      </c>
    </row>
    <row r="337" spans="2:15" x14ac:dyDescent="0.3">
      <c r="B337" s="3" t="s">
        <v>32</v>
      </c>
      <c r="D337">
        <v>421</v>
      </c>
      <c r="E337" s="3" t="s">
        <v>40</v>
      </c>
      <c r="F337" s="3" t="s">
        <v>48</v>
      </c>
      <c r="H337" s="3" t="s">
        <v>54</v>
      </c>
      <c r="I337" s="3" t="s">
        <v>147</v>
      </c>
      <c r="J337" s="3">
        <v>0</v>
      </c>
      <c r="K337" s="6">
        <v>2500</v>
      </c>
      <c r="L337" s="6">
        <v>2500</v>
      </c>
      <c r="M337" s="6">
        <v>400</v>
      </c>
      <c r="N337" s="8">
        <f t="shared" si="5"/>
        <v>2900</v>
      </c>
      <c r="O337" t="str">
        <f>IF(A337="", "", IF(SUMIFS(BD_FACTURAS!I:I, BD_FACTURAS!A:A, A337) = N337, "✅ Cuadrado", "⚠️ Diferencia"))</f>
        <v/>
      </c>
    </row>
    <row r="338" spans="2:15" x14ac:dyDescent="0.3">
      <c r="B338" s="2" t="s">
        <v>33</v>
      </c>
      <c r="D338">
        <v>422</v>
      </c>
      <c r="E338" s="2" t="s">
        <v>40</v>
      </c>
      <c r="F338" s="2" t="s">
        <v>48</v>
      </c>
      <c r="H338" s="2" t="s">
        <v>54</v>
      </c>
      <c r="I338" s="2" t="s">
        <v>147</v>
      </c>
      <c r="J338" s="2">
        <v>0</v>
      </c>
      <c r="K338" s="5">
        <v>2500</v>
      </c>
      <c r="L338" s="5">
        <v>2500</v>
      </c>
      <c r="M338" s="5">
        <v>400</v>
      </c>
      <c r="N338" s="8">
        <f t="shared" si="5"/>
        <v>2900</v>
      </c>
      <c r="O338" t="str">
        <f>IF(A338="", "", IF(SUMIFS(BD_FACTURAS!I:I, BD_FACTURAS!A:A, A338) = N338, "✅ Cuadrado", "⚠️ Diferencia"))</f>
        <v/>
      </c>
    </row>
    <row r="339" spans="2:15" x14ac:dyDescent="0.3">
      <c r="B339" s="3" t="s">
        <v>34</v>
      </c>
      <c r="D339">
        <v>423</v>
      </c>
      <c r="E339" s="3"/>
      <c r="F339" s="3" t="s">
        <v>52</v>
      </c>
      <c r="H339" s="3" t="s">
        <v>54</v>
      </c>
      <c r="I339" s="3"/>
      <c r="J339" s="3"/>
      <c r="K339" s="6">
        <v>0</v>
      </c>
      <c r="L339" s="6">
        <v>0</v>
      </c>
      <c r="M339" s="6">
        <v>0</v>
      </c>
      <c r="N339" s="8">
        <f t="shared" si="5"/>
        <v>0</v>
      </c>
      <c r="O339" t="str">
        <f>IF(A339="", "", IF(SUMIFS(BD_FACTURAS!I:I, BD_FACTURAS!A:A, A339) = N339, "✅ Cuadrado", "⚠️ Diferencia"))</f>
        <v/>
      </c>
    </row>
    <row r="340" spans="2:15" x14ac:dyDescent="0.3">
      <c r="B340" s="2" t="s">
        <v>34</v>
      </c>
      <c r="D340">
        <v>424</v>
      </c>
      <c r="E340" s="2" t="s">
        <v>40</v>
      </c>
      <c r="F340" s="2" t="s">
        <v>46</v>
      </c>
      <c r="H340" s="2" t="s">
        <v>54</v>
      </c>
      <c r="I340" s="2" t="s">
        <v>64</v>
      </c>
      <c r="J340" s="2">
        <v>14</v>
      </c>
      <c r="K340" s="5">
        <v>2500</v>
      </c>
      <c r="L340" s="5">
        <v>2500</v>
      </c>
      <c r="M340" s="5">
        <v>400</v>
      </c>
      <c r="N340" s="8">
        <f t="shared" si="5"/>
        <v>2900</v>
      </c>
      <c r="O340" t="str">
        <f>IF(A340="", "", IF(SUMIFS(BD_FACTURAS!I:I, BD_FACTURAS!A:A, A340) = N340, "✅ Cuadrado", "⚠️ Diferencia"))</f>
        <v/>
      </c>
    </row>
    <row r="341" spans="2:15" x14ac:dyDescent="0.3">
      <c r="B341" s="3" t="s">
        <v>34</v>
      </c>
      <c r="D341">
        <v>425</v>
      </c>
      <c r="E341" s="3" t="s">
        <v>40</v>
      </c>
      <c r="F341" s="3" t="s">
        <v>46</v>
      </c>
      <c r="H341" s="3" t="s">
        <v>54</v>
      </c>
      <c r="I341" s="3" t="s">
        <v>95</v>
      </c>
      <c r="J341" s="3">
        <v>14</v>
      </c>
      <c r="K341" s="6">
        <v>2500</v>
      </c>
      <c r="L341" s="6">
        <v>2500</v>
      </c>
      <c r="M341" s="6">
        <v>400</v>
      </c>
      <c r="N341" s="8">
        <f t="shared" si="5"/>
        <v>2900</v>
      </c>
      <c r="O341" t="str">
        <f>IF(A341="", "", IF(SUMIFS(BD_FACTURAS!I:I, BD_FACTURAS!A:A, A341) = N341, "✅ Cuadrado", "⚠️ Diferencia"))</f>
        <v/>
      </c>
    </row>
    <row r="342" spans="2:15" x14ac:dyDescent="0.3">
      <c r="B342" s="2" t="s">
        <v>34</v>
      </c>
      <c r="D342">
        <v>426</v>
      </c>
      <c r="E342" s="2" t="s">
        <v>40</v>
      </c>
      <c r="F342" s="2" t="s">
        <v>46</v>
      </c>
      <c r="H342" s="2" t="s">
        <v>54</v>
      </c>
      <c r="I342" s="2" t="s">
        <v>69</v>
      </c>
      <c r="J342" s="2">
        <v>14</v>
      </c>
      <c r="K342" s="5">
        <v>2500</v>
      </c>
      <c r="L342" s="5">
        <v>2500</v>
      </c>
      <c r="M342" s="5">
        <v>400</v>
      </c>
      <c r="N342" s="8">
        <f t="shared" si="5"/>
        <v>2900</v>
      </c>
      <c r="O342" t="str">
        <f>IF(A342="", "", IF(SUMIFS(BD_FACTURAS!I:I, BD_FACTURAS!A:A, A342) = N342, "✅ Cuadrado", "⚠️ Diferencia"))</f>
        <v/>
      </c>
    </row>
    <row r="343" spans="2:15" x14ac:dyDescent="0.3">
      <c r="B343" s="3" t="s">
        <v>34</v>
      </c>
      <c r="D343">
        <v>427</v>
      </c>
      <c r="E343" s="3" t="s">
        <v>40</v>
      </c>
      <c r="F343" s="3" t="s">
        <v>46</v>
      </c>
      <c r="H343" s="3" t="s">
        <v>54</v>
      </c>
      <c r="I343" s="3" t="s">
        <v>80</v>
      </c>
      <c r="J343" s="3">
        <v>14</v>
      </c>
      <c r="K343" s="6">
        <v>2500</v>
      </c>
      <c r="L343" s="6">
        <v>2500</v>
      </c>
      <c r="M343" s="6">
        <v>400</v>
      </c>
      <c r="N343" s="8">
        <f t="shared" si="5"/>
        <v>2900</v>
      </c>
      <c r="O343" t="str">
        <f>IF(A343="", "", IF(SUMIFS(BD_FACTURAS!I:I, BD_FACTURAS!A:A, A343) = N343, "✅ Cuadrado", "⚠️ Diferencia"))</f>
        <v/>
      </c>
    </row>
    <row r="344" spans="2:15" x14ac:dyDescent="0.3">
      <c r="B344" s="2" t="s">
        <v>34</v>
      </c>
      <c r="D344">
        <v>428</v>
      </c>
      <c r="E344" s="2" t="s">
        <v>40</v>
      </c>
      <c r="F344" s="2" t="s">
        <v>46</v>
      </c>
      <c r="H344" s="2" t="s">
        <v>54</v>
      </c>
      <c r="I344" s="2" t="s">
        <v>88</v>
      </c>
      <c r="J344" s="2">
        <v>14</v>
      </c>
      <c r="K344" s="5">
        <v>2500</v>
      </c>
      <c r="L344" s="5">
        <v>2500</v>
      </c>
      <c r="M344" s="5">
        <v>400</v>
      </c>
      <c r="N344" s="8">
        <f t="shared" si="5"/>
        <v>2900</v>
      </c>
      <c r="O344" t="str">
        <f>IF(A344="", "", IF(SUMIFS(BD_FACTURAS!I:I, BD_FACTURAS!A:A, A344) = N344, "✅ Cuadrado", "⚠️ Diferencia"))</f>
        <v/>
      </c>
    </row>
    <row r="345" spans="2:15" x14ac:dyDescent="0.3">
      <c r="B345" s="3" t="s">
        <v>34</v>
      </c>
      <c r="D345">
        <v>429</v>
      </c>
      <c r="E345" s="3" t="s">
        <v>40</v>
      </c>
      <c r="F345" s="3" t="s">
        <v>46</v>
      </c>
      <c r="H345" s="3" t="s">
        <v>54</v>
      </c>
      <c r="I345" s="3" t="s">
        <v>57</v>
      </c>
      <c r="J345" s="3">
        <v>14</v>
      </c>
      <c r="K345" s="6">
        <v>2500</v>
      </c>
      <c r="L345" s="6">
        <v>2500</v>
      </c>
      <c r="M345" s="6">
        <v>400</v>
      </c>
      <c r="N345" s="8">
        <f t="shared" si="5"/>
        <v>2900</v>
      </c>
      <c r="O345" t="str">
        <f>IF(A345="", "", IF(SUMIFS(BD_FACTURAS!I:I, BD_FACTURAS!A:A, A345) = N345, "✅ Cuadrado", "⚠️ Diferencia"))</f>
        <v/>
      </c>
    </row>
    <row r="346" spans="2:15" x14ac:dyDescent="0.3">
      <c r="B346" s="2" t="s">
        <v>34</v>
      </c>
      <c r="D346">
        <v>430</v>
      </c>
      <c r="E346" s="2" t="s">
        <v>40</v>
      </c>
      <c r="F346" s="2" t="s">
        <v>46</v>
      </c>
      <c r="H346" s="2" t="s">
        <v>54</v>
      </c>
      <c r="I346" s="2" t="s">
        <v>60</v>
      </c>
      <c r="J346" s="2">
        <v>14</v>
      </c>
      <c r="K346" s="5">
        <v>2500</v>
      </c>
      <c r="L346" s="5">
        <v>2500</v>
      </c>
      <c r="M346" s="5">
        <v>400</v>
      </c>
      <c r="N346" s="8">
        <f t="shared" si="5"/>
        <v>2900</v>
      </c>
      <c r="O346" t="str">
        <f>IF(A346="", "", IF(SUMIFS(BD_FACTURAS!I:I, BD_FACTURAS!A:A, A346) = N346, "✅ Cuadrado", "⚠️ Diferencia"))</f>
        <v/>
      </c>
    </row>
    <row r="347" spans="2:15" x14ac:dyDescent="0.3">
      <c r="B347" s="3" t="s">
        <v>34</v>
      </c>
      <c r="D347">
        <v>431</v>
      </c>
      <c r="E347" s="3" t="s">
        <v>40</v>
      </c>
      <c r="F347" s="3" t="s">
        <v>46</v>
      </c>
      <c r="H347" s="3" t="s">
        <v>54</v>
      </c>
      <c r="I347" s="3" t="s">
        <v>98</v>
      </c>
      <c r="J347" s="3">
        <v>14</v>
      </c>
      <c r="K347" s="6">
        <v>2500</v>
      </c>
      <c r="L347" s="6">
        <v>2500</v>
      </c>
      <c r="M347" s="6">
        <v>400</v>
      </c>
      <c r="N347" s="8">
        <f t="shared" si="5"/>
        <v>2900</v>
      </c>
      <c r="O347" t="str">
        <f>IF(A347="", "", IF(SUMIFS(BD_FACTURAS!I:I, BD_FACTURAS!A:A, A347) = N347, "✅ Cuadrado", "⚠️ Diferencia"))</f>
        <v/>
      </c>
    </row>
    <row r="348" spans="2:15" x14ac:dyDescent="0.3">
      <c r="B348" s="2" t="s">
        <v>34</v>
      </c>
      <c r="D348">
        <v>432</v>
      </c>
      <c r="E348" s="2" t="s">
        <v>40</v>
      </c>
      <c r="F348" s="2" t="s">
        <v>46</v>
      </c>
      <c r="H348" s="2" t="s">
        <v>54</v>
      </c>
      <c r="I348" s="2" t="s">
        <v>64</v>
      </c>
      <c r="J348" s="2">
        <v>14</v>
      </c>
      <c r="K348" s="5">
        <v>2500</v>
      </c>
      <c r="L348" s="5">
        <v>2500</v>
      </c>
      <c r="M348" s="5">
        <v>400</v>
      </c>
      <c r="N348" s="8">
        <f t="shared" si="5"/>
        <v>2900</v>
      </c>
      <c r="O348" t="str">
        <f>IF(A348="", "", IF(SUMIFS(BD_FACTURAS!I:I, BD_FACTURAS!A:A, A348) = N348, "✅ Cuadrado", "⚠️ Diferencia"))</f>
        <v/>
      </c>
    </row>
    <row r="349" spans="2:15" x14ac:dyDescent="0.3">
      <c r="B349" s="3" t="s">
        <v>34</v>
      </c>
      <c r="D349">
        <v>433</v>
      </c>
      <c r="E349" s="3" t="s">
        <v>40</v>
      </c>
      <c r="F349" s="3" t="s">
        <v>46</v>
      </c>
      <c r="H349" s="3" t="s">
        <v>54</v>
      </c>
      <c r="I349" s="3" t="s">
        <v>95</v>
      </c>
      <c r="J349" s="3">
        <v>14</v>
      </c>
      <c r="K349" s="6">
        <v>2500</v>
      </c>
      <c r="L349" s="6">
        <v>2500</v>
      </c>
      <c r="M349" s="6">
        <v>400</v>
      </c>
      <c r="N349" s="8">
        <f t="shared" si="5"/>
        <v>2900</v>
      </c>
      <c r="O349" t="str">
        <f>IF(A349="", "", IF(SUMIFS(BD_FACTURAS!I:I, BD_FACTURAS!A:A, A349) = N349, "✅ Cuadrado", "⚠️ Diferencia"))</f>
        <v/>
      </c>
    </row>
    <row r="350" spans="2:15" x14ac:dyDescent="0.3">
      <c r="B350" s="2" t="s">
        <v>34</v>
      </c>
      <c r="D350">
        <v>434</v>
      </c>
      <c r="E350" s="2" t="s">
        <v>40</v>
      </c>
      <c r="F350" s="2" t="s">
        <v>46</v>
      </c>
      <c r="H350" s="2" t="s">
        <v>54</v>
      </c>
      <c r="I350" s="2" t="s">
        <v>98</v>
      </c>
      <c r="J350" s="2">
        <v>14</v>
      </c>
      <c r="K350" s="5">
        <v>2500</v>
      </c>
      <c r="L350" s="5">
        <v>2500</v>
      </c>
      <c r="M350" s="5">
        <v>400</v>
      </c>
      <c r="N350" s="8">
        <f t="shared" si="5"/>
        <v>2900</v>
      </c>
      <c r="O350" t="str">
        <f>IF(A350="", "", IF(SUMIFS(BD_FACTURAS!I:I, BD_FACTURAS!A:A, A350) = N350, "✅ Cuadrado", "⚠️ Diferencia"))</f>
        <v/>
      </c>
    </row>
    <row r="351" spans="2:15" x14ac:dyDescent="0.3">
      <c r="B351" s="3" t="s">
        <v>34</v>
      </c>
      <c r="D351">
        <v>435</v>
      </c>
      <c r="E351" s="3" t="s">
        <v>40</v>
      </c>
      <c r="F351" s="3" t="s">
        <v>46</v>
      </c>
      <c r="H351" s="3" t="s">
        <v>54</v>
      </c>
      <c r="I351" s="3" t="s">
        <v>64</v>
      </c>
      <c r="J351" s="3">
        <v>14</v>
      </c>
      <c r="K351" s="6">
        <v>2500</v>
      </c>
      <c r="L351" s="6">
        <v>2500</v>
      </c>
      <c r="M351" s="6">
        <v>400</v>
      </c>
      <c r="N351" s="8">
        <f t="shared" si="5"/>
        <v>2900</v>
      </c>
      <c r="O351" t="str">
        <f>IF(A351="", "", IF(SUMIFS(BD_FACTURAS!I:I, BD_FACTURAS!A:A, A351) = N351, "✅ Cuadrado", "⚠️ Diferencia"))</f>
        <v/>
      </c>
    </row>
    <row r="352" spans="2:15" x14ac:dyDescent="0.3">
      <c r="B352" s="2" t="s">
        <v>34</v>
      </c>
      <c r="D352">
        <v>436</v>
      </c>
      <c r="E352" s="2" t="s">
        <v>40</v>
      </c>
      <c r="F352" s="2" t="s">
        <v>46</v>
      </c>
      <c r="H352" s="2" t="s">
        <v>54</v>
      </c>
      <c r="I352" s="2" t="s">
        <v>148</v>
      </c>
      <c r="J352" s="2">
        <v>14</v>
      </c>
      <c r="K352" s="5">
        <v>2500</v>
      </c>
      <c r="L352" s="5">
        <v>2500</v>
      </c>
      <c r="M352" s="5">
        <v>400</v>
      </c>
      <c r="N352" s="8">
        <f t="shared" si="5"/>
        <v>2900</v>
      </c>
      <c r="O352" t="str">
        <f>IF(A352="", "", IF(SUMIFS(BD_FACTURAS!I:I, BD_FACTURAS!A:A, A352) = N352, "✅ Cuadrado", "⚠️ Diferencia"))</f>
        <v/>
      </c>
    </row>
    <row r="353" spans="2:15" x14ac:dyDescent="0.3">
      <c r="B353" s="3" t="s">
        <v>34</v>
      </c>
      <c r="D353">
        <v>437</v>
      </c>
      <c r="E353" s="3" t="s">
        <v>40</v>
      </c>
      <c r="F353" s="3" t="s">
        <v>46</v>
      </c>
      <c r="H353" s="3" t="s">
        <v>54</v>
      </c>
      <c r="I353" s="3" t="s">
        <v>91</v>
      </c>
      <c r="J353" s="3">
        <v>14</v>
      </c>
      <c r="K353" s="6">
        <v>2500</v>
      </c>
      <c r="L353" s="6">
        <v>2500</v>
      </c>
      <c r="M353" s="6">
        <v>400</v>
      </c>
      <c r="N353" s="8">
        <f t="shared" si="5"/>
        <v>2900</v>
      </c>
      <c r="O353" t="str">
        <f>IF(A353="", "", IF(SUMIFS(BD_FACTURAS!I:I, BD_FACTURAS!A:A, A353) = N353, "✅ Cuadrado", "⚠️ Diferencia"))</f>
        <v/>
      </c>
    </row>
    <row r="354" spans="2:15" x14ac:dyDescent="0.3">
      <c r="B354" s="2" t="s">
        <v>34</v>
      </c>
      <c r="D354">
        <v>438</v>
      </c>
      <c r="E354" s="2" t="s">
        <v>40</v>
      </c>
      <c r="F354" s="2" t="s">
        <v>46</v>
      </c>
      <c r="H354" s="2" t="s">
        <v>54</v>
      </c>
      <c r="I354" s="2" t="s">
        <v>79</v>
      </c>
      <c r="J354" s="2">
        <v>14</v>
      </c>
      <c r="K354" s="5">
        <v>2500</v>
      </c>
      <c r="L354" s="5">
        <v>2500</v>
      </c>
      <c r="M354" s="5">
        <v>400</v>
      </c>
      <c r="N354" s="8">
        <f t="shared" si="5"/>
        <v>2900</v>
      </c>
      <c r="O354" t="str">
        <f>IF(A354="", "", IF(SUMIFS(BD_FACTURAS!I:I, BD_FACTURAS!A:A, A354) = N354, "✅ Cuadrado", "⚠️ Diferencia"))</f>
        <v/>
      </c>
    </row>
    <row r="355" spans="2:15" x14ac:dyDescent="0.3">
      <c r="B355" s="3" t="s">
        <v>34</v>
      </c>
      <c r="D355">
        <v>439</v>
      </c>
      <c r="E355" s="3" t="s">
        <v>40</v>
      </c>
      <c r="F355" s="3" t="s">
        <v>48</v>
      </c>
      <c r="H355" s="3" t="s">
        <v>54</v>
      </c>
      <c r="I355" s="3" t="s">
        <v>147</v>
      </c>
      <c r="J355" s="3">
        <v>0</v>
      </c>
      <c r="K355" s="6">
        <v>2500</v>
      </c>
      <c r="L355" s="6">
        <v>2500</v>
      </c>
      <c r="M355" s="6">
        <v>400</v>
      </c>
      <c r="N355" s="8">
        <f t="shared" si="5"/>
        <v>2900</v>
      </c>
      <c r="O355" t="str">
        <f>IF(A355="", "", IF(SUMIFS(BD_FACTURAS!I:I, BD_FACTURAS!A:A, A355) = N355, "✅ Cuadrado", "⚠️ Diferencia"))</f>
        <v/>
      </c>
    </row>
    <row r="356" spans="2:15" x14ac:dyDescent="0.3">
      <c r="B356" s="2" t="s">
        <v>34</v>
      </c>
      <c r="D356">
        <v>440</v>
      </c>
      <c r="E356" s="2" t="s">
        <v>40</v>
      </c>
      <c r="F356" s="2" t="s">
        <v>46</v>
      </c>
      <c r="H356" s="2" t="s">
        <v>54</v>
      </c>
      <c r="I356" s="2" t="s">
        <v>149</v>
      </c>
      <c r="J356" s="2">
        <v>14</v>
      </c>
      <c r="K356" s="5">
        <v>2500</v>
      </c>
      <c r="L356" s="5">
        <v>2500</v>
      </c>
      <c r="M356" s="5">
        <v>400</v>
      </c>
      <c r="N356" s="8">
        <f t="shared" si="5"/>
        <v>2900</v>
      </c>
      <c r="O356" t="str">
        <f>IF(A356="", "", IF(SUMIFS(BD_FACTURAS!I:I, BD_FACTURAS!A:A, A356) = N356, "✅ Cuadrado", "⚠️ Diferencia"))</f>
        <v/>
      </c>
    </row>
    <row r="357" spans="2:15" x14ac:dyDescent="0.3">
      <c r="B357" s="3" t="s">
        <v>34</v>
      </c>
      <c r="D357">
        <v>441</v>
      </c>
      <c r="E357" s="3" t="s">
        <v>40</v>
      </c>
      <c r="F357" s="3" t="s">
        <v>46</v>
      </c>
      <c r="H357" s="3" t="s">
        <v>54</v>
      </c>
      <c r="I357" s="3" t="s">
        <v>150</v>
      </c>
      <c r="J357" s="3">
        <v>14</v>
      </c>
      <c r="K357" s="6">
        <v>2500</v>
      </c>
      <c r="L357" s="6">
        <v>2500</v>
      </c>
      <c r="M357" s="6">
        <v>400</v>
      </c>
      <c r="N357" s="8">
        <f t="shared" si="5"/>
        <v>2900</v>
      </c>
      <c r="O357" t="str">
        <f>IF(A357="", "", IF(SUMIFS(BD_FACTURAS!I:I, BD_FACTURAS!A:A, A357) = N357, "✅ Cuadrado", "⚠️ Diferencia"))</f>
        <v/>
      </c>
    </row>
    <row r="358" spans="2:15" x14ac:dyDescent="0.3">
      <c r="B358" s="2" t="s">
        <v>34</v>
      </c>
      <c r="D358">
        <v>442</v>
      </c>
      <c r="E358" s="2" t="s">
        <v>40</v>
      </c>
      <c r="F358" s="2" t="s">
        <v>46</v>
      </c>
      <c r="H358" s="2" t="s">
        <v>54</v>
      </c>
      <c r="I358" s="2" t="s">
        <v>151</v>
      </c>
      <c r="J358" s="2">
        <v>14</v>
      </c>
      <c r="K358" s="5">
        <v>2500</v>
      </c>
      <c r="L358" s="5">
        <v>2500</v>
      </c>
      <c r="M358" s="5">
        <v>400</v>
      </c>
      <c r="N358" s="8">
        <f t="shared" si="5"/>
        <v>2900</v>
      </c>
      <c r="O358" t="str">
        <f>IF(A358="", "", IF(SUMIFS(BD_FACTURAS!I:I, BD_FACTURAS!A:A, A358) = N358, "✅ Cuadrado", "⚠️ Diferencia"))</f>
        <v/>
      </c>
    </row>
    <row r="359" spans="2:15" x14ac:dyDescent="0.3">
      <c r="B359" s="3" t="s">
        <v>34</v>
      </c>
      <c r="D359">
        <v>443</v>
      </c>
      <c r="E359" s="3" t="s">
        <v>40</v>
      </c>
      <c r="F359" s="3" t="s">
        <v>46</v>
      </c>
      <c r="H359" s="3" t="s">
        <v>54</v>
      </c>
      <c r="I359" s="3" t="s">
        <v>70</v>
      </c>
      <c r="J359" s="3">
        <v>14</v>
      </c>
      <c r="K359" s="6">
        <v>2500</v>
      </c>
      <c r="L359" s="6">
        <v>2500</v>
      </c>
      <c r="M359" s="6">
        <v>400</v>
      </c>
      <c r="N359" s="8">
        <f t="shared" si="5"/>
        <v>2900</v>
      </c>
      <c r="O359" t="str">
        <f>IF(A359="", "", IF(SUMIFS(BD_FACTURAS!I:I, BD_FACTURAS!A:A, A359) = N359, "✅ Cuadrado", "⚠️ Diferencia"))</f>
        <v/>
      </c>
    </row>
    <row r="360" spans="2:15" x14ac:dyDescent="0.3">
      <c r="B360" s="2" t="s">
        <v>36</v>
      </c>
      <c r="D360">
        <v>444</v>
      </c>
      <c r="E360" s="2" t="s">
        <v>40</v>
      </c>
      <c r="F360" s="2" t="s">
        <v>46</v>
      </c>
      <c r="H360" s="2" t="s">
        <v>54</v>
      </c>
      <c r="I360" s="2" t="s">
        <v>88</v>
      </c>
      <c r="J360" s="2">
        <v>14</v>
      </c>
      <c r="K360" s="5">
        <v>2500</v>
      </c>
      <c r="L360" s="5">
        <v>2500</v>
      </c>
      <c r="M360" s="5">
        <v>400</v>
      </c>
      <c r="N360" s="8">
        <f t="shared" si="5"/>
        <v>2900</v>
      </c>
      <c r="O360" t="str">
        <f>IF(A360="", "", IF(SUMIFS(BD_FACTURAS!I:I, BD_FACTURAS!A:A, A360) = N360, "✅ Cuadrado", "⚠️ Diferencia"))</f>
        <v/>
      </c>
    </row>
    <row r="361" spans="2:15" x14ac:dyDescent="0.3">
      <c r="B361" s="3" t="s">
        <v>36</v>
      </c>
      <c r="D361">
        <v>445</v>
      </c>
      <c r="E361" s="3" t="s">
        <v>40</v>
      </c>
      <c r="F361" s="3" t="s">
        <v>46</v>
      </c>
      <c r="H361" s="3" t="s">
        <v>54</v>
      </c>
      <c r="I361" s="3" t="s">
        <v>57</v>
      </c>
      <c r="J361" s="3">
        <v>14</v>
      </c>
      <c r="K361" s="6">
        <v>2500</v>
      </c>
      <c r="L361" s="6">
        <v>2500</v>
      </c>
      <c r="M361" s="6">
        <v>400</v>
      </c>
      <c r="N361" s="8">
        <f t="shared" si="5"/>
        <v>2900</v>
      </c>
      <c r="O361" t="str">
        <f>IF(A361="", "", IF(SUMIFS(BD_FACTURAS!I:I, BD_FACTURAS!A:A, A361) = N361, "✅ Cuadrado", "⚠️ Diferencia"))</f>
        <v/>
      </c>
    </row>
    <row r="362" spans="2:15" x14ac:dyDescent="0.3">
      <c r="B362" s="2" t="s">
        <v>36</v>
      </c>
      <c r="D362">
        <v>446</v>
      </c>
      <c r="E362" s="2" t="s">
        <v>40</v>
      </c>
      <c r="F362" s="2" t="s">
        <v>46</v>
      </c>
      <c r="H362" s="2" t="s">
        <v>54</v>
      </c>
      <c r="I362" s="2" t="s">
        <v>60</v>
      </c>
      <c r="J362" s="2">
        <v>14</v>
      </c>
      <c r="K362" s="5">
        <v>2500</v>
      </c>
      <c r="L362" s="5">
        <v>2500</v>
      </c>
      <c r="M362" s="5">
        <v>400</v>
      </c>
      <c r="N362" s="8">
        <f t="shared" si="5"/>
        <v>2900</v>
      </c>
      <c r="O362" t="str">
        <f>IF(A362="", "", IF(SUMIFS(BD_FACTURAS!I:I, BD_FACTURAS!A:A, A362) = N362, "✅ Cuadrado", "⚠️ Diferencia"))</f>
        <v/>
      </c>
    </row>
    <row r="363" spans="2:15" x14ac:dyDescent="0.3">
      <c r="B363" s="3" t="s">
        <v>36</v>
      </c>
      <c r="D363">
        <v>447</v>
      </c>
      <c r="E363" s="3" t="s">
        <v>40</v>
      </c>
      <c r="F363" s="3" t="s">
        <v>48</v>
      </c>
      <c r="H363" s="3" t="s">
        <v>54</v>
      </c>
      <c r="I363" s="3" t="s">
        <v>147</v>
      </c>
      <c r="J363" s="3">
        <v>0</v>
      </c>
      <c r="K363" s="6">
        <v>2500</v>
      </c>
      <c r="L363" s="6">
        <v>2500</v>
      </c>
      <c r="M363" s="6">
        <v>400</v>
      </c>
      <c r="N363" s="8">
        <f t="shared" si="5"/>
        <v>2900</v>
      </c>
      <c r="O363" t="str">
        <f>IF(A363="", "", IF(SUMIFS(BD_FACTURAS!I:I, BD_FACTURAS!A:A, A363) = N363, "✅ Cuadrado", "⚠️ Diferencia"))</f>
        <v/>
      </c>
    </row>
    <row r="364" spans="2:15" x14ac:dyDescent="0.3">
      <c r="B364" s="2" t="s">
        <v>36</v>
      </c>
      <c r="D364">
        <v>448</v>
      </c>
      <c r="E364" s="2" t="s">
        <v>40</v>
      </c>
      <c r="F364" s="2" t="s">
        <v>46</v>
      </c>
      <c r="H364" s="2" t="s">
        <v>54</v>
      </c>
      <c r="I364" s="2" t="s">
        <v>58</v>
      </c>
      <c r="J364" s="2">
        <v>14</v>
      </c>
      <c r="K364" s="5">
        <v>2500</v>
      </c>
      <c r="L364" s="5">
        <v>2500</v>
      </c>
      <c r="M364" s="5">
        <v>400</v>
      </c>
      <c r="N364" s="8">
        <f t="shared" si="5"/>
        <v>2900</v>
      </c>
      <c r="O364" t="str">
        <f>IF(A364="", "", IF(SUMIFS(BD_FACTURAS!I:I, BD_FACTURAS!A:A, A364) = N364, "✅ Cuadrado", "⚠️ Diferencia"))</f>
        <v/>
      </c>
    </row>
    <row r="365" spans="2:15" x14ac:dyDescent="0.3">
      <c r="B365" s="3" t="s">
        <v>36</v>
      </c>
      <c r="D365">
        <v>449</v>
      </c>
      <c r="E365" s="3" t="s">
        <v>40</v>
      </c>
      <c r="F365" s="3" t="s">
        <v>46</v>
      </c>
      <c r="H365" s="3" t="s">
        <v>54</v>
      </c>
      <c r="I365" s="3" t="s">
        <v>152</v>
      </c>
      <c r="J365" s="3">
        <v>14</v>
      </c>
      <c r="K365" s="6">
        <v>2500</v>
      </c>
      <c r="L365" s="6">
        <v>2500</v>
      </c>
      <c r="M365" s="6">
        <v>400</v>
      </c>
      <c r="N365" s="8">
        <f t="shared" si="5"/>
        <v>2900</v>
      </c>
      <c r="O365" t="str">
        <f>IF(A365="", "", IF(SUMIFS(BD_FACTURAS!I:I, BD_FACTURAS!A:A, A365) = N365, "✅ Cuadrado", "⚠️ Diferencia"))</f>
        <v/>
      </c>
    </row>
    <row r="366" spans="2:15" x14ac:dyDescent="0.3">
      <c r="B366" s="2" t="s">
        <v>37</v>
      </c>
      <c r="D366">
        <v>601</v>
      </c>
      <c r="E366" s="2" t="s">
        <v>40</v>
      </c>
      <c r="F366" s="2" t="s">
        <v>46</v>
      </c>
      <c r="H366" s="2" t="s">
        <v>54</v>
      </c>
      <c r="I366" s="2" t="s">
        <v>58</v>
      </c>
      <c r="J366" s="2">
        <v>14</v>
      </c>
      <c r="K366" s="5">
        <v>2500</v>
      </c>
      <c r="L366" s="5">
        <v>2500</v>
      </c>
      <c r="M366" s="5">
        <v>400</v>
      </c>
      <c r="N366" s="8">
        <f t="shared" si="5"/>
        <v>2900</v>
      </c>
      <c r="O366" t="str">
        <f>IF(A366="", "", IF(SUMIFS(BD_FACTURAS!I:I, BD_FACTURAS!A:A, A366) = N366, "✅ Cuadrado", "⚠️ Diferencia"))</f>
        <v/>
      </c>
    </row>
    <row r="367" spans="2:15" x14ac:dyDescent="0.3">
      <c r="B367" s="3" t="s">
        <v>37</v>
      </c>
      <c r="D367">
        <v>602</v>
      </c>
      <c r="E367" s="3" t="s">
        <v>40</v>
      </c>
      <c r="F367" s="3" t="s">
        <v>46</v>
      </c>
      <c r="H367" s="3" t="s">
        <v>54</v>
      </c>
      <c r="I367" s="3" t="s">
        <v>60</v>
      </c>
      <c r="J367" s="3">
        <v>14</v>
      </c>
      <c r="K367" s="6">
        <v>2500</v>
      </c>
      <c r="L367" s="6">
        <v>2500</v>
      </c>
      <c r="M367" s="6">
        <v>400</v>
      </c>
      <c r="N367" s="8">
        <f t="shared" si="5"/>
        <v>2900</v>
      </c>
      <c r="O367" t="str">
        <f>IF(A367="", "", IF(SUMIFS(BD_FACTURAS!I:I, BD_FACTURAS!A:A, A367) = N367, "✅ Cuadrado", "⚠️ Diferencia"))</f>
        <v/>
      </c>
    </row>
    <row r="368" spans="2:15" x14ac:dyDescent="0.3">
      <c r="B368" s="2" t="s">
        <v>37</v>
      </c>
      <c r="D368">
        <v>603</v>
      </c>
      <c r="E368" s="2" t="s">
        <v>40</v>
      </c>
      <c r="F368" s="2" t="s">
        <v>46</v>
      </c>
      <c r="H368" s="2" t="s">
        <v>54</v>
      </c>
      <c r="I368" s="2" t="s">
        <v>88</v>
      </c>
      <c r="J368" s="2">
        <v>14</v>
      </c>
      <c r="K368" s="5">
        <v>2500</v>
      </c>
      <c r="L368" s="5">
        <v>2500</v>
      </c>
      <c r="M368" s="5">
        <v>400</v>
      </c>
      <c r="N368" s="8">
        <f t="shared" si="5"/>
        <v>2900</v>
      </c>
      <c r="O368" t="str">
        <f>IF(A368="", "", IF(SUMIFS(BD_FACTURAS!I:I, BD_FACTURAS!A:A, A368) = N368, "✅ Cuadrado", "⚠️ Diferencia"))</f>
        <v/>
      </c>
    </row>
    <row r="369" spans="2:15" x14ac:dyDescent="0.3">
      <c r="B369" s="3" t="s">
        <v>37</v>
      </c>
      <c r="D369">
        <v>604</v>
      </c>
      <c r="E369" s="3" t="s">
        <v>40</v>
      </c>
      <c r="F369" s="3" t="s">
        <v>46</v>
      </c>
      <c r="H369" s="3" t="s">
        <v>54</v>
      </c>
      <c r="I369" s="3" t="s">
        <v>57</v>
      </c>
      <c r="J369" s="3">
        <v>14</v>
      </c>
      <c r="K369" s="6">
        <v>2500</v>
      </c>
      <c r="L369" s="6">
        <v>2500</v>
      </c>
      <c r="M369" s="6">
        <v>400</v>
      </c>
      <c r="N369" s="8">
        <f t="shared" si="5"/>
        <v>2900</v>
      </c>
      <c r="O369" t="str">
        <f>IF(A369="", "", IF(SUMIFS(BD_FACTURAS!I:I, BD_FACTURAS!A:A, A369) = N369, "✅ Cuadrado", "⚠️ Diferencia"))</f>
        <v/>
      </c>
    </row>
    <row r="370" spans="2:15" x14ac:dyDescent="0.3">
      <c r="B370" s="2" t="s">
        <v>37</v>
      </c>
      <c r="D370">
        <v>605</v>
      </c>
      <c r="E370" s="2" t="s">
        <v>40</v>
      </c>
      <c r="F370" s="2" t="s">
        <v>46</v>
      </c>
      <c r="H370" s="2" t="s">
        <v>54</v>
      </c>
      <c r="I370" s="2" t="s">
        <v>152</v>
      </c>
      <c r="J370" s="2">
        <v>14</v>
      </c>
      <c r="K370" s="5">
        <v>2500</v>
      </c>
      <c r="L370" s="5">
        <v>2500</v>
      </c>
      <c r="M370" s="5">
        <v>400</v>
      </c>
      <c r="N370" s="8">
        <f t="shared" si="5"/>
        <v>2900</v>
      </c>
      <c r="O370" t="str">
        <f>IF(A370="", "", IF(SUMIFS(BD_FACTURAS!I:I, BD_FACTURAS!A:A, A370) = N370, "✅ Cuadrado", "⚠️ Diferencia"))</f>
        <v/>
      </c>
    </row>
    <row r="371" spans="2:15" x14ac:dyDescent="0.3">
      <c r="B371" s="3" t="s">
        <v>37</v>
      </c>
      <c r="D371">
        <v>606</v>
      </c>
      <c r="E371" s="3" t="s">
        <v>40</v>
      </c>
      <c r="F371" s="3" t="s">
        <v>46</v>
      </c>
      <c r="H371" s="3" t="s">
        <v>54</v>
      </c>
      <c r="I371" s="3" t="s">
        <v>91</v>
      </c>
      <c r="J371" s="3">
        <v>14</v>
      </c>
      <c r="K371" s="6">
        <v>2500</v>
      </c>
      <c r="L371" s="6">
        <v>2500</v>
      </c>
      <c r="M371" s="6">
        <v>400</v>
      </c>
      <c r="N371" s="8">
        <f t="shared" si="5"/>
        <v>2900</v>
      </c>
      <c r="O371" t="str">
        <f>IF(A371="", "", IF(SUMIFS(BD_FACTURAS!I:I, BD_FACTURAS!A:A, A371) = N371, "✅ Cuadrado", "⚠️ Diferencia"))</f>
        <v/>
      </c>
    </row>
    <row r="372" spans="2:15" x14ac:dyDescent="0.3">
      <c r="B372" s="2" t="s">
        <v>37</v>
      </c>
      <c r="D372">
        <v>607</v>
      </c>
      <c r="E372" s="2" t="s">
        <v>40</v>
      </c>
      <c r="F372" s="2" t="s">
        <v>46</v>
      </c>
      <c r="H372" s="2" t="s">
        <v>54</v>
      </c>
      <c r="I372" s="2" t="s">
        <v>80</v>
      </c>
      <c r="J372" s="2">
        <v>14</v>
      </c>
      <c r="K372" s="5">
        <v>2500</v>
      </c>
      <c r="L372" s="5">
        <v>2500</v>
      </c>
      <c r="M372" s="5">
        <v>400</v>
      </c>
      <c r="N372" s="8">
        <f t="shared" si="5"/>
        <v>2900</v>
      </c>
      <c r="O372" t="str">
        <f>IF(A372="", "", IF(SUMIFS(BD_FACTURAS!I:I, BD_FACTURAS!A:A, A372) = N372, "✅ Cuadrado", "⚠️ Diferencia"))</f>
        <v/>
      </c>
    </row>
    <row r="373" spans="2:15" x14ac:dyDescent="0.3">
      <c r="B373" s="3" t="s">
        <v>37</v>
      </c>
      <c r="D373">
        <v>608</v>
      </c>
      <c r="E373" s="3" t="s">
        <v>40</v>
      </c>
      <c r="F373" s="3" t="s">
        <v>46</v>
      </c>
      <c r="H373" s="3" t="s">
        <v>54</v>
      </c>
      <c r="I373" s="3" t="s">
        <v>79</v>
      </c>
      <c r="J373" s="3">
        <v>14</v>
      </c>
      <c r="K373" s="6">
        <v>2500</v>
      </c>
      <c r="L373" s="6">
        <v>2500</v>
      </c>
      <c r="M373" s="6">
        <v>400</v>
      </c>
      <c r="N373" s="8">
        <f t="shared" si="5"/>
        <v>2900</v>
      </c>
      <c r="O373" t="str">
        <f>IF(A373="", "", IF(SUMIFS(BD_FACTURAS!I:I, BD_FACTURAS!A:A, A373) = N373, "✅ Cuadrado", "⚠️ Diferencia"))</f>
        <v/>
      </c>
    </row>
    <row r="374" spans="2:15" x14ac:dyDescent="0.3">
      <c r="B374" s="2" t="s">
        <v>37</v>
      </c>
      <c r="D374">
        <v>609</v>
      </c>
      <c r="E374" s="2" t="s">
        <v>40</v>
      </c>
      <c r="F374" s="2" t="s">
        <v>46</v>
      </c>
      <c r="H374" s="2" t="s">
        <v>54</v>
      </c>
      <c r="I374" s="2" t="s">
        <v>64</v>
      </c>
      <c r="J374" s="2">
        <v>14</v>
      </c>
      <c r="K374" s="5">
        <v>2500</v>
      </c>
      <c r="L374" s="5">
        <v>2500</v>
      </c>
      <c r="M374" s="5">
        <v>400</v>
      </c>
      <c r="N374" s="8">
        <f t="shared" si="5"/>
        <v>2900</v>
      </c>
      <c r="O374" t="str">
        <f>IF(A374="", "", IF(SUMIFS(BD_FACTURAS!I:I, BD_FACTURAS!A:A, A374) = N374, "✅ Cuadrado", "⚠️ Diferencia"))</f>
        <v/>
      </c>
    </row>
    <row r="375" spans="2:15" x14ac:dyDescent="0.3">
      <c r="B375" s="3" t="s">
        <v>37</v>
      </c>
      <c r="D375">
        <v>610</v>
      </c>
      <c r="E375" s="3" t="s">
        <v>40</v>
      </c>
      <c r="F375" s="3" t="s">
        <v>46</v>
      </c>
      <c r="H375" s="3" t="s">
        <v>54</v>
      </c>
      <c r="I375" s="3" t="s">
        <v>61</v>
      </c>
      <c r="J375" s="3">
        <v>14</v>
      </c>
      <c r="K375" s="6">
        <v>2500</v>
      </c>
      <c r="L375" s="6">
        <v>2500</v>
      </c>
      <c r="M375" s="6">
        <v>400</v>
      </c>
      <c r="N375" s="8">
        <f t="shared" si="5"/>
        <v>2900</v>
      </c>
      <c r="O375" t="str">
        <f>IF(A375="", "", IF(SUMIFS(BD_FACTURAS!I:I, BD_FACTURAS!A:A, A375) = N375, "✅ Cuadrado", "⚠️ Diferencia"))</f>
        <v/>
      </c>
    </row>
    <row r="376" spans="2:15" x14ac:dyDescent="0.3">
      <c r="B376" s="2" t="s">
        <v>37</v>
      </c>
      <c r="D376">
        <v>611</v>
      </c>
      <c r="E376" s="2" t="s">
        <v>40</v>
      </c>
      <c r="F376" s="2" t="s">
        <v>46</v>
      </c>
      <c r="H376" s="2" t="s">
        <v>54</v>
      </c>
      <c r="I376" s="2" t="s">
        <v>153</v>
      </c>
      <c r="J376" s="2">
        <v>14</v>
      </c>
      <c r="K376" s="5">
        <v>2500</v>
      </c>
      <c r="L376" s="5">
        <v>2500</v>
      </c>
      <c r="M376" s="5">
        <v>400</v>
      </c>
      <c r="N376" s="8">
        <f t="shared" si="5"/>
        <v>2900</v>
      </c>
      <c r="O376" t="str">
        <f>IF(A376="", "", IF(SUMIFS(BD_FACTURAS!I:I, BD_FACTURAS!A:A, A376) = N376, "✅ Cuadrado", "⚠️ Diferencia"))</f>
        <v/>
      </c>
    </row>
    <row r="377" spans="2:15" x14ac:dyDescent="0.3">
      <c r="B377" s="3" t="s">
        <v>37</v>
      </c>
      <c r="D377">
        <v>612</v>
      </c>
      <c r="E377" s="3" t="s">
        <v>40</v>
      </c>
      <c r="F377" s="3" t="s">
        <v>46</v>
      </c>
      <c r="H377" s="3" t="s">
        <v>54</v>
      </c>
      <c r="I377" s="3" t="s">
        <v>150</v>
      </c>
      <c r="J377" s="3">
        <v>14</v>
      </c>
      <c r="K377" s="6">
        <v>2500</v>
      </c>
      <c r="L377" s="6">
        <v>2500</v>
      </c>
      <c r="M377" s="6">
        <v>400</v>
      </c>
      <c r="N377" s="8">
        <f t="shared" si="5"/>
        <v>2900</v>
      </c>
      <c r="O377" t="str">
        <f>IF(A377="", "", IF(SUMIFS(BD_FACTURAS!I:I, BD_FACTURAS!A:A, A377) = N377, "✅ Cuadrado", "⚠️ Diferencia"))</f>
        <v/>
      </c>
    </row>
    <row r="378" spans="2:15" x14ac:dyDescent="0.3">
      <c r="B378" s="2" t="s">
        <v>37</v>
      </c>
      <c r="D378">
        <v>613</v>
      </c>
      <c r="E378" s="2" t="s">
        <v>40</v>
      </c>
      <c r="F378" s="2" t="s">
        <v>46</v>
      </c>
      <c r="H378" s="2" t="s">
        <v>54</v>
      </c>
      <c r="I378" s="2" t="s">
        <v>64</v>
      </c>
      <c r="J378" s="2">
        <v>14</v>
      </c>
      <c r="K378" s="5">
        <v>2500</v>
      </c>
      <c r="L378" s="5">
        <v>2500</v>
      </c>
      <c r="M378" s="5">
        <v>400</v>
      </c>
      <c r="N378" s="8">
        <f t="shared" si="5"/>
        <v>2900</v>
      </c>
      <c r="O378" t="str">
        <f>IF(A378="", "", IF(SUMIFS(BD_FACTURAS!I:I, BD_FACTURAS!A:A, A378) = N378, "✅ Cuadrado", "⚠️ Diferencia"))</f>
        <v/>
      </c>
    </row>
    <row r="379" spans="2:15" x14ac:dyDescent="0.3">
      <c r="B379" s="3" t="s">
        <v>37</v>
      </c>
      <c r="D379">
        <v>614</v>
      </c>
      <c r="E379" s="3" t="s">
        <v>40</v>
      </c>
      <c r="F379" s="3" t="s">
        <v>46</v>
      </c>
      <c r="H379" s="3" t="s">
        <v>54</v>
      </c>
      <c r="I379" s="3" t="s">
        <v>61</v>
      </c>
      <c r="J379" s="3">
        <v>14</v>
      </c>
      <c r="K379" s="6">
        <v>2500</v>
      </c>
      <c r="L379" s="6">
        <v>2500</v>
      </c>
      <c r="M379" s="6">
        <v>400</v>
      </c>
      <c r="N379" s="8">
        <f t="shared" si="5"/>
        <v>2900</v>
      </c>
      <c r="O379" t="str">
        <f>IF(A379="", "", IF(SUMIFS(BD_FACTURAS!I:I, BD_FACTURAS!A:A, A379) = N379, "✅ Cuadrado", "⚠️ Diferencia"))</f>
        <v/>
      </c>
    </row>
    <row r="380" spans="2:15" x14ac:dyDescent="0.3">
      <c r="B380" s="2" t="s">
        <v>37</v>
      </c>
      <c r="D380">
        <v>615</v>
      </c>
      <c r="E380" s="2" t="s">
        <v>40</v>
      </c>
      <c r="F380" s="2" t="s">
        <v>46</v>
      </c>
      <c r="H380" s="2" t="s">
        <v>54</v>
      </c>
      <c r="I380" s="2" t="s">
        <v>148</v>
      </c>
      <c r="J380" s="2">
        <v>14</v>
      </c>
      <c r="K380" s="5">
        <v>2500</v>
      </c>
      <c r="L380" s="5">
        <v>2500</v>
      </c>
      <c r="M380" s="5">
        <v>400</v>
      </c>
      <c r="N380" s="8">
        <f t="shared" si="5"/>
        <v>2900</v>
      </c>
      <c r="O380" t="str">
        <f>IF(A380="", "", IF(SUMIFS(BD_FACTURAS!I:I, BD_FACTURAS!A:A, A380) = N380, "✅ Cuadrado", "⚠️ Diferencia"))</f>
        <v/>
      </c>
    </row>
    <row r="381" spans="2:15" x14ac:dyDescent="0.3">
      <c r="B381" s="3" t="s">
        <v>37</v>
      </c>
      <c r="D381">
        <v>616</v>
      </c>
      <c r="E381" s="3" t="s">
        <v>40</v>
      </c>
      <c r="F381" s="3" t="s">
        <v>48</v>
      </c>
      <c r="H381" s="3" t="s">
        <v>54</v>
      </c>
      <c r="I381" s="3" t="s">
        <v>147</v>
      </c>
      <c r="J381" s="3">
        <v>0</v>
      </c>
      <c r="K381" s="6">
        <v>2500</v>
      </c>
      <c r="L381" s="6">
        <v>2500</v>
      </c>
      <c r="M381" s="6">
        <v>400</v>
      </c>
      <c r="N381" s="8">
        <f t="shared" si="5"/>
        <v>2900</v>
      </c>
      <c r="O381" t="str">
        <f>IF(A381="", "", IF(SUMIFS(BD_FACTURAS!I:I, BD_FACTURAS!A:A, A381) = N381, "✅ Cuadrado", "⚠️ Diferencia"))</f>
        <v/>
      </c>
    </row>
    <row r="382" spans="2:15" x14ac:dyDescent="0.3">
      <c r="B382" s="2" t="s">
        <v>38</v>
      </c>
      <c r="D382">
        <v>617</v>
      </c>
      <c r="E382" s="2" t="s">
        <v>40</v>
      </c>
      <c r="F382" s="2" t="s">
        <v>46</v>
      </c>
      <c r="H382" s="2" t="s">
        <v>54</v>
      </c>
      <c r="I382" s="2" t="s">
        <v>95</v>
      </c>
      <c r="J382" s="2">
        <v>14</v>
      </c>
      <c r="K382" s="5">
        <v>2500</v>
      </c>
      <c r="L382" s="5">
        <v>2500</v>
      </c>
      <c r="M382" s="5">
        <v>400</v>
      </c>
      <c r="N382" s="8">
        <f t="shared" si="5"/>
        <v>2900</v>
      </c>
      <c r="O382" t="str">
        <f>IF(A382="", "", IF(SUMIFS(BD_FACTURAS!I:I, BD_FACTURAS!A:A, A382) = N382, "✅ Cuadrado", "⚠️ Diferencia"))</f>
        <v/>
      </c>
    </row>
    <row r="383" spans="2:15" x14ac:dyDescent="0.3">
      <c r="B383" s="3" t="s">
        <v>38</v>
      </c>
      <c r="D383">
        <v>618</v>
      </c>
      <c r="E383" s="3" t="s">
        <v>40</v>
      </c>
      <c r="F383" s="3" t="s">
        <v>46</v>
      </c>
      <c r="H383" s="3" t="s">
        <v>54</v>
      </c>
      <c r="I383" s="3" t="s">
        <v>98</v>
      </c>
      <c r="J383" s="3">
        <v>14</v>
      </c>
      <c r="K383" s="6">
        <v>2500</v>
      </c>
      <c r="L383" s="6">
        <v>2500</v>
      </c>
      <c r="M383" s="6">
        <v>400</v>
      </c>
      <c r="N383" s="8">
        <f t="shared" si="5"/>
        <v>2900</v>
      </c>
      <c r="O383" t="str">
        <f>IF(A383="", "", IF(SUMIFS(BD_FACTURAS!I:I, BD_FACTURAS!A:A, A383) = N383, "✅ Cuadrado", "⚠️ Diferencia"))</f>
        <v/>
      </c>
    </row>
    <row r="384" spans="2:15" x14ac:dyDescent="0.3">
      <c r="B384" s="2" t="s">
        <v>38</v>
      </c>
      <c r="D384">
        <v>619</v>
      </c>
      <c r="E384" s="2" t="s">
        <v>40</v>
      </c>
      <c r="F384" s="2" t="s">
        <v>46</v>
      </c>
      <c r="H384" s="2" t="s">
        <v>54</v>
      </c>
      <c r="I384" s="2" t="s">
        <v>63</v>
      </c>
      <c r="J384" s="2">
        <v>14</v>
      </c>
      <c r="K384" s="5">
        <v>2500</v>
      </c>
      <c r="L384" s="5">
        <v>2500</v>
      </c>
      <c r="M384" s="5">
        <v>400</v>
      </c>
      <c r="N384" s="8">
        <f t="shared" si="5"/>
        <v>2900</v>
      </c>
      <c r="O384" t="str">
        <f>IF(A384="", "", IF(SUMIFS(BD_FACTURAS!I:I, BD_FACTURAS!A:A, A384) = N384, "✅ Cuadrado", "⚠️ Diferencia"))</f>
        <v/>
      </c>
    </row>
    <row r="385" spans="2:15" x14ac:dyDescent="0.3">
      <c r="B385" s="3" t="s">
        <v>38</v>
      </c>
      <c r="D385">
        <v>620</v>
      </c>
      <c r="E385" s="3" t="s">
        <v>40</v>
      </c>
      <c r="F385" s="3" t="s">
        <v>46</v>
      </c>
      <c r="H385" s="3" t="s">
        <v>54</v>
      </c>
      <c r="I385" s="3" t="s">
        <v>64</v>
      </c>
      <c r="J385" s="3">
        <v>14</v>
      </c>
      <c r="K385" s="6">
        <v>2500</v>
      </c>
      <c r="L385" s="6">
        <v>2500</v>
      </c>
      <c r="M385" s="6">
        <v>400</v>
      </c>
      <c r="N385" s="8">
        <f t="shared" si="5"/>
        <v>2900</v>
      </c>
      <c r="O385" t="str">
        <f>IF(A385="", "", IF(SUMIFS(BD_FACTURAS!I:I, BD_FACTURAS!A:A, A385) = N385, "✅ Cuadrado", "⚠️ Diferencia"))</f>
        <v/>
      </c>
    </row>
    <row r="386" spans="2:15" x14ac:dyDescent="0.3">
      <c r="B386" s="2" t="s">
        <v>38</v>
      </c>
      <c r="D386">
        <v>621</v>
      </c>
      <c r="E386" s="2" t="s">
        <v>40</v>
      </c>
      <c r="F386" s="2" t="s">
        <v>46</v>
      </c>
      <c r="H386" s="2" t="s">
        <v>54</v>
      </c>
      <c r="I386" s="2" t="s">
        <v>94</v>
      </c>
      <c r="J386" s="2">
        <v>14</v>
      </c>
      <c r="K386" s="5">
        <v>2500</v>
      </c>
      <c r="L386" s="5">
        <v>2500</v>
      </c>
      <c r="M386" s="5">
        <v>400</v>
      </c>
      <c r="N386" s="8">
        <f t="shared" si="5"/>
        <v>2900</v>
      </c>
      <c r="O386" t="str">
        <f>IF(A386="", "", IF(SUMIFS(BD_FACTURAS!I:I, BD_FACTURAS!A:A, A386) = N386, "✅ Cuadrado", "⚠️ Diferencia"))</f>
        <v/>
      </c>
    </row>
    <row r="387" spans="2:15" x14ac:dyDescent="0.3">
      <c r="B387" s="3" t="s">
        <v>38</v>
      </c>
      <c r="D387">
        <v>622</v>
      </c>
      <c r="E387" s="3" t="s">
        <v>40</v>
      </c>
      <c r="F387" s="3" t="s">
        <v>46</v>
      </c>
      <c r="H387" s="3" t="s">
        <v>54</v>
      </c>
      <c r="I387" s="3" t="s">
        <v>154</v>
      </c>
      <c r="J387" s="3">
        <v>14</v>
      </c>
      <c r="K387" s="6">
        <v>2500</v>
      </c>
      <c r="L387" s="6">
        <v>2500</v>
      </c>
      <c r="M387" s="6">
        <v>400</v>
      </c>
      <c r="N387" s="8">
        <f t="shared" ref="N387:N450" si="6">L387+M387</f>
        <v>2900</v>
      </c>
      <c r="O387" t="str">
        <f>IF(A387="", "", IF(SUMIFS(BD_FACTURAS!I:I, BD_FACTURAS!A:A, A387) = N387, "✅ Cuadrado", "⚠️ Diferencia"))</f>
        <v/>
      </c>
    </row>
    <row r="388" spans="2:15" x14ac:dyDescent="0.3">
      <c r="B388" s="2" t="s">
        <v>38</v>
      </c>
      <c r="D388">
        <v>623</v>
      </c>
      <c r="E388" s="2" t="s">
        <v>40</v>
      </c>
      <c r="F388" s="2" t="s">
        <v>46</v>
      </c>
      <c r="H388" s="2" t="s">
        <v>54</v>
      </c>
      <c r="I388" s="2" t="s">
        <v>95</v>
      </c>
      <c r="J388" s="2">
        <v>14</v>
      </c>
      <c r="K388" s="5">
        <v>2500</v>
      </c>
      <c r="L388" s="5">
        <v>2500</v>
      </c>
      <c r="M388" s="5">
        <v>400</v>
      </c>
      <c r="N388" s="8">
        <f t="shared" si="6"/>
        <v>2900</v>
      </c>
      <c r="O388" t="str">
        <f>IF(A388="", "", IF(SUMIFS(BD_FACTURAS!I:I, BD_FACTURAS!A:A, A388) = N388, "✅ Cuadrado", "⚠️ Diferencia"))</f>
        <v/>
      </c>
    </row>
    <row r="389" spans="2:15" x14ac:dyDescent="0.3">
      <c r="B389" s="3" t="s">
        <v>38</v>
      </c>
      <c r="D389">
        <v>625</v>
      </c>
      <c r="E389" s="3" t="s">
        <v>40</v>
      </c>
      <c r="F389" s="3" t="s">
        <v>46</v>
      </c>
      <c r="H389" s="3" t="s">
        <v>54</v>
      </c>
      <c r="I389" s="3" t="s">
        <v>98</v>
      </c>
      <c r="J389" s="3">
        <v>14</v>
      </c>
      <c r="K389" s="6">
        <v>2500</v>
      </c>
      <c r="L389" s="6">
        <v>2500</v>
      </c>
      <c r="M389" s="6">
        <v>400</v>
      </c>
      <c r="N389" s="8">
        <f t="shared" si="6"/>
        <v>2900</v>
      </c>
      <c r="O389" t="str">
        <f>IF(A389="", "", IF(SUMIFS(BD_FACTURAS!I:I, BD_FACTURAS!A:A, A389) = N389, "✅ Cuadrado", "⚠️ Diferencia"))</f>
        <v/>
      </c>
    </row>
    <row r="390" spans="2:15" x14ac:dyDescent="0.3">
      <c r="B390" s="2" t="s">
        <v>38</v>
      </c>
      <c r="D390">
        <v>226</v>
      </c>
      <c r="E390" s="2" t="s">
        <v>40</v>
      </c>
      <c r="F390" s="2" t="s">
        <v>46</v>
      </c>
      <c r="H390" s="2" t="s">
        <v>54</v>
      </c>
      <c r="I390" s="2" t="s">
        <v>63</v>
      </c>
      <c r="J390" s="2">
        <v>14</v>
      </c>
      <c r="K390" s="5">
        <v>2500</v>
      </c>
      <c r="L390" s="5">
        <v>2500</v>
      </c>
      <c r="M390" s="5">
        <v>400</v>
      </c>
      <c r="N390" s="8">
        <f t="shared" si="6"/>
        <v>2900</v>
      </c>
      <c r="O390" t="str">
        <f>IF(A390="", "", IF(SUMIFS(BD_FACTURAS!I:I, BD_FACTURAS!A:A, A390) = N390, "✅ Cuadrado", "⚠️ Diferencia"))</f>
        <v/>
      </c>
    </row>
    <row r="391" spans="2:15" x14ac:dyDescent="0.3">
      <c r="B391" s="3" t="s">
        <v>38</v>
      </c>
      <c r="D391">
        <v>627</v>
      </c>
      <c r="E391" s="3" t="s">
        <v>40</v>
      </c>
      <c r="F391" s="3" t="s">
        <v>46</v>
      </c>
      <c r="H391" s="3" t="s">
        <v>54</v>
      </c>
      <c r="I391" s="3" t="s">
        <v>94</v>
      </c>
      <c r="J391" s="3">
        <v>14</v>
      </c>
      <c r="K391" s="6">
        <v>2500</v>
      </c>
      <c r="L391" s="6">
        <v>2500</v>
      </c>
      <c r="M391" s="6">
        <v>400</v>
      </c>
      <c r="N391" s="8">
        <f t="shared" si="6"/>
        <v>2900</v>
      </c>
      <c r="O391" t="str">
        <f>IF(A391="", "", IF(SUMIFS(BD_FACTURAS!I:I, BD_FACTURAS!A:A, A391) = N391, "✅ Cuadrado", "⚠️ Diferencia"))</f>
        <v/>
      </c>
    </row>
    <row r="392" spans="2:15" x14ac:dyDescent="0.3">
      <c r="B392" s="2" t="s">
        <v>38</v>
      </c>
      <c r="D392">
        <v>628</v>
      </c>
      <c r="E392" s="2" t="s">
        <v>40</v>
      </c>
      <c r="F392" s="2" t="s">
        <v>46</v>
      </c>
      <c r="H392" s="2" t="s">
        <v>54</v>
      </c>
      <c r="I392" s="2" t="s">
        <v>154</v>
      </c>
      <c r="J392" s="2">
        <v>14</v>
      </c>
      <c r="K392" s="5">
        <v>2500</v>
      </c>
      <c r="L392" s="5">
        <v>2500</v>
      </c>
      <c r="M392" s="5">
        <v>400</v>
      </c>
      <c r="N392" s="8">
        <f t="shared" si="6"/>
        <v>2900</v>
      </c>
      <c r="O392" t="str">
        <f>IF(A392="", "", IF(SUMIFS(BD_FACTURAS!I:I, BD_FACTURAS!A:A, A392) = N392, "✅ Cuadrado", "⚠️ Diferencia"))</f>
        <v/>
      </c>
    </row>
    <row r="393" spans="2:15" x14ac:dyDescent="0.3">
      <c r="B393" s="3" t="s">
        <v>38</v>
      </c>
      <c r="D393">
        <v>629</v>
      </c>
      <c r="E393" s="3" t="s">
        <v>40</v>
      </c>
      <c r="F393" s="3" t="s">
        <v>46</v>
      </c>
      <c r="H393" s="3" t="s">
        <v>54</v>
      </c>
      <c r="I393" s="3" t="s">
        <v>98</v>
      </c>
      <c r="J393" s="3">
        <v>14</v>
      </c>
      <c r="K393" s="6">
        <v>2500</v>
      </c>
      <c r="L393" s="6">
        <v>2500</v>
      </c>
      <c r="M393" s="6">
        <v>400</v>
      </c>
      <c r="N393" s="8">
        <f t="shared" si="6"/>
        <v>2900</v>
      </c>
      <c r="O393" t="str">
        <f>IF(A393="", "", IF(SUMIFS(BD_FACTURAS!I:I, BD_FACTURAS!A:A, A393) = N393, "✅ Cuadrado", "⚠️ Diferencia"))</f>
        <v/>
      </c>
    </row>
    <row r="394" spans="2:15" x14ac:dyDescent="0.3">
      <c r="B394" s="2" t="s">
        <v>38</v>
      </c>
      <c r="D394">
        <v>630</v>
      </c>
      <c r="E394" s="2" t="s">
        <v>40</v>
      </c>
      <c r="F394" s="2" t="s">
        <v>46</v>
      </c>
      <c r="H394" s="2" t="s">
        <v>54</v>
      </c>
      <c r="I394" s="2" t="s">
        <v>94</v>
      </c>
      <c r="J394" s="2">
        <v>14</v>
      </c>
      <c r="K394" s="5">
        <v>2500</v>
      </c>
      <c r="L394" s="5">
        <v>2500</v>
      </c>
      <c r="M394" s="5">
        <v>400</v>
      </c>
      <c r="N394" s="8">
        <f t="shared" si="6"/>
        <v>2900</v>
      </c>
      <c r="O394" t="str">
        <f>IF(A394="", "", IF(SUMIFS(BD_FACTURAS!I:I, BD_FACTURAS!A:A, A394) = N394, "✅ Cuadrado", "⚠️ Diferencia"))</f>
        <v/>
      </c>
    </row>
    <row r="395" spans="2:15" x14ac:dyDescent="0.3">
      <c r="B395" s="3" t="s">
        <v>38</v>
      </c>
      <c r="D395">
        <v>631</v>
      </c>
      <c r="E395" s="3" t="s">
        <v>40</v>
      </c>
      <c r="F395" s="3" t="s">
        <v>46</v>
      </c>
      <c r="H395" s="3" t="s">
        <v>54</v>
      </c>
      <c r="I395" s="3" t="s">
        <v>154</v>
      </c>
      <c r="J395" s="3">
        <v>14</v>
      </c>
      <c r="K395" s="6">
        <v>2500</v>
      </c>
      <c r="L395" s="6">
        <v>2500</v>
      </c>
      <c r="M395" s="6">
        <v>400</v>
      </c>
      <c r="N395" s="8">
        <f t="shared" si="6"/>
        <v>2900</v>
      </c>
      <c r="O395" t="str">
        <f>IF(A395="", "", IF(SUMIFS(BD_FACTURAS!I:I, BD_FACTURAS!A:A, A395) = N395, "✅ Cuadrado", "⚠️ Diferencia"))</f>
        <v/>
      </c>
    </row>
    <row r="396" spans="2:15" x14ac:dyDescent="0.3">
      <c r="B396" s="2" t="s">
        <v>38</v>
      </c>
      <c r="D396">
        <v>632</v>
      </c>
      <c r="E396" s="2" t="s">
        <v>40</v>
      </c>
      <c r="F396" s="2" t="s">
        <v>46</v>
      </c>
      <c r="H396" s="2" t="s">
        <v>54</v>
      </c>
      <c r="I396" s="2" t="s">
        <v>98</v>
      </c>
      <c r="J396" s="2">
        <v>14</v>
      </c>
      <c r="K396" s="5">
        <v>2500</v>
      </c>
      <c r="L396" s="5">
        <v>2500</v>
      </c>
      <c r="M396" s="5">
        <v>400</v>
      </c>
      <c r="N396" s="8">
        <f t="shared" si="6"/>
        <v>2900</v>
      </c>
      <c r="O396" t="str">
        <f>IF(A396="", "", IF(SUMIFS(BD_FACTURAS!I:I, BD_FACTURAS!A:A, A396) = N396, "✅ Cuadrado", "⚠️ Diferencia"))</f>
        <v/>
      </c>
    </row>
    <row r="397" spans="2:15" x14ac:dyDescent="0.3">
      <c r="B397" s="3" t="s">
        <v>38</v>
      </c>
      <c r="D397">
        <v>633</v>
      </c>
      <c r="E397" s="3" t="s">
        <v>40</v>
      </c>
      <c r="F397" s="3" t="s">
        <v>46</v>
      </c>
      <c r="H397" s="3" t="s">
        <v>54</v>
      </c>
      <c r="I397" s="3" t="s">
        <v>64</v>
      </c>
      <c r="J397" s="3">
        <v>14</v>
      </c>
      <c r="K397" s="6">
        <v>2500</v>
      </c>
      <c r="L397" s="6">
        <v>2500</v>
      </c>
      <c r="M397" s="6">
        <v>400</v>
      </c>
      <c r="N397" s="8">
        <f t="shared" si="6"/>
        <v>2900</v>
      </c>
      <c r="O397" t="str">
        <f>IF(A397="", "", IF(SUMIFS(BD_FACTURAS!I:I, BD_FACTURAS!A:A, A397) = N397, "✅ Cuadrado", "⚠️ Diferencia"))</f>
        <v/>
      </c>
    </row>
    <row r="398" spans="2:15" x14ac:dyDescent="0.3">
      <c r="B398" s="2" t="s">
        <v>38</v>
      </c>
      <c r="D398">
        <v>634</v>
      </c>
      <c r="E398" s="2" t="s">
        <v>40</v>
      </c>
      <c r="F398" s="2" t="s">
        <v>46</v>
      </c>
      <c r="H398" s="2" t="s">
        <v>54</v>
      </c>
      <c r="I398" s="2" t="s">
        <v>94</v>
      </c>
      <c r="J398" s="2">
        <v>14</v>
      </c>
      <c r="K398" s="5">
        <v>2500</v>
      </c>
      <c r="L398" s="5">
        <v>2500</v>
      </c>
      <c r="M398" s="5">
        <v>400</v>
      </c>
      <c r="N398" s="8">
        <f t="shared" si="6"/>
        <v>2900</v>
      </c>
      <c r="O398" t="str">
        <f>IF(A398="", "", IF(SUMIFS(BD_FACTURAS!I:I, BD_FACTURAS!A:A, A398) = N398, "✅ Cuadrado", "⚠️ Diferencia"))</f>
        <v/>
      </c>
    </row>
    <row r="399" spans="2:15" x14ac:dyDescent="0.3">
      <c r="B399" s="3" t="s">
        <v>38</v>
      </c>
      <c r="D399">
        <v>635</v>
      </c>
      <c r="E399" s="3" t="s">
        <v>40</v>
      </c>
      <c r="F399" s="3" t="s">
        <v>46</v>
      </c>
      <c r="H399" s="3" t="s">
        <v>54</v>
      </c>
      <c r="I399" s="3" t="s">
        <v>154</v>
      </c>
      <c r="J399" s="3">
        <v>14</v>
      </c>
      <c r="K399" s="6">
        <v>2500</v>
      </c>
      <c r="L399" s="6">
        <v>2500</v>
      </c>
      <c r="M399" s="6">
        <v>400</v>
      </c>
      <c r="N399" s="8">
        <f t="shared" si="6"/>
        <v>2900</v>
      </c>
      <c r="O399" t="str">
        <f>IF(A399="", "", IF(SUMIFS(BD_FACTURAS!I:I, BD_FACTURAS!A:A, A399) = N399, "✅ Cuadrado", "⚠️ Diferencia"))</f>
        <v/>
      </c>
    </row>
    <row r="400" spans="2:15" x14ac:dyDescent="0.3">
      <c r="B400" s="2" t="s">
        <v>38</v>
      </c>
      <c r="D400">
        <v>636</v>
      </c>
      <c r="E400" s="2" t="s">
        <v>40</v>
      </c>
      <c r="F400" s="2" t="s">
        <v>46</v>
      </c>
      <c r="H400" s="2" t="s">
        <v>54</v>
      </c>
      <c r="I400" s="2" t="s">
        <v>98</v>
      </c>
      <c r="J400" s="2">
        <v>14</v>
      </c>
      <c r="K400" s="5">
        <v>2500</v>
      </c>
      <c r="L400" s="5">
        <v>2500</v>
      </c>
      <c r="M400" s="5">
        <v>400</v>
      </c>
      <c r="N400" s="8">
        <f t="shared" si="6"/>
        <v>2900</v>
      </c>
      <c r="O400" t="str">
        <f>IF(A400="", "", IF(SUMIFS(BD_FACTURAS!I:I, BD_FACTURAS!A:A, A400) = N400, "✅ Cuadrado", "⚠️ Diferencia"))</f>
        <v/>
      </c>
    </row>
    <row r="401" spans="2:15" x14ac:dyDescent="0.3">
      <c r="B401" s="3" t="s">
        <v>38</v>
      </c>
      <c r="D401">
        <v>637</v>
      </c>
      <c r="E401" s="3" t="s">
        <v>40</v>
      </c>
      <c r="F401" s="3" t="s">
        <v>46</v>
      </c>
      <c r="H401" s="3" t="s">
        <v>54</v>
      </c>
      <c r="I401" s="3" t="s">
        <v>64</v>
      </c>
      <c r="J401" s="3">
        <v>14</v>
      </c>
      <c r="K401" s="6">
        <v>2500</v>
      </c>
      <c r="L401" s="6">
        <v>2500</v>
      </c>
      <c r="M401" s="6">
        <v>400</v>
      </c>
      <c r="N401" s="8">
        <f t="shared" si="6"/>
        <v>2900</v>
      </c>
      <c r="O401" t="str">
        <f>IF(A401="", "", IF(SUMIFS(BD_FACTURAS!I:I, BD_FACTURAS!A:A, A401) = N401, "✅ Cuadrado", "⚠️ Diferencia"))</f>
        <v/>
      </c>
    </row>
    <row r="402" spans="2:15" x14ac:dyDescent="0.3">
      <c r="B402" s="2" t="s">
        <v>38</v>
      </c>
      <c r="D402">
        <v>638</v>
      </c>
      <c r="E402" s="2" t="s">
        <v>40</v>
      </c>
      <c r="F402" s="2" t="s">
        <v>46</v>
      </c>
      <c r="H402" s="2" t="s">
        <v>54</v>
      </c>
      <c r="I402" s="2" t="s">
        <v>94</v>
      </c>
      <c r="J402" s="2">
        <v>14</v>
      </c>
      <c r="K402" s="5">
        <v>2500</v>
      </c>
      <c r="L402" s="5">
        <v>2500</v>
      </c>
      <c r="M402" s="5">
        <v>400</v>
      </c>
      <c r="N402" s="8">
        <f t="shared" si="6"/>
        <v>2900</v>
      </c>
      <c r="O402" t="str">
        <f>IF(A402="", "", IF(SUMIFS(BD_FACTURAS!I:I, BD_FACTURAS!A:A, A402) = N402, "✅ Cuadrado", "⚠️ Diferencia"))</f>
        <v/>
      </c>
    </row>
    <row r="403" spans="2:15" x14ac:dyDescent="0.3">
      <c r="B403" s="3" t="s">
        <v>38</v>
      </c>
      <c r="D403">
        <v>639</v>
      </c>
      <c r="E403" s="3"/>
      <c r="F403" s="3" t="s">
        <v>52</v>
      </c>
      <c r="H403" s="3" t="s">
        <v>54</v>
      </c>
      <c r="I403" s="3"/>
      <c r="J403" s="3"/>
      <c r="K403" s="6">
        <v>0</v>
      </c>
      <c r="L403" s="6">
        <v>0</v>
      </c>
      <c r="M403" s="6">
        <v>0</v>
      </c>
      <c r="N403" s="8">
        <f t="shared" si="6"/>
        <v>0</v>
      </c>
      <c r="O403" t="str">
        <f>IF(A403="", "", IF(SUMIFS(BD_FACTURAS!I:I, BD_FACTURAS!A:A, A403) = N403, "✅ Cuadrado", "⚠️ Diferencia"))</f>
        <v/>
      </c>
    </row>
    <row r="404" spans="2:15" x14ac:dyDescent="0.3">
      <c r="B404" s="2"/>
      <c r="D404">
        <v>1</v>
      </c>
      <c r="E404" s="2"/>
      <c r="F404" s="2"/>
      <c r="H404" s="2" t="s">
        <v>54</v>
      </c>
      <c r="I404" s="2"/>
      <c r="J404" s="2"/>
      <c r="K404" s="5">
        <v>0</v>
      </c>
      <c r="L404" s="5">
        <v>0</v>
      </c>
      <c r="M404" s="5">
        <v>0</v>
      </c>
      <c r="N404" s="8">
        <f t="shared" si="6"/>
        <v>0</v>
      </c>
      <c r="O404" t="str">
        <f>IF(A404="", "", IF(SUMIFS(BD_FACTURAS!I:I, BD_FACTURAS!A:A, A404) = N404, "✅ Cuadrado", "⚠️ Diferencia"))</f>
        <v/>
      </c>
    </row>
    <row r="405" spans="2:15" x14ac:dyDescent="0.3">
      <c r="B405" s="3" t="s">
        <v>32</v>
      </c>
      <c r="D405">
        <v>279</v>
      </c>
      <c r="E405" s="3" t="s">
        <v>40</v>
      </c>
      <c r="F405" s="3" t="s">
        <v>53</v>
      </c>
      <c r="H405" s="3" t="s">
        <v>54</v>
      </c>
      <c r="I405" s="3" t="s">
        <v>149</v>
      </c>
      <c r="J405" s="3">
        <v>14</v>
      </c>
      <c r="K405" s="6">
        <v>2850</v>
      </c>
      <c r="L405" s="6">
        <v>2850</v>
      </c>
      <c r="M405" s="6">
        <v>456</v>
      </c>
      <c r="N405" s="8">
        <f t="shared" si="6"/>
        <v>3306</v>
      </c>
      <c r="O405" t="str">
        <f>IF(A405="", "", IF(SUMIFS(BD_FACTURAS!I:I, BD_FACTURAS!A:A, A405) = N405, "✅ Cuadrado", "⚠️ Diferencia"))</f>
        <v/>
      </c>
    </row>
    <row r="406" spans="2:15" x14ac:dyDescent="0.3">
      <c r="B406" s="2" t="s">
        <v>32</v>
      </c>
      <c r="D406">
        <v>280</v>
      </c>
      <c r="E406" s="2" t="s">
        <v>40</v>
      </c>
      <c r="F406" s="2" t="s">
        <v>53</v>
      </c>
      <c r="H406" s="2" t="s">
        <v>54</v>
      </c>
      <c r="I406" s="2" t="s">
        <v>155</v>
      </c>
      <c r="J406" s="2">
        <v>14</v>
      </c>
      <c r="K406" s="5">
        <v>2850</v>
      </c>
      <c r="L406" s="5">
        <v>2850</v>
      </c>
      <c r="M406" s="5">
        <v>456</v>
      </c>
      <c r="N406" s="8">
        <f t="shared" si="6"/>
        <v>3306</v>
      </c>
      <c r="O406" t="str">
        <f>IF(A406="", "", IF(SUMIFS(BD_FACTURAS!I:I, BD_FACTURAS!A:A, A406) = N406, "✅ Cuadrado", "⚠️ Diferencia"))</f>
        <v/>
      </c>
    </row>
    <row r="407" spans="2:15" x14ac:dyDescent="0.3">
      <c r="B407" s="3" t="s">
        <v>32</v>
      </c>
      <c r="D407">
        <v>281</v>
      </c>
      <c r="E407" s="3" t="s">
        <v>40</v>
      </c>
      <c r="F407" s="3" t="s">
        <v>53</v>
      </c>
      <c r="H407" s="3" t="s">
        <v>54</v>
      </c>
      <c r="I407" s="3" t="s">
        <v>156</v>
      </c>
      <c r="J407" s="3">
        <v>14</v>
      </c>
      <c r="K407" s="6">
        <v>2850</v>
      </c>
      <c r="L407" s="6">
        <v>2850</v>
      </c>
      <c r="M407" s="6">
        <v>456</v>
      </c>
      <c r="N407" s="8">
        <f t="shared" si="6"/>
        <v>3306</v>
      </c>
      <c r="O407" t="str">
        <f>IF(A407="", "", IF(SUMIFS(BD_FACTURAS!I:I, BD_FACTURAS!A:A, A407) = N407, "✅ Cuadrado", "⚠️ Diferencia"))</f>
        <v/>
      </c>
    </row>
    <row r="408" spans="2:15" x14ac:dyDescent="0.3">
      <c r="B408" s="2" t="s">
        <v>32</v>
      </c>
      <c r="D408">
        <v>282</v>
      </c>
      <c r="E408" s="2" t="s">
        <v>40</v>
      </c>
      <c r="F408" s="2" t="s">
        <v>53</v>
      </c>
      <c r="H408" s="2" t="s">
        <v>54</v>
      </c>
      <c r="I408" s="2" t="s">
        <v>157</v>
      </c>
      <c r="J408" s="2">
        <v>14</v>
      </c>
      <c r="K408" s="5">
        <v>2850</v>
      </c>
      <c r="L408" s="5">
        <v>2850</v>
      </c>
      <c r="M408" s="5">
        <v>456</v>
      </c>
      <c r="N408" s="8">
        <f t="shared" si="6"/>
        <v>3306</v>
      </c>
      <c r="O408" t="str">
        <f>IF(A408="", "", IF(SUMIFS(BD_FACTURAS!I:I, BD_FACTURAS!A:A, A408) = N408, "✅ Cuadrado", "⚠️ Diferencia"))</f>
        <v/>
      </c>
    </row>
    <row r="409" spans="2:15" x14ac:dyDescent="0.3">
      <c r="B409" s="3" t="s">
        <v>32</v>
      </c>
      <c r="D409">
        <v>283</v>
      </c>
      <c r="E409" s="3" t="s">
        <v>40</v>
      </c>
      <c r="F409" s="3" t="s">
        <v>53</v>
      </c>
      <c r="H409" s="3" t="s">
        <v>54</v>
      </c>
      <c r="I409" s="3" t="s">
        <v>158</v>
      </c>
      <c r="J409" s="3">
        <v>14</v>
      </c>
      <c r="K409" s="6">
        <v>2850</v>
      </c>
      <c r="L409" s="6">
        <v>2850</v>
      </c>
      <c r="M409" s="6">
        <v>456</v>
      </c>
      <c r="N409" s="8">
        <f t="shared" si="6"/>
        <v>3306</v>
      </c>
      <c r="O409" t="str">
        <f>IF(A409="", "", IF(SUMIFS(BD_FACTURAS!I:I, BD_FACTURAS!A:A, A409) = N409, "✅ Cuadrado", "⚠️ Diferencia"))</f>
        <v/>
      </c>
    </row>
    <row r="410" spans="2:15" x14ac:dyDescent="0.3">
      <c r="B410" s="2" t="s">
        <v>32</v>
      </c>
      <c r="D410">
        <v>284</v>
      </c>
      <c r="E410" s="2" t="s">
        <v>40</v>
      </c>
      <c r="F410" s="2" t="s">
        <v>53</v>
      </c>
      <c r="H410" s="2" t="s">
        <v>54</v>
      </c>
      <c r="I410" s="2" t="s">
        <v>88</v>
      </c>
      <c r="J410" s="2">
        <v>14</v>
      </c>
      <c r="K410" s="5">
        <v>2850</v>
      </c>
      <c r="L410" s="5">
        <v>2850</v>
      </c>
      <c r="M410" s="5">
        <v>456</v>
      </c>
      <c r="N410" s="8">
        <f t="shared" si="6"/>
        <v>3306</v>
      </c>
      <c r="O410" t="str">
        <f>IF(A410="", "", IF(SUMIFS(BD_FACTURAS!I:I, BD_FACTURAS!A:A, A410) = N410, "✅ Cuadrado", "⚠️ Diferencia"))</f>
        <v/>
      </c>
    </row>
    <row r="411" spans="2:15" x14ac:dyDescent="0.3">
      <c r="B411" s="3" t="s">
        <v>32</v>
      </c>
      <c r="D411">
        <v>285</v>
      </c>
      <c r="E411" s="3" t="s">
        <v>40</v>
      </c>
      <c r="F411" s="3" t="s">
        <v>53</v>
      </c>
      <c r="H411" s="3" t="s">
        <v>54</v>
      </c>
      <c r="I411" s="3" t="s">
        <v>159</v>
      </c>
      <c r="J411" s="3">
        <v>14</v>
      </c>
      <c r="K411" s="6">
        <v>2850</v>
      </c>
      <c r="L411" s="6">
        <v>2850</v>
      </c>
      <c r="M411" s="6">
        <v>456</v>
      </c>
      <c r="N411" s="8">
        <f t="shared" si="6"/>
        <v>3306</v>
      </c>
      <c r="O411" t="str">
        <f>IF(A411="", "", IF(SUMIFS(BD_FACTURAS!I:I, BD_FACTURAS!A:A, A411) = N411, "✅ Cuadrado", "⚠️ Diferencia"))</f>
        <v/>
      </c>
    </row>
    <row r="412" spans="2:15" x14ac:dyDescent="0.3">
      <c r="B412" s="2" t="s">
        <v>32</v>
      </c>
      <c r="D412">
        <v>286</v>
      </c>
      <c r="E412" s="2" t="s">
        <v>40</v>
      </c>
      <c r="F412" s="2" t="s">
        <v>53</v>
      </c>
      <c r="H412" s="2" t="s">
        <v>54</v>
      </c>
      <c r="I412" s="2" t="s">
        <v>160</v>
      </c>
      <c r="J412" s="2">
        <v>14</v>
      </c>
      <c r="K412" s="5">
        <v>2850</v>
      </c>
      <c r="L412" s="5">
        <v>2850</v>
      </c>
      <c r="M412" s="5">
        <v>456</v>
      </c>
      <c r="N412" s="8">
        <f t="shared" si="6"/>
        <v>3306</v>
      </c>
      <c r="O412" t="str">
        <f>IF(A412="", "", IF(SUMIFS(BD_FACTURAS!I:I, BD_FACTURAS!A:A, A412) = N412, "✅ Cuadrado", "⚠️ Diferencia"))</f>
        <v/>
      </c>
    </row>
    <row r="413" spans="2:15" x14ac:dyDescent="0.3">
      <c r="B413" s="3" t="s">
        <v>33</v>
      </c>
      <c r="D413">
        <v>221</v>
      </c>
      <c r="E413" s="3" t="s">
        <v>40</v>
      </c>
      <c r="F413" s="3" t="s">
        <v>53</v>
      </c>
      <c r="H413" s="3" t="s">
        <v>54</v>
      </c>
      <c r="I413" s="3" t="s">
        <v>161</v>
      </c>
      <c r="J413" s="3">
        <v>14</v>
      </c>
      <c r="K413" s="6">
        <v>2850</v>
      </c>
      <c r="L413" s="6">
        <v>2850</v>
      </c>
      <c r="M413" s="6">
        <v>456</v>
      </c>
      <c r="N413" s="8">
        <f t="shared" si="6"/>
        <v>3306</v>
      </c>
      <c r="O413" t="str">
        <f>IF(A413="", "", IF(SUMIFS(BD_FACTURAS!I:I, BD_FACTURAS!A:A, A413) = N413, "✅ Cuadrado", "⚠️ Diferencia"))</f>
        <v/>
      </c>
    </row>
    <row r="414" spans="2:15" x14ac:dyDescent="0.3">
      <c r="B414" s="2" t="s">
        <v>33</v>
      </c>
      <c r="D414">
        <v>222</v>
      </c>
      <c r="E414" s="2" t="s">
        <v>40</v>
      </c>
      <c r="F414" s="2" t="s">
        <v>53</v>
      </c>
      <c r="H414" s="2" t="s">
        <v>54</v>
      </c>
      <c r="I414" s="2" t="s">
        <v>162</v>
      </c>
      <c r="J414" s="2">
        <v>14</v>
      </c>
      <c r="K414" s="5">
        <v>2850</v>
      </c>
      <c r="L414" s="5">
        <v>2850</v>
      </c>
      <c r="M414" s="5">
        <v>456</v>
      </c>
      <c r="N414" s="8">
        <f t="shared" si="6"/>
        <v>3306</v>
      </c>
      <c r="O414" t="str">
        <f>IF(A414="", "", IF(SUMIFS(BD_FACTURAS!I:I, BD_FACTURAS!A:A, A414) = N414, "✅ Cuadrado", "⚠️ Diferencia"))</f>
        <v/>
      </c>
    </row>
    <row r="415" spans="2:15" x14ac:dyDescent="0.3">
      <c r="B415" s="3" t="s">
        <v>33</v>
      </c>
      <c r="D415">
        <v>223</v>
      </c>
      <c r="E415" s="3" t="s">
        <v>40</v>
      </c>
      <c r="F415" s="3" t="s">
        <v>53</v>
      </c>
      <c r="H415" s="3" t="s">
        <v>54</v>
      </c>
      <c r="I415" s="3" t="s">
        <v>155</v>
      </c>
      <c r="J415" s="3">
        <v>14</v>
      </c>
      <c r="K415" s="6">
        <v>2850</v>
      </c>
      <c r="L415" s="6">
        <v>2850</v>
      </c>
      <c r="M415" s="6">
        <v>456</v>
      </c>
      <c r="N415" s="8">
        <f t="shared" si="6"/>
        <v>3306</v>
      </c>
      <c r="O415" t="str">
        <f>IF(A415="", "", IF(SUMIFS(BD_FACTURAS!I:I, BD_FACTURAS!A:A, A415) = N415, "✅ Cuadrado", "⚠️ Diferencia"))</f>
        <v/>
      </c>
    </row>
    <row r="416" spans="2:15" x14ac:dyDescent="0.3">
      <c r="B416" s="2" t="s">
        <v>33</v>
      </c>
      <c r="D416">
        <v>224</v>
      </c>
      <c r="E416" s="2" t="s">
        <v>40</v>
      </c>
      <c r="F416" s="2" t="s">
        <v>53</v>
      </c>
      <c r="H416" s="2" t="s">
        <v>54</v>
      </c>
      <c r="I416" s="2" t="s">
        <v>158</v>
      </c>
      <c r="J416" s="2">
        <v>14</v>
      </c>
      <c r="K416" s="5">
        <v>2850</v>
      </c>
      <c r="L416" s="5">
        <v>2850</v>
      </c>
      <c r="M416" s="5">
        <v>456</v>
      </c>
      <c r="N416" s="8">
        <f t="shared" si="6"/>
        <v>3306</v>
      </c>
      <c r="O416" t="str">
        <f>IF(A416="", "", IF(SUMIFS(BD_FACTURAS!I:I, BD_FACTURAS!A:A, A416) = N416, "✅ Cuadrado", "⚠️ Diferencia"))</f>
        <v/>
      </c>
    </row>
    <row r="417" spans="2:15" x14ac:dyDescent="0.3">
      <c r="B417" s="3" t="s">
        <v>33</v>
      </c>
      <c r="D417">
        <v>225</v>
      </c>
      <c r="E417" s="3" t="s">
        <v>40</v>
      </c>
      <c r="F417" s="3" t="s">
        <v>53</v>
      </c>
      <c r="H417" s="3" t="s">
        <v>54</v>
      </c>
      <c r="I417" s="3" t="s">
        <v>163</v>
      </c>
      <c r="J417" s="3">
        <v>14</v>
      </c>
      <c r="K417" s="6">
        <v>2850</v>
      </c>
      <c r="L417" s="6">
        <v>2850</v>
      </c>
      <c r="M417" s="6">
        <v>456</v>
      </c>
      <c r="N417" s="8">
        <f t="shared" si="6"/>
        <v>3306</v>
      </c>
      <c r="O417" t="str">
        <f>IF(A417="", "", IF(SUMIFS(BD_FACTURAS!I:I, BD_FACTURAS!A:A, A417) = N417, "✅ Cuadrado", "⚠️ Diferencia"))</f>
        <v/>
      </c>
    </row>
    <row r="418" spans="2:15" x14ac:dyDescent="0.3">
      <c r="B418" s="2" t="s">
        <v>33</v>
      </c>
      <c r="D418">
        <v>226</v>
      </c>
      <c r="E418" s="2" t="s">
        <v>40</v>
      </c>
      <c r="F418" s="2" t="s">
        <v>53</v>
      </c>
      <c r="H418" s="2" t="s">
        <v>54</v>
      </c>
      <c r="I418" s="2" t="s">
        <v>64</v>
      </c>
      <c r="J418" s="2">
        <v>14</v>
      </c>
      <c r="K418" s="5">
        <v>2850</v>
      </c>
      <c r="L418" s="5">
        <v>2850</v>
      </c>
      <c r="M418" s="5">
        <v>456</v>
      </c>
      <c r="N418" s="8">
        <f t="shared" si="6"/>
        <v>3306</v>
      </c>
      <c r="O418" t="str">
        <f>IF(A418="", "", IF(SUMIFS(BD_FACTURAS!I:I, BD_FACTURAS!A:A, A418) = N418, "✅ Cuadrado", "⚠️ Diferencia"))</f>
        <v/>
      </c>
    </row>
    <row r="419" spans="2:15" x14ac:dyDescent="0.3">
      <c r="B419" s="3" t="s">
        <v>33</v>
      </c>
      <c r="D419">
        <v>227</v>
      </c>
      <c r="E419" s="3" t="s">
        <v>40</v>
      </c>
      <c r="F419" s="3" t="s">
        <v>53</v>
      </c>
      <c r="H419" s="3" t="s">
        <v>54</v>
      </c>
      <c r="I419" s="3" t="s">
        <v>164</v>
      </c>
      <c r="J419" s="3">
        <v>14</v>
      </c>
      <c r="K419" s="6">
        <v>2850</v>
      </c>
      <c r="L419" s="6">
        <v>2850</v>
      </c>
      <c r="M419" s="6">
        <v>456</v>
      </c>
      <c r="N419" s="8">
        <f t="shared" si="6"/>
        <v>3306</v>
      </c>
      <c r="O419" t="str">
        <f>IF(A419="", "", IF(SUMIFS(BD_FACTURAS!I:I, BD_FACTURAS!A:A, A419) = N419, "✅ Cuadrado", "⚠️ Diferencia"))</f>
        <v/>
      </c>
    </row>
    <row r="420" spans="2:15" x14ac:dyDescent="0.3">
      <c r="B420" s="2" t="s">
        <v>33</v>
      </c>
      <c r="D420">
        <v>228</v>
      </c>
      <c r="E420" s="2" t="s">
        <v>40</v>
      </c>
      <c r="F420" s="2" t="s">
        <v>53</v>
      </c>
      <c r="H420" s="2" t="s">
        <v>54</v>
      </c>
      <c r="I420" s="2" t="s">
        <v>157</v>
      </c>
      <c r="J420" s="2">
        <v>14</v>
      </c>
      <c r="K420" s="5">
        <v>2850</v>
      </c>
      <c r="L420" s="5">
        <v>2850</v>
      </c>
      <c r="M420" s="5">
        <v>456</v>
      </c>
      <c r="N420" s="8">
        <f t="shared" si="6"/>
        <v>3306</v>
      </c>
      <c r="O420" t="str">
        <f>IF(A420="", "", IF(SUMIFS(BD_FACTURAS!I:I, BD_FACTURAS!A:A, A420) = N420, "✅ Cuadrado", "⚠️ Diferencia"))</f>
        <v/>
      </c>
    </row>
    <row r="421" spans="2:15" x14ac:dyDescent="0.3">
      <c r="B421" s="3" t="s">
        <v>33</v>
      </c>
      <c r="D421">
        <v>229</v>
      </c>
      <c r="E421" s="3" t="s">
        <v>40</v>
      </c>
      <c r="F421" s="3" t="s">
        <v>53</v>
      </c>
      <c r="H421" s="3" t="s">
        <v>54</v>
      </c>
      <c r="I421" s="3" t="s">
        <v>165</v>
      </c>
      <c r="J421" s="3">
        <v>14</v>
      </c>
      <c r="K421" s="6">
        <v>2850</v>
      </c>
      <c r="L421" s="6">
        <v>2850</v>
      </c>
      <c r="M421" s="6">
        <v>456</v>
      </c>
      <c r="N421" s="8">
        <f t="shared" si="6"/>
        <v>3306</v>
      </c>
      <c r="O421" t="str">
        <f>IF(A421="", "", IF(SUMIFS(BD_FACTURAS!I:I, BD_FACTURAS!A:A, A421) = N421, "✅ Cuadrado", "⚠️ Diferencia"))</f>
        <v/>
      </c>
    </row>
    <row r="422" spans="2:15" x14ac:dyDescent="0.3">
      <c r="B422" s="2" t="s">
        <v>33</v>
      </c>
      <c r="D422">
        <v>230</v>
      </c>
      <c r="E422" s="2" t="s">
        <v>40</v>
      </c>
      <c r="F422" s="2" t="s">
        <v>53</v>
      </c>
      <c r="H422" s="2" t="s">
        <v>54</v>
      </c>
      <c r="I422" s="2" t="s">
        <v>166</v>
      </c>
      <c r="J422" s="2">
        <v>14</v>
      </c>
      <c r="K422" s="5">
        <v>2850</v>
      </c>
      <c r="L422" s="5">
        <v>2850</v>
      </c>
      <c r="M422" s="5">
        <v>456</v>
      </c>
      <c r="N422" s="8">
        <f t="shared" si="6"/>
        <v>3306</v>
      </c>
      <c r="O422" t="str">
        <f>IF(A422="", "", IF(SUMIFS(BD_FACTURAS!I:I, BD_FACTURAS!A:A, A422) = N422, "✅ Cuadrado", "⚠️ Diferencia"))</f>
        <v/>
      </c>
    </row>
    <row r="423" spans="2:15" x14ac:dyDescent="0.3">
      <c r="B423" s="3" t="s">
        <v>33</v>
      </c>
      <c r="D423">
        <v>231</v>
      </c>
      <c r="E423" s="3" t="s">
        <v>40</v>
      </c>
      <c r="F423" s="3" t="s">
        <v>53</v>
      </c>
      <c r="H423" s="3" t="s">
        <v>54</v>
      </c>
      <c r="I423" s="3" t="s">
        <v>160</v>
      </c>
      <c r="J423" s="3">
        <v>14</v>
      </c>
      <c r="K423" s="6">
        <v>2850</v>
      </c>
      <c r="L423" s="6">
        <v>2850</v>
      </c>
      <c r="M423" s="6">
        <v>456</v>
      </c>
      <c r="N423" s="8">
        <f t="shared" si="6"/>
        <v>3306</v>
      </c>
      <c r="O423" t="str">
        <f>IF(A423="", "", IF(SUMIFS(BD_FACTURAS!I:I, BD_FACTURAS!A:A, A423) = N423, "✅ Cuadrado", "⚠️ Diferencia"))</f>
        <v/>
      </c>
    </row>
    <row r="424" spans="2:15" x14ac:dyDescent="0.3">
      <c r="B424" s="2" t="s">
        <v>33</v>
      </c>
      <c r="D424">
        <v>232</v>
      </c>
      <c r="E424" s="2" t="s">
        <v>40</v>
      </c>
      <c r="F424" s="2" t="s">
        <v>53</v>
      </c>
      <c r="H424" s="2" t="s">
        <v>54</v>
      </c>
      <c r="I424" s="2" t="s">
        <v>167</v>
      </c>
      <c r="J424" s="2">
        <v>14</v>
      </c>
      <c r="K424" s="5">
        <v>2850</v>
      </c>
      <c r="L424" s="5">
        <v>2850</v>
      </c>
      <c r="M424" s="5">
        <v>456</v>
      </c>
      <c r="N424" s="8">
        <f t="shared" si="6"/>
        <v>3306</v>
      </c>
      <c r="O424" t="str">
        <f>IF(A424="", "", IF(SUMIFS(BD_FACTURAS!I:I, BD_FACTURAS!A:A, A424) = N424, "✅ Cuadrado", "⚠️ Diferencia"))</f>
        <v/>
      </c>
    </row>
    <row r="425" spans="2:15" x14ac:dyDescent="0.3">
      <c r="B425" s="3" t="s">
        <v>33</v>
      </c>
      <c r="D425">
        <v>233</v>
      </c>
      <c r="E425" s="3" t="s">
        <v>40</v>
      </c>
      <c r="F425" s="3" t="s">
        <v>53</v>
      </c>
      <c r="H425" s="3" t="s">
        <v>54</v>
      </c>
      <c r="I425" s="3" t="s">
        <v>159</v>
      </c>
      <c r="J425" s="3">
        <v>14</v>
      </c>
      <c r="K425" s="6">
        <v>2850</v>
      </c>
      <c r="L425" s="6">
        <v>2850</v>
      </c>
      <c r="M425" s="6">
        <v>456</v>
      </c>
      <c r="N425" s="8">
        <f t="shared" si="6"/>
        <v>3306</v>
      </c>
      <c r="O425" t="str">
        <f>IF(A425="", "", IF(SUMIFS(BD_FACTURAS!I:I, BD_FACTURAS!A:A, A425) = N425, "✅ Cuadrado", "⚠️ Diferencia"))</f>
        <v/>
      </c>
    </row>
    <row r="426" spans="2:15" x14ac:dyDescent="0.3">
      <c r="B426" s="2" t="s">
        <v>33</v>
      </c>
      <c r="D426">
        <v>234</v>
      </c>
      <c r="E426" s="2" t="s">
        <v>40</v>
      </c>
      <c r="F426" s="2" t="s">
        <v>53</v>
      </c>
      <c r="H426" s="2" t="s">
        <v>54</v>
      </c>
      <c r="I426" s="2" t="s">
        <v>168</v>
      </c>
      <c r="J426" s="2">
        <v>14</v>
      </c>
      <c r="K426" s="5">
        <v>2850</v>
      </c>
      <c r="L426" s="5">
        <v>2850</v>
      </c>
      <c r="M426" s="5">
        <v>456</v>
      </c>
      <c r="N426" s="8">
        <f t="shared" si="6"/>
        <v>3306</v>
      </c>
      <c r="O426" t="str">
        <f>IF(A426="", "", IF(SUMIFS(BD_FACTURAS!I:I, BD_FACTURAS!A:A, A426) = N426, "✅ Cuadrado", "⚠️ Diferencia"))</f>
        <v/>
      </c>
    </row>
    <row r="427" spans="2:15" x14ac:dyDescent="0.3">
      <c r="B427" s="3" t="s">
        <v>36</v>
      </c>
      <c r="D427">
        <v>287</v>
      </c>
      <c r="E427" s="3" t="s">
        <v>40</v>
      </c>
      <c r="F427" s="3" t="s">
        <v>53</v>
      </c>
      <c r="H427" s="3" t="s">
        <v>54</v>
      </c>
      <c r="I427" s="3" t="s">
        <v>88</v>
      </c>
      <c r="J427" s="3">
        <v>15</v>
      </c>
      <c r="K427" s="6">
        <v>2850</v>
      </c>
      <c r="L427" s="6">
        <v>2850</v>
      </c>
      <c r="M427" s="6">
        <v>456</v>
      </c>
      <c r="N427" s="8">
        <f t="shared" si="6"/>
        <v>3306</v>
      </c>
      <c r="O427" t="str">
        <f>IF(A427="", "", IF(SUMIFS(BD_FACTURAS!I:I, BD_FACTURAS!A:A, A427) = N427, "✅ Cuadrado", "⚠️ Diferencia"))</f>
        <v/>
      </c>
    </row>
    <row r="428" spans="2:15" x14ac:dyDescent="0.3">
      <c r="B428" s="2" t="s">
        <v>36</v>
      </c>
      <c r="D428">
        <v>288</v>
      </c>
      <c r="E428" s="2" t="s">
        <v>40</v>
      </c>
      <c r="F428" s="2" t="s">
        <v>53</v>
      </c>
      <c r="H428" s="2" t="s">
        <v>54</v>
      </c>
      <c r="I428" s="2" t="s">
        <v>159</v>
      </c>
      <c r="J428" s="2">
        <v>15</v>
      </c>
      <c r="K428" s="5">
        <v>2850</v>
      </c>
      <c r="L428" s="5">
        <v>2850</v>
      </c>
      <c r="M428" s="5">
        <v>456</v>
      </c>
      <c r="N428" s="8">
        <f t="shared" si="6"/>
        <v>3306</v>
      </c>
      <c r="O428" t="str">
        <f>IF(A428="", "", IF(SUMIFS(BD_FACTURAS!I:I, BD_FACTURAS!A:A, A428) = N428, "✅ Cuadrado", "⚠️ Diferencia"))</f>
        <v/>
      </c>
    </row>
    <row r="429" spans="2:15" x14ac:dyDescent="0.3">
      <c r="B429" s="3" t="s">
        <v>36</v>
      </c>
      <c r="D429">
        <v>289</v>
      </c>
      <c r="E429" s="3" t="s">
        <v>40</v>
      </c>
      <c r="F429" s="3" t="s">
        <v>53</v>
      </c>
      <c r="H429" s="3" t="s">
        <v>54</v>
      </c>
      <c r="I429" s="3" t="s">
        <v>167</v>
      </c>
      <c r="J429" s="3">
        <v>15</v>
      </c>
      <c r="K429" s="6">
        <v>2850</v>
      </c>
      <c r="L429" s="6">
        <v>2850</v>
      </c>
      <c r="M429" s="6">
        <v>456</v>
      </c>
      <c r="N429" s="8">
        <f t="shared" si="6"/>
        <v>3306</v>
      </c>
      <c r="O429" t="str">
        <f>IF(A429="", "", IF(SUMIFS(BD_FACTURAS!I:I, BD_FACTURAS!A:A, A429) = N429, "✅ Cuadrado", "⚠️ Diferencia"))</f>
        <v/>
      </c>
    </row>
    <row r="430" spans="2:15" x14ac:dyDescent="0.3">
      <c r="B430" s="2" t="s">
        <v>36</v>
      </c>
      <c r="D430">
        <v>290</v>
      </c>
      <c r="E430" s="2" t="s">
        <v>40</v>
      </c>
      <c r="F430" s="2" t="s">
        <v>53</v>
      </c>
      <c r="H430" s="2" t="s">
        <v>54</v>
      </c>
      <c r="I430" s="2" t="s">
        <v>168</v>
      </c>
      <c r="J430" s="2">
        <v>15</v>
      </c>
      <c r="K430" s="5">
        <v>2850</v>
      </c>
      <c r="L430" s="5">
        <v>2850</v>
      </c>
      <c r="M430" s="5">
        <v>456</v>
      </c>
      <c r="N430" s="8">
        <f t="shared" si="6"/>
        <v>3306</v>
      </c>
      <c r="O430" t="str">
        <f>IF(A430="", "", IF(SUMIFS(BD_FACTURAS!I:I, BD_FACTURAS!A:A, A430) = N430, "✅ Cuadrado", "⚠️ Diferencia"))</f>
        <v/>
      </c>
    </row>
    <row r="431" spans="2:15" x14ac:dyDescent="0.3">
      <c r="B431" s="3" t="s">
        <v>36</v>
      </c>
      <c r="D431">
        <v>292</v>
      </c>
      <c r="E431" s="3" t="s">
        <v>40</v>
      </c>
      <c r="F431" s="3" t="s">
        <v>53</v>
      </c>
      <c r="H431" s="3" t="s">
        <v>54</v>
      </c>
      <c r="I431" s="3" t="s">
        <v>58</v>
      </c>
      <c r="J431" s="3">
        <v>15</v>
      </c>
      <c r="K431" s="6">
        <v>2850</v>
      </c>
      <c r="L431" s="6">
        <v>2850</v>
      </c>
      <c r="M431" s="6">
        <v>456</v>
      </c>
      <c r="N431" s="8">
        <f t="shared" si="6"/>
        <v>3306</v>
      </c>
      <c r="O431" t="str">
        <f>IF(A431="", "", IF(SUMIFS(BD_FACTURAS!I:I, BD_FACTURAS!A:A, A431) = N431, "✅ Cuadrado", "⚠️ Diferencia"))</f>
        <v/>
      </c>
    </row>
    <row r="432" spans="2:15" x14ac:dyDescent="0.3">
      <c r="B432" s="2" t="s">
        <v>36</v>
      </c>
      <c r="D432">
        <v>294</v>
      </c>
      <c r="E432" s="2" t="s">
        <v>40</v>
      </c>
      <c r="F432" s="2" t="s">
        <v>53</v>
      </c>
      <c r="H432" s="2" t="s">
        <v>54</v>
      </c>
      <c r="I432" s="2" t="s">
        <v>169</v>
      </c>
      <c r="J432" s="2">
        <v>15</v>
      </c>
      <c r="K432" s="5">
        <v>2850</v>
      </c>
      <c r="L432" s="5">
        <v>2850</v>
      </c>
      <c r="M432" s="5">
        <v>456</v>
      </c>
      <c r="N432" s="8">
        <f t="shared" si="6"/>
        <v>3306</v>
      </c>
      <c r="O432" t="str">
        <f>IF(A432="", "", IF(SUMIFS(BD_FACTURAS!I:I, BD_FACTURAS!A:A, A432) = N432, "✅ Cuadrado", "⚠️ Diferencia"))</f>
        <v/>
      </c>
    </row>
    <row r="433" spans="2:15" x14ac:dyDescent="0.3">
      <c r="B433" s="3" t="s">
        <v>36</v>
      </c>
      <c r="D433">
        <v>296</v>
      </c>
      <c r="E433" s="3" t="s">
        <v>40</v>
      </c>
      <c r="F433" s="3" t="s">
        <v>53</v>
      </c>
      <c r="H433" s="3" t="s">
        <v>54</v>
      </c>
      <c r="I433" s="3" t="s">
        <v>61</v>
      </c>
      <c r="J433" s="3">
        <v>15</v>
      </c>
      <c r="K433" s="6">
        <v>2850</v>
      </c>
      <c r="L433" s="6">
        <v>2850</v>
      </c>
      <c r="M433" s="6">
        <v>456</v>
      </c>
      <c r="N433" s="8">
        <f t="shared" si="6"/>
        <v>3306</v>
      </c>
      <c r="O433" t="str">
        <f>IF(A433="", "", IF(SUMIFS(BD_FACTURAS!I:I, BD_FACTURAS!A:A, A433) = N433, "✅ Cuadrado", "⚠️ Diferencia"))</f>
        <v/>
      </c>
    </row>
    <row r="434" spans="2:15" x14ac:dyDescent="0.3">
      <c r="B434" s="2" t="s">
        <v>36</v>
      </c>
      <c r="D434">
        <v>298</v>
      </c>
      <c r="E434" s="2" t="s">
        <v>40</v>
      </c>
      <c r="F434" s="2" t="s">
        <v>53</v>
      </c>
      <c r="H434" s="2" t="s">
        <v>54</v>
      </c>
      <c r="I434" s="2" t="s">
        <v>161</v>
      </c>
      <c r="J434" s="2">
        <v>15</v>
      </c>
      <c r="K434" s="5">
        <v>2850</v>
      </c>
      <c r="L434" s="5">
        <v>2850</v>
      </c>
      <c r="M434" s="5">
        <v>456</v>
      </c>
      <c r="N434" s="8">
        <f t="shared" si="6"/>
        <v>3306</v>
      </c>
      <c r="O434" t="str">
        <f>IF(A434="", "", IF(SUMIFS(BD_FACTURAS!I:I, BD_FACTURAS!A:A, A434) = N434, "✅ Cuadrado", "⚠️ Diferencia"))</f>
        <v/>
      </c>
    </row>
    <row r="435" spans="2:15" x14ac:dyDescent="0.3">
      <c r="B435" s="3" t="s">
        <v>36</v>
      </c>
      <c r="D435">
        <v>300</v>
      </c>
      <c r="E435" s="3" t="s">
        <v>40</v>
      </c>
      <c r="F435" s="3" t="s">
        <v>53</v>
      </c>
      <c r="H435" s="3" t="s">
        <v>54</v>
      </c>
      <c r="I435" s="3" t="s">
        <v>155</v>
      </c>
      <c r="J435" s="3">
        <v>15</v>
      </c>
      <c r="K435" s="6">
        <v>2850</v>
      </c>
      <c r="L435" s="6">
        <v>2850</v>
      </c>
      <c r="M435" s="6">
        <v>456</v>
      </c>
      <c r="N435" s="8">
        <f t="shared" si="6"/>
        <v>3306</v>
      </c>
      <c r="O435" t="str">
        <f>IF(A435="", "", IF(SUMIFS(BD_FACTURAS!I:I, BD_FACTURAS!A:A, A435) = N435, "✅ Cuadrado", "⚠️ Diferencia"))</f>
        <v/>
      </c>
    </row>
    <row r="436" spans="2:15" x14ac:dyDescent="0.3">
      <c r="B436" s="2" t="s">
        <v>37</v>
      </c>
      <c r="D436">
        <v>310</v>
      </c>
      <c r="E436" s="2" t="s">
        <v>40</v>
      </c>
      <c r="F436" s="2" t="s">
        <v>53</v>
      </c>
      <c r="H436" s="2" t="s">
        <v>54</v>
      </c>
      <c r="I436" s="2" t="s">
        <v>91</v>
      </c>
      <c r="J436" s="2">
        <v>14</v>
      </c>
      <c r="K436" s="5">
        <v>2850</v>
      </c>
      <c r="L436" s="5">
        <v>2850</v>
      </c>
      <c r="M436" s="5">
        <v>456</v>
      </c>
      <c r="N436" s="8">
        <f t="shared" si="6"/>
        <v>3306</v>
      </c>
      <c r="O436" t="str">
        <f>IF(A436="", "", IF(SUMIFS(BD_FACTURAS!I:I, BD_FACTURAS!A:A, A436) = N436, "✅ Cuadrado", "⚠️ Diferencia"))</f>
        <v/>
      </c>
    </row>
    <row r="437" spans="2:15" x14ac:dyDescent="0.3">
      <c r="B437" s="3" t="s">
        <v>37</v>
      </c>
      <c r="D437">
        <v>311</v>
      </c>
      <c r="E437" s="3" t="s">
        <v>40</v>
      </c>
      <c r="F437" s="3" t="s">
        <v>53</v>
      </c>
      <c r="H437" s="3" t="s">
        <v>54</v>
      </c>
      <c r="I437" s="3" t="s">
        <v>80</v>
      </c>
      <c r="J437" s="3">
        <v>14</v>
      </c>
      <c r="K437" s="6">
        <v>2850</v>
      </c>
      <c r="L437" s="6">
        <v>2850</v>
      </c>
      <c r="M437" s="6">
        <v>456</v>
      </c>
      <c r="N437" s="8">
        <f t="shared" si="6"/>
        <v>3306</v>
      </c>
      <c r="O437" t="str">
        <f>IF(A437="", "", IF(SUMIFS(BD_FACTURAS!I:I, BD_FACTURAS!A:A, A437) = N437, "✅ Cuadrado", "⚠️ Diferencia"))</f>
        <v/>
      </c>
    </row>
    <row r="438" spans="2:15" x14ac:dyDescent="0.3">
      <c r="B438" s="2" t="s">
        <v>37</v>
      </c>
      <c r="D438">
        <v>312</v>
      </c>
      <c r="E438" s="2" t="s">
        <v>40</v>
      </c>
      <c r="F438" s="2" t="s">
        <v>53</v>
      </c>
      <c r="H438" s="2" t="s">
        <v>54</v>
      </c>
      <c r="I438" s="2" t="s">
        <v>157</v>
      </c>
      <c r="J438" s="2">
        <v>14</v>
      </c>
      <c r="K438" s="5">
        <v>2850</v>
      </c>
      <c r="L438" s="5">
        <v>2850</v>
      </c>
      <c r="M438" s="5">
        <v>456</v>
      </c>
      <c r="N438" s="8">
        <f t="shared" si="6"/>
        <v>3306</v>
      </c>
      <c r="O438" t="str">
        <f>IF(A438="", "", IF(SUMIFS(BD_FACTURAS!I:I, BD_FACTURAS!A:A, A438) = N438, "✅ Cuadrado", "⚠️ Diferencia"))</f>
        <v/>
      </c>
    </row>
    <row r="439" spans="2:15" x14ac:dyDescent="0.3">
      <c r="B439" s="3" t="s">
        <v>37</v>
      </c>
      <c r="D439">
        <v>313</v>
      </c>
      <c r="E439" s="3" t="s">
        <v>40</v>
      </c>
      <c r="F439" s="3" t="s">
        <v>53</v>
      </c>
      <c r="H439" s="3" t="s">
        <v>54</v>
      </c>
      <c r="I439" s="3" t="s">
        <v>161</v>
      </c>
      <c r="J439" s="3">
        <v>14</v>
      </c>
      <c r="K439" s="6">
        <v>2850</v>
      </c>
      <c r="L439" s="6">
        <v>2850</v>
      </c>
      <c r="M439" s="6">
        <v>456</v>
      </c>
      <c r="N439" s="8">
        <f t="shared" si="6"/>
        <v>3306</v>
      </c>
      <c r="O439" t="str">
        <f>IF(A439="", "", IF(SUMIFS(BD_FACTURAS!I:I, BD_FACTURAS!A:A, A439) = N439, "✅ Cuadrado", "⚠️ Diferencia"))</f>
        <v/>
      </c>
    </row>
    <row r="440" spans="2:15" x14ac:dyDescent="0.3">
      <c r="B440" s="2" t="s">
        <v>37</v>
      </c>
      <c r="D440">
        <v>314</v>
      </c>
      <c r="E440" s="2" t="s">
        <v>40</v>
      </c>
      <c r="F440" s="2" t="s">
        <v>53</v>
      </c>
      <c r="H440" s="2" t="s">
        <v>54</v>
      </c>
      <c r="I440" s="2" t="s">
        <v>86</v>
      </c>
      <c r="J440" s="2">
        <v>14</v>
      </c>
      <c r="K440" s="5">
        <v>2850</v>
      </c>
      <c r="L440" s="5">
        <v>2850</v>
      </c>
      <c r="M440" s="5">
        <v>456</v>
      </c>
      <c r="N440" s="8">
        <f t="shared" si="6"/>
        <v>3306</v>
      </c>
      <c r="O440" t="str">
        <f>IF(A440="", "", IF(SUMIFS(BD_FACTURAS!I:I, BD_FACTURAS!A:A, A440) = N440, "✅ Cuadrado", "⚠️ Diferencia"))</f>
        <v/>
      </c>
    </row>
    <row r="441" spans="2:15" x14ac:dyDescent="0.3">
      <c r="B441" s="3" t="s">
        <v>37</v>
      </c>
      <c r="D441">
        <v>315</v>
      </c>
      <c r="E441" s="3" t="s">
        <v>40</v>
      </c>
      <c r="F441" s="3" t="s">
        <v>53</v>
      </c>
      <c r="H441" s="3" t="s">
        <v>54</v>
      </c>
      <c r="I441" s="3" t="s">
        <v>169</v>
      </c>
      <c r="J441" s="3">
        <v>14</v>
      </c>
      <c r="K441" s="6">
        <v>2850</v>
      </c>
      <c r="L441" s="6">
        <v>2850</v>
      </c>
      <c r="M441" s="6">
        <v>456</v>
      </c>
      <c r="N441" s="8">
        <f t="shared" si="6"/>
        <v>3306</v>
      </c>
      <c r="O441" t="str">
        <f>IF(A441="", "", IF(SUMIFS(BD_FACTURAS!I:I, BD_FACTURAS!A:A, A441) = N441, "✅ Cuadrado", "⚠️ Diferencia"))</f>
        <v/>
      </c>
    </row>
    <row r="442" spans="2:15" x14ac:dyDescent="0.3">
      <c r="B442" s="2" t="s">
        <v>37</v>
      </c>
      <c r="D442">
        <v>316</v>
      </c>
      <c r="E442" s="2" t="s">
        <v>40</v>
      </c>
      <c r="F442" s="2" t="s">
        <v>53</v>
      </c>
      <c r="H442" s="2" t="s">
        <v>54</v>
      </c>
      <c r="I442" s="2" t="s">
        <v>156</v>
      </c>
      <c r="J442" s="2">
        <v>14</v>
      </c>
      <c r="K442" s="5">
        <v>2850</v>
      </c>
      <c r="L442" s="5">
        <v>2850</v>
      </c>
      <c r="M442" s="5">
        <v>456</v>
      </c>
      <c r="N442" s="8">
        <f t="shared" si="6"/>
        <v>3306</v>
      </c>
      <c r="O442" t="str">
        <f>IF(A442="", "", IF(SUMIFS(BD_FACTURAS!I:I, BD_FACTURAS!A:A, A442) = N442, "✅ Cuadrado", "⚠️ Diferencia"))</f>
        <v/>
      </c>
    </row>
    <row r="443" spans="2:15" x14ac:dyDescent="0.3">
      <c r="B443" s="3" t="s">
        <v>37</v>
      </c>
      <c r="D443">
        <v>317</v>
      </c>
      <c r="E443" s="3" t="s">
        <v>40</v>
      </c>
      <c r="F443" s="3" t="s">
        <v>53</v>
      </c>
      <c r="H443" s="3" t="s">
        <v>54</v>
      </c>
      <c r="I443" s="3" t="s">
        <v>158</v>
      </c>
      <c r="J443" s="3">
        <v>14</v>
      </c>
      <c r="K443" s="6">
        <v>2850</v>
      </c>
      <c r="L443" s="6">
        <v>2850</v>
      </c>
      <c r="M443" s="6">
        <v>456</v>
      </c>
      <c r="N443" s="8">
        <f t="shared" si="6"/>
        <v>3306</v>
      </c>
      <c r="O443" t="str">
        <f>IF(A443="", "", IF(SUMIFS(BD_FACTURAS!I:I, BD_FACTURAS!A:A, A443) = N443, "✅ Cuadrado", "⚠️ Diferencia"))</f>
        <v/>
      </c>
    </row>
    <row r="444" spans="2:15" x14ac:dyDescent="0.3">
      <c r="B444" s="2" t="s">
        <v>37</v>
      </c>
      <c r="D444">
        <v>318</v>
      </c>
      <c r="E444" s="2" t="s">
        <v>40</v>
      </c>
      <c r="F444" s="2" t="s">
        <v>53</v>
      </c>
      <c r="H444" s="2" t="s">
        <v>54</v>
      </c>
      <c r="I444" s="2" t="s">
        <v>70</v>
      </c>
      <c r="J444" s="2">
        <v>14</v>
      </c>
      <c r="K444" s="5">
        <v>2850</v>
      </c>
      <c r="L444" s="5">
        <v>2850</v>
      </c>
      <c r="M444" s="5">
        <v>456</v>
      </c>
      <c r="N444" s="8">
        <f t="shared" si="6"/>
        <v>3306</v>
      </c>
      <c r="O444" t="str">
        <f>IF(A444="", "", IF(SUMIFS(BD_FACTURAS!I:I, BD_FACTURAS!A:A, A444) = N444, "✅ Cuadrado", "⚠️ Diferencia"))</f>
        <v/>
      </c>
    </row>
    <row r="445" spans="2:15" x14ac:dyDescent="0.3">
      <c r="B445" s="3" t="s">
        <v>37</v>
      </c>
      <c r="D445">
        <v>319</v>
      </c>
      <c r="E445" s="3" t="s">
        <v>40</v>
      </c>
      <c r="F445" s="3" t="s">
        <v>53</v>
      </c>
      <c r="H445" s="3" t="s">
        <v>54</v>
      </c>
      <c r="I445" s="3" t="s">
        <v>148</v>
      </c>
      <c r="J445" s="3">
        <v>14</v>
      </c>
      <c r="K445" s="6">
        <v>2850</v>
      </c>
      <c r="L445" s="6">
        <v>2850</v>
      </c>
      <c r="M445" s="6">
        <v>456</v>
      </c>
      <c r="N445" s="8">
        <f t="shared" si="6"/>
        <v>3306</v>
      </c>
      <c r="O445" t="str">
        <f>IF(A445="", "", IF(SUMIFS(BD_FACTURAS!I:I, BD_FACTURAS!A:A, A445) = N445, "✅ Cuadrado", "⚠️ Diferencia"))</f>
        <v/>
      </c>
    </row>
    <row r="446" spans="2:15" x14ac:dyDescent="0.3">
      <c r="B446" s="2" t="s">
        <v>32</v>
      </c>
      <c r="D446">
        <v>5954</v>
      </c>
      <c r="E446" s="2" t="s">
        <v>42</v>
      </c>
      <c r="F446" s="2" t="s">
        <v>46</v>
      </c>
      <c r="H446" s="2" t="s">
        <v>55</v>
      </c>
      <c r="I446" s="2" t="s">
        <v>109</v>
      </c>
      <c r="J446" s="2">
        <v>14</v>
      </c>
      <c r="K446" s="5">
        <v>7000</v>
      </c>
      <c r="L446" s="5">
        <v>7000</v>
      </c>
      <c r="M446" s="5">
        <v>1120</v>
      </c>
      <c r="N446" s="8">
        <f t="shared" si="6"/>
        <v>8120</v>
      </c>
      <c r="O446" t="str">
        <f>IF(A446="", "", IF(SUMIFS(BD_FACTURAS!I:I, BD_FACTURAS!A:A, A446) = N446, "✅ Cuadrado", "⚠️ Diferencia"))</f>
        <v/>
      </c>
    </row>
    <row r="447" spans="2:15" x14ac:dyDescent="0.3">
      <c r="B447" s="3" t="s">
        <v>32</v>
      </c>
      <c r="D447">
        <v>5955</v>
      </c>
      <c r="E447" s="3" t="s">
        <v>42</v>
      </c>
      <c r="F447" s="3" t="s">
        <v>46</v>
      </c>
      <c r="H447" s="3" t="s">
        <v>55</v>
      </c>
      <c r="I447" s="3" t="s">
        <v>111</v>
      </c>
      <c r="J447" s="3">
        <v>14</v>
      </c>
      <c r="K447" s="6">
        <v>7000</v>
      </c>
      <c r="L447" s="6">
        <v>7000</v>
      </c>
      <c r="M447" s="6">
        <v>1120</v>
      </c>
      <c r="N447" s="8">
        <f t="shared" si="6"/>
        <v>8120</v>
      </c>
      <c r="O447" t="str">
        <f>IF(A447="", "", IF(SUMIFS(BD_FACTURAS!I:I, BD_FACTURAS!A:A, A447) = N447, "✅ Cuadrado", "⚠️ Diferencia"))</f>
        <v/>
      </c>
    </row>
    <row r="448" spans="2:15" x14ac:dyDescent="0.3">
      <c r="B448" s="2" t="s">
        <v>32</v>
      </c>
      <c r="D448">
        <v>5956</v>
      </c>
      <c r="E448" s="2" t="s">
        <v>42</v>
      </c>
      <c r="F448" s="2" t="s">
        <v>46</v>
      </c>
      <c r="H448" s="2" t="s">
        <v>55</v>
      </c>
      <c r="I448" s="2" t="s">
        <v>170</v>
      </c>
      <c r="J448" s="2">
        <v>14</v>
      </c>
      <c r="K448" s="5">
        <v>7000</v>
      </c>
      <c r="L448" s="5">
        <v>7000</v>
      </c>
      <c r="M448" s="5">
        <v>1120</v>
      </c>
      <c r="N448" s="8">
        <f t="shared" si="6"/>
        <v>8120</v>
      </c>
      <c r="O448" t="str">
        <f>IF(A448="", "", IF(SUMIFS(BD_FACTURAS!I:I, BD_FACTURAS!A:A, A448) = N448, "✅ Cuadrado", "⚠️ Diferencia"))</f>
        <v/>
      </c>
    </row>
    <row r="449" spans="2:15" x14ac:dyDescent="0.3">
      <c r="B449" s="3" t="s">
        <v>32</v>
      </c>
      <c r="D449">
        <v>5957</v>
      </c>
      <c r="E449" s="3" t="s">
        <v>42</v>
      </c>
      <c r="F449" s="3" t="s">
        <v>46</v>
      </c>
      <c r="H449" s="3" t="s">
        <v>55</v>
      </c>
      <c r="I449" s="3" t="s">
        <v>112</v>
      </c>
      <c r="J449" s="3">
        <v>14</v>
      </c>
      <c r="K449" s="6">
        <v>7000</v>
      </c>
      <c r="L449" s="6">
        <v>7000</v>
      </c>
      <c r="M449" s="6">
        <v>1120</v>
      </c>
      <c r="N449" s="8">
        <f t="shared" si="6"/>
        <v>8120</v>
      </c>
      <c r="O449" t="str">
        <f>IF(A449="", "", IF(SUMIFS(BD_FACTURAS!I:I, BD_FACTURAS!A:A, A449) = N449, "✅ Cuadrado", "⚠️ Diferencia"))</f>
        <v/>
      </c>
    </row>
    <row r="450" spans="2:15" x14ac:dyDescent="0.3">
      <c r="B450" s="2" t="s">
        <v>32</v>
      </c>
      <c r="D450">
        <v>5958</v>
      </c>
      <c r="E450" s="2" t="s">
        <v>42</v>
      </c>
      <c r="F450" s="2" t="s">
        <v>46</v>
      </c>
      <c r="H450" s="2" t="s">
        <v>55</v>
      </c>
      <c r="I450" s="2" t="s">
        <v>109</v>
      </c>
      <c r="J450" s="2">
        <v>14</v>
      </c>
      <c r="K450" s="5">
        <v>7000</v>
      </c>
      <c r="L450" s="5">
        <v>7000</v>
      </c>
      <c r="M450" s="5">
        <v>1120</v>
      </c>
      <c r="N450" s="8">
        <f t="shared" si="6"/>
        <v>8120</v>
      </c>
      <c r="O450" t="str">
        <f>IF(A450="", "", IF(SUMIFS(BD_FACTURAS!I:I, BD_FACTURAS!A:A, A450) = N450, "✅ Cuadrado", "⚠️ Diferencia"))</f>
        <v/>
      </c>
    </row>
    <row r="451" spans="2:15" x14ac:dyDescent="0.3">
      <c r="B451" s="3" t="s">
        <v>32</v>
      </c>
      <c r="D451">
        <v>5959</v>
      </c>
      <c r="E451" s="3" t="s">
        <v>42</v>
      </c>
      <c r="F451" s="3" t="s">
        <v>50</v>
      </c>
      <c r="H451" s="3" t="s">
        <v>55</v>
      </c>
      <c r="I451" s="3" t="s">
        <v>111</v>
      </c>
      <c r="J451" s="3">
        <v>14</v>
      </c>
      <c r="K451" s="6">
        <v>7000</v>
      </c>
      <c r="L451" s="6">
        <v>7000</v>
      </c>
      <c r="M451" s="6">
        <v>1120</v>
      </c>
      <c r="N451" s="8">
        <f t="shared" ref="N451:N500" si="7">L451+M451</f>
        <v>8120</v>
      </c>
      <c r="O451" t="str">
        <f>IF(A451="", "", IF(SUMIFS(BD_FACTURAS!I:I, BD_FACTURAS!A:A, A451) = N451, "✅ Cuadrado", "⚠️ Diferencia"))</f>
        <v/>
      </c>
    </row>
    <row r="452" spans="2:15" x14ac:dyDescent="0.3">
      <c r="B452" s="2" t="s">
        <v>33</v>
      </c>
      <c r="D452">
        <v>5960</v>
      </c>
      <c r="E452" s="2" t="s">
        <v>42</v>
      </c>
      <c r="F452" s="2" t="s">
        <v>46</v>
      </c>
      <c r="H452" s="2" t="s">
        <v>55</v>
      </c>
      <c r="I452" s="2" t="s">
        <v>112</v>
      </c>
      <c r="J452" s="2">
        <v>14</v>
      </c>
      <c r="K452" s="5">
        <v>7000</v>
      </c>
      <c r="L452" s="5">
        <v>7000</v>
      </c>
      <c r="M452" s="5">
        <v>1120</v>
      </c>
      <c r="N452" s="8">
        <f t="shared" si="7"/>
        <v>8120</v>
      </c>
      <c r="O452" t="str">
        <f>IF(A452="", "", IF(SUMIFS(BD_FACTURAS!I:I, BD_FACTURAS!A:A, A452) = N452, "✅ Cuadrado", "⚠️ Diferencia"))</f>
        <v/>
      </c>
    </row>
    <row r="453" spans="2:15" x14ac:dyDescent="0.3">
      <c r="B453" s="3" t="s">
        <v>33</v>
      </c>
      <c r="D453">
        <v>5961</v>
      </c>
      <c r="E453" s="3" t="s">
        <v>42</v>
      </c>
      <c r="F453" s="3" t="s">
        <v>46</v>
      </c>
      <c r="H453" s="3" t="s">
        <v>55</v>
      </c>
      <c r="I453" s="3" t="s">
        <v>171</v>
      </c>
      <c r="J453" s="3">
        <v>14</v>
      </c>
      <c r="K453" s="6">
        <v>7000</v>
      </c>
      <c r="L453" s="6">
        <v>7000</v>
      </c>
      <c r="M453" s="6">
        <v>1120</v>
      </c>
      <c r="N453" s="8">
        <f t="shared" si="7"/>
        <v>8120</v>
      </c>
      <c r="O453" t="str">
        <f>IF(A453="", "", IF(SUMIFS(BD_FACTURAS!I:I, BD_FACTURAS!A:A, A453) = N453, "✅ Cuadrado", "⚠️ Diferencia"))</f>
        <v/>
      </c>
    </row>
    <row r="454" spans="2:15" x14ac:dyDescent="0.3">
      <c r="B454" s="2" t="s">
        <v>33</v>
      </c>
      <c r="D454">
        <v>5962</v>
      </c>
      <c r="E454" s="2" t="s">
        <v>42</v>
      </c>
      <c r="F454" s="2" t="s">
        <v>46</v>
      </c>
      <c r="H454" s="2" t="s">
        <v>55</v>
      </c>
      <c r="I454" s="2" t="s">
        <v>109</v>
      </c>
      <c r="J454" s="2">
        <v>14</v>
      </c>
      <c r="K454" s="5">
        <v>7000</v>
      </c>
      <c r="L454" s="5">
        <v>7000</v>
      </c>
      <c r="M454" s="5">
        <v>1120</v>
      </c>
      <c r="N454" s="8">
        <f t="shared" si="7"/>
        <v>8120</v>
      </c>
      <c r="O454" t="str">
        <f>IF(A454="", "", IF(SUMIFS(BD_FACTURAS!I:I, BD_FACTURAS!A:A, A454) = N454, "✅ Cuadrado", "⚠️ Diferencia"))</f>
        <v/>
      </c>
    </row>
    <row r="455" spans="2:15" x14ac:dyDescent="0.3">
      <c r="B455" s="3" t="s">
        <v>33</v>
      </c>
      <c r="D455">
        <v>5963</v>
      </c>
      <c r="E455" s="3" t="s">
        <v>42</v>
      </c>
      <c r="F455" s="3" t="s">
        <v>46</v>
      </c>
      <c r="H455" s="3" t="s">
        <v>55</v>
      </c>
      <c r="I455" s="3" t="s">
        <v>172</v>
      </c>
      <c r="J455" s="3">
        <v>14</v>
      </c>
      <c r="K455" s="6">
        <v>7000</v>
      </c>
      <c r="L455" s="6">
        <v>7000</v>
      </c>
      <c r="M455" s="6">
        <v>1120</v>
      </c>
      <c r="N455" s="8">
        <f t="shared" si="7"/>
        <v>8120</v>
      </c>
      <c r="O455" t="str">
        <f>IF(A455="", "", IF(SUMIFS(BD_FACTURAS!I:I, BD_FACTURAS!A:A, A455) = N455, "✅ Cuadrado", "⚠️ Diferencia"))</f>
        <v/>
      </c>
    </row>
    <row r="456" spans="2:15" x14ac:dyDescent="0.3">
      <c r="B456" s="2" t="s">
        <v>33</v>
      </c>
      <c r="D456">
        <v>5964</v>
      </c>
      <c r="E456" s="2" t="s">
        <v>42</v>
      </c>
      <c r="F456" s="2" t="s">
        <v>46</v>
      </c>
      <c r="H456" s="2" t="s">
        <v>55</v>
      </c>
      <c r="I456" s="2" t="s">
        <v>112</v>
      </c>
      <c r="J456" s="2">
        <v>14</v>
      </c>
      <c r="K456" s="5">
        <v>7000</v>
      </c>
      <c r="L456" s="5">
        <v>7000</v>
      </c>
      <c r="M456" s="5">
        <v>1120</v>
      </c>
      <c r="N456" s="8">
        <f t="shared" si="7"/>
        <v>8120</v>
      </c>
      <c r="O456" t="str">
        <f>IF(A456="", "", IF(SUMIFS(BD_FACTURAS!I:I, BD_FACTURAS!A:A, A456) = N456, "✅ Cuadrado", "⚠️ Diferencia"))</f>
        <v/>
      </c>
    </row>
    <row r="457" spans="2:15" x14ac:dyDescent="0.3">
      <c r="B457" s="3" t="s">
        <v>33</v>
      </c>
      <c r="D457">
        <v>5965</v>
      </c>
      <c r="E457" s="3" t="s">
        <v>42</v>
      </c>
      <c r="F457" s="3" t="s">
        <v>50</v>
      </c>
      <c r="H457" s="3" t="s">
        <v>55</v>
      </c>
      <c r="I457" s="3" t="s">
        <v>173</v>
      </c>
      <c r="J457" s="3">
        <v>14</v>
      </c>
      <c r="K457" s="6">
        <v>7000</v>
      </c>
      <c r="L457" s="6">
        <v>7000</v>
      </c>
      <c r="M457" s="6">
        <v>1120</v>
      </c>
      <c r="N457" s="8">
        <f t="shared" si="7"/>
        <v>8120</v>
      </c>
      <c r="O457" t="str">
        <f>IF(A457="", "", IF(SUMIFS(BD_FACTURAS!I:I, BD_FACTURAS!A:A, A457) = N457, "✅ Cuadrado", "⚠️ Diferencia"))</f>
        <v/>
      </c>
    </row>
    <row r="458" spans="2:15" x14ac:dyDescent="0.3">
      <c r="B458" s="2" t="s">
        <v>34</v>
      </c>
      <c r="D458">
        <v>5966</v>
      </c>
      <c r="E458" s="2" t="s">
        <v>42</v>
      </c>
      <c r="F458" s="2" t="s">
        <v>46</v>
      </c>
      <c r="H458" s="2" t="s">
        <v>55</v>
      </c>
      <c r="I458" s="2" t="s">
        <v>109</v>
      </c>
      <c r="J458" s="2">
        <v>14</v>
      </c>
      <c r="K458" s="5">
        <v>7000</v>
      </c>
      <c r="L458" s="5">
        <v>7000</v>
      </c>
      <c r="M458" s="5">
        <v>1120</v>
      </c>
      <c r="N458" s="8">
        <f t="shared" si="7"/>
        <v>8120</v>
      </c>
      <c r="O458" t="str">
        <f>IF(A458="", "", IF(SUMIFS(BD_FACTURAS!I:I, BD_FACTURAS!A:A, A458) = N458, "✅ Cuadrado", "⚠️ Diferencia"))</f>
        <v/>
      </c>
    </row>
    <row r="459" spans="2:15" x14ac:dyDescent="0.3">
      <c r="B459" s="3" t="s">
        <v>34</v>
      </c>
      <c r="D459">
        <v>5967</v>
      </c>
      <c r="E459" s="3" t="s">
        <v>42</v>
      </c>
      <c r="F459" s="3" t="s">
        <v>46</v>
      </c>
      <c r="H459" s="3" t="s">
        <v>55</v>
      </c>
      <c r="I459" s="3" t="s">
        <v>112</v>
      </c>
      <c r="J459" s="3">
        <v>14</v>
      </c>
      <c r="K459" s="6">
        <v>7000</v>
      </c>
      <c r="L459" s="6">
        <v>7000</v>
      </c>
      <c r="M459" s="6">
        <v>1120</v>
      </c>
      <c r="N459" s="8">
        <f t="shared" si="7"/>
        <v>8120</v>
      </c>
      <c r="O459" t="str">
        <f>IF(A459="", "", IF(SUMIFS(BD_FACTURAS!I:I, BD_FACTURAS!A:A, A459) = N459, "✅ Cuadrado", "⚠️ Diferencia"))</f>
        <v/>
      </c>
    </row>
    <row r="460" spans="2:15" x14ac:dyDescent="0.3">
      <c r="B460" s="2" t="s">
        <v>34</v>
      </c>
      <c r="D460">
        <v>5968</v>
      </c>
      <c r="E460" s="2" t="s">
        <v>42</v>
      </c>
      <c r="F460" s="2" t="s">
        <v>46</v>
      </c>
      <c r="H460" s="2" t="s">
        <v>55</v>
      </c>
      <c r="I460" s="2" t="s">
        <v>111</v>
      </c>
      <c r="J460" s="2">
        <v>14</v>
      </c>
      <c r="K460" s="5">
        <v>7000</v>
      </c>
      <c r="L460" s="5">
        <v>7000</v>
      </c>
      <c r="M460" s="5">
        <v>1120</v>
      </c>
      <c r="N460" s="8">
        <f t="shared" si="7"/>
        <v>8120</v>
      </c>
      <c r="O460" t="str">
        <f>IF(A460="", "", IF(SUMIFS(BD_FACTURAS!I:I, BD_FACTURAS!A:A, A460) = N460, "✅ Cuadrado", "⚠️ Diferencia"))</f>
        <v/>
      </c>
    </row>
    <row r="461" spans="2:15" x14ac:dyDescent="0.3">
      <c r="B461" s="3" t="s">
        <v>34</v>
      </c>
      <c r="D461">
        <v>5969</v>
      </c>
      <c r="E461" s="3" t="s">
        <v>42</v>
      </c>
      <c r="F461" s="3" t="s">
        <v>46</v>
      </c>
      <c r="H461" s="3" t="s">
        <v>55</v>
      </c>
      <c r="I461" s="3" t="s">
        <v>170</v>
      </c>
      <c r="J461" s="3">
        <v>14</v>
      </c>
      <c r="K461" s="6">
        <v>7000</v>
      </c>
      <c r="L461" s="6">
        <v>7000</v>
      </c>
      <c r="M461" s="6">
        <v>1120</v>
      </c>
      <c r="N461" s="8">
        <f t="shared" si="7"/>
        <v>8120</v>
      </c>
      <c r="O461" t="str">
        <f>IF(A461="", "", IF(SUMIFS(BD_FACTURAS!I:I, BD_FACTURAS!A:A, A461) = N461, "✅ Cuadrado", "⚠️ Diferencia"))</f>
        <v/>
      </c>
    </row>
    <row r="462" spans="2:15" x14ac:dyDescent="0.3">
      <c r="B462" s="2" t="s">
        <v>36</v>
      </c>
      <c r="D462">
        <v>5970</v>
      </c>
      <c r="E462" s="2" t="s">
        <v>42</v>
      </c>
      <c r="F462" s="2" t="s">
        <v>46</v>
      </c>
      <c r="H462" s="2" t="s">
        <v>55</v>
      </c>
      <c r="I462" s="2" t="s">
        <v>174</v>
      </c>
      <c r="J462" s="2">
        <v>14</v>
      </c>
      <c r="K462" s="5">
        <v>7000</v>
      </c>
      <c r="L462" s="5">
        <v>7000</v>
      </c>
      <c r="M462" s="5">
        <v>1120</v>
      </c>
      <c r="N462" s="8">
        <f t="shared" si="7"/>
        <v>8120</v>
      </c>
      <c r="O462" t="str">
        <f>IF(A462="", "", IF(SUMIFS(BD_FACTURAS!I:I, BD_FACTURAS!A:A, A462) = N462, "✅ Cuadrado", "⚠️ Diferencia"))</f>
        <v/>
      </c>
    </row>
    <row r="463" spans="2:15" x14ac:dyDescent="0.3">
      <c r="B463" s="3" t="s">
        <v>36</v>
      </c>
      <c r="D463">
        <v>5971</v>
      </c>
      <c r="E463" s="3" t="s">
        <v>42</v>
      </c>
      <c r="F463" s="3" t="s">
        <v>46</v>
      </c>
      <c r="H463" s="3" t="s">
        <v>55</v>
      </c>
      <c r="I463" s="3" t="s">
        <v>170</v>
      </c>
      <c r="J463" s="3">
        <v>14</v>
      </c>
      <c r="K463" s="6">
        <v>7000</v>
      </c>
      <c r="L463" s="6">
        <v>7000</v>
      </c>
      <c r="M463" s="6">
        <v>1120</v>
      </c>
      <c r="N463" s="8">
        <f t="shared" si="7"/>
        <v>8120</v>
      </c>
      <c r="O463" t="str">
        <f>IF(A463="", "", IF(SUMIFS(BD_FACTURAS!I:I, BD_FACTURAS!A:A, A463) = N463, "✅ Cuadrado", "⚠️ Diferencia"))</f>
        <v/>
      </c>
    </row>
    <row r="464" spans="2:15" x14ac:dyDescent="0.3">
      <c r="B464" s="2" t="s">
        <v>36</v>
      </c>
      <c r="D464">
        <v>5972</v>
      </c>
      <c r="E464" s="2" t="s">
        <v>42</v>
      </c>
      <c r="F464" s="2" t="s">
        <v>46</v>
      </c>
      <c r="H464" s="2" t="s">
        <v>55</v>
      </c>
      <c r="I464" s="2" t="s">
        <v>110</v>
      </c>
      <c r="J464" s="2">
        <v>14</v>
      </c>
      <c r="K464" s="5">
        <v>7000</v>
      </c>
      <c r="L464" s="5">
        <v>7000</v>
      </c>
      <c r="M464" s="5">
        <v>1120</v>
      </c>
      <c r="N464" s="8">
        <f t="shared" si="7"/>
        <v>8120</v>
      </c>
      <c r="O464" t="str">
        <f>IF(A464="", "", IF(SUMIFS(BD_FACTURAS!I:I, BD_FACTURAS!A:A, A464) = N464, "✅ Cuadrado", "⚠️ Diferencia"))</f>
        <v/>
      </c>
    </row>
    <row r="465" spans="2:15" x14ac:dyDescent="0.3">
      <c r="B465" s="3" t="s">
        <v>36</v>
      </c>
      <c r="D465">
        <v>5973</v>
      </c>
      <c r="E465" s="3" t="s">
        <v>42</v>
      </c>
      <c r="F465" s="3" t="s">
        <v>46</v>
      </c>
      <c r="H465" s="3" t="s">
        <v>55</v>
      </c>
      <c r="I465" s="3" t="s">
        <v>112</v>
      </c>
      <c r="J465" s="3">
        <v>14</v>
      </c>
      <c r="K465" s="6">
        <v>7000</v>
      </c>
      <c r="L465" s="6">
        <v>7000</v>
      </c>
      <c r="M465" s="6">
        <v>1120</v>
      </c>
      <c r="N465" s="8">
        <f t="shared" si="7"/>
        <v>8120</v>
      </c>
      <c r="O465" t="str">
        <f>IF(A465="", "", IF(SUMIFS(BD_FACTURAS!I:I, BD_FACTURAS!A:A, A465) = N465, "✅ Cuadrado", "⚠️ Diferencia"))</f>
        <v/>
      </c>
    </row>
    <row r="466" spans="2:15" x14ac:dyDescent="0.3">
      <c r="B466" s="2" t="s">
        <v>36</v>
      </c>
      <c r="D466">
        <v>5974</v>
      </c>
      <c r="E466" s="2" t="s">
        <v>42</v>
      </c>
      <c r="F466" s="2" t="s">
        <v>46</v>
      </c>
      <c r="H466" s="2" t="s">
        <v>55</v>
      </c>
      <c r="I466" s="2" t="s">
        <v>174</v>
      </c>
      <c r="J466" s="2">
        <v>14</v>
      </c>
      <c r="K466" s="5">
        <v>7000</v>
      </c>
      <c r="L466" s="5">
        <v>7000</v>
      </c>
      <c r="M466" s="5">
        <v>1120</v>
      </c>
      <c r="N466" s="8">
        <f t="shared" si="7"/>
        <v>8120</v>
      </c>
      <c r="O466" t="str">
        <f>IF(A466="", "", IF(SUMIFS(BD_FACTURAS!I:I, BD_FACTURAS!A:A, A466) = N466, "✅ Cuadrado", "⚠️ Diferencia"))</f>
        <v/>
      </c>
    </row>
    <row r="467" spans="2:15" x14ac:dyDescent="0.3">
      <c r="B467" s="3" t="s">
        <v>36</v>
      </c>
      <c r="D467">
        <v>5975</v>
      </c>
      <c r="E467" s="3" t="s">
        <v>42</v>
      </c>
      <c r="F467" s="3" t="s">
        <v>50</v>
      </c>
      <c r="H467" s="3" t="s">
        <v>55</v>
      </c>
      <c r="I467" s="3" t="s">
        <v>170</v>
      </c>
      <c r="J467" s="3">
        <v>14</v>
      </c>
      <c r="K467" s="6">
        <v>7000</v>
      </c>
      <c r="L467" s="6">
        <v>7000</v>
      </c>
      <c r="M467" s="6">
        <v>1120</v>
      </c>
      <c r="N467" s="8">
        <f t="shared" si="7"/>
        <v>8120</v>
      </c>
      <c r="O467" t="str">
        <f>IF(A467="", "", IF(SUMIFS(BD_FACTURAS!I:I, BD_FACTURAS!A:A, A467) = N467, "✅ Cuadrado", "⚠️ Diferencia"))</f>
        <v/>
      </c>
    </row>
    <row r="468" spans="2:15" x14ac:dyDescent="0.3">
      <c r="B468" s="2" t="s">
        <v>37</v>
      </c>
      <c r="D468">
        <v>5976</v>
      </c>
      <c r="E468" s="2" t="s">
        <v>42</v>
      </c>
      <c r="F468" s="2" t="s">
        <v>46</v>
      </c>
      <c r="H468" s="2" t="s">
        <v>55</v>
      </c>
      <c r="I468" s="2" t="s">
        <v>170</v>
      </c>
      <c r="J468" s="2">
        <v>14</v>
      </c>
      <c r="K468" s="5">
        <v>7000</v>
      </c>
      <c r="L468" s="5">
        <v>7000</v>
      </c>
      <c r="M468" s="5">
        <v>1120</v>
      </c>
      <c r="N468" s="8">
        <f t="shared" si="7"/>
        <v>8120</v>
      </c>
      <c r="O468" t="str">
        <f>IF(A468="", "", IF(SUMIFS(BD_FACTURAS!I:I, BD_FACTURAS!A:A, A468) = N468, "✅ Cuadrado", "⚠️ Diferencia"))</f>
        <v/>
      </c>
    </row>
    <row r="469" spans="2:15" x14ac:dyDescent="0.3">
      <c r="B469" s="3" t="s">
        <v>37</v>
      </c>
      <c r="D469">
        <v>5977</v>
      </c>
      <c r="E469" s="3" t="s">
        <v>42</v>
      </c>
      <c r="F469" s="3" t="s">
        <v>46</v>
      </c>
      <c r="H469" s="3" t="s">
        <v>55</v>
      </c>
      <c r="I469" s="3" t="s">
        <v>112</v>
      </c>
      <c r="J469" s="3">
        <v>14</v>
      </c>
      <c r="K469" s="6">
        <v>7000</v>
      </c>
      <c r="L469" s="6">
        <v>7000</v>
      </c>
      <c r="M469" s="6">
        <v>1120</v>
      </c>
      <c r="N469" s="8">
        <f t="shared" si="7"/>
        <v>8120</v>
      </c>
      <c r="O469" t="str">
        <f>IF(A469="", "", IF(SUMIFS(BD_FACTURAS!I:I, BD_FACTURAS!A:A, A469) = N469, "✅ Cuadrado", "⚠️ Diferencia"))</f>
        <v/>
      </c>
    </row>
    <row r="470" spans="2:15" x14ac:dyDescent="0.3">
      <c r="B470" s="2" t="s">
        <v>37</v>
      </c>
      <c r="D470">
        <v>5978</v>
      </c>
      <c r="E470" s="2" t="s">
        <v>42</v>
      </c>
      <c r="F470" s="2" t="s">
        <v>46</v>
      </c>
      <c r="H470" s="2" t="s">
        <v>55</v>
      </c>
      <c r="I470" s="2" t="s">
        <v>170</v>
      </c>
      <c r="J470" s="2">
        <v>14</v>
      </c>
      <c r="K470" s="5">
        <v>7000</v>
      </c>
      <c r="L470" s="5">
        <v>7000</v>
      </c>
      <c r="M470" s="5">
        <v>1120</v>
      </c>
      <c r="N470" s="8">
        <f t="shared" si="7"/>
        <v>8120</v>
      </c>
      <c r="O470" t="str">
        <f>IF(A470="", "", IF(SUMIFS(BD_FACTURAS!I:I, BD_FACTURAS!A:A, A470) = N470, "✅ Cuadrado", "⚠️ Diferencia"))</f>
        <v/>
      </c>
    </row>
    <row r="471" spans="2:15" x14ac:dyDescent="0.3">
      <c r="B471" s="3" t="s">
        <v>37</v>
      </c>
      <c r="D471">
        <v>5979</v>
      </c>
      <c r="E471" s="3" t="s">
        <v>42</v>
      </c>
      <c r="F471" s="3" t="s">
        <v>46</v>
      </c>
      <c r="H471" s="3" t="s">
        <v>55</v>
      </c>
      <c r="I471" s="3" t="s">
        <v>112</v>
      </c>
      <c r="J471" s="3">
        <v>14</v>
      </c>
      <c r="K471" s="6">
        <v>7000</v>
      </c>
      <c r="L471" s="6">
        <v>7000</v>
      </c>
      <c r="M471" s="6">
        <v>1120</v>
      </c>
      <c r="N471" s="8">
        <f t="shared" si="7"/>
        <v>8120</v>
      </c>
      <c r="O471" t="str">
        <f>IF(A471="", "", IF(SUMIFS(BD_FACTURAS!I:I, BD_FACTURAS!A:A, A471) = N471, "✅ Cuadrado", "⚠️ Diferencia"))</f>
        <v/>
      </c>
    </row>
    <row r="472" spans="2:15" x14ac:dyDescent="0.3">
      <c r="B472" s="2" t="s">
        <v>32</v>
      </c>
      <c r="D472">
        <v>201</v>
      </c>
      <c r="E472" s="2" t="s">
        <v>42</v>
      </c>
      <c r="F472" s="2" t="s">
        <v>49</v>
      </c>
      <c r="H472" s="2" t="s">
        <v>55</v>
      </c>
      <c r="I472" s="2" t="s">
        <v>107</v>
      </c>
      <c r="J472" s="2">
        <v>14</v>
      </c>
      <c r="K472" s="5">
        <v>7000</v>
      </c>
      <c r="L472" s="5">
        <v>7000</v>
      </c>
      <c r="M472" s="5">
        <v>1120</v>
      </c>
      <c r="N472" s="8">
        <f t="shared" si="7"/>
        <v>8120</v>
      </c>
      <c r="O472" t="str">
        <f>IF(A472="", "", IF(SUMIFS(BD_FACTURAS!I:I, BD_FACTURAS!A:A, A472) = N472, "✅ Cuadrado", "⚠️ Diferencia"))</f>
        <v/>
      </c>
    </row>
    <row r="473" spans="2:15" x14ac:dyDescent="0.3">
      <c r="B473" s="3" t="s">
        <v>32</v>
      </c>
      <c r="D473">
        <v>202</v>
      </c>
      <c r="E473" s="3" t="s">
        <v>42</v>
      </c>
      <c r="F473" s="3" t="s">
        <v>49</v>
      </c>
      <c r="H473" s="3" t="s">
        <v>55</v>
      </c>
      <c r="I473" s="3" t="s">
        <v>102</v>
      </c>
      <c r="J473" s="3">
        <v>14</v>
      </c>
      <c r="K473" s="6">
        <v>7000</v>
      </c>
      <c r="L473" s="6">
        <v>7000</v>
      </c>
      <c r="M473" s="6">
        <v>1120</v>
      </c>
      <c r="N473" s="8">
        <f t="shared" si="7"/>
        <v>8120</v>
      </c>
      <c r="O473" t="str">
        <f>IF(A473="", "", IF(SUMIFS(BD_FACTURAS!I:I, BD_FACTURAS!A:A, A473) = N473, "✅ Cuadrado", "⚠️ Diferencia"))</f>
        <v/>
      </c>
    </row>
    <row r="474" spans="2:15" x14ac:dyDescent="0.3">
      <c r="B474" s="2" t="s">
        <v>32</v>
      </c>
      <c r="D474">
        <v>203</v>
      </c>
      <c r="E474" s="2" t="s">
        <v>42</v>
      </c>
      <c r="F474" s="2" t="s">
        <v>49</v>
      </c>
      <c r="H474" s="2" t="s">
        <v>55</v>
      </c>
      <c r="I474" s="2" t="s">
        <v>103</v>
      </c>
      <c r="J474" s="2">
        <v>14</v>
      </c>
      <c r="K474" s="5">
        <v>7000</v>
      </c>
      <c r="L474" s="5">
        <v>7000</v>
      </c>
      <c r="M474" s="5">
        <v>1120</v>
      </c>
      <c r="N474" s="8">
        <f t="shared" si="7"/>
        <v>8120</v>
      </c>
      <c r="O474" t="str">
        <f>IF(A474="", "", IF(SUMIFS(BD_FACTURAS!I:I, BD_FACTURAS!A:A, A474) = N474, "✅ Cuadrado", "⚠️ Diferencia"))</f>
        <v/>
      </c>
    </row>
    <row r="475" spans="2:15" x14ac:dyDescent="0.3">
      <c r="B475" s="3" t="s">
        <v>32</v>
      </c>
      <c r="D475">
        <v>204</v>
      </c>
      <c r="E475" s="3" t="s">
        <v>42</v>
      </c>
      <c r="F475" s="3" t="s">
        <v>49</v>
      </c>
      <c r="H475" s="3" t="s">
        <v>55</v>
      </c>
      <c r="I475" s="3" t="s">
        <v>108</v>
      </c>
      <c r="J475" s="3">
        <v>14</v>
      </c>
      <c r="K475" s="6">
        <v>7000</v>
      </c>
      <c r="L475" s="6">
        <v>7000</v>
      </c>
      <c r="M475" s="6">
        <v>1120</v>
      </c>
      <c r="N475" s="8">
        <f t="shared" si="7"/>
        <v>8120</v>
      </c>
      <c r="O475" t="str">
        <f>IF(A475="", "", IF(SUMIFS(BD_FACTURAS!I:I, BD_FACTURAS!A:A, A475) = N475, "✅ Cuadrado", "⚠️ Diferencia"))</f>
        <v/>
      </c>
    </row>
    <row r="476" spans="2:15" x14ac:dyDescent="0.3">
      <c r="B476" s="2" t="s">
        <v>32</v>
      </c>
      <c r="D476">
        <v>205</v>
      </c>
      <c r="E476" s="2" t="s">
        <v>42</v>
      </c>
      <c r="F476" s="2" t="s">
        <v>49</v>
      </c>
      <c r="H476" s="2" t="s">
        <v>55</v>
      </c>
      <c r="I476" s="2" t="s">
        <v>99</v>
      </c>
      <c r="J476" s="2">
        <v>14</v>
      </c>
      <c r="K476" s="5">
        <v>7000</v>
      </c>
      <c r="L476" s="5">
        <v>7000</v>
      </c>
      <c r="M476" s="5">
        <v>1120</v>
      </c>
      <c r="N476" s="8">
        <f t="shared" si="7"/>
        <v>8120</v>
      </c>
      <c r="O476" t="str">
        <f>IF(A476="", "", IF(SUMIFS(BD_FACTURAS!I:I, BD_FACTURAS!A:A, A476) = N476, "✅ Cuadrado", "⚠️ Diferencia"))</f>
        <v/>
      </c>
    </row>
    <row r="477" spans="2:15" x14ac:dyDescent="0.3">
      <c r="B477" s="3" t="s">
        <v>33</v>
      </c>
      <c r="D477">
        <v>235</v>
      </c>
      <c r="E477" s="3" t="s">
        <v>42</v>
      </c>
      <c r="F477" s="3" t="s">
        <v>49</v>
      </c>
      <c r="H477" s="3" t="s">
        <v>55</v>
      </c>
      <c r="I477" s="3" t="s">
        <v>103</v>
      </c>
      <c r="J477" s="3">
        <v>14</v>
      </c>
      <c r="K477" s="6">
        <v>7000</v>
      </c>
      <c r="L477" s="6">
        <v>7000</v>
      </c>
      <c r="M477" s="6">
        <v>1120</v>
      </c>
      <c r="N477" s="8">
        <f t="shared" si="7"/>
        <v>8120</v>
      </c>
      <c r="O477" t="str">
        <f>IF(A477="", "", IF(SUMIFS(BD_FACTURAS!I:I, BD_FACTURAS!A:A, A477) = N477, "✅ Cuadrado", "⚠️ Diferencia"))</f>
        <v/>
      </c>
    </row>
    <row r="478" spans="2:15" x14ac:dyDescent="0.3">
      <c r="B478" s="2" t="s">
        <v>33</v>
      </c>
      <c r="D478">
        <v>236</v>
      </c>
      <c r="E478" s="2" t="s">
        <v>42</v>
      </c>
      <c r="F478" s="2" t="s">
        <v>49</v>
      </c>
      <c r="H478" s="2" t="s">
        <v>55</v>
      </c>
      <c r="I478" s="2" t="s">
        <v>104</v>
      </c>
      <c r="J478" s="2">
        <v>14</v>
      </c>
      <c r="K478" s="5">
        <v>7000</v>
      </c>
      <c r="L478" s="5">
        <v>7000</v>
      </c>
      <c r="M478" s="5">
        <v>1120</v>
      </c>
      <c r="N478" s="8">
        <f t="shared" si="7"/>
        <v>8120</v>
      </c>
      <c r="O478" t="str">
        <f>IF(A478="", "", IF(SUMIFS(BD_FACTURAS!I:I, BD_FACTURAS!A:A, A478) = N478, "✅ Cuadrado", "⚠️ Diferencia"))</f>
        <v/>
      </c>
    </row>
    <row r="479" spans="2:15" x14ac:dyDescent="0.3">
      <c r="B479" s="3" t="s">
        <v>33</v>
      </c>
      <c r="D479">
        <v>237</v>
      </c>
      <c r="E479" s="3" t="s">
        <v>42</v>
      </c>
      <c r="F479" s="3" t="s">
        <v>49</v>
      </c>
      <c r="H479" s="3" t="s">
        <v>55</v>
      </c>
      <c r="I479" s="3" t="s">
        <v>175</v>
      </c>
      <c r="J479" s="3">
        <v>14</v>
      </c>
      <c r="K479" s="6">
        <v>7000</v>
      </c>
      <c r="L479" s="6">
        <v>7000</v>
      </c>
      <c r="M479" s="6">
        <v>1120</v>
      </c>
      <c r="N479" s="8">
        <f t="shared" si="7"/>
        <v>8120</v>
      </c>
      <c r="O479" t="str">
        <f>IF(A479="", "", IF(SUMIFS(BD_FACTURAS!I:I, BD_FACTURAS!A:A, A479) = N479, "✅ Cuadrado", "⚠️ Diferencia"))</f>
        <v/>
      </c>
    </row>
    <row r="480" spans="2:15" x14ac:dyDescent="0.3">
      <c r="B480" s="2" t="s">
        <v>33</v>
      </c>
      <c r="D480">
        <v>238</v>
      </c>
      <c r="E480" s="2" t="s">
        <v>42</v>
      </c>
      <c r="F480" s="2" t="s">
        <v>49</v>
      </c>
      <c r="H480" s="2" t="s">
        <v>55</v>
      </c>
      <c r="I480" s="2" t="s">
        <v>108</v>
      </c>
      <c r="J480" s="2">
        <v>14</v>
      </c>
      <c r="K480" s="5">
        <v>7000</v>
      </c>
      <c r="L480" s="5">
        <v>7000</v>
      </c>
      <c r="M480" s="5">
        <v>1120</v>
      </c>
      <c r="N480" s="8">
        <f t="shared" si="7"/>
        <v>8120</v>
      </c>
      <c r="O480" t="str">
        <f>IF(A480="", "", IF(SUMIFS(BD_FACTURAS!I:I, BD_FACTURAS!A:A, A480) = N480, "✅ Cuadrado", "⚠️ Diferencia"))</f>
        <v/>
      </c>
    </row>
    <row r="481" spans="2:15" x14ac:dyDescent="0.3">
      <c r="B481" s="3" t="s">
        <v>36</v>
      </c>
      <c r="D481">
        <v>279</v>
      </c>
      <c r="E481" s="3" t="s">
        <v>42</v>
      </c>
      <c r="F481" s="3" t="s">
        <v>49</v>
      </c>
      <c r="H481" s="3" t="s">
        <v>55</v>
      </c>
      <c r="I481" s="3" t="s">
        <v>103</v>
      </c>
      <c r="J481" s="3">
        <v>14</v>
      </c>
      <c r="K481" s="6">
        <v>7000</v>
      </c>
      <c r="L481" s="6">
        <v>7000</v>
      </c>
      <c r="M481" s="6">
        <v>1120</v>
      </c>
      <c r="N481" s="8">
        <f t="shared" si="7"/>
        <v>8120</v>
      </c>
      <c r="O481" t="str">
        <f>IF(A481="", "", IF(SUMIFS(BD_FACTURAS!I:I, BD_FACTURAS!A:A, A481) = N481, "✅ Cuadrado", "⚠️ Diferencia"))</f>
        <v/>
      </c>
    </row>
    <row r="482" spans="2:15" x14ac:dyDescent="0.3">
      <c r="B482" s="2" t="s">
        <v>36</v>
      </c>
      <c r="D482">
        <v>280</v>
      </c>
      <c r="E482" s="2" t="s">
        <v>42</v>
      </c>
      <c r="F482" s="2" t="s">
        <v>49</v>
      </c>
      <c r="H482" s="2" t="s">
        <v>55</v>
      </c>
      <c r="I482" s="2" t="s">
        <v>102</v>
      </c>
      <c r="J482" s="2">
        <v>14</v>
      </c>
      <c r="K482" s="5">
        <v>7000</v>
      </c>
      <c r="L482" s="5">
        <v>7000</v>
      </c>
      <c r="M482" s="5">
        <v>1120</v>
      </c>
      <c r="N482" s="8">
        <f t="shared" si="7"/>
        <v>8120</v>
      </c>
      <c r="O482" t="str">
        <f>IF(A482="", "", IF(SUMIFS(BD_FACTURAS!I:I, BD_FACTURAS!A:A, A482) = N482, "✅ Cuadrado", "⚠️ Diferencia"))</f>
        <v/>
      </c>
    </row>
    <row r="483" spans="2:15" x14ac:dyDescent="0.3">
      <c r="B483" s="3" t="s">
        <v>36</v>
      </c>
      <c r="D483">
        <v>281</v>
      </c>
      <c r="E483" s="3" t="s">
        <v>42</v>
      </c>
      <c r="F483" s="3" t="s">
        <v>49</v>
      </c>
      <c r="H483" s="3" t="s">
        <v>55</v>
      </c>
      <c r="I483" s="3" t="s">
        <v>100</v>
      </c>
      <c r="J483" s="3">
        <v>14</v>
      </c>
      <c r="K483" s="6">
        <v>7000</v>
      </c>
      <c r="L483" s="6">
        <v>7000</v>
      </c>
      <c r="M483" s="6">
        <v>1120</v>
      </c>
      <c r="N483" s="8">
        <f t="shared" si="7"/>
        <v>8120</v>
      </c>
      <c r="O483" t="str">
        <f>IF(A483="", "", IF(SUMIFS(BD_FACTURAS!I:I, BD_FACTURAS!A:A, A483) = N483, "✅ Cuadrado", "⚠️ Diferencia"))</f>
        <v/>
      </c>
    </row>
    <row r="484" spans="2:15" x14ac:dyDescent="0.3">
      <c r="B484" s="2" t="s">
        <v>36</v>
      </c>
      <c r="D484">
        <v>282</v>
      </c>
      <c r="E484" s="2" t="s">
        <v>42</v>
      </c>
      <c r="F484" s="2" t="s">
        <v>49</v>
      </c>
      <c r="H484" s="2" t="s">
        <v>55</v>
      </c>
      <c r="I484" s="2" t="s">
        <v>175</v>
      </c>
      <c r="J484" s="2">
        <v>14</v>
      </c>
      <c r="K484" s="5">
        <v>7000</v>
      </c>
      <c r="L484" s="5">
        <v>7000</v>
      </c>
      <c r="M484" s="5">
        <v>1120</v>
      </c>
      <c r="N484" s="8">
        <f t="shared" si="7"/>
        <v>8120</v>
      </c>
      <c r="O484" t="str">
        <f>IF(A484="", "", IF(SUMIFS(BD_FACTURAS!I:I, BD_FACTURAS!A:A, A484) = N484, "✅ Cuadrado", "⚠️ Diferencia"))</f>
        <v/>
      </c>
    </row>
    <row r="485" spans="2:15" x14ac:dyDescent="0.3">
      <c r="B485" s="3" t="s">
        <v>36</v>
      </c>
      <c r="D485">
        <v>283</v>
      </c>
      <c r="E485" s="3" t="s">
        <v>42</v>
      </c>
      <c r="F485" s="3" t="s">
        <v>49</v>
      </c>
      <c r="H485" s="3" t="s">
        <v>55</v>
      </c>
      <c r="I485" s="3" t="s">
        <v>108</v>
      </c>
      <c r="J485" s="3">
        <v>14</v>
      </c>
      <c r="K485" s="6">
        <v>7000</v>
      </c>
      <c r="L485" s="6">
        <v>7000</v>
      </c>
      <c r="M485" s="6">
        <v>1120</v>
      </c>
      <c r="N485" s="8">
        <f t="shared" si="7"/>
        <v>8120</v>
      </c>
      <c r="O485" t="str">
        <f>IF(A485="", "", IF(SUMIFS(BD_FACTURAS!I:I, BD_FACTURAS!A:A, A485) = N485, "✅ Cuadrado", "⚠️ Diferencia"))</f>
        <v/>
      </c>
    </row>
    <row r="486" spans="2:15" x14ac:dyDescent="0.3">
      <c r="B486" s="2" t="s">
        <v>37</v>
      </c>
      <c r="D486">
        <v>296</v>
      </c>
      <c r="E486" s="2" t="s">
        <v>42</v>
      </c>
      <c r="F486" s="2" t="s">
        <v>49</v>
      </c>
      <c r="H486" s="2" t="s">
        <v>55</v>
      </c>
      <c r="I486" s="2" t="s">
        <v>103</v>
      </c>
      <c r="J486" s="2">
        <v>14</v>
      </c>
      <c r="K486" s="5">
        <v>7000</v>
      </c>
      <c r="L486" s="5">
        <v>7000</v>
      </c>
      <c r="M486" s="5">
        <v>1120</v>
      </c>
      <c r="N486" s="8">
        <f t="shared" si="7"/>
        <v>8120</v>
      </c>
      <c r="O486" t="str">
        <f>IF(A486="", "", IF(SUMIFS(BD_FACTURAS!I:I, BD_FACTURAS!A:A, A486) = N486, "✅ Cuadrado", "⚠️ Diferencia"))</f>
        <v/>
      </c>
    </row>
    <row r="487" spans="2:15" x14ac:dyDescent="0.3">
      <c r="B487" s="3" t="s">
        <v>37</v>
      </c>
      <c r="D487">
        <v>297</v>
      </c>
      <c r="E487" s="3" t="s">
        <v>42</v>
      </c>
      <c r="F487" s="3" t="s">
        <v>49</v>
      </c>
      <c r="H487" s="3" t="s">
        <v>55</v>
      </c>
      <c r="I487" s="3" t="s">
        <v>102</v>
      </c>
      <c r="J487" s="3">
        <v>14</v>
      </c>
      <c r="K487" s="6">
        <v>7000</v>
      </c>
      <c r="L487" s="6">
        <v>7000</v>
      </c>
      <c r="M487" s="6">
        <v>1120</v>
      </c>
      <c r="N487" s="8">
        <f t="shared" si="7"/>
        <v>8120</v>
      </c>
      <c r="O487" t="str">
        <f>IF(A487="", "", IF(SUMIFS(BD_FACTURAS!I:I, BD_FACTURAS!A:A, A487) = N487, "✅ Cuadrado", "⚠️ Diferencia"))</f>
        <v/>
      </c>
    </row>
    <row r="488" spans="2:15" x14ac:dyDescent="0.3">
      <c r="B488" s="4" t="s">
        <v>37</v>
      </c>
      <c r="D488">
        <v>298</v>
      </c>
      <c r="E488" s="4" t="s">
        <v>42</v>
      </c>
      <c r="F488" s="4" t="s">
        <v>49</v>
      </c>
      <c r="H488" s="4" t="s">
        <v>55</v>
      </c>
      <c r="I488" s="4" t="s">
        <v>175</v>
      </c>
      <c r="J488" s="4">
        <v>14</v>
      </c>
      <c r="K488" s="7">
        <v>7000</v>
      </c>
      <c r="L488" s="7">
        <v>7000</v>
      </c>
      <c r="M488" s="7">
        <v>1120</v>
      </c>
      <c r="N488" s="8">
        <f t="shared" si="7"/>
        <v>8120</v>
      </c>
      <c r="O488" t="str">
        <f>IF(A488="", "", IF(SUMIFS(BD_FACTURAS!I:I, BD_FACTURAS!A:A, A488) = N488, "✅ Cuadrado", "⚠️ Diferencia"))</f>
        <v/>
      </c>
    </row>
    <row r="489" spans="2:15" x14ac:dyDescent="0.3">
      <c r="N489" s="8">
        <f t="shared" si="7"/>
        <v>0</v>
      </c>
      <c r="O489" t="str">
        <f>IF(A489="", "", IF(SUMIFS(BD_FACTURAS!I:I, BD_FACTURAS!A:A, A489) = N489, "✅ Cuadrado", "⚠️ Diferencia"))</f>
        <v/>
      </c>
    </row>
    <row r="490" spans="2:15" x14ac:dyDescent="0.3">
      <c r="N490" s="8">
        <f t="shared" si="7"/>
        <v>0</v>
      </c>
      <c r="O490" t="str">
        <f>IF(A490="", "", IF(SUMIFS(BD_FACTURAS!I:I, BD_FACTURAS!A:A, A490) = N490, "✅ Cuadrado", "⚠️ Diferencia"))</f>
        <v/>
      </c>
    </row>
    <row r="491" spans="2:15" x14ac:dyDescent="0.3">
      <c r="N491" s="8">
        <f t="shared" si="7"/>
        <v>0</v>
      </c>
      <c r="O491" t="str">
        <f>IF(A491="", "", IF(SUMIFS(BD_FACTURAS!I:I, BD_FACTURAS!A:A, A491) = N491, "✅ Cuadrado", "⚠️ Diferencia"))</f>
        <v/>
      </c>
    </row>
    <row r="492" spans="2:15" x14ac:dyDescent="0.3">
      <c r="N492" s="8">
        <f t="shared" si="7"/>
        <v>0</v>
      </c>
      <c r="O492" t="str">
        <f>IF(A492="", "", IF(SUMIFS(BD_FACTURAS!I:I, BD_FACTURAS!A:A, A492) = N492, "✅ Cuadrado", "⚠️ Diferencia"))</f>
        <v/>
      </c>
    </row>
    <row r="493" spans="2:15" x14ac:dyDescent="0.3">
      <c r="N493" s="8">
        <f t="shared" si="7"/>
        <v>0</v>
      </c>
      <c r="O493" t="str">
        <f>IF(A493="", "", IF(SUMIFS(BD_FACTURAS!I:I, BD_FACTURAS!A:A, A493) = N493, "✅ Cuadrado", "⚠️ Diferencia"))</f>
        <v/>
      </c>
    </row>
    <row r="494" spans="2:15" x14ac:dyDescent="0.3">
      <c r="N494" s="8">
        <f t="shared" si="7"/>
        <v>0</v>
      </c>
      <c r="O494" t="str">
        <f>IF(A494="", "", IF(SUMIFS(BD_FACTURAS!I:I, BD_FACTURAS!A:A, A494) = N494, "✅ Cuadrado", "⚠️ Diferencia"))</f>
        <v/>
      </c>
    </row>
    <row r="495" spans="2:15" x14ac:dyDescent="0.3">
      <c r="N495" s="8">
        <f t="shared" si="7"/>
        <v>0</v>
      </c>
      <c r="O495" t="str">
        <f>IF(A495="", "", IF(SUMIFS(BD_FACTURAS!I:I, BD_FACTURAS!A:A, A495) = N495, "✅ Cuadrado", "⚠️ Diferencia"))</f>
        <v/>
      </c>
    </row>
    <row r="496" spans="2:15" x14ac:dyDescent="0.3">
      <c r="N496" s="8">
        <f t="shared" si="7"/>
        <v>0</v>
      </c>
      <c r="O496" t="str">
        <f>IF(A496="", "", IF(SUMIFS(BD_FACTURAS!I:I, BD_FACTURAS!A:A, A496) = N496, "✅ Cuadrado", "⚠️ Diferencia"))</f>
        <v/>
      </c>
    </row>
    <row r="497" spans="14:15" x14ac:dyDescent="0.3">
      <c r="N497" s="8">
        <f t="shared" si="7"/>
        <v>0</v>
      </c>
      <c r="O497" t="str">
        <f>IF(A497="", "", IF(SUMIFS(BD_FACTURAS!I:I, BD_FACTURAS!A:A, A497) = N497, "✅ Cuadrado", "⚠️ Diferencia"))</f>
        <v/>
      </c>
    </row>
    <row r="498" spans="14:15" x14ac:dyDescent="0.3">
      <c r="N498" s="8">
        <f t="shared" si="7"/>
        <v>0</v>
      </c>
      <c r="O498" t="str">
        <f>IF(A498="", "", IF(SUMIFS(BD_FACTURAS!I:I, BD_FACTURAS!A:A, A498) = N498, "✅ Cuadrado", "⚠️ Diferencia"))</f>
        <v/>
      </c>
    </row>
    <row r="499" spans="14:15" x14ac:dyDescent="0.3">
      <c r="N499" s="8">
        <f t="shared" si="7"/>
        <v>0</v>
      </c>
      <c r="O499" t="str">
        <f>IF(A499="", "", IF(SUMIFS(BD_FACTURAS!I:I, BD_FACTURAS!A:A, A499) = N499, "✅ Cuadrado", "⚠️ Diferencia"))</f>
        <v/>
      </c>
    </row>
    <row r="500" spans="14:15" x14ac:dyDescent="0.3">
      <c r="N500" s="8">
        <f t="shared" si="7"/>
        <v>0</v>
      </c>
      <c r="O500" t="str">
        <f>IF(A500="", "", IF(SUMIFS(BD_FACTURAS!I:I, BD_FACTURAS!A:A, A500) = N500, "✅ Cuadrado", "⚠️ Diferencia"))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"/>
  <sheetViews>
    <sheetView workbookViewId="0"/>
  </sheetViews>
  <sheetFormatPr baseColWidth="10" defaultColWidth="8.88671875" defaultRowHeight="14.4" x14ac:dyDescent="0.3"/>
  <cols>
    <col min="1" max="11" width="20" customWidth="1"/>
  </cols>
  <sheetData>
    <row r="1" spans="1:11" x14ac:dyDescent="0.3">
      <c r="A1" s="1" t="s">
        <v>7</v>
      </c>
      <c r="B1" s="1" t="s">
        <v>18</v>
      </c>
      <c r="C1" s="1" t="s">
        <v>19</v>
      </c>
      <c r="D1" s="1" t="s">
        <v>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15</v>
      </c>
      <c r="J1" s="1" t="s">
        <v>16</v>
      </c>
      <c r="K1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8.88671875" defaultRowHeight="14.4" x14ac:dyDescent="0.3"/>
  <cols>
    <col min="1" max="1" width="20" customWidth="1"/>
  </cols>
  <sheetData>
    <row r="1" spans="1:1" x14ac:dyDescent="0.3">
      <c r="A1" s="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CATALOGOS</vt:lpstr>
      <vt:lpstr>BD_ACARREOS</vt:lpstr>
      <vt:lpstr>BD_FACTURAS</vt:lpstr>
      <vt:lpstr>TABLAS_DINAMICAS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GRUPO TRUJANO 03</cp:lastModifiedBy>
  <dcterms:created xsi:type="dcterms:W3CDTF">2026-07-07T15:44:40Z</dcterms:created>
  <dcterms:modified xsi:type="dcterms:W3CDTF">2026-07-07T18:04:06Z</dcterms:modified>
</cp:coreProperties>
</file>