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COORDINACION HSE 2026\SUPERINTENDENCIA DE OBRA\ADMINISTRACION\"/>
    </mc:Choice>
  </mc:AlternateContent>
  <xr:revisionPtr revIDLastSave="0" documentId="13_ncr:1_{1AD1E5DE-A4DA-448E-BA8E-D074997053B9}" xr6:coauthVersionLast="47" xr6:coauthVersionMax="47" xr10:uidLastSave="{00000000-0000-0000-0000-000000000000}"/>
  <bookViews>
    <workbookView xWindow="-108" yWindow="-108" windowWidth="23256" windowHeight="12456" xr2:uid="{38B013A0-6897-4BE0-9F47-32B7F9997D52}"/>
  </bookViews>
  <sheets>
    <sheet name="MEZCLA" sheetId="2" r:id="rId1"/>
    <sheet name="FRESAD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2" l="1"/>
  <c r="H63" i="3"/>
  <c r="E63" i="3"/>
  <c r="H62" i="2"/>
  <c r="E62" i="2"/>
</calcChain>
</file>

<file path=xl/sharedStrings.xml><?xml version="1.0" encoding="utf-8"?>
<sst xmlns="http://schemas.openxmlformats.org/spreadsheetml/2006/main" count="692" uniqueCount="129">
  <si>
    <t>NO</t>
  </si>
  <si>
    <t xml:space="preserve">OBRA: </t>
  </si>
  <si>
    <t xml:space="preserve">FOLIO </t>
  </si>
  <si>
    <t>FECHA</t>
  </si>
  <si>
    <t>PLACAS</t>
  </si>
  <si>
    <t>CAPACIDAD</t>
  </si>
  <si>
    <t>OPERADOR</t>
  </si>
  <si>
    <t>OBSERVACIONES</t>
  </si>
  <si>
    <t>SINDICATO</t>
  </si>
  <si>
    <t xml:space="preserve">MATERIAL: </t>
  </si>
  <si>
    <t xml:space="preserve">MATERIAL </t>
  </si>
  <si>
    <t>SEMANA:</t>
  </si>
  <si>
    <t xml:space="preserve">VIAJES </t>
  </si>
  <si>
    <t xml:space="preserve">UNIDAD </t>
  </si>
  <si>
    <t>TOTAL</t>
  </si>
  <si>
    <t>MEZCLA</t>
  </si>
  <si>
    <t xml:space="preserve">FRESADO </t>
  </si>
  <si>
    <t>KM INICIA</t>
  </si>
  <si>
    <t>KM TERMINA</t>
  </si>
  <si>
    <t>CPO</t>
  </si>
  <si>
    <t>CARRIL</t>
  </si>
  <si>
    <t xml:space="preserve">CAPACIDAD (M3) </t>
  </si>
  <si>
    <t xml:space="preserve">PESO TOTAL (KG) </t>
  </si>
  <si>
    <t xml:space="preserve">SEM </t>
  </si>
  <si>
    <t>KM INICIO</t>
  </si>
  <si>
    <t>KM FINAL</t>
  </si>
  <si>
    <t xml:space="preserve">TIRO </t>
  </si>
  <si>
    <t>KM ACARREO POR VIAJE</t>
  </si>
  <si>
    <t>LERMA-TRES MARIAS</t>
  </si>
  <si>
    <t>FRESADO</t>
  </si>
  <si>
    <t>HB-9873-H</t>
  </si>
  <si>
    <r>
      <t>M</t>
    </r>
    <r>
      <rPr>
        <sz val="11"/>
        <color theme="1"/>
        <rFont val="Aptos Narrow"/>
        <family val="2"/>
      </rPr>
      <t>³</t>
    </r>
  </si>
  <si>
    <t>CIRILO GARCIA</t>
  </si>
  <si>
    <t>EMULSIONES Y ASFALTOS JORGE</t>
  </si>
  <si>
    <t>6+290</t>
  </si>
  <si>
    <t>6+442</t>
  </si>
  <si>
    <t>UNICO</t>
  </si>
  <si>
    <t>15+200</t>
  </si>
  <si>
    <t>HG-2412-G</t>
  </si>
  <si>
    <t>NT-2814-C</t>
  </si>
  <si>
    <t>GIOVANI CONTRERAS</t>
  </si>
  <si>
    <t>MARTIN MALVAEZ</t>
  </si>
  <si>
    <t>M³</t>
  </si>
  <si>
    <t>ALEXANDER MALVAEZ</t>
  </si>
  <si>
    <t>87-A2-GY</t>
  </si>
  <si>
    <t>LIMPIEZA</t>
  </si>
  <si>
    <t>AUTOPISTA LERMA-TRES MARIAS</t>
  </si>
  <si>
    <t>PROTOCOLO AMAAC III</t>
  </si>
  <si>
    <t>JOSE MARIA</t>
  </si>
  <si>
    <t>HECTOR PIÑA</t>
  </si>
  <si>
    <t>HG5343F</t>
  </si>
  <si>
    <t>MANUEL DE LA CRUZ</t>
  </si>
  <si>
    <t>464AJ2</t>
  </si>
  <si>
    <t>CARLOS VALDES</t>
  </si>
  <si>
    <t>HA6315A</t>
  </si>
  <si>
    <t>JUAN CARLOS ARIAS</t>
  </si>
  <si>
    <t>511AN4</t>
  </si>
  <si>
    <t>ADAN LOPEZ</t>
  </si>
  <si>
    <t>52BM3K</t>
  </si>
  <si>
    <t>MAURICIO HERNANDEZ</t>
  </si>
  <si>
    <t>48BA2X</t>
  </si>
  <si>
    <t>SAUL SANCHEZ</t>
  </si>
  <si>
    <t>NG9783D</t>
  </si>
  <si>
    <t>6+550</t>
  </si>
  <si>
    <t>6+585</t>
  </si>
  <si>
    <t>6+756</t>
  </si>
  <si>
    <t>6+771</t>
  </si>
  <si>
    <t>30BD4K</t>
  </si>
  <si>
    <t>FABIAN ALANIS</t>
  </si>
  <si>
    <t>HC1924G</t>
  </si>
  <si>
    <t>6+880</t>
  </si>
  <si>
    <t>7+001</t>
  </si>
  <si>
    <t>7-HV-8457</t>
  </si>
  <si>
    <t>ALEJANDRO LORENZO</t>
  </si>
  <si>
    <t>JDJ TRANSPORTES</t>
  </si>
  <si>
    <t>6+765</t>
  </si>
  <si>
    <t>6+650</t>
  </si>
  <si>
    <t>7+111</t>
  </si>
  <si>
    <t>6+977</t>
  </si>
  <si>
    <t>6+947</t>
  </si>
  <si>
    <t>6+931</t>
  </si>
  <si>
    <t>6+906</t>
  </si>
  <si>
    <t>6+887</t>
  </si>
  <si>
    <t>6+874</t>
  </si>
  <si>
    <t>6+747</t>
  </si>
  <si>
    <t>6+732</t>
  </si>
  <si>
    <t>6+726</t>
  </si>
  <si>
    <t>6+714</t>
  </si>
  <si>
    <t>6+706</t>
  </si>
  <si>
    <t>6+694</t>
  </si>
  <si>
    <t>6+685</t>
  </si>
  <si>
    <t>6+673</t>
  </si>
  <si>
    <t>6+645</t>
  </si>
  <si>
    <t>6+633</t>
  </si>
  <si>
    <t>7+085</t>
  </si>
  <si>
    <t>7+055</t>
  </si>
  <si>
    <t>HF4385-G</t>
  </si>
  <si>
    <t>FERNANDO MARTINEZ</t>
  </si>
  <si>
    <t>7+025</t>
  </si>
  <si>
    <t>6+995</t>
  </si>
  <si>
    <t>6+965</t>
  </si>
  <si>
    <t>6+935</t>
  </si>
  <si>
    <t>6+662</t>
  </si>
  <si>
    <t>6+630</t>
  </si>
  <si>
    <t>6+520</t>
  </si>
  <si>
    <t>6+490</t>
  </si>
  <si>
    <t>6+980</t>
  </si>
  <si>
    <t>6+450</t>
  </si>
  <si>
    <t>6+440</t>
  </si>
  <si>
    <t>6+406</t>
  </si>
  <si>
    <t>6+410</t>
  </si>
  <si>
    <t>6+330</t>
  </si>
  <si>
    <t>6+370</t>
  </si>
  <si>
    <t>6+350</t>
  </si>
  <si>
    <t>6+594</t>
  </si>
  <si>
    <t>6+449</t>
  </si>
  <si>
    <t>HB-4926-H</t>
  </si>
  <si>
    <t>6+420</t>
  </si>
  <si>
    <t>6+309</t>
  </si>
  <si>
    <t>6+369</t>
  </si>
  <si>
    <t>6+332</t>
  </si>
  <si>
    <t>HF-4385-G</t>
  </si>
  <si>
    <t>6+322</t>
  </si>
  <si>
    <t>11+144</t>
  </si>
  <si>
    <t>11+294</t>
  </si>
  <si>
    <t>MEDIO</t>
  </si>
  <si>
    <t>11+180</t>
  </si>
  <si>
    <t>11+210</t>
  </si>
  <si>
    <t>11+250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</si>
</sst>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14" fontId="0" fillId="4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14" fontId="0" fillId="5" borderId="0" xfId="0" applyNumberFormat="1" applyFill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27EBC-6E34-47EA-A5D1-F03F28A197B4}" name="Tabla13" displayName="Tabla13" ref="A6:O62" totalsRowCount="1" headerRowDxfId="39" totalsRowDxfId="38">
  <autoFilter ref="A6:O61" xr:uid="{8D717C90-FB95-4296-A6C9-C79B7A18A200}"/>
  <tableColumns count="15">
    <tableColumn id="1" xr3:uid="{DBDDDE87-3136-41BB-BF2C-19141E7900E5}" name="SEM " totalsRowLabel="TOTAL" dataDxfId="37" totalsRowDxfId="5"/>
    <tableColumn id="13" xr3:uid="{FF2DBDA8-D9D1-440C-8052-490C0FAEFD04}" name="NO" dataDxfId="36" totalsRowDxfId="4"/>
    <tableColumn id="2" xr3:uid="{173D1978-9F3A-4300-BEB6-0A47D0AD4515}" name="FOLIO " totalsRowDxfId="35"/>
    <tableColumn id="3" xr3:uid="{967F54B0-9546-45F7-8B88-7A985CB17E2C}" name="FECHA" totalsRowDxfId="34"/>
    <tableColumn id="10" xr3:uid="{59ED56B1-A4CB-4E5A-BC9B-096EC1A34E87}" name="VIAJES " totalsRowFunction="sum" totalsRowDxfId="33"/>
    <tableColumn id="4" xr3:uid="{1A34ABD1-F24C-4950-845E-93ADDD32354A}" name="MATERIAL " totalsRowDxfId="32"/>
    <tableColumn id="5" xr3:uid="{6BFD7B16-4B05-46FA-8DFB-11DDF6836665}" name="PLACAS" totalsRowDxfId="31"/>
    <tableColumn id="6" xr3:uid="{47A23ED3-893B-4ACB-ADAE-653A5B4D9482}" name="CAPACIDAD (M3) " totalsRowFunction="sum" totalsRowDxfId="30"/>
    <tableColumn id="12" xr3:uid="{8D4BF9F9-D4F6-4546-A952-4AAA08105500}" name="PESO TOTAL (KG) " totalsRowFunction="custom" totalsRowDxfId="29">
      <totalsRowFormula>SUM(Tabla13[PESO TOTAL (KG) ])</totalsRowFormula>
    </tableColumn>
    <tableColumn id="7" xr3:uid="{5BD4FFA7-7053-44BE-927E-CB5FC555D15D}" name="OPERADOR" totalsRowDxfId="28"/>
    <tableColumn id="8" xr3:uid="{320C1973-DA64-4E94-8675-2E332E271B1B}" name="SINDICATO" totalsRowDxfId="27"/>
    <tableColumn id="14" xr3:uid="{F090B8BF-8FBF-45F1-9A05-92A347734BDD}" name="KM INICIO" totalsRowDxfId="26"/>
    <tableColumn id="11" xr3:uid="{8A8C90D6-C2B1-4151-A4E1-C48F09C5EA5C}" name="KM FINAL" totalsRowDxfId="25"/>
    <tableColumn id="17" xr3:uid="{14CEEB12-F1C7-49C2-A2C5-A584420EE438}" name="KM ACARREO POR VIAJE" totalsRowDxfId="24"/>
    <tableColumn id="9" xr3:uid="{18E147B0-810A-4CE1-A0E3-21AD3320FC00}" name="OBSERVACIONES" totalsRowDxfId="2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92F9F-F71D-47F4-8052-EC02B1A4076C}" name="Tabla134" displayName="Tabla134" ref="A6:Q63" totalsRowCount="1" headerRowDxfId="22" totalsRowDxfId="21">
  <autoFilter ref="A6:Q62" xr:uid="{8D717C90-FB95-4296-A6C9-C79B7A18A200}"/>
  <tableColumns count="17">
    <tableColumn id="1" xr3:uid="{7A452428-A22C-49AB-BF8D-53941C4C7B7D}" name="SEM " totalsRowLabel="TOTAL" dataDxfId="3" totalsRowDxfId="1"/>
    <tableColumn id="16" xr3:uid="{07632DCE-86C9-4DAB-96B6-3D15BC4E34E9}" name="NO" dataDxfId="2" totalsRowDxfId="0"/>
    <tableColumn id="2" xr3:uid="{95752474-9822-4578-AAD3-E1E7BCF6C4BF}" name="FOLIO " totalsRowDxfId="20"/>
    <tableColumn id="3" xr3:uid="{D566B420-B7D2-4357-858E-9E3C7030BF50}" name="FECHA" totalsRowDxfId="19"/>
    <tableColumn id="10" xr3:uid="{887BBD80-3DD5-47F1-94DD-2C255F1A9AE8}" name="VIAJES " totalsRowFunction="sum" totalsRowDxfId="18"/>
    <tableColumn id="4" xr3:uid="{BA50F43A-9D3C-4614-97A8-230A95796ACA}" name="MATERIAL " totalsRowDxfId="17"/>
    <tableColumn id="5" xr3:uid="{711B0AC2-03FE-4ADB-900C-0B6BC8A971ED}" name="PLACAS" totalsRowDxfId="16"/>
    <tableColumn id="6" xr3:uid="{F3424566-E94A-44F1-B4E0-0FD8812538A7}" name="CAPACIDAD" totalsRowFunction="sum" totalsRowDxfId="15"/>
    <tableColumn id="11" xr3:uid="{9F174E4F-5017-496B-B188-E750CC00E47E}" name="UNIDAD " totalsRowDxfId="14"/>
    <tableColumn id="7" xr3:uid="{1BBCB745-943B-41CC-BA5F-2A5F663B7FC4}" name="OPERADOR" totalsRowDxfId="13"/>
    <tableColumn id="8" xr3:uid="{7C0DBDAB-0E2C-444E-803A-C15D9ADD9E44}" name="SINDICATO" totalsRowDxfId="12"/>
    <tableColumn id="15" xr3:uid="{601E3CAB-50E9-4BE2-959C-3CE7E941DE4E}" name="KM INICIA" totalsRowDxfId="11"/>
    <tableColumn id="14" xr3:uid="{D1D68F5A-A391-4FD5-ABE2-C819A5CC4C25}" name="KM TERMINA" totalsRowDxfId="10"/>
    <tableColumn id="17" xr3:uid="{EBC2FF33-0CBA-45F1-B745-B08EE32CB372}" name="TIRO " totalsRowDxfId="9"/>
    <tableColumn id="13" xr3:uid="{14BCF14B-60BD-4360-BAB7-2EE5F361856C}" name="CPO" totalsRowDxfId="8"/>
    <tableColumn id="12" xr3:uid="{A17143CC-C69C-4B04-8620-ECD805E7797E}" name="CARRIL" totalsRowDxfId="7"/>
    <tableColumn id="9" xr3:uid="{923A1F37-5BD7-4C71-B9A3-24BD6217D0D6}" name="OBSERVACIONES" totalsRowDxfId="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44EB-1DCE-4E64-BBC5-9E57C08EDA21}">
  <dimension ref="A2:O115"/>
  <sheetViews>
    <sheetView tabSelected="1" view="pageBreakPreview" topLeftCell="A41" zoomScaleNormal="100" zoomScaleSheetLayoutView="100" workbookViewId="0">
      <selection activeCell="I63" sqref="I63"/>
    </sheetView>
  </sheetViews>
  <sheetFormatPr baseColWidth="10" defaultRowHeight="14.4" x14ac:dyDescent="0.3"/>
  <cols>
    <col min="1" max="2" width="9" style="1" customWidth="1"/>
    <col min="3" max="3" width="9.88671875" customWidth="1"/>
    <col min="4" max="4" width="11.5546875" customWidth="1"/>
    <col min="5" max="5" width="7.6640625" customWidth="1"/>
    <col min="6" max="6" width="19.77734375" customWidth="1"/>
    <col min="8" max="8" width="18.5546875" customWidth="1"/>
    <col min="9" max="9" width="16.33203125" customWidth="1"/>
    <col min="10" max="10" width="20" customWidth="1"/>
    <col min="11" max="11" width="27.77734375" customWidth="1"/>
    <col min="12" max="12" width="8.33203125" customWidth="1"/>
    <col min="13" max="13" width="9.33203125" customWidth="1"/>
    <col min="14" max="14" width="27.5546875" bestFit="1" customWidth="1"/>
    <col min="15" max="15" width="28" customWidth="1"/>
  </cols>
  <sheetData>
    <row r="2" spans="1:15" ht="18" x14ac:dyDescent="0.35">
      <c r="C2" s="2" t="s">
        <v>1</v>
      </c>
      <c r="D2" s="9" t="s">
        <v>46</v>
      </c>
      <c r="E2" s="9"/>
      <c r="F2" s="9"/>
    </row>
    <row r="3" spans="1:15" x14ac:dyDescent="0.3">
      <c r="C3" s="2" t="s">
        <v>11</v>
      </c>
      <c r="D3" s="4">
        <v>25</v>
      </c>
    </row>
    <row r="4" spans="1:15" x14ac:dyDescent="0.3">
      <c r="C4" s="2" t="s">
        <v>9</v>
      </c>
      <c r="D4" s="3" t="s">
        <v>15</v>
      </c>
    </row>
    <row r="6" spans="1:15" s="7" customFormat="1" ht="29.25" customHeight="1" x14ac:dyDescent="0.3">
      <c r="A6" s="7" t="s">
        <v>23</v>
      </c>
      <c r="B6" s="7" t="s">
        <v>0</v>
      </c>
      <c r="C6" s="7" t="s">
        <v>2</v>
      </c>
      <c r="D6" s="7" t="s">
        <v>3</v>
      </c>
      <c r="E6" s="7" t="s">
        <v>12</v>
      </c>
      <c r="F6" s="7" t="s">
        <v>10</v>
      </c>
      <c r="G6" s="7" t="s">
        <v>4</v>
      </c>
      <c r="H6" s="7" t="s">
        <v>21</v>
      </c>
      <c r="I6" s="7" t="s">
        <v>22</v>
      </c>
      <c r="J6" s="7" t="s">
        <v>6</v>
      </c>
      <c r="K6" s="7" t="s">
        <v>8</v>
      </c>
      <c r="L6" s="7" t="s">
        <v>24</v>
      </c>
      <c r="M6" s="7" t="s">
        <v>25</v>
      </c>
      <c r="N6" s="7" t="s">
        <v>27</v>
      </c>
      <c r="O6" s="7" t="s">
        <v>7</v>
      </c>
    </row>
    <row r="7" spans="1:15" x14ac:dyDescent="0.3">
      <c r="A7" s="1">
        <v>25</v>
      </c>
      <c r="B7" s="10">
        <v>1</v>
      </c>
      <c r="C7" s="11">
        <v>83</v>
      </c>
      <c r="D7" s="12">
        <v>46188</v>
      </c>
      <c r="E7" s="11">
        <v>1</v>
      </c>
      <c r="F7" s="11" t="s">
        <v>47</v>
      </c>
      <c r="G7" s="11" t="s">
        <v>50</v>
      </c>
      <c r="H7" s="11">
        <v>14</v>
      </c>
      <c r="I7" s="11">
        <v>24270</v>
      </c>
      <c r="J7" s="11" t="s">
        <v>48</v>
      </c>
      <c r="K7" s="11" t="s">
        <v>33</v>
      </c>
      <c r="L7" s="11" t="s">
        <v>34</v>
      </c>
      <c r="M7" s="11" t="s">
        <v>35</v>
      </c>
      <c r="N7" s="11">
        <v>28</v>
      </c>
      <c r="O7" s="11"/>
    </row>
    <row r="8" spans="1:15" x14ac:dyDescent="0.3">
      <c r="A8" s="1">
        <v>25</v>
      </c>
      <c r="B8" s="10">
        <v>2</v>
      </c>
      <c r="C8" s="11">
        <v>84</v>
      </c>
      <c r="D8" s="12">
        <v>46188</v>
      </c>
      <c r="E8" s="11">
        <v>1</v>
      </c>
      <c r="F8" s="11" t="s">
        <v>47</v>
      </c>
      <c r="G8" s="11" t="s">
        <v>69</v>
      </c>
      <c r="H8" s="11">
        <v>14</v>
      </c>
      <c r="I8" s="11">
        <v>25180</v>
      </c>
      <c r="J8" s="11" t="s">
        <v>49</v>
      </c>
      <c r="K8" s="11" t="s">
        <v>33</v>
      </c>
      <c r="L8" s="11" t="s">
        <v>34</v>
      </c>
      <c r="M8" s="11" t="s">
        <v>35</v>
      </c>
      <c r="N8" s="11">
        <v>28</v>
      </c>
      <c r="O8" s="11"/>
    </row>
    <row r="9" spans="1:15" x14ac:dyDescent="0.3">
      <c r="A9" s="1">
        <v>25</v>
      </c>
      <c r="B9" s="10">
        <v>3</v>
      </c>
      <c r="C9" s="11">
        <v>85</v>
      </c>
      <c r="D9" s="12">
        <v>46188</v>
      </c>
      <c r="E9" s="11">
        <v>1</v>
      </c>
      <c r="F9" s="11" t="s">
        <v>47</v>
      </c>
      <c r="G9" s="11" t="s">
        <v>62</v>
      </c>
      <c r="H9" s="11">
        <v>14</v>
      </c>
      <c r="I9" s="11">
        <v>25310</v>
      </c>
      <c r="J9" s="11" t="s">
        <v>51</v>
      </c>
      <c r="K9" s="11" t="s">
        <v>33</v>
      </c>
      <c r="L9" s="11" t="s">
        <v>34</v>
      </c>
      <c r="M9" s="11" t="s">
        <v>35</v>
      </c>
      <c r="N9" s="11">
        <v>28</v>
      </c>
      <c r="O9" s="11"/>
    </row>
    <row r="10" spans="1:15" x14ac:dyDescent="0.3">
      <c r="A10" s="1">
        <v>25</v>
      </c>
      <c r="B10" s="10">
        <v>4</v>
      </c>
      <c r="C10" s="11">
        <v>86</v>
      </c>
      <c r="D10" s="12">
        <v>46188</v>
      </c>
      <c r="E10" s="11">
        <v>1</v>
      </c>
      <c r="F10" s="11" t="s">
        <v>47</v>
      </c>
      <c r="G10" s="11" t="s">
        <v>52</v>
      </c>
      <c r="H10" s="11">
        <v>14</v>
      </c>
      <c r="I10" s="11">
        <v>24830</v>
      </c>
      <c r="J10" s="11" t="s">
        <v>53</v>
      </c>
      <c r="K10" s="11" t="s">
        <v>33</v>
      </c>
      <c r="L10" s="11" t="s">
        <v>34</v>
      </c>
      <c r="M10" s="11" t="s">
        <v>35</v>
      </c>
      <c r="N10" s="11">
        <v>28</v>
      </c>
      <c r="O10" s="11"/>
    </row>
    <row r="11" spans="1:15" x14ac:dyDescent="0.3">
      <c r="A11" s="1">
        <v>25</v>
      </c>
      <c r="B11" s="10">
        <v>5</v>
      </c>
      <c r="C11" s="11">
        <v>89</v>
      </c>
      <c r="D11" s="12">
        <v>46188</v>
      </c>
      <c r="E11" s="11">
        <v>1</v>
      </c>
      <c r="F11" s="11" t="s">
        <v>47</v>
      </c>
      <c r="G11" s="11" t="s">
        <v>54</v>
      </c>
      <c r="H11" s="11">
        <v>14</v>
      </c>
      <c r="I11" s="11">
        <v>20480</v>
      </c>
      <c r="J11" s="11" t="s">
        <v>55</v>
      </c>
      <c r="K11" s="11" t="s">
        <v>33</v>
      </c>
      <c r="L11" s="11" t="s">
        <v>34</v>
      </c>
      <c r="M11" s="11" t="s">
        <v>35</v>
      </c>
      <c r="N11" s="11">
        <v>22</v>
      </c>
      <c r="O11" s="11"/>
    </row>
    <row r="12" spans="1:15" x14ac:dyDescent="0.3">
      <c r="A12" s="1">
        <v>25</v>
      </c>
      <c r="B12" s="10">
        <v>6</v>
      </c>
      <c r="C12" s="11">
        <v>90</v>
      </c>
      <c r="D12" s="12">
        <v>46188</v>
      </c>
      <c r="E12" s="11">
        <v>1</v>
      </c>
      <c r="F12" s="11" t="s">
        <v>47</v>
      </c>
      <c r="G12" s="11" t="s">
        <v>56</v>
      </c>
      <c r="H12" s="11">
        <v>14</v>
      </c>
      <c r="I12" s="11">
        <v>25190</v>
      </c>
      <c r="J12" s="11" t="s">
        <v>57</v>
      </c>
      <c r="K12" s="11" t="s">
        <v>33</v>
      </c>
      <c r="L12" s="11" t="s">
        <v>34</v>
      </c>
      <c r="M12" s="11" t="s">
        <v>35</v>
      </c>
      <c r="N12" s="11">
        <v>22</v>
      </c>
      <c r="O12" s="11"/>
    </row>
    <row r="13" spans="1:15" x14ac:dyDescent="0.3">
      <c r="A13" s="1">
        <v>25</v>
      </c>
      <c r="B13" s="10">
        <v>7</v>
      </c>
      <c r="C13" s="11">
        <v>91</v>
      </c>
      <c r="D13" s="12">
        <v>46188</v>
      </c>
      <c r="E13" s="11">
        <v>1</v>
      </c>
      <c r="F13" s="11" t="s">
        <v>47</v>
      </c>
      <c r="G13" s="11" t="s">
        <v>58</v>
      </c>
      <c r="H13" s="11">
        <v>14</v>
      </c>
      <c r="I13" s="11">
        <v>24390</v>
      </c>
      <c r="J13" s="11" t="s">
        <v>59</v>
      </c>
      <c r="K13" s="11" t="s">
        <v>33</v>
      </c>
      <c r="L13" s="11" t="s">
        <v>34</v>
      </c>
      <c r="M13" s="11" t="s">
        <v>35</v>
      </c>
      <c r="N13" s="11">
        <v>22</v>
      </c>
      <c r="O13" s="11"/>
    </row>
    <row r="14" spans="1:15" x14ac:dyDescent="0.3">
      <c r="A14" s="1">
        <v>25</v>
      </c>
      <c r="B14" s="10">
        <v>8</v>
      </c>
      <c r="C14" s="11">
        <v>92</v>
      </c>
      <c r="D14" s="12">
        <v>46188</v>
      </c>
      <c r="E14" s="11">
        <v>1</v>
      </c>
      <c r="F14" s="11" t="s">
        <v>47</v>
      </c>
      <c r="G14" s="11" t="s">
        <v>60</v>
      </c>
      <c r="H14" s="11">
        <v>14</v>
      </c>
      <c r="I14" s="11">
        <v>24890</v>
      </c>
      <c r="J14" s="11" t="s">
        <v>61</v>
      </c>
      <c r="K14" s="11" t="s">
        <v>33</v>
      </c>
      <c r="L14" s="11" t="s">
        <v>34</v>
      </c>
      <c r="M14" s="11" t="s">
        <v>35</v>
      </c>
      <c r="N14" s="11">
        <v>22</v>
      </c>
      <c r="O14" s="11"/>
    </row>
    <row r="15" spans="1:15" x14ac:dyDescent="0.3">
      <c r="A15" s="1">
        <v>25</v>
      </c>
      <c r="B15" s="10">
        <v>9</v>
      </c>
      <c r="C15" s="11">
        <v>100</v>
      </c>
      <c r="D15" s="12">
        <v>46188</v>
      </c>
      <c r="E15" s="11">
        <v>1</v>
      </c>
      <c r="F15" s="11" t="s">
        <v>47</v>
      </c>
      <c r="G15" s="11" t="s">
        <v>50</v>
      </c>
      <c r="H15" s="11">
        <v>14</v>
      </c>
      <c r="I15" s="11">
        <v>16280</v>
      </c>
      <c r="J15" s="11" t="s">
        <v>48</v>
      </c>
      <c r="K15" s="11" t="s">
        <v>33</v>
      </c>
      <c r="L15" s="11" t="s">
        <v>34</v>
      </c>
      <c r="M15" s="11" t="s">
        <v>35</v>
      </c>
      <c r="N15" s="11">
        <v>22</v>
      </c>
      <c r="O15" s="11"/>
    </row>
    <row r="16" spans="1:15" x14ac:dyDescent="0.3">
      <c r="A16" s="1">
        <v>25</v>
      </c>
      <c r="B16" s="13">
        <v>10</v>
      </c>
      <c r="C16" s="14">
        <v>113</v>
      </c>
      <c r="D16" s="15">
        <v>46189</v>
      </c>
      <c r="E16" s="14">
        <v>1</v>
      </c>
      <c r="F16" s="14" t="s">
        <v>47</v>
      </c>
      <c r="G16" s="14" t="s">
        <v>62</v>
      </c>
      <c r="H16" s="14">
        <v>14</v>
      </c>
      <c r="I16" s="14">
        <v>25820</v>
      </c>
      <c r="J16" s="14" t="s">
        <v>51</v>
      </c>
      <c r="K16" s="14" t="s">
        <v>33</v>
      </c>
      <c r="L16" s="14" t="s">
        <v>63</v>
      </c>
      <c r="M16" s="14" t="s">
        <v>64</v>
      </c>
      <c r="N16" s="14">
        <v>22</v>
      </c>
      <c r="O16" s="14"/>
    </row>
    <row r="17" spans="1:15" x14ac:dyDescent="0.3">
      <c r="A17" s="1">
        <v>25</v>
      </c>
      <c r="B17" s="13">
        <v>11</v>
      </c>
      <c r="C17" s="14">
        <v>114</v>
      </c>
      <c r="D17" s="15">
        <v>46189</v>
      </c>
      <c r="E17" s="14">
        <v>1</v>
      </c>
      <c r="F17" s="14" t="s">
        <v>47</v>
      </c>
      <c r="G17" s="14" t="s">
        <v>52</v>
      </c>
      <c r="H17" s="14">
        <v>14</v>
      </c>
      <c r="I17" s="14">
        <v>25620</v>
      </c>
      <c r="J17" s="14" t="s">
        <v>53</v>
      </c>
      <c r="K17" s="14" t="s">
        <v>33</v>
      </c>
      <c r="L17" s="14" t="s">
        <v>63</v>
      </c>
      <c r="M17" s="14" t="s">
        <v>64</v>
      </c>
      <c r="N17" s="14">
        <v>22</v>
      </c>
      <c r="O17" s="14"/>
    </row>
    <row r="18" spans="1:15" x14ac:dyDescent="0.3">
      <c r="A18" s="1">
        <v>25</v>
      </c>
      <c r="B18" s="13">
        <v>12</v>
      </c>
      <c r="C18" s="14">
        <v>115</v>
      </c>
      <c r="D18" s="15">
        <v>46189</v>
      </c>
      <c r="E18" s="14">
        <v>1</v>
      </c>
      <c r="F18" s="14" t="s">
        <v>47</v>
      </c>
      <c r="G18" s="14" t="s">
        <v>54</v>
      </c>
      <c r="H18" s="14">
        <v>14</v>
      </c>
      <c r="I18" s="14">
        <v>22430</v>
      </c>
      <c r="J18" s="14" t="s">
        <v>55</v>
      </c>
      <c r="K18" s="14" t="s">
        <v>33</v>
      </c>
      <c r="L18" s="14" t="s">
        <v>65</v>
      </c>
      <c r="M18" s="14" t="s">
        <v>66</v>
      </c>
      <c r="N18" s="14">
        <v>22</v>
      </c>
      <c r="O18" s="14"/>
    </row>
    <row r="19" spans="1:15" x14ac:dyDescent="0.3">
      <c r="A19" s="1">
        <v>25</v>
      </c>
      <c r="B19" s="13">
        <v>13</v>
      </c>
      <c r="C19" s="14">
        <v>116</v>
      </c>
      <c r="D19" s="15">
        <v>46189</v>
      </c>
      <c r="E19" s="14">
        <v>1</v>
      </c>
      <c r="F19" s="14" t="s">
        <v>47</v>
      </c>
      <c r="G19" s="14" t="s">
        <v>67</v>
      </c>
      <c r="H19" s="14">
        <v>14</v>
      </c>
      <c r="I19" s="14">
        <v>26320</v>
      </c>
      <c r="J19" s="14" t="s">
        <v>68</v>
      </c>
      <c r="K19" s="14" t="s">
        <v>33</v>
      </c>
      <c r="L19" s="14" t="s">
        <v>65</v>
      </c>
      <c r="M19" s="14" t="s">
        <v>66</v>
      </c>
      <c r="N19" s="14">
        <v>22</v>
      </c>
      <c r="O19" s="14"/>
    </row>
    <row r="20" spans="1:15" x14ac:dyDescent="0.3">
      <c r="A20" s="1">
        <v>25</v>
      </c>
      <c r="B20" s="13">
        <v>14</v>
      </c>
      <c r="C20" s="14">
        <v>117</v>
      </c>
      <c r="D20" s="15">
        <v>46189</v>
      </c>
      <c r="E20" s="14">
        <v>1</v>
      </c>
      <c r="F20" s="14" t="s">
        <v>47</v>
      </c>
      <c r="G20" s="14" t="s">
        <v>56</v>
      </c>
      <c r="H20" s="14">
        <v>14</v>
      </c>
      <c r="I20" s="14">
        <v>2600</v>
      </c>
      <c r="J20" s="14" t="s">
        <v>57</v>
      </c>
      <c r="K20" s="14" t="s">
        <v>33</v>
      </c>
      <c r="L20" s="14" t="s">
        <v>65</v>
      </c>
      <c r="M20" s="14" t="s">
        <v>66</v>
      </c>
      <c r="N20" s="14">
        <v>22</v>
      </c>
      <c r="O20" s="14"/>
    </row>
    <row r="21" spans="1:15" x14ac:dyDescent="0.3">
      <c r="A21" s="1">
        <v>25</v>
      </c>
      <c r="B21" s="13">
        <v>15</v>
      </c>
      <c r="C21" s="14">
        <v>118</v>
      </c>
      <c r="D21" s="15">
        <v>46189</v>
      </c>
      <c r="E21" s="14">
        <v>1</v>
      </c>
      <c r="F21" s="14" t="s">
        <v>47</v>
      </c>
      <c r="G21" s="14" t="s">
        <v>69</v>
      </c>
      <c r="H21" s="14">
        <v>14</v>
      </c>
      <c r="I21" s="14">
        <v>25910</v>
      </c>
      <c r="J21" s="14" t="s">
        <v>49</v>
      </c>
      <c r="K21" s="14" t="s">
        <v>33</v>
      </c>
      <c r="L21" s="14" t="s">
        <v>70</v>
      </c>
      <c r="M21" s="14" t="s">
        <v>71</v>
      </c>
      <c r="N21" s="14">
        <v>22</v>
      </c>
      <c r="O21" s="14"/>
    </row>
    <row r="22" spans="1:15" x14ac:dyDescent="0.3">
      <c r="A22" s="1">
        <v>25</v>
      </c>
      <c r="B22" s="13">
        <v>16</v>
      </c>
      <c r="C22" s="14">
        <v>119</v>
      </c>
      <c r="D22" s="15">
        <v>46189</v>
      </c>
      <c r="E22" s="14">
        <v>1</v>
      </c>
      <c r="F22" s="14" t="s">
        <v>47</v>
      </c>
      <c r="G22" s="14" t="s">
        <v>60</v>
      </c>
      <c r="H22" s="14">
        <v>14</v>
      </c>
      <c r="I22" s="14">
        <v>24980</v>
      </c>
      <c r="J22" s="14" t="s">
        <v>61</v>
      </c>
      <c r="K22" s="14" t="s">
        <v>33</v>
      </c>
      <c r="L22" s="14" t="s">
        <v>70</v>
      </c>
      <c r="M22" s="14" t="s">
        <v>71</v>
      </c>
      <c r="N22" s="14">
        <v>22</v>
      </c>
      <c r="O22" s="14"/>
    </row>
    <row r="23" spans="1:15" x14ac:dyDescent="0.3">
      <c r="A23" s="1">
        <v>25</v>
      </c>
      <c r="B23" s="13">
        <v>17</v>
      </c>
      <c r="C23" s="14">
        <v>120</v>
      </c>
      <c r="D23" s="15">
        <v>46189</v>
      </c>
      <c r="E23" s="14">
        <v>1</v>
      </c>
      <c r="F23" s="14" t="s">
        <v>47</v>
      </c>
      <c r="G23" s="14" t="s">
        <v>58</v>
      </c>
      <c r="H23" s="14">
        <v>14</v>
      </c>
      <c r="I23" s="14">
        <v>24850</v>
      </c>
      <c r="J23" s="14" t="s">
        <v>59</v>
      </c>
      <c r="K23" s="14" t="s">
        <v>33</v>
      </c>
      <c r="L23" s="14" t="s">
        <v>70</v>
      </c>
      <c r="M23" s="14" t="s">
        <v>71</v>
      </c>
      <c r="N23" s="14">
        <v>22</v>
      </c>
      <c r="O23" s="14"/>
    </row>
    <row r="24" spans="1:15" x14ac:dyDescent="0.3">
      <c r="A24" s="1">
        <v>25</v>
      </c>
      <c r="B24" s="13">
        <v>18</v>
      </c>
      <c r="C24" s="14">
        <v>121</v>
      </c>
      <c r="D24" s="15">
        <v>46189</v>
      </c>
      <c r="E24" s="14">
        <v>1</v>
      </c>
      <c r="F24" s="14" t="s">
        <v>47</v>
      </c>
      <c r="G24" s="14" t="s">
        <v>50</v>
      </c>
      <c r="H24" s="14">
        <v>14</v>
      </c>
      <c r="I24" s="14">
        <v>24790</v>
      </c>
      <c r="J24" s="14" t="s">
        <v>48</v>
      </c>
      <c r="K24" s="14" t="s">
        <v>33</v>
      </c>
      <c r="L24" s="14" t="s">
        <v>70</v>
      </c>
      <c r="M24" s="14" t="s">
        <v>71</v>
      </c>
      <c r="N24" s="14">
        <v>22</v>
      </c>
      <c r="O24" s="14"/>
    </row>
    <row r="25" spans="1:15" x14ac:dyDescent="0.3">
      <c r="A25" s="1">
        <v>25</v>
      </c>
      <c r="B25" s="16">
        <v>19</v>
      </c>
      <c r="C25" s="17">
        <v>133</v>
      </c>
      <c r="D25" s="18">
        <v>46190</v>
      </c>
      <c r="E25" s="17">
        <v>1</v>
      </c>
      <c r="F25" s="17" t="s">
        <v>47</v>
      </c>
      <c r="G25" s="17" t="s">
        <v>67</v>
      </c>
      <c r="H25" s="17">
        <v>14</v>
      </c>
      <c r="I25" s="17">
        <v>25150</v>
      </c>
      <c r="J25" s="17" t="s">
        <v>68</v>
      </c>
      <c r="K25" s="17" t="s">
        <v>33</v>
      </c>
      <c r="L25" s="17" t="s">
        <v>77</v>
      </c>
      <c r="M25" s="17" t="s">
        <v>94</v>
      </c>
      <c r="N25" s="17">
        <v>28</v>
      </c>
      <c r="O25" s="17"/>
    </row>
    <row r="26" spans="1:15" x14ac:dyDescent="0.3">
      <c r="A26" s="1">
        <v>25</v>
      </c>
      <c r="B26" s="16">
        <v>20</v>
      </c>
      <c r="C26" s="17">
        <v>134</v>
      </c>
      <c r="D26" s="18">
        <v>46190</v>
      </c>
      <c r="E26" s="17">
        <v>1</v>
      </c>
      <c r="F26" s="17" t="s">
        <v>47</v>
      </c>
      <c r="G26" s="17" t="s">
        <v>60</v>
      </c>
      <c r="H26" s="17">
        <v>14</v>
      </c>
      <c r="I26" s="17">
        <v>24210</v>
      </c>
      <c r="J26" s="17" t="s">
        <v>61</v>
      </c>
      <c r="K26" s="17" t="s">
        <v>33</v>
      </c>
      <c r="L26" s="17" t="s">
        <v>94</v>
      </c>
      <c r="M26" s="17" t="s">
        <v>95</v>
      </c>
      <c r="N26" s="17">
        <v>28</v>
      </c>
      <c r="O26" s="17"/>
    </row>
    <row r="27" spans="1:15" x14ac:dyDescent="0.3">
      <c r="A27" s="1">
        <v>25</v>
      </c>
      <c r="B27" s="16">
        <v>21</v>
      </c>
      <c r="C27" s="17">
        <v>135</v>
      </c>
      <c r="D27" s="18">
        <v>46190</v>
      </c>
      <c r="E27" s="17">
        <v>1</v>
      </c>
      <c r="F27" s="17" t="s">
        <v>47</v>
      </c>
      <c r="G27" s="17" t="s">
        <v>96</v>
      </c>
      <c r="H27" s="17">
        <v>14</v>
      </c>
      <c r="I27" s="17">
        <v>25440</v>
      </c>
      <c r="J27" s="17" t="s">
        <v>97</v>
      </c>
      <c r="K27" s="17" t="s">
        <v>33</v>
      </c>
      <c r="L27" s="17" t="s">
        <v>95</v>
      </c>
      <c r="M27" s="17" t="s">
        <v>98</v>
      </c>
      <c r="N27" s="17">
        <v>28</v>
      </c>
      <c r="O27" s="17"/>
    </row>
    <row r="28" spans="1:15" x14ac:dyDescent="0.3">
      <c r="A28" s="1">
        <v>25</v>
      </c>
      <c r="B28" s="16">
        <v>22</v>
      </c>
      <c r="C28" s="17">
        <v>136</v>
      </c>
      <c r="D28" s="18">
        <v>46190</v>
      </c>
      <c r="E28" s="17">
        <v>1</v>
      </c>
      <c r="F28" s="17" t="s">
        <v>47</v>
      </c>
      <c r="G28" s="17" t="s">
        <v>56</v>
      </c>
      <c r="H28" s="17">
        <v>14</v>
      </c>
      <c r="I28" s="17">
        <v>25600</v>
      </c>
      <c r="J28" s="17" t="s">
        <v>57</v>
      </c>
      <c r="K28" s="17" t="s">
        <v>33</v>
      </c>
      <c r="L28" s="17" t="s">
        <v>98</v>
      </c>
      <c r="M28" s="17" t="s">
        <v>99</v>
      </c>
      <c r="N28" s="17">
        <v>28</v>
      </c>
      <c r="O28" s="17"/>
    </row>
    <row r="29" spans="1:15" x14ac:dyDescent="0.3">
      <c r="A29" s="1">
        <v>25</v>
      </c>
      <c r="B29" s="16">
        <v>23</v>
      </c>
      <c r="C29" s="17">
        <v>137</v>
      </c>
      <c r="D29" s="18">
        <v>46190</v>
      </c>
      <c r="E29" s="17">
        <v>1</v>
      </c>
      <c r="F29" s="17" t="s">
        <v>47</v>
      </c>
      <c r="G29" s="17" t="s">
        <v>54</v>
      </c>
      <c r="H29" s="17">
        <v>14</v>
      </c>
      <c r="I29" s="17">
        <v>22380</v>
      </c>
      <c r="J29" s="17" t="s">
        <v>55</v>
      </c>
      <c r="K29" s="17" t="s">
        <v>33</v>
      </c>
      <c r="L29" s="17" t="s">
        <v>99</v>
      </c>
      <c r="M29" s="17" t="s">
        <v>100</v>
      </c>
      <c r="N29" s="17">
        <v>28</v>
      </c>
      <c r="O29" s="17"/>
    </row>
    <row r="30" spans="1:15" x14ac:dyDescent="0.3">
      <c r="A30" s="1">
        <v>25</v>
      </c>
      <c r="B30" s="16">
        <v>24</v>
      </c>
      <c r="C30" s="17">
        <v>138</v>
      </c>
      <c r="D30" s="18">
        <v>46190</v>
      </c>
      <c r="E30" s="17">
        <v>1</v>
      </c>
      <c r="F30" s="17" t="s">
        <v>47</v>
      </c>
      <c r="G30" s="17" t="s">
        <v>52</v>
      </c>
      <c r="H30" s="17">
        <v>14</v>
      </c>
      <c r="I30" s="17">
        <v>24460</v>
      </c>
      <c r="J30" s="17" t="s">
        <v>53</v>
      </c>
      <c r="K30" s="17" t="s">
        <v>33</v>
      </c>
      <c r="L30" s="17" t="s">
        <v>100</v>
      </c>
      <c r="M30" s="17" t="s">
        <v>101</v>
      </c>
      <c r="N30" s="17">
        <v>28</v>
      </c>
      <c r="O30" s="17"/>
    </row>
    <row r="31" spans="1:15" x14ac:dyDescent="0.3">
      <c r="A31" s="1">
        <v>25</v>
      </c>
      <c r="B31" s="16">
        <v>25</v>
      </c>
      <c r="C31" s="17">
        <v>139</v>
      </c>
      <c r="D31" s="18">
        <v>46190</v>
      </c>
      <c r="E31" s="17">
        <v>1</v>
      </c>
      <c r="F31" s="17" t="s">
        <v>47</v>
      </c>
      <c r="G31" s="17" t="s">
        <v>69</v>
      </c>
      <c r="H31" s="17">
        <v>14</v>
      </c>
      <c r="I31" s="17">
        <v>25480</v>
      </c>
      <c r="J31" s="17" t="s">
        <v>49</v>
      </c>
      <c r="K31" s="17" t="s">
        <v>33</v>
      </c>
      <c r="L31" s="17" t="s">
        <v>89</v>
      </c>
      <c r="M31" s="17" t="s">
        <v>84</v>
      </c>
      <c r="N31" s="17">
        <v>28</v>
      </c>
      <c r="O31" s="17"/>
    </row>
    <row r="32" spans="1:15" x14ac:dyDescent="0.3">
      <c r="A32" s="1">
        <v>25</v>
      </c>
      <c r="B32" s="16">
        <v>26</v>
      </c>
      <c r="C32" s="17">
        <v>140</v>
      </c>
      <c r="D32" s="18">
        <v>46190</v>
      </c>
      <c r="E32" s="17">
        <v>1</v>
      </c>
      <c r="F32" s="17" t="s">
        <v>47</v>
      </c>
      <c r="G32" s="17" t="s">
        <v>50</v>
      </c>
      <c r="H32" s="17">
        <v>14</v>
      </c>
      <c r="I32" s="17">
        <v>24620</v>
      </c>
      <c r="J32" s="17" t="s">
        <v>48</v>
      </c>
      <c r="K32" s="17" t="s">
        <v>33</v>
      </c>
      <c r="L32" s="17" t="s">
        <v>84</v>
      </c>
      <c r="M32" s="17" t="s">
        <v>85</v>
      </c>
      <c r="N32" s="17">
        <v>28</v>
      </c>
      <c r="O32" s="17"/>
    </row>
    <row r="33" spans="1:15" x14ac:dyDescent="0.3">
      <c r="A33" s="1">
        <v>25</v>
      </c>
      <c r="B33" s="16">
        <v>27</v>
      </c>
      <c r="C33" s="17">
        <v>141</v>
      </c>
      <c r="D33" s="18">
        <v>46190</v>
      </c>
      <c r="E33" s="17">
        <v>1</v>
      </c>
      <c r="F33" s="17" t="s">
        <v>47</v>
      </c>
      <c r="G33" s="17" t="s">
        <v>44</v>
      </c>
      <c r="H33" s="17">
        <v>14</v>
      </c>
      <c r="I33" s="17">
        <v>16590</v>
      </c>
      <c r="J33" s="17" t="s">
        <v>41</v>
      </c>
      <c r="K33" s="17" t="s">
        <v>33</v>
      </c>
      <c r="L33" s="17" t="s">
        <v>102</v>
      </c>
      <c r="M33" s="17" t="s">
        <v>103</v>
      </c>
      <c r="N33" s="17">
        <v>28</v>
      </c>
      <c r="O33" s="17"/>
    </row>
    <row r="34" spans="1:15" x14ac:dyDescent="0.3">
      <c r="A34" s="1">
        <v>25</v>
      </c>
      <c r="B34" s="22">
        <v>28</v>
      </c>
      <c r="C34" s="23">
        <v>152</v>
      </c>
      <c r="D34" s="24">
        <v>46191</v>
      </c>
      <c r="E34" s="23">
        <v>1</v>
      </c>
      <c r="F34" s="23" t="s">
        <v>47</v>
      </c>
      <c r="G34" s="23" t="s">
        <v>54</v>
      </c>
      <c r="H34" s="23">
        <v>14</v>
      </c>
      <c r="I34" s="23">
        <v>22960</v>
      </c>
      <c r="J34" s="23" t="s">
        <v>55</v>
      </c>
      <c r="K34" s="23" t="s">
        <v>33</v>
      </c>
      <c r="L34" s="23" t="s">
        <v>93</v>
      </c>
      <c r="M34" s="23" t="s">
        <v>64</v>
      </c>
      <c r="N34" s="23">
        <v>28</v>
      </c>
      <c r="O34" s="23"/>
    </row>
    <row r="35" spans="1:15" x14ac:dyDescent="0.3">
      <c r="A35" s="1">
        <v>25</v>
      </c>
      <c r="B35" s="22">
        <v>29</v>
      </c>
      <c r="C35" s="23">
        <v>153</v>
      </c>
      <c r="D35" s="24">
        <v>46191</v>
      </c>
      <c r="E35" s="23">
        <v>1</v>
      </c>
      <c r="F35" s="23" t="s">
        <v>47</v>
      </c>
      <c r="G35" s="23" t="s">
        <v>52</v>
      </c>
      <c r="H35" s="23">
        <v>14</v>
      </c>
      <c r="I35" s="23">
        <v>24900</v>
      </c>
      <c r="J35" s="23" t="s">
        <v>53</v>
      </c>
      <c r="K35" s="23" t="s">
        <v>33</v>
      </c>
      <c r="L35" s="23" t="s">
        <v>93</v>
      </c>
      <c r="M35" s="23" t="s">
        <v>64</v>
      </c>
      <c r="N35" s="23">
        <v>28</v>
      </c>
      <c r="O35" s="23"/>
    </row>
    <row r="36" spans="1:15" x14ac:dyDescent="0.3">
      <c r="A36" s="1">
        <v>25</v>
      </c>
      <c r="B36" s="22">
        <v>30</v>
      </c>
      <c r="C36" s="23">
        <v>154</v>
      </c>
      <c r="D36" s="24">
        <v>46191</v>
      </c>
      <c r="E36" s="23">
        <v>1</v>
      </c>
      <c r="F36" s="23" t="s">
        <v>47</v>
      </c>
      <c r="G36" s="23" t="s">
        <v>67</v>
      </c>
      <c r="H36" s="23">
        <v>14</v>
      </c>
      <c r="I36" s="23">
        <v>27010</v>
      </c>
      <c r="J36" s="23" t="s">
        <v>68</v>
      </c>
      <c r="K36" s="23" t="s">
        <v>33</v>
      </c>
      <c r="L36" s="23" t="s">
        <v>93</v>
      </c>
      <c r="M36" s="23" t="s">
        <v>64</v>
      </c>
      <c r="N36" s="23">
        <v>28</v>
      </c>
      <c r="O36" s="23"/>
    </row>
    <row r="37" spans="1:15" x14ac:dyDescent="0.3">
      <c r="A37" s="1">
        <v>25</v>
      </c>
      <c r="B37" s="22">
        <v>31</v>
      </c>
      <c r="C37" s="23">
        <v>155</v>
      </c>
      <c r="D37" s="24">
        <v>46191</v>
      </c>
      <c r="E37" s="23">
        <v>1</v>
      </c>
      <c r="F37" s="23" t="s">
        <v>47</v>
      </c>
      <c r="G37" s="23" t="s">
        <v>60</v>
      </c>
      <c r="H37" s="23">
        <v>14</v>
      </c>
      <c r="I37" s="23">
        <v>24830</v>
      </c>
      <c r="J37" s="23" t="s">
        <v>61</v>
      </c>
      <c r="K37" s="23" t="s">
        <v>33</v>
      </c>
      <c r="L37" s="23" t="s">
        <v>104</v>
      </c>
      <c r="M37" s="23" t="s">
        <v>105</v>
      </c>
      <c r="N37" s="23">
        <v>28</v>
      </c>
      <c r="O37" s="23"/>
    </row>
    <row r="38" spans="1:15" x14ac:dyDescent="0.3">
      <c r="A38" s="1">
        <v>25</v>
      </c>
      <c r="B38" s="22">
        <v>32</v>
      </c>
      <c r="C38" s="23">
        <v>156</v>
      </c>
      <c r="D38" s="24">
        <v>46191</v>
      </c>
      <c r="E38" s="23">
        <v>1</v>
      </c>
      <c r="F38" s="23" t="s">
        <v>47</v>
      </c>
      <c r="G38" s="23" t="s">
        <v>56</v>
      </c>
      <c r="H38" s="23">
        <v>14</v>
      </c>
      <c r="I38" s="23">
        <v>25460</v>
      </c>
      <c r="J38" s="23" t="s">
        <v>57</v>
      </c>
      <c r="K38" s="23" t="s">
        <v>33</v>
      </c>
      <c r="L38" s="23" t="s">
        <v>106</v>
      </c>
      <c r="M38" s="23" t="s">
        <v>107</v>
      </c>
      <c r="N38" s="23">
        <v>28</v>
      </c>
      <c r="O38" s="23"/>
    </row>
    <row r="39" spans="1:15" x14ac:dyDescent="0.3">
      <c r="A39" s="1">
        <v>25</v>
      </c>
      <c r="B39" s="22">
        <v>33</v>
      </c>
      <c r="C39" s="23">
        <v>157</v>
      </c>
      <c r="D39" s="24">
        <v>46191</v>
      </c>
      <c r="E39" s="23">
        <v>1</v>
      </c>
      <c r="F39" s="23" t="s">
        <v>47</v>
      </c>
      <c r="G39" s="23" t="s">
        <v>69</v>
      </c>
      <c r="H39" s="23">
        <v>14</v>
      </c>
      <c r="I39" s="23">
        <v>25860</v>
      </c>
      <c r="J39" s="23" t="s">
        <v>49</v>
      </c>
      <c r="K39" s="23" t="s">
        <v>33</v>
      </c>
      <c r="L39" s="23" t="s">
        <v>108</v>
      </c>
      <c r="M39" s="23" t="s">
        <v>109</v>
      </c>
      <c r="N39" s="23">
        <v>28</v>
      </c>
      <c r="O39" s="23"/>
    </row>
    <row r="40" spans="1:15" x14ac:dyDescent="0.3">
      <c r="A40" s="1">
        <v>25</v>
      </c>
      <c r="B40" s="22">
        <v>34</v>
      </c>
      <c r="C40" s="23">
        <v>158</v>
      </c>
      <c r="D40" s="24">
        <v>46191</v>
      </c>
      <c r="E40" s="23">
        <v>1</v>
      </c>
      <c r="F40" s="23" t="s">
        <v>47</v>
      </c>
      <c r="G40" s="23" t="s">
        <v>96</v>
      </c>
      <c r="H40" s="23">
        <v>14</v>
      </c>
      <c r="I40" s="23">
        <v>25230</v>
      </c>
      <c r="J40" s="23" t="s">
        <v>97</v>
      </c>
      <c r="K40" s="23" t="s">
        <v>33</v>
      </c>
      <c r="L40" s="23" t="s">
        <v>110</v>
      </c>
      <c r="M40" s="23" t="s">
        <v>111</v>
      </c>
      <c r="N40" s="23">
        <v>28</v>
      </c>
      <c r="O40" s="23"/>
    </row>
    <row r="41" spans="1:15" x14ac:dyDescent="0.3">
      <c r="A41" s="1">
        <v>25</v>
      </c>
      <c r="B41" s="22">
        <v>35</v>
      </c>
      <c r="C41" s="23">
        <v>159</v>
      </c>
      <c r="D41" s="24">
        <v>46191</v>
      </c>
      <c r="E41" s="23">
        <v>1</v>
      </c>
      <c r="F41" s="23" t="s">
        <v>47</v>
      </c>
      <c r="G41" s="23" t="s">
        <v>50</v>
      </c>
      <c r="H41" s="23">
        <v>14</v>
      </c>
      <c r="I41" s="23">
        <v>25400</v>
      </c>
      <c r="J41" s="23" t="s">
        <v>48</v>
      </c>
      <c r="K41" s="23" t="s">
        <v>33</v>
      </c>
      <c r="L41" s="23" t="s">
        <v>112</v>
      </c>
      <c r="M41" s="23" t="s">
        <v>113</v>
      </c>
      <c r="N41" s="23">
        <v>28</v>
      </c>
      <c r="O41" s="23"/>
    </row>
    <row r="42" spans="1:15" x14ac:dyDescent="0.3">
      <c r="A42" s="1">
        <v>25</v>
      </c>
      <c r="B42" s="1">
        <v>36</v>
      </c>
      <c r="C42">
        <v>186</v>
      </c>
      <c r="D42" s="8">
        <v>46192</v>
      </c>
      <c r="E42">
        <v>1</v>
      </c>
      <c r="F42" t="s">
        <v>47</v>
      </c>
      <c r="G42" t="s">
        <v>54</v>
      </c>
      <c r="H42">
        <v>14</v>
      </c>
      <c r="I42">
        <v>21310</v>
      </c>
      <c r="J42" t="s">
        <v>55</v>
      </c>
      <c r="K42" t="s">
        <v>33</v>
      </c>
      <c r="L42" t="s">
        <v>123</v>
      </c>
      <c r="M42" t="s">
        <v>126</v>
      </c>
      <c r="N42">
        <v>48</v>
      </c>
    </row>
    <row r="43" spans="1:15" x14ac:dyDescent="0.3">
      <c r="A43" s="1">
        <v>25</v>
      </c>
      <c r="B43" s="1">
        <v>37</v>
      </c>
      <c r="C43">
        <v>187</v>
      </c>
      <c r="D43" s="8">
        <v>46192</v>
      </c>
      <c r="E43">
        <v>1</v>
      </c>
      <c r="F43" t="s">
        <v>47</v>
      </c>
      <c r="G43" t="s">
        <v>52</v>
      </c>
      <c r="H43">
        <v>14</v>
      </c>
      <c r="I43">
        <v>24360</v>
      </c>
      <c r="J43" t="s">
        <v>53</v>
      </c>
      <c r="K43" t="s">
        <v>33</v>
      </c>
      <c r="L43" t="s">
        <v>126</v>
      </c>
      <c r="M43" t="s">
        <v>127</v>
      </c>
      <c r="N43">
        <v>48</v>
      </c>
    </row>
    <row r="44" spans="1:15" x14ac:dyDescent="0.3">
      <c r="A44" s="1">
        <v>25</v>
      </c>
      <c r="B44" s="1">
        <v>38</v>
      </c>
      <c r="C44">
        <v>188</v>
      </c>
      <c r="D44" s="8">
        <v>46192</v>
      </c>
      <c r="E44">
        <v>1</v>
      </c>
      <c r="F44" t="s">
        <v>47</v>
      </c>
      <c r="G44" t="s">
        <v>67</v>
      </c>
      <c r="H44">
        <v>14</v>
      </c>
      <c r="I44">
        <v>24870</v>
      </c>
      <c r="J44" t="s">
        <v>68</v>
      </c>
      <c r="K44" t="s">
        <v>33</v>
      </c>
      <c r="L44" t="s">
        <v>127</v>
      </c>
      <c r="M44" t="s">
        <v>128</v>
      </c>
      <c r="N44">
        <v>48</v>
      </c>
    </row>
    <row r="45" spans="1:15" x14ac:dyDescent="0.3">
      <c r="A45" s="1">
        <v>25</v>
      </c>
      <c r="B45" s="1">
        <v>39</v>
      </c>
      <c r="C45">
        <v>189</v>
      </c>
      <c r="D45" s="8">
        <v>46192</v>
      </c>
      <c r="E45">
        <v>1</v>
      </c>
      <c r="F45" t="s">
        <v>47</v>
      </c>
      <c r="G45" t="s">
        <v>50</v>
      </c>
      <c r="H45">
        <v>14</v>
      </c>
      <c r="I45">
        <v>24210</v>
      </c>
      <c r="J45" t="s">
        <v>48</v>
      </c>
      <c r="K45" t="s">
        <v>33</v>
      </c>
      <c r="L45" t="s">
        <v>128</v>
      </c>
      <c r="M45" t="s">
        <v>124</v>
      </c>
      <c r="N45">
        <v>48</v>
      </c>
    </row>
    <row r="46" spans="1:15" x14ac:dyDescent="0.3">
      <c r="A46" s="1">
        <v>25</v>
      </c>
    </row>
    <row r="47" spans="1:15" x14ac:dyDescent="0.3">
      <c r="A47" s="1">
        <v>25</v>
      </c>
    </row>
    <row r="48" spans="1:15" x14ac:dyDescent="0.3">
      <c r="A48" s="1">
        <v>25</v>
      </c>
    </row>
    <row r="49" spans="1:9" x14ac:dyDescent="0.3">
      <c r="A49" s="1">
        <v>25</v>
      </c>
    </row>
    <row r="50" spans="1:9" x14ac:dyDescent="0.3">
      <c r="A50" s="1">
        <v>25</v>
      </c>
    </row>
    <row r="51" spans="1:9" x14ac:dyDescent="0.3">
      <c r="A51" s="1">
        <v>25</v>
      </c>
    </row>
    <row r="52" spans="1:9" x14ac:dyDescent="0.3">
      <c r="A52" s="1">
        <v>25</v>
      </c>
    </row>
    <row r="53" spans="1:9" x14ac:dyDescent="0.3">
      <c r="A53" s="1">
        <v>25</v>
      </c>
    </row>
    <row r="54" spans="1:9" x14ac:dyDescent="0.3">
      <c r="A54" s="1">
        <v>25</v>
      </c>
    </row>
    <row r="55" spans="1:9" x14ac:dyDescent="0.3">
      <c r="A55" s="1">
        <v>25</v>
      </c>
    </row>
    <row r="56" spans="1:9" x14ac:dyDescent="0.3">
      <c r="A56" s="1">
        <v>25</v>
      </c>
    </row>
    <row r="57" spans="1:9" x14ac:dyDescent="0.3">
      <c r="A57" s="1">
        <v>25</v>
      </c>
    </row>
    <row r="58" spans="1:9" x14ac:dyDescent="0.3">
      <c r="A58" s="1">
        <v>52</v>
      </c>
    </row>
    <row r="59" spans="1:9" x14ac:dyDescent="0.3">
      <c r="A59" s="1">
        <v>53</v>
      </c>
    </row>
    <row r="60" spans="1:9" x14ac:dyDescent="0.3">
      <c r="A60" s="1">
        <v>54</v>
      </c>
    </row>
    <row r="61" spans="1:9" x14ac:dyDescent="0.3">
      <c r="A61" s="1">
        <v>55</v>
      </c>
    </row>
    <row r="62" spans="1:9" s="6" customFormat="1" ht="21" x14ac:dyDescent="0.4">
      <c r="A62" s="5" t="s">
        <v>14</v>
      </c>
      <c r="B62" s="5"/>
      <c r="E62" s="6">
        <f>SUBTOTAL(109,Tabla13[[VIAJES ]])</f>
        <v>39</v>
      </c>
      <c r="H62" s="6">
        <f>SUBTOTAL(109,Tabla13[CAPACIDAD (M3) ])</f>
        <v>546</v>
      </c>
      <c r="I62" s="6">
        <f>SUM(Tabla13[PESO TOTAL (KG) ])</f>
        <v>924470</v>
      </c>
    </row>
    <row r="114" spans="3:3" x14ac:dyDescent="0.3">
      <c r="C114">
        <v>1</v>
      </c>
    </row>
    <row r="115" spans="3:3" x14ac:dyDescent="0.3">
      <c r="C115">
        <v>1</v>
      </c>
    </row>
  </sheetData>
  <mergeCells count="1">
    <mergeCell ref="D2:F2"/>
  </mergeCells>
  <pageMargins left="0.70866141732283472" right="0.70866141732283472" top="0.74803149606299213" bottom="0.74803149606299213" header="0.31496062992125984" footer="0.31496062992125984"/>
  <pageSetup scale="51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C85E-7EA1-438B-B709-56AE9B4DEAB5}">
  <dimension ref="A2:Q116"/>
  <sheetViews>
    <sheetView topLeftCell="E28" zoomScaleNormal="100" zoomScaleSheetLayoutView="120" workbookViewId="0">
      <selection activeCell="C52" sqref="C52"/>
    </sheetView>
  </sheetViews>
  <sheetFormatPr baseColWidth="10" defaultRowHeight="14.4" x14ac:dyDescent="0.3"/>
  <cols>
    <col min="1" max="2" width="9.109375" style="1" customWidth="1"/>
    <col min="3" max="3" width="10.6640625" customWidth="1"/>
    <col min="4" max="4" width="11.5546875" customWidth="1"/>
    <col min="5" max="5" width="6.88671875" customWidth="1"/>
    <col min="6" max="6" width="14.6640625" customWidth="1"/>
    <col min="8" max="8" width="13" customWidth="1"/>
    <col min="9" max="9" width="10.6640625" customWidth="1"/>
    <col min="10" max="10" width="24.44140625" customWidth="1"/>
    <col min="11" max="11" width="30" customWidth="1"/>
    <col min="12" max="14" width="14.33203125" customWidth="1"/>
    <col min="15" max="15" width="7.5546875" customWidth="1"/>
    <col min="16" max="16" width="11.109375" customWidth="1"/>
    <col min="17" max="17" width="28" customWidth="1"/>
  </cols>
  <sheetData>
    <row r="2" spans="1:17" ht="18" x14ac:dyDescent="0.35">
      <c r="C2" s="2" t="s">
        <v>1</v>
      </c>
      <c r="D2" s="9" t="s">
        <v>28</v>
      </c>
      <c r="E2" s="9"/>
      <c r="F2" s="9"/>
    </row>
    <row r="3" spans="1:17" x14ac:dyDescent="0.3">
      <c r="C3" s="2" t="s">
        <v>11</v>
      </c>
      <c r="D3" s="4">
        <v>25</v>
      </c>
    </row>
    <row r="4" spans="1:17" x14ac:dyDescent="0.3">
      <c r="C4" s="2" t="s">
        <v>9</v>
      </c>
      <c r="D4" s="4" t="s">
        <v>16</v>
      </c>
    </row>
    <row r="6" spans="1:17" s="7" customFormat="1" ht="29.25" customHeight="1" x14ac:dyDescent="0.3">
      <c r="A6" s="7" t="s">
        <v>23</v>
      </c>
      <c r="B6" s="7" t="s">
        <v>0</v>
      </c>
      <c r="C6" s="7" t="s">
        <v>2</v>
      </c>
      <c r="D6" s="7" t="s">
        <v>3</v>
      </c>
      <c r="E6" s="7" t="s">
        <v>12</v>
      </c>
      <c r="F6" s="7" t="s">
        <v>10</v>
      </c>
      <c r="G6" s="7" t="s">
        <v>4</v>
      </c>
      <c r="H6" s="7" t="s">
        <v>5</v>
      </c>
      <c r="I6" s="7" t="s">
        <v>13</v>
      </c>
      <c r="J6" s="7" t="s">
        <v>6</v>
      </c>
      <c r="K6" s="7" t="s">
        <v>8</v>
      </c>
      <c r="L6" s="7" t="s">
        <v>17</v>
      </c>
      <c r="M6" s="7" t="s">
        <v>18</v>
      </c>
      <c r="N6" s="7" t="s">
        <v>26</v>
      </c>
      <c r="O6" s="7" t="s">
        <v>19</v>
      </c>
      <c r="P6" s="7" t="s">
        <v>20</v>
      </c>
      <c r="Q6" s="7" t="s">
        <v>7</v>
      </c>
    </row>
    <row r="7" spans="1:17" x14ac:dyDescent="0.3">
      <c r="A7" s="1">
        <v>25</v>
      </c>
      <c r="B7" s="10">
        <v>1</v>
      </c>
      <c r="C7" s="11">
        <v>5808</v>
      </c>
      <c r="D7" s="12">
        <v>46188</v>
      </c>
      <c r="E7" s="11">
        <v>1</v>
      </c>
      <c r="F7" s="11" t="s">
        <v>29</v>
      </c>
      <c r="G7" s="11" t="s">
        <v>30</v>
      </c>
      <c r="H7" s="19">
        <v>14</v>
      </c>
      <c r="I7" s="19" t="s">
        <v>31</v>
      </c>
      <c r="J7" s="11" t="s">
        <v>32</v>
      </c>
      <c r="K7" s="11" t="s">
        <v>33</v>
      </c>
      <c r="L7" s="11" t="s">
        <v>34</v>
      </c>
      <c r="M7" s="11" t="s">
        <v>35</v>
      </c>
      <c r="N7" s="11" t="s">
        <v>37</v>
      </c>
      <c r="O7" s="11">
        <v>1</v>
      </c>
      <c r="P7" s="11" t="s">
        <v>36</v>
      </c>
      <c r="Q7" s="11"/>
    </row>
    <row r="8" spans="1:17" x14ac:dyDescent="0.3">
      <c r="A8" s="1">
        <v>25</v>
      </c>
      <c r="B8" s="10">
        <v>2</v>
      </c>
      <c r="C8" s="11">
        <v>5809</v>
      </c>
      <c r="D8" s="12">
        <v>46188</v>
      </c>
      <c r="E8" s="11">
        <v>1</v>
      </c>
      <c r="F8" s="11" t="s">
        <v>29</v>
      </c>
      <c r="G8" s="11" t="s">
        <v>38</v>
      </c>
      <c r="H8" s="11">
        <v>14</v>
      </c>
      <c r="I8" s="11" t="s">
        <v>42</v>
      </c>
      <c r="J8" s="11" t="s">
        <v>43</v>
      </c>
      <c r="K8" s="11" t="s">
        <v>33</v>
      </c>
      <c r="L8" s="11" t="s">
        <v>34</v>
      </c>
      <c r="M8" s="11" t="s">
        <v>35</v>
      </c>
      <c r="N8" s="11" t="s">
        <v>37</v>
      </c>
      <c r="O8" s="11">
        <v>1</v>
      </c>
      <c r="P8" s="11" t="s">
        <v>36</v>
      </c>
      <c r="Q8" s="11"/>
    </row>
    <row r="9" spans="1:17" x14ac:dyDescent="0.3">
      <c r="A9" s="1">
        <v>25</v>
      </c>
      <c r="B9" s="10">
        <v>3</v>
      </c>
      <c r="C9" s="11">
        <v>5810</v>
      </c>
      <c r="D9" s="12">
        <v>46188</v>
      </c>
      <c r="E9" s="11">
        <v>1</v>
      </c>
      <c r="F9" s="11" t="s">
        <v>29</v>
      </c>
      <c r="G9" s="11" t="s">
        <v>39</v>
      </c>
      <c r="H9" s="11">
        <v>14</v>
      </c>
      <c r="I9" s="11" t="s">
        <v>42</v>
      </c>
      <c r="J9" s="11" t="s">
        <v>40</v>
      </c>
      <c r="K9" s="11" t="s">
        <v>33</v>
      </c>
      <c r="L9" s="11" t="s">
        <v>34</v>
      </c>
      <c r="M9" s="11" t="s">
        <v>35</v>
      </c>
      <c r="N9" s="11" t="s">
        <v>37</v>
      </c>
      <c r="O9" s="11">
        <v>1</v>
      </c>
      <c r="P9" s="11" t="s">
        <v>36</v>
      </c>
      <c r="Q9" s="11"/>
    </row>
    <row r="10" spans="1:17" x14ac:dyDescent="0.3">
      <c r="A10" s="1">
        <v>25</v>
      </c>
      <c r="B10" s="10">
        <v>4</v>
      </c>
      <c r="C10" s="11">
        <v>5811</v>
      </c>
      <c r="D10" s="12">
        <v>46188</v>
      </c>
      <c r="E10" s="11">
        <v>1</v>
      </c>
      <c r="F10" s="11" t="s">
        <v>29</v>
      </c>
      <c r="G10" s="11" t="s">
        <v>44</v>
      </c>
      <c r="H10" s="11">
        <v>14</v>
      </c>
      <c r="I10" s="11" t="s">
        <v>42</v>
      </c>
      <c r="J10" s="11" t="s">
        <v>41</v>
      </c>
      <c r="K10" s="11" t="s">
        <v>33</v>
      </c>
      <c r="L10" s="11" t="s">
        <v>34</v>
      </c>
      <c r="M10" s="11" t="s">
        <v>35</v>
      </c>
      <c r="N10" s="11" t="s">
        <v>37</v>
      </c>
      <c r="O10" s="11">
        <v>1</v>
      </c>
      <c r="P10" s="11" t="s">
        <v>36</v>
      </c>
      <c r="Q10" s="11"/>
    </row>
    <row r="11" spans="1:17" x14ac:dyDescent="0.3">
      <c r="A11" s="1">
        <v>25</v>
      </c>
      <c r="B11" s="10">
        <v>5</v>
      </c>
      <c r="C11" s="11">
        <v>5812</v>
      </c>
      <c r="D11" s="12">
        <v>46188</v>
      </c>
      <c r="E11" s="11">
        <v>1</v>
      </c>
      <c r="F11" s="11" t="s">
        <v>29</v>
      </c>
      <c r="G11" s="11" t="s">
        <v>30</v>
      </c>
      <c r="H11" s="11">
        <v>14</v>
      </c>
      <c r="I11" s="11" t="s">
        <v>42</v>
      </c>
      <c r="J11" s="11" t="s">
        <v>32</v>
      </c>
      <c r="K11" s="11" t="s">
        <v>33</v>
      </c>
      <c r="L11" s="11" t="s">
        <v>34</v>
      </c>
      <c r="M11" s="11" t="s">
        <v>35</v>
      </c>
      <c r="N11" s="11" t="s">
        <v>37</v>
      </c>
      <c r="O11" s="11">
        <v>1</v>
      </c>
      <c r="P11" s="11" t="s">
        <v>36</v>
      </c>
      <c r="Q11" s="11"/>
    </row>
    <row r="12" spans="1:17" x14ac:dyDescent="0.3">
      <c r="A12" s="1">
        <v>25</v>
      </c>
      <c r="B12" s="10">
        <v>6</v>
      </c>
      <c r="C12" s="11">
        <v>5813</v>
      </c>
      <c r="D12" s="12">
        <v>46188</v>
      </c>
      <c r="E12" s="11">
        <v>1</v>
      </c>
      <c r="F12" s="11" t="s">
        <v>29</v>
      </c>
      <c r="G12" s="11" t="s">
        <v>38</v>
      </c>
      <c r="H12" s="11">
        <v>14</v>
      </c>
      <c r="I12" s="11" t="s">
        <v>42</v>
      </c>
      <c r="J12" s="11" t="s">
        <v>43</v>
      </c>
      <c r="K12" s="11" t="s">
        <v>33</v>
      </c>
      <c r="L12" s="11" t="s">
        <v>34</v>
      </c>
      <c r="M12" s="11" t="s">
        <v>35</v>
      </c>
      <c r="N12" s="11" t="s">
        <v>37</v>
      </c>
      <c r="O12" s="11">
        <v>1</v>
      </c>
      <c r="P12" s="11" t="s">
        <v>36</v>
      </c>
      <c r="Q12" s="11"/>
    </row>
    <row r="13" spans="1:17" x14ac:dyDescent="0.3">
      <c r="A13" s="1">
        <v>25</v>
      </c>
      <c r="B13" s="10">
        <v>7</v>
      </c>
      <c r="C13" s="11">
        <v>5814</v>
      </c>
      <c r="D13" s="12">
        <v>46188</v>
      </c>
      <c r="E13" s="11">
        <v>1</v>
      </c>
      <c r="F13" s="11" t="s">
        <v>29</v>
      </c>
      <c r="G13" s="11" t="s">
        <v>39</v>
      </c>
      <c r="H13" s="11">
        <v>14</v>
      </c>
      <c r="I13" s="11" t="s">
        <v>42</v>
      </c>
      <c r="J13" s="11" t="s">
        <v>40</v>
      </c>
      <c r="K13" s="11" t="s">
        <v>33</v>
      </c>
      <c r="L13" s="11" t="s">
        <v>34</v>
      </c>
      <c r="M13" s="11" t="s">
        <v>35</v>
      </c>
      <c r="N13" s="11" t="s">
        <v>37</v>
      </c>
      <c r="O13" s="11">
        <v>1</v>
      </c>
      <c r="P13" s="11" t="s">
        <v>36</v>
      </c>
      <c r="Q13" s="11"/>
    </row>
    <row r="14" spans="1:17" x14ac:dyDescent="0.3">
      <c r="A14" s="1">
        <v>25</v>
      </c>
      <c r="B14" s="10">
        <v>8</v>
      </c>
      <c r="C14" s="11">
        <v>5815</v>
      </c>
      <c r="D14" s="12">
        <v>46188</v>
      </c>
      <c r="E14" s="11">
        <v>1</v>
      </c>
      <c r="F14" s="11" t="s">
        <v>29</v>
      </c>
      <c r="G14" s="11" t="s">
        <v>44</v>
      </c>
      <c r="H14" s="11">
        <v>14</v>
      </c>
      <c r="I14" s="11" t="s">
        <v>42</v>
      </c>
      <c r="J14" s="11" t="s">
        <v>41</v>
      </c>
      <c r="K14" s="11" t="s">
        <v>33</v>
      </c>
      <c r="L14" s="11" t="s">
        <v>34</v>
      </c>
      <c r="M14" s="11" t="s">
        <v>35</v>
      </c>
      <c r="N14" s="11" t="s">
        <v>37</v>
      </c>
      <c r="O14" s="11">
        <v>1</v>
      </c>
      <c r="P14" s="11" t="s">
        <v>36</v>
      </c>
      <c r="Q14" s="11"/>
    </row>
    <row r="15" spans="1:17" x14ac:dyDescent="0.3">
      <c r="A15" s="1">
        <v>25</v>
      </c>
      <c r="B15" s="10">
        <v>9</v>
      </c>
      <c r="C15" s="11">
        <v>5816</v>
      </c>
      <c r="D15" s="12">
        <v>46188</v>
      </c>
      <c r="E15" s="11">
        <v>1</v>
      </c>
      <c r="F15" s="11" t="s">
        <v>29</v>
      </c>
      <c r="G15" s="11" t="s">
        <v>30</v>
      </c>
      <c r="H15" s="11">
        <v>14</v>
      </c>
      <c r="I15" s="11" t="s">
        <v>42</v>
      </c>
      <c r="J15" s="11" t="s">
        <v>32</v>
      </c>
      <c r="K15" s="11" t="s">
        <v>33</v>
      </c>
      <c r="L15" s="11" t="s">
        <v>34</v>
      </c>
      <c r="M15" s="11" t="s">
        <v>35</v>
      </c>
      <c r="N15" s="11" t="s">
        <v>37</v>
      </c>
      <c r="O15" s="11">
        <v>1</v>
      </c>
      <c r="P15" s="11" t="s">
        <v>36</v>
      </c>
      <c r="Q15" s="11"/>
    </row>
    <row r="16" spans="1:17" x14ac:dyDescent="0.3">
      <c r="A16" s="1">
        <v>25</v>
      </c>
      <c r="B16" s="10">
        <v>10</v>
      </c>
      <c r="C16" s="11">
        <v>5817</v>
      </c>
      <c r="D16" s="12">
        <v>46188</v>
      </c>
      <c r="E16" s="11">
        <v>1</v>
      </c>
      <c r="F16" s="11" t="s">
        <v>45</v>
      </c>
      <c r="G16" s="11" t="s">
        <v>38</v>
      </c>
      <c r="H16" s="11">
        <v>14</v>
      </c>
      <c r="I16" s="11" t="s">
        <v>42</v>
      </c>
      <c r="J16" s="11" t="s">
        <v>43</v>
      </c>
      <c r="K16" s="11" t="s">
        <v>33</v>
      </c>
      <c r="L16" s="11" t="s">
        <v>34</v>
      </c>
      <c r="M16" s="11" t="s">
        <v>35</v>
      </c>
      <c r="N16" s="11" t="s">
        <v>37</v>
      </c>
      <c r="O16" s="11">
        <v>1</v>
      </c>
      <c r="P16" s="11" t="s">
        <v>36</v>
      </c>
      <c r="Q16" s="11"/>
    </row>
    <row r="17" spans="1:17" x14ac:dyDescent="0.3">
      <c r="A17" s="1">
        <v>25</v>
      </c>
      <c r="B17" s="13">
        <v>11</v>
      </c>
      <c r="C17" s="14">
        <v>5818</v>
      </c>
      <c r="D17" s="15">
        <v>46189</v>
      </c>
      <c r="E17" s="14">
        <v>1</v>
      </c>
      <c r="F17" s="14" t="s">
        <v>29</v>
      </c>
      <c r="G17" s="14" t="s">
        <v>30</v>
      </c>
      <c r="H17" s="14">
        <v>14</v>
      </c>
      <c r="I17" s="14" t="s">
        <v>42</v>
      </c>
      <c r="J17" s="14" t="s">
        <v>32</v>
      </c>
      <c r="K17" s="14" t="s">
        <v>33</v>
      </c>
      <c r="L17" s="14" t="s">
        <v>63</v>
      </c>
      <c r="M17" s="14" t="s">
        <v>64</v>
      </c>
      <c r="N17" s="14" t="s">
        <v>37</v>
      </c>
      <c r="O17" s="14">
        <v>1</v>
      </c>
      <c r="P17" s="14" t="s">
        <v>36</v>
      </c>
      <c r="Q17" s="14"/>
    </row>
    <row r="18" spans="1:17" x14ac:dyDescent="0.3">
      <c r="A18" s="1">
        <v>25</v>
      </c>
      <c r="B18" s="13">
        <v>12</v>
      </c>
      <c r="C18" s="14">
        <v>5819</v>
      </c>
      <c r="D18" s="15">
        <v>46189</v>
      </c>
      <c r="E18" s="14">
        <v>1</v>
      </c>
      <c r="F18" s="14" t="s">
        <v>29</v>
      </c>
      <c r="G18" s="14" t="s">
        <v>30</v>
      </c>
      <c r="H18" s="14">
        <v>14</v>
      </c>
      <c r="I18" s="14" t="s">
        <v>42</v>
      </c>
      <c r="J18" s="14" t="s">
        <v>32</v>
      </c>
      <c r="K18" s="14" t="s">
        <v>33</v>
      </c>
      <c r="L18" s="14" t="s">
        <v>63</v>
      </c>
      <c r="M18" s="14" t="s">
        <v>64</v>
      </c>
      <c r="N18" s="14" t="s">
        <v>37</v>
      </c>
      <c r="O18" s="14">
        <v>1</v>
      </c>
      <c r="P18" s="14" t="s">
        <v>36</v>
      </c>
      <c r="Q18" s="14"/>
    </row>
    <row r="19" spans="1:17" x14ac:dyDescent="0.3">
      <c r="A19" s="1">
        <v>25</v>
      </c>
      <c r="B19" s="13">
        <v>13</v>
      </c>
      <c r="C19" s="14">
        <v>5820</v>
      </c>
      <c r="D19" s="15">
        <v>46189</v>
      </c>
      <c r="E19" s="14">
        <v>1</v>
      </c>
      <c r="F19" s="14" t="s">
        <v>29</v>
      </c>
      <c r="G19" s="14" t="s">
        <v>72</v>
      </c>
      <c r="H19" s="14">
        <v>28</v>
      </c>
      <c r="I19" s="14" t="s">
        <v>42</v>
      </c>
      <c r="J19" s="14" t="s">
        <v>73</v>
      </c>
      <c r="K19" s="14" t="s">
        <v>74</v>
      </c>
      <c r="L19" s="14" t="s">
        <v>75</v>
      </c>
      <c r="M19" s="14" t="s">
        <v>66</v>
      </c>
      <c r="N19" s="14" t="s">
        <v>37</v>
      </c>
      <c r="O19" s="14">
        <v>1</v>
      </c>
      <c r="P19" s="14" t="s">
        <v>36</v>
      </c>
      <c r="Q19" s="14"/>
    </row>
    <row r="20" spans="1:17" x14ac:dyDescent="0.3">
      <c r="A20" s="1">
        <v>25</v>
      </c>
      <c r="B20" s="13">
        <v>14</v>
      </c>
      <c r="C20" s="14">
        <v>5821</v>
      </c>
      <c r="D20" s="15">
        <v>46189</v>
      </c>
      <c r="E20" s="14">
        <v>1</v>
      </c>
      <c r="F20" s="14" t="s">
        <v>29</v>
      </c>
      <c r="G20" s="14" t="s">
        <v>38</v>
      </c>
      <c r="H20" s="14">
        <v>14</v>
      </c>
      <c r="I20" s="14" t="s">
        <v>42</v>
      </c>
      <c r="J20" s="14" t="s">
        <v>43</v>
      </c>
      <c r="K20" s="14" t="s">
        <v>33</v>
      </c>
      <c r="L20" s="14" t="s">
        <v>65</v>
      </c>
      <c r="M20" s="14" t="s">
        <v>66</v>
      </c>
      <c r="N20" s="14" t="s">
        <v>37</v>
      </c>
      <c r="O20" s="14">
        <v>1</v>
      </c>
      <c r="P20" s="14" t="s">
        <v>36</v>
      </c>
      <c r="Q20" s="14"/>
    </row>
    <row r="21" spans="1:17" x14ac:dyDescent="0.3">
      <c r="A21" s="1">
        <v>25</v>
      </c>
      <c r="B21" s="13">
        <v>15</v>
      </c>
      <c r="C21" s="14">
        <v>5822</v>
      </c>
      <c r="D21" s="15">
        <v>46189</v>
      </c>
      <c r="E21" s="14">
        <v>1</v>
      </c>
      <c r="F21" s="14" t="s">
        <v>29</v>
      </c>
      <c r="G21" s="14" t="s">
        <v>39</v>
      </c>
      <c r="H21" s="14">
        <v>14</v>
      </c>
      <c r="I21" s="14" t="s">
        <v>42</v>
      </c>
      <c r="J21" s="14" t="s">
        <v>40</v>
      </c>
      <c r="K21" s="14" t="s">
        <v>33</v>
      </c>
      <c r="L21" s="14" t="s">
        <v>65</v>
      </c>
      <c r="M21" s="14" t="s">
        <v>66</v>
      </c>
      <c r="N21" s="14" t="s">
        <v>37</v>
      </c>
      <c r="O21" s="14">
        <v>1</v>
      </c>
      <c r="P21" s="14" t="s">
        <v>36</v>
      </c>
      <c r="Q21" s="14"/>
    </row>
    <row r="22" spans="1:17" x14ac:dyDescent="0.3">
      <c r="A22" s="1">
        <v>25</v>
      </c>
      <c r="B22" s="13">
        <v>16</v>
      </c>
      <c r="C22" s="14">
        <v>5823</v>
      </c>
      <c r="D22" s="15">
        <v>46189</v>
      </c>
      <c r="E22" s="14">
        <v>1</v>
      </c>
      <c r="F22" s="14" t="s">
        <v>29</v>
      </c>
      <c r="G22" s="14" t="s">
        <v>44</v>
      </c>
      <c r="H22" s="14">
        <v>14</v>
      </c>
      <c r="I22" s="14" t="s">
        <v>42</v>
      </c>
      <c r="J22" s="14" t="s">
        <v>41</v>
      </c>
      <c r="K22" s="14" t="s">
        <v>33</v>
      </c>
      <c r="L22" s="14" t="s">
        <v>63</v>
      </c>
      <c r="M22" s="14" t="s">
        <v>64</v>
      </c>
      <c r="N22" s="14" t="s">
        <v>37</v>
      </c>
      <c r="O22" s="14">
        <v>1</v>
      </c>
      <c r="P22" s="14" t="s">
        <v>36</v>
      </c>
      <c r="Q22" s="14"/>
    </row>
    <row r="23" spans="1:17" x14ac:dyDescent="0.3">
      <c r="A23" s="1">
        <v>25</v>
      </c>
      <c r="B23" s="13">
        <v>17</v>
      </c>
      <c r="C23" s="14">
        <v>5824</v>
      </c>
      <c r="D23" s="15">
        <v>46189</v>
      </c>
      <c r="E23" s="14">
        <v>1</v>
      </c>
      <c r="F23" s="14" t="s">
        <v>29</v>
      </c>
      <c r="G23" s="14" t="s">
        <v>30</v>
      </c>
      <c r="H23" s="14">
        <v>14</v>
      </c>
      <c r="I23" s="14" t="s">
        <v>42</v>
      </c>
      <c r="J23" s="14" t="s">
        <v>32</v>
      </c>
      <c r="K23" s="14" t="s">
        <v>33</v>
      </c>
      <c r="L23" s="14" t="s">
        <v>63</v>
      </c>
      <c r="M23" s="14" t="s">
        <v>64</v>
      </c>
      <c r="N23" s="14" t="s">
        <v>37</v>
      </c>
      <c r="O23" s="14">
        <v>1</v>
      </c>
      <c r="P23" s="14" t="s">
        <v>36</v>
      </c>
      <c r="Q23" s="14"/>
    </row>
    <row r="24" spans="1:17" x14ac:dyDescent="0.3">
      <c r="A24" s="1">
        <v>25</v>
      </c>
      <c r="B24" s="13">
        <v>18</v>
      </c>
      <c r="C24" s="14">
        <v>5825</v>
      </c>
      <c r="D24" s="15">
        <v>46189</v>
      </c>
      <c r="E24" s="14">
        <v>1</v>
      </c>
      <c r="F24" s="14" t="s">
        <v>29</v>
      </c>
      <c r="G24" s="14" t="s">
        <v>38</v>
      </c>
      <c r="H24" s="14">
        <v>14</v>
      </c>
      <c r="I24" s="14" t="s">
        <v>42</v>
      </c>
      <c r="J24" s="14" t="s">
        <v>43</v>
      </c>
      <c r="K24" s="14" t="s">
        <v>33</v>
      </c>
      <c r="L24" s="14" t="s">
        <v>63</v>
      </c>
      <c r="M24" s="14" t="s">
        <v>64</v>
      </c>
      <c r="N24" s="14" t="s">
        <v>37</v>
      </c>
      <c r="O24" s="14">
        <v>1</v>
      </c>
      <c r="P24" s="14" t="s">
        <v>36</v>
      </c>
      <c r="Q24" s="14"/>
    </row>
    <row r="25" spans="1:17" x14ac:dyDescent="0.3">
      <c r="A25" s="1">
        <v>25</v>
      </c>
      <c r="B25" s="13">
        <v>19</v>
      </c>
      <c r="C25" s="14">
        <v>5826</v>
      </c>
      <c r="D25" s="15">
        <v>46189</v>
      </c>
      <c r="E25" s="14">
        <v>1</v>
      </c>
      <c r="F25" s="14" t="s">
        <v>29</v>
      </c>
      <c r="G25" s="14" t="s">
        <v>39</v>
      </c>
      <c r="H25" s="14">
        <v>14</v>
      </c>
      <c r="I25" s="14" t="s">
        <v>42</v>
      </c>
      <c r="J25" s="14" t="s">
        <v>40</v>
      </c>
      <c r="K25" s="14" t="s">
        <v>33</v>
      </c>
      <c r="L25" s="14" t="s">
        <v>65</v>
      </c>
      <c r="M25" s="14" t="s">
        <v>66</v>
      </c>
      <c r="N25" s="14" t="s">
        <v>37</v>
      </c>
      <c r="O25" s="14">
        <v>1</v>
      </c>
      <c r="P25" s="14" t="s">
        <v>36</v>
      </c>
      <c r="Q25" s="14"/>
    </row>
    <row r="26" spans="1:17" x14ac:dyDescent="0.3">
      <c r="A26" s="1">
        <v>25</v>
      </c>
      <c r="B26" s="13">
        <v>20</v>
      </c>
      <c r="C26" s="14">
        <v>5827</v>
      </c>
      <c r="D26" s="15">
        <v>46189</v>
      </c>
      <c r="E26" s="14">
        <v>1</v>
      </c>
      <c r="F26" s="14" t="s">
        <v>45</v>
      </c>
      <c r="G26" s="14" t="s">
        <v>44</v>
      </c>
      <c r="H26" s="14">
        <v>14</v>
      </c>
      <c r="I26" s="14" t="s">
        <v>42</v>
      </c>
      <c r="J26" s="14" t="s">
        <v>41</v>
      </c>
      <c r="K26" s="14" t="s">
        <v>33</v>
      </c>
      <c r="L26" s="14" t="s">
        <v>76</v>
      </c>
      <c r="M26" s="14" t="s">
        <v>64</v>
      </c>
      <c r="N26" s="14" t="s">
        <v>37</v>
      </c>
      <c r="O26" s="14">
        <v>1</v>
      </c>
      <c r="P26" s="14" t="s">
        <v>36</v>
      </c>
      <c r="Q26" s="14"/>
    </row>
    <row r="27" spans="1:17" x14ac:dyDescent="0.3">
      <c r="A27" s="1">
        <v>25</v>
      </c>
      <c r="B27" s="16">
        <v>21</v>
      </c>
      <c r="C27" s="17">
        <v>5828</v>
      </c>
      <c r="D27" s="18">
        <v>46190</v>
      </c>
      <c r="E27" s="17">
        <v>1</v>
      </c>
      <c r="F27" s="17" t="s">
        <v>29</v>
      </c>
      <c r="G27" s="17" t="s">
        <v>30</v>
      </c>
      <c r="H27" s="17">
        <v>14</v>
      </c>
      <c r="I27" s="17" t="s">
        <v>42</v>
      </c>
      <c r="J27" s="17" t="s">
        <v>32</v>
      </c>
      <c r="K27" s="17" t="s">
        <v>33</v>
      </c>
      <c r="L27" s="17" t="s">
        <v>77</v>
      </c>
      <c r="M27" s="17" t="s">
        <v>78</v>
      </c>
      <c r="N27" s="17" t="s">
        <v>37</v>
      </c>
      <c r="O27" s="17">
        <v>2</v>
      </c>
      <c r="P27" s="17" t="s">
        <v>36</v>
      </c>
      <c r="Q27" s="17"/>
    </row>
    <row r="28" spans="1:17" x14ac:dyDescent="0.3">
      <c r="A28" s="1">
        <v>25</v>
      </c>
      <c r="B28" s="16">
        <v>22</v>
      </c>
      <c r="C28" s="17">
        <v>5829</v>
      </c>
      <c r="D28" s="18">
        <v>46190</v>
      </c>
      <c r="E28" s="17">
        <v>1</v>
      </c>
      <c r="F28" s="17" t="s">
        <v>29</v>
      </c>
      <c r="G28" s="17" t="s">
        <v>39</v>
      </c>
      <c r="H28" s="17">
        <v>14</v>
      </c>
      <c r="I28" s="17" t="s">
        <v>42</v>
      </c>
      <c r="J28" s="17" t="s">
        <v>40</v>
      </c>
      <c r="K28" s="17" t="s">
        <v>33</v>
      </c>
      <c r="L28" s="17" t="s">
        <v>77</v>
      </c>
      <c r="M28" s="17" t="s">
        <v>79</v>
      </c>
      <c r="N28" s="17" t="s">
        <v>37</v>
      </c>
      <c r="O28" s="17">
        <v>2</v>
      </c>
      <c r="P28" s="17" t="s">
        <v>36</v>
      </c>
      <c r="Q28" s="17"/>
    </row>
    <row r="29" spans="1:17" x14ac:dyDescent="0.3">
      <c r="A29" s="1">
        <v>25</v>
      </c>
      <c r="B29" s="16">
        <v>23</v>
      </c>
      <c r="C29" s="17">
        <v>5830</v>
      </c>
      <c r="D29" s="18">
        <v>46190</v>
      </c>
      <c r="E29" s="17">
        <v>1</v>
      </c>
      <c r="F29" s="17" t="s">
        <v>29</v>
      </c>
      <c r="G29" s="17" t="s">
        <v>38</v>
      </c>
      <c r="H29" s="17">
        <v>14</v>
      </c>
      <c r="I29" s="17" t="s">
        <v>42</v>
      </c>
      <c r="J29" s="17" t="s">
        <v>43</v>
      </c>
      <c r="K29" s="17" t="s">
        <v>33</v>
      </c>
      <c r="L29" s="17" t="s">
        <v>80</v>
      </c>
      <c r="M29" s="17" t="s">
        <v>81</v>
      </c>
      <c r="N29" s="17" t="s">
        <v>37</v>
      </c>
      <c r="O29" s="17">
        <v>2</v>
      </c>
      <c r="P29" s="17" t="s">
        <v>36</v>
      </c>
      <c r="Q29" s="17"/>
    </row>
    <row r="30" spans="1:17" x14ac:dyDescent="0.3">
      <c r="A30" s="1">
        <v>25</v>
      </c>
      <c r="B30" s="16">
        <v>24</v>
      </c>
      <c r="C30" s="17">
        <v>5831</v>
      </c>
      <c r="D30" s="18">
        <v>46190</v>
      </c>
      <c r="E30" s="17">
        <v>1</v>
      </c>
      <c r="F30" s="17" t="s">
        <v>29</v>
      </c>
      <c r="G30" s="17" t="s">
        <v>39</v>
      </c>
      <c r="H30" s="17">
        <v>14</v>
      </c>
      <c r="I30" s="17" t="s">
        <v>42</v>
      </c>
      <c r="J30" s="17" t="s">
        <v>40</v>
      </c>
      <c r="K30" s="17" t="s">
        <v>33</v>
      </c>
      <c r="L30" s="17" t="s">
        <v>82</v>
      </c>
      <c r="M30" s="17" t="s">
        <v>83</v>
      </c>
      <c r="N30" s="17" t="s">
        <v>37</v>
      </c>
      <c r="O30" s="17">
        <v>2</v>
      </c>
      <c r="P30" s="17" t="s">
        <v>36</v>
      </c>
      <c r="Q30" s="17"/>
    </row>
    <row r="31" spans="1:17" x14ac:dyDescent="0.3">
      <c r="A31" s="1">
        <v>25</v>
      </c>
      <c r="B31" s="16">
        <v>25</v>
      </c>
      <c r="C31" s="17">
        <v>5832</v>
      </c>
      <c r="D31" s="18">
        <v>46190</v>
      </c>
      <c r="E31" s="17">
        <v>1</v>
      </c>
      <c r="F31" s="17" t="s">
        <v>29</v>
      </c>
      <c r="G31" s="17" t="s">
        <v>30</v>
      </c>
      <c r="H31" s="17">
        <v>14</v>
      </c>
      <c r="I31" s="17" t="s">
        <v>42</v>
      </c>
      <c r="J31" s="17" t="s">
        <v>32</v>
      </c>
      <c r="K31" s="17" t="s">
        <v>33</v>
      </c>
      <c r="L31" s="17" t="s">
        <v>84</v>
      </c>
      <c r="M31" s="17" t="s">
        <v>85</v>
      </c>
      <c r="N31" s="17" t="s">
        <v>37</v>
      </c>
      <c r="O31" s="17">
        <v>2</v>
      </c>
      <c r="P31" s="17" t="s">
        <v>36</v>
      </c>
      <c r="Q31" s="17"/>
    </row>
    <row r="32" spans="1:17" x14ac:dyDescent="0.3">
      <c r="A32" s="1">
        <v>25</v>
      </c>
      <c r="B32" s="16">
        <v>26</v>
      </c>
      <c r="C32" s="17">
        <v>5833</v>
      </c>
      <c r="D32" s="18">
        <v>46190</v>
      </c>
      <c r="E32" s="17">
        <v>1</v>
      </c>
      <c r="F32" s="17" t="s">
        <v>29</v>
      </c>
      <c r="G32" s="17" t="s">
        <v>44</v>
      </c>
      <c r="H32" s="17">
        <v>14</v>
      </c>
      <c r="I32" s="17" t="s">
        <v>42</v>
      </c>
      <c r="J32" s="17" t="s">
        <v>41</v>
      </c>
      <c r="K32" s="17" t="s">
        <v>33</v>
      </c>
      <c r="L32" s="17" t="s">
        <v>86</v>
      </c>
      <c r="M32" s="17" t="s">
        <v>87</v>
      </c>
      <c r="N32" s="17" t="s">
        <v>37</v>
      </c>
      <c r="O32" s="17">
        <v>2</v>
      </c>
      <c r="P32" s="17" t="s">
        <v>36</v>
      </c>
      <c r="Q32" s="17"/>
    </row>
    <row r="33" spans="1:17" x14ac:dyDescent="0.3">
      <c r="A33" s="1">
        <v>25</v>
      </c>
      <c r="B33" s="16">
        <v>27</v>
      </c>
      <c r="C33" s="17">
        <v>5834</v>
      </c>
      <c r="D33" s="18">
        <v>46190</v>
      </c>
      <c r="E33" s="17">
        <v>1</v>
      </c>
      <c r="F33" s="17" t="s">
        <v>29</v>
      </c>
      <c r="G33" s="17" t="s">
        <v>38</v>
      </c>
      <c r="H33" s="17">
        <v>14</v>
      </c>
      <c r="I33" s="17" t="s">
        <v>42</v>
      </c>
      <c r="J33" s="17" t="s">
        <v>43</v>
      </c>
      <c r="K33" s="17" t="s">
        <v>33</v>
      </c>
      <c r="L33" s="17" t="s">
        <v>88</v>
      </c>
      <c r="M33" s="17" t="s">
        <v>89</v>
      </c>
      <c r="N33" s="17" t="s">
        <v>37</v>
      </c>
      <c r="O33" s="17">
        <v>2</v>
      </c>
      <c r="P33" s="17" t="s">
        <v>36</v>
      </c>
      <c r="Q33" s="17"/>
    </row>
    <row r="34" spans="1:17" x14ac:dyDescent="0.3">
      <c r="A34" s="1">
        <v>25</v>
      </c>
      <c r="B34" s="16">
        <v>28</v>
      </c>
      <c r="C34" s="17">
        <v>5835</v>
      </c>
      <c r="D34" s="18">
        <v>46190</v>
      </c>
      <c r="E34" s="17">
        <v>1</v>
      </c>
      <c r="F34" s="17" t="s">
        <v>29</v>
      </c>
      <c r="G34" s="17" t="s">
        <v>39</v>
      </c>
      <c r="H34" s="17">
        <v>14</v>
      </c>
      <c r="I34" s="17" t="s">
        <v>42</v>
      </c>
      <c r="J34" s="17" t="s">
        <v>40</v>
      </c>
      <c r="K34" s="17" t="s">
        <v>33</v>
      </c>
      <c r="L34" s="17" t="s">
        <v>90</v>
      </c>
      <c r="M34" s="17" t="s">
        <v>91</v>
      </c>
      <c r="N34" s="17" t="s">
        <v>37</v>
      </c>
      <c r="O34" s="17">
        <v>2</v>
      </c>
      <c r="P34" s="17" t="s">
        <v>36</v>
      </c>
      <c r="Q34" s="17"/>
    </row>
    <row r="35" spans="1:17" x14ac:dyDescent="0.3">
      <c r="A35" s="1">
        <v>25</v>
      </c>
      <c r="B35" s="16">
        <v>29</v>
      </c>
      <c r="C35" s="17">
        <v>5836</v>
      </c>
      <c r="D35" s="18">
        <v>46190</v>
      </c>
      <c r="E35" s="17">
        <v>1</v>
      </c>
      <c r="F35" s="17" t="s">
        <v>29</v>
      </c>
      <c r="G35" s="17" t="s">
        <v>30</v>
      </c>
      <c r="H35" s="17">
        <v>14</v>
      </c>
      <c r="I35" s="17" t="s">
        <v>42</v>
      </c>
      <c r="J35" s="17" t="s">
        <v>32</v>
      </c>
      <c r="K35" s="17" t="s">
        <v>33</v>
      </c>
      <c r="L35" s="17" t="s">
        <v>92</v>
      </c>
      <c r="M35" s="17" t="s">
        <v>93</v>
      </c>
      <c r="N35" s="17" t="s">
        <v>37</v>
      </c>
      <c r="O35" s="17">
        <v>2</v>
      </c>
      <c r="P35" s="17" t="s">
        <v>36</v>
      </c>
      <c r="Q35" s="17"/>
    </row>
    <row r="36" spans="1:17" x14ac:dyDescent="0.3">
      <c r="A36" s="1">
        <v>25</v>
      </c>
      <c r="B36" s="16">
        <v>30</v>
      </c>
      <c r="C36" s="17">
        <v>5837</v>
      </c>
      <c r="D36" s="18">
        <v>46190</v>
      </c>
      <c r="E36" s="17">
        <v>1</v>
      </c>
      <c r="F36" s="17" t="s">
        <v>45</v>
      </c>
      <c r="G36" s="17" t="s">
        <v>44</v>
      </c>
      <c r="H36" s="17">
        <v>14</v>
      </c>
      <c r="I36" s="17" t="s">
        <v>42</v>
      </c>
      <c r="J36" s="17" t="s">
        <v>41</v>
      </c>
      <c r="K36" s="17" t="s">
        <v>33</v>
      </c>
      <c r="L36" s="17" t="s">
        <v>92</v>
      </c>
      <c r="M36" s="17" t="s">
        <v>93</v>
      </c>
      <c r="N36" s="17" t="s">
        <v>37</v>
      </c>
      <c r="O36" s="17">
        <v>2</v>
      </c>
      <c r="P36" s="17" t="s">
        <v>36</v>
      </c>
      <c r="Q36" s="17"/>
    </row>
    <row r="37" spans="1:17" x14ac:dyDescent="0.3">
      <c r="A37" s="1">
        <v>25</v>
      </c>
      <c r="B37" s="16">
        <v>31</v>
      </c>
      <c r="C37" s="17">
        <v>5838</v>
      </c>
      <c r="D37" s="18">
        <v>46190</v>
      </c>
      <c r="E37" s="17">
        <v>1</v>
      </c>
      <c r="F37" s="17" t="s">
        <v>29</v>
      </c>
      <c r="G37" s="17" t="s">
        <v>44</v>
      </c>
      <c r="H37" s="17">
        <v>14</v>
      </c>
      <c r="I37" s="17" t="s">
        <v>42</v>
      </c>
      <c r="J37" s="17" t="s">
        <v>41</v>
      </c>
      <c r="K37" s="17" t="s">
        <v>33</v>
      </c>
      <c r="L37" s="17" t="s">
        <v>92</v>
      </c>
      <c r="M37" s="17" t="s">
        <v>93</v>
      </c>
      <c r="N37" s="17" t="s">
        <v>37</v>
      </c>
      <c r="O37" s="17">
        <v>2</v>
      </c>
      <c r="P37" s="17" t="s">
        <v>36</v>
      </c>
      <c r="Q37" s="17"/>
    </row>
    <row r="38" spans="1:17" x14ac:dyDescent="0.3">
      <c r="A38" s="1">
        <v>25</v>
      </c>
      <c r="B38" s="22">
        <v>32</v>
      </c>
      <c r="C38" s="23">
        <v>5839</v>
      </c>
      <c r="D38" s="24">
        <v>46191</v>
      </c>
      <c r="E38" s="23">
        <v>1</v>
      </c>
      <c r="F38" s="23" t="s">
        <v>29</v>
      </c>
      <c r="G38" s="23" t="s">
        <v>30</v>
      </c>
      <c r="H38" s="23">
        <v>14</v>
      </c>
      <c r="I38" s="23" t="s">
        <v>42</v>
      </c>
      <c r="J38" s="23" t="s">
        <v>32</v>
      </c>
      <c r="K38" s="23" t="s">
        <v>33</v>
      </c>
      <c r="L38" s="23" t="s">
        <v>93</v>
      </c>
      <c r="M38" s="23" t="s">
        <v>114</v>
      </c>
      <c r="N38" s="23" t="s">
        <v>37</v>
      </c>
      <c r="O38" s="23">
        <v>2</v>
      </c>
      <c r="P38" s="23" t="s">
        <v>36</v>
      </c>
      <c r="Q38" s="23"/>
    </row>
    <row r="39" spans="1:17" x14ac:dyDescent="0.3">
      <c r="A39" s="1">
        <v>25</v>
      </c>
      <c r="B39" s="22">
        <v>33</v>
      </c>
      <c r="C39" s="23">
        <v>5840</v>
      </c>
      <c r="D39" s="24">
        <v>46191</v>
      </c>
      <c r="E39" s="23">
        <v>1</v>
      </c>
      <c r="F39" s="23" t="s">
        <v>29</v>
      </c>
      <c r="G39" s="23" t="s">
        <v>44</v>
      </c>
      <c r="H39" s="23">
        <v>14</v>
      </c>
      <c r="I39" s="23" t="s">
        <v>42</v>
      </c>
      <c r="J39" s="23" t="s">
        <v>41</v>
      </c>
      <c r="K39" s="23" t="s">
        <v>33</v>
      </c>
      <c r="L39" s="23" t="s">
        <v>114</v>
      </c>
      <c r="M39" s="23" t="s">
        <v>115</v>
      </c>
      <c r="N39" s="23" t="s">
        <v>37</v>
      </c>
      <c r="O39" s="23">
        <v>2</v>
      </c>
      <c r="P39" s="23" t="s">
        <v>36</v>
      </c>
      <c r="Q39" s="23"/>
    </row>
    <row r="40" spans="1:17" x14ac:dyDescent="0.3">
      <c r="A40" s="1">
        <v>25</v>
      </c>
      <c r="B40" s="22">
        <v>34</v>
      </c>
      <c r="C40" s="23">
        <v>5841</v>
      </c>
      <c r="D40" s="24">
        <v>46191</v>
      </c>
      <c r="E40" s="23">
        <v>1</v>
      </c>
      <c r="F40" s="23" t="s">
        <v>29</v>
      </c>
      <c r="G40" s="23" t="s">
        <v>39</v>
      </c>
      <c r="H40" s="23">
        <v>14</v>
      </c>
      <c r="I40" s="23" t="s">
        <v>42</v>
      </c>
      <c r="J40" s="23" t="s">
        <v>40</v>
      </c>
      <c r="K40" s="23" t="s">
        <v>33</v>
      </c>
      <c r="L40" s="23" t="s">
        <v>93</v>
      </c>
      <c r="M40" s="23" t="s">
        <v>114</v>
      </c>
      <c r="N40" s="23" t="s">
        <v>37</v>
      </c>
      <c r="O40" s="23">
        <v>2</v>
      </c>
      <c r="P40" s="23" t="s">
        <v>36</v>
      </c>
      <c r="Q40" s="23"/>
    </row>
    <row r="41" spans="1:17" x14ac:dyDescent="0.3">
      <c r="A41" s="1">
        <v>25</v>
      </c>
      <c r="B41" s="22">
        <v>35</v>
      </c>
      <c r="C41" s="23">
        <v>5842</v>
      </c>
      <c r="D41" s="24">
        <v>46191</v>
      </c>
      <c r="E41" s="23">
        <v>1</v>
      </c>
      <c r="F41" s="23" t="s">
        <v>29</v>
      </c>
      <c r="G41" s="23" t="s">
        <v>38</v>
      </c>
      <c r="H41" s="23">
        <v>14</v>
      </c>
      <c r="I41" s="23" t="s">
        <v>42</v>
      </c>
      <c r="J41" s="23" t="s">
        <v>43</v>
      </c>
      <c r="K41" s="23" t="s">
        <v>33</v>
      </c>
      <c r="L41" s="23" t="s">
        <v>114</v>
      </c>
      <c r="M41" s="23" t="s">
        <v>115</v>
      </c>
      <c r="N41" s="23" t="s">
        <v>37</v>
      </c>
      <c r="O41" s="23">
        <v>2</v>
      </c>
      <c r="P41" s="23" t="s">
        <v>36</v>
      </c>
      <c r="Q41" s="23"/>
    </row>
    <row r="42" spans="1:17" x14ac:dyDescent="0.3">
      <c r="A42" s="1">
        <v>25</v>
      </c>
      <c r="B42" s="22">
        <v>36</v>
      </c>
      <c r="C42" s="23">
        <v>5843</v>
      </c>
      <c r="D42" s="24">
        <v>46191</v>
      </c>
      <c r="E42" s="23">
        <v>1</v>
      </c>
      <c r="F42" s="23" t="s">
        <v>29</v>
      </c>
      <c r="G42" s="23" t="s">
        <v>116</v>
      </c>
      <c r="H42" s="23">
        <v>14</v>
      </c>
      <c r="I42" s="23" t="s">
        <v>42</v>
      </c>
      <c r="J42" s="23" t="s">
        <v>32</v>
      </c>
      <c r="K42" s="23" t="s">
        <v>33</v>
      </c>
      <c r="L42" s="23" t="s">
        <v>108</v>
      </c>
      <c r="M42" s="23" t="s">
        <v>117</v>
      </c>
      <c r="N42" s="23" t="s">
        <v>37</v>
      </c>
      <c r="O42" s="23">
        <v>2</v>
      </c>
      <c r="P42" s="23" t="s">
        <v>36</v>
      </c>
      <c r="Q42" s="23"/>
    </row>
    <row r="43" spans="1:17" x14ac:dyDescent="0.3">
      <c r="A43" s="1">
        <v>25</v>
      </c>
      <c r="B43" s="22">
        <v>37</v>
      </c>
      <c r="C43" s="23">
        <v>5844</v>
      </c>
      <c r="D43" s="24">
        <v>46191</v>
      </c>
      <c r="E43" s="23">
        <v>1</v>
      </c>
      <c r="F43" s="23" t="s">
        <v>29</v>
      </c>
      <c r="G43" s="23" t="s">
        <v>44</v>
      </c>
      <c r="H43" s="23">
        <v>14</v>
      </c>
      <c r="I43" s="23" t="s">
        <v>42</v>
      </c>
      <c r="J43" s="23" t="s">
        <v>41</v>
      </c>
      <c r="K43" s="23" t="s">
        <v>33</v>
      </c>
      <c r="L43" s="23" t="s">
        <v>108</v>
      </c>
      <c r="M43" s="23" t="s">
        <v>118</v>
      </c>
      <c r="N43" s="23" t="s">
        <v>37</v>
      </c>
      <c r="O43" s="23">
        <v>2</v>
      </c>
      <c r="P43" s="23" t="s">
        <v>36</v>
      </c>
      <c r="Q43" s="23"/>
    </row>
    <row r="44" spans="1:17" x14ac:dyDescent="0.3">
      <c r="A44" s="1">
        <v>25</v>
      </c>
      <c r="B44" s="22">
        <v>38</v>
      </c>
      <c r="C44" s="23">
        <v>5845</v>
      </c>
      <c r="D44" s="24">
        <v>46191</v>
      </c>
      <c r="E44" s="23">
        <v>1</v>
      </c>
      <c r="F44" s="23" t="s">
        <v>29</v>
      </c>
      <c r="G44" s="23" t="s">
        <v>39</v>
      </c>
      <c r="H44" s="23">
        <v>14</v>
      </c>
      <c r="I44" s="23" t="s">
        <v>42</v>
      </c>
      <c r="J44" s="23" t="s">
        <v>40</v>
      </c>
      <c r="K44" s="23" t="s">
        <v>33</v>
      </c>
      <c r="L44" s="23" t="s">
        <v>108</v>
      </c>
      <c r="M44" s="23" t="s">
        <v>118</v>
      </c>
      <c r="N44" s="23" t="s">
        <v>37</v>
      </c>
      <c r="O44" s="23">
        <v>2</v>
      </c>
      <c r="P44" s="23" t="s">
        <v>36</v>
      </c>
      <c r="Q44" s="23"/>
    </row>
    <row r="45" spans="1:17" x14ac:dyDescent="0.3">
      <c r="A45" s="1">
        <v>25</v>
      </c>
      <c r="B45" s="22">
        <v>39</v>
      </c>
      <c r="C45" s="23">
        <v>5846</v>
      </c>
      <c r="D45" s="24">
        <v>46191</v>
      </c>
      <c r="E45" s="23">
        <v>1</v>
      </c>
      <c r="F45" s="23" t="s">
        <v>29</v>
      </c>
      <c r="G45" s="23" t="s">
        <v>38</v>
      </c>
      <c r="H45" s="23">
        <v>14</v>
      </c>
      <c r="I45" s="23" t="s">
        <v>42</v>
      </c>
      <c r="J45" s="23" t="s">
        <v>43</v>
      </c>
      <c r="K45" s="23" t="s">
        <v>33</v>
      </c>
      <c r="L45" s="23" t="s">
        <v>108</v>
      </c>
      <c r="M45" s="23" t="s">
        <v>118</v>
      </c>
      <c r="N45" s="23" t="s">
        <v>37</v>
      </c>
      <c r="O45" s="23">
        <v>2</v>
      </c>
      <c r="P45" s="23" t="s">
        <v>36</v>
      </c>
      <c r="Q45" s="23"/>
    </row>
    <row r="46" spans="1:17" x14ac:dyDescent="0.3">
      <c r="A46" s="1">
        <v>25</v>
      </c>
      <c r="B46" s="22">
        <v>40</v>
      </c>
      <c r="C46" s="23">
        <v>5847</v>
      </c>
      <c r="D46" s="24">
        <v>46191</v>
      </c>
      <c r="E46" s="23">
        <v>1</v>
      </c>
      <c r="F46" s="23" t="s">
        <v>29</v>
      </c>
      <c r="G46" s="23" t="s">
        <v>116</v>
      </c>
      <c r="H46" s="23">
        <v>14</v>
      </c>
      <c r="I46" s="23" t="s">
        <v>42</v>
      </c>
      <c r="J46" s="23" t="s">
        <v>32</v>
      </c>
      <c r="K46" s="23" t="s">
        <v>33</v>
      </c>
      <c r="L46" s="23" t="s">
        <v>119</v>
      </c>
      <c r="M46" s="23" t="s">
        <v>120</v>
      </c>
      <c r="N46" s="23" t="s">
        <v>37</v>
      </c>
      <c r="O46" s="23">
        <v>2</v>
      </c>
      <c r="P46" s="23" t="s">
        <v>36</v>
      </c>
      <c r="Q46" s="23"/>
    </row>
    <row r="47" spans="1:17" x14ac:dyDescent="0.3">
      <c r="A47" s="1">
        <v>25</v>
      </c>
      <c r="B47" s="22">
        <v>41</v>
      </c>
      <c r="C47" s="23">
        <v>5848</v>
      </c>
      <c r="D47" s="24">
        <v>46191</v>
      </c>
      <c r="E47" s="23">
        <v>1</v>
      </c>
      <c r="F47" s="23" t="s">
        <v>29</v>
      </c>
      <c r="G47" s="23" t="s">
        <v>121</v>
      </c>
      <c r="H47" s="23">
        <v>14</v>
      </c>
      <c r="I47" s="23" t="s">
        <v>42</v>
      </c>
      <c r="J47" s="23" t="s">
        <v>97</v>
      </c>
      <c r="K47" s="23" t="s">
        <v>33</v>
      </c>
      <c r="L47" s="23" t="s">
        <v>119</v>
      </c>
      <c r="M47" s="23" t="s">
        <v>122</v>
      </c>
      <c r="N47" s="23" t="s">
        <v>37</v>
      </c>
      <c r="O47" s="23">
        <v>2</v>
      </c>
      <c r="P47" s="23" t="s">
        <v>36</v>
      </c>
      <c r="Q47" s="23"/>
    </row>
    <row r="48" spans="1:17" x14ac:dyDescent="0.3">
      <c r="A48" s="1">
        <v>25</v>
      </c>
      <c r="B48" s="21">
        <v>42</v>
      </c>
      <c r="C48" s="20">
        <v>5849</v>
      </c>
      <c r="D48" s="8">
        <v>46192</v>
      </c>
      <c r="E48">
        <v>1</v>
      </c>
      <c r="F48" t="s">
        <v>29</v>
      </c>
      <c r="G48" t="s">
        <v>38</v>
      </c>
      <c r="H48">
        <v>14</v>
      </c>
      <c r="I48" t="s">
        <v>42</v>
      </c>
      <c r="J48" t="s">
        <v>43</v>
      </c>
      <c r="K48" t="s">
        <v>33</v>
      </c>
      <c r="L48" t="s">
        <v>123</v>
      </c>
      <c r="M48" t="s">
        <v>124</v>
      </c>
      <c r="N48" t="s">
        <v>37</v>
      </c>
      <c r="O48">
        <v>1</v>
      </c>
      <c r="P48" t="s">
        <v>125</v>
      </c>
    </row>
    <row r="49" spans="1:16" x14ac:dyDescent="0.3">
      <c r="A49" s="1">
        <v>25</v>
      </c>
      <c r="B49" s="21">
        <v>43</v>
      </c>
      <c r="C49" s="20">
        <v>5850</v>
      </c>
      <c r="D49" s="8">
        <v>46192</v>
      </c>
      <c r="E49">
        <v>1</v>
      </c>
      <c r="F49" t="s">
        <v>29</v>
      </c>
      <c r="G49" t="s">
        <v>44</v>
      </c>
      <c r="H49">
        <v>14</v>
      </c>
      <c r="I49" t="s">
        <v>42</v>
      </c>
      <c r="J49" t="s">
        <v>41</v>
      </c>
      <c r="K49" t="s">
        <v>33</v>
      </c>
      <c r="L49" t="s">
        <v>123</v>
      </c>
      <c r="M49" t="s">
        <v>124</v>
      </c>
      <c r="N49" t="s">
        <v>37</v>
      </c>
      <c r="O49">
        <v>1</v>
      </c>
      <c r="P49" t="s">
        <v>125</v>
      </c>
    </row>
    <row r="50" spans="1:16" x14ac:dyDescent="0.3">
      <c r="A50" s="1">
        <v>25</v>
      </c>
      <c r="B50" s="21">
        <v>44</v>
      </c>
      <c r="C50" s="20">
        <v>5951</v>
      </c>
      <c r="D50" s="8">
        <v>46192</v>
      </c>
      <c r="E50">
        <v>1</v>
      </c>
      <c r="F50" t="s">
        <v>29</v>
      </c>
      <c r="G50" t="s">
        <v>39</v>
      </c>
      <c r="H50">
        <v>14</v>
      </c>
      <c r="I50" t="s">
        <v>42</v>
      </c>
      <c r="J50" t="s">
        <v>40</v>
      </c>
      <c r="K50" t="s">
        <v>33</v>
      </c>
      <c r="L50" t="s">
        <v>123</v>
      </c>
      <c r="M50" t="s">
        <v>124</v>
      </c>
      <c r="N50" t="s">
        <v>37</v>
      </c>
      <c r="O50">
        <v>1</v>
      </c>
      <c r="P50" t="s">
        <v>125</v>
      </c>
    </row>
    <row r="51" spans="1:16" x14ac:dyDescent="0.3">
      <c r="A51" s="1">
        <v>25</v>
      </c>
      <c r="B51" s="21">
        <v>45</v>
      </c>
      <c r="C51" s="20">
        <v>5952</v>
      </c>
      <c r="D51" s="8">
        <v>46192</v>
      </c>
      <c r="E51">
        <v>1</v>
      </c>
      <c r="F51" t="s">
        <v>29</v>
      </c>
      <c r="G51" t="s">
        <v>44</v>
      </c>
      <c r="H51">
        <v>14</v>
      </c>
      <c r="I51" t="s">
        <v>42</v>
      </c>
      <c r="J51" t="s">
        <v>41</v>
      </c>
      <c r="K51" t="s">
        <v>33</v>
      </c>
      <c r="L51" t="s">
        <v>123</v>
      </c>
      <c r="M51" t="s">
        <v>124</v>
      </c>
      <c r="N51" t="s">
        <v>37</v>
      </c>
      <c r="O51">
        <v>1</v>
      </c>
      <c r="P51" t="s">
        <v>125</v>
      </c>
    </row>
    <row r="52" spans="1:16" x14ac:dyDescent="0.3">
      <c r="A52" s="1">
        <v>25</v>
      </c>
      <c r="B52" s="21">
        <v>46</v>
      </c>
      <c r="C52" s="20">
        <v>5953</v>
      </c>
      <c r="D52" s="8">
        <v>46192</v>
      </c>
      <c r="E52">
        <v>1</v>
      </c>
      <c r="F52" t="s">
        <v>29</v>
      </c>
      <c r="G52" t="s">
        <v>39</v>
      </c>
      <c r="H52">
        <v>14</v>
      </c>
      <c r="I52" t="s">
        <v>42</v>
      </c>
      <c r="J52" t="s">
        <v>40</v>
      </c>
      <c r="K52" t="s">
        <v>33</v>
      </c>
      <c r="L52" t="s">
        <v>123</v>
      </c>
      <c r="M52" t="s">
        <v>124</v>
      </c>
      <c r="N52" t="s">
        <v>37</v>
      </c>
      <c r="O52">
        <v>1</v>
      </c>
      <c r="P52" t="s">
        <v>125</v>
      </c>
    </row>
    <row r="53" spans="1:16" x14ac:dyDescent="0.3">
      <c r="A53" s="1">
        <v>25</v>
      </c>
      <c r="B53" s="21">
        <v>47</v>
      </c>
      <c r="C53" s="20"/>
    </row>
    <row r="54" spans="1:16" x14ac:dyDescent="0.3">
      <c r="A54" s="1">
        <v>25</v>
      </c>
    </row>
    <row r="55" spans="1:16" x14ac:dyDescent="0.3">
      <c r="A55" s="1">
        <v>25</v>
      </c>
    </row>
    <row r="56" spans="1:16" x14ac:dyDescent="0.3">
      <c r="A56" s="1">
        <v>25</v>
      </c>
    </row>
    <row r="57" spans="1:16" x14ac:dyDescent="0.3">
      <c r="A57" s="1">
        <v>25</v>
      </c>
    </row>
    <row r="58" spans="1:16" x14ac:dyDescent="0.3">
      <c r="A58" s="1">
        <v>25</v>
      </c>
    </row>
    <row r="59" spans="1:16" x14ac:dyDescent="0.3">
      <c r="A59" s="1">
        <v>25</v>
      </c>
    </row>
    <row r="60" spans="1:16" x14ac:dyDescent="0.3">
      <c r="A60" s="1">
        <v>25</v>
      </c>
    </row>
    <row r="61" spans="1:16" x14ac:dyDescent="0.3">
      <c r="A61" s="1">
        <v>25</v>
      </c>
    </row>
    <row r="62" spans="1:16" x14ac:dyDescent="0.3">
      <c r="A62" s="1">
        <v>25</v>
      </c>
    </row>
    <row r="63" spans="1:16" s="6" customFormat="1" ht="21" x14ac:dyDescent="0.4">
      <c r="A63" s="5" t="s">
        <v>14</v>
      </c>
      <c r="B63" s="5"/>
      <c r="E63" s="6">
        <f>SUBTOTAL(109,Tabla134[[VIAJES ]])</f>
        <v>46</v>
      </c>
      <c r="H63" s="6">
        <f>SUBTOTAL(109,Tabla134[CAPACIDAD])</f>
        <v>658</v>
      </c>
    </row>
    <row r="115" spans="3:3" x14ac:dyDescent="0.3">
      <c r="C115">
        <v>1</v>
      </c>
    </row>
    <row r="116" spans="3:3" x14ac:dyDescent="0.3">
      <c r="C116">
        <v>1</v>
      </c>
    </row>
  </sheetData>
  <mergeCells count="1">
    <mergeCell ref="D2:F2"/>
  </mergeCells>
  <phoneticPr fontId="5" type="noConversion"/>
  <pageMargins left="0.70866141732283472" right="0.70866141732283472" top="0.74803149606299213" bottom="0.74803149606299213" header="0.31496062992125984" footer="0.31496062992125984"/>
  <pageSetup scale="56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MEZCLA</vt:lpstr>
      <vt:lpstr>FRESADO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ASUS</cp:lastModifiedBy>
  <cp:lastPrinted>2026-06-21T18:51:32Z</cp:lastPrinted>
  <dcterms:created xsi:type="dcterms:W3CDTF">2026-06-10T16:07:36Z</dcterms:created>
  <dcterms:modified xsi:type="dcterms:W3CDTF">2026-06-21T18:53:07Z</dcterms:modified>
</cp:coreProperties>
</file>