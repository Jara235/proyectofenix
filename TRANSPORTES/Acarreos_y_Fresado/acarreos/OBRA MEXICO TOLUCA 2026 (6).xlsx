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ADO" sheetId="1" r:id="rId4"/>
    <sheet state="visible" name="Tabla dinámica 3" sheetId="2" r:id="rId5"/>
    <sheet state="visible" name="CARPETA" sheetId="3" r:id="rId6"/>
    <sheet state="visible" name="Tabla dinámica 4" sheetId="4" r:id="rId7"/>
    <sheet state="visible" name="VICENTE LOMBARDO" sheetId="5" r:id="rId8"/>
  </sheets>
  <definedNames>
    <definedName hidden="1" localSheetId="0" name="_xlnm._FilterDatabase">FRESADO!$A$1:$Z$998</definedName>
    <definedName hidden="1" localSheetId="2" name="_xlnm._FilterDatabase">CARPETA!$A$1:$W$624</definedName>
    <definedName hidden="1" localSheetId="4" name="_xlnm._FilterDatabase">'VICENTE LOMBARDO'!$A$1:$W$320</definedName>
  </definedNames>
  <calcPr/>
  <pivotCaches>
    <pivotCache cacheId="0" r:id="rId9"/>
    <pivotCache cacheId="1" r:id="rId10"/>
  </pivotCaches>
  <extLst>
    <ext uri="GoogleSheetsCustomDataVersion2">
      <go:sheetsCustomData xmlns:go="http://customooxmlschemas.google.com/" r:id="rId11" roundtripDataChecksum="PHdq3hpg6JdfHWkGyAroPg7Z6pL3/p7wcHZUqayPbhQ="/>
    </ext>
  </extLst>
</workbook>
</file>

<file path=xl/sharedStrings.xml><?xml version="1.0" encoding="utf-8"?>
<sst xmlns="http://schemas.openxmlformats.org/spreadsheetml/2006/main" count="17662" uniqueCount="921">
  <si>
    <t xml:space="preserve">SEM </t>
  </si>
  <si>
    <t>NO</t>
  </si>
  <si>
    <t xml:space="preserve">FOLIO </t>
  </si>
  <si>
    <t>FECHA</t>
  </si>
  <si>
    <t xml:space="preserve">VIAJES </t>
  </si>
  <si>
    <t xml:space="preserve">MATERIAL </t>
  </si>
  <si>
    <t>PLACAS</t>
  </si>
  <si>
    <t xml:space="preserve">CAPACIDAD (M3) </t>
  </si>
  <si>
    <t xml:space="preserve">PESO TOTAL (KG) </t>
  </si>
  <si>
    <t>OPERADOR</t>
  </si>
  <si>
    <t>SINDICATO</t>
  </si>
  <si>
    <t>KM INICIO</t>
  </si>
  <si>
    <t>KM FINAL</t>
  </si>
  <si>
    <t>CUERPO</t>
  </si>
  <si>
    <t>KM ACARREO POR VIAJE</t>
  </si>
  <si>
    <t>OBSERVACIONES</t>
  </si>
  <si>
    <t>CAPACIDAD</t>
  </si>
  <si>
    <t>PU</t>
  </si>
  <si>
    <t xml:space="preserve">UNIDAD </t>
  </si>
  <si>
    <t>IMPORTE</t>
  </si>
  <si>
    <t>IVA</t>
  </si>
  <si>
    <t>TOTAL</t>
  </si>
  <si>
    <t>CONCILIACION</t>
  </si>
  <si>
    <t>KM INICIA</t>
  </si>
  <si>
    <t>ESTATUS</t>
  </si>
  <si>
    <t>KM TERMINA</t>
  </si>
  <si>
    <t xml:space="preserve">FACTURA </t>
  </si>
  <si>
    <t xml:space="preserve">TIRO </t>
  </si>
  <si>
    <t>CPO</t>
  </si>
  <si>
    <t>CARRIL</t>
  </si>
  <si>
    <t xml:space="preserve">TOTAL </t>
  </si>
  <si>
    <t>CARPETA DENSA</t>
  </si>
  <si>
    <t>LD69570</t>
  </si>
  <si>
    <t>FACTURA</t>
  </si>
  <si>
    <t>M3</t>
  </si>
  <si>
    <t>HUMBERTO COLIN</t>
  </si>
  <si>
    <t>COSUM TOLUCA</t>
  </si>
  <si>
    <t>TIRO</t>
  </si>
  <si>
    <t>TIRO LIBRE</t>
  </si>
  <si>
    <t>NR0950C</t>
  </si>
  <si>
    <t xml:space="preserve">M3 </t>
  </si>
  <si>
    <t>ALEJANDRO FLORES</t>
  </si>
  <si>
    <t xml:space="preserve">APOYO AL DERRUMBRE 22+400 CUERPO B A SOLICITUD DE SICT </t>
  </si>
  <si>
    <t>CUAJIMALPA 1</t>
  </si>
  <si>
    <t>PAGADA</t>
  </si>
  <si>
    <t>A-1183</t>
  </si>
  <si>
    <t xml:space="preserve">SUM de TOTAL </t>
  </si>
  <si>
    <t>SUM de TOTAL</t>
  </si>
  <si>
    <t>Total 23</t>
  </si>
  <si>
    <t>-</t>
  </si>
  <si>
    <t xml:space="preserve">COSUM ARIEL </t>
  </si>
  <si>
    <t>95AX5D</t>
  </si>
  <si>
    <t>LF64430</t>
  </si>
  <si>
    <t>Total 24</t>
  </si>
  <si>
    <t xml:space="preserve">CESAR HERNANDEZ </t>
  </si>
  <si>
    <t>CARLOS JOAQUIN</t>
  </si>
  <si>
    <t>Total 25</t>
  </si>
  <si>
    <t>Total 26</t>
  </si>
  <si>
    <t>Total 27</t>
  </si>
  <si>
    <t>CUAJIMALPA 2</t>
  </si>
  <si>
    <t>A-1196</t>
  </si>
  <si>
    <t>Total 28</t>
  </si>
  <si>
    <t>Total 29</t>
  </si>
  <si>
    <t>Total 30</t>
  </si>
  <si>
    <t>Total 31</t>
  </si>
  <si>
    <t>32AH5L</t>
  </si>
  <si>
    <t>Total 32</t>
  </si>
  <si>
    <t>GUSTAVO JOAQUIN</t>
  </si>
  <si>
    <t>Suma total</t>
  </si>
  <si>
    <t>MY7968B</t>
  </si>
  <si>
    <t>JORGE GARCIA</t>
  </si>
  <si>
    <t>MY7967B</t>
  </si>
  <si>
    <t>S/F</t>
  </si>
  <si>
    <t>PIPA DE AGUA</t>
  </si>
  <si>
    <t>FRESADO</t>
  </si>
  <si>
    <t>REGRESO PIPA</t>
  </si>
  <si>
    <t>SE CANCELARON LABORES</t>
  </si>
  <si>
    <t>BANCO ASIGNADO POR LA SICT</t>
  </si>
  <si>
    <t>HE4281J</t>
  </si>
  <si>
    <t>ANASIEL BENITES</t>
  </si>
  <si>
    <t>22BC9R</t>
  </si>
  <si>
    <t>REY DAVID</t>
  </si>
  <si>
    <t>MY6927D</t>
  </si>
  <si>
    <t>DANIEL CRUZ</t>
  </si>
  <si>
    <t>GZ9775J</t>
  </si>
  <si>
    <t>OMERO BENITEZ</t>
  </si>
  <si>
    <t>LD58235</t>
  </si>
  <si>
    <t>CARLOS GUADARRAMA</t>
  </si>
  <si>
    <t xml:space="preserve">ALEJANDRO FLORES </t>
  </si>
  <si>
    <t>ENRIQUE TORRES</t>
  </si>
  <si>
    <t>NB1258D</t>
  </si>
  <si>
    <t>SANTOS SOTERO</t>
  </si>
  <si>
    <t>LF6443G</t>
  </si>
  <si>
    <t>NE4904D</t>
  </si>
  <si>
    <t>JONATHAN GUTIERREZ</t>
  </si>
  <si>
    <t>HB9249J</t>
  </si>
  <si>
    <t>DANIEL SANCHEZ</t>
  </si>
  <si>
    <t>s/f</t>
  </si>
  <si>
    <t>KR-9352-A</t>
  </si>
  <si>
    <t>ROBERTO ONOFRE</t>
  </si>
  <si>
    <t>LD5835</t>
  </si>
  <si>
    <t>ANASIEL BENITEZ</t>
  </si>
  <si>
    <t>HC1139G</t>
  </si>
  <si>
    <t>VICTOR LEON</t>
  </si>
  <si>
    <t>TRABAJOS DE NOCHE</t>
  </si>
  <si>
    <t>HD57440</t>
  </si>
  <si>
    <t>RAMIRO HERNANDEZ</t>
  </si>
  <si>
    <t>43BD6E</t>
  </si>
  <si>
    <t>VICTOR GONZALEZ</t>
  </si>
  <si>
    <t xml:space="preserve">HUIXQUILUCAN PLANTA </t>
  </si>
  <si>
    <t>CORTE 04/07/2026</t>
  </si>
  <si>
    <t>73BG10</t>
  </si>
  <si>
    <t xml:space="preserve">EDWIN TEPOZON ESCOBAR </t>
  </si>
  <si>
    <t>02BG7T</t>
  </si>
  <si>
    <t>CESAR GUTIERREZ</t>
  </si>
  <si>
    <t>120AJ3</t>
  </si>
  <si>
    <t xml:space="preserve">SE MANDO MATERIAL PARA BORDILLO SICT </t>
  </si>
  <si>
    <t>94AC5F</t>
  </si>
  <si>
    <t>HUGO GUTIERREZ</t>
  </si>
  <si>
    <t>LF41892</t>
  </si>
  <si>
    <t>LUCIO CAXNAJOY</t>
  </si>
  <si>
    <t>LC45753</t>
  </si>
  <si>
    <t>CESAR GRANADOS</t>
  </si>
  <si>
    <t>FRESADO Y LIMPIEZA</t>
  </si>
  <si>
    <t>KP5325A</t>
  </si>
  <si>
    <t>BRANDOM GRANADOS</t>
  </si>
  <si>
    <t>NB1288D</t>
  </si>
  <si>
    <t>SANROS SOTERO</t>
  </si>
  <si>
    <t>ASFALTO</t>
  </si>
  <si>
    <t>35+000</t>
  </si>
  <si>
    <t>34+970</t>
  </si>
  <si>
    <t>MARQUESA 1</t>
  </si>
  <si>
    <t>ZZBC9R</t>
  </si>
  <si>
    <t xml:space="preserve">DAVID </t>
  </si>
  <si>
    <t>34+940</t>
  </si>
  <si>
    <t xml:space="preserve">CAMION SE CARGO PERO SE REGRESO POR FALLAS DEL CAMION, ESTA NOTA NO SE COBRA </t>
  </si>
  <si>
    <t xml:space="preserve">NO SE COBRA VIAJE </t>
  </si>
  <si>
    <t>HC1281J</t>
  </si>
  <si>
    <t>ARIEL BECERRIL</t>
  </si>
  <si>
    <t>34+760</t>
  </si>
  <si>
    <t>34+730</t>
  </si>
  <si>
    <t>34+790</t>
  </si>
  <si>
    <t>34+905</t>
  </si>
  <si>
    <t>34+870</t>
  </si>
  <si>
    <t>34+830</t>
  </si>
  <si>
    <t>17AN4C</t>
  </si>
  <si>
    <t>ERICK GUTIERREZ</t>
  </si>
  <si>
    <t>98BM8P</t>
  </si>
  <si>
    <t xml:space="preserve">VIAJE EN FALSO </t>
  </si>
  <si>
    <t>NH16062</t>
  </si>
  <si>
    <t>BERNABE GUTIERREZ</t>
  </si>
  <si>
    <t>LG01321</t>
  </si>
  <si>
    <t>JULIO RESENDIZ</t>
  </si>
  <si>
    <t>9FAX5D</t>
  </si>
  <si>
    <t>NS1640C</t>
  </si>
  <si>
    <t>ORLANDO GUTIERREZ</t>
  </si>
  <si>
    <t>ND5931C</t>
  </si>
  <si>
    <t>CARPETA</t>
  </si>
  <si>
    <t>COSUM</t>
  </si>
  <si>
    <t>37+730</t>
  </si>
  <si>
    <t>37+707</t>
  </si>
  <si>
    <t>MARQUESA 2</t>
  </si>
  <si>
    <t>HE-4281-J</t>
  </si>
  <si>
    <t>37+675</t>
  </si>
  <si>
    <t>NJ6644D</t>
  </si>
  <si>
    <t>37+640</t>
  </si>
  <si>
    <t>37+609</t>
  </si>
  <si>
    <t>HD-57440</t>
  </si>
  <si>
    <t>NY-7967-B</t>
  </si>
  <si>
    <t>37+575</t>
  </si>
  <si>
    <t>LD3823S</t>
  </si>
  <si>
    <t>37+480</t>
  </si>
  <si>
    <t>37+440</t>
  </si>
  <si>
    <t>SANTOS O</t>
  </si>
  <si>
    <t>37+538</t>
  </si>
  <si>
    <t>A-1205</t>
  </si>
  <si>
    <t>37+530</t>
  </si>
  <si>
    <t>37+508</t>
  </si>
  <si>
    <t>37+488</t>
  </si>
  <si>
    <t>34+410</t>
  </si>
  <si>
    <t>37+410</t>
  </si>
  <si>
    <t>37+375</t>
  </si>
  <si>
    <t>NOTA CANCELADA</t>
  </si>
  <si>
    <t>CANCELADA</t>
  </si>
  <si>
    <t>37+355</t>
  </si>
  <si>
    <t>REGRESO CAMION</t>
  </si>
  <si>
    <t>ROBERTO F.</t>
  </si>
  <si>
    <t xml:space="preserve"> PIPA DE AGUA EN RENTA 10 MIL LTS</t>
  </si>
  <si>
    <t>NJ-6644-B</t>
  </si>
  <si>
    <t>B</t>
  </si>
  <si>
    <t>RAMIRO HERNANDEZ O.</t>
  </si>
  <si>
    <t>NR-1258-D</t>
  </si>
  <si>
    <t>NR-0950-C</t>
  </si>
  <si>
    <t>22-BC9R</t>
  </si>
  <si>
    <t>43-BD6E</t>
  </si>
  <si>
    <t>VICTOR GONZALES</t>
  </si>
  <si>
    <t>48-7AP2</t>
  </si>
  <si>
    <t>JUAN GUTIERREZ</t>
  </si>
  <si>
    <t>NJ-6644-D</t>
  </si>
  <si>
    <t>32-02Y2</t>
  </si>
  <si>
    <t>ROLANDO GUTIERREZ</t>
  </si>
  <si>
    <t>98-BM8P</t>
  </si>
  <si>
    <t>BERNABE GUTIERREZ F.</t>
  </si>
  <si>
    <t>LC-0132-1</t>
  </si>
  <si>
    <t>JULIO RESENDIS</t>
  </si>
  <si>
    <t>LC-4575-3</t>
  </si>
  <si>
    <t>A</t>
  </si>
  <si>
    <t>12-AN1U</t>
  </si>
  <si>
    <t>MAURICIO GUTIERREZ</t>
  </si>
  <si>
    <t>94-9TW7</t>
  </si>
  <si>
    <t xml:space="preserve">KEVIN ESQUIVEL </t>
  </si>
  <si>
    <t>73-BG1U</t>
  </si>
  <si>
    <t>EDWIN T</t>
  </si>
  <si>
    <t>NV-1728-7</t>
  </si>
  <si>
    <t>EDUARDO GONZALEZ</t>
  </si>
  <si>
    <t>MARQUESA 3</t>
  </si>
  <si>
    <t>JUAN MANUEL</t>
  </si>
  <si>
    <t>ESCOMBRO Y LIMPIEZA</t>
  </si>
  <si>
    <t>HE-4881-J</t>
  </si>
  <si>
    <t>VIAJE EN FALSO</t>
  </si>
  <si>
    <t>ALEJANDRO JONATHAN</t>
  </si>
  <si>
    <t>PLANTA PEGASO</t>
  </si>
  <si>
    <t>LM-1606-2</t>
  </si>
  <si>
    <t>CESAR MENDEZ</t>
  </si>
  <si>
    <t>HD-5744-O</t>
  </si>
  <si>
    <t>RAMIRO MENDEZ</t>
  </si>
  <si>
    <t>NS-1640-C</t>
  </si>
  <si>
    <t>HE-4251-G</t>
  </si>
  <si>
    <t>94-DC5F</t>
  </si>
  <si>
    <t>120-AJ3</t>
  </si>
  <si>
    <t>34+360.00</t>
  </si>
  <si>
    <t>34+320.00</t>
  </si>
  <si>
    <t>34+270.00</t>
  </si>
  <si>
    <t>34+220.00</t>
  </si>
  <si>
    <t>34+170.00</t>
  </si>
  <si>
    <t>34+000.00</t>
  </si>
  <si>
    <t>34+040.00</t>
  </si>
  <si>
    <t>119-AJ3</t>
  </si>
  <si>
    <t>MY-7967-B</t>
  </si>
  <si>
    <t>34+080.00</t>
  </si>
  <si>
    <t>34+130.00</t>
  </si>
  <si>
    <t>576-AN5</t>
  </si>
  <si>
    <t>MANUEL LOPEZ</t>
  </si>
  <si>
    <t>GT 302</t>
  </si>
  <si>
    <t>GT 304</t>
  </si>
  <si>
    <t>GT 303</t>
  </si>
  <si>
    <t>MY6968B</t>
  </si>
  <si>
    <t>GT 305</t>
  </si>
  <si>
    <t>17-AN4C</t>
  </si>
  <si>
    <t>JDJ 300</t>
  </si>
  <si>
    <t>EN FALSO DE VICENTE LOMBARDO</t>
  </si>
  <si>
    <t>LG-01321</t>
  </si>
  <si>
    <t>JDJ 304</t>
  </si>
  <si>
    <t>LH16062</t>
  </si>
  <si>
    <t>ARTURO HERNANDEZ</t>
  </si>
  <si>
    <t>ND-5931-C</t>
  </si>
  <si>
    <t>IVA MULATO</t>
  </si>
  <si>
    <t>JDJ 308</t>
  </si>
  <si>
    <t>45AX5D</t>
  </si>
  <si>
    <t>14-BG5W</t>
  </si>
  <si>
    <t>SERGIO VALDEZ</t>
  </si>
  <si>
    <t>JDJ 307</t>
  </si>
  <si>
    <t>JDJ 305</t>
  </si>
  <si>
    <t>JDJ 306</t>
  </si>
  <si>
    <t>JDJ 309</t>
  </si>
  <si>
    <t>JDJ 302</t>
  </si>
  <si>
    <t>JDJ 310</t>
  </si>
  <si>
    <t>JDJ 311</t>
  </si>
  <si>
    <t>586-AN5</t>
  </si>
  <si>
    <t>JULIO LOPEZ</t>
  </si>
  <si>
    <t>JDJ 303</t>
  </si>
  <si>
    <t>JDJ 301</t>
  </si>
  <si>
    <t>CESAR HERNANDEZ</t>
  </si>
  <si>
    <t>82-BM7W</t>
  </si>
  <si>
    <t>BERNARDO PERA</t>
  </si>
  <si>
    <t>33+985.00</t>
  </si>
  <si>
    <t>33+935.00</t>
  </si>
  <si>
    <t>HC-1139-G</t>
  </si>
  <si>
    <t>VICTOR DE LEON</t>
  </si>
  <si>
    <t>43-BDGE</t>
  </si>
  <si>
    <t>LH-16-062</t>
  </si>
  <si>
    <t>33+900.00</t>
  </si>
  <si>
    <t>33+860.00</t>
  </si>
  <si>
    <t>CARRIL DE ALTA</t>
  </si>
  <si>
    <t>FERNANDO PERA</t>
  </si>
  <si>
    <t>33+740.00</t>
  </si>
  <si>
    <t>33+700.00</t>
  </si>
  <si>
    <t>19-A5-5A</t>
  </si>
  <si>
    <t>ALEJANDRO GUTIERREZ</t>
  </si>
  <si>
    <t>HC-4281-3</t>
  </si>
  <si>
    <t>33+660.00</t>
  </si>
  <si>
    <t>MARQUESA 4</t>
  </si>
  <si>
    <t>33+620.00</t>
  </si>
  <si>
    <t>H0-5744-O</t>
  </si>
  <si>
    <t>RAMIREZ HERNANDEZ</t>
  </si>
  <si>
    <t>94-AC5F</t>
  </si>
  <si>
    <t>33+580.00</t>
  </si>
  <si>
    <t>HC-4251-J</t>
  </si>
  <si>
    <t>33+630.00</t>
  </si>
  <si>
    <t>RETORNO CARRIL DE BAJA</t>
  </si>
  <si>
    <t>02-BG-7T</t>
  </si>
  <si>
    <t>33+785.00</t>
  </si>
  <si>
    <t>33+750.00</t>
  </si>
  <si>
    <t>94-9EW-7</t>
  </si>
  <si>
    <t>33+790.00</t>
  </si>
  <si>
    <t>33+755.00</t>
  </si>
  <si>
    <t>CARRIL DE BAJA</t>
  </si>
  <si>
    <t>33+540.00</t>
  </si>
  <si>
    <t>19-AK4L</t>
  </si>
  <si>
    <t>FELIPE MORENO</t>
  </si>
  <si>
    <t>33+600.00</t>
  </si>
  <si>
    <t>33+610.00</t>
  </si>
  <si>
    <t>BERBABE GUTIERREZ</t>
  </si>
  <si>
    <t>JULIO REZENDIS</t>
  </si>
  <si>
    <t>28-AC4M</t>
  </si>
  <si>
    <t>JUAN RAMIREZ</t>
  </si>
  <si>
    <t>LC-45753</t>
  </si>
  <si>
    <t>24-AM4U</t>
  </si>
  <si>
    <t>FERNANDO VILLA</t>
  </si>
  <si>
    <t>33+520.00</t>
  </si>
  <si>
    <t>NV-17-287</t>
  </si>
  <si>
    <t>EDUARDO GONZALES</t>
  </si>
  <si>
    <t>33+485.00</t>
  </si>
  <si>
    <t>98-BH8P</t>
  </si>
  <si>
    <t>33+450.00</t>
  </si>
  <si>
    <t>11-9AJ3</t>
  </si>
  <si>
    <t>BERNABE CHAVEZ</t>
  </si>
  <si>
    <t>33+420.00</t>
  </si>
  <si>
    <t>33+380.00</t>
  </si>
  <si>
    <t>33+670.00</t>
  </si>
  <si>
    <t>33+635.00</t>
  </si>
  <si>
    <t>JDJ 221</t>
  </si>
  <si>
    <t>590-EB1</t>
  </si>
  <si>
    <t>33+590.00</t>
  </si>
  <si>
    <t>PEGASO PLANTA</t>
  </si>
  <si>
    <t>A-1225</t>
  </si>
  <si>
    <t>JDJ 222</t>
  </si>
  <si>
    <t>43-BD66</t>
  </si>
  <si>
    <t>33+550.00</t>
  </si>
  <si>
    <t>95-AX5D</t>
  </si>
  <si>
    <t>KM 34</t>
  </si>
  <si>
    <t>CENTRAL</t>
  </si>
  <si>
    <t>JDJ 223</t>
  </si>
  <si>
    <t>7GL-M70</t>
  </si>
  <si>
    <t>KEVIN EZEQUIEL</t>
  </si>
  <si>
    <t>33+510.00</t>
  </si>
  <si>
    <t>JDJ 224</t>
  </si>
  <si>
    <t>MY-7968-B</t>
  </si>
  <si>
    <t>119-K53</t>
  </si>
  <si>
    <t>33+470.00</t>
  </si>
  <si>
    <t>JDJ 225</t>
  </si>
  <si>
    <t>IVAN GUTIERREZ</t>
  </si>
  <si>
    <t>33+430.00</t>
  </si>
  <si>
    <t>120-AJ-3</t>
  </si>
  <si>
    <t>33+390.00</t>
  </si>
  <si>
    <t>33+340.00</t>
  </si>
  <si>
    <t>JDJ 228</t>
  </si>
  <si>
    <t>19-A55A</t>
  </si>
  <si>
    <t>33+305.00</t>
  </si>
  <si>
    <t>JDJ 229</t>
  </si>
  <si>
    <t>IG-0132-1</t>
  </si>
  <si>
    <t>300-DLA</t>
  </si>
  <si>
    <t>ADOLFO GUTIERREZ</t>
  </si>
  <si>
    <t>33+275.00</t>
  </si>
  <si>
    <t>JDJ 230</t>
  </si>
  <si>
    <t>14-PG5W</t>
  </si>
  <si>
    <t>SERGIO G.</t>
  </si>
  <si>
    <t>33+250.00</t>
  </si>
  <si>
    <t>LC-95753</t>
  </si>
  <si>
    <t>33+210.00</t>
  </si>
  <si>
    <t>33+175.00</t>
  </si>
  <si>
    <t>KV-3227-A</t>
  </si>
  <si>
    <t>MANUEL MUSILLO</t>
  </si>
  <si>
    <t>33+130.00</t>
  </si>
  <si>
    <t>HE-4251-J</t>
  </si>
  <si>
    <t>33+090.00</t>
  </si>
  <si>
    <t>MARQUESA 5</t>
  </si>
  <si>
    <t>33+385.00</t>
  </si>
  <si>
    <t>33+360.00</t>
  </si>
  <si>
    <t>33+320.00</t>
  </si>
  <si>
    <t>JDJ 266</t>
  </si>
  <si>
    <t xml:space="preserve">PEGASO PLANTA </t>
  </si>
  <si>
    <t>320-EY2</t>
  </si>
  <si>
    <t>33+285.00</t>
  </si>
  <si>
    <t>JDJ 257</t>
  </si>
  <si>
    <t>JDJ 262</t>
  </si>
  <si>
    <t>549-EU7</t>
  </si>
  <si>
    <t>33+215.00</t>
  </si>
  <si>
    <t>CAMION DE LIMPIEZA</t>
  </si>
  <si>
    <t>JDJ 263</t>
  </si>
  <si>
    <t>SE UTILIZO PARA LIMPIEZA O RETIRO DE ESCOMBRO</t>
  </si>
  <si>
    <t>33+190.00</t>
  </si>
  <si>
    <t>JDJ 261</t>
  </si>
  <si>
    <t>33+155.00</t>
  </si>
  <si>
    <t>BAJA Y ACOTAMIENTO</t>
  </si>
  <si>
    <t>33+120.00</t>
  </si>
  <si>
    <t>JDJ 259</t>
  </si>
  <si>
    <t>JDJ 258</t>
  </si>
  <si>
    <t>XXX</t>
  </si>
  <si>
    <t>SE ENVIO A PLANTA HUIXQUILUCAN</t>
  </si>
  <si>
    <t>82-PM-7W</t>
  </si>
  <si>
    <t>FERNAND0 PERA</t>
  </si>
  <si>
    <t>33+060.00</t>
  </si>
  <si>
    <t>JDJ 260</t>
  </si>
  <si>
    <t>14BGW</t>
  </si>
  <si>
    <t>22-BC-9R</t>
  </si>
  <si>
    <t>REY DAVID ESPINOZA</t>
  </si>
  <si>
    <t>24AM9V</t>
  </si>
  <si>
    <t>LUIS FERNANDO</t>
  </si>
  <si>
    <t>LD-58-235</t>
  </si>
  <si>
    <t>119AJ3</t>
  </si>
  <si>
    <t>33+105.00</t>
  </si>
  <si>
    <t>33+070.00</t>
  </si>
  <si>
    <t>NY-17-287</t>
  </si>
  <si>
    <t>33+0.40.00</t>
  </si>
  <si>
    <t>GT 294</t>
  </si>
  <si>
    <t>119-AJ-3</t>
  </si>
  <si>
    <t>VERNABE CHAVEZ</t>
  </si>
  <si>
    <t>33+040.00</t>
  </si>
  <si>
    <t>33+005.00</t>
  </si>
  <si>
    <t>VERNABE GUTIERREZ</t>
  </si>
  <si>
    <t>32+970.00</t>
  </si>
  <si>
    <t>TGL-M70</t>
  </si>
  <si>
    <t>GT 298</t>
  </si>
  <si>
    <t>32+940.00</t>
  </si>
  <si>
    <t>34+190.00</t>
  </si>
  <si>
    <t>GT 300</t>
  </si>
  <si>
    <t>949-EW-7</t>
  </si>
  <si>
    <t>32+930.00</t>
  </si>
  <si>
    <t>32+900.00</t>
  </si>
  <si>
    <t>34+245.00</t>
  </si>
  <si>
    <t>32+865.00</t>
  </si>
  <si>
    <t>32+830.00</t>
  </si>
  <si>
    <t>32+800.00</t>
  </si>
  <si>
    <t>32+750.00</t>
  </si>
  <si>
    <t>GT 309</t>
  </si>
  <si>
    <t>24-AM-9V</t>
  </si>
  <si>
    <t>32+710.00</t>
  </si>
  <si>
    <t>GT 308</t>
  </si>
  <si>
    <t>32+675.00</t>
  </si>
  <si>
    <t>GT 307</t>
  </si>
  <si>
    <t>300-OE-4</t>
  </si>
  <si>
    <t>32+635.00</t>
  </si>
  <si>
    <t>GT 306</t>
  </si>
  <si>
    <t>14-BG-5W</t>
  </si>
  <si>
    <t>32+600.00</t>
  </si>
  <si>
    <t>GT 301</t>
  </si>
  <si>
    <t>LE-45-753</t>
  </si>
  <si>
    <t>32+560.00</t>
  </si>
  <si>
    <t>GT 299</t>
  </si>
  <si>
    <t>33+030.00</t>
  </si>
  <si>
    <t>GT 295</t>
  </si>
  <si>
    <t>32+990.00</t>
  </si>
  <si>
    <t>34+640.00</t>
  </si>
  <si>
    <t>34+600.00</t>
  </si>
  <si>
    <t>32+950.00</t>
  </si>
  <si>
    <t>487-AP2</t>
  </si>
  <si>
    <t>34+560.00</t>
  </si>
  <si>
    <t>32+910.00</t>
  </si>
  <si>
    <t>34+515.00</t>
  </si>
  <si>
    <t>32+855.00</t>
  </si>
  <si>
    <t>28-AC-4M</t>
  </si>
  <si>
    <t>34+475.00</t>
  </si>
  <si>
    <t>34+455.00</t>
  </si>
  <si>
    <t>32+790.00</t>
  </si>
  <si>
    <t>11-BL-2D</t>
  </si>
  <si>
    <t>34+410.00</t>
  </si>
  <si>
    <t>CESAR CARRUNO</t>
  </si>
  <si>
    <t>300-DC-4</t>
  </si>
  <si>
    <t>MAURICIO GUTI</t>
  </si>
  <si>
    <t>34+370.00</t>
  </si>
  <si>
    <t>34+330.00</t>
  </si>
  <si>
    <t>ARNILLO GUTIERREZ</t>
  </si>
  <si>
    <t>32+720.00</t>
  </si>
  <si>
    <t>G1-AR-2N</t>
  </si>
  <si>
    <t>REYNALDO A.</t>
  </si>
  <si>
    <t>LUIS GUTIERREZ</t>
  </si>
  <si>
    <t>32+690.00</t>
  </si>
  <si>
    <t>34+285.00</t>
  </si>
  <si>
    <t>HD-57-440</t>
  </si>
  <si>
    <t>82-BM-7W</t>
  </si>
  <si>
    <t>32+650.00</t>
  </si>
  <si>
    <t>98-BM-8P</t>
  </si>
  <si>
    <t>34+365.00</t>
  </si>
  <si>
    <t>73-16-1U</t>
  </si>
  <si>
    <t>JAIR ALMARIANA</t>
  </si>
  <si>
    <t>32+620.00</t>
  </si>
  <si>
    <t xml:space="preserve">RAMIRO HERNANDEZ </t>
  </si>
  <si>
    <t>43-BD-GE</t>
  </si>
  <si>
    <t>N5-1640-C</t>
  </si>
  <si>
    <t>32+580.00</t>
  </si>
  <si>
    <t>34+210.00</t>
  </si>
  <si>
    <t>34+180.00</t>
  </si>
  <si>
    <t>BERNARDO GUTIERREZ</t>
  </si>
  <si>
    <t>32+555.00</t>
  </si>
  <si>
    <t>34+260.00</t>
  </si>
  <si>
    <t>34+225.00</t>
  </si>
  <si>
    <t>114-AJ-3</t>
  </si>
  <si>
    <t>BERNARDO CHAVEZ</t>
  </si>
  <si>
    <t>32+520.00</t>
  </si>
  <si>
    <t>34+205.00</t>
  </si>
  <si>
    <t>34+165.00</t>
  </si>
  <si>
    <t xml:space="preserve">COSUM TOLUCA </t>
  </si>
  <si>
    <t>32+480.00</t>
  </si>
  <si>
    <t>MARQUESA 6</t>
  </si>
  <si>
    <t>34+175.00</t>
  </si>
  <si>
    <t>32+450.00</t>
  </si>
  <si>
    <t>GT 765</t>
  </si>
  <si>
    <t>N5-6614-D</t>
  </si>
  <si>
    <t>32+430.00</t>
  </si>
  <si>
    <t>GT 766</t>
  </si>
  <si>
    <t>32+400.00</t>
  </si>
  <si>
    <t>GT 767</t>
  </si>
  <si>
    <t>34+120.00</t>
  </si>
  <si>
    <t>34+085.00</t>
  </si>
  <si>
    <t>32+360.00</t>
  </si>
  <si>
    <t>34+050.00</t>
  </si>
  <si>
    <t>02-B6-7T</t>
  </si>
  <si>
    <t>32-CEYZ</t>
  </si>
  <si>
    <t>32+320.00</t>
  </si>
  <si>
    <t>ALESANDRO GUTIERREZ</t>
  </si>
  <si>
    <t>32+290.00</t>
  </si>
  <si>
    <t>33+960.00</t>
  </si>
  <si>
    <t>63-AZ6H</t>
  </si>
  <si>
    <t>MIGUEL VALDEZ</t>
  </si>
  <si>
    <t>32+250.00</t>
  </si>
  <si>
    <t>33+920.00</t>
  </si>
  <si>
    <t>24-AMQU</t>
  </si>
  <si>
    <t>34+160.00</t>
  </si>
  <si>
    <t>32+220.00</t>
  </si>
  <si>
    <t>32+230.00</t>
  </si>
  <si>
    <t>32+200.00</t>
  </si>
  <si>
    <t>34+100.00</t>
  </si>
  <si>
    <t>73-BG-1U</t>
  </si>
  <si>
    <t>YAIR ALCANTARA</t>
  </si>
  <si>
    <t>32+545.00</t>
  </si>
  <si>
    <t>34+030.00</t>
  </si>
  <si>
    <t>30-0DC4</t>
  </si>
  <si>
    <t>ARNULFO GUTIERREZ</t>
  </si>
  <si>
    <t>32+515.00</t>
  </si>
  <si>
    <t>34+070.00</t>
  </si>
  <si>
    <t>CUAJIMALPA 3</t>
  </si>
  <si>
    <t>KW-5560-A</t>
  </si>
  <si>
    <t>VICTOR GUTIERREZ</t>
  </si>
  <si>
    <t>32+420.00</t>
  </si>
  <si>
    <t>CORTE 18/07/2026</t>
  </si>
  <si>
    <t>ACOTAMIENTO</t>
  </si>
  <si>
    <t>34+125.00</t>
  </si>
  <si>
    <t>944-EW-7</t>
  </si>
  <si>
    <t>32+390.00</t>
  </si>
  <si>
    <t>34+095.00</t>
  </si>
  <si>
    <t>32+355.00</t>
  </si>
  <si>
    <t>34+060.00</t>
  </si>
  <si>
    <t>32+325.00</t>
  </si>
  <si>
    <t>34+025.00</t>
  </si>
  <si>
    <t>590-EV-1</t>
  </si>
  <si>
    <t>33+990.00</t>
  </si>
  <si>
    <t>32+260.00</t>
  </si>
  <si>
    <t>ISMAEL GUTIERREZ</t>
  </si>
  <si>
    <t>33+955.00</t>
  </si>
  <si>
    <t>19-15-5A</t>
  </si>
  <si>
    <t>JUAN MULATO</t>
  </si>
  <si>
    <t>32+190.00</t>
  </si>
  <si>
    <t>32+160.00</t>
  </si>
  <si>
    <t>32+130.00</t>
  </si>
  <si>
    <t>62-AR-2N</t>
  </si>
  <si>
    <t>32+100.00</t>
  </si>
  <si>
    <t>32+050.00</t>
  </si>
  <si>
    <t>34+075.00</t>
  </si>
  <si>
    <t>32+020.00</t>
  </si>
  <si>
    <t>29</t>
  </si>
  <si>
    <t>58</t>
  </si>
  <si>
    <t>731</t>
  </si>
  <si>
    <t>17/07/2026</t>
  </si>
  <si>
    <t>1</t>
  </si>
  <si>
    <t>14</t>
  </si>
  <si>
    <t>32+010.00</t>
  </si>
  <si>
    <t> $ 5,900.00 </t>
  </si>
  <si>
    <t>31+980.00</t>
  </si>
  <si>
    <t>31+950.00</t>
  </si>
  <si>
    <t>34+135.00</t>
  </si>
  <si>
    <t>34+090.00</t>
  </si>
  <si>
    <t>31+920.00</t>
  </si>
  <si>
    <t>KT-2277-A</t>
  </si>
  <si>
    <t>ANTONIO MUSIÑO</t>
  </si>
  <si>
    <t>31+890.00</t>
  </si>
  <si>
    <t>31+870.00</t>
  </si>
  <si>
    <t>34+055.00</t>
  </si>
  <si>
    <t>31+830.00</t>
  </si>
  <si>
    <t>31+800.00</t>
  </si>
  <si>
    <t>31+600.00</t>
  </si>
  <si>
    <t>31+570.00</t>
  </si>
  <si>
    <t>61-AE-2N</t>
  </si>
  <si>
    <t>LUIS AXEL</t>
  </si>
  <si>
    <t>31+530.00</t>
  </si>
  <si>
    <t>31+495.00</t>
  </si>
  <si>
    <t>34+015.00</t>
  </si>
  <si>
    <t>31+460.00</t>
  </si>
  <si>
    <t>31+430.00</t>
  </si>
  <si>
    <t>33+975.00</t>
  </si>
  <si>
    <t>31+400.00</t>
  </si>
  <si>
    <t>32+180.00</t>
  </si>
  <si>
    <t>32+150.00</t>
  </si>
  <si>
    <t>59-CEU-1</t>
  </si>
  <si>
    <t>32+120.00</t>
  </si>
  <si>
    <t>32+080.00</t>
  </si>
  <si>
    <t>32+040.00</t>
  </si>
  <si>
    <t>590-EVL</t>
  </si>
  <si>
    <t>31+970.00</t>
  </si>
  <si>
    <t>31+930.00</t>
  </si>
  <si>
    <t>33+930.00</t>
  </si>
  <si>
    <t>31+860.00</t>
  </si>
  <si>
    <t>31+820.00</t>
  </si>
  <si>
    <t>31+575.00</t>
  </si>
  <si>
    <t>31+490.00</t>
  </si>
  <si>
    <t>31+455.00</t>
  </si>
  <si>
    <t>31+410.00</t>
  </si>
  <si>
    <t>31+375.00</t>
  </si>
  <si>
    <t>53-BP6J</t>
  </si>
  <si>
    <t>31+340.00</t>
  </si>
  <si>
    <t>31+300.00</t>
  </si>
  <si>
    <t>31+275.00</t>
  </si>
  <si>
    <t>31+240.00</t>
  </si>
  <si>
    <t>31+210.00</t>
  </si>
  <si>
    <t>31+180.00</t>
  </si>
  <si>
    <t>320-EY-2</t>
  </si>
  <si>
    <t>31+150.00</t>
  </si>
  <si>
    <t>31+120.00</t>
  </si>
  <si>
    <t>31+090.00</t>
  </si>
  <si>
    <t>31+060.00</t>
  </si>
  <si>
    <t>31+020.00</t>
  </si>
  <si>
    <t>30+990.00</t>
  </si>
  <si>
    <t>30+950.00</t>
  </si>
  <si>
    <t>31+370.00</t>
  </si>
  <si>
    <t>94-HC-5F</t>
  </si>
  <si>
    <t>31+330.00</t>
  </si>
  <si>
    <t>31+285.00</t>
  </si>
  <si>
    <t>31+250.00</t>
  </si>
  <si>
    <t>H9-AJ3</t>
  </si>
  <si>
    <t>31+170.00</t>
  </si>
  <si>
    <t>31+135.00</t>
  </si>
  <si>
    <t>31+105.00</t>
  </si>
  <si>
    <t>33+820.00</t>
  </si>
  <si>
    <t>31+075.00</t>
  </si>
  <si>
    <t>31+040.00</t>
  </si>
  <si>
    <t>31+000.00</t>
  </si>
  <si>
    <t>30+915.00</t>
  </si>
  <si>
    <t>30+900.00</t>
  </si>
  <si>
    <t>30+920.00</t>
  </si>
  <si>
    <t>30+880.00</t>
  </si>
  <si>
    <t>33+780.00</t>
  </si>
  <si>
    <t>22-PG7T</t>
  </si>
  <si>
    <t>CESAR GUTIEEREZ</t>
  </si>
  <si>
    <t>30+855.00</t>
  </si>
  <si>
    <t>30+828.00</t>
  </si>
  <si>
    <t>30+825.00</t>
  </si>
  <si>
    <t>30+790.00</t>
  </si>
  <si>
    <t>30+760.00</t>
  </si>
  <si>
    <t>30+730.00</t>
  </si>
  <si>
    <t>30+700.00</t>
  </si>
  <si>
    <t>949-LV7</t>
  </si>
  <si>
    <t>30+670.00</t>
  </si>
  <si>
    <t xml:space="preserve">JUAN MANUEL </t>
  </si>
  <si>
    <t>30+640.00</t>
  </si>
  <si>
    <t>ALFREDO MUSIÑO</t>
  </si>
  <si>
    <t>30+610.00</t>
  </si>
  <si>
    <t>30+590.00</t>
  </si>
  <si>
    <t>30+550.00</t>
  </si>
  <si>
    <t>30+520.00</t>
  </si>
  <si>
    <t>30+490.00</t>
  </si>
  <si>
    <t>TOTAL =</t>
  </si>
  <si>
    <t>33+925.00</t>
  </si>
  <si>
    <t>540-EB1</t>
  </si>
  <si>
    <t>33+870.00</t>
  </si>
  <si>
    <t>94-AC-5F</t>
  </si>
  <si>
    <t>33+710.00</t>
  </si>
  <si>
    <t>33+680.00</t>
  </si>
  <si>
    <t>33+915.00</t>
  </si>
  <si>
    <t>33+875.00</t>
  </si>
  <si>
    <t>CESAR GRANADAS</t>
  </si>
  <si>
    <t>33+830.00</t>
  </si>
  <si>
    <t>33+885.00</t>
  </si>
  <si>
    <t>33+845.00</t>
  </si>
  <si>
    <t>590-EIB</t>
  </si>
  <si>
    <t>33+715.00</t>
  </si>
  <si>
    <t>33+805.00</t>
  </si>
  <si>
    <t>33+760.00</t>
  </si>
  <si>
    <t>33+640</t>
  </si>
  <si>
    <t>CESAR MONTEYA</t>
  </si>
  <si>
    <t>LG-01-321</t>
  </si>
  <si>
    <t>NB-1258-D</t>
  </si>
  <si>
    <t>SANTOS SANTERO</t>
  </si>
  <si>
    <t>412-AT-3</t>
  </si>
  <si>
    <t>JUAN GONZALES</t>
  </si>
  <si>
    <t>RAMIRO HERNANDEZ D.</t>
  </si>
  <si>
    <t xml:space="preserve">PENDIENTE </t>
  </si>
  <si>
    <t>CORTE 25/07/2026</t>
  </si>
  <si>
    <t>CORTE 01/08/2026</t>
  </si>
  <si>
    <t>949EW7</t>
  </si>
  <si>
    <t>30+850.00</t>
  </si>
  <si>
    <t>300-DF-4</t>
  </si>
  <si>
    <t>ARNULFO</t>
  </si>
  <si>
    <t>30+810.00</t>
  </si>
  <si>
    <t>590-EB-1</t>
  </si>
  <si>
    <t>30+780.00</t>
  </si>
  <si>
    <t>080-AE-4</t>
  </si>
  <si>
    <t>MISAEL VALERA</t>
  </si>
  <si>
    <t>30+740.00</t>
  </si>
  <si>
    <t>61-AR-2N</t>
  </si>
  <si>
    <t>11-BL-2N</t>
  </si>
  <si>
    <t>CARPETANO REYES</t>
  </si>
  <si>
    <t>30+650.00</t>
  </si>
  <si>
    <t>SIN ASFALTO FALLAS DE PLANTA, (CARRIL DE ALTA)</t>
  </si>
  <si>
    <t>KW-5500-A</t>
  </si>
  <si>
    <t>LUIS FELIPE</t>
  </si>
  <si>
    <t>30+570.00</t>
  </si>
  <si>
    <t>30+540.00</t>
  </si>
  <si>
    <t>30+500.00</t>
  </si>
  <si>
    <t>30+480.00</t>
  </si>
  <si>
    <t>30+280.00</t>
  </si>
  <si>
    <t>30+250.00</t>
  </si>
  <si>
    <t>30+210.00</t>
  </si>
  <si>
    <t>30+180.00</t>
  </si>
  <si>
    <t>29+800.00</t>
  </si>
  <si>
    <t>29+760.00</t>
  </si>
  <si>
    <t>29+720.00</t>
  </si>
  <si>
    <t>29+690.00</t>
  </si>
  <si>
    <t>29+750.00</t>
  </si>
  <si>
    <t>CARRIL CENTRAL</t>
  </si>
  <si>
    <t>29+700.00</t>
  </si>
  <si>
    <t>29+650.00</t>
  </si>
  <si>
    <t>29+620.00</t>
  </si>
  <si>
    <t>73-BG-1N</t>
  </si>
  <si>
    <t>29+590.00</t>
  </si>
  <si>
    <t>29+560.00</t>
  </si>
  <si>
    <t>29+530.00</t>
  </si>
  <si>
    <t>30+220.00</t>
  </si>
  <si>
    <t>30+190.00</t>
  </si>
  <si>
    <t>30+160.00</t>
  </si>
  <si>
    <t>3+160.00</t>
  </si>
  <si>
    <t>30+130.00</t>
  </si>
  <si>
    <t>30+090.00</t>
  </si>
  <si>
    <t>30+050.00</t>
  </si>
  <si>
    <t>30+020.00</t>
  </si>
  <si>
    <t>29+990.00</t>
  </si>
  <si>
    <t>590-LD1</t>
  </si>
  <si>
    <t>29+960.00</t>
  </si>
  <si>
    <t>94-BM8P</t>
  </si>
  <si>
    <t>29+930.00</t>
  </si>
  <si>
    <t>7B-BG1U</t>
  </si>
  <si>
    <t>29+890.00</t>
  </si>
  <si>
    <t>29+860.00</t>
  </si>
  <si>
    <t>N32-27A</t>
  </si>
  <si>
    <t>ALEJANDRO JELLES</t>
  </si>
  <si>
    <t>29+830.00</t>
  </si>
  <si>
    <t>29+660.00</t>
  </si>
  <si>
    <t>CARRIL LATERAL</t>
  </si>
  <si>
    <t>CESAR RESENDIZ</t>
  </si>
  <si>
    <t>29+740.00</t>
  </si>
  <si>
    <t>29+780.00</t>
  </si>
  <si>
    <t>29+820.00</t>
  </si>
  <si>
    <t>29+810.00</t>
  </si>
  <si>
    <t>SERGIO GALAN</t>
  </si>
  <si>
    <t>29+540.00</t>
  </si>
  <si>
    <t>29+515.00</t>
  </si>
  <si>
    <t>GZ6-138-G</t>
  </si>
  <si>
    <t>HIRAVIO GUTIERREZ</t>
  </si>
  <si>
    <t>29+480.00</t>
  </si>
  <si>
    <t>N5-3470-C</t>
  </si>
  <si>
    <t>DAVID EZEQUIEL</t>
  </si>
  <si>
    <t>29+450.00</t>
  </si>
  <si>
    <t>29+420.00</t>
  </si>
  <si>
    <t>01-AR2N</t>
  </si>
  <si>
    <t>29+390.00</t>
  </si>
  <si>
    <t>06-AC5V</t>
  </si>
  <si>
    <t>CASLON HERNANDEZ</t>
  </si>
  <si>
    <t>29+350.00</t>
  </si>
  <si>
    <t>949-GW7J</t>
  </si>
  <si>
    <t>29+335.00</t>
  </si>
  <si>
    <t>29+300.00</t>
  </si>
  <si>
    <t>30+170.00</t>
  </si>
  <si>
    <t>02-BG7D</t>
  </si>
  <si>
    <t>30+100.00</t>
  </si>
  <si>
    <t>30+070.00</t>
  </si>
  <si>
    <t>30+030.00</t>
  </si>
  <si>
    <t>19-AJ3</t>
  </si>
  <si>
    <t>30+000.00</t>
  </si>
  <si>
    <t>980-AL4</t>
  </si>
  <si>
    <t>MISAEL DAVELA</t>
  </si>
  <si>
    <t>30.000.00</t>
  </si>
  <si>
    <t>29+950.00</t>
  </si>
  <si>
    <t>29+910.00</t>
  </si>
  <si>
    <t>29+880.00</t>
  </si>
  <si>
    <t>29+845.00</t>
  </si>
  <si>
    <t>590-CB1</t>
  </si>
  <si>
    <t>29+715.00</t>
  </si>
  <si>
    <t>29+680.00</t>
  </si>
  <si>
    <t>29+640.00</t>
  </si>
  <si>
    <t>GASTON HERNANDEZ</t>
  </si>
  <si>
    <t>29+610.00</t>
  </si>
  <si>
    <t>23+480.00</t>
  </si>
  <si>
    <t>23+510.00</t>
  </si>
  <si>
    <t>75-BG1U</t>
  </si>
  <si>
    <t>23+550.00</t>
  </si>
  <si>
    <t>29+580.00</t>
  </si>
  <si>
    <t>29+500.00</t>
  </si>
  <si>
    <t>29+380.00</t>
  </si>
  <si>
    <t>29+340.00</t>
  </si>
  <si>
    <t>29+270.00</t>
  </si>
  <si>
    <t>29+240.00</t>
  </si>
  <si>
    <t>29+210.00</t>
  </si>
  <si>
    <t>29+180.00</t>
  </si>
  <si>
    <t>29+150.00</t>
  </si>
  <si>
    <t>29+100.00</t>
  </si>
  <si>
    <t>29+060.00</t>
  </si>
  <si>
    <t>29+280.00</t>
  </si>
  <si>
    <t>29+140.00</t>
  </si>
  <si>
    <t>29+095.00</t>
  </si>
  <si>
    <t>29+065.00</t>
  </si>
  <si>
    <t>19-BM-5N</t>
  </si>
  <si>
    <t>JUAN VENTUREL</t>
  </si>
  <si>
    <t>29+020.00</t>
  </si>
  <si>
    <t>28+990.00</t>
  </si>
  <si>
    <t>28+960.00</t>
  </si>
  <si>
    <t>28+930.00</t>
  </si>
  <si>
    <t>28+890.00</t>
  </si>
  <si>
    <t>28+860.00</t>
  </si>
  <si>
    <t>28+820.00</t>
  </si>
  <si>
    <t>28+780.00</t>
  </si>
  <si>
    <t>28+750.00</t>
  </si>
  <si>
    <t>28+720.00</t>
  </si>
  <si>
    <t>28+690.00</t>
  </si>
  <si>
    <t>28+660.00</t>
  </si>
  <si>
    <t>28+630.00</t>
  </si>
  <si>
    <t>28+600.00</t>
  </si>
  <si>
    <t>28+570.00</t>
  </si>
  <si>
    <t>28+520.00</t>
  </si>
  <si>
    <t>29+080.00</t>
  </si>
  <si>
    <t>29+040.00</t>
  </si>
  <si>
    <t>29+000.00</t>
  </si>
  <si>
    <t>VICTOR GULARES</t>
  </si>
  <si>
    <t>28+970.00</t>
  </si>
  <si>
    <t>B2-BM7W</t>
  </si>
  <si>
    <t>28+830.00</t>
  </si>
  <si>
    <t>28+790.00</t>
  </si>
  <si>
    <t>28+760.00</t>
  </si>
  <si>
    <t>LF-41892</t>
  </si>
  <si>
    <t>LUCIO BUSTAMANTE</t>
  </si>
  <si>
    <t>28+730.00</t>
  </si>
  <si>
    <t>ALEJANDRO TORRES</t>
  </si>
  <si>
    <t>28+700.00</t>
  </si>
  <si>
    <t>73-B6-1U</t>
  </si>
  <si>
    <t>1N-AJ3</t>
  </si>
  <si>
    <t>28+560.00</t>
  </si>
  <si>
    <t>28+530.00</t>
  </si>
  <si>
    <t>28+500.00</t>
  </si>
  <si>
    <t>28+470.00</t>
  </si>
  <si>
    <t>28+440.00</t>
  </si>
  <si>
    <t>28+420.00</t>
  </si>
  <si>
    <t>949-LW7</t>
  </si>
  <si>
    <t>28+390.00</t>
  </si>
  <si>
    <t>28+360.00</t>
  </si>
  <si>
    <t>43-BP-3A</t>
  </si>
  <si>
    <t>IVAN MORALES</t>
  </si>
  <si>
    <t>28+330.00</t>
  </si>
  <si>
    <t>15-BG5W</t>
  </si>
  <si>
    <t>28+300.00</t>
  </si>
  <si>
    <t>28+260.00</t>
  </si>
  <si>
    <t>28+230.00</t>
  </si>
  <si>
    <t>28+200.00</t>
  </si>
  <si>
    <t>28+525.00</t>
  </si>
  <si>
    <t>28+495.00</t>
  </si>
  <si>
    <t>CESAR ROJAS</t>
  </si>
  <si>
    <t>28+460.00</t>
  </si>
  <si>
    <t>28+350.00</t>
  </si>
  <si>
    <t>28+310.00</t>
  </si>
  <si>
    <t>28+270.00</t>
  </si>
  <si>
    <t>28+240.00</t>
  </si>
  <si>
    <t>28+170.00</t>
  </si>
  <si>
    <t>28+140.00</t>
  </si>
  <si>
    <t>28+115.00</t>
  </si>
  <si>
    <t>28+075.00</t>
  </si>
  <si>
    <t>28+050.00</t>
  </si>
  <si>
    <t>EDUARDO GUZMAN</t>
  </si>
  <si>
    <t>28+015.00</t>
  </si>
  <si>
    <t>HECTOR LOPEZ</t>
  </si>
  <si>
    <t>SINDICATO COSUM</t>
  </si>
  <si>
    <t>HB-0596-J</t>
  </si>
  <si>
    <t>FRANCISCO ALBARRAN</t>
  </si>
  <si>
    <t>YAHIR ALCANTARA</t>
  </si>
  <si>
    <t>43-BD-6E</t>
  </si>
  <si>
    <t>540-EV-1</t>
  </si>
  <si>
    <t>AXEL GUTIERREZ</t>
  </si>
  <si>
    <t>HE-8029-G</t>
  </si>
  <si>
    <t>ALEJANDRO CAERO</t>
  </si>
  <si>
    <t>LD-57-526</t>
  </si>
  <si>
    <t>HF-8029-G</t>
  </si>
  <si>
    <t>ALEJANDRO CAVARO</t>
  </si>
  <si>
    <t>DERECHO/IZQUIERDO</t>
  </si>
  <si>
    <t>MARQUESA 7</t>
  </si>
  <si>
    <t>N5-3489-C</t>
  </si>
  <si>
    <t>ALEJANDRO NAVARRO</t>
  </si>
  <si>
    <t>SUMINISTRO DE AGUA PARA PERFILADORA Y COMPACTADORES</t>
  </si>
  <si>
    <t>AC-1139-G</t>
  </si>
  <si>
    <t>ALEJANDRO BARIADO</t>
  </si>
  <si>
    <t>HG-5430-G</t>
  </si>
  <si>
    <t>ALEJANDRO HERNANDEZ</t>
  </si>
  <si>
    <t>30</t>
  </si>
  <si>
    <t>146</t>
  </si>
  <si>
    <t>1896</t>
  </si>
  <si>
    <t>25/07/2026</t>
  </si>
  <si>
    <t>0</t>
  </si>
  <si>
    <t> $ 4,500.00 </t>
  </si>
  <si>
    <t>HF-50-814</t>
  </si>
  <si>
    <t>JESUS GONZALES</t>
  </si>
  <si>
    <t>PENDIENTE</t>
  </si>
  <si>
    <t>MARQUESA 8</t>
  </si>
  <si>
    <t>NK-8781-C</t>
  </si>
  <si>
    <t>ARTURO DE LEON</t>
  </si>
  <si>
    <t>14-BG-5M</t>
  </si>
  <si>
    <t>590-EY-1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</si>
</sst>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* #,##0.00_-;_-&quot;$&quot;* \-#,##0.00_-;_-&quot;$&quot;* &quot;-&quot;??_-;_-@"/>
    <numFmt numFmtId="165" formatCode="_-&quot;$&quot;* #,##0.00_-;\-&quot;$&quot;* #,##0.00_-;_-&quot;$&quot;* &quot;-&quot;??_-;_-@"/>
    <numFmt numFmtId="166" formatCode="&quot;$&quot;#,##0.00"/>
    <numFmt numFmtId="167" formatCode="##0\+000.00"/>
    <numFmt numFmtId="168" formatCode="dd/mm/yyyy"/>
  </numFmts>
  <fonts count="21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sz val="8.0"/>
      <color theme="1"/>
      <name val="Calibri"/>
    </font>
    <font>
      <sz val="11.0"/>
      <color rgb="FFFF00FF"/>
      <name val="Calibri"/>
    </font>
    <font>
      <sz val="11.0"/>
      <color rgb="FF000000"/>
      <name val="Calibri"/>
    </font>
    <font>
      <sz val="16.0"/>
      <color rgb="FF000000"/>
      <name val="Aptos Narrow"/>
    </font>
    <font>
      <sz val="16.0"/>
      <color theme="1"/>
      <name val="Calibri"/>
    </font>
    <font>
      <color rgb="FF000000"/>
      <name val="Calibri"/>
    </font>
    <font>
      <color theme="1"/>
      <name val="Calibri"/>
    </font>
    <font>
      <sz val="8.0"/>
      <color rgb="FF000000"/>
      <name val="Calibri"/>
    </font>
    <font>
      <color rgb="FFFF0000"/>
      <name val="Calibri"/>
      <scheme val="minor"/>
    </font>
    <font>
      <sz val="10.0"/>
      <color theme="1"/>
      <name val="Calibri"/>
    </font>
    <font>
      <sz val="10.0"/>
      <color rgb="FFFF0000"/>
      <name val="Calibri"/>
    </font>
    <font>
      <sz val="8.0"/>
      <color theme="1"/>
      <name val="Arial"/>
    </font>
    <font>
      <sz val="8.0"/>
      <color rgb="FFFF0000"/>
      <name val="Calibri"/>
    </font>
    <font>
      <color rgb="FFFF0000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7F7F7F"/>
        <bgColor rgb="FF7F7F7F"/>
      </patternFill>
    </fill>
    <fill>
      <patternFill patternType="solid">
        <fgColor rgb="FFB7B7B7"/>
        <bgColor rgb="FFB7B7B7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top style="thin">
        <color rgb="FFFF6600"/>
      </top>
      <bottom style="thin">
        <color rgb="FFFF66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vertical="center"/>
    </xf>
    <xf borderId="0" fillId="2" fontId="1" numFmtId="165" xfId="0" applyAlignment="1" applyFont="1" applyNumberFormat="1">
      <alignment horizontal="center" shrinkToFit="0" vertical="center" wrapText="1"/>
    </xf>
    <xf borderId="0" fillId="2" fontId="1" numFmtId="166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4" fontId="4" numFmtId="0" xfId="0" applyAlignment="1" applyFont="1">
      <alignment horizontal="center"/>
    </xf>
    <xf borderId="0" fillId="4" fontId="4" numFmtId="14" xfId="0" applyAlignment="1" applyFont="1" applyNumberFormat="1">
      <alignment horizontal="center"/>
    </xf>
    <xf borderId="0" fillId="4" fontId="5" numFmtId="0" xfId="0" applyAlignment="1" applyFont="1">
      <alignment horizontal="center"/>
    </xf>
    <xf borderId="0" fillId="4" fontId="5" numFmtId="0" xfId="0" applyAlignment="1" applyFont="1">
      <alignment horizontal="center" readingOrder="0"/>
    </xf>
    <xf borderId="1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4" fontId="4" numFmtId="165" xfId="0" applyAlignment="1" applyBorder="1" applyFont="1" applyNumberFormat="1">
      <alignment horizontal="center"/>
    </xf>
    <xf borderId="0" fillId="4" fontId="4" numFmtId="165" xfId="0" applyAlignment="1" applyFont="1" applyNumberFormat="1">
      <alignment horizontal="center"/>
    </xf>
    <xf borderId="0" fillId="4" fontId="4" numFmtId="164" xfId="0" applyAlignment="1" applyFont="1" applyNumberFormat="1">
      <alignment horizontal="center" vertical="center"/>
    </xf>
    <xf borderId="0" fillId="4" fontId="4" numFmtId="165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4" fontId="5" numFmtId="0" xfId="0" applyAlignment="1" applyFont="1">
      <alignment readingOrder="0"/>
    </xf>
    <xf borderId="0" fillId="0" fontId="5" numFmtId="0" xfId="0" applyFont="1"/>
    <xf borderId="0" fillId="6" fontId="5" numFmtId="0" xfId="0" applyFill="1" applyFont="1"/>
    <xf borderId="1" fillId="5" fontId="4" numFmtId="0" xfId="0" applyAlignment="1" applyBorder="1" applyFont="1">
      <alignment horizontal="center"/>
    </xf>
    <xf borderId="0" fillId="6" fontId="5" numFmtId="165" xfId="0" applyFont="1" applyNumberFormat="1"/>
    <xf borderId="0" fillId="0" fontId="5" numFmtId="165" xfId="0" applyFont="1" applyNumberFormat="1"/>
    <xf borderId="0" fillId="4" fontId="4" numFmtId="14" xfId="0" applyAlignment="1" applyFont="1" applyNumberFormat="1">
      <alignment horizontal="center" vertical="center"/>
    </xf>
    <xf borderId="0" fillId="5" fontId="5" numFmtId="0" xfId="0" applyFont="1"/>
    <xf borderId="0" fillId="5" fontId="5" numFmtId="165" xfId="0" applyFont="1" applyNumberFormat="1"/>
    <xf borderId="0" fillId="5" fontId="5" numFmtId="166" xfId="0" applyFont="1" applyNumberFormat="1"/>
    <xf borderId="0" fillId="0" fontId="5" numFmtId="166" xfId="0" applyFont="1" applyNumberFormat="1"/>
    <xf borderId="1" fillId="5" fontId="4" numFmtId="0" xfId="0" applyBorder="1" applyFont="1"/>
    <xf borderId="0" fillId="0" fontId="5" numFmtId="0" xfId="0" applyAlignment="1" applyFont="1">
      <alignment horizontal="center" readingOrder="0"/>
    </xf>
    <xf borderId="0" fillId="4" fontId="4" numFmtId="14" xfId="0" applyFont="1" applyNumberFormat="1"/>
    <xf borderId="0" fillId="4" fontId="5" numFmtId="0" xfId="0" applyFont="1"/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/>
    </xf>
    <xf borderId="0" fillId="4" fontId="4" numFmtId="14" xfId="0" applyAlignment="1" applyFont="1" applyNumberFormat="1">
      <alignment horizontal="center" readingOrder="0"/>
    </xf>
    <xf borderId="1" fillId="4" fontId="4" numFmtId="165" xfId="0" applyAlignment="1" applyBorder="1" applyFont="1" applyNumberFormat="1">
      <alignment horizontal="center" readingOrder="0"/>
    </xf>
    <xf borderId="0" fillId="0" fontId="4" numFmtId="0" xfId="0" applyFont="1"/>
    <xf borderId="0" fillId="7" fontId="4" numFmtId="0" xfId="0" applyAlignment="1" applyFill="1" applyFont="1">
      <alignment horizontal="center"/>
    </xf>
    <xf borderId="0" fillId="7" fontId="4" numFmtId="14" xfId="0" applyAlignment="1" applyFont="1" applyNumberFormat="1">
      <alignment horizontal="center"/>
    </xf>
    <xf borderId="0" fillId="4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vertical="center"/>
    </xf>
    <xf borderId="0" fillId="4" fontId="4" numFmtId="0" xfId="0" applyAlignment="1" applyFont="1">
      <alignment horizontal="center" vertical="bottom"/>
    </xf>
    <xf borderId="0" fillId="8" fontId="4" numFmtId="0" xfId="0" applyAlignment="1" applyFill="1" applyFont="1">
      <alignment horizontal="center" vertical="center"/>
    </xf>
    <xf borderId="0" fillId="8" fontId="4" numFmtId="0" xfId="0" applyAlignment="1" applyFont="1">
      <alignment horizontal="center"/>
    </xf>
    <xf borderId="0" fillId="8" fontId="4" numFmtId="14" xfId="0" applyAlignment="1" applyFont="1" applyNumberFormat="1">
      <alignment horizontal="center"/>
    </xf>
    <xf borderId="0" fillId="8" fontId="5" numFmtId="0" xfId="0" applyAlignment="1" applyFont="1">
      <alignment readingOrder="0"/>
    </xf>
    <xf borderId="0" fillId="8" fontId="6" numFmtId="165" xfId="0" applyAlignment="1" applyFont="1" applyNumberFormat="1">
      <alignment horizontal="center"/>
    </xf>
    <xf borderId="0" fillId="8" fontId="4" numFmtId="165" xfId="0" applyAlignment="1" applyFont="1" applyNumberFormat="1">
      <alignment horizontal="center"/>
    </xf>
    <xf borderId="0" fillId="8" fontId="4" numFmtId="165" xfId="0" applyAlignment="1" applyFont="1" applyNumberFormat="1">
      <alignment horizontal="center" readingOrder="0"/>
    </xf>
    <xf borderId="0" fillId="4" fontId="6" numFmtId="165" xfId="0" applyAlignment="1" applyFont="1" applyNumberFormat="1">
      <alignment horizontal="center"/>
    </xf>
    <xf borderId="0" fillId="4" fontId="4" numFmtId="165" xfId="0" applyAlignment="1" applyFont="1" applyNumberFormat="1">
      <alignment horizontal="center" readingOrder="0" vertical="center"/>
    </xf>
    <xf borderId="0" fillId="4" fontId="4" numFmtId="167" xfId="0" applyAlignment="1" applyFont="1" applyNumberFormat="1">
      <alignment horizontal="center" readingOrder="0"/>
    </xf>
    <xf borderId="1" fillId="4" fontId="6" numFmtId="0" xfId="0" applyAlignment="1" applyBorder="1" applyFont="1">
      <alignment horizontal="center" vertical="center"/>
    </xf>
    <xf borderId="1" fillId="4" fontId="6" numFmtId="14" xfId="0" applyAlignment="1" applyBorder="1" applyFont="1" applyNumberFormat="1">
      <alignment horizontal="center" vertical="center"/>
    </xf>
    <xf borderId="0" fillId="4" fontId="6" numFmtId="0" xfId="0" applyAlignment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4" fontId="6" numFmtId="165" xfId="0" applyAlignment="1" applyBorder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 readingOrder="0" vertical="center"/>
    </xf>
    <xf borderId="1" fillId="9" fontId="6" numFmtId="0" xfId="0" applyBorder="1" applyFill="1" applyFont="1"/>
    <xf borderId="0" fillId="4" fontId="4" numFmtId="2" xfId="0" applyAlignment="1" applyFont="1" applyNumberFormat="1">
      <alignment horizontal="center" vertical="center"/>
    </xf>
    <xf borderId="0" fillId="4" fontId="4" numFmtId="167" xfId="0" applyAlignment="1" applyFont="1" applyNumberFormat="1">
      <alignment horizontal="center"/>
    </xf>
    <xf borderId="0" fillId="4" fontId="7" numFmtId="0" xfId="0" applyAlignment="1" applyFont="1">
      <alignment horizontal="center"/>
    </xf>
    <xf borderId="2" fillId="4" fontId="4" numFmtId="167" xfId="0" applyAlignment="1" applyBorder="1" applyFont="1" applyNumberFormat="1">
      <alignment horizontal="center" vertical="center"/>
    </xf>
    <xf borderId="0" fillId="4" fontId="4" numFmtId="167" xfId="0" applyAlignment="1" applyFont="1" applyNumberFormat="1">
      <alignment horizontal="center" vertical="center"/>
    </xf>
    <xf borderId="0" fillId="4" fontId="4" numFmtId="164" xfId="0" applyAlignment="1" applyFont="1" applyNumberFormat="1">
      <alignment horizontal="center" readingOrder="0" vertical="center"/>
    </xf>
    <xf borderId="0" fillId="4" fontId="4" numFmtId="3" xfId="0" applyAlignment="1" applyFont="1" applyNumberFormat="1">
      <alignment horizontal="center"/>
    </xf>
    <xf borderId="0" fillId="10" fontId="4" numFmtId="0" xfId="0" applyAlignment="1" applyFill="1" applyFont="1">
      <alignment horizontal="center" vertical="center"/>
    </xf>
    <xf borderId="0" fillId="10" fontId="4" numFmtId="0" xfId="0" applyAlignment="1" applyFont="1">
      <alignment horizontal="center" readingOrder="0"/>
    </xf>
    <xf borderId="0" fillId="10" fontId="4" numFmtId="14" xfId="0" applyAlignment="1" applyFont="1" applyNumberFormat="1">
      <alignment horizontal="center" readingOrder="0"/>
    </xf>
    <xf borderId="0" fillId="10" fontId="4" numFmtId="0" xfId="0" applyAlignment="1" applyFont="1">
      <alignment horizontal="center"/>
    </xf>
    <xf borderId="0" fillId="10" fontId="4" numFmtId="167" xfId="0" applyAlignment="1" applyFont="1" applyNumberFormat="1">
      <alignment horizontal="center"/>
    </xf>
    <xf borderId="0" fillId="10" fontId="4" numFmtId="165" xfId="0" applyAlignment="1" applyFont="1" applyNumberFormat="1">
      <alignment horizontal="center" readingOrder="0"/>
    </xf>
    <xf borderId="0" fillId="10" fontId="4" numFmtId="165" xfId="0" applyAlignment="1" applyFont="1" applyNumberFormat="1">
      <alignment horizontal="center"/>
    </xf>
    <xf borderId="0" fillId="10" fontId="4" numFmtId="165" xfId="0" applyAlignment="1" applyFont="1" applyNumberFormat="1">
      <alignment horizontal="center" readingOrder="0" vertical="center"/>
    </xf>
    <xf borderId="0" fillId="10" fontId="5" numFmtId="0" xfId="0" applyFont="1"/>
    <xf borderId="0" fillId="11" fontId="4" numFmtId="0" xfId="0" applyAlignment="1" applyFill="1" applyFont="1">
      <alignment horizontal="center"/>
    </xf>
    <xf borderId="0" fillId="11" fontId="4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0" fillId="4" fontId="6" numFmtId="14" xfId="0" applyFont="1" applyNumberFormat="1"/>
    <xf borderId="0" fillId="4" fontId="6" numFmtId="165" xfId="0" applyAlignment="1" applyFont="1" applyNumberFormat="1">
      <alignment horizontal="center" vertical="center"/>
    </xf>
    <xf borderId="1" fillId="5" fontId="6" numFmtId="0" xfId="0" applyBorder="1" applyFont="1"/>
    <xf borderId="0" fillId="0" fontId="6" numFmtId="0" xfId="0" applyFont="1"/>
    <xf borderId="0" fillId="7" fontId="4" numFmtId="0" xfId="0" applyAlignment="1" applyFont="1">
      <alignment horizontal="center" readingOrder="0"/>
    </xf>
    <xf borderId="0" fillId="4" fontId="8" numFmtId="0" xfId="0" applyAlignment="1" applyFont="1">
      <alignment horizontal="center"/>
    </xf>
    <xf borderId="0" fillId="7" fontId="4" numFmtId="14" xfId="0" applyAlignment="1" applyFont="1" applyNumberFormat="1">
      <alignment horizontal="center" readingOrder="0"/>
    </xf>
    <xf borderId="0" fillId="4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11" fontId="9" numFmtId="0" xfId="0" applyAlignment="1" applyFont="1">
      <alignment horizontal="center" readingOrder="0" shrinkToFit="0" vertical="bottom" wrapText="0"/>
    </xf>
    <xf borderId="0" fillId="4" fontId="9" numFmtId="14" xfId="0" applyAlignment="1" applyFont="1" applyNumberFormat="1">
      <alignment horizontal="center" readingOrder="0" shrinkToFit="0" vertical="bottom" wrapText="0"/>
    </xf>
    <xf borderId="0" fillId="4" fontId="9" numFmtId="0" xfId="0" applyAlignment="1" applyFont="1">
      <alignment horizontal="center" readingOrder="0" shrinkToFit="0" vertical="bottom" wrapText="0"/>
    </xf>
    <xf borderId="0" fillId="4" fontId="9" numFmtId="0" xfId="0" applyAlignment="1" applyFont="1">
      <alignment horizontal="center" readingOrder="0" shrinkToFit="0" wrapText="0"/>
    </xf>
    <xf borderId="0" fillId="4" fontId="9" numFmtId="0" xfId="0" applyAlignment="1" applyFont="1">
      <alignment horizontal="center" shrinkToFit="0" vertical="bottom" wrapText="0"/>
    </xf>
    <xf borderId="0" fillId="4" fontId="4" numFmtId="167" xfId="0" applyAlignment="1" applyFont="1" applyNumberFormat="1">
      <alignment horizontal="center" readingOrder="0" shrinkToFit="0" wrapText="0"/>
    </xf>
    <xf borderId="0" fillId="4" fontId="9" numFmtId="167" xfId="0" applyAlignment="1" applyFont="1" applyNumberFormat="1">
      <alignment horizontal="center" readingOrder="0" shrinkToFit="0" vertical="bottom" wrapText="0"/>
    </xf>
    <xf borderId="0" fillId="4" fontId="6" numFmtId="14" xfId="0" applyAlignment="1" applyFont="1" applyNumberFormat="1">
      <alignment horizontal="center" vertical="center"/>
    </xf>
    <xf borderId="0" fillId="4" fontId="9" numFmtId="167" xfId="0" applyAlignment="1" applyFont="1" applyNumberFormat="1">
      <alignment horizontal="center" readingOrder="0" shrinkToFit="0" wrapText="0"/>
    </xf>
    <xf borderId="0" fillId="6" fontId="9" numFmtId="0" xfId="0" applyAlignment="1" applyFont="1">
      <alignment horizontal="center" readingOrder="0" shrinkToFit="0" vertical="bottom" wrapText="0"/>
    </xf>
    <xf borderId="0" fillId="4" fontId="9" numFmtId="168" xfId="0" applyAlignment="1" applyFont="1" applyNumberFormat="1">
      <alignment horizontal="center" readingOrder="0" shrinkToFit="0" vertical="bottom" wrapText="0"/>
    </xf>
    <xf borderId="0" fillId="4" fontId="4" numFmtId="0" xfId="0" applyAlignment="1" applyFont="1">
      <alignment horizontal="center" readingOrder="0" shrinkToFit="0" wrapText="0"/>
    </xf>
    <xf borderId="0" fillId="4" fontId="10" numFmtId="0" xfId="0" applyAlignment="1" applyFont="1">
      <alignment horizontal="center"/>
    </xf>
    <xf borderId="0" fillId="0" fontId="11" numFmtId="0" xfId="0" applyFont="1"/>
    <xf borderId="0" fillId="4" fontId="10" numFmtId="0" xfId="0" applyAlignment="1" applyFont="1">
      <alignment horizontal="center"/>
    </xf>
    <xf borderId="0" fillId="4" fontId="4" numFmtId="14" xfId="0" applyAlignment="1" applyFont="1" applyNumberFormat="1">
      <alignment horizontal="center" readingOrder="0" vertical="center"/>
    </xf>
    <xf borderId="0" fillId="7" fontId="4" numFmtId="165" xfId="0" applyAlignment="1" applyFont="1" applyNumberFormat="1">
      <alignment horizontal="center"/>
    </xf>
    <xf borderId="0" fillId="7" fontId="5" numFmtId="0" xfId="0" applyFont="1"/>
    <xf borderId="0" fillId="0" fontId="4" numFmtId="0" xfId="0" applyAlignment="1" applyFont="1">
      <alignment horizontal="center" readingOrder="0" vertical="center"/>
    </xf>
    <xf borderId="0" fillId="0" fontId="4" numFmtId="168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/>
    </xf>
    <xf borderId="0" fillId="7" fontId="4" numFmtId="0" xfId="0" applyAlignment="1" applyFont="1">
      <alignment horizontal="center" vertical="center"/>
    </xf>
    <xf borderId="0" fillId="7" fontId="4" numFmtId="14" xfId="0" applyAlignment="1" applyFont="1" applyNumberFormat="1">
      <alignment horizontal="center" vertical="center"/>
    </xf>
    <xf borderId="0" fillId="0" fontId="4" numFmtId="165" xfId="0" applyFont="1" applyNumberFormat="1"/>
    <xf borderId="0" fillId="0" fontId="5" numFmtId="168" xfId="0" applyAlignment="1" applyFont="1" applyNumberFormat="1">
      <alignment horizontal="center" readingOrder="0"/>
    </xf>
    <xf borderId="0" fillId="7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12" fontId="4" numFmtId="0" xfId="0" applyAlignment="1" applyFill="1" applyFont="1">
      <alignment horizontal="center" vertical="center"/>
    </xf>
    <xf borderId="0" fillId="4" fontId="9" numFmtId="165" xfId="0" applyAlignment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0" fillId="7" fontId="9" numFmtId="0" xfId="0" applyAlignment="1" applyFont="1">
      <alignment horizontal="center" readingOrder="0" shrinkToFit="0" vertical="bottom" wrapText="0"/>
    </xf>
    <xf borderId="0" fillId="7" fontId="9" numFmtId="14" xfId="0" applyAlignment="1" applyFont="1" applyNumberFormat="1">
      <alignment horizontal="center" readingOrder="0" shrinkToFit="0" vertical="bottom" wrapText="0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7" fontId="9" numFmtId="168" xfId="0" applyAlignment="1" applyFont="1" applyNumberFormat="1">
      <alignment horizontal="center" readingOrder="0" shrinkToFit="0" vertical="bottom" wrapText="0"/>
    </xf>
    <xf borderId="0" fillId="7" fontId="4" numFmtId="168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13" fontId="4" numFmtId="0" xfId="0" applyAlignment="1" applyFill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12" fontId="4" numFmtId="0" xfId="0" applyAlignment="1" applyFont="1">
      <alignment horizontal="center" readingOrder="0"/>
    </xf>
    <xf borderId="0" fillId="13" fontId="5" numFmtId="0" xfId="0" applyAlignment="1" applyFont="1">
      <alignment horizontal="center" readingOrder="0"/>
    </xf>
    <xf borderId="0" fillId="12" fontId="5" numFmtId="0" xfId="0" applyAlignment="1" applyFont="1">
      <alignment horizontal="center" readingOrder="0"/>
    </xf>
    <xf borderId="0" fillId="0" fontId="12" numFmtId="0" xfId="0" applyAlignment="1" applyFont="1">
      <alignment horizontal="center" readingOrder="0" shrinkToFit="0" wrapText="0"/>
    </xf>
    <xf borderId="0" fillId="12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readingOrder="0" shrinkToFit="0" vertical="bottom" wrapText="0"/>
    </xf>
    <xf borderId="0" fillId="13" fontId="12" numFmtId="0" xfId="0" applyAlignment="1" applyFont="1">
      <alignment horizontal="center" readingOrder="0" shrinkToFit="0" vertical="bottom" wrapText="0"/>
    </xf>
    <xf borderId="0" fillId="0" fontId="12" numFmtId="168" xfId="0" applyAlignment="1" applyFont="1" applyNumberFormat="1">
      <alignment horizontal="center" readingOrder="0" shrinkToFit="0" vertical="bottom" wrapText="0"/>
    </xf>
    <xf borderId="0" fillId="0" fontId="14" numFmtId="0" xfId="0" applyAlignment="1" applyFont="1">
      <alignment horizontal="center" readingOrder="0" vertical="bottom"/>
    </xf>
    <xf borderId="0" fillId="0" fontId="15" numFmtId="0" xfId="0" applyAlignment="1" applyFont="1">
      <alignment readingOrder="0"/>
    </xf>
    <xf borderId="1" fillId="0" fontId="4" numFmtId="0" xfId="0" applyBorder="1" applyFont="1"/>
    <xf borderId="0" fillId="4" fontId="16" numFmtId="0" xfId="0" applyAlignment="1" applyFont="1">
      <alignment horizontal="center" vertical="center"/>
    </xf>
    <xf borderId="0" fillId="7" fontId="16" numFmtId="0" xfId="0" applyAlignment="1" applyFont="1">
      <alignment horizontal="center" vertical="center"/>
    </xf>
    <xf borderId="0" fillId="4" fontId="16" numFmtId="14" xfId="0" applyAlignment="1" applyFont="1" applyNumberFormat="1">
      <alignment horizontal="center" vertical="center"/>
    </xf>
    <xf borderId="0" fillId="4" fontId="9" numFmtId="164" xfId="0" applyAlignment="1" applyFont="1" applyNumberFormat="1">
      <alignment horizontal="center" readingOrder="0" vertical="center"/>
    </xf>
    <xf borderId="0" fillId="4" fontId="17" numFmtId="0" xfId="0" applyAlignment="1" applyFont="1">
      <alignment horizontal="center" vertical="center"/>
    </xf>
    <xf borderId="0" fillId="4" fontId="17" numFmtId="14" xfId="0" applyAlignment="1" applyFont="1" applyNumberFormat="1">
      <alignment horizontal="center" vertical="center"/>
    </xf>
    <xf borderId="0" fillId="7" fontId="16" numFmtId="14" xfId="0" applyAlignment="1" applyFont="1" applyNumberFormat="1">
      <alignment horizontal="center" vertical="center"/>
    </xf>
    <xf borderId="0" fillId="4" fontId="16" numFmtId="0" xfId="0" applyAlignment="1" applyFont="1">
      <alignment horizontal="center" readingOrder="0" vertical="center"/>
    </xf>
    <xf borderId="0" fillId="4" fontId="18" numFmtId="0" xfId="0" applyAlignment="1" applyFont="1">
      <alignment horizontal="center" shrinkToFit="0" vertical="center" wrapText="1"/>
    </xf>
    <xf borderId="0" fillId="14" fontId="16" numFmtId="0" xfId="0" applyAlignment="1" applyFill="1" applyFont="1">
      <alignment horizontal="center" vertical="center"/>
    </xf>
    <xf borderId="0" fillId="14" fontId="16" numFmtId="14" xfId="0" applyAlignment="1" applyFont="1" applyNumberFormat="1">
      <alignment horizontal="center" vertical="center"/>
    </xf>
    <xf borderId="0" fillId="14" fontId="16" numFmtId="0" xfId="0" applyAlignment="1" applyFont="1">
      <alignment horizontal="center" readingOrder="0" vertical="center"/>
    </xf>
    <xf borderId="0" fillId="14" fontId="7" numFmtId="0" xfId="0" applyAlignment="1" applyFont="1">
      <alignment horizontal="center" vertical="center"/>
    </xf>
    <xf borderId="0" fillId="14" fontId="9" numFmtId="164" xfId="0" applyAlignment="1" applyFont="1" applyNumberFormat="1">
      <alignment horizontal="center" readingOrder="0" vertical="center"/>
    </xf>
    <xf borderId="0" fillId="14" fontId="4" numFmtId="165" xfId="0" applyAlignment="1" applyFont="1" applyNumberFormat="1">
      <alignment horizontal="center" vertical="center"/>
    </xf>
    <xf borderId="0" fillId="14" fontId="4" numFmtId="165" xfId="0" applyAlignment="1" applyFont="1" applyNumberFormat="1">
      <alignment horizontal="center" readingOrder="0" vertical="center"/>
    </xf>
    <xf borderId="0" fillId="14" fontId="6" numFmtId="165" xfId="0" applyAlignment="1" applyFont="1" applyNumberFormat="1">
      <alignment horizontal="center" vertical="center"/>
    </xf>
    <xf borderId="1" fillId="14" fontId="6" numFmtId="0" xfId="0" applyBorder="1" applyFont="1"/>
    <xf borderId="0" fillId="14" fontId="6" numFmtId="0" xfId="0" applyFont="1"/>
    <xf borderId="0" fillId="4" fontId="6" numFmtId="164" xfId="0" applyAlignment="1" applyFont="1" applyNumberFormat="1">
      <alignment horizontal="center" vertical="center"/>
    </xf>
    <xf borderId="0" fillId="4" fontId="6" numFmtId="165" xfId="0" applyAlignment="1" applyFont="1" applyNumberFormat="1">
      <alignment horizontal="center" readingOrder="0" vertical="center"/>
    </xf>
    <xf borderId="0" fillId="4" fontId="18" numFmtId="0" xfId="0" applyAlignment="1" applyFont="1">
      <alignment horizontal="center" vertical="center"/>
    </xf>
    <xf borderId="0" fillId="4" fontId="19" numFmtId="0" xfId="0" applyAlignment="1" applyFont="1">
      <alignment horizontal="center" vertical="center"/>
    </xf>
    <xf borderId="0" fillId="14" fontId="4" numFmtId="0" xfId="0" applyAlignment="1" applyFont="1">
      <alignment horizontal="center" readingOrder="0" vertical="center"/>
    </xf>
    <xf borderId="0" fillId="14" fontId="9" numFmtId="0" xfId="0" applyAlignment="1" applyFont="1">
      <alignment horizontal="center" readingOrder="0" vertical="center"/>
    </xf>
    <xf borderId="0" fillId="14" fontId="9" numFmtId="14" xfId="0" applyAlignment="1" applyFont="1" applyNumberFormat="1">
      <alignment horizontal="center" readingOrder="0" shrinkToFit="0" wrapText="0"/>
    </xf>
    <xf borderId="0" fillId="14" fontId="9" numFmtId="0" xfId="0" applyAlignment="1" applyFont="1">
      <alignment horizontal="center" readingOrder="0" shrinkToFit="0" wrapText="0"/>
    </xf>
    <xf borderId="0" fillId="14" fontId="6" numFmtId="0" xfId="0" applyAlignment="1" applyFont="1">
      <alignment horizontal="center" vertical="center"/>
    </xf>
    <xf borderId="0" fillId="14" fontId="4" numFmtId="0" xfId="0" applyAlignment="1" applyFont="1">
      <alignment horizontal="center" readingOrder="0" shrinkToFit="0" wrapText="0"/>
    </xf>
    <xf borderId="0" fillId="14" fontId="9" numFmtId="0" xfId="0" applyAlignment="1" applyFont="1">
      <alignment horizontal="center" shrinkToFit="0" wrapText="0"/>
    </xf>
    <xf borderId="0" fillId="14" fontId="4" numFmtId="14" xfId="0" applyAlignment="1" applyFont="1" applyNumberFormat="1">
      <alignment horizontal="center" readingOrder="0" shrinkToFit="0" wrapText="0"/>
    </xf>
    <xf borderId="0" fillId="14" fontId="4" numFmtId="0" xfId="0" applyAlignment="1" applyFont="1">
      <alignment horizontal="center" shrinkToFit="0" wrapText="0"/>
    </xf>
    <xf borderId="0" fillId="4" fontId="9" numFmtId="0" xfId="0" applyAlignment="1" applyFont="1">
      <alignment horizontal="center" readingOrder="0" vertical="center"/>
    </xf>
    <xf borderId="0" fillId="7" fontId="9" numFmtId="0" xfId="0" applyAlignment="1" applyFont="1">
      <alignment horizontal="center" readingOrder="0" shrinkToFit="0" wrapText="0"/>
    </xf>
    <xf borderId="0" fillId="7" fontId="4" numFmtId="14" xfId="0" applyAlignment="1" applyFont="1" applyNumberFormat="1">
      <alignment horizontal="center" readingOrder="0" shrinkToFit="0" wrapText="0"/>
    </xf>
    <xf borderId="0" fillId="14" fontId="9" numFmtId="0" xfId="0" applyAlignment="1" applyFont="1">
      <alignment horizontal="center" readingOrder="0"/>
    </xf>
    <xf borderId="0" fillId="14" fontId="9" numFmtId="165" xfId="0" applyAlignment="1" applyFont="1" applyNumberFormat="1">
      <alignment horizontal="center" readingOrder="0" vertical="center"/>
    </xf>
    <xf borderId="0" fillId="14" fontId="9" numFmtId="0" xfId="0" applyAlignment="1" applyFont="1">
      <alignment horizontal="center"/>
    </xf>
    <xf borderId="0" fillId="14" fontId="4" numFmtId="168" xfId="0" applyAlignment="1" applyFont="1" applyNumberFormat="1">
      <alignment horizontal="center" readingOrder="0" shrinkToFit="0" wrapText="0"/>
    </xf>
    <xf borderId="0" fillId="14" fontId="4" numFmtId="0" xfId="0" applyAlignment="1" applyFont="1">
      <alignment horizontal="center" vertical="center"/>
    </xf>
    <xf borderId="1" fillId="14" fontId="4" numFmtId="0" xfId="0" applyBorder="1" applyFont="1"/>
    <xf borderId="0" fillId="14" fontId="11" numFmtId="165" xfId="0" applyAlignment="1" applyFont="1" applyNumberFormat="1">
      <alignment horizontal="center" vertical="center"/>
    </xf>
    <xf borderId="1" fillId="14" fontId="11" numFmtId="0" xfId="0" applyBorder="1" applyFont="1"/>
    <xf borderId="0" fillId="14" fontId="4" numFmtId="0" xfId="0" applyAlignment="1" applyFont="1">
      <alignment horizontal="center"/>
    </xf>
    <xf borderId="0" fillId="14" fontId="10" numFmtId="0" xfId="0" applyAlignment="1" applyFont="1">
      <alignment horizontal="center"/>
    </xf>
    <xf borderId="0" fillId="14" fontId="4" numFmtId="0" xfId="0" applyAlignment="1" applyFont="1">
      <alignment horizontal="center"/>
    </xf>
    <xf borderId="0" fillId="14" fontId="9" numFmtId="0" xfId="0" applyAlignment="1" applyFont="1">
      <alignment horizontal="center" shrinkToFit="0" wrapText="0"/>
    </xf>
    <xf borderId="0" fillId="14" fontId="10" numFmtId="0" xfId="0" applyAlignment="1" applyFont="1">
      <alignment horizontal="center"/>
    </xf>
    <xf borderId="0" fillId="4" fontId="6" numFmtId="0" xfId="0" applyAlignment="1" applyFont="1">
      <alignment horizontal="center" readingOrder="0" vertical="center"/>
    </xf>
    <xf borderId="0" fillId="14" fontId="6" numFmtId="0" xfId="0" applyAlignment="1" applyFont="1">
      <alignment horizontal="center" readingOrder="0" shrinkToFit="0" wrapText="0"/>
    </xf>
    <xf borderId="0" fillId="14" fontId="6" numFmtId="168" xfId="0" applyAlignment="1" applyFont="1" applyNumberFormat="1">
      <alignment horizontal="center" readingOrder="0" shrinkToFit="0" wrapText="0"/>
    </xf>
    <xf borderId="0" fillId="14" fontId="6" numFmtId="0" xfId="0" applyAlignment="1" applyFont="1">
      <alignment horizontal="center" shrinkToFit="0" wrapText="0"/>
    </xf>
    <xf borderId="0" fillId="7" fontId="4" numFmtId="168" xfId="0" applyAlignment="1" applyFont="1" applyNumberFormat="1">
      <alignment horizontal="center" readingOrder="0" shrinkToFit="0" wrapText="0"/>
    </xf>
    <xf borderId="0" fillId="4" fontId="9" numFmtId="164" xfId="0" applyAlignment="1" applyFont="1" applyNumberFormat="1">
      <alignment horizontal="center" readingOrder="0"/>
    </xf>
    <xf borderId="0" fillId="4" fontId="10" numFmtId="164" xfId="0" applyAlignment="1" applyFont="1" applyNumberFormat="1">
      <alignment horizontal="center"/>
    </xf>
    <xf borderId="0" fillId="7" fontId="4" numFmtId="0" xfId="0" applyAlignment="1" applyFont="1">
      <alignment horizontal="center" readingOrder="0" shrinkToFit="0" wrapText="0"/>
    </xf>
    <xf borderId="0" fillId="7" fontId="6" numFmtId="168" xfId="0" applyAlignment="1" applyFont="1" applyNumberFormat="1">
      <alignment horizontal="center" readingOrder="0" shrinkToFit="0" wrapText="0"/>
    </xf>
    <xf borderId="0" fillId="14" fontId="5" numFmtId="0" xfId="0" applyFont="1"/>
    <xf borderId="0" fillId="14" fontId="9" numFmtId="168" xfId="0" applyAlignment="1" applyFont="1" applyNumberFormat="1">
      <alignment horizontal="center" readingOrder="0" shrinkToFit="0" wrapText="0"/>
    </xf>
    <xf borderId="0" fillId="14" fontId="4" numFmtId="0" xfId="0" applyAlignment="1" applyFont="1">
      <alignment horizontal="center" shrinkToFit="0" wrapText="0"/>
    </xf>
    <xf borderId="0" fillId="7" fontId="9" numFmtId="168" xfId="0" applyAlignment="1" applyFont="1" applyNumberFormat="1">
      <alignment horizontal="center" readingOrder="0" shrinkToFit="0" wrapText="0"/>
    </xf>
    <xf borderId="0" fillId="12" fontId="9" numFmtId="0" xfId="0" applyAlignment="1" applyFont="1">
      <alignment horizontal="center" readingOrder="0" vertical="center"/>
    </xf>
    <xf borderId="0" fillId="14" fontId="9" numFmtId="0" xfId="0" applyAlignment="1" applyFont="1">
      <alignment horizontal="center"/>
    </xf>
    <xf borderId="0" fillId="14" fontId="9" numFmtId="164" xfId="0" applyAlignment="1" applyFont="1" applyNumberFormat="1">
      <alignment horizontal="center" readingOrder="0"/>
    </xf>
    <xf borderId="0" fillId="4" fontId="9" numFmtId="0" xfId="0" applyAlignment="1" applyFont="1">
      <alignment horizontal="center" vertical="center"/>
    </xf>
    <xf borderId="0" fillId="4" fontId="4" numFmtId="0" xfId="0" applyAlignment="1" applyFont="1">
      <alignment horizontal="center" shrinkToFit="0" wrapText="0"/>
    </xf>
    <xf borderId="0" fillId="4" fontId="4" numFmtId="168" xfId="0" applyAlignment="1" applyFont="1" applyNumberFormat="1">
      <alignment horizontal="center" shrinkToFit="0" wrapText="0"/>
    </xf>
    <xf borderId="0" fillId="4" fontId="9" numFmtId="0" xfId="0" applyAlignment="1" applyFont="1">
      <alignment horizontal="center" shrinkToFit="0" wrapText="0"/>
    </xf>
    <xf borderId="0" fillId="4" fontId="4" numFmtId="0" xfId="0" applyAlignment="1" applyFont="1">
      <alignment horizontal="center"/>
    </xf>
    <xf borderId="0" fillId="4" fontId="9" numFmtId="0" xfId="0" applyAlignment="1" applyFont="1">
      <alignment horizontal="center"/>
    </xf>
    <xf borderId="0" fillId="14" fontId="9" numFmtId="0" xfId="0" applyAlignment="1" applyFont="1">
      <alignment horizontal="center"/>
    </xf>
    <xf borderId="0" fillId="14" fontId="9" numFmtId="0" xfId="0" applyAlignment="1" applyFont="1">
      <alignment horizontal="center" vertical="center"/>
    </xf>
    <xf borderId="0" fillId="14" fontId="4" numFmtId="168" xfId="0" applyAlignment="1" applyFont="1" applyNumberFormat="1">
      <alignment horizontal="center" shrinkToFit="0" wrapText="0"/>
    </xf>
    <xf borderId="0" fillId="7" fontId="4" numFmtId="168" xfId="0" applyAlignment="1" applyFont="1" applyNumberFormat="1">
      <alignment horizontal="center" shrinkToFit="0" wrapText="0"/>
    </xf>
    <xf borderId="0" fillId="13" fontId="9" numFmtId="0" xfId="0" applyAlignment="1" applyFont="1">
      <alignment horizontal="center" shrinkToFit="0" wrapText="0"/>
    </xf>
    <xf borderId="0" fillId="12" fontId="9" numFmtId="0" xfId="0" applyAlignment="1" applyFont="1">
      <alignment horizontal="center" shrinkToFit="0" wrapText="0"/>
    </xf>
    <xf borderId="0" fillId="5" fontId="9" numFmtId="0" xfId="0" applyAlignment="1" applyFont="1">
      <alignment horizontal="center" shrinkToFit="0" wrapText="0"/>
    </xf>
    <xf borderId="0" fillId="0" fontId="12" numFmtId="168" xfId="0" applyAlignment="1" applyFont="1" applyNumberForma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0" fillId="0" fontId="12" numFmtId="0" xfId="0" applyAlignment="1" applyFont="1">
      <alignment horizontal="center" shrinkToFit="0" wrapText="0"/>
    </xf>
    <xf borderId="0" fillId="0" fontId="9" numFmtId="164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vertical="center"/>
    </xf>
    <xf borderId="0" fillId="0" fontId="14" numFmtId="0" xfId="0" applyAlignment="1" applyFont="1">
      <alignment horizontal="center" shrinkToFit="0" wrapText="0"/>
    </xf>
    <xf borderId="0" fillId="14" fontId="13" numFmtId="0" xfId="0" applyAlignment="1" applyFont="1">
      <alignment horizontal="center" readingOrder="0" shrinkToFit="0" wrapText="0"/>
    </xf>
    <xf borderId="0" fillId="14" fontId="12" numFmtId="0" xfId="0" applyAlignment="1" applyFont="1">
      <alignment horizontal="center" readingOrder="0" shrinkToFit="0" wrapText="0"/>
    </xf>
    <xf borderId="0" fillId="14" fontId="13" numFmtId="0" xfId="0" applyAlignment="1" applyFont="1">
      <alignment horizontal="center" shrinkToFit="0" wrapText="0"/>
    </xf>
    <xf borderId="0" fillId="14" fontId="7" numFmtId="0" xfId="0" applyAlignment="1" applyFont="1">
      <alignment horizontal="center" shrinkToFit="0" wrapText="0"/>
    </xf>
    <xf borderId="0" fillId="12" fontId="12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readingOrder="0"/>
    </xf>
    <xf borderId="0" fillId="14" fontId="12" numFmtId="0" xfId="0" applyAlignment="1" applyFont="1">
      <alignment horizontal="center" shrinkToFit="0" wrapText="0"/>
    </xf>
    <xf borderId="0" fillId="14" fontId="14" numFmtId="0" xfId="0" applyAlignment="1" applyFont="1">
      <alignment horizontal="center"/>
    </xf>
    <xf borderId="0" fillId="14" fontId="14" numFmtId="0" xfId="0" applyAlignment="1" applyFont="1">
      <alignment horizontal="center" shrinkToFit="0" wrapText="0"/>
    </xf>
    <xf borderId="0" fillId="0" fontId="20" numFmtId="0" xfId="0" applyAlignment="1" applyFont="1">
      <alignment horizontal="center" readingOrder="0" shrinkToFit="0" wrapText="0"/>
    </xf>
    <xf borderId="0" fillId="0" fontId="20" numFmtId="168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20" numFmtId="0" xfId="0" applyAlignment="1" applyFont="1">
      <alignment horizontal="center" shrinkToFit="0" wrapText="0"/>
    </xf>
    <xf borderId="1" fillId="0" fontId="6" numFmtId="164" xfId="0" applyAlignment="1" applyBorder="1" applyFont="1" applyNumberFormat="1">
      <alignment horizontal="center" readingOrder="0" vertical="center"/>
    </xf>
    <xf borderId="0" fillId="0" fontId="6" numFmtId="165" xfId="0" applyAlignment="1" applyFont="1" applyNumberFormat="1">
      <alignment horizontal="center" vertical="center"/>
    </xf>
    <xf borderId="0" fillId="0" fontId="13" numFmtId="168" xfId="0" applyAlignment="1" applyFont="1" applyNumberFormat="1">
      <alignment horizontal="center" readingOrder="0" shrinkToFit="0" wrapText="0"/>
    </xf>
    <xf borderId="0" fillId="0" fontId="13" numFmtId="0" xfId="0" applyAlignment="1" applyFont="1">
      <alignment horizontal="center" shrinkToFit="0" wrapText="0"/>
    </xf>
    <xf borderId="0" fillId="0" fontId="19" numFmtId="0" xfId="0" applyAlignment="1" applyFont="1">
      <alignment horizontal="center" shrinkToFit="0" wrapText="0"/>
    </xf>
    <xf borderId="0" fillId="0" fontId="14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shrinkToFit="0" wrapText="0"/>
    </xf>
    <xf borderId="1" fillId="0" fontId="4" numFmtId="0" xfId="0" applyAlignment="1" applyBorder="1" applyFont="1">
      <alignment horizontal="center"/>
    </xf>
    <xf borderId="0" fillId="0" fontId="15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15" numFmtId="168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4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962" sheet="FRESADO"/>
  </cacheSource>
  <cacheFields>
    <cacheField name="SEM " numFmtId="0">
      <sharedItems containsSemiMixedTypes="0" containsString="0" containsNumber="1" containsInteger="1">
        <n v="23.0"/>
        <n v="24.0"/>
        <n v="25.0"/>
        <n v="26.0"/>
        <n v="27.0"/>
        <n v="28.0"/>
        <n v="29.0"/>
        <n v="30.0"/>
        <n v="31.0"/>
        <n v="32.0"/>
      </sharedItems>
    </cacheField>
    <cacheField name="NO" numFmtId="0">
      <sharedItems containsString="0" containsBlank="1" containsNumber="1" containsInteger="1">
        <n v="1.0"/>
        <n v="2.0"/>
        <n v="3.0"/>
        <m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0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69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</sharedItems>
    </cacheField>
    <cacheField name="FOLIO ">
      <sharedItems containsMixedTypes="1" containsNumber="1" containsInteger="1">
        <n v="1.0"/>
        <n v="2.0"/>
        <n v="3.0"/>
        <n v="5761.0"/>
        <n v="4.0"/>
        <n v="5751.0"/>
        <n v="5752.0"/>
        <n v="5753.0"/>
        <n v="5754.0"/>
        <n v="5755.0"/>
        <n v="5756.0"/>
        <n v="5757.0"/>
        <n v="5758.0"/>
        <n v="5759.0"/>
        <n v="5760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s v="S/F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311.0"/>
        <n v="1275.0"/>
        <n v="1276.0"/>
        <n v="1277.0"/>
        <n v="1278.0"/>
        <n v="1279.0"/>
        <n v="1280.0"/>
        <n v="1292.0"/>
        <n v="1293.0"/>
        <n v="1294.0"/>
        <n v="1301.0"/>
        <n v="1302.0"/>
        <n v="1303.0"/>
        <n v="1304.0"/>
        <n v="1305.0"/>
        <n v="1306.0"/>
        <n v="1307.0"/>
        <n v="1308.0"/>
        <n v="1309.0"/>
        <n v="1310.0"/>
        <n v="1312.0"/>
        <n v="1295.0"/>
        <n v="1296.0"/>
        <n v="1297.0"/>
        <n v="1298.0"/>
        <n v="1299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8.0"/>
        <n v="1227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178.0"/>
        <n v="1177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1.0"/>
        <n v="1620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4.0"/>
        <n v="1643.0"/>
        <n v="1645.0"/>
        <n v="1646.0"/>
        <n v="1647.0"/>
        <n v="1648.0"/>
        <n v="1649.0"/>
        <n v="165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4.0"/>
        <n v="1725.0"/>
        <n v="1723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858.0"/>
        <n v="1859.0"/>
        <n v="1860.0"/>
        <n v="1861.0"/>
        <n v="1862.0"/>
        <n v="1863.0"/>
        <n v="1864.0"/>
        <n v="1865.0"/>
        <n v="1866.0"/>
        <n v="1867.0"/>
        <n v="1869.0"/>
        <n v="1868.0"/>
        <n v="1870.0"/>
        <n v="1871.0"/>
        <n v="1872.0"/>
        <n v="1873.0"/>
        <n v="1874.0"/>
        <n v="1875.0"/>
        <n v="1877.0"/>
        <n v="1878.0"/>
        <n v="1879.0"/>
        <n v="1876.0"/>
        <n v="1880.0"/>
        <n v="1881.0"/>
        <n v="1882.0"/>
        <n v="1883.0"/>
        <n v="1884.0"/>
        <n v="1885.0"/>
        <n v="1886.0"/>
        <n v="1888.0"/>
        <n v="1889.0"/>
        <n v="1890.0"/>
        <n v="1891.0"/>
        <n v="1892.0"/>
        <n v="1893.0"/>
        <n v="1894.0"/>
        <n v="1895.0"/>
        <n v="1897.0"/>
        <n v="1896.0"/>
        <n v="1898.0"/>
        <n v="1899.0"/>
        <n v="1900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77.0"/>
        <n v="178.0"/>
        <n v="179.0"/>
        <n v="180.0"/>
        <n v="181.0"/>
        <n v="182.0"/>
        <n v="183.0"/>
        <n v="184.0"/>
        <n v="185.0"/>
        <n v="191.0"/>
        <n v="186.0"/>
        <n v="187.0"/>
        <n v="188.0"/>
        <n v="189.0"/>
        <n v="19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</sharedItems>
    </cacheField>
    <cacheField name="FECHA" numFmtId="14">
      <sharedItems containsSemiMixedTypes="0" containsDate="1" containsString="0">
        <d v="2026-06-02T00:00:00Z"/>
        <d v="2026-06-01T00:00:00Z"/>
        <d v="2026-06-03T00:00:00Z"/>
        <d v="2026-06-04T00:00:00Z"/>
        <d v="2026-06-05T00:00:00Z"/>
        <d v="2026-06-08T00:00:00Z"/>
        <d v="2026-06-09T00:00:00Z"/>
        <d v="2026-06-10T00:00:00Z"/>
        <d v="2026-06-12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4T00:00:00Z"/>
        <d v="2026-07-06T00:00:00Z"/>
        <d v="2026-07-07T00:00:00Z"/>
        <d v="2026-07-08T00:00:00Z"/>
        <d v="2026-07-09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</sharedItems>
    </cacheField>
    <cacheField name="VIAJES " numFmtId="0">
      <sharedItems containsSemiMixedTypes="0" containsString="0" containsNumber="1" containsInteger="1">
        <n v="1.0"/>
        <n v="0.0"/>
      </sharedItems>
    </cacheField>
    <cacheField name="MATERIAL " numFmtId="0">
      <sharedItems>
        <s v="TIRO LIBRE"/>
        <s v="FRESADO"/>
        <s v="FRESADO Y LIMPIEZA"/>
        <s v="NOTA CANCELADA"/>
        <s v="ESCOMBRO Y LIMPIEZA"/>
        <s v="CAMION DE LIMPIEZA"/>
        <s v="VIAJE EN FALSO "/>
        <s v="VIAJE EN FALSO"/>
        <s v="PIPA DE AGUA"/>
      </sharedItems>
    </cacheField>
    <cacheField name="PLACAS">
      <sharedItems containsBlank="1" containsMixedTypes="1" containsNumber="1" containsInteger="1">
        <s v="NR0950C"/>
        <s v="95AX5D"/>
        <s v="MY7968B"/>
        <s v="MY7967B"/>
        <s v="NB1258D"/>
        <s v="HC1139G"/>
        <s v="NE4904D"/>
        <s v="22BC9R"/>
        <s v="LD58235"/>
        <s v="HE4281J"/>
        <s v="9FAX5D"/>
        <n v="0.0"/>
        <s v="MY6968B"/>
        <s v="LH16062"/>
        <s v="45AX5D"/>
        <s v="HC-1139-G"/>
        <s v="LH-16-062"/>
        <s v="95-AX5D"/>
        <s v="MY-7968-B"/>
        <s v="HE-4281-J"/>
        <s v="22-BC-9R"/>
        <s v="MY-7967-B"/>
        <s v="LD-58-235"/>
        <s v="HD-57-440"/>
        <s v="NJ-6644-D"/>
        <m/>
        <s v="NR-0950-C"/>
        <s v="KT-2277-A"/>
        <s v="320-EY-2"/>
        <s v="120-AJ-3"/>
        <s v="NV-17-287"/>
        <s v="02-BG-7T"/>
        <s v="94-AC-5F"/>
        <s v="19-A5-5A"/>
        <s v="LC-4575-3"/>
        <s v="43-BD6E"/>
        <s v="98-BM-8P"/>
        <s v="HE-4251-J"/>
        <s v="LG-01-321"/>
        <s v="NB-1258-D"/>
        <s v="412-AT-3"/>
        <s v="590-EV-1"/>
        <s v="KR-9352-A"/>
        <s v="HB-0596-J"/>
        <s v="82-BM-7W"/>
        <s v="73-BG-1U"/>
        <s v="43-BD-6E"/>
        <s v="540-EV-1"/>
        <s v="62-AR-2N"/>
        <s v="HE-8029-G"/>
        <s v="LD-57-526"/>
        <s v="HF-8029-G"/>
        <s v="N5-3489-C"/>
        <s v="AC-1139-G"/>
        <s v="HG-5430-G"/>
        <s v="HF-50-814"/>
        <s v="NK-8781-C"/>
        <s v="14-BG-5M"/>
        <s v="590-EY-1"/>
        <s v="19-A55A"/>
      </sharedItems>
    </cacheField>
    <cacheField name="CAPACIDAD" numFmtId="0">
      <sharedItems containsString="0" containsBlank="1" containsNumber="1" containsInteger="1">
        <n v="14.0"/>
        <n v="0.0"/>
        <n v="7.0"/>
        <n v="10.0"/>
        <m/>
        <n v="20.0"/>
      </sharedItems>
    </cacheField>
    <cacheField name="UNIDAD " numFmtId="0">
      <sharedItems containsBlank="1">
        <s v="M3 "/>
        <s v="M3"/>
        <m/>
      </sharedItems>
    </cacheField>
    <cacheField name="OPERADOR" numFmtId="0">
      <sharedItems containsBlank="1">
        <s v="ALEJANDRO FLORES"/>
        <s v="CESAR HERNANDEZ "/>
        <s v="JORGE GARCIA"/>
        <s v="ENRIQUE TORRES"/>
        <s v="SANTOS SOTERO"/>
        <s v="VICTOR LEON"/>
        <s v="JONATHAN GUTIERREZ"/>
        <s v="REY DAVID"/>
        <s v="CARLOS GUADARRAMA"/>
        <s v="DANIEL CRUZ"/>
        <s v="CANCELADA"/>
        <s v="ARTURO HERNANDEZ"/>
        <s v="CESAR HERNANDEZ"/>
        <s v="VICTOR DE LEON"/>
        <s v="REY DAVID ESPINOZA"/>
        <s v="RAMIRO HERNANDEZ O."/>
        <s v="RAMIRO HERNANDEZ "/>
        <m/>
        <s v="ANTONIO MUSIÑO"/>
        <s v="ROLANDO GUTIERREZ"/>
        <s v="CESAR GUTIERREZ"/>
        <s v="JUAN MANUEL "/>
        <s v="EDUARDO GONZALES"/>
        <s v="HUGO GUTIERREZ"/>
        <s v="ALEJANDRO GUTIERREZ"/>
        <s v="CESAR GRANADAS"/>
        <s v="VICTOR GONZALES"/>
        <s v="BERNABE GUTIERREZ"/>
        <s v="CESAR MONTEYA"/>
        <s v="JULIO RESENDIS"/>
        <s v="SANTOS SANTERO"/>
        <s v="JUAN GONZALES"/>
        <s v="RAMIRO HERNANDEZ D."/>
        <s v="RAMIRO HERNANDEZ"/>
        <s v="HECTOR LOPEZ"/>
        <s v="SINDICATO COSUM"/>
        <s v="JUAN MANUEL"/>
        <s v="FRANCISCO ALBARRAN"/>
        <s v="FERNANDO PERA"/>
        <s v="YAHIR ALCANTARA"/>
        <s v="MANUEL LOPEZ"/>
        <s v="AXEL GUTIERREZ"/>
        <s v="ALEJANDRO CAERO"/>
        <s v="ALEJANDRO CAVARO"/>
        <s v="ALEJANDRO NAVARRO"/>
        <s v="ALEJANDRO BARIADO"/>
        <s v="ALEJANDRO HERNANDEZ"/>
        <s v="JESUS GONZALES"/>
        <s v="ARTURO DE LEON"/>
        <s v="SERGIO GALAN"/>
        <s v="CESAR ROJAS"/>
      </sharedItems>
    </cacheField>
    <cacheField name="SINDICATO" numFmtId="0">
      <sharedItems>
        <s v="COSUM TOLUCA"/>
        <s v="-"/>
        <s v="COSUM ARIEL "/>
      </sharedItems>
    </cacheField>
    <cacheField name="KM INICIA" numFmtId="0">
      <sharedItems containsString="0" containsBlank="1" containsNumber="1" containsInteger="1">
        <m/>
        <n v="680.0"/>
        <n v="750.0"/>
        <n v="810.0"/>
        <n v="770.0"/>
        <n v="860.0"/>
      </sharedItems>
    </cacheField>
    <cacheField name="KM TERMINA" numFmtId="0">
      <sharedItems containsString="0" containsBlank="1" containsNumber="1" containsInteger="1">
        <m/>
        <n v="750.0"/>
        <n v="810.0"/>
        <n v="870.0"/>
        <n v="770.0"/>
        <n v="860.0"/>
        <n v="930.0"/>
      </sharedItems>
    </cacheField>
    <cacheField name="TIRO " numFmtId="0">
      <sharedItems containsBlank="1">
        <m/>
        <s v="KM 34"/>
        <s v="XXX"/>
      </sharedItems>
    </cacheField>
    <cacheField name="CPO" numFmtId="0">
      <sharedItems containsBlank="1">
        <m/>
        <s v="B"/>
      </sharedItems>
    </cacheField>
    <cacheField name="CARRIL" numFmtId="0">
      <sharedItems containsBlank="1">
        <m/>
        <s v="CENTRAL"/>
        <s v="BAJA Y ACOTAMIENTO"/>
        <s v="CARRIL DE BAJA"/>
        <s v="ACOTAMIENTO"/>
        <s v="DERECHO/IZQUIERDO"/>
      </sharedItems>
    </cacheField>
    <cacheField name="OBSERVACIONES" numFmtId="0">
      <sharedItems containsBlank="1">
        <s v="APOYO AL DERRUMBRE 22+400 CUERPO B A SOLICITUD DE SICT "/>
        <m/>
        <s v="TRABAJOS DE NOCHE"/>
        <s v="SE MANDO MATERIAL PARA BORDILLO SICT "/>
        <s v="NOTA CANCELADA"/>
        <s v="SE UTILIZO PARA LIMPIEZA O RETIRO DE ESCOMBRO"/>
        <s v="SE ENVIO A PLANTA HUIXQUILUCAN"/>
        <s v="VIAJE EN FALSO"/>
        <s v="SUMINISTRO DE AGUA PARA PERFILADORA Y COMPACTADORES"/>
      </sharedItems>
    </cacheField>
    <cacheField name=" PU" numFmtId="164">
      <sharedItems containsString="0" containsBlank="1" containsNumber="1" containsInteger="1">
        <n v="5600.0"/>
        <n v="2500.0"/>
        <n v="3000.0"/>
        <n v="0.0"/>
        <n v="3600.0"/>
        <n v="7000.0"/>
        <n v="1540.0"/>
        <n v="1500.0"/>
        <n v="4500.0"/>
        <n v="2900.0"/>
        <n v="3355.0"/>
        <n v="3855.0"/>
        <n v="1000.0"/>
        <m/>
        <n v="5500.0"/>
        <n v="4900.0"/>
        <n v="1450.0"/>
        <n v="9000.0"/>
        <n v="9400.0"/>
        <n v="3200.0"/>
      </sharedItems>
    </cacheField>
    <cacheField name="IMPORTE" numFmtId="165">
      <sharedItems containsSemiMixedTypes="0" containsString="0" containsNumber="1" containsInteger="1">
        <n v="5600.0"/>
        <n v="2500.0"/>
        <n v="3000.0"/>
        <n v="0.0"/>
        <n v="3600.0"/>
        <n v="7000.0"/>
        <n v="1540.0"/>
        <n v="1500.0"/>
        <n v="4500.0"/>
        <n v="2900.0"/>
        <n v="3355.0"/>
        <n v="3855.0"/>
        <n v="1000.0"/>
        <n v="5500.0"/>
        <n v="4900.0"/>
        <n v="1450.0"/>
        <n v="9000.0"/>
        <n v="9400.0"/>
        <n v="3200.0"/>
      </sharedItems>
    </cacheField>
    <cacheField name="IVA" numFmtId="165">
      <sharedItems containsSemiMixedTypes="0" containsString="0" containsNumber="1">
        <n v="896.0"/>
        <n v="400.0"/>
        <n v="480.0"/>
        <n v="0.0"/>
        <n v="576.0"/>
        <n v="1120.0"/>
        <n v="246.4"/>
        <n v="240.0"/>
        <n v="720.0"/>
        <n v="464.0"/>
        <n v="536.8"/>
        <n v="616.8000000000001"/>
        <n v="160.0"/>
        <n v="880.0"/>
        <n v="784.0"/>
        <n v="232.0"/>
        <n v="1440.0"/>
        <n v="1504.0"/>
        <n v="512.0"/>
      </sharedItems>
    </cacheField>
    <cacheField name="TOTAL " numFmtId="165">
      <sharedItems containsSemiMixedTypes="0" containsString="0" containsNumber="1">
        <n v="6496.0"/>
        <n v="2900.0"/>
        <n v="3480.0"/>
        <n v="0.0"/>
        <n v="4176.0"/>
        <n v="8120.0"/>
        <n v="1786.4"/>
        <n v="1740.0"/>
        <n v="5220.0"/>
        <n v="3364.0"/>
        <n v="3891.8"/>
        <n v="4471.8"/>
        <n v="1160.0"/>
        <n v="6380.0"/>
        <n v="5684.0"/>
        <n v="1682.0"/>
        <n v="10440.0"/>
        <n v="10904.0"/>
        <n v="3712.0"/>
      </sharedItems>
    </cacheField>
    <cacheField name="CONCILIACION" numFmtId="165">
      <sharedItems>
        <s v=" CUAJIMALPA 1"/>
        <s v=" CUAJIMALPA 2"/>
        <s v="NOTA CANCELADA"/>
        <s v=" MARQUESA 1"/>
        <s v="MARQUESA 2"/>
        <s v=" CUAJIMALPA 3"/>
        <s v=" MARQUESA 3"/>
        <s v=" CORTE 04/07/2026"/>
        <s v=" MARQUESA 4"/>
        <s v=" MARQUESA 5"/>
        <s v=" CORTE 18/07/2026"/>
        <s v=" MARQUESA 6"/>
        <s v=" PENDIENTE "/>
        <s v="MARQUESA 7"/>
        <s v="CORTE 25/07/2026"/>
        <s v="CORTE 01/08/2026"/>
        <s v="PENDIENTE"/>
        <s v="MARQUESA 8"/>
      </sharedItems>
    </cacheField>
    <cacheField name="ESTATUS" numFmtId="165">
      <sharedItems containsBlank="1">
        <s v=" PAGADA"/>
        <m/>
      </sharedItems>
    </cacheField>
    <cacheField name="FACTURA" numFmtId="165">
      <sharedItems containsBlank="1">
        <s v=" A-1183"/>
        <s v=" A-1196"/>
        <m/>
        <s v=" A-1205"/>
        <s v="A-12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624" sheet="CARPETA"/>
  </cacheSource>
  <cacheFields>
    <cacheField name="SEM " numFmtId="0">
      <sharedItems containsSemiMixedTypes="0" containsString="0" containsNumber="1" containsInteger="1">
        <n v="23.0"/>
        <n v="24.0"/>
        <n v="25.0"/>
        <n v="26.0"/>
        <n v="27.0"/>
        <n v="28.0"/>
        <n v="29.0"/>
        <n v="30.0"/>
        <n v="31.0"/>
        <n v="32.0"/>
      </sharedItems>
    </cacheField>
    <cacheField name="NO" numFmtId="0">
      <sharedItems containsString="0" containsBlank="1" containsNumber="1" containsInteger="1">
        <m/>
        <n v="1.0"/>
        <n v="2.0"/>
        <n v="9.0"/>
        <n v="8.0"/>
        <n v="7.0"/>
        <n v="4.0"/>
        <n v="3.0"/>
        <n v="5.0"/>
        <n v="6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0.0"/>
      </sharedItems>
    </cacheField>
    <cacheField name="FOLIO ">
      <sharedItems containsMixedTypes="1" containsNumber="1" containsInteger="1">
        <n v="4979.0"/>
        <n v="4980.0"/>
        <n v="4981.0"/>
        <n v="4982.0"/>
        <n v="4983.0"/>
        <s v="S/F"/>
        <n v="5568.0"/>
        <n v="5569.0"/>
        <n v="5570.0"/>
        <n v="5571.0"/>
        <n v="5572.0"/>
        <n v="5573.0"/>
        <n v="5574.0"/>
        <n v="5575.0"/>
        <n v="5585.0"/>
        <n v="5586.0"/>
        <n v="5587.0"/>
        <n v="5588.0"/>
        <n v="5589.0"/>
        <n v="5590.0"/>
        <n v="5591.0"/>
        <n v="5592.0"/>
        <n v="5593.0"/>
        <n v="5594.0"/>
        <n v="5604.0"/>
        <n v="5605.0"/>
        <n v="5606.0"/>
        <n v="5607.0"/>
        <n v="5608.0"/>
        <n v="5609.0"/>
        <n v="5610.0"/>
        <n v="5611.0"/>
        <n v="5612.0"/>
        <n v="5613.0"/>
        <n v="5626.0"/>
        <n v="5627.0"/>
        <n v="5628.0"/>
        <n v="5629.0"/>
        <n v="5630.0"/>
        <n v="5631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20.0"/>
        <s v="JDJ 221"/>
        <s v="JDJ 222"/>
        <s v="JDJ 223"/>
        <s v="JDJ 224"/>
        <s v="JDJ 225"/>
        <n v="226.0"/>
        <n v="227.0"/>
        <s v="JDJ 228"/>
        <s v="JDJ 229"/>
        <s v="JDJ 230"/>
        <n v="231.0"/>
        <n v="232.0"/>
        <n v="233.0"/>
        <n v="234.0"/>
        <s v="JDJ 266"/>
        <s v="JDJ 257"/>
        <s v="JDJ 262"/>
        <s v="JDJ 263"/>
        <s v="JDJ 261"/>
        <s v="JDJ 259"/>
        <s v="JDJ 258"/>
        <s v="JDJ 260"/>
        <n v="287.0"/>
        <n v="288.0"/>
        <n v="289.0"/>
        <n v="290.0"/>
        <n v="291.0"/>
        <n v="292.0"/>
        <n v="293.0"/>
        <s v="GT 294"/>
        <n v="297.0"/>
        <n v="296.0"/>
        <s v="GT 298"/>
        <s v="GT 300"/>
        <s v="GT 302"/>
        <s v="GT 304"/>
        <s v="GT 303"/>
        <s v="GT 305"/>
        <s v="GT 309"/>
        <s v="GT 308"/>
        <s v="GT 307"/>
        <s v="GT 306"/>
        <s v="GT 301"/>
        <s v="GT 299"/>
        <s v="GT 295"/>
        <n v="310.0"/>
        <n v="311.0"/>
        <n v="312.0"/>
        <n v="313.0"/>
        <n v="314.0"/>
        <n v="315.0"/>
        <n v="316.0"/>
        <n v="317.0"/>
        <n v="318.0"/>
        <n v="319.0"/>
        <n v="753.0"/>
        <n v="754.0"/>
        <n v="756.0"/>
        <n v="755.0"/>
        <s v="GT 765"/>
        <s v="GT 766"/>
        <s v="GT 767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4.0"/>
        <n v="783.0"/>
        <n v="785.0"/>
        <n v="786.0"/>
        <n v="789.0"/>
        <n v="790.0"/>
        <n v="787.0"/>
        <n v="793.0"/>
        <n v="794.0"/>
        <n v="791.0"/>
        <n v="792.0"/>
        <n v="795.0"/>
        <n v="796.0"/>
        <n v="797.0"/>
        <n v="799.0"/>
        <n v="798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3.0"/>
        <n v="824.0"/>
        <n v="825.0"/>
        <n v="826.0"/>
        <n v="827.0"/>
        <n v="828.0"/>
        <n v="829.0"/>
        <n v="830.0"/>
        <n v="831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321.0"/>
        <n v="850.0"/>
        <n v="320.0"/>
        <n v="322.0"/>
        <n v="323.0"/>
        <n v="325.0"/>
        <n v="324.0"/>
        <n v="326.0"/>
        <n v="327.0"/>
        <n v="328.0"/>
        <n v="329.0"/>
        <n v="330.0"/>
        <n v="331.0"/>
        <n v="332.0"/>
        <n v="334.0"/>
        <n v="335.0"/>
        <n v="336.0"/>
        <n v="333.0"/>
        <n v="337.0"/>
        <n v="340.0"/>
        <n v="338.0"/>
        <n v="339.0"/>
        <n v="341.0"/>
        <n v="342.0"/>
        <n v="343.0"/>
        <n v="344.0"/>
        <n v="345.0"/>
        <n v="346.0"/>
        <n v="666.0"/>
        <n v="667.0"/>
        <n v="668.0"/>
        <n v="670.0"/>
        <n v="669.0"/>
        <n v="674.0"/>
        <n v="675.0"/>
        <n v="676.0"/>
        <n v="677.0"/>
        <n v="678.0"/>
        <n v="679.0"/>
        <n v="681.0"/>
        <n v="680.0"/>
        <n v="682.0"/>
        <n v="683.0"/>
        <n v="689.0"/>
        <n v="690.0"/>
        <n v="691.0"/>
        <n v="692.0"/>
        <n v="694.0"/>
        <n v="693.0"/>
        <n v="696.0"/>
        <n v="695.0"/>
        <n v="697.0"/>
        <n v="698.0"/>
        <n v="699.0"/>
        <n v="700.0"/>
        <n v="701.0"/>
        <n v="702.0"/>
        <n v="703.0"/>
        <n v="704.0"/>
        <n v="705.0"/>
        <n v="707.0"/>
        <n v="706.0"/>
        <n v="708.0"/>
        <n v="709.0"/>
        <n v="711.0"/>
        <n v="710.0"/>
        <n v="712.0"/>
        <n v="713.0"/>
        <n v="715.0"/>
        <n v="714.0"/>
        <n v="717.0"/>
        <n v="716.0"/>
        <n v="719.0"/>
        <n v="718.0"/>
        <n v="721.0"/>
        <n v="722.0"/>
        <n v="720.0"/>
        <n v="723.0"/>
        <n v="724.0"/>
        <n v="725.0"/>
        <n v="727.0"/>
        <n v="728.0"/>
        <n v="726.0"/>
        <n v="729.0"/>
        <n v="730.0"/>
        <n v="731.0"/>
        <n v="736.0"/>
        <n v="737.0"/>
        <n v="741.0"/>
        <n v="739.0"/>
        <n v="740.0"/>
        <n v="738.0"/>
        <n v="742.0"/>
        <n v="743.0"/>
        <n v="744.0"/>
        <n v="746.0"/>
        <n v="745.0"/>
        <n v="747.0"/>
        <n v="748.0"/>
        <n v="749.0"/>
        <n v="750.0"/>
        <n v="951.0"/>
        <n v="953.0"/>
        <n v="954.0"/>
        <n v="952.0"/>
        <n v="955.0"/>
        <n v="956.0"/>
        <n v="957.0"/>
        <n v="958.0"/>
        <n v="960.0"/>
        <n v="959.0"/>
        <n v="962.0"/>
        <n v="961.0"/>
        <n v="963.0"/>
        <n v="965.0"/>
        <n v="966.0"/>
        <n v="967.0"/>
        <n v="968.0"/>
        <n v="964.0"/>
        <n v="972.0"/>
        <n v="969.0"/>
        <n v="970.0"/>
        <n v="971.0"/>
        <n v="973.0"/>
        <n v="974.0"/>
        <n v="975.0"/>
        <n v="977.0"/>
        <n v="976.0"/>
        <n v="978.0"/>
        <n v="979.0"/>
        <n v="980.0"/>
        <n v="981.0"/>
        <n v="985.0"/>
        <n v="983.0"/>
        <n v="982.0"/>
        <n v="986.0"/>
        <n v="989.0"/>
        <n v="984.0"/>
        <n v="987.0"/>
        <n v="990.0"/>
        <n v="991.0"/>
        <n v="992.0"/>
        <n v="993.0"/>
        <n v="994.0"/>
        <n v="995.0"/>
        <n v="997.0"/>
        <n v="996.0"/>
        <n v="998.0"/>
        <n v="999.0"/>
        <n v="1000.0"/>
        <n v="553.0"/>
        <n v="552.0"/>
        <n v="551.0"/>
        <n v="558.0"/>
        <n v="554.0"/>
        <n v="557.0"/>
        <n v="556.0"/>
        <n v="560.0"/>
        <n v="555.0"/>
        <n v="559.0"/>
        <n v="562.0"/>
        <n v="664.0"/>
        <n v="561.0"/>
        <n v="565.0"/>
        <n v="566.0"/>
        <n v="563.0"/>
        <n v="567.0"/>
        <n v="569.0"/>
        <n v="571.0"/>
        <n v="568.0"/>
        <n v="572.0"/>
        <n v="570.0"/>
        <n v="574.0"/>
        <n v="573.0"/>
        <n v="575.0"/>
        <n v="576.0"/>
        <n v="577.0"/>
        <n v="578.0"/>
        <n v="579.0"/>
        <n v="580.0"/>
        <n v="581.0"/>
        <n v="582.0"/>
        <n v="584.0"/>
        <n v="585.0"/>
        <n v="583.0"/>
        <n v="586.0"/>
        <n v="587.0"/>
        <n v="588.0"/>
        <n v="590.0"/>
        <n v="591.0"/>
        <n v="594.0"/>
        <n v="589.0"/>
        <n v="593.0"/>
        <n v="592.0"/>
        <n v="596.0"/>
        <n v="598.0"/>
        <n v="595.0"/>
        <n v="599.0"/>
        <n v="597.0"/>
        <n v="600.0"/>
        <n v="854.0"/>
        <n v="852.0"/>
        <n v="851.0"/>
        <n v="853.0"/>
        <n v="856.0"/>
        <n v="857.0"/>
        <n v="855.0"/>
        <n v="858.0"/>
        <n v="859.0"/>
        <n v="860.0"/>
        <n v="861.0"/>
        <n v="863.0"/>
        <n v="862.0"/>
        <n v="864.0"/>
        <n v="865.0"/>
        <n v="866.0"/>
        <n v="868.0"/>
        <n v="870.0"/>
        <n v="867.0"/>
        <n v="871.0"/>
        <n v="873.0"/>
        <n v="872.0"/>
        <n v="874.0"/>
        <n v="876.0"/>
        <n v="875.0"/>
        <n v="869.0"/>
        <n v="877.0"/>
        <n v="879.0"/>
        <n v="878.0"/>
        <n v="880.0"/>
        <n v="881.0"/>
        <n v="882.0"/>
        <n v="885.0"/>
        <n v="884.0"/>
        <n v="886.0"/>
        <n v="883.0"/>
        <n v="887.0"/>
        <n v="889.0"/>
        <n v="890.0"/>
        <n v="891.0"/>
        <n v="888.0"/>
        <n v="892.0"/>
        <n v="894.0"/>
        <n v="893.0"/>
        <n v="895.0"/>
        <n v="896.0"/>
        <n v="897.0"/>
        <n v="899.0"/>
        <n v="901.0"/>
        <n v="902.0"/>
        <n v="898.0"/>
        <n v="900.0"/>
        <n v="903.0"/>
        <n v="905.0"/>
        <n v="904.0"/>
        <n v="907.0"/>
        <n v="906.0"/>
        <n v="908.0"/>
        <n v="909.0"/>
        <n v="910.0"/>
        <n v="912.0"/>
        <n v="911.0"/>
        <n v="913.0"/>
        <n v="916.0"/>
        <n v="915.0"/>
        <n v="914.0"/>
        <n v="917.0"/>
        <n v="918.0"/>
        <n v="919.0"/>
        <n v="920.0"/>
        <n v="921.0"/>
        <n v="922.0"/>
        <n v="923.0"/>
        <n v="924.0"/>
        <n v="925.0"/>
        <n v="926.0"/>
        <n v="927.0"/>
        <n v="929.0"/>
        <n v="928.0"/>
        <n v="930.0"/>
        <n v="931.0"/>
        <n v="933.0"/>
        <n v="934.0"/>
        <n v="932.0"/>
        <n v="938.0"/>
        <n v="939.0"/>
        <n v="940.0"/>
        <n v="941.0"/>
        <n v="942.0"/>
        <n v="944.0"/>
        <n v="946.0"/>
        <n v="947.0"/>
        <n v="943.0"/>
        <n v="948.0"/>
        <n v="1252.0"/>
        <n v="949.0"/>
        <n v="950.0"/>
        <n v="945.0"/>
        <n v="1251.0"/>
        <n v="1253.0"/>
        <n v="1255.0"/>
        <n v="1254.0"/>
        <n v="1256.0"/>
        <n v="1257.0"/>
        <n v="1259.0"/>
        <n v="1260.0"/>
        <n v="1261.0"/>
        <n v="1262.0"/>
        <n v="1258.0"/>
        <n v="1263.0"/>
        <n v="1265.0"/>
        <n v="1264.0"/>
        <n v="1266.0"/>
        <n v="1267.0"/>
      </sharedItems>
    </cacheField>
    <cacheField name="FECHA" numFmtId="14">
      <sharedItems containsSemiMixedTypes="0" containsDate="1" containsString="0">
        <d v="2026-06-01T00:00:00Z"/>
        <d v="2026-06-02T00:00:00Z"/>
        <d v="2026-06-03T00:00:00Z"/>
        <d v="2026-06-04T00:00:00Z"/>
        <d v="2026-06-05T00:00:00Z"/>
        <d v="2026-06-08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2T00:00:00Z"/>
        <d v="2026-06-23T00:00:00Z"/>
        <d v="2026-06-24T00:00:00Z"/>
        <d v="2026-06-25T00:00:00Z"/>
        <d v="2026-06-26T00:00:00Z"/>
        <d v="2026-06-29T00:00:00Z"/>
        <d v="2026-06-30T00:00:00Z"/>
        <d v="2026-07-01T00:00:00Z"/>
        <d v="2026-07-02T00:00:00Z"/>
        <d v="2026-07-03T00:00:00Z"/>
        <d v="2026-07-04T00:00:00Z"/>
        <d v="2026-07-06T00:00:00Z"/>
        <d v="2026-07-07T00:00:00Z"/>
        <d v="2026-07-08T00:00:00Z"/>
        <d v="2026-07-14T00:00:00Z"/>
        <d v="2026-07-15T00:00:00Z"/>
        <d v="2026-07-16T00:00:00Z"/>
        <d v="2026-07-17T00:00:00Z"/>
        <d v="2026-07-20T00:00:00Z"/>
        <d v="2026-07-21T00:00:00Z"/>
        <d v="2026-07-22T00:00:00Z"/>
        <d v="2026-07-23T00:00:00Z"/>
        <d v="2026-07-24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5T00:00:00Z"/>
        <d v="2026-08-06T00:00:00Z"/>
        <d v="2026-08-07T00:00:00Z"/>
        <d v="2026-08-08T00:00:00Z"/>
      </sharedItems>
    </cacheField>
    <cacheField name="VIAJES " numFmtId="0">
      <sharedItems containsSemiMixedTypes="0" containsString="0" containsNumber="1" containsInteger="1">
        <n v="1.0"/>
      </sharedItems>
    </cacheField>
    <cacheField name="MATERIAL " numFmtId="0">
      <sharedItems>
        <s v="CARPETA DENSA"/>
        <s v="PIPA DE AGUA"/>
        <s v="REGRESO PIPA"/>
        <s v="ASFALTO"/>
        <s v="VIAJE EN FALSO "/>
        <s v="CARPETA"/>
        <s v="REGRESO CAMION"/>
        <s v="VIAJE EN FALSO"/>
      </sharedItems>
    </cacheField>
    <cacheField name="PLACAS" numFmtId="0">
      <sharedItems containsBlank="1">
        <s v="LD69570"/>
        <s v="NR0950C"/>
        <s v="LF64430"/>
        <s v="32AH5L"/>
        <s v="MY7967B"/>
        <m/>
        <s v="HE4281J"/>
        <s v="22BC9R"/>
        <s v="MY6927D"/>
        <s v="GZ9775J"/>
        <s v="LD58235"/>
        <s v="MY7968B"/>
        <s v="LF6443G"/>
        <s v="NE4904D"/>
        <s v="HB9249J"/>
        <s v="NB1258D"/>
        <s v="KR-9352-A"/>
        <s v="LD5835"/>
        <s v="HD57440"/>
        <s v="43BD6E"/>
        <s v="73BG10"/>
        <s v="02BG7T"/>
        <s v="120AJ3"/>
        <s v="94AC5F"/>
        <s v="LF41892"/>
        <s v="LC45753"/>
        <s v="KP5325A"/>
        <s v="NB1288D"/>
        <s v="ZZBC9R"/>
        <s v="HC1281J"/>
        <s v="17AN4C"/>
        <s v="98BM8P"/>
        <s v="LG01321"/>
        <s v="NS1640C"/>
        <s v="ND5931C"/>
        <s v="NH16062"/>
        <s v="HE-4281-J"/>
        <s v="NJ6644D"/>
        <s v="HD-57440"/>
        <s v="NY-7967-B"/>
        <s v="LD3823S"/>
        <s v="NJ-6644-B"/>
        <s v="NR-1258-D"/>
        <s v="NR-0950-C"/>
        <s v="22-BC9R"/>
        <s v="43-BD6E"/>
        <s v="48-7AP2"/>
        <s v="32-02Y2"/>
        <s v="98-BM8P"/>
        <s v="LC-0132-1"/>
        <s v="LC-4575-3"/>
        <s v="12-AN1U"/>
        <s v="94-9TW7"/>
        <s v="73-BG1U"/>
        <s v="NV-1728-7"/>
        <s v="NJ-6644-D"/>
        <s v="NS-1640-C"/>
        <s v="94-DC5F"/>
        <s v="120-AJ3"/>
        <s v="119-AJ3"/>
        <s v="576-AN5"/>
        <s v="17-AN4C"/>
        <s v="LG-01321"/>
        <s v="ND-5931-C"/>
        <s v="14-BG5W"/>
        <s v="586-AN5"/>
        <s v="19-A5-5A"/>
        <s v="94-AC5F"/>
        <s v="02-BG-7T"/>
        <s v="94-9EW-7"/>
        <s v="28-AC4M"/>
        <s v="HE-4881-J"/>
        <s v="LC-45753"/>
        <s v="43-BD66"/>
        <s v="LM-1606-2"/>
        <s v="IG-0132-1"/>
        <s v="HD-5744-O"/>
        <s v="HE-4251-G"/>
        <s v="MY-7967-B"/>
        <s v="120-AJ-3"/>
        <s v="14-BG-5W"/>
        <s v="98-BM-8P"/>
        <s v="NV-17-287"/>
        <s v="N5-1640-C"/>
        <s v="19-A55A"/>
        <s v="32-CEYZ"/>
        <s v="63-AZ6H"/>
        <s v="24-AMQU"/>
        <s v="30-0DC4"/>
        <s v="82-BM7W"/>
        <s v="19-AK4L"/>
        <s v="590-EVL"/>
        <s v="43-BDGE"/>
        <s v="HC-4281-3"/>
        <s v="H0-5744-O"/>
        <s v="HC-4251-J"/>
        <s v="540-EB1"/>
        <s v="KV-3227-A"/>
        <s v="590-EIB"/>
        <s v="24-AM4U"/>
        <s v="98-BH8P"/>
        <s v="11-9AJ3"/>
        <s v="590-EB1"/>
        <s v="7GL-M70"/>
        <s v="119-K53"/>
        <s v="300-DLA"/>
        <s v="14-PG5W"/>
        <s v="LC-95753"/>
        <s v="HE-4251-J"/>
        <s v="320-EY2"/>
        <s v="549-EU7"/>
        <s v="82-PM-7W"/>
        <s v="14BGW"/>
        <s v="24AM9V"/>
        <s v="119AJ3"/>
        <s v="NY-17-287"/>
        <s v="119-AJ-3"/>
        <s v="TGL-M70"/>
        <s v="949-EW-7"/>
        <s v="24-AM-9V"/>
        <s v="300-OE-4"/>
        <s v="LE-45-753"/>
        <s v="487-AP2"/>
        <s v="28-AC-4M"/>
        <s v="11-BL-2D"/>
        <s v="300-DC-4"/>
        <s v="G1-AR-2N"/>
        <s v="82-BM-7W"/>
        <s v="73-16-1U"/>
        <s v="43-BD-GE"/>
        <s v="114-AJ-3"/>
        <s v="N5-6614-D"/>
        <s v="22-BC-9R"/>
        <s v="02-B6-7T"/>
        <s v="73-BG-1U"/>
        <s v="KW-5560-A"/>
        <s v="944-EW-7"/>
        <s v="590-EV-1"/>
        <s v="19-15-5A"/>
        <s v="62-AR-2N"/>
        <s v="61-AE-2N"/>
        <s v="59-CEU-1"/>
        <s v="53-BP6J"/>
        <s v="94-HC-5F"/>
        <s v="H9-AJ3"/>
        <s v="22-PG7T"/>
        <s v="949-LV7"/>
        <s v="949EW7"/>
        <s v="300-DF-4"/>
        <s v="590-EB-1"/>
        <s v="080-AE-4"/>
        <s v="61-AR-2N"/>
        <s v="11-BL-2N"/>
        <s v="KW-5500-A"/>
        <s v="73-BG-1N"/>
        <s v="590-LD1"/>
        <s v="94-BM8P"/>
        <s v="7B-BG1U"/>
        <s v="N32-27A"/>
        <s v="GZ6-138-G"/>
        <s v="N5-3470-C"/>
        <s v="01-AR2N"/>
        <s v="06-AC5V"/>
        <s v="949-GW7J"/>
        <s v="02-BG7D"/>
        <s v="19-AJ3"/>
        <s v="980-AL4"/>
        <s v="590-CB1"/>
        <s v="75-BG1U"/>
        <s v="19-BM-5N"/>
        <s v="B2-BM7W"/>
        <s v="LF-41892"/>
        <s v="73-B6-1U"/>
        <s v="1N-AJ3"/>
        <s v="949-LW7"/>
        <s v="43-BP-3A"/>
        <s v="15-BG5W"/>
      </sharedItems>
    </cacheField>
    <cacheField name="CAPACIDAD (M3) " numFmtId="0">
      <sharedItems containsString="0" containsBlank="1" containsNumber="1" containsInteger="1">
        <n v="14.0"/>
        <n v="10.0"/>
        <n v="0.0"/>
        <n v="15.0"/>
        <m/>
        <n v="16.0"/>
        <n v="7.0"/>
      </sharedItems>
    </cacheField>
    <cacheField name="PESO TOTAL (KG) ">
      <sharedItems containsBlank="1" containsMixedTypes="1" containsNumber="1" containsInteger="1">
        <s v="M3"/>
        <m/>
        <n v="24320.0"/>
        <n v="23740.0"/>
        <n v="24180.0"/>
        <n v="23040.0"/>
        <n v="24300.0"/>
        <n v="25040.0"/>
      </sharedItems>
    </cacheField>
    <cacheField name="OPERADOR" numFmtId="0">
      <sharedItems containsBlank="1">
        <s v="HUMBERTO COLIN"/>
        <s v="ALEJANDRO FLORES"/>
        <s v="CARLOS JOAQUIN"/>
        <s v="GUSTAVO JOAQUIN"/>
        <s v="JORGE GARCIA"/>
        <m/>
        <s v="ANASIEL BENITES"/>
        <s v="REY DAVID"/>
        <s v="DANIEL CRUZ"/>
        <s v="OMERO BENITEZ"/>
        <s v="CARLOS GUADARRAMA"/>
        <s v="ALEJANDRO FLORES "/>
        <s v="JONATHAN GUTIERREZ"/>
        <s v="DANIEL SANCHEZ"/>
        <s v="SANTOS SOTERO"/>
        <s v="ROBERTO ONOFRE"/>
        <s v="ANASIEL BENITEZ"/>
        <s v="RAMIRO HERNANDEZ"/>
        <s v="VICTOR GONZALEZ"/>
        <s v="EDWIN TEPOZON ESCOBAR "/>
        <s v="CESAR GUTIERREZ"/>
        <s v="HUGO GUTIERREZ"/>
        <s v="LUCIO CAXNAJOY"/>
        <s v="CESAR GRANADOS"/>
        <s v="BRANDOM GRANADOS"/>
        <s v="ENRIQUE TORRES"/>
        <s v="SANROS SOTERO"/>
        <s v="DAVID "/>
        <s v="ARIEL BECERRIL"/>
        <s v="ERICK GUTIERREZ"/>
        <s v="BERNABE GUTIERREZ"/>
        <s v="JULIO RESENDIZ"/>
        <s v="ORLANDO GUTIERREZ"/>
        <s v="VIAJE EN FALSO "/>
        <s v="SANTOS O"/>
        <s v="ROBERTO F."/>
        <s v="RAMIRO HERNANDEZ O."/>
        <s v="VICTOR GONZALES"/>
        <s v="JUAN GUTIERREZ"/>
        <s v="ROLANDO GUTIERREZ"/>
        <s v="BERNABE GUTIERREZ F."/>
        <s v="JULIO RESENDIS"/>
        <s v="MAURICIO GUTIERREZ"/>
        <s v="KEVIN ESQUIVEL "/>
        <s v="EDWIN T"/>
        <s v="EDUARDO GONZALEZ"/>
        <s v="MANUEL LOPEZ"/>
        <s v="IVA MULATO"/>
        <s v="SERGIO VALDEZ"/>
        <s v="JULIO LOPEZ"/>
        <s v="ALEJANDRO GUTIERREZ"/>
        <s v="BERBABE GUTIERREZ"/>
        <s v="JUAN RAMIREZ"/>
        <s v="JUAN MANUEL"/>
        <s v="IVAN GUTIERREZ"/>
        <s v="ALEJANDRO JONATHAN"/>
        <s v="CESAR MENDEZ"/>
        <s v="JULIO REZENDIS"/>
        <s v="RAMIRO MENDEZ"/>
        <s v="SERGIO G."/>
        <s v="MAURICIO GUTI"/>
        <s v="REYNALDO A."/>
        <s v="EDUARDO GONZALES"/>
        <s v="ALESANDRO GUTIERREZ"/>
        <s v="MIGUEL VALDEZ"/>
        <s v="LUIS FERNANDO"/>
        <s v="ARNULFO GUTIERREZ"/>
        <s v="BERNARDO PERA"/>
        <s v="ISMAEL GUTIERREZ"/>
        <s v="BERNABE CHAVEZ"/>
        <s v="FELIPE MORENO"/>
        <s v="FERNANDO PERA"/>
        <s v="RAMIREZ HERNANDEZ"/>
        <s v="MANUEL MUSILLO"/>
        <s v="FERNANDO VILLA"/>
        <s v="KEVIN EZEQUIEL"/>
        <s v="ADOLFO GUTIERREZ"/>
        <s v="FERNAND0 PERA"/>
        <s v="VERNABE CHAVEZ"/>
        <s v="VERNABE GUTIERREZ"/>
        <s v="CESAR CARRUNO"/>
        <s v="ARNILLO GUTIERREZ"/>
        <s v="LUIS GUTIERREZ"/>
        <s v="JAIR ALMARIANA"/>
        <s v="BERNARDO GUTIERREZ"/>
        <s v="BERNARDO CHAVEZ"/>
        <s v="YAIR ALCANTARA"/>
        <s v="VICTOR GUTIERREZ"/>
        <s v="JUAN MULATO"/>
        <s v="LUIS AXEL"/>
        <s v="CESAR GUTIEEREZ"/>
        <s v="ALFREDO MUSIÑO"/>
        <s v="ARNULFO"/>
        <s v="MISAEL VALERA"/>
        <s v="CARPETANO REYES"/>
        <s v="LUIS FELIPE"/>
        <s v="ALEJANDRO JELLES"/>
        <s v="CESAR RESENDIZ"/>
        <s v="SERGIO GALAN"/>
        <s v="HIRAVIO GUTIERREZ"/>
        <s v="DAVID EZEQUIEL"/>
        <s v="CASLON HERNANDEZ"/>
        <s v="MISAEL DAVELA"/>
        <s v="GASTON HERNANDEZ"/>
        <s v="JUAN VENTUREL"/>
        <s v="VICTOR GULARES"/>
        <s v="LUCIO BUSTAMANTE"/>
        <s v="ALEJANDRO TORRES"/>
        <s v="IVAN MORALES"/>
        <s v="CESAR ROJAS"/>
        <s v="EDUARDO GUZMAN"/>
      </sharedItems>
    </cacheField>
    <cacheField name="SINDICATO" numFmtId="0">
      <sharedItems>
        <s v="COSUM TOLUCA"/>
        <s v="COSUM ARIEL "/>
      </sharedItems>
    </cacheField>
    <cacheField name="KM INICIO">
      <sharedItems containsBlank="1" containsMixedTypes="1" containsNumber="1" containsInteger="1">
        <m/>
        <s v="35+000"/>
        <s v="34+970"/>
        <s v="-"/>
        <s v="34+760"/>
        <s v="34+790"/>
        <s v="34+905"/>
        <s v="34+940"/>
        <s v="34+870"/>
        <s v="34+830"/>
        <s v="37+730"/>
        <s v="37+707"/>
        <s v="37+640"/>
        <s v="37+675"/>
        <s v="37+609"/>
        <s v="37+480"/>
        <s v="37+575"/>
        <s v="37+530"/>
        <s v="37+508"/>
        <s v="37+440"/>
        <s v="37+410"/>
        <s v="37+375"/>
        <n v="0.0"/>
        <n v="34360.0"/>
        <n v="34330.0"/>
        <n v="34295.0"/>
        <n v="34257.0"/>
        <n v="34222.0"/>
        <n v="34192.0"/>
        <n v="35000.0"/>
        <n v="34965.0"/>
        <n v="34927.0"/>
        <n v="34892.0"/>
        <n v="34857.0"/>
        <n v="34818.0"/>
        <n v="34783.0"/>
        <n v="34748.0"/>
        <n v="34708.0"/>
        <n v="34673.0"/>
        <n v="34637.0"/>
        <n v="34967.0"/>
        <n v="34932.0"/>
        <n v="34898.0"/>
        <n v="34861.0"/>
        <n v="34828.0"/>
        <n v="34792.0"/>
        <n v="34759.0"/>
        <n v="34968.0"/>
        <n v="34931.0"/>
        <n v="34894.0"/>
        <n v="34600.0"/>
        <n v="34568.0"/>
        <n v="34532.0"/>
        <n v="34495.0"/>
        <n v="34459.0"/>
        <n v="34421.0"/>
        <n v="34381.0"/>
        <n v="34344.0"/>
        <n v="34309.0"/>
        <n v="34269.0"/>
        <n v="34232.0"/>
        <n v="34194.0"/>
        <n v="34728.0"/>
        <n v="34745.0"/>
        <n v="22985.0"/>
        <n v="23018.0"/>
        <n v="23053.0"/>
        <n v="23089.0"/>
        <n v="23128.0"/>
        <n v="23163.0"/>
        <n v="23200.0"/>
        <n v="23239.0"/>
        <n v="23271.0"/>
        <n v="23308.0"/>
        <n v="23342.0"/>
        <n v="23378.0"/>
        <n v="23411.0"/>
        <n v="23447.0"/>
        <n v="34700.0"/>
        <n v="34661.0"/>
        <n v="34624.0"/>
        <n v="34585.0"/>
        <n v="34550.0"/>
        <n v="34508.0"/>
        <n v="34465.0"/>
        <n v="34424.0"/>
        <n v="23020.0"/>
        <n v="23061.0"/>
        <n v="23101.0"/>
        <n v="23138.0"/>
        <n v="23180.0"/>
        <n v="23221.0"/>
        <n v="23257.0"/>
        <n v="23298.0"/>
        <n v="23334.0"/>
        <n v="23372.0"/>
        <n v="23407.0"/>
        <n v="23448.0"/>
        <n v="23488.0"/>
        <n v="23526.0"/>
        <s v="34+360.00"/>
        <s v="34+320.00"/>
        <s v="34+270.00"/>
        <s v="34+220.00"/>
        <s v="34+000.00"/>
        <s v="34+040.00"/>
        <s v="34+080.00"/>
        <s v="34+130.00"/>
        <s v="34+190.00"/>
        <s v="34+640.00"/>
        <s v="34+600.00"/>
        <s v="34+560.00"/>
        <s v="34+515.00"/>
        <s v="34+475.00"/>
        <s v="34+455.00"/>
        <s v="34+370.00"/>
        <s v="34+330.00"/>
        <s v="34+410.00"/>
        <s v="34+365.00"/>
        <s v="34+210.00"/>
        <s v="34+260.00"/>
        <s v="34+205.00"/>
        <s v="34+165.00"/>
        <s v="34+120.00"/>
        <s v="34+085.00"/>
        <s v="34+050.00"/>
        <s v="33+960.00"/>
        <s v="34+160.00"/>
        <s v="34+030.00"/>
        <s v="34+100.00"/>
        <s v="34+070.00"/>
        <s v="33+985.00"/>
        <s v="34+125.00"/>
        <s v="34+095.00"/>
        <s v="34+060.00"/>
        <s v="34+025.00"/>
        <s v="33+990.00"/>
        <s v="33+955.00"/>
        <s v="34+135.00"/>
        <s v="34+090.00"/>
        <s v="34+055.00"/>
        <s v="34+015.00"/>
        <s v="33+930.00"/>
        <s v="33+975.00"/>
        <s v="33+900.00"/>
        <s v="33+860.00"/>
        <s v="33+820.00"/>
        <s v="33+780.00"/>
        <s v="33+740.00"/>
        <s v="33+700.00"/>
        <s v="33+660.00"/>
        <s v="33+620.00"/>
        <s v="33+925.00"/>
        <s v="33+870.00"/>
        <s v="33+785.00"/>
        <s v="33+750.00"/>
        <s v="33+710.00"/>
        <s v="33+915.00"/>
        <s v="33+875.00"/>
        <s v="33+830.00"/>
        <s v="33+790.00"/>
        <s v="33+920.00"/>
        <s v="33+885.00"/>
        <s v="33+715.00"/>
        <s v="33+845.00"/>
        <s v="33+805.00"/>
        <s v="33+760.00"/>
        <s v="33+680.00"/>
        <s v="33+580.00"/>
        <s v="33+600.00"/>
        <s v="33+540.00"/>
        <s v="33+520.00"/>
        <s v="33+485.00"/>
        <s v="33+450.00"/>
        <s v="33+420.00"/>
        <s v="33+670.00"/>
        <s v="33+635.00"/>
        <s v="33+590.00"/>
        <s v="33+550.00"/>
        <s v="33+510.00"/>
        <s v="33+470.00"/>
        <s v="33+430.00"/>
        <s v="33+390.00"/>
        <s v="33+340.00"/>
        <s v="33+305.00"/>
        <s v="33+275.00"/>
        <s v="33+250.00"/>
        <s v="33+210.00"/>
        <s v="33+175.00"/>
        <s v="33+130.00"/>
        <s v="33+385.00"/>
        <s v="33+360.00"/>
        <s v="33+320.00"/>
        <s v="33+285.00"/>
        <s v="33+215.00"/>
        <s v="33+190.00"/>
        <s v="33+155.00"/>
        <s v="33+120.00"/>
        <s v="33+090.00"/>
        <s v="33+105.00"/>
        <s v="33+070.00"/>
        <s v="33+040.00"/>
        <s v="33+005.00"/>
        <s v="32+970.00"/>
        <s v="32+930.00"/>
        <s v="32+900.00"/>
        <s v="32+865.00"/>
        <s v="32+830.00"/>
        <s v="32+800.00"/>
        <s v="32+750.00"/>
        <s v="32+710.00"/>
        <s v="32+675.00"/>
        <s v="32+635.00"/>
        <s v="32+600.00"/>
        <s v="33+060.00"/>
        <s v="33+030.00"/>
        <s v="32+990.00"/>
        <s v="32+950.00"/>
        <s v="32+910.00"/>
        <s v="32+855.00"/>
        <s v="32+790.00"/>
        <s v="32+720.00"/>
        <s v="32+690.00"/>
        <s v="32+650.00"/>
        <s v="32+620.00"/>
        <s v="32+580.00"/>
        <s v="32+555.00"/>
        <s v="32+520.00"/>
        <s v="32+480.00"/>
        <s v="32+450.00"/>
        <s v="32+430.00"/>
        <s v="32+400.00"/>
        <s v="32+360.00"/>
        <s v="32+320.00"/>
        <s v="32+290.00"/>
        <s v="32+250.00"/>
        <s v="32+230.00"/>
        <s v="32+545.00"/>
        <s v="32+515.00"/>
        <s v="32+420.00"/>
        <s v="32+390.00"/>
        <s v="32+355.00"/>
        <s v="32+325.00"/>
        <s v="32+260.00"/>
        <s v="32+190.00"/>
        <s v="32+160.00"/>
        <s v="32+130.00"/>
        <s v="32+100.00"/>
        <s v="32+050.00"/>
        <s v="32+020.00"/>
        <s v="32+010.00"/>
        <s v="31+980.00"/>
        <s v="31+950.00"/>
        <s v="31+920.00"/>
        <s v="31+890.00"/>
        <s v="31+870.00"/>
        <s v="31+830.00"/>
        <s v="31+600.00"/>
        <s v="31+570.00"/>
        <s v="31+530.00"/>
        <s v="31+495.00"/>
        <s v="31+460.00"/>
        <s v="31+430.00"/>
        <s v="32+200.00"/>
        <s v="32+180.00"/>
        <s v="32+150.00"/>
        <s v="32+120.00"/>
        <s v="32+080.00"/>
        <s v="32+040.00"/>
        <s v="31+970.00"/>
        <s v="31+930.00"/>
        <s v="31+860.00"/>
        <s v="31+575.00"/>
        <s v="31+490.00"/>
        <s v="31+455.00"/>
        <s v="31+410.00"/>
        <s v="31+375.00"/>
        <s v="31+340.00"/>
        <s v="31+300.00"/>
        <s v="31+275.00"/>
        <s v="31+240.00"/>
        <s v="31+210.00"/>
        <s v="31+180.00"/>
        <s v="31+150.00"/>
        <s v="31+120.00"/>
        <s v="31+090.00"/>
        <s v="31+060.00"/>
        <s v="31+020.00"/>
        <s v="30+990.00"/>
        <s v="31+400.00"/>
        <s v="31+370.00"/>
        <s v="31+330.00"/>
        <s v="31+285.00"/>
        <s v="31+250.00"/>
        <s v="31+170.00"/>
        <s v="31+135.00"/>
        <s v="31+105.00"/>
        <s v="31+075.00"/>
        <s v="31+040.00"/>
        <s v="31+000.00"/>
        <s v="30+950.00"/>
        <s v="30+920.00"/>
        <s v="30+880.00"/>
        <s v="30+855.00"/>
        <s v="30+825.00"/>
        <s v="30+790.00"/>
        <s v="30+760.00"/>
        <s v="30+730.00"/>
        <s v="30+700.00"/>
        <s v="30+670.00"/>
        <s v="30+640.00"/>
        <s v="30+610.00"/>
        <s v="30+590.00"/>
        <s v="30+550.00"/>
        <s v="30+520.00"/>
        <s v="30+850.00"/>
        <s v="30+810.00"/>
        <s v="30+780.00"/>
        <s v="30+740.00"/>
        <s v="30+650.00"/>
        <s v="30+570.00"/>
        <s v="30+540.00"/>
        <s v="30+500.00"/>
        <s v="30+280.00"/>
        <s v="30+250.00"/>
        <s v="30+210.00"/>
        <s v="29+800.00"/>
        <s v="29+760.00"/>
        <s v="29+720.00"/>
        <s v="29+750.00"/>
        <s v="29+690.00"/>
        <s v="29+650.00"/>
        <s v="29+620.00"/>
        <s v="29+590.00"/>
        <s v="29+560.00"/>
        <s v="30+220.00"/>
        <s v="30+190.00"/>
        <s v="3+160.00"/>
        <s v="30+130.00"/>
        <s v="30+090.00"/>
        <s v="30+050.00"/>
        <s v="30+020.00"/>
        <s v="29+990.00"/>
        <s v="29+960.00"/>
        <s v="29+930.00"/>
        <s v="29+890.00"/>
        <s v="29+860.00"/>
        <s v="29+830.00"/>
        <s v="29+660.00"/>
        <s v="29+740.00"/>
        <s v="29+780.00"/>
        <s v="29+820.00"/>
        <s v="29+540.00"/>
        <s v="29+515.00"/>
        <s v="29+480.00"/>
        <s v="29+450.00"/>
        <s v="29+420.00"/>
        <s v="29+390.00"/>
        <s v="29+350.00"/>
        <s v="29+335.00"/>
        <s v="30+170.00"/>
        <s v="30+100.00"/>
        <s v="30+070.00"/>
        <s v="30+030.00"/>
        <s v="30.000.00"/>
        <s v="29+950.00"/>
        <s v="29+910.00"/>
        <s v="29+880.00"/>
        <s v="29+845.00"/>
        <s v="29+715.00"/>
        <s v="29+680.00"/>
        <s v="29+640.00"/>
        <s v="23+480.00"/>
        <s v="23+510.00"/>
        <s v="29+610.00"/>
        <s v="29+580.00"/>
        <s v="29+500.00"/>
        <s v="29+380.00"/>
        <s v="29+340.00"/>
        <s v="29+300.00"/>
        <s v="29+270.00"/>
        <s v="29+240.00"/>
        <s v="29+210.00"/>
        <s v="29+180.00"/>
        <s v="29+150.00"/>
        <s v="29+100.00"/>
        <s v="29+280.00"/>
        <s v="29+140.00"/>
        <s v="29+095.00"/>
        <s v="29+065.00"/>
        <s v="29+020.00"/>
        <s v="28+990.00"/>
        <s v="28+960.00"/>
        <s v="28+930.00"/>
        <s v="28+890.00"/>
        <s v="28+860.00"/>
        <s v="28+820.00"/>
        <s v="28+780.00"/>
        <s v="28+750.00"/>
        <s v="28+720.00"/>
        <s v="28+690.00"/>
        <s v="28+660.00"/>
        <s v="28+630.00"/>
        <s v="28+600.00"/>
        <s v="28+570.00"/>
        <s v="29+080.00"/>
        <s v="29+040.00"/>
        <s v="29+000.00"/>
        <s v="28+970.00"/>
        <s v="28+830.00"/>
        <s v="28+790.00"/>
        <s v="28+760.00"/>
        <s v="28+730.00"/>
        <s v="28+700.00"/>
        <s v="28+560.00"/>
        <s v="28+530.00"/>
        <s v="28+500.00"/>
        <s v="28+470.00"/>
        <s v="28+440.00"/>
        <s v="28+420.00"/>
        <s v="28+390.00"/>
        <s v="28+360.00"/>
        <s v="28+330.00"/>
        <s v="28+300.00"/>
        <s v="28+260.00"/>
        <s v="28+230.00"/>
        <s v="28+525.00"/>
        <s v="28+495.00"/>
        <s v="28+460.00"/>
        <s v="28+350.00"/>
        <s v="28+310.00"/>
        <s v="28+270.00"/>
        <s v="28+240.00"/>
        <s v="28+200.00"/>
        <s v="28+170.00"/>
        <s v="28+140.00"/>
        <s v="28+115.00"/>
        <s v="28+075.00"/>
        <s v="28+050.00"/>
      </sharedItems>
    </cacheField>
    <cacheField name="KM FINAL">
      <sharedItems containsBlank="1" containsMixedTypes="1" containsNumber="1" containsInteger="1">
        <m/>
        <s v="34+970"/>
        <s v="34+940"/>
        <s v="-"/>
        <s v="34+730"/>
        <s v="34+760"/>
        <s v="34+870"/>
        <s v="34+905"/>
        <s v="34+830"/>
        <s v="34+790"/>
        <s v="37+707"/>
        <s v="37+675"/>
        <s v="37+609"/>
        <s v="37+640"/>
        <s v="37+575"/>
        <s v="37+440"/>
        <s v="37+538"/>
        <s v="37+508"/>
        <s v="37+488"/>
        <s v="34+410"/>
        <s v="37+375"/>
        <s v="37+355"/>
        <n v="0.0"/>
        <n v="34330.0"/>
        <n v="34295.0"/>
        <n v="34257.0"/>
        <n v="34222.0"/>
        <n v="34192.0"/>
        <n v="34160.0"/>
        <n v="34965.0"/>
        <n v="34927.0"/>
        <n v="34892.0"/>
        <n v="34857.0"/>
        <n v="34818.0"/>
        <n v="34783.0"/>
        <n v="34748.0"/>
        <n v="34708.0"/>
        <n v="34673.0"/>
        <n v="34637.0"/>
        <n v="34600.0"/>
        <n v="34967.0"/>
        <n v="34932.0"/>
        <n v="34898.0"/>
        <n v="34861.0"/>
        <n v="34828.0"/>
        <n v="34792.0"/>
        <n v="34759.0"/>
        <n v="34728.0"/>
        <n v="34968.0"/>
        <n v="34931.0"/>
        <n v="34894.0"/>
        <n v="34568.0"/>
        <n v="34532.0"/>
        <n v="34495.0"/>
        <n v="34459.0"/>
        <n v="34421.0"/>
        <n v="34381.0"/>
        <n v="34344.0"/>
        <n v="34309.0"/>
        <n v="34269.0"/>
        <n v="34232.0"/>
        <n v="34194.0"/>
        <n v="34700.0"/>
        <n v="23018.0"/>
        <n v="23053.0"/>
        <n v="23089.0"/>
        <n v="23128.0"/>
        <n v="23163.0"/>
        <n v="23200.0"/>
        <n v="23239.0"/>
        <n v="23271.0"/>
        <n v="23308.0"/>
        <n v="23342.0"/>
        <n v="23378.0"/>
        <n v="23411.0"/>
        <n v="23447.0"/>
        <n v="23485.0"/>
        <n v="34661.0"/>
        <n v="34624.0"/>
        <n v="34585.0"/>
        <n v="34550.0"/>
        <n v="34508.0"/>
        <n v="34465.0"/>
        <n v="34424.0"/>
        <n v="34387.0"/>
        <n v="23061.0"/>
        <n v="23101.0"/>
        <n v="23138.0"/>
        <n v="23180.0"/>
        <n v="23221.0"/>
        <n v="23257.0"/>
        <n v="23298.0"/>
        <n v="23334.0"/>
        <n v="23372.0"/>
        <n v="23407.0"/>
        <n v="23448.0"/>
        <n v="23488.0"/>
        <n v="23526.0"/>
        <n v="23560.0"/>
        <s v="34+320.00"/>
        <s v="34+270.00"/>
        <s v="34+220.00"/>
        <s v="34+170.00"/>
        <s v="34+040.00"/>
        <s v="34+080.00"/>
        <s v="34+130.00"/>
        <s v="34+190.00"/>
        <s v="34+245.00"/>
        <s v="34+600.00"/>
        <s v="34+560.00"/>
        <s v="34+515.00"/>
        <s v="34+475.00"/>
        <s v="34+455.00"/>
        <s v="34+410.00"/>
        <s v="34+330.00"/>
        <s v="34+285.00"/>
        <s v="34+365.00"/>
        <s v="34+180.00"/>
        <s v="34+225.00"/>
        <s v="34+165.00"/>
        <s v="34+175.00"/>
        <s v="34+085.00"/>
        <s v="34+050.00"/>
        <s v="34+000.00"/>
        <s v="33+960.00"/>
        <s v="33+920.00"/>
        <s v="34+100.00"/>
        <s v="33+985.00"/>
        <s v="34+070.00"/>
        <s v="34+030.00"/>
        <s v="33+935.00"/>
        <s v="34+125.00"/>
        <s v="34+095.00"/>
        <s v="34+060.00"/>
        <s v="34+025.00"/>
        <s v="33+990.00"/>
        <s v="33+955.00"/>
        <s v="34+075.00"/>
        <s v="34+090.00"/>
        <s v="34+055.00"/>
        <s v="34+015.00"/>
        <s v="33+975.00"/>
        <s v="33+900.00"/>
        <s v="33+930.00"/>
        <s v="33+860.00"/>
        <s v="33+820.00"/>
        <s v="33+780.00"/>
        <s v="33+740.00"/>
        <s v="33+700.00"/>
        <s v="33+660.00"/>
        <s v="33+620.00"/>
        <s v="33+580.00"/>
        <s v="33+630.00"/>
        <s v="33+870.00"/>
        <s v="33+785.00"/>
        <s v="33+750.00"/>
        <s v="33+710.00"/>
        <s v="33+680.00"/>
        <s v="33+875.00"/>
        <s v="33+915.00"/>
        <s v="33+830.00"/>
        <s v="33+790.00"/>
        <s v="33+755.00"/>
        <s v="33+885.00"/>
        <s v="33+845.00"/>
        <s v="33+805.00"/>
        <s v="33+760.00"/>
        <s v="33+715.00"/>
        <s v="33+640"/>
        <s v="33+540.00"/>
        <s v="33+610.00"/>
        <s v="33+520.00"/>
        <s v="33+485.00"/>
        <s v="33+450.00"/>
        <s v="33+420.00"/>
        <s v="33+380.00"/>
        <s v="33+635.00"/>
        <s v="33+590.00"/>
        <s v="33+550.00"/>
        <s v="33+510.00"/>
        <s v="33+470.00"/>
        <s v="33+430.00"/>
        <s v="33+390.00"/>
        <s v="33+340.00"/>
        <s v="33+305.00"/>
        <s v="33+275.00"/>
        <s v="33+250.00"/>
        <s v="33+210.00"/>
        <s v="33+175.00"/>
        <s v="33+130.00"/>
        <s v="33+090.00"/>
        <s v="33+360.00"/>
        <s v="33+320.00"/>
        <s v="33+285.00"/>
        <s v="33+215.00"/>
        <s v="33+190.00"/>
        <s v="33+155.00"/>
        <s v="33+120.00"/>
        <s v="33+060.00"/>
        <s v="33+070.00"/>
        <s v="33+0.40.00"/>
        <s v="33+005.00"/>
        <s v="32+970.00"/>
        <s v="32+940.00"/>
        <s v="32+900.00"/>
        <s v="32+865.00"/>
        <s v="32+830.00"/>
        <s v="32+800.00"/>
        <s v="32+750.00"/>
        <s v="32+710.00"/>
        <s v="32+675.00"/>
        <s v="32+635.00"/>
        <s v="32+600.00"/>
        <s v="32+560.00"/>
        <s v="33+030.00"/>
        <s v="32+990.00"/>
        <s v="32+950.00"/>
        <s v="32+910.00"/>
        <s v="32+855.00"/>
        <s v="32+790.00"/>
        <s v="32+720.00"/>
        <s v="32+690.00"/>
        <s v="32+650.00"/>
        <s v="32+620.00"/>
        <s v="32+580.00"/>
        <s v="32+555.00"/>
        <s v="32+520.00"/>
        <s v="32+480.00"/>
        <s v="32+450.00"/>
        <s v="32+430.00"/>
        <s v="32+400.00"/>
        <s v="32+360.00"/>
        <s v="32+320.00"/>
        <s v="32+290.00"/>
        <s v="32+250.00"/>
        <s v="32+220.00"/>
        <s v="32+200.00"/>
        <s v="32+545.00"/>
        <s v="32+515.00"/>
        <s v="32+420.00"/>
        <s v="32+390.00"/>
        <s v="32+355.00"/>
        <s v="32+325.00"/>
        <s v="32+260.00"/>
        <s v="32+230.00"/>
        <s v="32+190.00"/>
        <s v="32+160.00"/>
        <s v="32+130.00"/>
        <s v="32+100.00"/>
        <s v="32+050.00"/>
        <s v="32+020.00"/>
        <s v="32+010.00"/>
        <s v="31+980.00"/>
        <s v="31+950.00"/>
        <s v="31+920.00"/>
        <s v="31+890.00"/>
        <s v="31+870.00"/>
        <s v="31+830.00"/>
        <s v="31+800.00"/>
        <s v="31+570.00"/>
        <s v="31+530.00"/>
        <s v="31+495.00"/>
        <s v="31+460.00"/>
        <s v="31+430.00"/>
        <s v="31+400.00"/>
        <s v="32+180.00"/>
        <s v="32+150.00"/>
        <s v="32+120.00"/>
        <s v="32+080.00"/>
        <s v="32+040.00"/>
        <s v="31+970.00"/>
        <s v="31+930.00"/>
        <s v="31+860.00"/>
        <s v="31+820.00"/>
        <s v="31+575.00"/>
        <s v="31+490.00"/>
        <s v="31+455.00"/>
        <s v="31+410.00"/>
        <s v="31+375.00"/>
        <s v="31+340.00"/>
        <s v="31+300.00"/>
        <s v="31+275.00"/>
        <s v="31+240.00"/>
        <s v="31+210.00"/>
        <s v="31+180.00"/>
        <s v="31+150.00"/>
        <s v="31+120.00"/>
        <s v="31+090.00"/>
        <s v="31+060.00"/>
        <s v="31+020.00"/>
        <s v="30+990.00"/>
        <s v="30+950.00"/>
        <s v="31+370.00"/>
        <s v="31+330.00"/>
        <s v="31+285.00"/>
        <s v="31+250.00"/>
        <s v="31+170.00"/>
        <s v="31+135.00"/>
        <s v="31+105.00"/>
        <s v="31+075.00"/>
        <s v="31+040.00"/>
        <s v="31+000.00"/>
        <s v="30+915.00"/>
        <s v="30+900.00"/>
        <s v="30+920.00"/>
        <s v="30+880.00"/>
        <s v="30+855.00"/>
        <s v="30+828.00"/>
        <s v="30+790.00"/>
        <s v="30+760.00"/>
        <s v="30+730.00"/>
        <s v="30+700.00"/>
        <s v="30+670.00"/>
        <s v="30+640.00"/>
        <s v="30+610.00"/>
        <s v="30+590.00"/>
        <s v="30+550.00"/>
        <s v="30+520.00"/>
        <s v="30+490.00"/>
        <s v="30+850.00"/>
        <s v="30+810.00"/>
        <s v="30+780.00"/>
        <s v="30+740.00"/>
        <s v="30+650.00"/>
        <s v="30+570.00"/>
        <s v="30+540.00"/>
        <s v="30+500.00"/>
        <s v="30+480.00"/>
        <s v="30+280.00"/>
        <s v="30+210.00"/>
        <s v="30+180.00"/>
        <s v="29+760.00"/>
        <s v="29+720.00"/>
        <s v="29+690.00"/>
        <s v="29+750.00"/>
        <s v="29+700.00"/>
        <s v="29+650.00"/>
        <s v="29+620.00"/>
        <s v="29+590.00"/>
        <s v="29+560.00"/>
        <s v="29+530.00"/>
        <s v="30+250.00"/>
        <s v="30+220.00"/>
        <s v="30+190.00"/>
        <s v="30+160.00"/>
        <s v="30+130.00"/>
        <s v="30+090.00"/>
        <s v="30+050.00"/>
        <s v="30+020.00"/>
        <s v="29+990.00"/>
        <s v="29+960.00"/>
        <s v="29+930.00"/>
        <s v="29+890.00"/>
        <s v="29+860.00"/>
        <s v="29+830.00"/>
        <s v="29+800.00"/>
        <s v="29+660.00"/>
        <s v="29+740.00"/>
        <s v="29+780.00"/>
        <s v="29+820.00"/>
        <s v="29+810.00"/>
        <s v="29+515.00"/>
        <s v="29+480.00"/>
        <s v="29+450.00"/>
        <s v="29+420.00"/>
        <s v="29+390.00"/>
        <s v="29+350.00"/>
        <s v="29+335.00"/>
        <s v="29+300.00"/>
        <s v="30+100.00"/>
        <s v="30+070.00"/>
        <s v="30+030.00"/>
        <s v="30+000.00"/>
        <s v="29+950.00"/>
        <s v="29+910.00"/>
        <s v="29+880.00"/>
        <s v="29+845.00"/>
        <s v="29+715.00"/>
        <s v="29+680.00"/>
        <s v="29+640.00"/>
        <s v="29+610.00"/>
        <s v="23+510.00"/>
        <s v="23+550.00"/>
        <s v="29+580.00"/>
        <s v="29+540.00"/>
        <s v="29+500.00"/>
        <s v="29+380.00"/>
        <s v="29+340.00"/>
        <s v="29+270.00"/>
        <s v="29+240.00"/>
        <s v="29+210.00"/>
        <s v="29+180.00"/>
        <s v="29+150.00"/>
        <s v="29+100.00"/>
        <s v="29+060.00"/>
        <s v="29+280.00"/>
        <s v="29+140.00"/>
        <s v="29+095.00"/>
        <s v="29+065.00"/>
        <s v="29+020.00"/>
        <s v="28+990.00"/>
        <s v="28+960.00"/>
        <s v="28+930.00"/>
        <s v="28+890.00"/>
        <s v="28+860.00"/>
        <s v="28+820.00"/>
        <s v="28+780.00"/>
        <s v="28+750.00"/>
        <s v="28+720.00"/>
        <s v="28+690.00"/>
        <s v="28+660.00"/>
        <s v="28+630.00"/>
        <s v="28+600.00"/>
        <s v="28+570.00"/>
        <s v="28+520.00"/>
        <s v="29+040.00"/>
        <s v="29+000.00"/>
        <s v="28+970.00"/>
        <s v="28+830.00"/>
        <s v="28+790.00"/>
        <s v="28+760.00"/>
        <s v="28+730.00"/>
        <s v="28+700.00"/>
        <s v="28+560.00"/>
        <s v="28+530.00"/>
        <s v="28+500.00"/>
        <s v="28+470.00"/>
        <s v="28+440.00"/>
        <s v="28+420.00"/>
        <s v="28+390.00"/>
        <s v="28+360.00"/>
        <s v="28+330.00"/>
        <s v="28+300.00"/>
        <s v="28+260.00"/>
        <s v="28+230.00"/>
        <s v="28+200.00"/>
        <s v="28+495.00"/>
        <s v="28+460.00"/>
        <s v="28+350.00"/>
        <s v="28+310.00"/>
        <s v="28+270.00"/>
        <s v="28+240.00"/>
        <s v="28+170.00"/>
        <s v="28+140.00"/>
        <s v="28+115.00"/>
        <s v="28+075.00"/>
        <s v="28+050.00"/>
        <s v="28+015.00"/>
      </sharedItems>
    </cacheField>
    <cacheField name="CUERPO" numFmtId="0">
      <sharedItems containsBlank="1">
        <m/>
        <s v="B"/>
        <s v="A"/>
      </sharedItems>
    </cacheField>
    <cacheField name="KM ACARREO POR VIAJE" numFmtId="0">
      <sharedItems containsString="0" containsBlank="1">
        <m/>
      </sharedItems>
    </cacheField>
    <cacheField name="OBSERVACIONES" numFmtId="0">
      <sharedItems containsBlank="1">
        <m/>
        <s v="SE CANCELARON LABORES"/>
        <s v="HUIXQUILUCAN PLANTA "/>
        <s v="CAMION SE CARGO PERO SE REGRESO POR FALLAS DEL CAMION, ESTA NOTA NO SE COBRA "/>
        <s v=" PIPA DE AGUA EN RENTA 10 MIL LTS"/>
        <s v="PEGASO PLANTA"/>
        <s v="PLANTA PEGASO"/>
        <s v="PEGASO PLANTA "/>
        <s v="CARRIL DE ALTA"/>
        <s v="RETORNO CARRIL DE BAJA"/>
        <s v="CARRIL DE BAJA"/>
        <s v="SIN ASFALTO FALLAS DE PLANTA, (CARRIL DE ALTA)"/>
        <s v="CARRIL CENTRAL"/>
        <s v="CARRIL LATERAL"/>
      </sharedItems>
    </cacheField>
    <cacheField name=" PU" numFmtId="165">
      <sharedItems containsString="0" containsBlank="1" containsNumber="1" containsInteger="1">
        <n v="3350.0"/>
        <n v="4700.0"/>
        <n v="1000.0"/>
        <n v="4500.0"/>
        <n v="4020.0"/>
        <n v="5900.0"/>
        <n v="4205.0"/>
        <m/>
        <n v="2950.0"/>
        <n v="4900.0"/>
        <n v="5132.0"/>
        <n v="7500.0"/>
        <n v="7340.0"/>
        <n v="3750.0"/>
        <n v="1500.0"/>
        <n v="3000.0"/>
        <n v="3705.0"/>
      </sharedItems>
    </cacheField>
    <cacheField name="IMPORTE" numFmtId="165">
      <sharedItems containsSemiMixedTypes="0" containsString="0" containsNumber="1" containsInteger="1">
        <n v="3350.0"/>
        <n v="4700.0"/>
        <n v="1000.0"/>
        <n v="4500.0"/>
        <n v="4020.0"/>
        <n v="5900.0"/>
        <n v="4205.0"/>
        <n v="0.0"/>
        <n v="2950.0"/>
        <n v="4900.0"/>
        <n v="5132.0"/>
        <n v="7500.0"/>
        <n v="7340.0"/>
        <n v="3750.0"/>
        <n v="1500.0"/>
        <n v="3000.0"/>
        <n v="3705.0"/>
      </sharedItems>
    </cacheField>
    <cacheField name="IVA" numFmtId="165">
      <sharedItems containsSemiMixedTypes="0" containsString="0" containsNumber="1">
        <n v="536.0"/>
        <n v="752.0"/>
        <n v="160.0"/>
        <n v="720.0"/>
        <n v="643.2"/>
        <n v="944.0"/>
        <n v="672.8000000000001"/>
        <n v="0.0"/>
        <n v="472.0"/>
        <n v="784.0"/>
        <n v="821.12"/>
        <n v="1200.0"/>
        <n v="1174.4"/>
        <n v="600.0"/>
        <n v="240.0"/>
        <n v="480.0"/>
        <n v="592.8000000000001"/>
      </sharedItems>
    </cacheField>
    <cacheField name="TOTAL" numFmtId="165">
      <sharedItems containsSemiMixedTypes="0" containsString="0" containsNumber="1">
        <n v="3886.0"/>
        <n v="5452.0"/>
        <n v="1160.0"/>
        <n v="5220.0"/>
        <n v="4663.2"/>
        <n v="6844.0"/>
        <n v="4877.8"/>
        <n v="0.0"/>
        <n v="3422.0"/>
        <n v="5684.0"/>
        <n v="5953.12"/>
        <n v="8700.0"/>
        <n v="8514.4"/>
        <n v="4350.0"/>
        <n v="1740.0"/>
        <n v="3480.0"/>
        <n v="4297.8"/>
      </sharedItems>
    </cacheField>
    <cacheField name="CONCILIACION" numFmtId="0">
      <sharedItems containsBlank="1">
        <s v="CUAJIMALPA 1"/>
        <s v="CUAJIMALPA 2"/>
        <s v=" CUAJIMALPA 2"/>
        <s v="CORTE 04/07/2026"/>
        <s v="MARQUESA 1"/>
        <m/>
        <s v=" CORTE 04/07/2026"/>
        <s v="MARQUESA 2"/>
        <s v="MARQUESA 3"/>
        <s v="CORTE 18/07/2026"/>
        <s v="MARQUESA 4"/>
        <s v="MARQUESA 5"/>
        <s v="PENDIENTE "/>
        <s v=" MARQUESA 6"/>
        <s v="CORTE 25/07/2026"/>
        <s v="CORTE 01/08/2026"/>
      </sharedItems>
    </cacheField>
    <cacheField name="ESTATUS" numFmtId="165">
      <sharedItems containsBlank="1">
        <s v=" PAGADA"/>
        <m/>
        <s v=" NO SE COBRA VIAJE "/>
      </sharedItems>
    </cacheField>
    <cacheField name="FACTURA " numFmtId="165">
      <sharedItems containsBlank="1">
        <s v=" A-1183"/>
        <s v=" A-1196"/>
        <m/>
        <s v=" A-1205"/>
        <s v="A-12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 3" cacheId="0" dataCaption="" compact="0" compactData="0">
  <location ref="A1:C37" firstHeaderRow="0" firstDataRow="2" firstDataCol="0"/>
  <pivotFields>
    <pivotField name="SEM 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FOL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t="default"/>
      </items>
    </pivotField>
    <pivotField name="FECH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VIAJES " compact="0" outline="0" multipleItemSelectionAllowed="1" showAll="0">
      <items>
        <item x="0"/>
        <item x="1"/>
        <item t="default"/>
      </items>
    </pivotField>
    <pivotField name="MATERI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LAC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APAC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DAD " compact="0" outline="0" multipleItemSelectionAllowed="1" showAll="0">
      <items>
        <item x="0"/>
        <item x="1"/>
        <item x="2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INDICATO" axis="axisRow" compact="0" outline="0" multipleItemSelectionAllowed="1" showAll="0" sortType="ascending">
      <items>
        <item x="1"/>
        <item x="2"/>
        <item x="0"/>
        <item t="default"/>
      </items>
    </pivotField>
    <pivotField name="KM INIC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M TERMI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RO " compact="0" outline="0" multipleItemSelectionAllowed="1" showAll="0">
      <items>
        <item x="0"/>
        <item x="1"/>
        <item x="2"/>
        <item t="default"/>
      </items>
    </pivotField>
    <pivotField name="CPO" compact="0" outline="0" multipleItemSelectionAllowed="1" showAll="0">
      <items>
        <item x="0"/>
        <item x="1"/>
        <item t="default"/>
      </items>
    </pivotField>
    <pivotField name="CARRI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PU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MPOR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V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NCILIACIO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STATUS" compact="0" numFmtId="165" outline="0" multipleItemSelectionAllowed="1" showAll="0">
      <items>
        <item x="0"/>
        <item x="1"/>
        <item t="default"/>
      </items>
    </pivotField>
    <pivotField name="FACTURA" compact="0" numFmtId="165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  <field x="10"/>
  </rowFields>
  <dataFields>
    <dataField name="SUM of TOTAL " fld="20" baseField="0"/>
  </dataFields>
</pivotTableDefinition>
</file>

<file path=xl/pivotTables/pivotTable2.xml><?xml version="1.0" encoding="utf-8"?>
<pivotTableDefinition xmlns="http://schemas.openxmlformats.org/spreadsheetml/2006/main" name="Tabla dinámica 4" cacheId="1" dataCaption="" compact="0" compactData="0">
  <location ref="A1:C28" firstHeaderRow="0" firstDataRow="2" firstDataCol="0"/>
  <pivotFields>
    <pivotField name="SEM 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FOL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FECH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VIAJES " compact="0" outline="0" multipleItemSelectionAllowed="1" showAll="0">
      <items>
        <item x="0"/>
        <item t="default"/>
      </items>
    </pivotField>
    <pivotField name="MATERIAL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C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APACIDAD (M3) 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ESO TOTAL (KG)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SINDICATO" axis="axisRow" compact="0" outline="0" multipleItemSelectionAllowed="1" showAll="0" sortType="ascending">
      <items>
        <item x="1"/>
        <item x="0"/>
        <item t="default"/>
      </items>
    </pivotField>
    <pivotField name="KM INI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t="default"/>
      </items>
    </pivotField>
    <pivotField name="KM 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t="default"/>
      </items>
    </pivotField>
    <pivotField name="CUERPO" compact="0" outline="0" multipleItemSelectionAllowed="1" showAll="0">
      <items>
        <item x="0"/>
        <item x="1"/>
        <item x="2"/>
        <item t="default"/>
      </items>
    </pivotField>
    <pivotField name="KM ACARREO POR VIAJE" compact="0" outline="0" multipleItemSelectionAllowed="1" showAll="0">
      <items>
        <item x="0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PU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MPOR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V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NCILI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STATUS" compact="0" numFmtId="165" outline="0" multipleItemSelectionAllowed="1" showAll="0">
      <items>
        <item x="0"/>
        <item x="1"/>
        <item x="2"/>
        <item t="default"/>
      </items>
    </pivotField>
    <pivotField name="FACTURA " compact="0" numFmtId="165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  <field x="10"/>
  </rowFields>
  <dataFields>
    <dataField name="SUM of TOTAL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9.14"/>
    <col customWidth="1" min="3" max="3" width="10.43"/>
    <col customWidth="1" min="4" max="4" width="14.71"/>
    <col customWidth="1" min="5" max="5" width="13.43"/>
    <col customWidth="1" min="6" max="6" width="20.14"/>
    <col customWidth="1" min="7" max="7" width="13.43"/>
    <col customWidth="1" min="8" max="8" width="13.0"/>
    <col customWidth="1" min="9" max="9" width="11.43"/>
    <col customWidth="1" min="10" max="10" width="22.29"/>
    <col customWidth="1" min="11" max="11" width="18.43"/>
    <col customWidth="1" min="12" max="12" width="13.43"/>
    <col customWidth="1" min="13" max="13" width="13.71"/>
    <col customWidth="1" min="14" max="14" width="14.43"/>
    <col customWidth="1" min="15" max="15" width="11.71"/>
    <col customWidth="1" min="16" max="16" width="21.43"/>
    <col customWidth="1" min="17" max="17" width="33.57"/>
    <col customWidth="1" min="18" max="18" width="12.29"/>
    <col customWidth="1" min="19" max="19" width="11.43"/>
    <col customWidth="1" min="20" max="20" width="17.71"/>
    <col customWidth="1" min="21" max="21" width="11.43"/>
    <col customWidth="1" min="22" max="22" width="19.29"/>
    <col customWidth="1" min="23" max="23" width="16.43"/>
    <col customWidth="1" min="24" max="24" width="10.71"/>
    <col customWidth="1" min="25" max="25" width="5.86"/>
    <col customWidth="1" min="26" max="26" width="30.1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  <c r="I1" s="2" t="s">
        <v>18</v>
      </c>
      <c r="J1" s="2" t="s">
        <v>9</v>
      </c>
      <c r="K1" s="2" t="s">
        <v>10</v>
      </c>
      <c r="L1" s="2" t="s">
        <v>23</v>
      </c>
      <c r="M1" s="2" t="s">
        <v>25</v>
      </c>
      <c r="N1" s="2" t="s">
        <v>27</v>
      </c>
      <c r="O1" s="2" t="s">
        <v>28</v>
      </c>
      <c r="P1" s="2" t="s">
        <v>29</v>
      </c>
      <c r="Q1" s="2" t="s">
        <v>15</v>
      </c>
      <c r="R1" s="7" t="s">
        <v>17</v>
      </c>
      <c r="S1" s="2" t="s">
        <v>19</v>
      </c>
      <c r="T1" s="2" t="s">
        <v>20</v>
      </c>
      <c r="U1" s="2" t="s">
        <v>30</v>
      </c>
      <c r="V1" s="2" t="s">
        <v>22</v>
      </c>
      <c r="W1" s="2" t="s">
        <v>24</v>
      </c>
      <c r="X1" s="2" t="s">
        <v>33</v>
      </c>
      <c r="Y1" s="12"/>
      <c r="Z1" s="13" t="s">
        <v>37</v>
      </c>
    </row>
    <row r="2">
      <c r="A2" s="6">
        <v>23.0</v>
      </c>
      <c r="B2" s="6">
        <v>1.0</v>
      </c>
      <c r="C2" s="10">
        <v>1.0</v>
      </c>
      <c r="D2" s="9">
        <v>46175.0</v>
      </c>
      <c r="E2" s="10">
        <v>1.0</v>
      </c>
      <c r="F2" s="10" t="s">
        <v>38</v>
      </c>
      <c r="G2" s="10" t="s">
        <v>39</v>
      </c>
      <c r="H2" s="10">
        <v>14.0</v>
      </c>
      <c r="I2" s="10" t="s">
        <v>40</v>
      </c>
      <c r="J2" s="10" t="s">
        <v>41</v>
      </c>
      <c r="K2" s="11" t="s">
        <v>36</v>
      </c>
      <c r="L2" s="10"/>
      <c r="M2" s="10"/>
      <c r="N2" s="6"/>
      <c r="O2" s="15"/>
      <c r="P2" s="10"/>
      <c r="Q2" s="10" t="s">
        <v>42</v>
      </c>
      <c r="R2" s="16">
        <v>5600.0</v>
      </c>
      <c r="S2" s="17">
        <f>FRESADO!$R2*FRESADO!$E2</f>
        <v>5600</v>
      </c>
      <c r="T2" s="17">
        <f>FRESADO!$S2*16%</f>
        <v>896</v>
      </c>
      <c r="U2" s="17">
        <f>FRESADO!$S2+FRESADO!$T2</f>
        <v>6496</v>
      </c>
      <c r="V2" s="17" t="s">
        <v>43</v>
      </c>
      <c r="W2" s="17" t="s">
        <v>44</v>
      </c>
      <c r="X2" s="15" t="s">
        <v>45</v>
      </c>
      <c r="Y2" s="22"/>
      <c r="Z2" s="10" t="s">
        <v>42</v>
      </c>
    </row>
    <row r="3">
      <c r="A3" s="6">
        <v>23.0</v>
      </c>
      <c r="B3" s="6">
        <v>2.0</v>
      </c>
      <c r="C3" s="6">
        <v>2.0</v>
      </c>
      <c r="D3" s="25">
        <v>46175.0</v>
      </c>
      <c r="E3" s="6">
        <v>1.0</v>
      </c>
      <c r="F3" s="6" t="s">
        <v>38</v>
      </c>
      <c r="G3" s="6" t="s">
        <v>51</v>
      </c>
      <c r="H3" s="6">
        <v>14.0</v>
      </c>
      <c r="I3" s="6" t="s">
        <v>40</v>
      </c>
      <c r="J3" s="6" t="s">
        <v>54</v>
      </c>
      <c r="K3" s="11" t="s">
        <v>36</v>
      </c>
      <c r="L3" s="6"/>
      <c r="M3" s="6"/>
      <c r="N3" s="6"/>
      <c r="O3" s="17"/>
      <c r="P3" s="6"/>
      <c r="Q3" s="6" t="s">
        <v>42</v>
      </c>
      <c r="R3" s="16">
        <v>5600.0</v>
      </c>
      <c r="S3" s="17">
        <f>FRESADO!$R3*FRESADO!$E3</f>
        <v>5600</v>
      </c>
      <c r="T3" s="17">
        <f>FRESADO!$S3*16%</f>
        <v>896</v>
      </c>
      <c r="U3" s="17">
        <f>FRESADO!$S3+FRESADO!$T3</f>
        <v>6496</v>
      </c>
      <c r="V3" s="17" t="s">
        <v>43</v>
      </c>
      <c r="W3" s="17" t="s">
        <v>44</v>
      </c>
      <c r="X3" s="15" t="s">
        <v>45</v>
      </c>
      <c r="Y3" s="22"/>
      <c r="Z3" s="6" t="s">
        <v>42</v>
      </c>
    </row>
    <row r="4">
      <c r="A4" s="6">
        <v>23.0</v>
      </c>
      <c r="B4" s="6">
        <v>3.0</v>
      </c>
      <c r="C4" s="6">
        <v>3.0</v>
      </c>
      <c r="D4" s="25">
        <v>46175.0</v>
      </c>
      <c r="E4" s="6">
        <v>1.0</v>
      </c>
      <c r="F4" s="6" t="s">
        <v>38</v>
      </c>
      <c r="G4" s="6" t="s">
        <v>69</v>
      </c>
      <c r="H4" s="6">
        <v>14.0</v>
      </c>
      <c r="I4" s="6" t="s">
        <v>40</v>
      </c>
      <c r="J4" s="6" t="s">
        <v>70</v>
      </c>
      <c r="K4" s="11" t="s">
        <v>36</v>
      </c>
      <c r="L4" s="6"/>
      <c r="M4" s="6"/>
      <c r="N4" s="6"/>
      <c r="O4" s="17"/>
      <c r="P4" s="6"/>
      <c r="Q4" s="6" t="s">
        <v>42</v>
      </c>
      <c r="R4" s="16">
        <v>5600.0</v>
      </c>
      <c r="S4" s="17">
        <f>FRESADO!$R4*FRESADO!$E4</f>
        <v>5600</v>
      </c>
      <c r="T4" s="17">
        <f>FRESADO!$S4*16%</f>
        <v>896</v>
      </c>
      <c r="U4" s="17">
        <f>FRESADO!$S4+FRESADO!$T4</f>
        <v>6496</v>
      </c>
      <c r="V4" s="17" t="s">
        <v>43</v>
      </c>
      <c r="W4" s="17" t="s">
        <v>44</v>
      </c>
      <c r="X4" s="15" t="s">
        <v>45</v>
      </c>
      <c r="Y4" s="22"/>
      <c r="Z4" s="6" t="s">
        <v>42</v>
      </c>
    </row>
    <row r="5">
      <c r="A5" s="6">
        <v>23.0</v>
      </c>
      <c r="B5" s="6"/>
      <c r="C5" s="6">
        <v>5761.0</v>
      </c>
      <c r="D5" s="25">
        <v>46174.0</v>
      </c>
      <c r="E5" s="6">
        <v>1.0</v>
      </c>
      <c r="F5" s="6" t="s">
        <v>74</v>
      </c>
      <c r="G5" s="6" t="s">
        <v>51</v>
      </c>
      <c r="H5" s="6">
        <v>14.0</v>
      </c>
      <c r="I5" s="6" t="s">
        <v>40</v>
      </c>
      <c r="J5" s="6" t="s">
        <v>54</v>
      </c>
      <c r="K5" s="11" t="s">
        <v>36</v>
      </c>
      <c r="L5" s="6"/>
      <c r="M5" s="6"/>
      <c r="N5" s="6"/>
      <c r="O5" s="17"/>
      <c r="P5" s="6"/>
      <c r="Q5" s="6"/>
      <c r="R5" s="16">
        <v>2500.0</v>
      </c>
      <c r="S5" s="17">
        <f>FRESADO!$R5*FRESADO!$E5</f>
        <v>2500</v>
      </c>
      <c r="T5" s="17">
        <f>FRESADO!$S5*16%</f>
        <v>400</v>
      </c>
      <c r="U5" s="17">
        <f>FRESADO!$S5+FRESADO!$T5</f>
        <v>2900</v>
      </c>
      <c r="V5" s="17" t="s">
        <v>43</v>
      </c>
      <c r="W5" s="17" t="s">
        <v>44</v>
      </c>
      <c r="X5" s="15" t="s">
        <v>45</v>
      </c>
      <c r="Y5" s="30"/>
      <c r="Z5" s="31" t="s">
        <v>77</v>
      </c>
    </row>
    <row r="6">
      <c r="A6" s="6">
        <v>23.0</v>
      </c>
      <c r="B6" s="6"/>
      <c r="C6" s="6">
        <v>5761.0</v>
      </c>
      <c r="D6" s="25">
        <v>46174.0</v>
      </c>
      <c r="E6" s="6">
        <v>1.0</v>
      </c>
      <c r="F6" s="6" t="s">
        <v>74</v>
      </c>
      <c r="G6" s="6" t="s">
        <v>51</v>
      </c>
      <c r="H6" s="6">
        <v>14.0</v>
      </c>
      <c r="I6" s="6" t="s">
        <v>40</v>
      </c>
      <c r="J6" s="6" t="s">
        <v>54</v>
      </c>
      <c r="K6" s="11" t="s">
        <v>36</v>
      </c>
      <c r="L6" s="6"/>
      <c r="M6" s="6"/>
      <c r="N6" s="6"/>
      <c r="O6" s="17"/>
      <c r="P6" s="6"/>
      <c r="Q6" s="6"/>
      <c r="R6" s="16">
        <v>2500.0</v>
      </c>
      <c r="S6" s="17">
        <f>FRESADO!$R6*FRESADO!$E6</f>
        <v>2500</v>
      </c>
      <c r="T6" s="17">
        <f>FRESADO!$S6*16%</f>
        <v>400</v>
      </c>
      <c r="U6" s="17">
        <f>FRESADO!$S6+FRESADO!$T6</f>
        <v>2900</v>
      </c>
      <c r="V6" s="17" t="s">
        <v>43</v>
      </c>
      <c r="W6" s="17" t="s">
        <v>44</v>
      </c>
      <c r="X6" s="15" t="s">
        <v>45</v>
      </c>
      <c r="Y6" s="30"/>
      <c r="Z6" s="31" t="s">
        <v>77</v>
      </c>
    </row>
    <row r="7">
      <c r="A7" s="6">
        <v>23.0</v>
      </c>
      <c r="B7" s="6"/>
      <c r="C7" s="6">
        <v>5761.0</v>
      </c>
      <c r="D7" s="25">
        <v>46174.0</v>
      </c>
      <c r="E7" s="6">
        <v>1.0</v>
      </c>
      <c r="F7" s="6" t="s">
        <v>74</v>
      </c>
      <c r="G7" s="6" t="s">
        <v>51</v>
      </c>
      <c r="H7" s="6">
        <v>14.0</v>
      </c>
      <c r="I7" s="6" t="s">
        <v>40</v>
      </c>
      <c r="J7" s="6" t="s">
        <v>54</v>
      </c>
      <c r="K7" s="11" t="s">
        <v>36</v>
      </c>
      <c r="L7" s="6"/>
      <c r="M7" s="6"/>
      <c r="N7" s="6"/>
      <c r="O7" s="17"/>
      <c r="P7" s="6"/>
      <c r="Q7" s="6"/>
      <c r="R7" s="16">
        <v>2500.0</v>
      </c>
      <c r="S7" s="17">
        <f>FRESADO!$R7*FRESADO!$E7</f>
        <v>2500</v>
      </c>
      <c r="T7" s="17">
        <f>FRESADO!$S7*16%</f>
        <v>400</v>
      </c>
      <c r="U7" s="17">
        <f>FRESADO!$S7+FRESADO!$T7</f>
        <v>2900</v>
      </c>
      <c r="V7" s="17" t="s">
        <v>43</v>
      </c>
      <c r="W7" s="17" t="s">
        <v>44</v>
      </c>
      <c r="X7" s="15" t="s">
        <v>45</v>
      </c>
      <c r="Y7" s="30"/>
      <c r="Z7" s="31" t="s">
        <v>77</v>
      </c>
    </row>
    <row r="8">
      <c r="A8" s="6">
        <v>23.0</v>
      </c>
      <c r="B8" s="6"/>
      <c r="C8" s="6">
        <v>5761.0</v>
      </c>
      <c r="D8" s="25">
        <v>46174.0</v>
      </c>
      <c r="E8" s="6">
        <v>1.0</v>
      </c>
      <c r="F8" s="6" t="s">
        <v>74</v>
      </c>
      <c r="G8" s="6" t="s">
        <v>51</v>
      </c>
      <c r="H8" s="6">
        <v>14.0</v>
      </c>
      <c r="I8" s="6" t="s">
        <v>40</v>
      </c>
      <c r="J8" s="6" t="s">
        <v>54</v>
      </c>
      <c r="K8" s="11" t="s">
        <v>36</v>
      </c>
      <c r="L8" s="6"/>
      <c r="M8" s="6"/>
      <c r="N8" s="6"/>
      <c r="O8" s="17"/>
      <c r="P8" s="6"/>
      <c r="Q8" s="6"/>
      <c r="R8" s="16">
        <v>2500.0</v>
      </c>
      <c r="S8" s="17">
        <f>FRESADO!$R8*FRESADO!$E8</f>
        <v>2500</v>
      </c>
      <c r="T8" s="17">
        <f>FRESADO!$S8*16%</f>
        <v>400</v>
      </c>
      <c r="U8" s="17">
        <f>FRESADO!$S8+FRESADO!$T8</f>
        <v>2900</v>
      </c>
      <c r="V8" s="17" t="s">
        <v>43</v>
      </c>
      <c r="W8" s="17" t="s">
        <v>44</v>
      </c>
      <c r="X8" s="15" t="s">
        <v>45</v>
      </c>
      <c r="Y8" s="30"/>
      <c r="Z8" s="31" t="s">
        <v>77</v>
      </c>
    </row>
    <row r="9">
      <c r="A9" s="6">
        <v>23.0</v>
      </c>
      <c r="B9" s="6"/>
      <c r="C9" s="6">
        <v>5761.0</v>
      </c>
      <c r="D9" s="25">
        <v>46174.0</v>
      </c>
      <c r="E9" s="6">
        <v>1.0</v>
      </c>
      <c r="F9" s="6" t="s">
        <v>74</v>
      </c>
      <c r="G9" s="6" t="s">
        <v>51</v>
      </c>
      <c r="H9" s="6">
        <v>14.0</v>
      </c>
      <c r="I9" s="6" t="s">
        <v>40</v>
      </c>
      <c r="J9" s="6" t="s">
        <v>54</v>
      </c>
      <c r="K9" s="11" t="s">
        <v>36</v>
      </c>
      <c r="L9" s="6"/>
      <c r="M9" s="6"/>
      <c r="N9" s="6"/>
      <c r="O9" s="17"/>
      <c r="P9" s="6"/>
      <c r="Q9" s="6"/>
      <c r="R9" s="16">
        <v>2500.0</v>
      </c>
      <c r="S9" s="17">
        <f>FRESADO!$R9*FRESADO!$E9</f>
        <v>2500</v>
      </c>
      <c r="T9" s="17">
        <f>FRESADO!$S9*16%</f>
        <v>400</v>
      </c>
      <c r="U9" s="17">
        <f>FRESADO!$S9+FRESADO!$T9</f>
        <v>2900</v>
      </c>
      <c r="V9" s="17" t="s">
        <v>43</v>
      </c>
      <c r="W9" s="17" t="s">
        <v>44</v>
      </c>
      <c r="X9" s="15" t="s">
        <v>45</v>
      </c>
      <c r="Y9" s="30"/>
      <c r="Z9" s="31" t="s">
        <v>77</v>
      </c>
    </row>
    <row r="10">
      <c r="A10" s="6">
        <v>23.0</v>
      </c>
      <c r="B10" s="6"/>
      <c r="C10" s="6">
        <v>2.0</v>
      </c>
      <c r="D10" s="25">
        <v>46174.0</v>
      </c>
      <c r="E10" s="6">
        <v>1.0</v>
      </c>
      <c r="F10" s="6" t="s">
        <v>74</v>
      </c>
      <c r="G10" s="6" t="s">
        <v>69</v>
      </c>
      <c r="H10" s="6">
        <v>14.0</v>
      </c>
      <c r="I10" s="6" t="s">
        <v>40</v>
      </c>
      <c r="J10" s="6" t="s">
        <v>70</v>
      </c>
      <c r="K10" s="11" t="s">
        <v>36</v>
      </c>
      <c r="L10" s="6"/>
      <c r="M10" s="6"/>
      <c r="N10" s="6"/>
      <c r="O10" s="17"/>
      <c r="P10" s="6"/>
      <c r="Q10" s="6"/>
      <c r="R10" s="16">
        <v>2500.0</v>
      </c>
      <c r="S10" s="17">
        <f>FRESADO!$R10*FRESADO!$E10</f>
        <v>2500</v>
      </c>
      <c r="T10" s="17">
        <f>FRESADO!$S10*16%</f>
        <v>400</v>
      </c>
      <c r="U10" s="17">
        <f>FRESADO!$S10+FRESADO!$T10</f>
        <v>2900</v>
      </c>
      <c r="V10" s="17" t="s">
        <v>43</v>
      </c>
      <c r="W10" s="17" t="s">
        <v>44</v>
      </c>
      <c r="X10" s="15" t="s">
        <v>45</v>
      </c>
      <c r="Y10" s="30"/>
      <c r="Z10" s="31" t="s">
        <v>77</v>
      </c>
    </row>
    <row r="11">
      <c r="A11" s="6">
        <v>23.0</v>
      </c>
      <c r="B11" s="6"/>
      <c r="C11" s="6">
        <v>4.0</v>
      </c>
      <c r="D11" s="25">
        <v>46174.0</v>
      </c>
      <c r="E11" s="6">
        <v>1.0</v>
      </c>
      <c r="F11" s="6" t="s">
        <v>74</v>
      </c>
      <c r="G11" s="6" t="s">
        <v>69</v>
      </c>
      <c r="H11" s="6">
        <v>14.0</v>
      </c>
      <c r="I11" s="6" t="s">
        <v>40</v>
      </c>
      <c r="J11" s="6" t="s">
        <v>70</v>
      </c>
      <c r="K11" s="11" t="s">
        <v>36</v>
      </c>
      <c r="L11" s="6"/>
      <c r="M11" s="6"/>
      <c r="N11" s="6"/>
      <c r="O11" s="17"/>
      <c r="P11" s="6"/>
      <c r="Q11" s="6"/>
      <c r="R11" s="16">
        <v>2500.0</v>
      </c>
      <c r="S11" s="17">
        <f>FRESADO!$R11*FRESADO!$E11</f>
        <v>2500</v>
      </c>
      <c r="T11" s="17">
        <f>FRESADO!$S11*16%</f>
        <v>400</v>
      </c>
      <c r="U11" s="17">
        <f>FRESADO!$S11+FRESADO!$T11</f>
        <v>2900</v>
      </c>
      <c r="V11" s="17" t="s">
        <v>43</v>
      </c>
      <c r="W11" s="17" t="s">
        <v>44</v>
      </c>
      <c r="X11" s="15" t="s">
        <v>45</v>
      </c>
      <c r="Y11" s="30"/>
      <c r="Z11" s="31" t="s">
        <v>77</v>
      </c>
    </row>
    <row r="12">
      <c r="A12" s="6">
        <v>23.0</v>
      </c>
      <c r="B12" s="6"/>
      <c r="C12" s="6">
        <v>5751.0</v>
      </c>
      <c r="D12" s="25">
        <v>46176.0</v>
      </c>
      <c r="E12" s="6">
        <v>1.0</v>
      </c>
      <c r="F12" s="6" t="s">
        <v>74</v>
      </c>
      <c r="G12" s="6" t="s">
        <v>71</v>
      </c>
      <c r="H12" s="6">
        <v>14.0</v>
      </c>
      <c r="I12" s="6" t="s">
        <v>40</v>
      </c>
      <c r="J12" s="6" t="s">
        <v>89</v>
      </c>
      <c r="K12" s="11" t="s">
        <v>36</v>
      </c>
      <c r="L12" s="6"/>
      <c r="M12" s="6"/>
      <c r="N12" s="6"/>
      <c r="O12" s="17"/>
      <c r="P12" s="6"/>
      <c r="Q12" s="6"/>
      <c r="R12" s="16">
        <v>2500.0</v>
      </c>
      <c r="S12" s="17">
        <f>FRESADO!$R12*FRESADO!$E12</f>
        <v>2500</v>
      </c>
      <c r="T12" s="17">
        <f>FRESADO!$S12*16%</f>
        <v>400</v>
      </c>
      <c r="U12" s="17">
        <f>FRESADO!$S12+FRESADO!$T12</f>
        <v>2900</v>
      </c>
      <c r="V12" s="17" t="s">
        <v>43</v>
      </c>
      <c r="W12" s="17" t="s">
        <v>44</v>
      </c>
      <c r="X12" s="15" t="s">
        <v>45</v>
      </c>
      <c r="Y12" s="30"/>
      <c r="Z12" s="31" t="s">
        <v>77</v>
      </c>
    </row>
    <row r="13">
      <c r="A13" s="6">
        <v>23.0</v>
      </c>
      <c r="B13" s="6"/>
      <c r="C13" s="6">
        <v>5752.0</v>
      </c>
      <c r="D13" s="25">
        <v>46176.0</v>
      </c>
      <c r="E13" s="6">
        <v>1.0</v>
      </c>
      <c r="F13" s="6" t="s">
        <v>74</v>
      </c>
      <c r="G13" s="6" t="s">
        <v>51</v>
      </c>
      <c r="H13" s="6">
        <v>14.0</v>
      </c>
      <c r="I13" s="6" t="s">
        <v>40</v>
      </c>
      <c r="J13" s="6" t="s">
        <v>54</v>
      </c>
      <c r="K13" s="11" t="s">
        <v>36</v>
      </c>
      <c r="L13" s="6"/>
      <c r="M13" s="6"/>
      <c r="N13" s="6"/>
      <c r="O13" s="17"/>
      <c r="P13" s="6"/>
      <c r="Q13" s="6"/>
      <c r="R13" s="16">
        <v>2500.0</v>
      </c>
      <c r="S13" s="17">
        <f>FRESADO!$R13*FRESADO!$E13</f>
        <v>2500</v>
      </c>
      <c r="T13" s="17">
        <f>FRESADO!$S13*16%</f>
        <v>400</v>
      </c>
      <c r="U13" s="17">
        <f>FRESADO!$S13+FRESADO!$T13</f>
        <v>2900</v>
      </c>
      <c r="V13" s="17" t="s">
        <v>43</v>
      </c>
      <c r="W13" s="17" t="s">
        <v>44</v>
      </c>
      <c r="X13" s="15" t="s">
        <v>45</v>
      </c>
      <c r="Y13" s="30"/>
      <c r="Z13" s="31" t="s">
        <v>77</v>
      </c>
    </row>
    <row r="14">
      <c r="A14" s="6">
        <v>23.0</v>
      </c>
      <c r="B14" s="6"/>
      <c r="C14" s="6">
        <v>5753.0</v>
      </c>
      <c r="D14" s="25">
        <v>46176.0</v>
      </c>
      <c r="E14" s="6">
        <v>1.0</v>
      </c>
      <c r="F14" s="6" t="s">
        <v>74</v>
      </c>
      <c r="G14" s="6" t="s">
        <v>90</v>
      </c>
      <c r="H14" s="6">
        <v>14.0</v>
      </c>
      <c r="I14" s="6" t="s">
        <v>40</v>
      </c>
      <c r="J14" s="6" t="s">
        <v>91</v>
      </c>
      <c r="K14" s="11" t="s">
        <v>36</v>
      </c>
      <c r="L14" s="6"/>
      <c r="M14" s="6"/>
      <c r="N14" s="6"/>
      <c r="O14" s="17"/>
      <c r="P14" s="6"/>
      <c r="Q14" s="6"/>
      <c r="R14" s="16">
        <v>2500.0</v>
      </c>
      <c r="S14" s="17">
        <f>FRESADO!$R14*FRESADO!$E14</f>
        <v>2500</v>
      </c>
      <c r="T14" s="17">
        <f>FRESADO!$S14*16%</f>
        <v>400</v>
      </c>
      <c r="U14" s="17">
        <f>FRESADO!$S14+FRESADO!$T14</f>
        <v>2900</v>
      </c>
      <c r="V14" s="17" t="s">
        <v>43</v>
      </c>
      <c r="W14" s="17" t="s">
        <v>44</v>
      </c>
      <c r="X14" s="15" t="s">
        <v>45</v>
      </c>
      <c r="Y14" s="30"/>
      <c r="Z14" s="31" t="s">
        <v>77</v>
      </c>
    </row>
    <row r="15">
      <c r="A15" s="6">
        <v>23.0</v>
      </c>
      <c r="B15" s="6"/>
      <c r="C15" s="6">
        <v>5754.0</v>
      </c>
      <c r="D15" s="25">
        <v>46176.0</v>
      </c>
      <c r="E15" s="6">
        <v>1.0</v>
      </c>
      <c r="F15" s="6" t="s">
        <v>74</v>
      </c>
      <c r="G15" s="6" t="s">
        <v>51</v>
      </c>
      <c r="H15" s="6">
        <v>14.0</v>
      </c>
      <c r="I15" s="6" t="s">
        <v>40</v>
      </c>
      <c r="J15" s="6" t="s">
        <v>54</v>
      </c>
      <c r="K15" s="11" t="s">
        <v>36</v>
      </c>
      <c r="L15" s="6"/>
      <c r="M15" s="6"/>
      <c r="N15" s="6"/>
      <c r="O15" s="17"/>
      <c r="P15" s="6"/>
      <c r="Q15" s="6"/>
      <c r="R15" s="16">
        <v>2500.0</v>
      </c>
      <c r="S15" s="17">
        <f>FRESADO!$R15*FRESADO!$E15</f>
        <v>2500</v>
      </c>
      <c r="T15" s="17">
        <f>FRESADO!$S15*16%</f>
        <v>400</v>
      </c>
      <c r="U15" s="17">
        <f>FRESADO!$S15+FRESADO!$T15</f>
        <v>2900</v>
      </c>
      <c r="V15" s="17" t="s">
        <v>43</v>
      </c>
      <c r="W15" s="17" t="s">
        <v>44</v>
      </c>
      <c r="X15" s="15" t="s">
        <v>45</v>
      </c>
      <c r="Y15" s="30"/>
      <c r="Z15" s="31" t="s">
        <v>77</v>
      </c>
    </row>
    <row r="16">
      <c r="A16" s="6">
        <v>23.0</v>
      </c>
      <c r="B16" s="6"/>
      <c r="C16" s="6">
        <v>5755.0</v>
      </c>
      <c r="D16" s="25">
        <v>46176.0</v>
      </c>
      <c r="E16" s="6">
        <v>1.0</v>
      </c>
      <c r="F16" s="6" t="s">
        <v>74</v>
      </c>
      <c r="G16" s="6" t="s">
        <v>71</v>
      </c>
      <c r="H16" s="6">
        <v>14.0</v>
      </c>
      <c r="I16" s="6" t="s">
        <v>40</v>
      </c>
      <c r="J16" s="6" t="s">
        <v>89</v>
      </c>
      <c r="K16" s="11" t="s">
        <v>36</v>
      </c>
      <c r="L16" s="6"/>
      <c r="M16" s="6"/>
      <c r="N16" s="6"/>
      <c r="O16" s="17"/>
      <c r="P16" s="6"/>
      <c r="Q16" s="6"/>
      <c r="R16" s="16">
        <v>2500.0</v>
      </c>
      <c r="S16" s="17">
        <f>FRESADO!$R16*FRESADO!$E16</f>
        <v>2500</v>
      </c>
      <c r="T16" s="17">
        <f>FRESADO!$S16*16%</f>
        <v>400</v>
      </c>
      <c r="U16" s="17">
        <f>FRESADO!$S16+FRESADO!$T16</f>
        <v>2900</v>
      </c>
      <c r="V16" s="17" t="s">
        <v>43</v>
      </c>
      <c r="W16" s="17" t="s">
        <v>44</v>
      </c>
      <c r="X16" s="15" t="s">
        <v>45</v>
      </c>
      <c r="Y16" s="30"/>
      <c r="Z16" s="31" t="s">
        <v>77</v>
      </c>
    </row>
    <row r="17">
      <c r="A17" s="6">
        <v>23.0</v>
      </c>
      <c r="B17" s="6"/>
      <c r="C17" s="6">
        <v>5756.0</v>
      </c>
      <c r="D17" s="25">
        <v>46176.0</v>
      </c>
      <c r="E17" s="6">
        <v>1.0</v>
      </c>
      <c r="F17" s="6" t="s">
        <v>74</v>
      </c>
      <c r="G17" s="6" t="s">
        <v>90</v>
      </c>
      <c r="H17" s="6">
        <v>14.0</v>
      </c>
      <c r="I17" s="6" t="s">
        <v>40</v>
      </c>
      <c r="J17" s="6" t="s">
        <v>91</v>
      </c>
      <c r="K17" s="11" t="s">
        <v>36</v>
      </c>
      <c r="L17" s="6"/>
      <c r="M17" s="6"/>
      <c r="N17" s="6"/>
      <c r="O17" s="17"/>
      <c r="P17" s="6"/>
      <c r="Q17" s="6"/>
      <c r="R17" s="16">
        <v>2500.0</v>
      </c>
      <c r="S17" s="17">
        <f>FRESADO!$R17*FRESADO!$E17</f>
        <v>2500</v>
      </c>
      <c r="T17" s="17">
        <f>FRESADO!$S17*16%</f>
        <v>400</v>
      </c>
      <c r="U17" s="17">
        <f>FRESADO!$S17+FRESADO!$T17</f>
        <v>2900</v>
      </c>
      <c r="V17" s="17" t="s">
        <v>43</v>
      </c>
      <c r="W17" s="17" t="s">
        <v>44</v>
      </c>
      <c r="X17" s="15" t="s">
        <v>45</v>
      </c>
      <c r="Y17" s="30"/>
      <c r="Z17" s="31" t="s">
        <v>77</v>
      </c>
    </row>
    <row r="18">
      <c r="A18" s="6">
        <v>23.0</v>
      </c>
      <c r="B18" s="6"/>
      <c r="C18" s="6">
        <v>5757.0</v>
      </c>
      <c r="D18" s="25">
        <v>46176.0</v>
      </c>
      <c r="E18" s="6">
        <v>1.0</v>
      </c>
      <c r="F18" s="6" t="s">
        <v>74</v>
      </c>
      <c r="G18" s="6" t="s">
        <v>51</v>
      </c>
      <c r="H18" s="6">
        <v>14.0</v>
      </c>
      <c r="I18" s="6" t="s">
        <v>40</v>
      </c>
      <c r="J18" s="6" t="s">
        <v>54</v>
      </c>
      <c r="K18" s="11" t="s">
        <v>36</v>
      </c>
      <c r="L18" s="6"/>
      <c r="M18" s="6"/>
      <c r="N18" s="6"/>
      <c r="O18" s="17"/>
      <c r="P18" s="6"/>
      <c r="Q18" s="6"/>
      <c r="R18" s="16">
        <v>2500.0</v>
      </c>
      <c r="S18" s="17">
        <f>FRESADO!$R18*FRESADO!$E18</f>
        <v>2500</v>
      </c>
      <c r="T18" s="17">
        <f>FRESADO!$S18*16%</f>
        <v>400</v>
      </c>
      <c r="U18" s="17">
        <f>FRESADO!$S18+FRESADO!$T18</f>
        <v>2900</v>
      </c>
      <c r="V18" s="17" t="s">
        <v>43</v>
      </c>
      <c r="W18" s="17" t="s">
        <v>44</v>
      </c>
      <c r="X18" s="15" t="s">
        <v>45</v>
      </c>
      <c r="Y18" s="30"/>
      <c r="Z18" s="31" t="s">
        <v>77</v>
      </c>
    </row>
    <row r="19">
      <c r="A19" s="6">
        <v>23.0</v>
      </c>
      <c r="B19" s="6"/>
      <c r="C19" s="6">
        <v>5758.0</v>
      </c>
      <c r="D19" s="25">
        <v>46176.0</v>
      </c>
      <c r="E19" s="6">
        <v>1.0</v>
      </c>
      <c r="F19" s="6" t="s">
        <v>74</v>
      </c>
      <c r="G19" s="6" t="s">
        <v>71</v>
      </c>
      <c r="H19" s="6">
        <v>14.0</v>
      </c>
      <c r="I19" s="6" t="s">
        <v>40</v>
      </c>
      <c r="J19" s="6" t="s">
        <v>89</v>
      </c>
      <c r="K19" s="11" t="s">
        <v>36</v>
      </c>
      <c r="L19" s="6">
        <v>680.0</v>
      </c>
      <c r="M19" s="6">
        <v>750.0</v>
      </c>
      <c r="N19" s="6"/>
      <c r="O19" s="17"/>
      <c r="P19" s="6"/>
      <c r="Q19" s="6"/>
      <c r="R19" s="16">
        <v>2500.0</v>
      </c>
      <c r="S19" s="17">
        <f>FRESADO!$R19*FRESADO!$E19</f>
        <v>2500</v>
      </c>
      <c r="T19" s="17">
        <f>FRESADO!$S19*16%</f>
        <v>400</v>
      </c>
      <c r="U19" s="17">
        <f>FRESADO!$S19+FRESADO!$T19</f>
        <v>2900</v>
      </c>
      <c r="V19" s="17" t="s">
        <v>43</v>
      </c>
      <c r="W19" s="17" t="s">
        <v>44</v>
      </c>
      <c r="X19" s="15" t="s">
        <v>45</v>
      </c>
      <c r="Y19" s="30"/>
      <c r="Z19" s="31" t="s">
        <v>77</v>
      </c>
    </row>
    <row r="20">
      <c r="A20" s="6">
        <v>23.0</v>
      </c>
      <c r="B20" s="6"/>
      <c r="C20" s="6">
        <v>5759.0</v>
      </c>
      <c r="D20" s="25">
        <v>46176.0</v>
      </c>
      <c r="E20" s="6">
        <v>1.0</v>
      </c>
      <c r="F20" s="6" t="s">
        <v>74</v>
      </c>
      <c r="G20" s="6" t="s">
        <v>90</v>
      </c>
      <c r="H20" s="6">
        <v>14.0</v>
      </c>
      <c r="I20" s="6" t="s">
        <v>40</v>
      </c>
      <c r="J20" s="6" t="s">
        <v>91</v>
      </c>
      <c r="K20" s="11" t="s">
        <v>36</v>
      </c>
      <c r="L20" s="6">
        <v>750.0</v>
      </c>
      <c r="M20" s="6">
        <v>810.0</v>
      </c>
      <c r="N20" s="6"/>
      <c r="O20" s="17"/>
      <c r="P20" s="6"/>
      <c r="Q20" s="6"/>
      <c r="R20" s="16">
        <v>2500.0</v>
      </c>
      <c r="S20" s="17">
        <f>FRESADO!$R20*FRESADO!$E20</f>
        <v>2500</v>
      </c>
      <c r="T20" s="17">
        <f>FRESADO!$S20*16%</f>
        <v>400</v>
      </c>
      <c r="U20" s="17">
        <f>FRESADO!$S20+FRESADO!$T20</f>
        <v>2900</v>
      </c>
      <c r="V20" s="17" t="s">
        <v>43</v>
      </c>
      <c r="W20" s="17" t="s">
        <v>44</v>
      </c>
      <c r="X20" s="15" t="s">
        <v>45</v>
      </c>
      <c r="Y20" s="30"/>
      <c r="Z20" s="31" t="s">
        <v>77</v>
      </c>
    </row>
    <row r="21" ht="15.75" customHeight="1">
      <c r="A21" s="6">
        <v>23.0</v>
      </c>
      <c r="B21" s="6"/>
      <c r="C21" s="6">
        <v>5760.0</v>
      </c>
      <c r="D21" s="25">
        <v>46176.0</v>
      </c>
      <c r="E21" s="6">
        <v>1.0</v>
      </c>
      <c r="F21" s="6" t="s">
        <v>74</v>
      </c>
      <c r="G21" s="6" t="s">
        <v>51</v>
      </c>
      <c r="H21" s="6">
        <v>14.0</v>
      </c>
      <c r="I21" s="6" t="s">
        <v>40</v>
      </c>
      <c r="J21" s="6" t="s">
        <v>54</v>
      </c>
      <c r="K21" s="11" t="s">
        <v>36</v>
      </c>
      <c r="L21" s="6">
        <v>810.0</v>
      </c>
      <c r="M21" s="6">
        <v>870.0</v>
      </c>
      <c r="N21" s="6"/>
      <c r="O21" s="17"/>
      <c r="P21" s="6"/>
      <c r="Q21" s="6"/>
      <c r="R21" s="16">
        <v>2500.0</v>
      </c>
      <c r="S21" s="17">
        <f>FRESADO!$R21*FRESADO!$E21</f>
        <v>2500</v>
      </c>
      <c r="T21" s="17">
        <f>FRESADO!$S21*16%</f>
        <v>400</v>
      </c>
      <c r="U21" s="17">
        <f>FRESADO!$S21+FRESADO!$T21</f>
        <v>2900</v>
      </c>
      <c r="V21" s="17" t="s">
        <v>43</v>
      </c>
      <c r="W21" s="17" t="s">
        <v>44</v>
      </c>
      <c r="X21" s="15" t="s">
        <v>45</v>
      </c>
      <c r="Y21" s="30"/>
      <c r="Z21" s="31" t="s">
        <v>77</v>
      </c>
    </row>
    <row r="22" ht="15.75" customHeight="1">
      <c r="A22" s="6">
        <v>23.0</v>
      </c>
      <c r="B22" s="6"/>
      <c r="C22" s="6">
        <v>5762.0</v>
      </c>
      <c r="D22" s="25">
        <v>46177.0</v>
      </c>
      <c r="E22" s="6">
        <v>1.0</v>
      </c>
      <c r="F22" s="6" t="s">
        <v>74</v>
      </c>
      <c r="G22" s="6" t="s">
        <v>51</v>
      </c>
      <c r="H22" s="6">
        <v>14.0</v>
      </c>
      <c r="I22" s="6" t="s">
        <v>40</v>
      </c>
      <c r="J22" s="6" t="s">
        <v>54</v>
      </c>
      <c r="K22" s="11" t="s">
        <v>36</v>
      </c>
      <c r="L22" s="6">
        <v>680.0</v>
      </c>
      <c r="M22" s="6">
        <v>770.0</v>
      </c>
      <c r="N22" s="6"/>
      <c r="O22" s="17"/>
      <c r="P22" s="6"/>
      <c r="Q22" s="6"/>
      <c r="R22" s="16">
        <v>2500.0</v>
      </c>
      <c r="S22" s="17">
        <f>FRESADO!$R22*FRESADO!$E22</f>
        <v>2500</v>
      </c>
      <c r="T22" s="17">
        <f>FRESADO!$S22*16%</f>
        <v>400</v>
      </c>
      <c r="U22" s="17">
        <f>FRESADO!$S22+FRESADO!$T22</f>
        <v>2900</v>
      </c>
      <c r="V22" s="17" t="s">
        <v>43</v>
      </c>
      <c r="W22" s="17" t="s">
        <v>44</v>
      </c>
      <c r="X22" s="15" t="s">
        <v>45</v>
      </c>
      <c r="Y22" s="30"/>
      <c r="Z22" s="31" t="s">
        <v>77</v>
      </c>
    </row>
    <row r="23" ht="15.75" customHeight="1">
      <c r="A23" s="6">
        <v>23.0</v>
      </c>
      <c r="B23" s="6"/>
      <c r="C23" s="6">
        <v>5763.0</v>
      </c>
      <c r="D23" s="25">
        <v>46177.0</v>
      </c>
      <c r="E23" s="6">
        <v>1.0</v>
      </c>
      <c r="F23" s="6" t="s">
        <v>74</v>
      </c>
      <c r="G23" s="6" t="s">
        <v>69</v>
      </c>
      <c r="H23" s="6">
        <v>14.0</v>
      </c>
      <c r="I23" s="6" t="s">
        <v>40</v>
      </c>
      <c r="J23" s="6" t="s">
        <v>70</v>
      </c>
      <c r="K23" s="11" t="s">
        <v>36</v>
      </c>
      <c r="L23" s="6">
        <v>770.0</v>
      </c>
      <c r="M23" s="6">
        <v>860.0</v>
      </c>
      <c r="N23" s="6"/>
      <c r="O23" s="17"/>
      <c r="P23" s="6"/>
      <c r="Q23" s="6"/>
      <c r="R23" s="16">
        <v>2500.0</v>
      </c>
      <c r="S23" s="17">
        <f>FRESADO!$R23*FRESADO!$E23</f>
        <v>2500</v>
      </c>
      <c r="T23" s="17">
        <f>FRESADO!$S23*16%</f>
        <v>400</v>
      </c>
      <c r="U23" s="17">
        <f>FRESADO!$S23+FRESADO!$T23</f>
        <v>2900</v>
      </c>
      <c r="V23" s="17" t="s">
        <v>43</v>
      </c>
      <c r="W23" s="17" t="s">
        <v>44</v>
      </c>
      <c r="X23" s="15" t="s">
        <v>45</v>
      </c>
      <c r="Y23" s="30"/>
      <c r="Z23" s="31" t="s">
        <v>77</v>
      </c>
    </row>
    <row r="24" ht="15.75" customHeight="1">
      <c r="A24" s="6">
        <v>23.0</v>
      </c>
      <c r="B24" s="6"/>
      <c r="C24" s="6">
        <v>5764.0</v>
      </c>
      <c r="D24" s="25">
        <v>46177.0</v>
      </c>
      <c r="E24" s="6">
        <v>1.0</v>
      </c>
      <c r="F24" s="6" t="s">
        <v>74</v>
      </c>
      <c r="G24" s="6" t="s">
        <v>90</v>
      </c>
      <c r="H24" s="6">
        <v>14.0</v>
      </c>
      <c r="I24" s="6" t="s">
        <v>40</v>
      </c>
      <c r="J24" s="6" t="s">
        <v>91</v>
      </c>
      <c r="K24" s="11" t="s">
        <v>36</v>
      </c>
      <c r="L24" s="6">
        <v>860.0</v>
      </c>
      <c r="M24" s="6">
        <v>930.0</v>
      </c>
      <c r="N24" s="6"/>
      <c r="O24" s="17"/>
      <c r="P24" s="6"/>
      <c r="Q24" s="6"/>
      <c r="R24" s="16">
        <v>2500.0</v>
      </c>
      <c r="S24" s="17">
        <f>FRESADO!$R24*FRESADO!$E24</f>
        <v>2500</v>
      </c>
      <c r="T24" s="17">
        <f>FRESADO!$S24*16%</f>
        <v>400</v>
      </c>
      <c r="U24" s="17">
        <f>FRESADO!$S24+FRESADO!$T24</f>
        <v>2900</v>
      </c>
      <c r="V24" s="17" t="s">
        <v>43</v>
      </c>
      <c r="W24" s="17" t="s">
        <v>44</v>
      </c>
      <c r="X24" s="15" t="s">
        <v>45</v>
      </c>
      <c r="Y24" s="30"/>
      <c r="Z24" s="31" t="s">
        <v>77</v>
      </c>
    </row>
    <row r="25" ht="15.75" customHeight="1">
      <c r="A25" s="6">
        <v>23.0</v>
      </c>
      <c r="B25" s="6"/>
      <c r="C25" s="6">
        <v>5765.0</v>
      </c>
      <c r="D25" s="25">
        <v>46177.0</v>
      </c>
      <c r="E25" s="6">
        <v>1.0</v>
      </c>
      <c r="F25" s="6" t="s">
        <v>74</v>
      </c>
      <c r="G25" s="6" t="s">
        <v>71</v>
      </c>
      <c r="H25" s="6">
        <v>14.0</v>
      </c>
      <c r="I25" s="6" t="s">
        <v>40</v>
      </c>
      <c r="J25" s="6" t="s">
        <v>89</v>
      </c>
      <c r="K25" s="11" t="s">
        <v>36</v>
      </c>
      <c r="L25" s="6"/>
      <c r="M25" s="6"/>
      <c r="N25" s="6"/>
      <c r="O25" s="17"/>
      <c r="P25" s="6"/>
      <c r="Q25" s="6"/>
      <c r="R25" s="16">
        <v>2500.0</v>
      </c>
      <c r="S25" s="17">
        <f>FRESADO!$R25*FRESADO!$E25</f>
        <v>2500</v>
      </c>
      <c r="T25" s="17">
        <f>FRESADO!$S25*16%</f>
        <v>400</v>
      </c>
      <c r="U25" s="17">
        <f>FRESADO!$S25+FRESADO!$T25</f>
        <v>2900</v>
      </c>
      <c r="V25" s="17" t="s">
        <v>43</v>
      </c>
      <c r="W25" s="17" t="s">
        <v>44</v>
      </c>
      <c r="X25" s="15" t="s">
        <v>45</v>
      </c>
      <c r="Y25" s="30"/>
      <c r="Z25" s="31" t="s">
        <v>77</v>
      </c>
    </row>
    <row r="26" ht="15.75" customHeight="1">
      <c r="A26" s="6">
        <v>23.0</v>
      </c>
      <c r="B26" s="6"/>
      <c r="C26" s="6">
        <v>5766.0</v>
      </c>
      <c r="D26" s="25">
        <v>46177.0</v>
      </c>
      <c r="E26" s="6">
        <v>1.0</v>
      </c>
      <c r="F26" s="6" t="s">
        <v>74</v>
      </c>
      <c r="G26" s="6" t="s">
        <v>51</v>
      </c>
      <c r="H26" s="6">
        <v>14.0</v>
      </c>
      <c r="I26" s="6" t="s">
        <v>40</v>
      </c>
      <c r="J26" s="6" t="s">
        <v>54</v>
      </c>
      <c r="K26" s="11" t="s">
        <v>36</v>
      </c>
      <c r="L26" s="6"/>
      <c r="M26" s="6"/>
      <c r="N26" s="6"/>
      <c r="O26" s="17"/>
      <c r="P26" s="6"/>
      <c r="Q26" s="6"/>
      <c r="R26" s="16">
        <v>2500.0</v>
      </c>
      <c r="S26" s="17">
        <f>FRESADO!$R26*FRESADO!$E26</f>
        <v>2500</v>
      </c>
      <c r="T26" s="17">
        <f>FRESADO!$S26*16%</f>
        <v>400</v>
      </c>
      <c r="U26" s="17">
        <f>FRESADO!$S26+FRESADO!$T26</f>
        <v>2900</v>
      </c>
      <c r="V26" s="17" t="s">
        <v>43</v>
      </c>
      <c r="W26" s="17" t="s">
        <v>44</v>
      </c>
      <c r="X26" s="15" t="s">
        <v>45</v>
      </c>
      <c r="Y26" s="30"/>
      <c r="Z26" s="31" t="s">
        <v>77</v>
      </c>
    </row>
    <row r="27" ht="15.75" customHeight="1">
      <c r="A27" s="6">
        <v>23.0</v>
      </c>
      <c r="B27" s="6"/>
      <c r="C27" s="6">
        <v>5767.0</v>
      </c>
      <c r="D27" s="25">
        <v>46177.0</v>
      </c>
      <c r="E27" s="6">
        <v>1.0</v>
      </c>
      <c r="F27" s="6" t="s">
        <v>74</v>
      </c>
      <c r="G27" s="6" t="s">
        <v>90</v>
      </c>
      <c r="H27" s="6">
        <v>14.0</v>
      </c>
      <c r="I27" s="6" t="s">
        <v>40</v>
      </c>
      <c r="J27" s="6" t="s">
        <v>91</v>
      </c>
      <c r="K27" s="11" t="s">
        <v>36</v>
      </c>
      <c r="L27" s="6"/>
      <c r="M27" s="6"/>
      <c r="N27" s="6"/>
      <c r="O27" s="17"/>
      <c r="P27" s="6"/>
      <c r="Q27" s="6"/>
      <c r="R27" s="16">
        <v>2500.0</v>
      </c>
      <c r="S27" s="17">
        <f>FRESADO!$R27*FRESADO!$E27</f>
        <v>2500</v>
      </c>
      <c r="T27" s="17">
        <f>FRESADO!$S27*16%</f>
        <v>400</v>
      </c>
      <c r="U27" s="17">
        <f>FRESADO!$S27+FRESADO!$T27</f>
        <v>2900</v>
      </c>
      <c r="V27" s="17" t="s">
        <v>43</v>
      </c>
      <c r="W27" s="17" t="s">
        <v>44</v>
      </c>
      <c r="X27" s="15" t="s">
        <v>45</v>
      </c>
      <c r="Y27" s="30"/>
      <c r="Z27" s="31" t="s">
        <v>77</v>
      </c>
    </row>
    <row r="28" ht="15.75" customHeight="1">
      <c r="A28" s="6">
        <v>23.0</v>
      </c>
      <c r="B28" s="6"/>
      <c r="C28" s="6">
        <v>5768.0</v>
      </c>
      <c r="D28" s="25">
        <v>46177.0</v>
      </c>
      <c r="E28" s="6">
        <v>1.0</v>
      </c>
      <c r="F28" s="6" t="s">
        <v>74</v>
      </c>
      <c r="G28" s="6" t="s">
        <v>69</v>
      </c>
      <c r="H28" s="6">
        <v>14.0</v>
      </c>
      <c r="I28" s="6" t="s">
        <v>40</v>
      </c>
      <c r="J28" s="6" t="s">
        <v>70</v>
      </c>
      <c r="K28" s="11" t="s">
        <v>36</v>
      </c>
      <c r="L28" s="6"/>
      <c r="M28" s="6"/>
      <c r="N28" s="6"/>
      <c r="O28" s="17"/>
      <c r="P28" s="6"/>
      <c r="Q28" s="6"/>
      <c r="R28" s="16">
        <v>2500.0</v>
      </c>
      <c r="S28" s="17">
        <f>FRESADO!$R28*FRESADO!$E28</f>
        <v>2500</v>
      </c>
      <c r="T28" s="17">
        <f>FRESADO!$S28*16%</f>
        <v>400</v>
      </c>
      <c r="U28" s="17">
        <f>FRESADO!$S28+FRESADO!$T28</f>
        <v>2900</v>
      </c>
      <c r="V28" s="17" t="s">
        <v>43</v>
      </c>
      <c r="W28" s="17" t="s">
        <v>44</v>
      </c>
      <c r="X28" s="15" t="s">
        <v>45</v>
      </c>
      <c r="Y28" s="30"/>
      <c r="Z28" s="31" t="s">
        <v>77</v>
      </c>
    </row>
    <row r="29" ht="15.75" customHeight="1">
      <c r="A29" s="6">
        <v>23.0</v>
      </c>
      <c r="B29" s="6"/>
      <c r="C29" s="6">
        <v>5769.0</v>
      </c>
      <c r="D29" s="25">
        <v>46177.0</v>
      </c>
      <c r="E29" s="6">
        <v>1.0</v>
      </c>
      <c r="F29" s="6" t="s">
        <v>74</v>
      </c>
      <c r="G29" s="6" t="s">
        <v>71</v>
      </c>
      <c r="H29" s="6">
        <v>14.0</v>
      </c>
      <c r="I29" s="6" t="s">
        <v>40</v>
      </c>
      <c r="J29" s="6" t="s">
        <v>89</v>
      </c>
      <c r="K29" s="11" t="s">
        <v>36</v>
      </c>
      <c r="L29" s="6"/>
      <c r="M29" s="6"/>
      <c r="N29" s="6"/>
      <c r="O29" s="17"/>
      <c r="P29" s="6"/>
      <c r="Q29" s="6"/>
      <c r="R29" s="16">
        <v>2500.0</v>
      </c>
      <c r="S29" s="17">
        <f>FRESADO!$R29*FRESADO!$E29</f>
        <v>2500</v>
      </c>
      <c r="T29" s="17">
        <f>FRESADO!$S29*16%</f>
        <v>400</v>
      </c>
      <c r="U29" s="17">
        <f>FRESADO!$S29+FRESADO!$T29</f>
        <v>2900</v>
      </c>
      <c r="V29" s="17" t="s">
        <v>43</v>
      </c>
      <c r="W29" s="17" t="s">
        <v>44</v>
      </c>
      <c r="X29" s="15" t="s">
        <v>45</v>
      </c>
      <c r="Y29" s="30"/>
      <c r="Z29" s="31" t="s">
        <v>77</v>
      </c>
    </row>
    <row r="30" ht="15.75" customHeight="1">
      <c r="A30" s="6">
        <v>23.0</v>
      </c>
      <c r="B30" s="6"/>
      <c r="C30" s="6">
        <v>5770.0</v>
      </c>
      <c r="D30" s="25">
        <v>46177.0</v>
      </c>
      <c r="E30" s="6">
        <v>1.0</v>
      </c>
      <c r="F30" s="6" t="s">
        <v>74</v>
      </c>
      <c r="G30" s="6" t="s">
        <v>51</v>
      </c>
      <c r="H30" s="6">
        <v>14.0</v>
      </c>
      <c r="I30" s="6" t="s">
        <v>40</v>
      </c>
      <c r="J30" s="6" t="s">
        <v>54</v>
      </c>
      <c r="K30" s="11" t="s">
        <v>36</v>
      </c>
      <c r="L30" s="6"/>
      <c r="M30" s="6"/>
      <c r="N30" s="6"/>
      <c r="O30" s="17"/>
      <c r="P30" s="6"/>
      <c r="Q30" s="6"/>
      <c r="R30" s="16">
        <v>2500.0</v>
      </c>
      <c r="S30" s="17">
        <f>FRESADO!$R30*FRESADO!$E30</f>
        <v>2500</v>
      </c>
      <c r="T30" s="17">
        <f>FRESADO!$S30*16%</f>
        <v>400</v>
      </c>
      <c r="U30" s="17">
        <f>FRESADO!$S30+FRESADO!$T30</f>
        <v>2900</v>
      </c>
      <c r="V30" s="17" t="s">
        <v>43</v>
      </c>
      <c r="W30" s="17" t="s">
        <v>44</v>
      </c>
      <c r="X30" s="15" t="s">
        <v>45</v>
      </c>
      <c r="Y30" s="30"/>
      <c r="Z30" s="31" t="s">
        <v>77</v>
      </c>
    </row>
    <row r="31" ht="15.75" customHeight="1">
      <c r="A31" s="6">
        <v>23.0</v>
      </c>
      <c r="B31" s="6"/>
      <c r="C31" s="6">
        <v>5771.0</v>
      </c>
      <c r="D31" s="25">
        <v>46177.0</v>
      </c>
      <c r="E31" s="6">
        <v>1.0</v>
      </c>
      <c r="F31" s="6" t="s">
        <v>74</v>
      </c>
      <c r="G31" s="6" t="s">
        <v>90</v>
      </c>
      <c r="H31" s="6">
        <v>14.0</v>
      </c>
      <c r="I31" s="6" t="s">
        <v>40</v>
      </c>
      <c r="J31" s="6" t="s">
        <v>91</v>
      </c>
      <c r="K31" s="11" t="s">
        <v>36</v>
      </c>
      <c r="L31" s="6"/>
      <c r="M31" s="6"/>
      <c r="N31" s="6"/>
      <c r="O31" s="17"/>
      <c r="P31" s="6"/>
      <c r="Q31" s="6"/>
      <c r="R31" s="16">
        <v>2500.0</v>
      </c>
      <c r="S31" s="17">
        <f>FRESADO!$R31*FRESADO!$E31</f>
        <v>2500</v>
      </c>
      <c r="T31" s="17">
        <f>FRESADO!$S31*16%</f>
        <v>400</v>
      </c>
      <c r="U31" s="17">
        <f>FRESADO!$S31+FRESADO!$T31</f>
        <v>2900</v>
      </c>
      <c r="V31" s="17" t="s">
        <v>43</v>
      </c>
      <c r="W31" s="17" t="s">
        <v>44</v>
      </c>
      <c r="X31" s="15" t="s">
        <v>45</v>
      </c>
      <c r="Y31" s="30"/>
      <c r="Z31" s="31" t="s">
        <v>77</v>
      </c>
    </row>
    <row r="32" ht="15.75" customHeight="1">
      <c r="A32" s="6">
        <v>23.0</v>
      </c>
      <c r="B32" s="6"/>
      <c r="C32" s="6">
        <v>5772.0</v>
      </c>
      <c r="D32" s="25">
        <v>46177.0</v>
      </c>
      <c r="E32" s="6">
        <v>1.0</v>
      </c>
      <c r="F32" s="6" t="s">
        <v>74</v>
      </c>
      <c r="G32" s="6" t="s">
        <v>69</v>
      </c>
      <c r="H32" s="6">
        <v>14.0</v>
      </c>
      <c r="I32" s="6" t="s">
        <v>40</v>
      </c>
      <c r="J32" s="6" t="s">
        <v>70</v>
      </c>
      <c r="K32" s="11" t="s">
        <v>36</v>
      </c>
      <c r="L32" s="6"/>
      <c r="M32" s="6"/>
      <c r="N32" s="6"/>
      <c r="O32" s="17"/>
      <c r="P32" s="6"/>
      <c r="Q32" s="6"/>
      <c r="R32" s="16">
        <v>2500.0</v>
      </c>
      <c r="S32" s="17">
        <f>FRESADO!$R32*FRESADO!$E32</f>
        <v>2500</v>
      </c>
      <c r="T32" s="17">
        <f>FRESADO!$S32*16%</f>
        <v>400</v>
      </c>
      <c r="U32" s="17">
        <f>FRESADO!$S32+FRESADO!$T32</f>
        <v>2900</v>
      </c>
      <c r="V32" s="17" t="s">
        <v>43</v>
      </c>
      <c r="W32" s="17" t="s">
        <v>44</v>
      </c>
      <c r="X32" s="15" t="s">
        <v>45</v>
      </c>
      <c r="Y32" s="30"/>
      <c r="Z32" s="31" t="s">
        <v>77</v>
      </c>
    </row>
    <row r="33" ht="15.75" customHeight="1">
      <c r="A33" s="6">
        <v>23.0</v>
      </c>
      <c r="B33" s="6"/>
      <c r="C33" s="6">
        <v>5773.0</v>
      </c>
      <c r="D33" s="25">
        <v>46178.0</v>
      </c>
      <c r="E33" s="6">
        <v>1.0</v>
      </c>
      <c r="F33" s="6" t="s">
        <v>74</v>
      </c>
      <c r="G33" s="6" t="s">
        <v>71</v>
      </c>
      <c r="H33" s="6">
        <v>14.0</v>
      </c>
      <c r="I33" s="6" t="s">
        <v>40</v>
      </c>
      <c r="J33" s="6" t="s">
        <v>89</v>
      </c>
      <c r="K33" s="11" t="s">
        <v>36</v>
      </c>
      <c r="L33" s="6"/>
      <c r="M33" s="6"/>
      <c r="N33" s="6"/>
      <c r="O33" s="17"/>
      <c r="P33" s="6"/>
      <c r="Q33" s="6"/>
      <c r="R33" s="16">
        <v>2500.0</v>
      </c>
      <c r="S33" s="17">
        <f>FRESADO!$R33*FRESADO!$E33</f>
        <v>2500</v>
      </c>
      <c r="T33" s="17">
        <f>FRESADO!$S33*16%</f>
        <v>400</v>
      </c>
      <c r="U33" s="17">
        <f>FRESADO!$S33+FRESADO!$T33</f>
        <v>2900</v>
      </c>
      <c r="V33" s="17" t="s">
        <v>43</v>
      </c>
      <c r="W33" s="17" t="s">
        <v>44</v>
      </c>
      <c r="X33" s="15" t="s">
        <v>45</v>
      </c>
      <c r="Y33" s="30"/>
      <c r="Z33" s="31" t="s">
        <v>77</v>
      </c>
    </row>
    <row r="34" ht="15.75" customHeight="1">
      <c r="A34" s="6">
        <v>23.0</v>
      </c>
      <c r="B34" s="6"/>
      <c r="C34" s="6">
        <v>5774.0</v>
      </c>
      <c r="D34" s="25">
        <v>46178.0</v>
      </c>
      <c r="E34" s="6">
        <v>1.0</v>
      </c>
      <c r="F34" s="6" t="s">
        <v>74</v>
      </c>
      <c r="G34" s="6" t="s">
        <v>51</v>
      </c>
      <c r="H34" s="6">
        <v>14.0</v>
      </c>
      <c r="I34" s="6" t="s">
        <v>40</v>
      </c>
      <c r="J34" s="6" t="s">
        <v>54</v>
      </c>
      <c r="K34" s="11" t="s">
        <v>36</v>
      </c>
      <c r="L34" s="6"/>
      <c r="M34" s="6"/>
      <c r="N34" s="6"/>
      <c r="O34" s="17"/>
      <c r="P34" s="6"/>
      <c r="Q34" s="6"/>
      <c r="R34" s="16">
        <v>2500.0</v>
      </c>
      <c r="S34" s="17">
        <f>FRESADO!$R34*FRESADO!$E34</f>
        <v>2500</v>
      </c>
      <c r="T34" s="17">
        <f>FRESADO!$S34*16%</f>
        <v>400</v>
      </c>
      <c r="U34" s="17">
        <f>FRESADO!$S34+FRESADO!$T34</f>
        <v>2900</v>
      </c>
      <c r="V34" s="17" t="s">
        <v>43</v>
      </c>
      <c r="W34" s="17" t="s">
        <v>44</v>
      </c>
      <c r="X34" s="15" t="s">
        <v>45</v>
      </c>
      <c r="Y34" s="30"/>
      <c r="Z34" s="31" t="s">
        <v>77</v>
      </c>
    </row>
    <row r="35" ht="15.75" customHeight="1">
      <c r="A35" s="6">
        <v>23.0</v>
      </c>
      <c r="B35" s="6"/>
      <c r="C35" s="6">
        <v>5775.0</v>
      </c>
      <c r="D35" s="25">
        <v>46178.0</v>
      </c>
      <c r="E35" s="6">
        <v>1.0</v>
      </c>
      <c r="F35" s="6" t="s">
        <v>74</v>
      </c>
      <c r="G35" s="6" t="s">
        <v>102</v>
      </c>
      <c r="H35" s="6">
        <v>14.0</v>
      </c>
      <c r="I35" s="6" t="s">
        <v>40</v>
      </c>
      <c r="J35" s="6" t="s">
        <v>103</v>
      </c>
      <c r="K35" s="11" t="s">
        <v>36</v>
      </c>
      <c r="L35" s="6"/>
      <c r="M35" s="6"/>
      <c r="N35" s="6"/>
      <c r="O35" s="17"/>
      <c r="P35" s="6"/>
      <c r="Q35" s="34" t="s">
        <v>104</v>
      </c>
      <c r="R35" s="16">
        <v>3000.0</v>
      </c>
      <c r="S35" s="17">
        <f>FRESADO!$R35*FRESADO!$E35</f>
        <v>3000</v>
      </c>
      <c r="T35" s="17">
        <f>FRESADO!$S35*16%</f>
        <v>480</v>
      </c>
      <c r="U35" s="17">
        <f>FRESADO!$S35+FRESADO!$T35</f>
        <v>3480</v>
      </c>
      <c r="V35" s="17" t="s">
        <v>59</v>
      </c>
      <c r="W35" s="17" t="s">
        <v>44</v>
      </c>
      <c r="X35" s="15" t="s">
        <v>60</v>
      </c>
      <c r="Y35" s="38"/>
      <c r="Z35" s="31" t="s">
        <v>77</v>
      </c>
    </row>
    <row r="36" ht="15.75" customHeight="1">
      <c r="A36" s="6">
        <v>23.0</v>
      </c>
      <c r="B36" s="6"/>
      <c r="C36" s="6">
        <v>5776.0</v>
      </c>
      <c r="D36" s="25">
        <v>46178.0</v>
      </c>
      <c r="E36" s="6">
        <v>1.0</v>
      </c>
      <c r="F36" s="6" t="s">
        <v>74</v>
      </c>
      <c r="G36" s="6" t="s">
        <v>71</v>
      </c>
      <c r="H36" s="6">
        <v>14.0</v>
      </c>
      <c r="I36" s="6" t="s">
        <v>40</v>
      </c>
      <c r="J36" s="6" t="s">
        <v>89</v>
      </c>
      <c r="K36" s="11" t="s">
        <v>36</v>
      </c>
      <c r="L36" s="6"/>
      <c r="M36" s="6"/>
      <c r="N36" s="6"/>
      <c r="O36" s="17"/>
      <c r="P36" s="6"/>
      <c r="Q36" s="6"/>
      <c r="R36" s="16">
        <v>2500.0</v>
      </c>
      <c r="S36" s="17">
        <f>FRESADO!$R36*FRESADO!$E36</f>
        <v>2500</v>
      </c>
      <c r="T36" s="17">
        <f>FRESADO!$S36*16%</f>
        <v>400</v>
      </c>
      <c r="U36" s="17">
        <f>FRESADO!$S36+FRESADO!$T36</f>
        <v>2900</v>
      </c>
      <c r="V36" s="17" t="s">
        <v>43</v>
      </c>
      <c r="W36" s="17" t="s">
        <v>44</v>
      </c>
      <c r="X36" s="15" t="s">
        <v>45</v>
      </c>
      <c r="Y36" s="30"/>
      <c r="Z36" s="31" t="s">
        <v>77</v>
      </c>
    </row>
    <row r="37" ht="15.75" customHeight="1">
      <c r="A37" s="6">
        <v>23.0</v>
      </c>
      <c r="B37" s="6"/>
      <c r="C37" s="6">
        <v>5777.0</v>
      </c>
      <c r="D37" s="25">
        <v>46178.0</v>
      </c>
      <c r="E37" s="6">
        <v>1.0</v>
      </c>
      <c r="F37" s="6" t="s">
        <v>74</v>
      </c>
      <c r="G37" s="6" t="s">
        <v>102</v>
      </c>
      <c r="H37" s="6">
        <v>14.0</v>
      </c>
      <c r="I37" s="6" t="s">
        <v>40</v>
      </c>
      <c r="J37" s="6" t="s">
        <v>103</v>
      </c>
      <c r="K37" s="11" t="s">
        <v>36</v>
      </c>
      <c r="L37" s="6"/>
      <c r="M37" s="6"/>
      <c r="N37" s="6"/>
      <c r="O37" s="17"/>
      <c r="P37" s="6"/>
      <c r="Q37" s="34" t="s">
        <v>104</v>
      </c>
      <c r="R37" s="16">
        <v>3000.0</v>
      </c>
      <c r="S37" s="17">
        <f>FRESADO!$R37*FRESADO!$E37</f>
        <v>3000</v>
      </c>
      <c r="T37" s="17">
        <f>FRESADO!$S37*16%</f>
        <v>480</v>
      </c>
      <c r="U37" s="17">
        <f>FRESADO!$S37+FRESADO!$T37</f>
        <v>3480</v>
      </c>
      <c r="V37" s="17" t="s">
        <v>59</v>
      </c>
      <c r="W37" s="17" t="s">
        <v>44</v>
      </c>
      <c r="X37" s="15" t="s">
        <v>60</v>
      </c>
      <c r="Y37" s="38"/>
      <c r="Z37" s="31" t="s">
        <v>77</v>
      </c>
    </row>
    <row r="38" ht="15.75" customHeight="1">
      <c r="A38" s="6">
        <v>23.0</v>
      </c>
      <c r="B38" s="6"/>
      <c r="C38" s="6">
        <v>5778.0</v>
      </c>
      <c r="D38" s="25">
        <v>46178.0</v>
      </c>
      <c r="E38" s="6">
        <v>1.0</v>
      </c>
      <c r="F38" s="6" t="s">
        <v>74</v>
      </c>
      <c r="G38" s="6" t="s">
        <v>71</v>
      </c>
      <c r="H38" s="6">
        <v>14.0</v>
      </c>
      <c r="I38" s="6" t="s">
        <v>40</v>
      </c>
      <c r="J38" s="6" t="s">
        <v>89</v>
      </c>
      <c r="K38" s="11" t="s">
        <v>36</v>
      </c>
      <c r="L38" s="6"/>
      <c r="M38" s="6"/>
      <c r="N38" s="6"/>
      <c r="O38" s="17"/>
      <c r="P38" s="6"/>
      <c r="Q38" s="6"/>
      <c r="R38" s="16">
        <v>2500.0</v>
      </c>
      <c r="S38" s="17">
        <f>FRESADO!$R38*FRESADO!$E38</f>
        <v>2500</v>
      </c>
      <c r="T38" s="17">
        <f>FRESADO!$S38*16%</f>
        <v>400</v>
      </c>
      <c r="U38" s="17">
        <f>FRESADO!$S38+FRESADO!$T38</f>
        <v>2900</v>
      </c>
      <c r="V38" s="17" t="s">
        <v>43</v>
      </c>
      <c r="W38" s="17" t="s">
        <v>44</v>
      </c>
      <c r="X38" s="15" t="s">
        <v>45</v>
      </c>
      <c r="Y38" s="30"/>
      <c r="Z38" s="31" t="s">
        <v>77</v>
      </c>
    </row>
    <row r="39" ht="15.75" customHeight="1">
      <c r="A39" s="6">
        <v>23.0</v>
      </c>
      <c r="B39" s="6"/>
      <c r="C39" s="6">
        <v>5779.0</v>
      </c>
      <c r="D39" s="25">
        <v>46178.0</v>
      </c>
      <c r="E39" s="6">
        <v>1.0</v>
      </c>
      <c r="F39" s="6" t="s">
        <v>74</v>
      </c>
      <c r="G39" s="6" t="s">
        <v>93</v>
      </c>
      <c r="H39" s="6">
        <v>14.0</v>
      </c>
      <c r="I39" s="6" t="s">
        <v>40</v>
      </c>
      <c r="J39" s="6" t="s">
        <v>94</v>
      </c>
      <c r="K39" s="11" t="s">
        <v>36</v>
      </c>
      <c r="L39" s="6"/>
      <c r="M39" s="6"/>
      <c r="N39" s="6"/>
      <c r="O39" s="17"/>
      <c r="P39" s="6"/>
      <c r="Q39" s="6"/>
      <c r="R39" s="16">
        <v>2500.0</v>
      </c>
      <c r="S39" s="17">
        <f>FRESADO!$R39*FRESADO!$E39</f>
        <v>2500</v>
      </c>
      <c r="T39" s="17">
        <f>FRESADO!$S39*16%</f>
        <v>400</v>
      </c>
      <c r="U39" s="17">
        <f>FRESADO!$S39+FRESADO!$T39</f>
        <v>2900</v>
      </c>
      <c r="V39" s="17" t="s">
        <v>43</v>
      </c>
      <c r="W39" s="17" t="s">
        <v>44</v>
      </c>
      <c r="X39" s="15" t="s">
        <v>45</v>
      </c>
      <c r="Y39" s="30"/>
      <c r="Z39" s="31" t="s">
        <v>77</v>
      </c>
    </row>
    <row r="40" ht="15.75" customHeight="1">
      <c r="A40" s="6">
        <v>23.0</v>
      </c>
      <c r="B40" s="6"/>
      <c r="C40" s="6">
        <v>5780.0</v>
      </c>
      <c r="D40" s="25">
        <v>46178.0</v>
      </c>
      <c r="E40" s="6">
        <v>1.0</v>
      </c>
      <c r="F40" s="6" t="s">
        <v>74</v>
      </c>
      <c r="G40" s="6" t="s">
        <v>102</v>
      </c>
      <c r="H40" s="6">
        <v>14.0</v>
      </c>
      <c r="I40" s="6" t="s">
        <v>40</v>
      </c>
      <c r="J40" s="6" t="s">
        <v>103</v>
      </c>
      <c r="K40" s="11" t="s">
        <v>36</v>
      </c>
      <c r="L40" s="6"/>
      <c r="M40" s="6"/>
      <c r="N40" s="6"/>
      <c r="O40" s="17"/>
      <c r="P40" s="6"/>
      <c r="Q40" s="34" t="s">
        <v>104</v>
      </c>
      <c r="R40" s="16">
        <v>3000.0</v>
      </c>
      <c r="S40" s="17">
        <f>FRESADO!$R40*FRESADO!$E40</f>
        <v>3000</v>
      </c>
      <c r="T40" s="17">
        <f>FRESADO!$S40*16%</f>
        <v>480</v>
      </c>
      <c r="U40" s="17">
        <f>FRESADO!$S40+FRESADO!$T40</f>
        <v>3480</v>
      </c>
      <c r="V40" s="17" t="s">
        <v>59</v>
      </c>
      <c r="W40" s="17" t="s">
        <v>44</v>
      </c>
      <c r="X40" s="15" t="s">
        <v>60</v>
      </c>
      <c r="Y40" s="38"/>
      <c r="Z40" s="31" t="s">
        <v>77</v>
      </c>
    </row>
    <row r="41" ht="15.75" customHeight="1">
      <c r="A41" s="6">
        <v>23.0</v>
      </c>
      <c r="B41" s="6"/>
      <c r="C41" s="6">
        <v>5781.0</v>
      </c>
      <c r="D41" s="25">
        <v>46178.0</v>
      </c>
      <c r="E41" s="6">
        <v>1.0</v>
      </c>
      <c r="F41" s="6" t="s">
        <v>74</v>
      </c>
      <c r="G41" s="6" t="s">
        <v>51</v>
      </c>
      <c r="H41" s="6">
        <v>14.0</v>
      </c>
      <c r="I41" s="6" t="s">
        <v>40</v>
      </c>
      <c r="J41" s="6" t="s">
        <v>54</v>
      </c>
      <c r="K41" s="11" t="s">
        <v>36</v>
      </c>
      <c r="L41" s="6"/>
      <c r="M41" s="6"/>
      <c r="N41" s="6"/>
      <c r="O41" s="17"/>
      <c r="P41" s="6"/>
      <c r="Q41" s="6"/>
      <c r="R41" s="16">
        <v>2500.0</v>
      </c>
      <c r="S41" s="17">
        <f>FRESADO!$R41*FRESADO!$E41</f>
        <v>2500</v>
      </c>
      <c r="T41" s="17">
        <f>FRESADO!$S41*16%</f>
        <v>400</v>
      </c>
      <c r="U41" s="17">
        <f>FRESADO!$S41+FRESADO!$T41</f>
        <v>2900</v>
      </c>
      <c r="V41" s="17" t="s">
        <v>43</v>
      </c>
      <c r="W41" s="17" t="s">
        <v>44</v>
      </c>
      <c r="X41" s="15" t="s">
        <v>45</v>
      </c>
      <c r="Y41" s="30"/>
      <c r="Z41" s="31" t="s">
        <v>77</v>
      </c>
    </row>
    <row r="42" ht="15.75" customHeight="1">
      <c r="A42" s="6">
        <v>23.0</v>
      </c>
      <c r="B42" s="6"/>
      <c r="C42" s="6">
        <v>5782.0</v>
      </c>
      <c r="D42" s="25">
        <v>46178.0</v>
      </c>
      <c r="E42" s="6">
        <v>1.0</v>
      </c>
      <c r="F42" s="6" t="s">
        <v>74</v>
      </c>
      <c r="G42" s="6" t="s">
        <v>51</v>
      </c>
      <c r="H42" s="6">
        <v>14.0</v>
      </c>
      <c r="I42" s="6" t="s">
        <v>40</v>
      </c>
      <c r="J42" s="6" t="s">
        <v>54</v>
      </c>
      <c r="K42" s="11" t="s">
        <v>36</v>
      </c>
      <c r="L42" s="6"/>
      <c r="M42" s="6"/>
      <c r="N42" s="6"/>
      <c r="O42" s="17"/>
      <c r="P42" s="6"/>
      <c r="Q42" s="6"/>
      <c r="R42" s="16">
        <v>2500.0</v>
      </c>
      <c r="S42" s="17">
        <f>FRESADO!$R42*FRESADO!$E42</f>
        <v>2500</v>
      </c>
      <c r="T42" s="17">
        <f>FRESADO!$S42*16%</f>
        <v>400</v>
      </c>
      <c r="U42" s="17">
        <f>FRESADO!$S42+FRESADO!$T42</f>
        <v>2900</v>
      </c>
      <c r="V42" s="17" t="s">
        <v>43</v>
      </c>
      <c r="W42" s="17" t="s">
        <v>44</v>
      </c>
      <c r="X42" s="15" t="s">
        <v>45</v>
      </c>
      <c r="Y42" s="30"/>
      <c r="Z42" s="31" t="s">
        <v>77</v>
      </c>
    </row>
    <row r="43" ht="15.75" customHeight="1">
      <c r="A43" s="6">
        <v>24.0</v>
      </c>
      <c r="B43" s="6"/>
      <c r="C43" s="6">
        <v>5783.0</v>
      </c>
      <c r="D43" s="25">
        <v>46178.0</v>
      </c>
      <c r="E43" s="6">
        <v>1.0</v>
      </c>
      <c r="F43" s="6" t="s">
        <v>38</v>
      </c>
      <c r="G43" s="6" t="s">
        <v>90</v>
      </c>
      <c r="H43" s="6">
        <v>14.0</v>
      </c>
      <c r="I43" s="6" t="s">
        <v>40</v>
      </c>
      <c r="J43" s="6" t="s">
        <v>91</v>
      </c>
      <c r="K43" s="11" t="s">
        <v>36</v>
      </c>
      <c r="L43" s="6"/>
      <c r="M43" s="6"/>
      <c r="N43" s="6"/>
      <c r="O43" s="17"/>
      <c r="P43" s="6"/>
      <c r="Q43" s="6" t="s">
        <v>116</v>
      </c>
      <c r="R43" s="16">
        <v>2500.0</v>
      </c>
      <c r="S43" s="17">
        <f>FRESADO!$R43*FRESADO!$E43</f>
        <v>2500</v>
      </c>
      <c r="T43" s="17">
        <f>FRESADO!$S43*16%</f>
        <v>400</v>
      </c>
      <c r="U43" s="17">
        <f>FRESADO!$S43+FRESADO!$T43</f>
        <v>2900</v>
      </c>
      <c r="V43" s="17" t="s">
        <v>43</v>
      </c>
      <c r="W43" s="17" t="s">
        <v>44</v>
      </c>
      <c r="X43" s="15" t="s">
        <v>45</v>
      </c>
      <c r="Y43" s="30"/>
      <c r="Z43" s="42" t="s">
        <v>116</v>
      </c>
    </row>
    <row r="44" ht="15.75" customHeight="1">
      <c r="A44" s="6">
        <v>24.0</v>
      </c>
      <c r="B44" s="6"/>
      <c r="C44" s="6">
        <v>5784.0</v>
      </c>
      <c r="D44" s="25">
        <v>46181.0</v>
      </c>
      <c r="E44" s="6">
        <v>1.0</v>
      </c>
      <c r="F44" s="6" t="s">
        <v>74</v>
      </c>
      <c r="G44" s="6" t="s">
        <v>71</v>
      </c>
      <c r="H44" s="6">
        <v>14.0</v>
      </c>
      <c r="I44" s="6" t="s">
        <v>40</v>
      </c>
      <c r="J44" s="6" t="s">
        <v>89</v>
      </c>
      <c r="K44" s="11" t="s">
        <v>36</v>
      </c>
      <c r="L44" s="6"/>
      <c r="M44" s="6"/>
      <c r="N44" s="6"/>
      <c r="O44" s="17"/>
      <c r="P44" s="6"/>
      <c r="Q44" s="34" t="s">
        <v>104</v>
      </c>
      <c r="R44" s="16">
        <v>3000.0</v>
      </c>
      <c r="S44" s="17">
        <f>FRESADO!$R44*FRESADO!$E44</f>
        <v>3000</v>
      </c>
      <c r="T44" s="17">
        <f>FRESADO!$S44*16%</f>
        <v>480</v>
      </c>
      <c r="U44" s="17">
        <f>FRESADO!$S44+FRESADO!$T44</f>
        <v>3480</v>
      </c>
      <c r="V44" s="17" t="s">
        <v>59</v>
      </c>
      <c r="W44" s="17" t="s">
        <v>44</v>
      </c>
      <c r="X44" s="15" t="s">
        <v>60</v>
      </c>
      <c r="Y44" s="38"/>
      <c r="Z44" s="31" t="s">
        <v>77</v>
      </c>
    </row>
    <row r="45" ht="15.75" customHeight="1">
      <c r="A45" s="6">
        <v>24.0</v>
      </c>
      <c r="B45" s="6"/>
      <c r="C45" s="6">
        <v>5785.0</v>
      </c>
      <c r="D45" s="25">
        <v>46181.0</v>
      </c>
      <c r="E45" s="6">
        <v>1.0</v>
      </c>
      <c r="F45" s="6" t="s">
        <v>74</v>
      </c>
      <c r="G45" s="6" t="s">
        <v>51</v>
      </c>
      <c r="H45" s="6">
        <v>14.0</v>
      </c>
      <c r="I45" s="6" t="s">
        <v>40</v>
      </c>
      <c r="J45" s="6" t="s">
        <v>54</v>
      </c>
      <c r="K45" s="11" t="s">
        <v>36</v>
      </c>
      <c r="L45" s="6"/>
      <c r="M45" s="6"/>
      <c r="N45" s="6"/>
      <c r="O45" s="17"/>
      <c r="P45" s="6"/>
      <c r="Q45" s="34" t="s">
        <v>104</v>
      </c>
      <c r="R45" s="16">
        <v>3000.0</v>
      </c>
      <c r="S45" s="17">
        <f>FRESADO!$R45*FRESADO!$E45</f>
        <v>3000</v>
      </c>
      <c r="T45" s="17">
        <f>FRESADO!$S45*16%</f>
        <v>480</v>
      </c>
      <c r="U45" s="17">
        <f>FRESADO!$S45+FRESADO!$T45</f>
        <v>3480</v>
      </c>
      <c r="V45" s="17" t="s">
        <v>59</v>
      </c>
      <c r="W45" s="17" t="s">
        <v>44</v>
      </c>
      <c r="X45" s="15" t="s">
        <v>60</v>
      </c>
      <c r="Y45" s="38"/>
      <c r="Z45" s="31" t="s">
        <v>77</v>
      </c>
    </row>
    <row r="46" ht="15.75" customHeight="1">
      <c r="A46" s="6">
        <v>24.0</v>
      </c>
      <c r="B46" s="6"/>
      <c r="C46" s="6">
        <v>5786.0</v>
      </c>
      <c r="D46" s="25">
        <v>46181.0</v>
      </c>
      <c r="E46" s="6">
        <v>1.0</v>
      </c>
      <c r="F46" s="6" t="s">
        <v>123</v>
      </c>
      <c r="G46" s="6" t="s">
        <v>90</v>
      </c>
      <c r="H46" s="6">
        <v>14.0</v>
      </c>
      <c r="I46" s="6" t="s">
        <v>40</v>
      </c>
      <c r="J46" s="6" t="s">
        <v>91</v>
      </c>
      <c r="K46" s="11" t="s">
        <v>36</v>
      </c>
      <c r="L46" s="6"/>
      <c r="M46" s="6"/>
      <c r="N46" s="6"/>
      <c r="O46" s="17"/>
      <c r="P46" s="6"/>
      <c r="Q46" s="34" t="s">
        <v>104</v>
      </c>
      <c r="R46" s="16">
        <v>3000.0</v>
      </c>
      <c r="S46" s="17">
        <f>FRESADO!$R46*FRESADO!$E46</f>
        <v>3000</v>
      </c>
      <c r="T46" s="17">
        <f>FRESADO!$S46*16%</f>
        <v>480</v>
      </c>
      <c r="U46" s="17">
        <f>FRESADO!$S46+FRESADO!$T46</f>
        <v>3480</v>
      </c>
      <c r="V46" s="17" t="s">
        <v>59</v>
      </c>
      <c r="W46" s="17" t="s">
        <v>44</v>
      </c>
      <c r="X46" s="15" t="s">
        <v>60</v>
      </c>
      <c r="Y46" s="38"/>
      <c r="Z46" s="31" t="s">
        <v>77</v>
      </c>
    </row>
    <row r="47" ht="15.75" customHeight="1">
      <c r="A47" s="6">
        <v>24.0</v>
      </c>
      <c r="B47" s="6"/>
      <c r="C47" s="6">
        <v>5787.0</v>
      </c>
      <c r="D47" s="25">
        <v>46181.0</v>
      </c>
      <c r="E47" s="6">
        <v>1.0</v>
      </c>
      <c r="F47" s="6" t="s">
        <v>74</v>
      </c>
      <c r="G47" s="6" t="s">
        <v>90</v>
      </c>
      <c r="H47" s="6">
        <v>14.0</v>
      </c>
      <c r="I47" s="6" t="s">
        <v>40</v>
      </c>
      <c r="J47" s="6" t="s">
        <v>91</v>
      </c>
      <c r="K47" s="11" t="s">
        <v>36</v>
      </c>
      <c r="L47" s="6"/>
      <c r="M47" s="6"/>
      <c r="N47" s="6"/>
      <c r="O47" s="17"/>
      <c r="P47" s="6"/>
      <c r="Q47" s="34" t="s">
        <v>104</v>
      </c>
      <c r="R47" s="16">
        <v>3000.0</v>
      </c>
      <c r="S47" s="17">
        <f>FRESADO!$R47*FRESADO!$E47</f>
        <v>3000</v>
      </c>
      <c r="T47" s="17">
        <f>FRESADO!$S47*16%</f>
        <v>480</v>
      </c>
      <c r="U47" s="17">
        <f>FRESADO!$S47+FRESADO!$T47</f>
        <v>3480</v>
      </c>
      <c r="V47" s="17" t="s">
        <v>59</v>
      </c>
      <c r="W47" s="17" t="s">
        <v>44</v>
      </c>
      <c r="X47" s="15" t="s">
        <v>60</v>
      </c>
      <c r="Y47" s="38"/>
      <c r="Z47" s="31" t="s">
        <v>77</v>
      </c>
    </row>
    <row r="48" ht="15.75" customHeight="1">
      <c r="A48" s="6">
        <v>24.0</v>
      </c>
      <c r="B48" s="6"/>
      <c r="C48" s="6">
        <v>5788.0</v>
      </c>
      <c r="D48" s="25">
        <v>46181.0</v>
      </c>
      <c r="E48" s="6">
        <v>1.0</v>
      </c>
      <c r="F48" s="6" t="s">
        <v>74</v>
      </c>
      <c r="G48" s="6" t="s">
        <v>71</v>
      </c>
      <c r="H48" s="6">
        <v>14.0</v>
      </c>
      <c r="I48" s="6" t="s">
        <v>40</v>
      </c>
      <c r="J48" s="6" t="s">
        <v>89</v>
      </c>
      <c r="K48" s="11" t="s">
        <v>36</v>
      </c>
      <c r="L48" s="6"/>
      <c r="M48" s="6"/>
      <c r="N48" s="6"/>
      <c r="O48" s="17"/>
      <c r="P48" s="6"/>
      <c r="Q48" s="34" t="s">
        <v>104</v>
      </c>
      <c r="R48" s="16">
        <v>3000.0</v>
      </c>
      <c r="S48" s="17">
        <f>FRESADO!$R48*FRESADO!$E48</f>
        <v>3000</v>
      </c>
      <c r="T48" s="17">
        <f>FRESADO!$S48*16%</f>
        <v>480</v>
      </c>
      <c r="U48" s="17">
        <f>FRESADO!$S48+FRESADO!$T48</f>
        <v>3480</v>
      </c>
      <c r="V48" s="17" t="s">
        <v>59</v>
      </c>
      <c r="W48" s="17" t="s">
        <v>44</v>
      </c>
      <c r="X48" s="15" t="s">
        <v>60</v>
      </c>
      <c r="Y48" s="38"/>
      <c r="Z48" s="31" t="s">
        <v>77</v>
      </c>
    </row>
    <row r="49" ht="15.75" customHeight="1">
      <c r="A49" s="6">
        <v>24.0</v>
      </c>
      <c r="B49" s="6"/>
      <c r="C49" s="6">
        <v>5789.0</v>
      </c>
      <c r="D49" s="25">
        <v>46181.0</v>
      </c>
      <c r="E49" s="6">
        <v>1.0</v>
      </c>
      <c r="F49" s="6" t="s">
        <v>74</v>
      </c>
      <c r="G49" s="6" t="s">
        <v>51</v>
      </c>
      <c r="H49" s="6">
        <v>14.0</v>
      </c>
      <c r="I49" s="6" t="s">
        <v>40</v>
      </c>
      <c r="J49" s="6" t="s">
        <v>54</v>
      </c>
      <c r="K49" s="11" t="s">
        <v>36</v>
      </c>
      <c r="L49" s="6"/>
      <c r="M49" s="6"/>
      <c r="N49" s="6"/>
      <c r="O49" s="17"/>
      <c r="P49" s="6"/>
      <c r="Q49" s="34" t="s">
        <v>104</v>
      </c>
      <c r="R49" s="16">
        <v>3000.0</v>
      </c>
      <c r="S49" s="17">
        <f>FRESADO!$R49*FRESADO!$E49</f>
        <v>3000</v>
      </c>
      <c r="T49" s="17">
        <f>FRESADO!$S49*16%</f>
        <v>480</v>
      </c>
      <c r="U49" s="17">
        <f>FRESADO!$S49+FRESADO!$T49</f>
        <v>3480</v>
      </c>
      <c r="V49" s="17" t="s">
        <v>59</v>
      </c>
      <c r="W49" s="17" t="s">
        <v>44</v>
      </c>
      <c r="X49" s="15" t="s">
        <v>60</v>
      </c>
      <c r="Y49" s="38"/>
      <c r="Z49" s="31" t="s">
        <v>77</v>
      </c>
    </row>
    <row r="50" ht="15.75" customHeight="1">
      <c r="A50" s="6">
        <v>24.0</v>
      </c>
      <c r="B50" s="6"/>
      <c r="C50" s="6">
        <v>5790.0</v>
      </c>
      <c r="D50" s="25">
        <v>46181.0</v>
      </c>
      <c r="E50" s="6">
        <v>1.0</v>
      </c>
      <c r="F50" s="6" t="s">
        <v>74</v>
      </c>
      <c r="G50" s="6" t="s">
        <v>69</v>
      </c>
      <c r="H50" s="6">
        <v>14.0</v>
      </c>
      <c r="I50" s="6" t="s">
        <v>40</v>
      </c>
      <c r="J50" s="6" t="s">
        <v>70</v>
      </c>
      <c r="K50" s="11" t="s">
        <v>36</v>
      </c>
      <c r="L50" s="6"/>
      <c r="M50" s="6"/>
      <c r="N50" s="6"/>
      <c r="O50" s="17"/>
      <c r="P50" s="6"/>
      <c r="Q50" s="34" t="s">
        <v>104</v>
      </c>
      <c r="R50" s="16">
        <v>3000.0</v>
      </c>
      <c r="S50" s="17">
        <f>FRESADO!$R50*FRESADO!$E50</f>
        <v>3000</v>
      </c>
      <c r="T50" s="17">
        <f>FRESADO!$S50*16%</f>
        <v>480</v>
      </c>
      <c r="U50" s="17">
        <f>FRESADO!$S50+FRESADO!$T50</f>
        <v>3480</v>
      </c>
      <c r="V50" s="17" t="s">
        <v>59</v>
      </c>
      <c r="W50" s="17" t="s">
        <v>44</v>
      </c>
      <c r="X50" s="15" t="s">
        <v>60</v>
      </c>
      <c r="Y50" s="38"/>
      <c r="Z50" s="31" t="s">
        <v>77</v>
      </c>
    </row>
    <row r="51" ht="15.75" customHeight="1">
      <c r="A51" s="6">
        <v>24.0</v>
      </c>
      <c r="B51" s="6"/>
      <c r="C51" s="6">
        <v>5791.0</v>
      </c>
      <c r="D51" s="25">
        <v>46182.0</v>
      </c>
      <c r="E51" s="6">
        <v>1.0</v>
      </c>
      <c r="F51" s="6" t="s">
        <v>74</v>
      </c>
      <c r="G51" s="6" t="s">
        <v>69</v>
      </c>
      <c r="H51" s="6">
        <v>14.0</v>
      </c>
      <c r="I51" s="6" t="s">
        <v>40</v>
      </c>
      <c r="J51" s="6" t="s">
        <v>70</v>
      </c>
      <c r="K51" s="11" t="s">
        <v>36</v>
      </c>
      <c r="L51" s="6"/>
      <c r="M51" s="6"/>
      <c r="N51" s="6"/>
      <c r="O51" s="17"/>
      <c r="P51" s="6"/>
      <c r="Q51" s="34" t="s">
        <v>104</v>
      </c>
      <c r="R51" s="16">
        <v>3000.0</v>
      </c>
      <c r="S51" s="17">
        <f>FRESADO!$R51*FRESADO!$E51</f>
        <v>3000</v>
      </c>
      <c r="T51" s="17">
        <f>FRESADO!$S51*16%</f>
        <v>480</v>
      </c>
      <c r="U51" s="17">
        <f>FRESADO!$S51+FRESADO!$T51</f>
        <v>3480</v>
      </c>
      <c r="V51" s="17" t="s">
        <v>59</v>
      </c>
      <c r="W51" s="17" t="s">
        <v>44</v>
      </c>
      <c r="X51" s="15" t="s">
        <v>60</v>
      </c>
      <c r="Y51" s="30"/>
      <c r="Z51" s="31" t="s">
        <v>77</v>
      </c>
    </row>
    <row r="52" ht="15.75" customHeight="1">
      <c r="A52" s="6">
        <v>24.0</v>
      </c>
      <c r="B52" s="6"/>
      <c r="C52" s="6">
        <v>5792.0</v>
      </c>
      <c r="D52" s="25">
        <v>46182.0</v>
      </c>
      <c r="E52" s="6">
        <v>1.0</v>
      </c>
      <c r="F52" s="6" t="s">
        <v>74</v>
      </c>
      <c r="G52" s="6" t="s">
        <v>80</v>
      </c>
      <c r="H52" s="6">
        <v>14.0</v>
      </c>
      <c r="I52" s="6" t="s">
        <v>40</v>
      </c>
      <c r="J52" s="6" t="s">
        <v>81</v>
      </c>
      <c r="K52" s="11" t="s">
        <v>36</v>
      </c>
      <c r="L52" s="6"/>
      <c r="M52" s="6"/>
      <c r="N52" s="6"/>
      <c r="O52" s="17"/>
      <c r="P52" s="6"/>
      <c r="Q52" s="34" t="s">
        <v>104</v>
      </c>
      <c r="R52" s="16">
        <v>3000.0</v>
      </c>
      <c r="S52" s="17">
        <f>FRESADO!$R52*FRESADO!$E52</f>
        <v>3000</v>
      </c>
      <c r="T52" s="17">
        <f>FRESADO!$S52*16%</f>
        <v>480</v>
      </c>
      <c r="U52" s="17">
        <f>FRESADO!$S52+FRESADO!$T52</f>
        <v>3480</v>
      </c>
      <c r="V52" s="17" t="s">
        <v>59</v>
      </c>
      <c r="W52" s="17" t="s">
        <v>44</v>
      </c>
      <c r="X52" s="15" t="s">
        <v>60</v>
      </c>
      <c r="Y52" s="30"/>
      <c r="Z52" s="31" t="s">
        <v>77</v>
      </c>
    </row>
    <row r="53" ht="15.75" customHeight="1">
      <c r="A53" s="6">
        <v>24.0</v>
      </c>
      <c r="B53" s="6"/>
      <c r="C53" s="6">
        <v>5793.0</v>
      </c>
      <c r="D53" s="25">
        <v>46182.0</v>
      </c>
      <c r="E53" s="6">
        <v>1.0</v>
      </c>
      <c r="F53" s="6" t="s">
        <v>74</v>
      </c>
      <c r="G53" s="6" t="s">
        <v>86</v>
      </c>
      <c r="H53" s="6">
        <v>14.0</v>
      </c>
      <c r="I53" s="6" t="s">
        <v>40</v>
      </c>
      <c r="J53" s="6" t="s">
        <v>87</v>
      </c>
      <c r="K53" s="11" t="s">
        <v>36</v>
      </c>
      <c r="L53" s="6"/>
      <c r="M53" s="6"/>
      <c r="N53" s="6"/>
      <c r="O53" s="17"/>
      <c r="P53" s="6"/>
      <c r="Q53" s="34" t="s">
        <v>104</v>
      </c>
      <c r="R53" s="16">
        <v>3000.0</v>
      </c>
      <c r="S53" s="17">
        <f>FRESADO!$R53*FRESADO!$E53</f>
        <v>3000</v>
      </c>
      <c r="T53" s="17">
        <f>FRESADO!$S53*16%</f>
        <v>480</v>
      </c>
      <c r="U53" s="17">
        <f>FRESADO!$S53+FRESADO!$T53</f>
        <v>3480</v>
      </c>
      <c r="V53" s="17" t="s">
        <v>59</v>
      </c>
      <c r="W53" s="17" t="s">
        <v>44</v>
      </c>
      <c r="X53" s="15" t="s">
        <v>60</v>
      </c>
      <c r="Y53" s="30"/>
      <c r="Z53" s="31" t="s">
        <v>77</v>
      </c>
    </row>
    <row r="54" ht="15.75" customHeight="1">
      <c r="A54" s="6">
        <v>24.0</v>
      </c>
      <c r="B54" s="6"/>
      <c r="C54" s="6">
        <v>5794.0</v>
      </c>
      <c r="D54" s="25">
        <v>46182.0</v>
      </c>
      <c r="E54" s="6">
        <v>1.0</v>
      </c>
      <c r="F54" s="6" t="s">
        <v>74</v>
      </c>
      <c r="G54" s="6" t="s">
        <v>78</v>
      </c>
      <c r="H54" s="6">
        <v>14.0</v>
      </c>
      <c r="I54" s="6" t="s">
        <v>40</v>
      </c>
      <c r="J54" s="6" t="s">
        <v>83</v>
      </c>
      <c r="K54" s="11" t="s">
        <v>36</v>
      </c>
      <c r="L54" s="6"/>
      <c r="M54" s="6"/>
      <c r="N54" s="6"/>
      <c r="O54" s="17"/>
      <c r="P54" s="6"/>
      <c r="Q54" s="34" t="s">
        <v>104</v>
      </c>
      <c r="R54" s="16">
        <v>3000.0</v>
      </c>
      <c r="S54" s="17">
        <f>FRESADO!$R54*FRESADO!$E54</f>
        <v>3000</v>
      </c>
      <c r="T54" s="17">
        <f>FRESADO!$S54*16%</f>
        <v>480</v>
      </c>
      <c r="U54" s="17">
        <f>FRESADO!$S54+FRESADO!$T54</f>
        <v>3480</v>
      </c>
      <c r="V54" s="17" t="s">
        <v>59</v>
      </c>
      <c r="W54" s="17" t="s">
        <v>44</v>
      </c>
      <c r="X54" s="15" t="s">
        <v>60</v>
      </c>
      <c r="Y54" s="30"/>
      <c r="Z54" s="31" t="s">
        <v>77</v>
      </c>
    </row>
    <row r="55" ht="15.75" customHeight="1">
      <c r="A55" s="6">
        <v>24.0</v>
      </c>
      <c r="B55" s="6"/>
      <c r="C55" s="6">
        <v>5795.0</v>
      </c>
      <c r="D55" s="25">
        <v>46182.0</v>
      </c>
      <c r="E55" s="6">
        <v>1.0</v>
      </c>
      <c r="F55" s="6" t="s">
        <v>74</v>
      </c>
      <c r="G55" s="6" t="s">
        <v>51</v>
      </c>
      <c r="H55" s="6">
        <v>14.0</v>
      </c>
      <c r="I55" s="6" t="s">
        <v>40</v>
      </c>
      <c r="J55" s="6" t="s">
        <v>54</v>
      </c>
      <c r="K55" s="11" t="s">
        <v>36</v>
      </c>
      <c r="L55" s="6"/>
      <c r="M55" s="6"/>
      <c r="N55" s="6"/>
      <c r="O55" s="17"/>
      <c r="P55" s="6"/>
      <c r="Q55" s="34" t="s">
        <v>104</v>
      </c>
      <c r="R55" s="16">
        <v>3000.0</v>
      </c>
      <c r="S55" s="17">
        <f>FRESADO!$R55*FRESADO!$E55</f>
        <v>3000</v>
      </c>
      <c r="T55" s="17">
        <f>FRESADO!$S55*16%</f>
        <v>480</v>
      </c>
      <c r="U55" s="17">
        <f>FRESADO!$S55+FRESADO!$T55</f>
        <v>3480</v>
      </c>
      <c r="V55" s="17" t="s">
        <v>59</v>
      </c>
      <c r="W55" s="17" t="s">
        <v>44</v>
      </c>
      <c r="X55" s="15" t="s">
        <v>60</v>
      </c>
      <c r="Y55" s="30"/>
      <c r="Z55" s="31" t="s">
        <v>77</v>
      </c>
    </row>
    <row r="56" ht="15.75" customHeight="1">
      <c r="A56" s="6">
        <v>24.0</v>
      </c>
      <c r="B56" s="6"/>
      <c r="C56" s="6">
        <v>5796.0</v>
      </c>
      <c r="D56" s="25">
        <v>46182.0</v>
      </c>
      <c r="E56" s="6">
        <v>1.0</v>
      </c>
      <c r="F56" s="6" t="s">
        <v>74</v>
      </c>
      <c r="G56" s="6" t="s">
        <v>39</v>
      </c>
      <c r="H56" s="6">
        <v>14.0</v>
      </c>
      <c r="I56" s="6" t="s">
        <v>40</v>
      </c>
      <c r="J56" s="6" t="s">
        <v>41</v>
      </c>
      <c r="K56" s="11" t="s">
        <v>36</v>
      </c>
      <c r="L56" s="6"/>
      <c r="M56" s="6"/>
      <c r="N56" s="6"/>
      <c r="O56" s="17"/>
      <c r="P56" s="6"/>
      <c r="Q56" s="34" t="s">
        <v>104</v>
      </c>
      <c r="R56" s="16">
        <v>3000.0</v>
      </c>
      <c r="S56" s="17">
        <f>FRESADO!$R56*FRESADO!$E56</f>
        <v>3000</v>
      </c>
      <c r="T56" s="17">
        <f>FRESADO!$S56*16%</f>
        <v>480</v>
      </c>
      <c r="U56" s="17">
        <f>FRESADO!$S56+FRESADO!$T56</f>
        <v>3480</v>
      </c>
      <c r="V56" s="17" t="s">
        <v>59</v>
      </c>
      <c r="W56" s="17" t="s">
        <v>44</v>
      </c>
      <c r="X56" s="15" t="s">
        <v>60</v>
      </c>
      <c r="Y56" s="30"/>
      <c r="Z56" s="31" t="s">
        <v>77</v>
      </c>
    </row>
    <row r="57" ht="15.75" customHeight="1">
      <c r="A57" s="6">
        <v>24.0</v>
      </c>
      <c r="B57" s="6"/>
      <c r="C57" s="6">
        <v>5797.0</v>
      </c>
      <c r="D57" s="25">
        <v>46182.0</v>
      </c>
      <c r="E57" s="6">
        <v>1.0</v>
      </c>
      <c r="F57" s="6" t="s">
        <v>74</v>
      </c>
      <c r="G57" s="6" t="s">
        <v>69</v>
      </c>
      <c r="H57" s="6">
        <v>14.0</v>
      </c>
      <c r="I57" s="6" t="s">
        <v>40</v>
      </c>
      <c r="J57" s="6" t="s">
        <v>70</v>
      </c>
      <c r="K57" s="11" t="s">
        <v>36</v>
      </c>
      <c r="L57" s="6"/>
      <c r="M57" s="6"/>
      <c r="N57" s="6"/>
      <c r="O57" s="17"/>
      <c r="P57" s="6"/>
      <c r="Q57" s="34" t="s">
        <v>104</v>
      </c>
      <c r="R57" s="16">
        <v>3000.0</v>
      </c>
      <c r="S57" s="17">
        <f>FRESADO!$R57*FRESADO!$E57</f>
        <v>3000</v>
      </c>
      <c r="T57" s="17">
        <f>FRESADO!$S57*16%</f>
        <v>480</v>
      </c>
      <c r="U57" s="17">
        <f>FRESADO!$S57+FRESADO!$T57</f>
        <v>3480</v>
      </c>
      <c r="V57" s="17" t="s">
        <v>59</v>
      </c>
      <c r="W57" s="17" t="s">
        <v>44</v>
      </c>
      <c r="X57" s="15" t="s">
        <v>60</v>
      </c>
      <c r="Y57" s="30"/>
      <c r="Z57" s="31" t="s">
        <v>77</v>
      </c>
    </row>
    <row r="58" ht="15.75" customHeight="1">
      <c r="A58" s="6">
        <v>24.0</v>
      </c>
      <c r="B58" s="6"/>
      <c r="C58" s="6">
        <v>5798.0</v>
      </c>
      <c r="D58" s="25">
        <v>46182.0</v>
      </c>
      <c r="E58" s="6">
        <v>1.0</v>
      </c>
      <c r="F58" s="6" t="s">
        <v>74</v>
      </c>
      <c r="G58" s="6" t="s">
        <v>80</v>
      </c>
      <c r="H58" s="6">
        <v>14.0</v>
      </c>
      <c r="I58" s="6" t="s">
        <v>40</v>
      </c>
      <c r="J58" s="6" t="s">
        <v>81</v>
      </c>
      <c r="K58" s="11" t="s">
        <v>36</v>
      </c>
      <c r="L58" s="6"/>
      <c r="M58" s="6"/>
      <c r="N58" s="6"/>
      <c r="O58" s="17"/>
      <c r="P58" s="6"/>
      <c r="Q58" s="34" t="s">
        <v>104</v>
      </c>
      <c r="R58" s="16">
        <v>3000.0</v>
      </c>
      <c r="S58" s="17">
        <f>FRESADO!$R58*FRESADO!$E58</f>
        <v>3000</v>
      </c>
      <c r="T58" s="17">
        <f>FRESADO!$S58*16%</f>
        <v>480</v>
      </c>
      <c r="U58" s="17">
        <f>FRESADO!$S58+FRESADO!$T58</f>
        <v>3480</v>
      </c>
      <c r="V58" s="17" t="s">
        <v>59</v>
      </c>
      <c r="W58" s="17" t="s">
        <v>44</v>
      </c>
      <c r="X58" s="15" t="s">
        <v>60</v>
      </c>
      <c r="Y58" s="30"/>
      <c r="Z58" s="31" t="s">
        <v>77</v>
      </c>
    </row>
    <row r="59" ht="15.75" customHeight="1">
      <c r="A59" s="6">
        <v>24.0</v>
      </c>
      <c r="B59" s="6"/>
      <c r="C59" s="6">
        <v>5799.0</v>
      </c>
      <c r="D59" s="25">
        <v>46182.0</v>
      </c>
      <c r="E59" s="6">
        <v>1.0</v>
      </c>
      <c r="F59" s="6" t="s">
        <v>74</v>
      </c>
      <c r="G59" s="6" t="s">
        <v>78</v>
      </c>
      <c r="H59" s="6">
        <v>14.0</v>
      </c>
      <c r="I59" s="6" t="s">
        <v>40</v>
      </c>
      <c r="J59" s="6" t="s">
        <v>83</v>
      </c>
      <c r="K59" s="11" t="s">
        <v>36</v>
      </c>
      <c r="L59" s="6"/>
      <c r="M59" s="6"/>
      <c r="N59" s="6"/>
      <c r="O59" s="17"/>
      <c r="P59" s="6"/>
      <c r="Q59" s="34" t="s">
        <v>104</v>
      </c>
      <c r="R59" s="16">
        <v>3000.0</v>
      </c>
      <c r="S59" s="17">
        <f>FRESADO!$R59*FRESADO!$E59</f>
        <v>3000</v>
      </c>
      <c r="T59" s="17">
        <f>FRESADO!$S59*16%</f>
        <v>480</v>
      </c>
      <c r="U59" s="17">
        <f>FRESADO!$S59+FRESADO!$T59</f>
        <v>3480</v>
      </c>
      <c r="V59" s="17" t="s">
        <v>59</v>
      </c>
      <c r="W59" s="17" t="s">
        <v>44</v>
      </c>
      <c r="X59" s="15" t="s">
        <v>60</v>
      </c>
      <c r="Y59" s="30"/>
      <c r="Z59" s="31" t="s">
        <v>77</v>
      </c>
    </row>
    <row r="60" ht="15.75" customHeight="1">
      <c r="A60" s="6">
        <v>24.0</v>
      </c>
      <c r="B60" s="6"/>
      <c r="C60" s="6">
        <v>5800.0</v>
      </c>
      <c r="D60" s="25">
        <v>46182.0</v>
      </c>
      <c r="E60" s="6">
        <v>1.0</v>
      </c>
      <c r="F60" s="6" t="s">
        <v>74</v>
      </c>
      <c r="G60" s="6" t="s">
        <v>86</v>
      </c>
      <c r="H60" s="6">
        <v>14.0</v>
      </c>
      <c r="I60" s="6" t="s">
        <v>40</v>
      </c>
      <c r="J60" s="6" t="s">
        <v>87</v>
      </c>
      <c r="K60" s="11" t="s">
        <v>36</v>
      </c>
      <c r="L60" s="6"/>
      <c r="M60" s="6"/>
      <c r="N60" s="6"/>
      <c r="O60" s="17"/>
      <c r="P60" s="6"/>
      <c r="Q60" s="34" t="s">
        <v>104</v>
      </c>
      <c r="R60" s="16">
        <v>3000.0</v>
      </c>
      <c r="S60" s="17">
        <f>FRESADO!$R60*FRESADO!$E60</f>
        <v>3000</v>
      </c>
      <c r="T60" s="17">
        <f>FRESADO!$S60*16%</f>
        <v>480</v>
      </c>
      <c r="U60" s="17">
        <f>FRESADO!$S60+FRESADO!$T60</f>
        <v>3480</v>
      </c>
      <c r="V60" s="17" t="s">
        <v>59</v>
      </c>
      <c r="W60" s="17" t="s">
        <v>44</v>
      </c>
      <c r="X60" s="15" t="s">
        <v>60</v>
      </c>
      <c r="Y60" s="30"/>
      <c r="Z60" s="31" t="s">
        <v>77</v>
      </c>
    </row>
    <row r="61" ht="15.75" customHeight="1">
      <c r="A61" s="6">
        <v>24.0</v>
      </c>
      <c r="B61" s="6"/>
      <c r="C61" s="6">
        <v>1.0</v>
      </c>
      <c r="D61" s="25">
        <v>46182.0</v>
      </c>
      <c r="E61" s="6">
        <v>1.0</v>
      </c>
      <c r="F61" s="6" t="s">
        <v>74</v>
      </c>
      <c r="G61" s="6" t="s">
        <v>153</v>
      </c>
      <c r="H61" s="6">
        <v>14.0</v>
      </c>
      <c r="I61" s="6" t="s">
        <v>40</v>
      </c>
      <c r="J61" s="6" t="s">
        <v>54</v>
      </c>
      <c r="K61" s="11" t="s">
        <v>36</v>
      </c>
      <c r="L61" s="6"/>
      <c r="M61" s="6"/>
      <c r="N61" s="6"/>
      <c r="O61" s="17"/>
      <c r="P61" s="6"/>
      <c r="Q61" s="34" t="s">
        <v>104</v>
      </c>
      <c r="R61" s="16">
        <v>3000.0</v>
      </c>
      <c r="S61" s="17">
        <f>FRESADO!$R61*FRESADO!$E61</f>
        <v>3000</v>
      </c>
      <c r="T61" s="17">
        <f>FRESADO!$S61*16%</f>
        <v>480</v>
      </c>
      <c r="U61" s="17">
        <f>FRESADO!$S61+FRESADO!$T61</f>
        <v>3480</v>
      </c>
      <c r="V61" s="17" t="s">
        <v>59</v>
      </c>
      <c r="W61" s="17" t="s">
        <v>44</v>
      </c>
      <c r="X61" s="15" t="s">
        <v>60</v>
      </c>
      <c r="Y61" s="30"/>
      <c r="Z61" s="31" t="s">
        <v>77</v>
      </c>
    </row>
    <row r="62" ht="15.75" customHeight="1">
      <c r="A62" s="6">
        <v>24.0</v>
      </c>
      <c r="B62" s="6"/>
      <c r="C62" s="6">
        <v>2.0</v>
      </c>
      <c r="D62" s="25">
        <v>46182.0</v>
      </c>
      <c r="E62" s="6">
        <v>1.0</v>
      </c>
      <c r="F62" s="6" t="s">
        <v>74</v>
      </c>
      <c r="G62" s="6" t="s">
        <v>39</v>
      </c>
      <c r="H62" s="6">
        <v>14.0</v>
      </c>
      <c r="I62" s="6" t="s">
        <v>40</v>
      </c>
      <c r="J62" s="6" t="s">
        <v>41</v>
      </c>
      <c r="K62" s="11" t="s">
        <v>36</v>
      </c>
      <c r="L62" s="6"/>
      <c r="M62" s="6"/>
      <c r="N62" s="6"/>
      <c r="O62" s="17"/>
      <c r="P62" s="6"/>
      <c r="Q62" s="34" t="s">
        <v>104</v>
      </c>
      <c r="R62" s="16">
        <v>3000.0</v>
      </c>
      <c r="S62" s="17">
        <f>FRESADO!$R62*FRESADO!$E62</f>
        <v>3000</v>
      </c>
      <c r="T62" s="17">
        <f>FRESADO!$S62*16%</f>
        <v>480</v>
      </c>
      <c r="U62" s="17">
        <f>FRESADO!$S62+FRESADO!$T62</f>
        <v>3480</v>
      </c>
      <c r="V62" s="17" t="s">
        <v>59</v>
      </c>
      <c r="W62" s="17" t="s">
        <v>44</v>
      </c>
      <c r="X62" s="15" t="s">
        <v>60</v>
      </c>
      <c r="Y62" s="30"/>
      <c r="Z62" s="31" t="s">
        <v>77</v>
      </c>
    </row>
    <row r="63" ht="15.75" customHeight="1">
      <c r="A63" s="6">
        <v>24.0</v>
      </c>
      <c r="B63" s="6"/>
      <c r="C63" s="6">
        <v>3.0</v>
      </c>
      <c r="D63" s="25">
        <v>46182.0</v>
      </c>
      <c r="E63" s="6">
        <v>1.0</v>
      </c>
      <c r="F63" s="6" t="s">
        <v>74</v>
      </c>
      <c r="G63" s="6" t="s">
        <v>69</v>
      </c>
      <c r="H63" s="6">
        <v>14.0</v>
      </c>
      <c r="I63" s="6" t="s">
        <v>40</v>
      </c>
      <c r="J63" s="6" t="s">
        <v>70</v>
      </c>
      <c r="K63" s="11" t="s">
        <v>36</v>
      </c>
      <c r="L63" s="6"/>
      <c r="M63" s="6"/>
      <c r="N63" s="6"/>
      <c r="O63" s="17"/>
      <c r="P63" s="6"/>
      <c r="Q63" s="34" t="s">
        <v>104</v>
      </c>
      <c r="R63" s="16">
        <v>3000.0</v>
      </c>
      <c r="S63" s="17">
        <f>FRESADO!$R63*FRESADO!$E63</f>
        <v>3000</v>
      </c>
      <c r="T63" s="17">
        <f>FRESADO!$S63*16%</f>
        <v>480</v>
      </c>
      <c r="U63" s="17">
        <f>FRESADO!$S63+FRESADO!$T63</f>
        <v>3480</v>
      </c>
      <c r="V63" s="17" t="s">
        <v>59</v>
      </c>
      <c r="W63" s="17" t="s">
        <v>44</v>
      </c>
      <c r="X63" s="15" t="s">
        <v>60</v>
      </c>
      <c r="Y63" s="30"/>
      <c r="Z63" s="31" t="s">
        <v>77</v>
      </c>
    </row>
    <row r="64" ht="15.75" customHeight="1">
      <c r="A64" s="6">
        <v>24.0</v>
      </c>
      <c r="B64" s="6"/>
      <c r="C64" s="6">
        <v>4.0</v>
      </c>
      <c r="D64" s="25">
        <v>46182.0</v>
      </c>
      <c r="E64" s="6">
        <v>1.0</v>
      </c>
      <c r="F64" s="6" t="s">
        <v>74</v>
      </c>
      <c r="G64" s="6" t="s">
        <v>80</v>
      </c>
      <c r="H64" s="6">
        <v>14.0</v>
      </c>
      <c r="I64" s="6" t="s">
        <v>40</v>
      </c>
      <c r="J64" s="6" t="s">
        <v>81</v>
      </c>
      <c r="K64" s="11" t="s">
        <v>36</v>
      </c>
      <c r="L64" s="6"/>
      <c r="M64" s="6"/>
      <c r="N64" s="6"/>
      <c r="O64" s="17"/>
      <c r="P64" s="6"/>
      <c r="Q64" s="34" t="s">
        <v>104</v>
      </c>
      <c r="R64" s="16">
        <v>3000.0</v>
      </c>
      <c r="S64" s="17">
        <f>FRESADO!$R64*FRESADO!$E64</f>
        <v>3000</v>
      </c>
      <c r="T64" s="17">
        <f>FRESADO!$S64*16%</f>
        <v>480</v>
      </c>
      <c r="U64" s="17">
        <f>FRESADO!$S64+FRESADO!$T64</f>
        <v>3480</v>
      </c>
      <c r="V64" s="17" t="s">
        <v>59</v>
      </c>
      <c r="W64" s="17" t="s">
        <v>44</v>
      </c>
      <c r="X64" s="15" t="s">
        <v>60</v>
      </c>
      <c r="Y64" s="30"/>
      <c r="Z64" s="31" t="s">
        <v>77</v>
      </c>
    </row>
    <row r="65" ht="15.75" customHeight="1">
      <c r="A65" s="6">
        <v>24.0</v>
      </c>
      <c r="B65" s="6"/>
      <c r="C65" s="6">
        <v>5.0</v>
      </c>
      <c r="D65" s="25">
        <v>46182.0</v>
      </c>
      <c r="E65" s="6">
        <v>1.0</v>
      </c>
      <c r="F65" s="6" t="s">
        <v>74</v>
      </c>
      <c r="G65" s="6" t="s">
        <v>78</v>
      </c>
      <c r="H65" s="6">
        <v>14.0</v>
      </c>
      <c r="I65" s="6" t="s">
        <v>40</v>
      </c>
      <c r="J65" s="6" t="s">
        <v>83</v>
      </c>
      <c r="K65" s="11" t="s">
        <v>36</v>
      </c>
      <c r="L65" s="6"/>
      <c r="M65" s="6"/>
      <c r="N65" s="6"/>
      <c r="O65" s="17"/>
      <c r="P65" s="6"/>
      <c r="Q65" s="34" t="s">
        <v>104</v>
      </c>
      <c r="R65" s="16">
        <v>3000.0</v>
      </c>
      <c r="S65" s="17">
        <f>FRESADO!$R65*FRESADO!$E65</f>
        <v>3000</v>
      </c>
      <c r="T65" s="17">
        <f>FRESADO!$S65*16%</f>
        <v>480</v>
      </c>
      <c r="U65" s="17">
        <f>FRESADO!$S65+FRESADO!$T65</f>
        <v>3480</v>
      </c>
      <c r="V65" s="17" t="s">
        <v>59</v>
      </c>
      <c r="W65" s="17" t="s">
        <v>44</v>
      </c>
      <c r="X65" s="15" t="s">
        <v>60</v>
      </c>
      <c r="Y65" s="30"/>
      <c r="Z65" s="31" t="s">
        <v>77</v>
      </c>
    </row>
    <row r="66" ht="15.75" customHeight="1">
      <c r="A66" s="6">
        <v>24.0</v>
      </c>
      <c r="B66" s="6"/>
      <c r="C66" s="6">
        <v>6.0</v>
      </c>
      <c r="D66" s="25">
        <v>46182.0</v>
      </c>
      <c r="E66" s="6">
        <v>1.0</v>
      </c>
      <c r="F66" s="6" t="s">
        <v>74</v>
      </c>
      <c r="G66" s="6" t="s">
        <v>86</v>
      </c>
      <c r="H66" s="6">
        <v>14.0</v>
      </c>
      <c r="I66" s="6" t="s">
        <v>40</v>
      </c>
      <c r="J66" s="6" t="s">
        <v>87</v>
      </c>
      <c r="K66" s="11" t="s">
        <v>36</v>
      </c>
      <c r="L66" s="6"/>
      <c r="M66" s="6"/>
      <c r="N66" s="6"/>
      <c r="O66" s="17"/>
      <c r="P66" s="6"/>
      <c r="Q66" s="34" t="s">
        <v>104</v>
      </c>
      <c r="R66" s="16">
        <v>3000.0</v>
      </c>
      <c r="S66" s="17">
        <f>FRESADO!$R66*FRESADO!$E66</f>
        <v>3000</v>
      </c>
      <c r="T66" s="17">
        <f>FRESADO!$S66*16%</f>
        <v>480</v>
      </c>
      <c r="U66" s="17">
        <f>FRESADO!$S66+FRESADO!$T66</f>
        <v>3480</v>
      </c>
      <c r="V66" s="17" t="s">
        <v>59</v>
      </c>
      <c r="W66" s="17" t="s">
        <v>44</v>
      </c>
      <c r="X66" s="15" t="s">
        <v>60</v>
      </c>
      <c r="Y66" s="30"/>
      <c r="Z66" s="31" t="s">
        <v>77</v>
      </c>
    </row>
    <row r="67" ht="15.75" customHeight="1">
      <c r="A67" s="6">
        <v>24.0</v>
      </c>
      <c r="B67" s="6"/>
      <c r="C67" s="6">
        <v>7.0</v>
      </c>
      <c r="D67" s="25">
        <v>46182.0</v>
      </c>
      <c r="E67" s="6">
        <v>1.0</v>
      </c>
      <c r="F67" s="6" t="s">
        <v>74</v>
      </c>
      <c r="G67" s="6" t="s">
        <v>153</v>
      </c>
      <c r="H67" s="6">
        <v>14.0</v>
      </c>
      <c r="I67" s="6" t="s">
        <v>40</v>
      </c>
      <c r="J67" s="6" t="s">
        <v>54</v>
      </c>
      <c r="K67" s="11" t="s">
        <v>36</v>
      </c>
      <c r="L67" s="6"/>
      <c r="M67" s="6"/>
      <c r="N67" s="6"/>
      <c r="O67" s="17"/>
      <c r="P67" s="6"/>
      <c r="Q67" s="34" t="s">
        <v>104</v>
      </c>
      <c r="R67" s="16">
        <v>3000.0</v>
      </c>
      <c r="S67" s="17">
        <f>FRESADO!$R67*FRESADO!$E67</f>
        <v>3000</v>
      </c>
      <c r="T67" s="17">
        <f>FRESADO!$S67*16%</f>
        <v>480</v>
      </c>
      <c r="U67" s="17">
        <f>FRESADO!$S67+FRESADO!$T67</f>
        <v>3480</v>
      </c>
      <c r="V67" s="17" t="s">
        <v>59</v>
      </c>
      <c r="W67" s="17" t="s">
        <v>44</v>
      </c>
      <c r="X67" s="15" t="s">
        <v>60</v>
      </c>
      <c r="Y67" s="30"/>
      <c r="Z67" s="31" t="s">
        <v>77</v>
      </c>
    </row>
    <row r="68" ht="15.75" customHeight="1">
      <c r="A68" s="6">
        <v>24.0</v>
      </c>
      <c r="B68" s="6"/>
      <c r="C68" s="6">
        <v>8.0</v>
      </c>
      <c r="D68" s="25">
        <v>46182.0</v>
      </c>
      <c r="E68" s="6">
        <v>1.0</v>
      </c>
      <c r="F68" s="6" t="s">
        <v>74</v>
      </c>
      <c r="G68" s="6" t="s">
        <v>39</v>
      </c>
      <c r="H68" s="6">
        <v>14.0</v>
      </c>
      <c r="I68" s="6" t="s">
        <v>40</v>
      </c>
      <c r="J68" s="6" t="s">
        <v>41</v>
      </c>
      <c r="K68" s="11" t="s">
        <v>36</v>
      </c>
      <c r="L68" s="6"/>
      <c r="M68" s="6"/>
      <c r="N68" s="6"/>
      <c r="O68" s="17"/>
      <c r="P68" s="6"/>
      <c r="Q68" s="34" t="s">
        <v>104</v>
      </c>
      <c r="R68" s="16">
        <v>3000.0</v>
      </c>
      <c r="S68" s="17">
        <f>FRESADO!$R68*FRESADO!$E68</f>
        <v>3000</v>
      </c>
      <c r="T68" s="17">
        <f>FRESADO!$S68*16%</f>
        <v>480</v>
      </c>
      <c r="U68" s="17">
        <f>FRESADO!$S68+FRESADO!$T68</f>
        <v>3480</v>
      </c>
      <c r="V68" s="17" t="s">
        <v>59</v>
      </c>
      <c r="W68" s="17" t="s">
        <v>44</v>
      </c>
      <c r="X68" s="15" t="s">
        <v>60</v>
      </c>
      <c r="Y68" s="30"/>
      <c r="Z68" s="31" t="s">
        <v>77</v>
      </c>
    </row>
    <row r="69" ht="15.75" customHeight="1">
      <c r="A69" s="6">
        <v>24.0</v>
      </c>
      <c r="B69" s="6"/>
      <c r="C69" s="6">
        <v>9.0</v>
      </c>
      <c r="D69" s="25">
        <v>46182.0</v>
      </c>
      <c r="E69" s="6">
        <v>1.0</v>
      </c>
      <c r="F69" s="6" t="s">
        <v>74</v>
      </c>
      <c r="G69" s="6" t="s">
        <v>69</v>
      </c>
      <c r="H69" s="6">
        <v>14.0</v>
      </c>
      <c r="I69" s="6" t="s">
        <v>40</v>
      </c>
      <c r="J69" s="6" t="s">
        <v>70</v>
      </c>
      <c r="K69" s="11" t="s">
        <v>36</v>
      </c>
      <c r="L69" s="6"/>
      <c r="M69" s="6"/>
      <c r="N69" s="6"/>
      <c r="O69" s="17"/>
      <c r="P69" s="6"/>
      <c r="Q69" s="34" t="s">
        <v>104</v>
      </c>
      <c r="R69" s="16">
        <v>3000.0</v>
      </c>
      <c r="S69" s="17">
        <f>FRESADO!$R69*FRESADO!$E69</f>
        <v>3000</v>
      </c>
      <c r="T69" s="17">
        <f>FRESADO!$S69*16%</f>
        <v>480</v>
      </c>
      <c r="U69" s="17">
        <f>FRESADO!$S69+FRESADO!$T69</f>
        <v>3480</v>
      </c>
      <c r="V69" s="17" t="s">
        <v>59</v>
      </c>
      <c r="W69" s="17" t="s">
        <v>44</v>
      </c>
      <c r="X69" s="15" t="s">
        <v>60</v>
      </c>
      <c r="Y69" s="30"/>
      <c r="Z69" s="31" t="s">
        <v>77</v>
      </c>
    </row>
    <row r="70" ht="15.75" customHeight="1">
      <c r="A70" s="6">
        <v>24.0</v>
      </c>
      <c r="B70" s="6"/>
      <c r="C70" s="6">
        <v>10.0</v>
      </c>
      <c r="D70" s="25">
        <v>46182.0</v>
      </c>
      <c r="E70" s="6">
        <v>1.0</v>
      </c>
      <c r="F70" s="6" t="s">
        <v>74</v>
      </c>
      <c r="G70" s="6" t="s">
        <v>80</v>
      </c>
      <c r="H70" s="6">
        <v>14.0</v>
      </c>
      <c r="I70" s="6" t="s">
        <v>40</v>
      </c>
      <c r="J70" s="6" t="s">
        <v>81</v>
      </c>
      <c r="K70" s="11" t="s">
        <v>36</v>
      </c>
      <c r="L70" s="6"/>
      <c r="M70" s="6"/>
      <c r="N70" s="6"/>
      <c r="O70" s="17"/>
      <c r="P70" s="6"/>
      <c r="Q70" s="34" t="s">
        <v>104</v>
      </c>
      <c r="R70" s="16">
        <v>3000.0</v>
      </c>
      <c r="S70" s="17">
        <f>FRESADO!$R70*FRESADO!$E70</f>
        <v>3000</v>
      </c>
      <c r="T70" s="17">
        <f>FRESADO!$S70*16%</f>
        <v>480</v>
      </c>
      <c r="U70" s="17">
        <f>FRESADO!$S70+FRESADO!$T70</f>
        <v>3480</v>
      </c>
      <c r="V70" s="17" t="s">
        <v>59</v>
      </c>
      <c r="W70" s="17" t="s">
        <v>44</v>
      </c>
      <c r="X70" s="15" t="s">
        <v>60</v>
      </c>
      <c r="Y70" s="30"/>
      <c r="Z70" s="31" t="s">
        <v>77</v>
      </c>
    </row>
    <row r="71" ht="15.75" customHeight="1">
      <c r="A71" s="6">
        <v>24.0</v>
      </c>
      <c r="B71" s="6"/>
      <c r="C71" s="6">
        <v>11.0</v>
      </c>
      <c r="D71" s="25">
        <v>46182.0</v>
      </c>
      <c r="E71" s="6">
        <v>1.0</v>
      </c>
      <c r="F71" s="6" t="s">
        <v>123</v>
      </c>
      <c r="G71" s="6" t="s">
        <v>86</v>
      </c>
      <c r="H71" s="6">
        <v>14.0</v>
      </c>
      <c r="I71" s="6" t="s">
        <v>40</v>
      </c>
      <c r="J71" s="6" t="s">
        <v>87</v>
      </c>
      <c r="K71" s="11" t="s">
        <v>36</v>
      </c>
      <c r="L71" s="6"/>
      <c r="M71" s="6"/>
      <c r="N71" s="6"/>
      <c r="O71" s="17"/>
      <c r="P71" s="6"/>
      <c r="Q71" s="34" t="s">
        <v>104</v>
      </c>
      <c r="R71" s="16">
        <v>3000.0</v>
      </c>
      <c r="S71" s="17">
        <f>FRESADO!$R71*FRESADO!$E71</f>
        <v>3000</v>
      </c>
      <c r="T71" s="17">
        <f>FRESADO!$S71*16%</f>
        <v>480</v>
      </c>
      <c r="U71" s="17">
        <f>FRESADO!$S71+FRESADO!$T71</f>
        <v>3480</v>
      </c>
      <c r="V71" s="17" t="s">
        <v>59</v>
      </c>
      <c r="W71" s="17" t="s">
        <v>44</v>
      </c>
      <c r="X71" s="15" t="s">
        <v>60</v>
      </c>
      <c r="Y71" s="30"/>
      <c r="Z71" s="31" t="s">
        <v>77</v>
      </c>
    </row>
    <row r="72" ht="15.75" customHeight="1">
      <c r="A72" s="6">
        <v>24.0</v>
      </c>
      <c r="B72" s="6"/>
      <c r="C72" s="6">
        <v>12.0</v>
      </c>
      <c r="D72" s="25">
        <v>46183.0</v>
      </c>
      <c r="E72" s="6">
        <v>1.0</v>
      </c>
      <c r="F72" s="6" t="s">
        <v>74</v>
      </c>
      <c r="G72" s="6" t="s">
        <v>80</v>
      </c>
      <c r="H72" s="6">
        <v>14.0</v>
      </c>
      <c r="I72" s="6" t="s">
        <v>40</v>
      </c>
      <c r="J72" s="6" t="s">
        <v>81</v>
      </c>
      <c r="K72" s="11" t="s">
        <v>36</v>
      </c>
      <c r="L72" s="6"/>
      <c r="M72" s="6"/>
      <c r="N72" s="6"/>
      <c r="O72" s="17"/>
      <c r="P72" s="6"/>
      <c r="Q72" s="34" t="s">
        <v>104</v>
      </c>
      <c r="R72" s="16">
        <v>3000.0</v>
      </c>
      <c r="S72" s="17">
        <f>FRESADO!$R72*FRESADO!$E72</f>
        <v>3000</v>
      </c>
      <c r="T72" s="17">
        <f>FRESADO!$S72*16%</f>
        <v>480</v>
      </c>
      <c r="U72" s="17">
        <f>FRESADO!$S72+FRESADO!$T72</f>
        <v>3480</v>
      </c>
      <c r="V72" s="17" t="s">
        <v>59</v>
      </c>
      <c r="W72" s="17" t="s">
        <v>44</v>
      </c>
      <c r="X72" s="15" t="s">
        <v>60</v>
      </c>
      <c r="Y72" s="30"/>
      <c r="Z72" s="31" t="s">
        <v>77</v>
      </c>
    </row>
    <row r="73" ht="15.75" customHeight="1">
      <c r="A73" s="6">
        <v>24.0</v>
      </c>
      <c r="B73" s="6"/>
      <c r="C73" s="6">
        <v>13.0</v>
      </c>
      <c r="D73" s="25">
        <v>46183.0</v>
      </c>
      <c r="E73" s="6">
        <v>1.0</v>
      </c>
      <c r="F73" s="6" t="s">
        <v>74</v>
      </c>
      <c r="G73" s="6" t="s">
        <v>86</v>
      </c>
      <c r="H73" s="6">
        <v>14.0</v>
      </c>
      <c r="I73" s="6" t="s">
        <v>40</v>
      </c>
      <c r="J73" s="6" t="s">
        <v>87</v>
      </c>
      <c r="K73" s="11" t="s">
        <v>36</v>
      </c>
      <c r="L73" s="6"/>
      <c r="M73" s="6"/>
      <c r="N73" s="6"/>
      <c r="O73" s="17"/>
      <c r="P73" s="6"/>
      <c r="Q73" s="34" t="s">
        <v>104</v>
      </c>
      <c r="R73" s="16">
        <v>3000.0</v>
      </c>
      <c r="S73" s="17">
        <f>FRESADO!$R73*FRESADO!$E73</f>
        <v>3000</v>
      </c>
      <c r="T73" s="17">
        <f>FRESADO!$S73*16%</f>
        <v>480</v>
      </c>
      <c r="U73" s="17">
        <f>FRESADO!$S73+FRESADO!$T73</f>
        <v>3480</v>
      </c>
      <c r="V73" s="17" t="s">
        <v>59</v>
      </c>
      <c r="W73" s="17" t="s">
        <v>44</v>
      </c>
      <c r="X73" s="15" t="s">
        <v>60</v>
      </c>
      <c r="Y73" s="30"/>
      <c r="Z73" s="31" t="s">
        <v>77</v>
      </c>
    </row>
    <row r="74" ht="15.75" customHeight="1">
      <c r="A74" s="6">
        <v>24.0</v>
      </c>
      <c r="B74" s="6"/>
      <c r="C74" s="6">
        <v>14.0</v>
      </c>
      <c r="D74" s="25">
        <v>46183.0</v>
      </c>
      <c r="E74" s="6">
        <v>1.0</v>
      </c>
      <c r="F74" s="6" t="s">
        <v>74</v>
      </c>
      <c r="G74" s="6" t="s">
        <v>78</v>
      </c>
      <c r="H74" s="6">
        <v>14.0</v>
      </c>
      <c r="I74" s="6" t="s">
        <v>40</v>
      </c>
      <c r="J74" s="6" t="s">
        <v>83</v>
      </c>
      <c r="K74" s="11" t="s">
        <v>36</v>
      </c>
      <c r="L74" s="6"/>
      <c r="M74" s="6"/>
      <c r="N74" s="6"/>
      <c r="O74" s="17"/>
      <c r="P74" s="6"/>
      <c r="Q74" s="34" t="s">
        <v>104</v>
      </c>
      <c r="R74" s="16">
        <v>3000.0</v>
      </c>
      <c r="S74" s="17">
        <f>FRESADO!$R74*FRESADO!$E74</f>
        <v>3000</v>
      </c>
      <c r="T74" s="17">
        <f>FRESADO!$S74*16%</f>
        <v>480</v>
      </c>
      <c r="U74" s="17">
        <f>FRESADO!$S74+FRESADO!$T74</f>
        <v>3480</v>
      </c>
      <c r="V74" s="17" t="s">
        <v>59</v>
      </c>
      <c r="W74" s="17" t="s">
        <v>44</v>
      </c>
      <c r="X74" s="15" t="s">
        <v>60</v>
      </c>
      <c r="Y74" s="30"/>
      <c r="Z74" s="31" t="s">
        <v>77</v>
      </c>
    </row>
    <row r="75" ht="15.75" customHeight="1">
      <c r="A75" s="54">
        <v>24.0</v>
      </c>
      <c r="B75" s="54"/>
      <c r="C75" s="54">
        <v>15.0</v>
      </c>
      <c r="D75" s="55">
        <v>46183.0</v>
      </c>
      <c r="E75" s="54">
        <v>0.0</v>
      </c>
      <c r="F75" s="56" t="s">
        <v>182</v>
      </c>
      <c r="G75" s="54">
        <v>0.0</v>
      </c>
      <c r="H75" s="54">
        <v>0.0</v>
      </c>
      <c r="I75" s="54" t="s">
        <v>40</v>
      </c>
      <c r="J75" s="54" t="s">
        <v>183</v>
      </c>
      <c r="K75" s="57" t="s">
        <v>49</v>
      </c>
      <c r="L75" s="54"/>
      <c r="M75" s="54"/>
      <c r="N75" s="54"/>
      <c r="O75" s="58"/>
      <c r="P75" s="54"/>
      <c r="Q75" s="56" t="s">
        <v>182</v>
      </c>
      <c r="R75" s="59">
        <v>0.0</v>
      </c>
      <c r="S75" s="58">
        <f>FRESADO!$R75*FRESADO!$E75</f>
        <v>0</v>
      </c>
      <c r="T75" s="58">
        <f>FRESADO!$S75*16%</f>
        <v>0</v>
      </c>
      <c r="U75" s="58">
        <f>FRESADO!$S75+FRESADO!$T75</f>
        <v>0</v>
      </c>
      <c r="V75" s="56" t="s">
        <v>182</v>
      </c>
      <c r="W75" s="58"/>
      <c r="X75" s="58"/>
      <c r="Y75" s="60"/>
      <c r="Z75" s="60"/>
    </row>
    <row r="76" ht="15.75" customHeight="1">
      <c r="A76" s="6">
        <v>24.0</v>
      </c>
      <c r="B76" s="6"/>
      <c r="C76" s="6">
        <v>16.0</v>
      </c>
      <c r="D76" s="25">
        <v>46183.0</v>
      </c>
      <c r="E76" s="6">
        <v>1.0</v>
      </c>
      <c r="F76" s="6" t="s">
        <v>74</v>
      </c>
      <c r="G76" s="6" t="s">
        <v>90</v>
      </c>
      <c r="H76" s="6">
        <v>14.0</v>
      </c>
      <c r="I76" s="6" t="s">
        <v>40</v>
      </c>
      <c r="J76" s="6" t="s">
        <v>91</v>
      </c>
      <c r="K76" s="11" t="s">
        <v>36</v>
      </c>
      <c r="L76" s="6"/>
      <c r="M76" s="6"/>
      <c r="N76" s="6"/>
      <c r="O76" s="17"/>
      <c r="P76" s="6"/>
      <c r="Q76" s="34" t="s">
        <v>104</v>
      </c>
      <c r="R76" s="16">
        <v>3000.0</v>
      </c>
      <c r="S76" s="17">
        <f>FRESADO!$R76*FRESADO!$E76</f>
        <v>3000</v>
      </c>
      <c r="T76" s="17">
        <f>FRESADO!$S76*16%</f>
        <v>480</v>
      </c>
      <c r="U76" s="17">
        <f>FRESADO!$S76+FRESADO!$T76</f>
        <v>3480</v>
      </c>
      <c r="V76" s="17" t="s">
        <v>59</v>
      </c>
      <c r="W76" s="17" t="s">
        <v>44</v>
      </c>
      <c r="X76" s="15" t="s">
        <v>60</v>
      </c>
      <c r="Y76" s="30"/>
      <c r="Z76" s="31" t="s">
        <v>77</v>
      </c>
    </row>
    <row r="77" ht="15.75" customHeight="1">
      <c r="A77" s="6">
        <v>24.0</v>
      </c>
      <c r="B77" s="6"/>
      <c r="C77" s="6">
        <v>17.0</v>
      </c>
      <c r="D77" s="25">
        <v>46183.0</v>
      </c>
      <c r="E77" s="6">
        <v>1.0</v>
      </c>
      <c r="F77" s="6" t="s">
        <v>74</v>
      </c>
      <c r="G77" s="6" t="s">
        <v>51</v>
      </c>
      <c r="H77" s="6">
        <v>14.0</v>
      </c>
      <c r="I77" s="6" t="s">
        <v>40</v>
      </c>
      <c r="J77" s="6" t="s">
        <v>54</v>
      </c>
      <c r="K77" s="11" t="s">
        <v>36</v>
      </c>
      <c r="L77" s="6"/>
      <c r="M77" s="6"/>
      <c r="N77" s="6"/>
      <c r="O77" s="17"/>
      <c r="P77" s="6"/>
      <c r="Q77" s="34" t="s">
        <v>104</v>
      </c>
      <c r="R77" s="16">
        <v>3000.0</v>
      </c>
      <c r="S77" s="17">
        <f>FRESADO!$R77*FRESADO!$E77</f>
        <v>3000</v>
      </c>
      <c r="T77" s="17">
        <f>FRESADO!$S77*16%</f>
        <v>480</v>
      </c>
      <c r="U77" s="17">
        <f>FRESADO!$S77+FRESADO!$T77</f>
        <v>3480</v>
      </c>
      <c r="V77" s="17" t="s">
        <v>59</v>
      </c>
      <c r="W77" s="17" t="s">
        <v>44</v>
      </c>
      <c r="X77" s="15" t="s">
        <v>60</v>
      </c>
      <c r="Y77" s="30"/>
      <c r="Z77" s="31" t="s">
        <v>77</v>
      </c>
    </row>
    <row r="78" ht="15.75" customHeight="1">
      <c r="A78" s="6">
        <v>24.0</v>
      </c>
      <c r="B78" s="6"/>
      <c r="C78" s="6">
        <v>18.0</v>
      </c>
      <c r="D78" s="25">
        <v>46183.0</v>
      </c>
      <c r="E78" s="6">
        <v>1.0</v>
      </c>
      <c r="F78" s="6" t="s">
        <v>74</v>
      </c>
      <c r="G78" s="6" t="s">
        <v>69</v>
      </c>
      <c r="H78" s="6">
        <v>14.0</v>
      </c>
      <c r="I78" s="6" t="s">
        <v>40</v>
      </c>
      <c r="J78" s="6" t="s">
        <v>70</v>
      </c>
      <c r="K78" s="11" t="s">
        <v>36</v>
      </c>
      <c r="L78" s="6"/>
      <c r="M78" s="6"/>
      <c r="N78" s="6"/>
      <c r="O78" s="17"/>
      <c r="P78" s="6"/>
      <c r="Q78" s="34" t="s">
        <v>104</v>
      </c>
      <c r="R78" s="16">
        <v>3000.0</v>
      </c>
      <c r="S78" s="17">
        <f>FRESADO!$R78*FRESADO!$E78</f>
        <v>3000</v>
      </c>
      <c r="T78" s="17">
        <f>FRESADO!$S78*16%</f>
        <v>480</v>
      </c>
      <c r="U78" s="17">
        <f>FRESADO!$S78+FRESADO!$T78</f>
        <v>3480</v>
      </c>
      <c r="V78" s="17" t="s">
        <v>59</v>
      </c>
      <c r="W78" s="17" t="s">
        <v>44</v>
      </c>
      <c r="X78" s="15" t="s">
        <v>60</v>
      </c>
      <c r="Y78" s="30"/>
      <c r="Z78" s="31" t="s">
        <v>77</v>
      </c>
    </row>
    <row r="79" ht="15.75" customHeight="1">
      <c r="A79" s="6">
        <v>24.0</v>
      </c>
      <c r="B79" s="6"/>
      <c r="C79" s="6">
        <v>19.0</v>
      </c>
      <c r="D79" s="25">
        <v>46183.0</v>
      </c>
      <c r="E79" s="6">
        <v>1.0</v>
      </c>
      <c r="F79" s="6" t="s">
        <v>74</v>
      </c>
      <c r="G79" s="6" t="s">
        <v>80</v>
      </c>
      <c r="H79" s="6">
        <v>14.0</v>
      </c>
      <c r="I79" s="6" t="s">
        <v>40</v>
      </c>
      <c r="J79" s="6" t="s">
        <v>81</v>
      </c>
      <c r="K79" s="11" t="s">
        <v>36</v>
      </c>
      <c r="L79" s="6"/>
      <c r="M79" s="6"/>
      <c r="N79" s="6"/>
      <c r="O79" s="17"/>
      <c r="P79" s="6"/>
      <c r="Q79" s="34" t="s">
        <v>104</v>
      </c>
      <c r="R79" s="16">
        <v>3000.0</v>
      </c>
      <c r="S79" s="17">
        <f>FRESADO!$R79*FRESADO!$E79</f>
        <v>3000</v>
      </c>
      <c r="T79" s="17">
        <f>FRESADO!$S79*16%</f>
        <v>480</v>
      </c>
      <c r="U79" s="17">
        <f>FRESADO!$S79+FRESADO!$T79</f>
        <v>3480</v>
      </c>
      <c r="V79" s="17" t="s">
        <v>59</v>
      </c>
      <c r="W79" s="17" t="s">
        <v>44</v>
      </c>
      <c r="X79" s="15" t="s">
        <v>60</v>
      </c>
      <c r="Y79" s="30"/>
      <c r="Z79" s="31" t="s">
        <v>77</v>
      </c>
    </row>
    <row r="80" ht="15.75" customHeight="1">
      <c r="A80" s="6">
        <v>24.0</v>
      </c>
      <c r="B80" s="6"/>
      <c r="C80" s="6">
        <v>20.0</v>
      </c>
      <c r="D80" s="25">
        <v>46183.0</v>
      </c>
      <c r="E80" s="6">
        <v>1.0</v>
      </c>
      <c r="F80" s="6" t="s">
        <v>74</v>
      </c>
      <c r="G80" s="6" t="s">
        <v>86</v>
      </c>
      <c r="H80" s="6">
        <v>14.0</v>
      </c>
      <c r="I80" s="6" t="s">
        <v>40</v>
      </c>
      <c r="J80" s="6" t="s">
        <v>87</v>
      </c>
      <c r="K80" s="11" t="s">
        <v>36</v>
      </c>
      <c r="L80" s="6"/>
      <c r="M80" s="6"/>
      <c r="N80" s="6"/>
      <c r="O80" s="17"/>
      <c r="P80" s="6"/>
      <c r="Q80" s="34" t="s">
        <v>104</v>
      </c>
      <c r="R80" s="16">
        <v>3000.0</v>
      </c>
      <c r="S80" s="17">
        <f>FRESADO!$R80*FRESADO!$E80</f>
        <v>3000</v>
      </c>
      <c r="T80" s="17">
        <f>FRESADO!$S80*16%</f>
        <v>480</v>
      </c>
      <c r="U80" s="17">
        <f>FRESADO!$S80+FRESADO!$T80</f>
        <v>3480</v>
      </c>
      <c r="V80" s="17" t="s">
        <v>59</v>
      </c>
      <c r="W80" s="17" t="s">
        <v>44</v>
      </c>
      <c r="X80" s="15" t="s">
        <v>60</v>
      </c>
      <c r="Y80" s="30"/>
      <c r="Z80" s="31" t="s">
        <v>77</v>
      </c>
    </row>
    <row r="81" ht="15.75" customHeight="1">
      <c r="A81" s="6">
        <v>24.0</v>
      </c>
      <c r="B81" s="6"/>
      <c r="C81" s="6">
        <v>21.0</v>
      </c>
      <c r="D81" s="25">
        <v>46183.0</v>
      </c>
      <c r="E81" s="6">
        <v>1.0</v>
      </c>
      <c r="F81" s="6" t="s">
        <v>74</v>
      </c>
      <c r="G81" s="6" t="s">
        <v>78</v>
      </c>
      <c r="H81" s="6">
        <v>14.0</v>
      </c>
      <c r="I81" s="6" t="s">
        <v>40</v>
      </c>
      <c r="J81" s="6" t="s">
        <v>83</v>
      </c>
      <c r="K81" s="11" t="s">
        <v>36</v>
      </c>
      <c r="L81" s="6"/>
      <c r="M81" s="6"/>
      <c r="N81" s="6"/>
      <c r="O81" s="17"/>
      <c r="P81" s="6"/>
      <c r="Q81" s="34" t="s">
        <v>104</v>
      </c>
      <c r="R81" s="16">
        <v>3000.0</v>
      </c>
      <c r="S81" s="17">
        <f>FRESADO!$R81*FRESADO!$E81</f>
        <v>3000</v>
      </c>
      <c r="T81" s="17">
        <f>FRESADO!$S81*16%</f>
        <v>480</v>
      </c>
      <c r="U81" s="17">
        <f>FRESADO!$S81+FRESADO!$T81</f>
        <v>3480</v>
      </c>
      <c r="V81" s="17" t="s">
        <v>59</v>
      </c>
      <c r="W81" s="17" t="s">
        <v>44</v>
      </c>
      <c r="X81" s="15" t="s">
        <v>60</v>
      </c>
      <c r="Y81" s="30"/>
      <c r="Z81" s="31" t="s">
        <v>77</v>
      </c>
    </row>
    <row r="82" ht="15.75" customHeight="1">
      <c r="A82" s="6">
        <v>24.0</v>
      </c>
      <c r="B82" s="6"/>
      <c r="C82" s="6">
        <v>22.0</v>
      </c>
      <c r="D82" s="25">
        <v>46183.0</v>
      </c>
      <c r="E82" s="6">
        <v>1.0</v>
      </c>
      <c r="F82" s="6" t="s">
        <v>74</v>
      </c>
      <c r="G82" s="6" t="s">
        <v>51</v>
      </c>
      <c r="H82" s="6">
        <v>14.0</v>
      </c>
      <c r="I82" s="6" t="s">
        <v>40</v>
      </c>
      <c r="J82" s="6" t="s">
        <v>54</v>
      </c>
      <c r="K82" s="11" t="s">
        <v>36</v>
      </c>
      <c r="L82" s="6"/>
      <c r="M82" s="6"/>
      <c r="N82" s="6"/>
      <c r="O82" s="17"/>
      <c r="P82" s="6"/>
      <c r="Q82" s="34" t="s">
        <v>104</v>
      </c>
      <c r="R82" s="16">
        <v>3000.0</v>
      </c>
      <c r="S82" s="17">
        <f>FRESADO!$R82*FRESADO!$E82</f>
        <v>3000</v>
      </c>
      <c r="T82" s="17">
        <f>FRESADO!$S82*16%</f>
        <v>480</v>
      </c>
      <c r="U82" s="17">
        <f>FRESADO!$S82+FRESADO!$T82</f>
        <v>3480</v>
      </c>
      <c r="V82" s="17" t="s">
        <v>59</v>
      </c>
      <c r="W82" s="17" t="s">
        <v>44</v>
      </c>
      <c r="X82" s="15" t="s">
        <v>60</v>
      </c>
      <c r="Y82" s="30"/>
      <c r="Z82" s="31" t="s">
        <v>77</v>
      </c>
    </row>
    <row r="83" ht="15.75" customHeight="1">
      <c r="A83" s="6">
        <v>24.0</v>
      </c>
      <c r="B83" s="6"/>
      <c r="C83" s="6">
        <v>23.0</v>
      </c>
      <c r="D83" s="25">
        <v>46183.0</v>
      </c>
      <c r="E83" s="6">
        <v>1.0</v>
      </c>
      <c r="F83" s="6" t="s">
        <v>74</v>
      </c>
      <c r="G83" s="6" t="s">
        <v>69</v>
      </c>
      <c r="H83" s="6">
        <v>14.0</v>
      </c>
      <c r="I83" s="6" t="s">
        <v>40</v>
      </c>
      <c r="J83" s="6" t="s">
        <v>70</v>
      </c>
      <c r="K83" s="11" t="s">
        <v>36</v>
      </c>
      <c r="L83" s="6"/>
      <c r="M83" s="6"/>
      <c r="N83" s="6"/>
      <c r="O83" s="17"/>
      <c r="P83" s="6"/>
      <c r="Q83" s="34" t="s">
        <v>104</v>
      </c>
      <c r="R83" s="16">
        <v>3000.0</v>
      </c>
      <c r="S83" s="17">
        <f>FRESADO!$R83*FRESADO!$E83</f>
        <v>3000</v>
      </c>
      <c r="T83" s="17">
        <f>FRESADO!$S83*16%</f>
        <v>480</v>
      </c>
      <c r="U83" s="17">
        <f>FRESADO!$S83+FRESADO!$T83</f>
        <v>3480</v>
      </c>
      <c r="V83" s="17" t="s">
        <v>59</v>
      </c>
      <c r="W83" s="17" t="s">
        <v>44</v>
      </c>
      <c r="X83" s="15" t="s">
        <v>60</v>
      </c>
      <c r="Y83" s="30"/>
      <c r="Z83" s="31" t="s">
        <v>77</v>
      </c>
    </row>
    <row r="84" ht="15.75" customHeight="1">
      <c r="A84" s="6">
        <v>24.0</v>
      </c>
      <c r="B84" s="6"/>
      <c r="C84" s="6">
        <v>24.0</v>
      </c>
      <c r="D84" s="25">
        <v>46183.0</v>
      </c>
      <c r="E84" s="6">
        <v>1.0</v>
      </c>
      <c r="F84" s="6" t="s">
        <v>74</v>
      </c>
      <c r="G84" s="6" t="s">
        <v>78</v>
      </c>
      <c r="H84" s="6">
        <v>14.0</v>
      </c>
      <c r="I84" s="6" t="s">
        <v>40</v>
      </c>
      <c r="J84" s="6" t="s">
        <v>83</v>
      </c>
      <c r="K84" s="11" t="s">
        <v>36</v>
      </c>
      <c r="L84" s="6"/>
      <c r="M84" s="6"/>
      <c r="N84" s="6"/>
      <c r="O84" s="17"/>
      <c r="P84" s="6"/>
      <c r="Q84" s="34" t="s">
        <v>104</v>
      </c>
      <c r="R84" s="16">
        <v>3000.0</v>
      </c>
      <c r="S84" s="17">
        <f>FRESADO!$R84*FRESADO!$E84</f>
        <v>3000</v>
      </c>
      <c r="T84" s="17">
        <f>FRESADO!$S84*16%</f>
        <v>480</v>
      </c>
      <c r="U84" s="17">
        <f>FRESADO!$S84+FRESADO!$T84</f>
        <v>3480</v>
      </c>
      <c r="V84" s="17" t="s">
        <v>59</v>
      </c>
      <c r="W84" s="17" t="s">
        <v>44</v>
      </c>
      <c r="X84" s="15" t="s">
        <v>60</v>
      </c>
      <c r="Y84" s="30"/>
      <c r="Z84" s="31" t="s">
        <v>77</v>
      </c>
    </row>
    <row r="85" ht="15.75" customHeight="1">
      <c r="A85" s="6">
        <v>24.0</v>
      </c>
      <c r="B85" s="6"/>
      <c r="C85" s="6">
        <v>25.0</v>
      </c>
      <c r="D85" s="25">
        <v>46183.0</v>
      </c>
      <c r="E85" s="6">
        <v>1.0</v>
      </c>
      <c r="F85" s="6" t="s">
        <v>74</v>
      </c>
      <c r="G85" s="6" t="s">
        <v>90</v>
      </c>
      <c r="H85" s="6">
        <v>14.0</v>
      </c>
      <c r="I85" s="6" t="s">
        <v>40</v>
      </c>
      <c r="J85" s="6" t="s">
        <v>91</v>
      </c>
      <c r="K85" s="11" t="s">
        <v>36</v>
      </c>
      <c r="L85" s="6"/>
      <c r="M85" s="6"/>
      <c r="N85" s="6"/>
      <c r="O85" s="17"/>
      <c r="P85" s="6"/>
      <c r="Q85" s="34" t="s">
        <v>104</v>
      </c>
      <c r="R85" s="16">
        <v>3000.0</v>
      </c>
      <c r="S85" s="17">
        <f>FRESADO!$R85*FRESADO!$E85</f>
        <v>3000</v>
      </c>
      <c r="T85" s="17">
        <f>FRESADO!$S85*16%</f>
        <v>480</v>
      </c>
      <c r="U85" s="17">
        <f>FRESADO!$S85+FRESADO!$T85</f>
        <v>3480</v>
      </c>
      <c r="V85" s="17" t="s">
        <v>59</v>
      </c>
      <c r="W85" s="17" t="s">
        <v>44</v>
      </c>
      <c r="X85" s="15" t="s">
        <v>60</v>
      </c>
      <c r="Y85" s="30"/>
      <c r="Z85" s="31" t="s">
        <v>77</v>
      </c>
    </row>
    <row r="86" ht="15.75" customHeight="1">
      <c r="A86" s="6">
        <v>24.0</v>
      </c>
      <c r="B86" s="6"/>
      <c r="C86" s="6">
        <v>26.0</v>
      </c>
      <c r="D86" s="25">
        <v>46183.0</v>
      </c>
      <c r="E86" s="6">
        <v>1.0</v>
      </c>
      <c r="F86" s="6" t="s">
        <v>74</v>
      </c>
      <c r="G86" s="6" t="s">
        <v>80</v>
      </c>
      <c r="H86" s="6">
        <v>14.0</v>
      </c>
      <c r="I86" s="6" t="s">
        <v>40</v>
      </c>
      <c r="J86" s="6" t="s">
        <v>81</v>
      </c>
      <c r="K86" s="11" t="s">
        <v>36</v>
      </c>
      <c r="L86" s="6"/>
      <c r="M86" s="6"/>
      <c r="N86" s="6"/>
      <c r="O86" s="17"/>
      <c r="P86" s="6"/>
      <c r="Q86" s="34" t="s">
        <v>104</v>
      </c>
      <c r="R86" s="16">
        <v>3000.0</v>
      </c>
      <c r="S86" s="17">
        <f>FRESADO!$R86*FRESADO!$E86</f>
        <v>3000</v>
      </c>
      <c r="T86" s="17">
        <f>FRESADO!$S86*16%</f>
        <v>480</v>
      </c>
      <c r="U86" s="17">
        <f>FRESADO!$S86+FRESADO!$T86</f>
        <v>3480</v>
      </c>
      <c r="V86" s="17" t="s">
        <v>59</v>
      </c>
      <c r="W86" s="17" t="s">
        <v>44</v>
      </c>
      <c r="X86" s="15" t="s">
        <v>60</v>
      </c>
      <c r="Y86" s="30"/>
      <c r="Z86" s="31" t="s">
        <v>77</v>
      </c>
    </row>
    <row r="87" ht="15.75" customHeight="1">
      <c r="A87" s="6">
        <v>24.0</v>
      </c>
      <c r="B87" s="6"/>
      <c r="C87" s="6">
        <v>27.0</v>
      </c>
      <c r="D87" s="25">
        <v>46183.0</v>
      </c>
      <c r="E87" s="6">
        <v>1.0</v>
      </c>
      <c r="F87" s="6" t="s">
        <v>74</v>
      </c>
      <c r="G87" s="6" t="s">
        <v>86</v>
      </c>
      <c r="H87" s="6">
        <v>14.0</v>
      </c>
      <c r="I87" s="6" t="s">
        <v>40</v>
      </c>
      <c r="J87" s="6" t="s">
        <v>87</v>
      </c>
      <c r="K87" s="11" t="s">
        <v>36</v>
      </c>
      <c r="L87" s="6"/>
      <c r="M87" s="6"/>
      <c r="N87" s="6"/>
      <c r="O87" s="17"/>
      <c r="P87" s="6"/>
      <c r="Q87" s="34" t="s">
        <v>104</v>
      </c>
      <c r="R87" s="16">
        <v>3000.0</v>
      </c>
      <c r="S87" s="17">
        <f>FRESADO!$R87*FRESADO!$E87</f>
        <v>3000</v>
      </c>
      <c r="T87" s="17">
        <f>FRESADO!$S87*16%</f>
        <v>480</v>
      </c>
      <c r="U87" s="17">
        <f>FRESADO!$S87+FRESADO!$T87</f>
        <v>3480</v>
      </c>
      <c r="V87" s="17" t="s">
        <v>59</v>
      </c>
      <c r="W87" s="17" t="s">
        <v>44</v>
      </c>
      <c r="X87" s="15" t="s">
        <v>60</v>
      </c>
      <c r="Y87" s="30"/>
      <c r="Z87" s="31" t="s">
        <v>77</v>
      </c>
    </row>
    <row r="88" ht="15.75" customHeight="1">
      <c r="A88" s="6">
        <v>24.0</v>
      </c>
      <c r="B88" s="6"/>
      <c r="C88" s="6">
        <v>28.0</v>
      </c>
      <c r="D88" s="25">
        <v>46183.0</v>
      </c>
      <c r="E88" s="6">
        <v>1.0</v>
      </c>
      <c r="F88" s="6" t="s">
        <v>74</v>
      </c>
      <c r="G88" s="6" t="s">
        <v>51</v>
      </c>
      <c r="H88" s="6">
        <v>14.0</v>
      </c>
      <c r="I88" s="6" t="s">
        <v>40</v>
      </c>
      <c r="J88" s="6" t="s">
        <v>54</v>
      </c>
      <c r="K88" s="11" t="s">
        <v>36</v>
      </c>
      <c r="L88" s="6"/>
      <c r="M88" s="6"/>
      <c r="N88" s="6"/>
      <c r="O88" s="17"/>
      <c r="P88" s="6"/>
      <c r="Q88" s="34" t="s">
        <v>104</v>
      </c>
      <c r="R88" s="16">
        <v>3600.0</v>
      </c>
      <c r="S88" s="17">
        <f>FRESADO!$R88*FRESADO!$E88</f>
        <v>3600</v>
      </c>
      <c r="T88" s="17">
        <f>FRESADO!$S88*16%</f>
        <v>576</v>
      </c>
      <c r="U88" s="17">
        <f>FRESADO!$S88+FRESADO!$T88</f>
        <v>4176</v>
      </c>
      <c r="V88" s="17" t="s">
        <v>59</v>
      </c>
      <c r="W88" s="17" t="s">
        <v>44</v>
      </c>
      <c r="X88" s="15" t="s">
        <v>60</v>
      </c>
      <c r="Y88" s="30"/>
      <c r="Z88" s="31" t="s">
        <v>77</v>
      </c>
    </row>
    <row r="89" ht="15.75" customHeight="1">
      <c r="A89" s="6">
        <v>24.0</v>
      </c>
      <c r="B89" s="6"/>
      <c r="C89" s="6">
        <v>29.0</v>
      </c>
      <c r="D89" s="25">
        <v>46183.0</v>
      </c>
      <c r="E89" s="6">
        <v>1.0</v>
      </c>
      <c r="F89" s="6" t="s">
        <v>74</v>
      </c>
      <c r="G89" s="6" t="s">
        <v>69</v>
      </c>
      <c r="H89" s="6">
        <v>14.0</v>
      </c>
      <c r="I89" s="6" t="s">
        <v>40</v>
      </c>
      <c r="J89" s="6" t="s">
        <v>70</v>
      </c>
      <c r="K89" s="11" t="s">
        <v>36</v>
      </c>
      <c r="L89" s="6"/>
      <c r="M89" s="6"/>
      <c r="N89" s="6"/>
      <c r="O89" s="17"/>
      <c r="P89" s="6"/>
      <c r="Q89" s="34" t="s">
        <v>104</v>
      </c>
      <c r="R89" s="16">
        <v>3600.0</v>
      </c>
      <c r="S89" s="17">
        <f>FRESADO!$R89*FRESADO!$E89</f>
        <v>3600</v>
      </c>
      <c r="T89" s="17">
        <f>FRESADO!$S89*16%</f>
        <v>576</v>
      </c>
      <c r="U89" s="17">
        <f>FRESADO!$S89+FRESADO!$T89</f>
        <v>4176</v>
      </c>
      <c r="V89" s="17" t="s">
        <v>59</v>
      </c>
      <c r="W89" s="17" t="s">
        <v>44</v>
      </c>
      <c r="X89" s="15" t="s">
        <v>60</v>
      </c>
      <c r="Y89" s="30"/>
      <c r="Z89" s="31" t="s">
        <v>77</v>
      </c>
    </row>
    <row r="90" ht="15.75" customHeight="1">
      <c r="A90" s="6">
        <v>24.0</v>
      </c>
      <c r="B90" s="6"/>
      <c r="C90" s="6">
        <v>30.0</v>
      </c>
      <c r="D90" s="25">
        <v>46183.0</v>
      </c>
      <c r="E90" s="6">
        <v>1.0</v>
      </c>
      <c r="F90" s="6" t="s">
        <v>74</v>
      </c>
      <c r="G90" s="6" t="s">
        <v>90</v>
      </c>
      <c r="H90" s="6">
        <v>14.0</v>
      </c>
      <c r="I90" s="6" t="s">
        <v>40</v>
      </c>
      <c r="J90" s="6" t="s">
        <v>91</v>
      </c>
      <c r="K90" s="11" t="s">
        <v>36</v>
      </c>
      <c r="L90" s="6"/>
      <c r="M90" s="6"/>
      <c r="N90" s="6"/>
      <c r="O90" s="17"/>
      <c r="P90" s="6"/>
      <c r="Q90" s="34" t="s">
        <v>104</v>
      </c>
      <c r="R90" s="16">
        <v>3000.0</v>
      </c>
      <c r="S90" s="17">
        <f>FRESADO!$R90*FRESADO!$E90</f>
        <v>3000</v>
      </c>
      <c r="T90" s="17">
        <f>FRESADO!$S90*16%</f>
        <v>480</v>
      </c>
      <c r="U90" s="17">
        <f>FRESADO!$S90+FRESADO!$T90</f>
        <v>3480</v>
      </c>
      <c r="V90" s="17" t="s">
        <v>59</v>
      </c>
      <c r="W90" s="17" t="s">
        <v>44</v>
      </c>
      <c r="X90" s="15" t="s">
        <v>60</v>
      </c>
      <c r="Y90" s="30"/>
      <c r="Z90" s="31" t="s">
        <v>77</v>
      </c>
    </row>
    <row r="91" ht="15.75" customHeight="1">
      <c r="A91" s="6">
        <v>24.0</v>
      </c>
      <c r="B91" s="6"/>
      <c r="C91" s="6">
        <v>31.0</v>
      </c>
      <c r="D91" s="25">
        <v>46183.0</v>
      </c>
      <c r="E91" s="6">
        <v>1.0</v>
      </c>
      <c r="F91" s="6" t="s">
        <v>74</v>
      </c>
      <c r="G91" s="6" t="s">
        <v>80</v>
      </c>
      <c r="H91" s="6">
        <v>14.0</v>
      </c>
      <c r="I91" s="6" t="s">
        <v>40</v>
      </c>
      <c r="J91" s="6" t="s">
        <v>81</v>
      </c>
      <c r="K91" s="11" t="s">
        <v>36</v>
      </c>
      <c r="L91" s="6"/>
      <c r="M91" s="6"/>
      <c r="N91" s="6"/>
      <c r="O91" s="17"/>
      <c r="P91" s="6"/>
      <c r="Q91" s="34" t="s">
        <v>104</v>
      </c>
      <c r="R91" s="16">
        <v>3000.0</v>
      </c>
      <c r="S91" s="17">
        <f>FRESADO!$R91*FRESADO!$E91</f>
        <v>3000</v>
      </c>
      <c r="T91" s="17">
        <f>FRESADO!$S91*16%</f>
        <v>480</v>
      </c>
      <c r="U91" s="17">
        <f>FRESADO!$S91+FRESADO!$T91</f>
        <v>3480</v>
      </c>
      <c r="V91" s="17" t="s">
        <v>59</v>
      </c>
      <c r="W91" s="17" t="s">
        <v>44</v>
      </c>
      <c r="X91" s="15" t="s">
        <v>60</v>
      </c>
      <c r="Y91" s="30"/>
      <c r="Z91" s="31" t="s">
        <v>77</v>
      </c>
    </row>
    <row r="92" ht="15.75" customHeight="1">
      <c r="A92" s="6">
        <v>24.0</v>
      </c>
      <c r="B92" s="6"/>
      <c r="C92" s="6">
        <v>32.0</v>
      </c>
      <c r="D92" s="25">
        <v>46183.0</v>
      </c>
      <c r="E92" s="6">
        <v>1.0</v>
      </c>
      <c r="F92" s="6" t="s">
        <v>74</v>
      </c>
      <c r="G92" s="6" t="s">
        <v>86</v>
      </c>
      <c r="H92" s="6">
        <v>14.0</v>
      </c>
      <c r="I92" s="6" t="s">
        <v>40</v>
      </c>
      <c r="J92" s="6" t="s">
        <v>87</v>
      </c>
      <c r="K92" s="11" t="s">
        <v>36</v>
      </c>
      <c r="L92" s="6"/>
      <c r="M92" s="6"/>
      <c r="N92" s="6"/>
      <c r="O92" s="17"/>
      <c r="P92" s="6"/>
      <c r="Q92" s="34" t="s">
        <v>104</v>
      </c>
      <c r="R92" s="16">
        <v>3600.0</v>
      </c>
      <c r="S92" s="17">
        <f>FRESADO!$R92*FRESADO!$E92</f>
        <v>3600</v>
      </c>
      <c r="T92" s="17">
        <f>FRESADO!$S92*16%</f>
        <v>576</v>
      </c>
      <c r="U92" s="17">
        <f>FRESADO!$S92+FRESADO!$T92</f>
        <v>4176</v>
      </c>
      <c r="V92" s="17" t="s">
        <v>59</v>
      </c>
      <c r="W92" s="17" t="s">
        <v>44</v>
      </c>
      <c r="X92" s="15" t="s">
        <v>60</v>
      </c>
      <c r="Y92" s="30"/>
      <c r="Z92" s="31" t="s">
        <v>77</v>
      </c>
    </row>
    <row r="93" ht="15.75" customHeight="1">
      <c r="A93" s="6">
        <v>24.0</v>
      </c>
      <c r="B93" s="6"/>
      <c r="C93" s="6">
        <v>33.0</v>
      </c>
      <c r="D93" s="25">
        <v>46183.0</v>
      </c>
      <c r="E93" s="6">
        <v>1.0</v>
      </c>
      <c r="F93" s="6" t="s">
        <v>74</v>
      </c>
      <c r="G93" s="6" t="s">
        <v>78</v>
      </c>
      <c r="H93" s="6">
        <v>14.0</v>
      </c>
      <c r="I93" s="6" t="s">
        <v>40</v>
      </c>
      <c r="J93" s="6" t="s">
        <v>83</v>
      </c>
      <c r="K93" s="11" t="s">
        <v>36</v>
      </c>
      <c r="L93" s="6"/>
      <c r="M93" s="6"/>
      <c r="N93" s="6"/>
      <c r="O93" s="17"/>
      <c r="P93" s="6"/>
      <c r="Q93" s="34" t="s">
        <v>104</v>
      </c>
      <c r="R93" s="16">
        <v>3000.0</v>
      </c>
      <c r="S93" s="17">
        <f>FRESADO!$R93*FRESADO!$E93</f>
        <v>3000</v>
      </c>
      <c r="T93" s="17">
        <f>FRESADO!$S93*16%</f>
        <v>480</v>
      </c>
      <c r="U93" s="17">
        <f>FRESADO!$S93+FRESADO!$T93</f>
        <v>3480</v>
      </c>
      <c r="V93" s="17" t="s">
        <v>59</v>
      </c>
      <c r="W93" s="17" t="s">
        <v>44</v>
      </c>
      <c r="X93" s="15" t="s">
        <v>60</v>
      </c>
      <c r="Y93" s="30"/>
      <c r="Z93" s="31" t="s">
        <v>77</v>
      </c>
    </row>
    <row r="94" ht="15.75" customHeight="1">
      <c r="A94" s="6">
        <v>24.0</v>
      </c>
      <c r="B94" s="6"/>
      <c r="C94" s="6">
        <v>34.0</v>
      </c>
      <c r="D94" s="25">
        <v>46183.0</v>
      </c>
      <c r="E94" s="6">
        <v>1.0</v>
      </c>
      <c r="F94" s="6" t="s">
        <v>74</v>
      </c>
      <c r="G94" s="6" t="s">
        <v>80</v>
      </c>
      <c r="H94" s="6">
        <v>14.0</v>
      </c>
      <c r="I94" s="6" t="s">
        <v>40</v>
      </c>
      <c r="J94" s="6" t="s">
        <v>81</v>
      </c>
      <c r="K94" s="11" t="s">
        <v>36</v>
      </c>
      <c r="L94" s="6"/>
      <c r="M94" s="6"/>
      <c r="N94" s="6"/>
      <c r="O94" s="17"/>
      <c r="P94" s="6"/>
      <c r="Q94" s="34" t="s">
        <v>104</v>
      </c>
      <c r="R94" s="16">
        <v>3000.0</v>
      </c>
      <c r="S94" s="17">
        <f>FRESADO!$R94*FRESADO!$E94</f>
        <v>3000</v>
      </c>
      <c r="T94" s="17">
        <f>FRESADO!$S94*16%</f>
        <v>480</v>
      </c>
      <c r="U94" s="17">
        <f>FRESADO!$S94+FRESADO!$T94</f>
        <v>3480</v>
      </c>
      <c r="V94" s="17" t="s">
        <v>59</v>
      </c>
      <c r="W94" s="17" t="s">
        <v>44</v>
      </c>
      <c r="X94" s="15" t="s">
        <v>60</v>
      </c>
      <c r="Y94" s="30"/>
      <c r="Z94" s="31" t="s">
        <v>77</v>
      </c>
    </row>
    <row r="95" ht="15.75" customHeight="1">
      <c r="A95" s="6">
        <v>24.0</v>
      </c>
      <c r="B95" s="6"/>
      <c r="C95" s="6">
        <v>35.0</v>
      </c>
      <c r="D95" s="25">
        <v>46183.0</v>
      </c>
      <c r="E95" s="6">
        <v>1.0</v>
      </c>
      <c r="F95" s="6" t="s">
        <v>74</v>
      </c>
      <c r="G95" s="6" t="s">
        <v>90</v>
      </c>
      <c r="H95" s="6">
        <v>14.0</v>
      </c>
      <c r="I95" s="6" t="s">
        <v>40</v>
      </c>
      <c r="J95" s="6" t="s">
        <v>91</v>
      </c>
      <c r="K95" s="11" t="s">
        <v>36</v>
      </c>
      <c r="L95" s="6"/>
      <c r="M95" s="6"/>
      <c r="N95" s="6"/>
      <c r="O95" s="17"/>
      <c r="P95" s="6"/>
      <c r="Q95" s="34" t="s">
        <v>104</v>
      </c>
      <c r="R95" s="16">
        <v>3000.0</v>
      </c>
      <c r="S95" s="17">
        <f>FRESADO!$R95*FRESADO!$E95</f>
        <v>3000</v>
      </c>
      <c r="T95" s="17">
        <f>FRESADO!$S95*16%</f>
        <v>480</v>
      </c>
      <c r="U95" s="17">
        <f>FRESADO!$S95+FRESADO!$T95</f>
        <v>3480</v>
      </c>
      <c r="V95" s="17" t="s">
        <v>59</v>
      </c>
      <c r="W95" s="17" t="s">
        <v>44</v>
      </c>
      <c r="X95" s="15" t="s">
        <v>60</v>
      </c>
      <c r="Y95" s="30"/>
      <c r="Z95" s="31" t="s">
        <v>77</v>
      </c>
    </row>
    <row r="96" ht="15.75" customHeight="1">
      <c r="A96" s="6">
        <v>24.0</v>
      </c>
      <c r="B96" s="6"/>
      <c r="C96" s="6">
        <v>36.0</v>
      </c>
      <c r="D96" s="25">
        <v>46183.0</v>
      </c>
      <c r="E96" s="6">
        <v>1.0</v>
      </c>
      <c r="F96" s="6" t="s">
        <v>74</v>
      </c>
      <c r="G96" s="6" t="s">
        <v>80</v>
      </c>
      <c r="H96" s="6">
        <v>14.0</v>
      </c>
      <c r="I96" s="6" t="s">
        <v>40</v>
      </c>
      <c r="J96" s="6" t="s">
        <v>81</v>
      </c>
      <c r="K96" s="11" t="s">
        <v>36</v>
      </c>
      <c r="L96" s="6"/>
      <c r="M96" s="6"/>
      <c r="N96" s="6"/>
      <c r="O96" s="17"/>
      <c r="P96" s="6"/>
      <c r="Q96" s="34" t="s">
        <v>104</v>
      </c>
      <c r="R96" s="16">
        <v>3600.0</v>
      </c>
      <c r="S96" s="17">
        <f>FRESADO!$R96*FRESADO!$E96</f>
        <v>3600</v>
      </c>
      <c r="T96" s="17">
        <f>FRESADO!$S96*16%</f>
        <v>576</v>
      </c>
      <c r="U96" s="17">
        <f>FRESADO!$S96+FRESADO!$T96</f>
        <v>4176</v>
      </c>
      <c r="V96" s="17" t="s">
        <v>59</v>
      </c>
      <c r="W96" s="17" t="s">
        <v>44</v>
      </c>
      <c r="X96" s="15" t="s">
        <v>60</v>
      </c>
      <c r="Y96" s="30"/>
      <c r="Z96" s="31" t="s">
        <v>77</v>
      </c>
    </row>
    <row r="97" ht="15.75" customHeight="1">
      <c r="A97" s="6">
        <v>24.0</v>
      </c>
      <c r="B97" s="6"/>
      <c r="C97" s="6">
        <v>37.0</v>
      </c>
      <c r="D97" s="25">
        <v>46183.0</v>
      </c>
      <c r="E97" s="6">
        <v>1.0</v>
      </c>
      <c r="F97" s="6" t="s">
        <v>74</v>
      </c>
      <c r="G97" s="6" t="s">
        <v>78</v>
      </c>
      <c r="H97" s="6">
        <v>14.0</v>
      </c>
      <c r="I97" s="6" t="s">
        <v>40</v>
      </c>
      <c r="J97" s="6" t="s">
        <v>83</v>
      </c>
      <c r="K97" s="11" t="s">
        <v>36</v>
      </c>
      <c r="L97" s="6"/>
      <c r="M97" s="6"/>
      <c r="N97" s="6"/>
      <c r="O97" s="17"/>
      <c r="P97" s="6"/>
      <c r="Q97" s="34" t="s">
        <v>104</v>
      </c>
      <c r="R97" s="16">
        <v>3600.0</v>
      </c>
      <c r="S97" s="17">
        <f>FRESADO!$R97*FRESADO!$E97</f>
        <v>3600</v>
      </c>
      <c r="T97" s="17">
        <f>FRESADO!$S97*16%</f>
        <v>576</v>
      </c>
      <c r="U97" s="17">
        <f>FRESADO!$S97+FRESADO!$T97</f>
        <v>4176</v>
      </c>
      <c r="V97" s="17" t="s">
        <v>59</v>
      </c>
      <c r="W97" s="17" t="s">
        <v>44</v>
      </c>
      <c r="X97" s="15" t="s">
        <v>60</v>
      </c>
      <c r="Y97" s="30"/>
      <c r="Z97" s="31" t="s">
        <v>77</v>
      </c>
    </row>
    <row r="98" ht="15.75" customHeight="1">
      <c r="A98" s="6">
        <v>24.0</v>
      </c>
      <c r="B98" s="6"/>
      <c r="C98" s="6">
        <v>38.0</v>
      </c>
      <c r="D98" s="25">
        <v>46183.0</v>
      </c>
      <c r="E98" s="6">
        <v>1.0</v>
      </c>
      <c r="F98" s="6" t="s">
        <v>74</v>
      </c>
      <c r="G98" s="6" t="s">
        <v>90</v>
      </c>
      <c r="H98" s="6">
        <v>14.0</v>
      </c>
      <c r="I98" s="6" t="s">
        <v>40</v>
      </c>
      <c r="J98" s="6" t="s">
        <v>91</v>
      </c>
      <c r="K98" s="11" t="s">
        <v>36</v>
      </c>
      <c r="L98" s="6"/>
      <c r="M98" s="6"/>
      <c r="N98" s="6"/>
      <c r="O98" s="17"/>
      <c r="P98" s="6"/>
      <c r="Q98" s="34" t="s">
        <v>104</v>
      </c>
      <c r="R98" s="16">
        <v>3000.0</v>
      </c>
      <c r="S98" s="17">
        <f>FRESADO!$R98*FRESADO!$E98</f>
        <v>3000</v>
      </c>
      <c r="T98" s="17">
        <f>FRESADO!$S98*16%</f>
        <v>480</v>
      </c>
      <c r="U98" s="17">
        <f>FRESADO!$S98+FRESADO!$T98</f>
        <v>3480</v>
      </c>
      <c r="V98" s="17" t="s">
        <v>59</v>
      </c>
      <c r="W98" s="17" t="s">
        <v>44</v>
      </c>
      <c r="X98" s="15" t="s">
        <v>60</v>
      </c>
      <c r="Y98" s="30"/>
      <c r="Z98" s="31" t="s">
        <v>77</v>
      </c>
    </row>
    <row r="99" ht="15.75" customHeight="1">
      <c r="A99" s="6">
        <v>24.0</v>
      </c>
      <c r="B99" s="6"/>
      <c r="C99" s="6">
        <v>39.0</v>
      </c>
      <c r="D99" s="25">
        <v>46183.0</v>
      </c>
      <c r="E99" s="6">
        <v>1.0</v>
      </c>
      <c r="F99" s="6" t="s">
        <v>217</v>
      </c>
      <c r="G99" s="6" t="s">
        <v>51</v>
      </c>
      <c r="H99" s="6">
        <v>14.0</v>
      </c>
      <c r="I99" s="6" t="s">
        <v>40</v>
      </c>
      <c r="J99" s="6" t="s">
        <v>54</v>
      </c>
      <c r="K99" s="11" t="s">
        <v>36</v>
      </c>
      <c r="L99" s="6"/>
      <c r="M99" s="6"/>
      <c r="N99" s="6"/>
      <c r="O99" s="17"/>
      <c r="P99" s="6"/>
      <c r="Q99" s="34"/>
      <c r="R99" s="66">
        <v>7000.0</v>
      </c>
      <c r="S99" s="17">
        <f>FRESADO!$R99*FRESADO!$E99</f>
        <v>7000</v>
      </c>
      <c r="T99" s="17">
        <f>FRESADO!$S99*16%</f>
        <v>1120</v>
      </c>
      <c r="U99" s="17">
        <f>FRESADO!$S99+FRESADO!$T99</f>
        <v>8120</v>
      </c>
      <c r="V99" s="17" t="s">
        <v>59</v>
      </c>
      <c r="W99" s="17" t="s">
        <v>44</v>
      </c>
      <c r="X99" s="15" t="s">
        <v>60</v>
      </c>
      <c r="Y99" s="30"/>
      <c r="Z99" s="31" t="s">
        <v>77</v>
      </c>
    </row>
    <row r="100" ht="15.75" customHeight="1">
      <c r="A100" s="6">
        <v>24.0</v>
      </c>
      <c r="B100" s="6"/>
      <c r="C100" s="6">
        <v>40.0</v>
      </c>
      <c r="D100" s="25">
        <v>46183.0</v>
      </c>
      <c r="E100" s="6">
        <v>1.0</v>
      </c>
      <c r="F100" s="6" t="s">
        <v>123</v>
      </c>
      <c r="G100" s="6" t="s">
        <v>90</v>
      </c>
      <c r="H100" s="6">
        <v>14.0</v>
      </c>
      <c r="I100" s="6" t="s">
        <v>40</v>
      </c>
      <c r="J100" s="6" t="s">
        <v>91</v>
      </c>
      <c r="K100" s="11" t="s">
        <v>36</v>
      </c>
      <c r="L100" s="6"/>
      <c r="M100" s="6"/>
      <c r="N100" s="6"/>
      <c r="O100" s="17"/>
      <c r="P100" s="6"/>
      <c r="Q100" s="34" t="s">
        <v>104</v>
      </c>
      <c r="R100" s="16">
        <v>3000.0</v>
      </c>
      <c r="S100" s="17">
        <f>FRESADO!$R100*FRESADO!$E100</f>
        <v>3000</v>
      </c>
      <c r="T100" s="17">
        <f>FRESADO!$S100*16%</f>
        <v>480</v>
      </c>
      <c r="U100" s="17">
        <f>FRESADO!$S100+FRESADO!$T100</f>
        <v>3480</v>
      </c>
      <c r="V100" s="17" t="s">
        <v>59</v>
      </c>
      <c r="W100" s="17" t="s">
        <v>44</v>
      </c>
      <c r="X100" s="15" t="s">
        <v>60</v>
      </c>
      <c r="Y100" s="30"/>
      <c r="Z100" s="31" t="s">
        <v>77</v>
      </c>
    </row>
    <row r="101" ht="15.75" customHeight="1">
      <c r="A101" s="6">
        <v>24.0</v>
      </c>
      <c r="B101" s="6"/>
      <c r="C101" s="6">
        <v>41.0</v>
      </c>
      <c r="D101" s="25">
        <v>46185.0</v>
      </c>
      <c r="E101" s="6">
        <v>1.0</v>
      </c>
      <c r="F101" s="6" t="s">
        <v>74</v>
      </c>
      <c r="G101" s="6" t="s">
        <v>69</v>
      </c>
      <c r="H101" s="6">
        <v>14.0</v>
      </c>
      <c r="I101" s="6" t="s">
        <v>40</v>
      </c>
      <c r="J101" s="6" t="s">
        <v>70</v>
      </c>
      <c r="K101" s="11" t="s">
        <v>36</v>
      </c>
      <c r="L101" s="6"/>
      <c r="M101" s="6"/>
      <c r="N101" s="6"/>
      <c r="O101" s="17"/>
      <c r="P101" s="6"/>
      <c r="Q101" s="34" t="s">
        <v>104</v>
      </c>
      <c r="R101" s="16">
        <v>3000.0</v>
      </c>
      <c r="S101" s="17">
        <f>FRESADO!$R101*FRESADO!$E101</f>
        <v>3000</v>
      </c>
      <c r="T101" s="17">
        <f>FRESADO!$S101*16%</f>
        <v>480</v>
      </c>
      <c r="U101" s="17">
        <f>FRESADO!$S101+FRESADO!$T101</f>
        <v>3480</v>
      </c>
      <c r="V101" s="17" t="s">
        <v>59</v>
      </c>
      <c r="W101" s="17" t="s">
        <v>44</v>
      </c>
      <c r="X101" s="15" t="s">
        <v>60</v>
      </c>
      <c r="Y101" s="30"/>
      <c r="Z101" s="31" t="s">
        <v>77</v>
      </c>
    </row>
    <row r="102" ht="15.75" customHeight="1">
      <c r="A102" s="6">
        <v>24.0</v>
      </c>
      <c r="B102" s="6"/>
      <c r="C102" s="6">
        <v>42.0</v>
      </c>
      <c r="D102" s="25">
        <v>46185.0</v>
      </c>
      <c r="E102" s="6">
        <v>1.0</v>
      </c>
      <c r="F102" s="6" t="s">
        <v>74</v>
      </c>
      <c r="G102" s="6" t="s">
        <v>51</v>
      </c>
      <c r="H102" s="6">
        <v>14.0</v>
      </c>
      <c r="I102" s="6" t="s">
        <v>40</v>
      </c>
      <c r="J102" s="6" t="s">
        <v>54</v>
      </c>
      <c r="K102" s="11" t="s">
        <v>36</v>
      </c>
      <c r="L102" s="6"/>
      <c r="M102" s="6"/>
      <c r="N102" s="6"/>
      <c r="O102" s="17"/>
      <c r="P102" s="6"/>
      <c r="Q102" s="34" t="s">
        <v>104</v>
      </c>
      <c r="R102" s="16">
        <v>3000.0</v>
      </c>
      <c r="S102" s="17">
        <f>FRESADO!$R102*FRESADO!$E102</f>
        <v>3000</v>
      </c>
      <c r="T102" s="17">
        <f>FRESADO!$S102*16%</f>
        <v>480</v>
      </c>
      <c r="U102" s="17">
        <f>FRESADO!$S102+FRESADO!$T102</f>
        <v>3480</v>
      </c>
      <c r="V102" s="17" t="s">
        <v>59</v>
      </c>
      <c r="W102" s="17" t="s">
        <v>44</v>
      </c>
      <c r="X102" s="15" t="s">
        <v>60</v>
      </c>
      <c r="Y102" s="30"/>
      <c r="Z102" s="31" t="s">
        <v>77</v>
      </c>
    </row>
    <row r="103" ht="15.75" customHeight="1">
      <c r="A103" s="6">
        <v>24.0</v>
      </c>
      <c r="B103" s="6"/>
      <c r="C103" s="6">
        <v>43.0</v>
      </c>
      <c r="D103" s="25">
        <v>46185.0</v>
      </c>
      <c r="E103" s="6">
        <v>1.0</v>
      </c>
      <c r="F103" s="6" t="s">
        <v>74</v>
      </c>
      <c r="G103" s="6" t="s">
        <v>102</v>
      </c>
      <c r="H103" s="6">
        <v>14.0</v>
      </c>
      <c r="I103" s="6" t="s">
        <v>40</v>
      </c>
      <c r="J103" s="6" t="s">
        <v>103</v>
      </c>
      <c r="K103" s="11" t="s">
        <v>36</v>
      </c>
      <c r="L103" s="6"/>
      <c r="M103" s="6"/>
      <c r="N103" s="6"/>
      <c r="O103" s="17"/>
      <c r="P103" s="6"/>
      <c r="Q103" s="34" t="s">
        <v>104</v>
      </c>
      <c r="R103" s="16">
        <v>3000.0</v>
      </c>
      <c r="S103" s="17">
        <f>FRESADO!$R103*FRESADO!$E103</f>
        <v>3000</v>
      </c>
      <c r="T103" s="17">
        <f>FRESADO!$S103*16%</f>
        <v>480</v>
      </c>
      <c r="U103" s="17">
        <f>FRESADO!$S103+FRESADO!$T103</f>
        <v>3480</v>
      </c>
      <c r="V103" s="17" t="s">
        <v>59</v>
      </c>
      <c r="W103" s="17" t="s">
        <v>44</v>
      </c>
      <c r="X103" s="15" t="s">
        <v>60</v>
      </c>
      <c r="Y103" s="30"/>
      <c r="Z103" s="31" t="s">
        <v>77</v>
      </c>
    </row>
    <row r="104" ht="15.75" customHeight="1">
      <c r="A104" s="6">
        <v>24.0</v>
      </c>
      <c r="B104" s="6"/>
      <c r="C104" s="6">
        <v>44.0</v>
      </c>
      <c r="D104" s="25">
        <v>46185.0</v>
      </c>
      <c r="E104" s="6">
        <v>1.0</v>
      </c>
      <c r="F104" s="6" t="s">
        <v>74</v>
      </c>
      <c r="G104" s="6" t="s">
        <v>69</v>
      </c>
      <c r="H104" s="6">
        <v>14.0</v>
      </c>
      <c r="I104" s="6" t="s">
        <v>40</v>
      </c>
      <c r="J104" s="6" t="s">
        <v>70</v>
      </c>
      <c r="K104" s="11" t="s">
        <v>36</v>
      </c>
      <c r="L104" s="6"/>
      <c r="M104" s="6"/>
      <c r="N104" s="6"/>
      <c r="O104" s="17"/>
      <c r="P104" s="6"/>
      <c r="Q104" s="34" t="s">
        <v>104</v>
      </c>
      <c r="R104" s="16">
        <v>3000.0</v>
      </c>
      <c r="S104" s="17">
        <f>FRESADO!$R104*FRESADO!$E104</f>
        <v>3000</v>
      </c>
      <c r="T104" s="17">
        <f>FRESADO!$S104*16%</f>
        <v>480</v>
      </c>
      <c r="U104" s="17">
        <f>FRESADO!$S104+FRESADO!$T104</f>
        <v>3480</v>
      </c>
      <c r="V104" s="17" t="s">
        <v>59</v>
      </c>
      <c r="W104" s="17" t="s">
        <v>44</v>
      </c>
      <c r="X104" s="15" t="s">
        <v>60</v>
      </c>
      <c r="Y104" s="30"/>
      <c r="Z104" s="31" t="s">
        <v>77</v>
      </c>
    </row>
    <row r="105" ht="15.75" customHeight="1">
      <c r="A105" s="6">
        <v>24.0</v>
      </c>
      <c r="B105" s="6"/>
      <c r="C105" s="6">
        <v>45.0</v>
      </c>
      <c r="D105" s="25">
        <v>46185.0</v>
      </c>
      <c r="E105" s="6">
        <v>1.0</v>
      </c>
      <c r="F105" s="6" t="s">
        <v>74</v>
      </c>
      <c r="G105" s="6" t="s">
        <v>51</v>
      </c>
      <c r="H105" s="6">
        <v>14.0</v>
      </c>
      <c r="I105" s="6" t="s">
        <v>40</v>
      </c>
      <c r="J105" s="6" t="s">
        <v>54</v>
      </c>
      <c r="K105" s="11" t="s">
        <v>36</v>
      </c>
      <c r="L105" s="6"/>
      <c r="M105" s="6"/>
      <c r="N105" s="6"/>
      <c r="O105" s="17"/>
      <c r="P105" s="6"/>
      <c r="Q105" s="34" t="s">
        <v>104</v>
      </c>
      <c r="R105" s="16">
        <v>3000.0</v>
      </c>
      <c r="S105" s="17">
        <f>FRESADO!$R105*FRESADO!$E105</f>
        <v>3000</v>
      </c>
      <c r="T105" s="17">
        <f>FRESADO!$S105*16%</f>
        <v>480</v>
      </c>
      <c r="U105" s="17">
        <f>FRESADO!$S105+FRESADO!$T105</f>
        <v>3480</v>
      </c>
      <c r="V105" s="17" t="s">
        <v>59</v>
      </c>
      <c r="W105" s="17" t="s">
        <v>44</v>
      </c>
      <c r="X105" s="15" t="s">
        <v>60</v>
      </c>
      <c r="Y105" s="30"/>
      <c r="Z105" s="31" t="s">
        <v>77</v>
      </c>
    </row>
    <row r="106" ht="15.75" customHeight="1">
      <c r="A106" s="6">
        <v>24.0</v>
      </c>
      <c r="B106" s="6"/>
      <c r="C106" s="6">
        <v>46.0</v>
      </c>
      <c r="D106" s="25">
        <v>46185.0</v>
      </c>
      <c r="E106" s="6">
        <v>1.0</v>
      </c>
      <c r="F106" s="6" t="s">
        <v>74</v>
      </c>
      <c r="G106" s="6" t="s">
        <v>102</v>
      </c>
      <c r="H106" s="6">
        <v>14.0</v>
      </c>
      <c r="I106" s="6" t="s">
        <v>40</v>
      </c>
      <c r="J106" s="6" t="s">
        <v>103</v>
      </c>
      <c r="K106" s="11" t="s">
        <v>36</v>
      </c>
      <c r="L106" s="6"/>
      <c r="M106" s="6"/>
      <c r="N106" s="6"/>
      <c r="O106" s="17"/>
      <c r="P106" s="6"/>
      <c r="Q106" s="34" t="s">
        <v>104</v>
      </c>
      <c r="R106" s="16">
        <v>3000.0</v>
      </c>
      <c r="S106" s="17">
        <f>FRESADO!$R106*FRESADO!$E106</f>
        <v>3000</v>
      </c>
      <c r="T106" s="17">
        <f>FRESADO!$S106*16%</f>
        <v>480</v>
      </c>
      <c r="U106" s="17">
        <f>FRESADO!$S106+FRESADO!$T106</f>
        <v>3480</v>
      </c>
      <c r="V106" s="17" t="s">
        <v>59</v>
      </c>
      <c r="W106" s="17" t="s">
        <v>44</v>
      </c>
      <c r="X106" s="15" t="s">
        <v>60</v>
      </c>
      <c r="Y106" s="30"/>
      <c r="Z106" s="31" t="s">
        <v>77</v>
      </c>
    </row>
    <row r="107" ht="15.75" customHeight="1">
      <c r="A107" s="6">
        <v>24.0</v>
      </c>
      <c r="B107" s="6"/>
      <c r="C107" s="6">
        <v>47.0</v>
      </c>
      <c r="D107" s="25">
        <v>46185.0</v>
      </c>
      <c r="E107" s="6">
        <v>1.0</v>
      </c>
      <c r="F107" s="6" t="s">
        <v>74</v>
      </c>
      <c r="G107" s="6" t="s">
        <v>69</v>
      </c>
      <c r="H107" s="6">
        <v>14.0</v>
      </c>
      <c r="I107" s="6" t="s">
        <v>40</v>
      </c>
      <c r="J107" s="6" t="s">
        <v>70</v>
      </c>
      <c r="K107" s="11" t="s">
        <v>36</v>
      </c>
      <c r="L107" s="6"/>
      <c r="M107" s="6"/>
      <c r="N107" s="6"/>
      <c r="O107" s="17"/>
      <c r="P107" s="6"/>
      <c r="Q107" s="34" t="s">
        <v>104</v>
      </c>
      <c r="R107" s="16">
        <v>3000.0</v>
      </c>
      <c r="S107" s="17">
        <f>FRESADO!$R107*FRESADO!$E107</f>
        <v>3000</v>
      </c>
      <c r="T107" s="17">
        <f>FRESADO!$S107*16%</f>
        <v>480</v>
      </c>
      <c r="U107" s="17">
        <f>FRESADO!$S107+FRESADO!$T107</f>
        <v>3480</v>
      </c>
      <c r="V107" s="17" t="s">
        <v>59</v>
      </c>
      <c r="W107" s="17" t="s">
        <v>44</v>
      </c>
      <c r="X107" s="15" t="s">
        <v>60</v>
      </c>
      <c r="Y107" s="30"/>
      <c r="Z107" s="31" t="s">
        <v>77</v>
      </c>
    </row>
    <row r="108" ht="15.75" customHeight="1">
      <c r="A108" s="6">
        <v>24.0</v>
      </c>
      <c r="B108" s="6"/>
      <c r="C108" s="6">
        <v>48.0</v>
      </c>
      <c r="D108" s="25">
        <v>46185.0</v>
      </c>
      <c r="E108" s="6">
        <v>1.0</v>
      </c>
      <c r="F108" s="6" t="s">
        <v>74</v>
      </c>
      <c r="G108" s="6" t="s">
        <v>51</v>
      </c>
      <c r="H108" s="6">
        <v>14.0</v>
      </c>
      <c r="I108" s="6" t="s">
        <v>40</v>
      </c>
      <c r="J108" s="6" t="s">
        <v>54</v>
      </c>
      <c r="K108" s="11" t="s">
        <v>36</v>
      </c>
      <c r="L108" s="6"/>
      <c r="M108" s="6"/>
      <c r="N108" s="6"/>
      <c r="O108" s="17"/>
      <c r="P108" s="6"/>
      <c r="Q108" s="34" t="s">
        <v>104</v>
      </c>
      <c r="R108" s="16">
        <v>3000.0</v>
      </c>
      <c r="S108" s="17">
        <f>FRESADO!$R108*FRESADO!$E108</f>
        <v>3000</v>
      </c>
      <c r="T108" s="17">
        <f>FRESADO!$S108*16%</f>
        <v>480</v>
      </c>
      <c r="U108" s="17">
        <f>FRESADO!$S108+FRESADO!$T108</f>
        <v>3480</v>
      </c>
      <c r="V108" s="17" t="s">
        <v>59</v>
      </c>
      <c r="W108" s="17" t="s">
        <v>44</v>
      </c>
      <c r="X108" s="15" t="s">
        <v>60</v>
      </c>
      <c r="Y108" s="30"/>
      <c r="Z108" s="31" t="s">
        <v>77</v>
      </c>
    </row>
    <row r="109" ht="15.75" customHeight="1">
      <c r="A109" s="6">
        <v>24.0</v>
      </c>
      <c r="B109" s="6"/>
      <c r="C109" s="6">
        <v>49.0</v>
      </c>
      <c r="D109" s="25">
        <v>46185.0</v>
      </c>
      <c r="E109" s="6">
        <v>1.0</v>
      </c>
      <c r="F109" s="6" t="s">
        <v>74</v>
      </c>
      <c r="G109" s="6" t="s">
        <v>102</v>
      </c>
      <c r="H109" s="6">
        <v>14.0</v>
      </c>
      <c r="I109" s="6" t="s">
        <v>40</v>
      </c>
      <c r="J109" s="6" t="s">
        <v>103</v>
      </c>
      <c r="K109" s="11" t="s">
        <v>36</v>
      </c>
      <c r="L109" s="6"/>
      <c r="M109" s="6"/>
      <c r="N109" s="6"/>
      <c r="O109" s="17"/>
      <c r="P109" s="6"/>
      <c r="Q109" s="34" t="s">
        <v>104</v>
      </c>
      <c r="R109" s="16">
        <v>3000.0</v>
      </c>
      <c r="S109" s="17">
        <f>FRESADO!$R109*FRESADO!$E109</f>
        <v>3000</v>
      </c>
      <c r="T109" s="17">
        <f>FRESADO!$S109*16%</f>
        <v>480</v>
      </c>
      <c r="U109" s="17">
        <f>FRESADO!$S109+FRESADO!$T109</f>
        <v>3480</v>
      </c>
      <c r="V109" s="17" t="s">
        <v>59</v>
      </c>
      <c r="W109" s="17" t="s">
        <v>44</v>
      </c>
      <c r="X109" s="15" t="s">
        <v>60</v>
      </c>
      <c r="Y109" s="30"/>
      <c r="Z109" s="31" t="s">
        <v>77</v>
      </c>
    </row>
    <row r="110" ht="15.75" customHeight="1">
      <c r="A110" s="6">
        <v>24.0</v>
      </c>
      <c r="B110" s="6"/>
      <c r="C110" s="6">
        <v>50.0</v>
      </c>
      <c r="D110" s="25">
        <v>46185.0</v>
      </c>
      <c r="E110" s="6">
        <v>1.0</v>
      </c>
      <c r="F110" s="6" t="s">
        <v>74</v>
      </c>
      <c r="G110" s="6" t="s">
        <v>69</v>
      </c>
      <c r="H110" s="6">
        <v>14.0</v>
      </c>
      <c r="I110" s="6" t="s">
        <v>40</v>
      </c>
      <c r="J110" s="6" t="s">
        <v>70</v>
      </c>
      <c r="K110" s="11" t="s">
        <v>36</v>
      </c>
      <c r="L110" s="6"/>
      <c r="M110" s="6"/>
      <c r="N110" s="6"/>
      <c r="O110" s="17"/>
      <c r="P110" s="6"/>
      <c r="Q110" s="34" t="s">
        <v>104</v>
      </c>
      <c r="R110" s="16">
        <v>3000.0</v>
      </c>
      <c r="S110" s="17">
        <f>FRESADO!$R110*FRESADO!$E110</f>
        <v>3000</v>
      </c>
      <c r="T110" s="17">
        <f>FRESADO!$S110*16%</f>
        <v>480</v>
      </c>
      <c r="U110" s="17">
        <f>FRESADO!$S110+FRESADO!$T110</f>
        <v>3480</v>
      </c>
      <c r="V110" s="17" t="s">
        <v>59</v>
      </c>
      <c r="W110" s="17" t="s">
        <v>44</v>
      </c>
      <c r="X110" s="15" t="s">
        <v>60</v>
      </c>
      <c r="Y110" s="30"/>
      <c r="Z110" s="31" t="s">
        <v>77</v>
      </c>
    </row>
    <row r="111" ht="15.75" customHeight="1">
      <c r="A111" s="6">
        <v>24.0</v>
      </c>
      <c r="B111" s="6"/>
      <c r="C111" s="6">
        <v>51.0</v>
      </c>
      <c r="D111" s="25">
        <v>46185.0</v>
      </c>
      <c r="E111" s="6">
        <v>1.0</v>
      </c>
      <c r="F111" s="6" t="s">
        <v>74</v>
      </c>
      <c r="G111" s="6" t="s">
        <v>51</v>
      </c>
      <c r="H111" s="6">
        <v>14.0</v>
      </c>
      <c r="I111" s="6" t="s">
        <v>40</v>
      </c>
      <c r="J111" s="6" t="s">
        <v>54</v>
      </c>
      <c r="K111" s="11" t="s">
        <v>36</v>
      </c>
      <c r="L111" s="6"/>
      <c r="M111" s="6"/>
      <c r="N111" s="6"/>
      <c r="O111" s="17"/>
      <c r="P111" s="6"/>
      <c r="Q111" s="34" t="s">
        <v>104</v>
      </c>
      <c r="R111" s="16">
        <v>3000.0</v>
      </c>
      <c r="S111" s="17">
        <f>FRESADO!$R111*FRESADO!$E111</f>
        <v>3000</v>
      </c>
      <c r="T111" s="17">
        <f>FRESADO!$S111*16%</f>
        <v>480</v>
      </c>
      <c r="U111" s="17">
        <f>FRESADO!$S111+FRESADO!$T111</f>
        <v>3480</v>
      </c>
      <c r="V111" s="17" t="s">
        <v>59</v>
      </c>
      <c r="W111" s="17" t="s">
        <v>44</v>
      </c>
      <c r="X111" s="15" t="s">
        <v>60</v>
      </c>
      <c r="Y111" s="30"/>
      <c r="Z111" s="31" t="s">
        <v>77</v>
      </c>
    </row>
    <row r="112" ht="15.75" customHeight="1">
      <c r="A112" s="6">
        <v>24.0</v>
      </c>
      <c r="B112" s="6"/>
      <c r="C112" s="6">
        <v>52.0</v>
      </c>
      <c r="D112" s="25">
        <v>46185.0</v>
      </c>
      <c r="E112" s="6">
        <v>1.0</v>
      </c>
      <c r="F112" s="6" t="s">
        <v>74</v>
      </c>
      <c r="G112" s="6" t="s">
        <v>102</v>
      </c>
      <c r="H112" s="6">
        <v>14.0</v>
      </c>
      <c r="I112" s="6" t="s">
        <v>40</v>
      </c>
      <c r="J112" s="6" t="s">
        <v>103</v>
      </c>
      <c r="K112" s="11" t="s">
        <v>36</v>
      </c>
      <c r="L112" s="6"/>
      <c r="M112" s="6"/>
      <c r="N112" s="6"/>
      <c r="O112" s="17"/>
      <c r="P112" s="6"/>
      <c r="Q112" s="34" t="s">
        <v>104</v>
      </c>
      <c r="R112" s="16">
        <v>3000.0</v>
      </c>
      <c r="S112" s="17">
        <f>FRESADO!$R112*FRESADO!$E112</f>
        <v>3000</v>
      </c>
      <c r="T112" s="17">
        <f>FRESADO!$S112*16%</f>
        <v>480</v>
      </c>
      <c r="U112" s="17">
        <f>FRESADO!$S112+FRESADO!$T112</f>
        <v>3480</v>
      </c>
      <c r="V112" s="17" t="s">
        <v>59</v>
      </c>
      <c r="W112" s="17" t="s">
        <v>44</v>
      </c>
      <c r="X112" s="15" t="s">
        <v>60</v>
      </c>
      <c r="Y112" s="30"/>
      <c r="Z112" s="31" t="s">
        <v>77</v>
      </c>
    </row>
    <row r="113" ht="15.75" customHeight="1">
      <c r="A113" s="6">
        <v>24.0</v>
      </c>
      <c r="B113" s="6"/>
      <c r="C113" s="6">
        <v>53.0</v>
      </c>
      <c r="D113" s="25">
        <v>46185.0</v>
      </c>
      <c r="E113" s="6">
        <v>1.0</v>
      </c>
      <c r="F113" s="6" t="s">
        <v>74</v>
      </c>
      <c r="G113" s="6" t="s">
        <v>69</v>
      </c>
      <c r="H113" s="6">
        <v>14.0</v>
      </c>
      <c r="I113" s="6" t="s">
        <v>40</v>
      </c>
      <c r="J113" s="6" t="s">
        <v>70</v>
      </c>
      <c r="K113" s="11" t="s">
        <v>36</v>
      </c>
      <c r="L113" s="6"/>
      <c r="M113" s="6"/>
      <c r="N113" s="6"/>
      <c r="O113" s="17"/>
      <c r="P113" s="6"/>
      <c r="Q113" s="34" t="s">
        <v>104</v>
      </c>
      <c r="R113" s="16">
        <v>3000.0</v>
      </c>
      <c r="S113" s="17">
        <f>FRESADO!$R113*FRESADO!$E113</f>
        <v>3000</v>
      </c>
      <c r="T113" s="17">
        <f>FRESADO!$S113*16%</f>
        <v>480</v>
      </c>
      <c r="U113" s="17">
        <f>FRESADO!$S113+FRESADO!$T113</f>
        <v>3480</v>
      </c>
      <c r="V113" s="17" t="s">
        <v>59</v>
      </c>
      <c r="W113" s="17" t="s">
        <v>44</v>
      </c>
      <c r="X113" s="15" t="s">
        <v>60</v>
      </c>
      <c r="Y113" s="30"/>
      <c r="Z113" s="31" t="s">
        <v>77</v>
      </c>
    </row>
    <row r="114" ht="15.75" customHeight="1">
      <c r="A114" s="6">
        <v>24.0</v>
      </c>
      <c r="B114" s="6"/>
      <c r="C114" s="6">
        <v>54.0</v>
      </c>
      <c r="D114" s="25">
        <v>46185.0</v>
      </c>
      <c r="E114" s="6">
        <v>1.0</v>
      </c>
      <c r="F114" s="6" t="s">
        <v>74</v>
      </c>
      <c r="G114" s="6" t="s">
        <v>51</v>
      </c>
      <c r="H114" s="6">
        <v>14.0</v>
      </c>
      <c r="I114" s="6" t="s">
        <v>40</v>
      </c>
      <c r="J114" s="6" t="s">
        <v>54</v>
      </c>
      <c r="K114" s="11" t="s">
        <v>36</v>
      </c>
      <c r="L114" s="6"/>
      <c r="M114" s="6"/>
      <c r="N114" s="6"/>
      <c r="O114" s="17"/>
      <c r="P114" s="6"/>
      <c r="Q114" s="34" t="s">
        <v>104</v>
      </c>
      <c r="R114" s="16">
        <v>3000.0</v>
      </c>
      <c r="S114" s="17">
        <f>FRESADO!$R114*FRESADO!$E114</f>
        <v>3000</v>
      </c>
      <c r="T114" s="17">
        <f>FRESADO!$S114*16%</f>
        <v>480</v>
      </c>
      <c r="U114" s="17">
        <f>FRESADO!$S114+FRESADO!$T114</f>
        <v>3480</v>
      </c>
      <c r="V114" s="17" t="s">
        <v>59</v>
      </c>
      <c r="W114" s="17" t="s">
        <v>44</v>
      </c>
      <c r="X114" s="15" t="s">
        <v>60</v>
      </c>
      <c r="Y114" s="30"/>
      <c r="Z114" s="31" t="s">
        <v>77</v>
      </c>
    </row>
    <row r="115" ht="15.75" customHeight="1">
      <c r="A115" s="6">
        <v>24.0</v>
      </c>
      <c r="B115" s="6"/>
      <c r="C115" s="6">
        <v>55.0</v>
      </c>
      <c r="D115" s="25">
        <v>46185.0</v>
      </c>
      <c r="E115" s="6">
        <v>1.0</v>
      </c>
      <c r="F115" s="6" t="s">
        <v>74</v>
      </c>
      <c r="G115" s="6" t="s">
        <v>102</v>
      </c>
      <c r="H115" s="6">
        <v>14.0</v>
      </c>
      <c r="I115" s="6" t="s">
        <v>40</v>
      </c>
      <c r="J115" s="6" t="s">
        <v>103</v>
      </c>
      <c r="K115" s="11" t="s">
        <v>36</v>
      </c>
      <c r="L115" s="6"/>
      <c r="M115" s="6"/>
      <c r="N115" s="6"/>
      <c r="O115" s="17"/>
      <c r="P115" s="6"/>
      <c r="Q115" s="34" t="s">
        <v>104</v>
      </c>
      <c r="R115" s="16">
        <v>3000.0</v>
      </c>
      <c r="S115" s="17">
        <f>FRESADO!$R115*FRESADO!$E115</f>
        <v>3000</v>
      </c>
      <c r="T115" s="17">
        <f>FRESADO!$S115*16%</f>
        <v>480</v>
      </c>
      <c r="U115" s="17">
        <f>FRESADO!$S115+FRESADO!$T115</f>
        <v>3480</v>
      </c>
      <c r="V115" s="17" t="s">
        <v>59</v>
      </c>
      <c r="W115" s="17" t="s">
        <v>44</v>
      </c>
      <c r="X115" s="15" t="s">
        <v>60</v>
      </c>
      <c r="Y115" s="30"/>
      <c r="Z115" s="31" t="s">
        <v>77</v>
      </c>
    </row>
    <row r="116" ht="15.75" customHeight="1">
      <c r="A116" s="6">
        <v>24.0</v>
      </c>
      <c r="B116" s="6"/>
      <c r="C116" s="6">
        <v>56.0</v>
      </c>
      <c r="D116" s="25">
        <v>46185.0</v>
      </c>
      <c r="E116" s="6">
        <v>1.0</v>
      </c>
      <c r="F116" s="6" t="s">
        <v>74</v>
      </c>
      <c r="G116" s="6" t="s">
        <v>39</v>
      </c>
      <c r="H116" s="6">
        <v>14.0</v>
      </c>
      <c r="I116" s="6" t="s">
        <v>40</v>
      </c>
      <c r="J116" s="6" t="s">
        <v>41</v>
      </c>
      <c r="K116" s="11" t="s">
        <v>36</v>
      </c>
      <c r="L116" s="6"/>
      <c r="M116" s="6"/>
      <c r="N116" s="6"/>
      <c r="O116" s="17"/>
      <c r="P116" s="6"/>
      <c r="Q116" s="34" t="s">
        <v>104</v>
      </c>
      <c r="R116" s="16">
        <v>3000.0</v>
      </c>
      <c r="S116" s="17">
        <f>FRESADO!$R116*FRESADO!$E116</f>
        <v>3000</v>
      </c>
      <c r="T116" s="17">
        <f>FRESADO!$S116*16%</f>
        <v>480</v>
      </c>
      <c r="U116" s="17">
        <f>FRESADO!$S116+FRESADO!$T116</f>
        <v>3480</v>
      </c>
      <c r="V116" s="17" t="s">
        <v>59</v>
      </c>
      <c r="W116" s="17" t="s">
        <v>44</v>
      </c>
      <c r="X116" s="15" t="s">
        <v>60</v>
      </c>
      <c r="Y116" s="30"/>
      <c r="Z116" s="31" t="s">
        <v>77</v>
      </c>
    </row>
    <row r="117" ht="15.75" customHeight="1">
      <c r="A117" s="6">
        <v>24.0</v>
      </c>
      <c r="B117" s="6"/>
      <c r="C117" s="6">
        <v>57.0</v>
      </c>
      <c r="D117" s="25">
        <v>46185.0</v>
      </c>
      <c r="E117" s="6">
        <v>1.0</v>
      </c>
      <c r="F117" s="6" t="s">
        <v>123</v>
      </c>
      <c r="G117" s="6" t="s">
        <v>39</v>
      </c>
      <c r="H117" s="6">
        <v>14.0</v>
      </c>
      <c r="I117" s="6" t="s">
        <v>40</v>
      </c>
      <c r="J117" s="6" t="s">
        <v>41</v>
      </c>
      <c r="K117" s="11" t="s">
        <v>36</v>
      </c>
      <c r="L117" s="6"/>
      <c r="M117" s="6"/>
      <c r="N117" s="6"/>
      <c r="O117" s="17"/>
      <c r="P117" s="6"/>
      <c r="Q117" s="34" t="s">
        <v>104</v>
      </c>
      <c r="R117" s="16">
        <v>3000.0</v>
      </c>
      <c r="S117" s="17">
        <f>FRESADO!$R117*FRESADO!$E117</f>
        <v>3000</v>
      </c>
      <c r="T117" s="17">
        <f>FRESADO!$S117*16%</f>
        <v>480</v>
      </c>
      <c r="U117" s="17">
        <f>FRESADO!$S117+FRESADO!$T117</f>
        <v>3480</v>
      </c>
      <c r="V117" s="17" t="s">
        <v>59</v>
      </c>
      <c r="W117" s="17" t="s">
        <v>44</v>
      </c>
      <c r="X117" s="15" t="s">
        <v>60</v>
      </c>
      <c r="Y117" s="30"/>
      <c r="Z117" s="31" t="s">
        <v>77</v>
      </c>
    </row>
    <row r="118" ht="15.75" customHeight="1">
      <c r="A118" s="6">
        <v>24.0</v>
      </c>
      <c r="B118" s="6"/>
      <c r="C118" s="6">
        <v>520.0</v>
      </c>
      <c r="D118" s="25">
        <v>46185.0</v>
      </c>
      <c r="E118" s="6">
        <v>1.0</v>
      </c>
      <c r="F118" s="6" t="s">
        <v>74</v>
      </c>
      <c r="G118" s="6" t="s">
        <v>246</v>
      </c>
      <c r="H118" s="6">
        <v>14.0</v>
      </c>
      <c r="I118" s="6" t="s">
        <v>40</v>
      </c>
      <c r="J118" s="6" t="s">
        <v>70</v>
      </c>
      <c r="K118" s="11" t="s">
        <v>36</v>
      </c>
      <c r="L118" s="6"/>
      <c r="M118" s="6"/>
      <c r="N118" s="6"/>
      <c r="O118" s="17"/>
      <c r="P118" s="6"/>
      <c r="Q118" s="6"/>
      <c r="R118" s="16">
        <v>2500.0</v>
      </c>
      <c r="S118" s="17">
        <f>FRESADO!$R118*FRESADO!$E118</f>
        <v>2500</v>
      </c>
      <c r="T118" s="17">
        <f>FRESADO!$S118*16%</f>
        <v>400</v>
      </c>
      <c r="U118" s="17">
        <f>FRESADO!$S118+FRESADO!$T118</f>
        <v>2900</v>
      </c>
      <c r="V118" s="17" t="s">
        <v>131</v>
      </c>
      <c r="W118" s="17" t="s">
        <v>44</v>
      </c>
      <c r="X118" s="17" t="s">
        <v>45</v>
      </c>
      <c r="Y118" s="30"/>
      <c r="Z118" s="31" t="s">
        <v>77</v>
      </c>
    </row>
    <row r="119" ht="15.75" customHeight="1">
      <c r="A119" s="6">
        <v>24.0</v>
      </c>
      <c r="B119" s="6"/>
      <c r="C119" s="6">
        <v>521.0</v>
      </c>
      <c r="D119" s="25">
        <v>46185.0</v>
      </c>
      <c r="E119" s="6">
        <v>1.0</v>
      </c>
      <c r="F119" s="6" t="s">
        <v>74</v>
      </c>
      <c r="G119" s="6" t="s">
        <v>51</v>
      </c>
      <c r="H119" s="6">
        <v>14.0</v>
      </c>
      <c r="I119" s="6" t="s">
        <v>40</v>
      </c>
      <c r="J119" s="6" t="s">
        <v>54</v>
      </c>
      <c r="K119" s="11" t="s">
        <v>36</v>
      </c>
      <c r="L119" s="6"/>
      <c r="M119" s="6"/>
      <c r="N119" s="6"/>
      <c r="O119" s="17"/>
      <c r="P119" s="6"/>
      <c r="Q119" s="6"/>
      <c r="R119" s="16">
        <v>2500.0</v>
      </c>
      <c r="S119" s="17">
        <f>FRESADO!$R119*FRESADO!$E119</f>
        <v>2500</v>
      </c>
      <c r="T119" s="17">
        <f>FRESADO!$S119*16%</f>
        <v>400</v>
      </c>
      <c r="U119" s="17">
        <f>FRESADO!$S119+FRESADO!$T119</f>
        <v>2900</v>
      </c>
      <c r="V119" s="17" t="s">
        <v>131</v>
      </c>
      <c r="W119" s="17" t="s">
        <v>44</v>
      </c>
      <c r="X119" s="17" t="s">
        <v>45</v>
      </c>
      <c r="Y119" s="30"/>
      <c r="Z119" s="31" t="s">
        <v>77</v>
      </c>
    </row>
    <row r="120" ht="15.75" customHeight="1">
      <c r="A120" s="6">
        <v>24.0</v>
      </c>
      <c r="B120" s="6"/>
      <c r="C120" s="6">
        <v>522.0</v>
      </c>
      <c r="D120" s="25">
        <v>46185.0</v>
      </c>
      <c r="E120" s="6">
        <v>1.0</v>
      </c>
      <c r="F120" s="6" t="s">
        <v>74</v>
      </c>
      <c r="G120" s="6" t="s">
        <v>69</v>
      </c>
      <c r="H120" s="6">
        <v>14.0</v>
      </c>
      <c r="I120" s="6" t="s">
        <v>40</v>
      </c>
      <c r="J120" s="6" t="s">
        <v>70</v>
      </c>
      <c r="K120" s="11" t="s">
        <v>36</v>
      </c>
      <c r="L120" s="6"/>
      <c r="M120" s="6"/>
      <c r="N120" s="6"/>
      <c r="O120" s="17"/>
      <c r="P120" s="6"/>
      <c r="Q120" s="6"/>
      <c r="R120" s="16">
        <v>2500.0</v>
      </c>
      <c r="S120" s="17">
        <f>FRESADO!$R120*FRESADO!$E120</f>
        <v>2500</v>
      </c>
      <c r="T120" s="17">
        <f>FRESADO!$S120*16%</f>
        <v>400</v>
      </c>
      <c r="U120" s="17">
        <f>FRESADO!$S120+FRESADO!$T120</f>
        <v>2900</v>
      </c>
      <c r="V120" s="17" t="s">
        <v>131</v>
      </c>
      <c r="W120" s="17" t="s">
        <v>44</v>
      </c>
      <c r="X120" s="17" t="s">
        <v>45</v>
      </c>
      <c r="Y120" s="30"/>
      <c r="Z120" s="31" t="s">
        <v>77</v>
      </c>
    </row>
    <row r="121" ht="15.75" customHeight="1">
      <c r="A121" s="6">
        <v>24.0</v>
      </c>
      <c r="B121" s="6"/>
      <c r="C121" s="6">
        <v>523.0</v>
      </c>
      <c r="D121" s="25">
        <v>46185.0</v>
      </c>
      <c r="E121" s="6">
        <v>1.0</v>
      </c>
      <c r="F121" s="6" t="s">
        <v>74</v>
      </c>
      <c r="G121" s="6" t="s">
        <v>253</v>
      </c>
      <c r="H121" s="6">
        <v>14.0</v>
      </c>
      <c r="I121" s="6" t="s">
        <v>40</v>
      </c>
      <c r="J121" s="6" t="s">
        <v>254</v>
      </c>
      <c r="K121" s="11" t="s">
        <v>36</v>
      </c>
      <c r="L121" s="6"/>
      <c r="M121" s="6"/>
      <c r="N121" s="6"/>
      <c r="O121" s="17"/>
      <c r="P121" s="6"/>
      <c r="Q121" s="6"/>
      <c r="R121" s="16">
        <v>2500.0</v>
      </c>
      <c r="S121" s="17">
        <f>FRESADO!$R121*FRESADO!$E121</f>
        <v>2500</v>
      </c>
      <c r="T121" s="17">
        <f>FRESADO!$S121*16%</f>
        <v>400</v>
      </c>
      <c r="U121" s="17">
        <f>FRESADO!$S121+FRESADO!$T121</f>
        <v>2900</v>
      </c>
      <c r="V121" s="17" t="s">
        <v>131</v>
      </c>
      <c r="W121" s="17" t="s">
        <v>44</v>
      </c>
      <c r="X121" s="17" t="s">
        <v>45</v>
      </c>
      <c r="Y121" s="30"/>
      <c r="Z121" s="31" t="s">
        <v>77</v>
      </c>
    </row>
    <row r="122" ht="15.75" customHeight="1">
      <c r="A122" s="6">
        <v>24.0</v>
      </c>
      <c r="B122" s="6"/>
      <c r="C122" s="6">
        <v>524.0</v>
      </c>
      <c r="D122" s="25">
        <v>46185.0</v>
      </c>
      <c r="E122" s="6">
        <v>1.0</v>
      </c>
      <c r="F122" s="6" t="s">
        <v>74</v>
      </c>
      <c r="G122" s="6" t="s">
        <v>258</v>
      </c>
      <c r="H122" s="6">
        <v>14.0</v>
      </c>
      <c r="I122" s="6" t="s">
        <v>40</v>
      </c>
      <c r="J122" s="6" t="s">
        <v>54</v>
      </c>
      <c r="K122" s="11" t="s">
        <v>36</v>
      </c>
      <c r="L122" s="6"/>
      <c r="M122" s="6"/>
      <c r="N122" s="6"/>
      <c r="O122" s="17"/>
      <c r="P122" s="6"/>
      <c r="Q122" s="6"/>
      <c r="R122" s="16">
        <v>2500.0</v>
      </c>
      <c r="S122" s="17">
        <f>FRESADO!$R122*FRESADO!$E122</f>
        <v>2500</v>
      </c>
      <c r="T122" s="17">
        <f>FRESADO!$S122*16%</f>
        <v>400</v>
      </c>
      <c r="U122" s="17">
        <f>FRESADO!$S122+FRESADO!$T122</f>
        <v>2900</v>
      </c>
      <c r="V122" s="17" t="s">
        <v>131</v>
      </c>
      <c r="W122" s="17" t="s">
        <v>44</v>
      </c>
      <c r="X122" s="17" t="s">
        <v>45</v>
      </c>
      <c r="Y122" s="30"/>
      <c r="Z122" s="31" t="s">
        <v>77</v>
      </c>
    </row>
    <row r="123" ht="15.75" customHeight="1">
      <c r="A123" s="6">
        <v>24.0</v>
      </c>
      <c r="B123" s="6"/>
      <c r="C123" s="6">
        <v>525.0</v>
      </c>
      <c r="D123" s="25">
        <v>46185.0</v>
      </c>
      <c r="E123" s="6">
        <v>1.0</v>
      </c>
      <c r="F123" s="6" t="s">
        <v>74</v>
      </c>
      <c r="G123" s="6" t="s">
        <v>253</v>
      </c>
      <c r="H123" s="6">
        <v>14.0</v>
      </c>
      <c r="I123" s="6" t="s">
        <v>40</v>
      </c>
      <c r="J123" s="6" t="s">
        <v>254</v>
      </c>
      <c r="K123" s="11" t="s">
        <v>36</v>
      </c>
      <c r="L123" s="6"/>
      <c r="M123" s="6"/>
      <c r="N123" s="6"/>
      <c r="O123" s="17"/>
      <c r="P123" s="6"/>
      <c r="Q123" s="6"/>
      <c r="R123" s="16">
        <v>2500.0</v>
      </c>
      <c r="S123" s="17">
        <f>FRESADO!$R123*FRESADO!$E123</f>
        <v>2500</v>
      </c>
      <c r="T123" s="17">
        <f>FRESADO!$S123*16%</f>
        <v>400</v>
      </c>
      <c r="U123" s="17">
        <f>FRESADO!$S123+FRESADO!$T123</f>
        <v>2900</v>
      </c>
      <c r="V123" s="17" t="s">
        <v>131</v>
      </c>
      <c r="W123" s="17" t="s">
        <v>44</v>
      </c>
      <c r="X123" s="17" t="s">
        <v>45</v>
      </c>
      <c r="Y123" s="30"/>
      <c r="Z123" s="31" t="s">
        <v>77</v>
      </c>
    </row>
    <row r="124" ht="15.75" customHeight="1">
      <c r="A124" s="6">
        <v>24.0</v>
      </c>
      <c r="B124" s="6"/>
      <c r="C124" s="6">
        <v>526.0</v>
      </c>
      <c r="D124" s="25">
        <v>46185.0</v>
      </c>
      <c r="E124" s="6">
        <v>1.0</v>
      </c>
      <c r="F124" s="6" t="s">
        <v>74</v>
      </c>
      <c r="G124" s="6" t="s">
        <v>51</v>
      </c>
      <c r="H124" s="6">
        <v>14.0</v>
      </c>
      <c r="I124" s="6" t="s">
        <v>40</v>
      </c>
      <c r="J124" s="6" t="s">
        <v>54</v>
      </c>
      <c r="K124" s="11" t="s">
        <v>36</v>
      </c>
      <c r="L124" s="6"/>
      <c r="M124" s="6"/>
      <c r="N124" s="6"/>
      <c r="O124" s="17"/>
      <c r="P124" s="6"/>
      <c r="Q124" s="6"/>
      <c r="R124" s="16">
        <v>2500.0</v>
      </c>
      <c r="S124" s="17">
        <f>FRESADO!$R124*FRESADO!$E124</f>
        <v>2500</v>
      </c>
      <c r="T124" s="17">
        <f>FRESADO!$S124*16%</f>
        <v>400</v>
      </c>
      <c r="U124" s="17">
        <f>FRESADO!$S124+FRESADO!$T124</f>
        <v>2900</v>
      </c>
      <c r="V124" s="17" t="s">
        <v>131</v>
      </c>
      <c r="W124" s="17" t="s">
        <v>44</v>
      </c>
      <c r="X124" s="17" t="s">
        <v>45</v>
      </c>
      <c r="Y124" s="30"/>
      <c r="Z124" s="31" t="s">
        <v>77</v>
      </c>
    </row>
    <row r="125" ht="15.75" customHeight="1">
      <c r="A125" s="6">
        <v>24.0</v>
      </c>
      <c r="B125" s="6"/>
      <c r="C125" s="6">
        <v>527.0</v>
      </c>
      <c r="D125" s="25">
        <v>46185.0</v>
      </c>
      <c r="E125" s="6">
        <v>1.0</v>
      </c>
      <c r="F125" s="6" t="s">
        <v>74</v>
      </c>
      <c r="G125" s="6" t="s">
        <v>253</v>
      </c>
      <c r="H125" s="6">
        <v>14.0</v>
      </c>
      <c r="I125" s="6" t="s">
        <v>40</v>
      </c>
      <c r="J125" s="6" t="s">
        <v>254</v>
      </c>
      <c r="K125" s="11" t="s">
        <v>36</v>
      </c>
      <c r="L125" s="6"/>
      <c r="M125" s="6"/>
      <c r="N125" s="6"/>
      <c r="O125" s="17"/>
      <c r="P125" s="6"/>
      <c r="Q125" s="6"/>
      <c r="R125" s="16">
        <v>2500.0</v>
      </c>
      <c r="S125" s="17">
        <f>FRESADO!$R125*FRESADO!$E125</f>
        <v>2500</v>
      </c>
      <c r="T125" s="17">
        <f>FRESADO!$S125*16%</f>
        <v>400</v>
      </c>
      <c r="U125" s="17">
        <f>FRESADO!$S125+FRESADO!$T125</f>
        <v>2900</v>
      </c>
      <c r="V125" s="17" t="s">
        <v>131</v>
      </c>
      <c r="W125" s="17" t="s">
        <v>44</v>
      </c>
      <c r="X125" s="17" t="s">
        <v>45</v>
      </c>
      <c r="Y125" s="30"/>
      <c r="Z125" s="31" t="s">
        <v>77</v>
      </c>
    </row>
    <row r="126" ht="15.75" customHeight="1">
      <c r="A126" s="6">
        <v>24.0</v>
      </c>
      <c r="B126" s="6"/>
      <c r="C126" s="6">
        <v>528.0</v>
      </c>
      <c r="D126" s="25">
        <v>46185.0</v>
      </c>
      <c r="E126" s="6">
        <v>1.0</v>
      </c>
      <c r="F126" s="6" t="s">
        <v>74</v>
      </c>
      <c r="G126" s="6" t="s">
        <v>51</v>
      </c>
      <c r="H126" s="6">
        <v>14.0</v>
      </c>
      <c r="I126" s="6" t="s">
        <v>40</v>
      </c>
      <c r="J126" s="6" t="s">
        <v>54</v>
      </c>
      <c r="K126" s="11" t="s">
        <v>36</v>
      </c>
      <c r="L126" s="6"/>
      <c r="M126" s="6"/>
      <c r="N126" s="6"/>
      <c r="O126" s="17"/>
      <c r="P126" s="6"/>
      <c r="Q126" s="6"/>
      <c r="R126" s="16">
        <v>2500.0</v>
      </c>
      <c r="S126" s="17">
        <f>FRESADO!$R126*FRESADO!$E126</f>
        <v>2500</v>
      </c>
      <c r="T126" s="17">
        <f>FRESADO!$S126*16%</f>
        <v>400</v>
      </c>
      <c r="U126" s="17">
        <f>FRESADO!$S126+FRESADO!$T126</f>
        <v>2900</v>
      </c>
      <c r="V126" s="17" t="s">
        <v>131</v>
      </c>
      <c r="W126" s="17" t="s">
        <v>44</v>
      </c>
      <c r="X126" s="17" t="s">
        <v>45</v>
      </c>
      <c r="Y126" s="30"/>
      <c r="Z126" s="31" t="s">
        <v>77</v>
      </c>
    </row>
    <row r="127" ht="15.75" customHeight="1">
      <c r="A127" s="6">
        <v>24.0</v>
      </c>
      <c r="B127" s="6"/>
      <c r="C127" s="6">
        <v>529.0</v>
      </c>
      <c r="D127" s="25">
        <v>46185.0</v>
      </c>
      <c r="E127" s="6">
        <v>1.0</v>
      </c>
      <c r="F127" s="6" t="s">
        <v>74</v>
      </c>
      <c r="G127" s="6" t="s">
        <v>253</v>
      </c>
      <c r="H127" s="6">
        <v>14.0</v>
      </c>
      <c r="I127" s="6" t="s">
        <v>40</v>
      </c>
      <c r="J127" s="6" t="s">
        <v>254</v>
      </c>
      <c r="K127" s="11" t="s">
        <v>36</v>
      </c>
      <c r="L127" s="6"/>
      <c r="M127" s="6"/>
      <c r="N127" s="6"/>
      <c r="O127" s="17"/>
      <c r="P127" s="6"/>
      <c r="Q127" s="6"/>
      <c r="R127" s="16">
        <v>2500.0</v>
      </c>
      <c r="S127" s="17">
        <f>FRESADO!$R127*FRESADO!$E127</f>
        <v>2500</v>
      </c>
      <c r="T127" s="17">
        <f>FRESADO!$S127*16%</f>
        <v>400</v>
      </c>
      <c r="U127" s="17">
        <f>FRESADO!$S127+FRESADO!$T127</f>
        <v>2900</v>
      </c>
      <c r="V127" s="17" t="s">
        <v>131</v>
      </c>
      <c r="W127" s="17" t="s">
        <v>44</v>
      </c>
      <c r="X127" s="17" t="s">
        <v>45</v>
      </c>
      <c r="Y127" s="30"/>
      <c r="Z127" s="31" t="s">
        <v>77</v>
      </c>
    </row>
    <row r="128" ht="15.75" customHeight="1">
      <c r="A128" s="6">
        <v>24.0</v>
      </c>
      <c r="B128" s="6"/>
      <c r="C128" s="6">
        <v>530.0</v>
      </c>
      <c r="D128" s="25">
        <v>46185.0</v>
      </c>
      <c r="E128" s="6">
        <v>1.0</v>
      </c>
      <c r="F128" s="6" t="s">
        <v>74</v>
      </c>
      <c r="G128" s="6" t="s">
        <v>253</v>
      </c>
      <c r="H128" s="6">
        <v>14.0</v>
      </c>
      <c r="I128" s="6" t="s">
        <v>40</v>
      </c>
      <c r="J128" s="6" t="s">
        <v>254</v>
      </c>
      <c r="K128" s="11" t="s">
        <v>36</v>
      </c>
      <c r="L128" s="6"/>
      <c r="M128" s="6"/>
      <c r="N128" s="6"/>
      <c r="O128" s="17"/>
      <c r="P128" s="6"/>
      <c r="Q128" s="6"/>
      <c r="R128" s="16">
        <v>2500.0</v>
      </c>
      <c r="S128" s="17">
        <f>FRESADO!$R128*FRESADO!$E128</f>
        <v>2500</v>
      </c>
      <c r="T128" s="17">
        <f>FRESADO!$S128*16%</f>
        <v>400</v>
      </c>
      <c r="U128" s="17">
        <f>FRESADO!$S128+FRESADO!$T128</f>
        <v>2900</v>
      </c>
      <c r="V128" s="17" t="s">
        <v>131</v>
      </c>
      <c r="W128" s="17" t="s">
        <v>44</v>
      </c>
      <c r="X128" s="17" t="s">
        <v>45</v>
      </c>
      <c r="Y128" s="30"/>
      <c r="Z128" s="31" t="s">
        <v>77</v>
      </c>
    </row>
    <row r="129" ht="15.75" customHeight="1">
      <c r="A129" s="6">
        <v>24.0</v>
      </c>
      <c r="B129" s="6"/>
      <c r="C129" s="6">
        <v>531.0</v>
      </c>
      <c r="D129" s="25">
        <v>46185.0</v>
      </c>
      <c r="E129" s="6">
        <v>1.0</v>
      </c>
      <c r="F129" s="6" t="s">
        <v>74</v>
      </c>
      <c r="G129" s="6" t="s">
        <v>253</v>
      </c>
      <c r="H129" s="6">
        <v>14.0</v>
      </c>
      <c r="I129" s="6" t="s">
        <v>40</v>
      </c>
      <c r="J129" s="6" t="s">
        <v>254</v>
      </c>
      <c r="K129" s="11" t="s">
        <v>36</v>
      </c>
      <c r="L129" s="6"/>
      <c r="M129" s="6"/>
      <c r="N129" s="6"/>
      <c r="O129" s="17"/>
      <c r="P129" s="6"/>
      <c r="Q129" s="6"/>
      <c r="R129" s="16">
        <v>2500.0</v>
      </c>
      <c r="S129" s="17">
        <f>FRESADO!$R129*FRESADO!$E129</f>
        <v>2500</v>
      </c>
      <c r="T129" s="17">
        <f>FRESADO!$S129*16%</f>
        <v>400</v>
      </c>
      <c r="U129" s="17">
        <f>FRESADO!$S129+FRESADO!$T129</f>
        <v>2900</v>
      </c>
      <c r="V129" s="17" t="s">
        <v>131</v>
      </c>
      <c r="W129" s="17" t="s">
        <v>44</v>
      </c>
      <c r="X129" s="17" t="s">
        <v>45</v>
      </c>
      <c r="Y129" s="30"/>
      <c r="Z129" s="31" t="s">
        <v>77</v>
      </c>
    </row>
    <row r="130" ht="15.75" customHeight="1">
      <c r="A130" s="6">
        <v>25.0</v>
      </c>
      <c r="B130" s="6">
        <v>1.0</v>
      </c>
      <c r="C130" s="6">
        <v>532.0</v>
      </c>
      <c r="D130" s="32">
        <v>46188.0</v>
      </c>
      <c r="E130" s="6">
        <v>1.0</v>
      </c>
      <c r="F130" s="6" t="s">
        <v>74</v>
      </c>
      <c r="G130" s="6" t="s">
        <v>51</v>
      </c>
      <c r="H130" s="6">
        <v>14.0</v>
      </c>
      <c r="I130" s="6" t="s">
        <v>34</v>
      </c>
      <c r="J130" s="6" t="s">
        <v>272</v>
      </c>
      <c r="K130" s="11" t="s">
        <v>36</v>
      </c>
      <c r="L130" s="6"/>
      <c r="M130" s="6"/>
      <c r="N130" s="6"/>
      <c r="O130" s="6"/>
      <c r="P130" s="6"/>
      <c r="Q130" s="6"/>
      <c r="R130" s="16">
        <v>2500.0</v>
      </c>
      <c r="S130" s="17">
        <f>FRESADO!$R130*FRESADO!$E130</f>
        <v>2500</v>
      </c>
      <c r="T130" s="17">
        <f>FRESADO!$S130*16%</f>
        <v>400</v>
      </c>
      <c r="U130" s="17">
        <f>FRESADO!$S130+FRESADO!$T130</f>
        <v>2900</v>
      </c>
      <c r="V130" s="8" t="s">
        <v>161</v>
      </c>
      <c r="W130" s="17" t="s">
        <v>44</v>
      </c>
      <c r="X130" s="52" t="s">
        <v>175</v>
      </c>
      <c r="Y130" s="30"/>
      <c r="Z130" s="31" t="s">
        <v>77</v>
      </c>
    </row>
    <row r="131" ht="15.75" customHeight="1">
      <c r="A131" s="6">
        <v>25.0</v>
      </c>
      <c r="B131" s="6">
        <v>2.0</v>
      </c>
      <c r="C131" s="6">
        <v>533.0</v>
      </c>
      <c r="D131" s="32">
        <v>46188.0</v>
      </c>
      <c r="E131" s="6">
        <v>1.0</v>
      </c>
      <c r="F131" s="6" t="s">
        <v>74</v>
      </c>
      <c r="G131" s="6" t="s">
        <v>277</v>
      </c>
      <c r="H131" s="6">
        <v>14.0</v>
      </c>
      <c r="I131" s="6" t="s">
        <v>34</v>
      </c>
      <c r="J131" s="6" t="s">
        <v>278</v>
      </c>
      <c r="K131" s="11" t="s">
        <v>36</v>
      </c>
      <c r="L131" s="6"/>
      <c r="M131" s="6"/>
      <c r="N131" s="6"/>
      <c r="O131" s="6"/>
      <c r="P131" s="6"/>
      <c r="Q131" s="6"/>
      <c r="R131" s="16">
        <v>2500.0</v>
      </c>
      <c r="S131" s="17">
        <f>FRESADO!$R131*FRESADO!$E131</f>
        <v>2500</v>
      </c>
      <c r="T131" s="17">
        <f>FRESADO!$S131*16%</f>
        <v>400</v>
      </c>
      <c r="U131" s="17">
        <f>FRESADO!$S131+FRESADO!$T131</f>
        <v>2900</v>
      </c>
      <c r="V131" s="8" t="s">
        <v>161</v>
      </c>
      <c r="W131" s="17" t="s">
        <v>44</v>
      </c>
      <c r="X131" s="52" t="s">
        <v>175</v>
      </c>
      <c r="Y131" s="30"/>
      <c r="Z131" s="31" t="s">
        <v>77</v>
      </c>
    </row>
    <row r="132" ht="15.75" customHeight="1">
      <c r="A132" s="6">
        <v>25.0</v>
      </c>
      <c r="B132" s="6">
        <v>3.0</v>
      </c>
      <c r="C132" s="8">
        <v>534.0</v>
      </c>
      <c r="D132" s="32">
        <v>46188.0</v>
      </c>
      <c r="E132" s="6">
        <v>1.0</v>
      </c>
      <c r="F132" s="6" t="s">
        <v>74</v>
      </c>
      <c r="G132" s="6" t="s">
        <v>280</v>
      </c>
      <c r="H132" s="6">
        <v>14.0</v>
      </c>
      <c r="I132" s="6" t="s">
        <v>34</v>
      </c>
      <c r="J132" s="6" t="s">
        <v>254</v>
      </c>
      <c r="K132" s="11" t="s">
        <v>36</v>
      </c>
      <c r="L132" s="6"/>
      <c r="M132" s="6"/>
      <c r="N132" s="6"/>
      <c r="O132" s="6"/>
      <c r="P132" s="6"/>
      <c r="Q132" s="6"/>
      <c r="R132" s="16">
        <v>2500.0</v>
      </c>
      <c r="S132" s="17">
        <f>FRESADO!$R132*FRESADO!$E132</f>
        <v>2500</v>
      </c>
      <c r="T132" s="17">
        <f>FRESADO!$S132*16%</f>
        <v>400</v>
      </c>
      <c r="U132" s="17">
        <f>FRESADO!$S132+FRESADO!$T132</f>
        <v>2900</v>
      </c>
      <c r="V132" s="8" t="s">
        <v>161</v>
      </c>
      <c r="W132" s="17" t="s">
        <v>44</v>
      </c>
      <c r="X132" s="52" t="s">
        <v>175</v>
      </c>
      <c r="Y132" s="30"/>
      <c r="Z132" s="31" t="s">
        <v>77</v>
      </c>
    </row>
    <row r="133" ht="15.75" customHeight="1">
      <c r="A133" s="6">
        <v>25.0</v>
      </c>
      <c r="B133" s="6">
        <v>4.0</v>
      </c>
      <c r="C133" s="6">
        <v>535.0</v>
      </c>
      <c r="D133" s="32">
        <v>46188.0</v>
      </c>
      <c r="E133" s="6">
        <v>1.0</v>
      </c>
      <c r="F133" s="6" t="s">
        <v>74</v>
      </c>
      <c r="G133" s="6" t="s">
        <v>51</v>
      </c>
      <c r="H133" s="6">
        <v>14.0</v>
      </c>
      <c r="I133" s="6" t="s">
        <v>34</v>
      </c>
      <c r="J133" s="6" t="s">
        <v>272</v>
      </c>
      <c r="K133" s="11" t="s">
        <v>36</v>
      </c>
      <c r="L133" s="6"/>
      <c r="M133" s="6"/>
      <c r="N133" s="6"/>
      <c r="O133" s="6"/>
      <c r="P133" s="6"/>
      <c r="Q133" s="6"/>
      <c r="R133" s="16">
        <v>2500.0</v>
      </c>
      <c r="S133" s="17">
        <f>FRESADO!$R133*FRESADO!$E133</f>
        <v>2500</v>
      </c>
      <c r="T133" s="17">
        <f>FRESADO!$S133*16%</f>
        <v>400</v>
      </c>
      <c r="U133" s="17">
        <f>FRESADO!$S133+FRESADO!$T133</f>
        <v>2900</v>
      </c>
      <c r="V133" s="8" t="s">
        <v>161</v>
      </c>
      <c r="W133" s="17" t="s">
        <v>44</v>
      </c>
      <c r="X133" s="52" t="s">
        <v>175</v>
      </c>
      <c r="Y133" s="30"/>
      <c r="Z133" s="31" t="s">
        <v>77</v>
      </c>
    </row>
    <row r="134" ht="15.75" customHeight="1">
      <c r="A134" s="6">
        <v>25.0</v>
      </c>
      <c r="B134" s="6">
        <v>5.0</v>
      </c>
      <c r="C134" s="8">
        <v>536.0</v>
      </c>
      <c r="D134" s="32">
        <v>46188.0</v>
      </c>
      <c r="E134" s="6">
        <v>1.0</v>
      </c>
      <c r="F134" s="6" t="s">
        <v>74</v>
      </c>
      <c r="G134" s="6" t="s">
        <v>277</v>
      </c>
      <c r="H134" s="6">
        <v>14.0</v>
      </c>
      <c r="I134" s="6" t="s">
        <v>34</v>
      </c>
      <c r="J134" s="6" t="s">
        <v>278</v>
      </c>
      <c r="K134" s="11" t="s">
        <v>36</v>
      </c>
      <c r="L134" s="6"/>
      <c r="M134" s="6"/>
      <c r="N134" s="6"/>
      <c r="O134" s="6"/>
      <c r="P134" s="6"/>
      <c r="Q134" s="6"/>
      <c r="R134" s="16">
        <v>2500.0</v>
      </c>
      <c r="S134" s="17">
        <f>FRESADO!$R134*FRESADO!$E134</f>
        <v>2500</v>
      </c>
      <c r="T134" s="17">
        <f>FRESADO!$S134*16%</f>
        <v>400</v>
      </c>
      <c r="U134" s="17">
        <f>FRESADO!$S134+FRESADO!$T134</f>
        <v>2900</v>
      </c>
      <c r="V134" s="8" t="s">
        <v>161</v>
      </c>
      <c r="W134" s="17" t="s">
        <v>44</v>
      </c>
      <c r="X134" s="52" t="s">
        <v>175</v>
      </c>
      <c r="Y134" s="30"/>
      <c r="Z134" s="31" t="s">
        <v>77</v>
      </c>
    </row>
    <row r="135" ht="15.75" customHeight="1">
      <c r="A135" s="6">
        <v>25.0</v>
      </c>
      <c r="B135" s="6">
        <v>6.0</v>
      </c>
      <c r="C135" s="6">
        <v>537.0</v>
      </c>
      <c r="D135" s="32">
        <v>46188.0</v>
      </c>
      <c r="E135" s="6">
        <v>1.0</v>
      </c>
      <c r="F135" s="6" t="s">
        <v>74</v>
      </c>
      <c r="G135" s="6" t="s">
        <v>280</v>
      </c>
      <c r="H135" s="6">
        <v>14.0</v>
      </c>
      <c r="I135" s="6" t="s">
        <v>34</v>
      </c>
      <c r="J135" s="6" t="s">
        <v>254</v>
      </c>
      <c r="K135" s="11" t="s">
        <v>36</v>
      </c>
      <c r="L135" s="6"/>
      <c r="M135" s="6"/>
      <c r="N135" s="6"/>
      <c r="O135" s="6"/>
      <c r="P135" s="6"/>
      <c r="Q135" s="6"/>
      <c r="R135" s="16">
        <v>2500.0</v>
      </c>
      <c r="S135" s="17">
        <f>FRESADO!$R135*FRESADO!$E135</f>
        <v>2500</v>
      </c>
      <c r="T135" s="17">
        <f>FRESADO!$S135*16%</f>
        <v>400</v>
      </c>
      <c r="U135" s="17">
        <f>FRESADO!$S135+FRESADO!$T135</f>
        <v>2900</v>
      </c>
      <c r="V135" s="8" t="s">
        <v>161</v>
      </c>
      <c r="W135" s="17" t="s">
        <v>44</v>
      </c>
      <c r="X135" s="52" t="s">
        <v>175</v>
      </c>
      <c r="Y135" s="30"/>
      <c r="Z135" s="31" t="s">
        <v>77</v>
      </c>
    </row>
    <row r="136" ht="15.75" customHeight="1">
      <c r="A136" s="6">
        <v>25.0</v>
      </c>
      <c r="B136" s="6">
        <v>7.0</v>
      </c>
      <c r="C136" s="8">
        <v>538.0</v>
      </c>
      <c r="D136" s="32">
        <v>46188.0</v>
      </c>
      <c r="E136" s="6">
        <v>1.0</v>
      </c>
      <c r="F136" s="6" t="s">
        <v>74</v>
      </c>
      <c r="G136" s="6" t="s">
        <v>51</v>
      </c>
      <c r="H136" s="6">
        <v>14.0</v>
      </c>
      <c r="I136" s="6" t="s">
        <v>34</v>
      </c>
      <c r="J136" s="6" t="s">
        <v>272</v>
      </c>
      <c r="K136" s="11" t="s">
        <v>36</v>
      </c>
      <c r="L136" s="6"/>
      <c r="M136" s="6"/>
      <c r="N136" s="6"/>
      <c r="O136" s="6"/>
      <c r="P136" s="6"/>
      <c r="Q136" s="6"/>
      <c r="R136" s="16">
        <v>2500.0</v>
      </c>
      <c r="S136" s="17">
        <f>FRESADO!$R136*FRESADO!$E136</f>
        <v>2500</v>
      </c>
      <c r="T136" s="17">
        <f>FRESADO!$S136*16%</f>
        <v>400</v>
      </c>
      <c r="U136" s="17">
        <f>FRESADO!$S136+FRESADO!$T136</f>
        <v>2900</v>
      </c>
      <c r="V136" s="8" t="s">
        <v>161</v>
      </c>
      <c r="W136" s="17" t="s">
        <v>44</v>
      </c>
      <c r="X136" s="52" t="s">
        <v>175</v>
      </c>
      <c r="Y136" s="30"/>
      <c r="Z136" s="31" t="s">
        <v>77</v>
      </c>
    </row>
    <row r="137" ht="15.75" customHeight="1">
      <c r="A137" s="6">
        <v>25.0</v>
      </c>
      <c r="B137" s="6">
        <v>8.0</v>
      </c>
      <c r="C137" s="6">
        <v>539.0</v>
      </c>
      <c r="D137" s="32">
        <v>46188.0</v>
      </c>
      <c r="E137" s="6">
        <v>1.0</v>
      </c>
      <c r="F137" s="6" t="s">
        <v>74</v>
      </c>
      <c r="G137" s="6" t="s">
        <v>277</v>
      </c>
      <c r="H137" s="6">
        <v>14.0</v>
      </c>
      <c r="I137" s="6" t="s">
        <v>34</v>
      </c>
      <c r="J137" s="6" t="s">
        <v>278</v>
      </c>
      <c r="K137" s="11" t="s">
        <v>36</v>
      </c>
      <c r="L137" s="6"/>
      <c r="M137" s="6"/>
      <c r="N137" s="6"/>
      <c r="O137" s="6"/>
      <c r="P137" s="6"/>
      <c r="Q137" s="6"/>
      <c r="R137" s="16">
        <v>2500.0</v>
      </c>
      <c r="S137" s="17">
        <f>FRESADO!$R137*FRESADO!$E137</f>
        <v>2500</v>
      </c>
      <c r="T137" s="17">
        <f>FRESADO!$S137*16%</f>
        <v>400</v>
      </c>
      <c r="U137" s="17">
        <f>FRESADO!$S137+FRESADO!$T137</f>
        <v>2900</v>
      </c>
      <c r="V137" s="8" t="s">
        <v>161</v>
      </c>
      <c r="W137" s="17" t="s">
        <v>44</v>
      </c>
      <c r="X137" s="52" t="s">
        <v>175</v>
      </c>
      <c r="Y137" s="30"/>
      <c r="Z137" s="31" t="s">
        <v>77</v>
      </c>
    </row>
    <row r="138" ht="15.75" customHeight="1">
      <c r="A138" s="6">
        <v>25.0</v>
      </c>
      <c r="B138" s="6">
        <v>9.0</v>
      </c>
      <c r="C138" s="8">
        <v>540.0</v>
      </c>
      <c r="D138" s="32">
        <v>46188.0</v>
      </c>
      <c r="E138" s="6">
        <v>1.0</v>
      </c>
      <c r="F138" s="6" t="s">
        <v>74</v>
      </c>
      <c r="G138" s="6" t="s">
        <v>51</v>
      </c>
      <c r="H138" s="6">
        <v>14.0</v>
      </c>
      <c r="I138" s="6" t="s">
        <v>34</v>
      </c>
      <c r="J138" s="6" t="s">
        <v>272</v>
      </c>
      <c r="K138" s="11" t="s">
        <v>36</v>
      </c>
      <c r="L138" s="6"/>
      <c r="M138" s="6"/>
      <c r="N138" s="6"/>
      <c r="O138" s="6"/>
      <c r="P138" s="6"/>
      <c r="Q138" s="6"/>
      <c r="R138" s="16">
        <v>2500.0</v>
      </c>
      <c r="S138" s="17">
        <f>FRESADO!$R138*FRESADO!$E138</f>
        <v>2500</v>
      </c>
      <c r="T138" s="17">
        <f>FRESADO!$S138*16%</f>
        <v>400</v>
      </c>
      <c r="U138" s="17">
        <f>FRESADO!$S138+FRESADO!$T138</f>
        <v>2900</v>
      </c>
      <c r="V138" s="8" t="s">
        <v>161</v>
      </c>
      <c r="W138" s="17" t="s">
        <v>44</v>
      </c>
      <c r="X138" s="52" t="s">
        <v>175</v>
      </c>
      <c r="Y138" s="30"/>
      <c r="Z138" s="31" t="s">
        <v>77</v>
      </c>
    </row>
    <row r="139" ht="15.75" customHeight="1">
      <c r="A139" s="6">
        <v>25.0</v>
      </c>
      <c r="B139" s="6">
        <v>10.0</v>
      </c>
      <c r="C139" s="6">
        <v>541.0</v>
      </c>
      <c r="D139" s="32">
        <v>46188.0</v>
      </c>
      <c r="E139" s="6">
        <v>1.0</v>
      </c>
      <c r="F139" s="6" t="s">
        <v>74</v>
      </c>
      <c r="G139" s="6" t="s">
        <v>280</v>
      </c>
      <c r="H139" s="6">
        <v>14.0</v>
      </c>
      <c r="I139" s="6" t="s">
        <v>34</v>
      </c>
      <c r="J139" s="6" t="s">
        <v>254</v>
      </c>
      <c r="K139" s="11" t="s">
        <v>36</v>
      </c>
      <c r="L139" s="6"/>
      <c r="M139" s="6"/>
      <c r="N139" s="6"/>
      <c r="O139" s="6"/>
      <c r="P139" s="6"/>
      <c r="Q139" s="6"/>
      <c r="R139" s="16">
        <v>2500.0</v>
      </c>
      <c r="S139" s="17">
        <f>FRESADO!$R139*FRESADO!$E139</f>
        <v>2500</v>
      </c>
      <c r="T139" s="17">
        <f>FRESADO!$S139*16%</f>
        <v>400</v>
      </c>
      <c r="U139" s="17">
        <f>FRESADO!$S139+FRESADO!$T139</f>
        <v>2900</v>
      </c>
      <c r="V139" s="8" t="s">
        <v>161</v>
      </c>
      <c r="W139" s="17" t="s">
        <v>44</v>
      </c>
      <c r="X139" s="52" t="s">
        <v>175</v>
      </c>
      <c r="Y139" s="30"/>
      <c r="Z139" s="31" t="s">
        <v>77</v>
      </c>
    </row>
    <row r="140" ht="15.75" customHeight="1">
      <c r="A140" s="6">
        <v>25.0</v>
      </c>
      <c r="B140" s="6">
        <v>11.0</v>
      </c>
      <c r="C140" s="8">
        <v>542.0</v>
      </c>
      <c r="D140" s="32">
        <v>46188.0</v>
      </c>
      <c r="E140" s="6">
        <v>1.0</v>
      </c>
      <c r="F140" s="6" t="s">
        <v>74</v>
      </c>
      <c r="G140" s="6" t="s">
        <v>277</v>
      </c>
      <c r="H140" s="6">
        <v>14.0</v>
      </c>
      <c r="I140" s="6" t="s">
        <v>34</v>
      </c>
      <c r="J140" s="6" t="s">
        <v>278</v>
      </c>
      <c r="K140" s="11" t="s">
        <v>36</v>
      </c>
      <c r="L140" s="6"/>
      <c r="M140" s="6"/>
      <c r="N140" s="6"/>
      <c r="O140" s="6"/>
      <c r="P140" s="6"/>
      <c r="Q140" s="6"/>
      <c r="R140" s="16">
        <v>2500.0</v>
      </c>
      <c r="S140" s="17">
        <f>FRESADO!$R140*FRESADO!$E140</f>
        <v>2500</v>
      </c>
      <c r="T140" s="17">
        <f>FRESADO!$S140*16%</f>
        <v>400</v>
      </c>
      <c r="U140" s="17">
        <f>FRESADO!$S140+FRESADO!$T140</f>
        <v>2900</v>
      </c>
      <c r="V140" s="8" t="s">
        <v>161</v>
      </c>
      <c r="W140" s="17" t="s">
        <v>44</v>
      </c>
      <c r="X140" s="52" t="s">
        <v>175</v>
      </c>
      <c r="Y140" s="30"/>
      <c r="Z140" s="31" t="s">
        <v>77</v>
      </c>
    </row>
    <row r="141" ht="15.75" customHeight="1">
      <c r="A141" s="6">
        <v>25.0</v>
      </c>
      <c r="B141" s="6">
        <v>12.0</v>
      </c>
      <c r="C141" s="6">
        <v>543.0</v>
      </c>
      <c r="D141" s="32">
        <v>46188.0</v>
      </c>
      <c r="E141" s="6">
        <v>1.0</v>
      </c>
      <c r="F141" s="6" t="s">
        <v>74</v>
      </c>
      <c r="G141" s="6" t="s">
        <v>51</v>
      </c>
      <c r="H141" s="6">
        <v>14.0</v>
      </c>
      <c r="I141" s="6" t="s">
        <v>34</v>
      </c>
      <c r="J141" s="6" t="s">
        <v>272</v>
      </c>
      <c r="K141" s="11" t="s">
        <v>36</v>
      </c>
      <c r="L141" s="6"/>
      <c r="M141" s="6"/>
      <c r="N141" s="6"/>
      <c r="O141" s="6"/>
      <c r="P141" s="6"/>
      <c r="Q141" s="6"/>
      <c r="R141" s="16">
        <v>2500.0</v>
      </c>
      <c r="S141" s="17">
        <f>FRESADO!$R141*FRESADO!$E141</f>
        <v>2500</v>
      </c>
      <c r="T141" s="17">
        <f>FRESADO!$S141*16%</f>
        <v>400</v>
      </c>
      <c r="U141" s="17">
        <f>FRESADO!$S141+FRESADO!$T141</f>
        <v>2900</v>
      </c>
      <c r="V141" s="8" t="s">
        <v>161</v>
      </c>
      <c r="W141" s="17" t="s">
        <v>44</v>
      </c>
      <c r="X141" s="52" t="s">
        <v>175</v>
      </c>
      <c r="Y141" s="30"/>
      <c r="Z141" s="31" t="s">
        <v>77</v>
      </c>
    </row>
    <row r="142" ht="15.75" customHeight="1">
      <c r="A142" s="6">
        <v>25.0</v>
      </c>
      <c r="B142" s="6">
        <v>13.0</v>
      </c>
      <c r="C142" s="8">
        <v>544.0</v>
      </c>
      <c r="D142" s="32">
        <v>46188.0</v>
      </c>
      <c r="E142" s="6">
        <v>1.0</v>
      </c>
      <c r="F142" s="6" t="s">
        <v>74</v>
      </c>
      <c r="G142" s="6" t="s">
        <v>280</v>
      </c>
      <c r="H142" s="6">
        <v>14.0</v>
      </c>
      <c r="I142" s="6" t="s">
        <v>34</v>
      </c>
      <c r="J142" s="6" t="s">
        <v>254</v>
      </c>
      <c r="K142" s="11" t="s">
        <v>36</v>
      </c>
      <c r="L142" s="6"/>
      <c r="M142" s="6"/>
      <c r="N142" s="6"/>
      <c r="O142" s="6"/>
      <c r="P142" s="6"/>
      <c r="Q142" s="6"/>
      <c r="R142" s="16">
        <v>2500.0</v>
      </c>
      <c r="S142" s="17">
        <f>FRESADO!$R142*FRESADO!$E142</f>
        <v>2500</v>
      </c>
      <c r="T142" s="17">
        <f>FRESADO!$S142*16%</f>
        <v>400</v>
      </c>
      <c r="U142" s="17">
        <f>FRESADO!$S142+FRESADO!$T142</f>
        <v>2900</v>
      </c>
      <c r="V142" s="8" t="s">
        <v>161</v>
      </c>
      <c r="W142" s="17" t="s">
        <v>44</v>
      </c>
      <c r="X142" s="52" t="s">
        <v>175</v>
      </c>
      <c r="Y142" s="30"/>
      <c r="Z142" s="31" t="s">
        <v>77</v>
      </c>
    </row>
    <row r="143" ht="15.75" customHeight="1">
      <c r="A143" s="6">
        <v>25.0</v>
      </c>
      <c r="B143" s="6">
        <v>14.0</v>
      </c>
      <c r="C143" s="6">
        <v>545.0</v>
      </c>
      <c r="D143" s="32">
        <v>46188.0</v>
      </c>
      <c r="E143" s="6">
        <v>1.0</v>
      </c>
      <c r="F143" s="6" t="s">
        <v>74</v>
      </c>
      <c r="G143" s="6" t="s">
        <v>277</v>
      </c>
      <c r="H143" s="6">
        <v>14.0</v>
      </c>
      <c r="I143" s="6" t="s">
        <v>34</v>
      </c>
      <c r="J143" s="6" t="s">
        <v>278</v>
      </c>
      <c r="K143" s="11" t="s">
        <v>36</v>
      </c>
      <c r="L143" s="6"/>
      <c r="M143" s="6"/>
      <c r="N143" s="6"/>
      <c r="O143" s="6"/>
      <c r="P143" s="6"/>
      <c r="Q143" s="6"/>
      <c r="R143" s="16">
        <v>2500.0</v>
      </c>
      <c r="S143" s="17">
        <f>FRESADO!$R143*FRESADO!$E143</f>
        <v>2500</v>
      </c>
      <c r="T143" s="17">
        <f>FRESADO!$S143*16%</f>
        <v>400</v>
      </c>
      <c r="U143" s="17">
        <f>FRESADO!$S143+FRESADO!$T143</f>
        <v>2900</v>
      </c>
      <c r="V143" s="8" t="s">
        <v>161</v>
      </c>
      <c r="W143" s="17" t="s">
        <v>44</v>
      </c>
      <c r="X143" s="52" t="s">
        <v>175</v>
      </c>
      <c r="Y143" s="30"/>
      <c r="Z143" s="31" t="s">
        <v>77</v>
      </c>
    </row>
    <row r="144" ht="15.75" customHeight="1">
      <c r="A144" s="6">
        <v>25.0</v>
      </c>
      <c r="B144" s="6">
        <v>15.0</v>
      </c>
      <c r="C144" s="8">
        <v>546.0</v>
      </c>
      <c r="D144" s="32">
        <v>46188.0</v>
      </c>
      <c r="E144" s="6">
        <v>1.0</v>
      </c>
      <c r="F144" s="6" t="s">
        <v>74</v>
      </c>
      <c r="G144" s="6" t="s">
        <v>51</v>
      </c>
      <c r="H144" s="6">
        <v>14.0</v>
      </c>
      <c r="I144" s="6" t="s">
        <v>34</v>
      </c>
      <c r="J144" s="6" t="s">
        <v>272</v>
      </c>
      <c r="K144" s="11" t="s">
        <v>36</v>
      </c>
      <c r="L144" s="6"/>
      <c r="M144" s="6"/>
      <c r="N144" s="6"/>
      <c r="O144" s="6"/>
      <c r="P144" s="6"/>
      <c r="Q144" s="6"/>
      <c r="R144" s="16">
        <v>2500.0</v>
      </c>
      <c r="S144" s="17">
        <f>FRESADO!$R144*FRESADO!$E144</f>
        <v>2500</v>
      </c>
      <c r="T144" s="17">
        <f>FRESADO!$S144*16%</f>
        <v>400</v>
      </c>
      <c r="U144" s="17">
        <f>FRESADO!$S144+FRESADO!$T144</f>
        <v>2900</v>
      </c>
      <c r="V144" s="8" t="s">
        <v>161</v>
      </c>
      <c r="W144" s="17" t="s">
        <v>44</v>
      </c>
      <c r="X144" s="52" t="s">
        <v>175</v>
      </c>
      <c r="Y144" s="30"/>
      <c r="Z144" s="31" t="s">
        <v>77</v>
      </c>
    </row>
    <row r="145" ht="15.75" customHeight="1">
      <c r="A145" s="6">
        <v>25.0</v>
      </c>
      <c r="B145" s="6">
        <v>16.0</v>
      </c>
      <c r="C145" s="6">
        <v>547.0</v>
      </c>
      <c r="D145" s="32">
        <v>46188.0</v>
      </c>
      <c r="E145" s="6">
        <v>1.0</v>
      </c>
      <c r="F145" s="6" t="s">
        <v>74</v>
      </c>
      <c r="G145" s="6" t="s">
        <v>280</v>
      </c>
      <c r="H145" s="6">
        <v>14.0</v>
      </c>
      <c r="I145" s="6" t="s">
        <v>34</v>
      </c>
      <c r="J145" s="6" t="s">
        <v>254</v>
      </c>
      <c r="K145" s="11" t="s">
        <v>36</v>
      </c>
      <c r="L145" s="6"/>
      <c r="M145" s="6"/>
      <c r="N145" s="6"/>
      <c r="O145" s="6"/>
      <c r="P145" s="6"/>
      <c r="Q145" s="6"/>
      <c r="R145" s="16">
        <v>2500.0</v>
      </c>
      <c r="S145" s="17">
        <f>FRESADO!$R145*FRESADO!$E145</f>
        <v>2500</v>
      </c>
      <c r="T145" s="17">
        <f>FRESADO!$S145*16%</f>
        <v>400</v>
      </c>
      <c r="U145" s="17">
        <f>FRESADO!$S145+FRESADO!$T145</f>
        <v>2900</v>
      </c>
      <c r="V145" s="8" t="s">
        <v>161</v>
      </c>
      <c r="W145" s="17" t="s">
        <v>44</v>
      </c>
      <c r="X145" s="52" t="s">
        <v>175</v>
      </c>
      <c r="Y145" s="30"/>
      <c r="Z145" s="31" t="s">
        <v>77</v>
      </c>
    </row>
    <row r="146" ht="15.75" customHeight="1">
      <c r="A146" s="56">
        <v>25.0</v>
      </c>
      <c r="B146" s="56">
        <v>17.0</v>
      </c>
      <c r="C146" s="79">
        <v>548.0</v>
      </c>
      <c r="D146" s="80">
        <v>46188.0</v>
      </c>
      <c r="E146" s="54">
        <v>0.0</v>
      </c>
      <c r="F146" s="56" t="s">
        <v>182</v>
      </c>
      <c r="G146" s="54">
        <v>0.0</v>
      </c>
      <c r="H146" s="54">
        <v>0.0</v>
      </c>
      <c r="I146" s="54" t="s">
        <v>40</v>
      </c>
      <c r="J146" s="54" t="s">
        <v>183</v>
      </c>
      <c r="K146" s="56" t="s">
        <v>49</v>
      </c>
      <c r="L146" s="56"/>
      <c r="M146" s="56"/>
      <c r="N146" s="56"/>
      <c r="O146" s="56"/>
      <c r="P146" s="56"/>
      <c r="Q146" s="56" t="s">
        <v>182</v>
      </c>
      <c r="R146" s="59">
        <v>0.0</v>
      </c>
      <c r="S146" s="81">
        <f>FRESADO!$R146*FRESADO!$E146</f>
        <v>0</v>
      </c>
      <c r="T146" s="81">
        <f>FRESADO!$S146*16%</f>
        <v>0</v>
      </c>
      <c r="U146" s="81">
        <f>FRESADO!$S146+FRESADO!$T146</f>
        <v>0</v>
      </c>
      <c r="V146" s="56" t="s">
        <v>182</v>
      </c>
      <c r="W146" s="81"/>
      <c r="X146" s="81"/>
      <c r="Y146" s="82"/>
      <c r="Z146" s="83"/>
    </row>
    <row r="147" ht="15.75" customHeight="1">
      <c r="A147" s="6">
        <v>25.0</v>
      </c>
      <c r="B147" s="6">
        <v>18.0</v>
      </c>
      <c r="C147" s="6">
        <v>549.0</v>
      </c>
      <c r="D147" s="32">
        <v>46188.0</v>
      </c>
      <c r="E147" s="6">
        <v>1.0</v>
      </c>
      <c r="F147" s="6" t="s">
        <v>74</v>
      </c>
      <c r="G147" s="6" t="s">
        <v>277</v>
      </c>
      <c r="H147" s="6">
        <v>14.0</v>
      </c>
      <c r="I147" s="6" t="s">
        <v>34</v>
      </c>
      <c r="J147" s="6" t="s">
        <v>278</v>
      </c>
      <c r="K147" s="11" t="s">
        <v>36</v>
      </c>
      <c r="L147" s="6"/>
      <c r="M147" s="6"/>
      <c r="N147" s="6"/>
      <c r="O147" s="6"/>
      <c r="P147" s="6"/>
      <c r="Q147" s="6"/>
      <c r="R147" s="16">
        <v>1540.0</v>
      </c>
      <c r="S147" s="17">
        <f>FRESADO!$R147*FRESADO!$E147</f>
        <v>1540</v>
      </c>
      <c r="T147" s="17">
        <f>FRESADO!$S147*16%</f>
        <v>246.4</v>
      </c>
      <c r="U147" s="17">
        <f>FRESADO!$S147+FRESADO!$T147</f>
        <v>1786.4</v>
      </c>
      <c r="V147" s="8" t="s">
        <v>161</v>
      </c>
      <c r="W147" s="17" t="s">
        <v>44</v>
      </c>
      <c r="X147" s="52" t="s">
        <v>175</v>
      </c>
      <c r="Y147" s="30"/>
      <c r="Z147" s="31" t="s">
        <v>77</v>
      </c>
    </row>
    <row r="148" ht="15.75" customHeight="1">
      <c r="A148" s="6">
        <v>25.0</v>
      </c>
      <c r="B148" s="6">
        <v>1.0</v>
      </c>
      <c r="C148" s="6">
        <v>550.0</v>
      </c>
      <c r="D148" s="25">
        <v>46189.0</v>
      </c>
      <c r="E148" s="6">
        <v>1.0</v>
      </c>
      <c r="F148" s="6" t="s">
        <v>74</v>
      </c>
      <c r="G148" s="6" t="s">
        <v>339</v>
      </c>
      <c r="H148" s="6">
        <v>14.0</v>
      </c>
      <c r="I148" s="6" t="s">
        <v>34</v>
      </c>
      <c r="J148" s="6" t="s">
        <v>272</v>
      </c>
      <c r="K148" s="11" t="s">
        <v>36</v>
      </c>
      <c r="L148" s="6"/>
      <c r="M148" s="6"/>
      <c r="N148" s="6" t="s">
        <v>340</v>
      </c>
      <c r="O148" s="6" t="s">
        <v>189</v>
      </c>
      <c r="P148" s="6" t="s">
        <v>341</v>
      </c>
      <c r="Q148" s="6"/>
      <c r="R148" s="16">
        <v>2500.0</v>
      </c>
      <c r="S148" s="17">
        <f>FRESADO!$R148*FRESADO!$E148</f>
        <v>2500</v>
      </c>
      <c r="T148" s="17">
        <f>FRESADO!$S148*16%</f>
        <v>400</v>
      </c>
      <c r="U148" s="17">
        <f>FRESADO!$S148+FRESADO!$T148</f>
        <v>2900</v>
      </c>
      <c r="V148" s="8" t="s">
        <v>161</v>
      </c>
      <c r="W148" s="17" t="s">
        <v>44</v>
      </c>
      <c r="X148" s="52" t="s">
        <v>175</v>
      </c>
      <c r="Y148" s="30"/>
      <c r="Z148" s="31" t="s">
        <v>77</v>
      </c>
    </row>
    <row r="149" ht="15.75" customHeight="1">
      <c r="A149" s="6">
        <v>25.0</v>
      </c>
      <c r="B149" s="6">
        <v>2.0</v>
      </c>
      <c r="C149" s="6">
        <v>351.0</v>
      </c>
      <c r="D149" s="25">
        <v>46189.0</v>
      </c>
      <c r="E149" s="6">
        <v>1.0</v>
      </c>
      <c r="F149" s="6" t="s">
        <v>74</v>
      </c>
      <c r="G149" s="6" t="s">
        <v>347</v>
      </c>
      <c r="H149" s="6">
        <v>14.0</v>
      </c>
      <c r="I149" s="6" t="s">
        <v>34</v>
      </c>
      <c r="J149" s="6" t="s">
        <v>70</v>
      </c>
      <c r="K149" s="11" t="s">
        <v>36</v>
      </c>
      <c r="L149" s="6"/>
      <c r="M149" s="6"/>
      <c r="N149" s="6" t="s">
        <v>340</v>
      </c>
      <c r="O149" s="6" t="s">
        <v>189</v>
      </c>
      <c r="P149" s="6" t="s">
        <v>341</v>
      </c>
      <c r="Q149" s="6"/>
      <c r="R149" s="16">
        <v>2500.0</v>
      </c>
      <c r="S149" s="17">
        <f>FRESADO!$R149*FRESADO!$E149</f>
        <v>2500</v>
      </c>
      <c r="T149" s="17">
        <f>FRESADO!$S149*16%</f>
        <v>400</v>
      </c>
      <c r="U149" s="17">
        <f>FRESADO!$S149+FRESADO!$T149</f>
        <v>2900</v>
      </c>
      <c r="V149" s="8" t="s">
        <v>161</v>
      </c>
      <c r="W149" s="17" t="s">
        <v>44</v>
      </c>
      <c r="X149" s="52" t="s">
        <v>175</v>
      </c>
      <c r="Y149" s="30"/>
      <c r="Z149" s="31" t="s">
        <v>77</v>
      </c>
    </row>
    <row r="150" ht="15.75" customHeight="1">
      <c r="A150" s="6">
        <v>25.0</v>
      </c>
      <c r="B150" s="6">
        <v>3.0</v>
      </c>
      <c r="C150" s="6">
        <v>352.0</v>
      </c>
      <c r="D150" s="25">
        <v>46189.0</v>
      </c>
      <c r="E150" s="6">
        <v>1.0</v>
      </c>
      <c r="F150" s="6" t="s">
        <v>74</v>
      </c>
      <c r="G150" s="6" t="s">
        <v>277</v>
      </c>
      <c r="H150" s="6">
        <v>14.0</v>
      </c>
      <c r="I150" s="6" t="s">
        <v>34</v>
      </c>
      <c r="J150" s="6" t="s">
        <v>278</v>
      </c>
      <c r="K150" s="11" t="s">
        <v>36</v>
      </c>
      <c r="L150" s="6"/>
      <c r="M150" s="6"/>
      <c r="N150" s="6" t="s">
        <v>340</v>
      </c>
      <c r="O150" s="6" t="s">
        <v>189</v>
      </c>
      <c r="P150" s="6" t="s">
        <v>341</v>
      </c>
      <c r="Q150" s="6"/>
      <c r="R150" s="16">
        <v>2500.0</v>
      </c>
      <c r="S150" s="17">
        <f>FRESADO!$R150*FRESADO!$E150</f>
        <v>2500</v>
      </c>
      <c r="T150" s="17">
        <f>FRESADO!$S150*16%</f>
        <v>400</v>
      </c>
      <c r="U150" s="17">
        <f>FRESADO!$S150+FRESADO!$T150</f>
        <v>2900</v>
      </c>
      <c r="V150" s="8" t="s">
        <v>161</v>
      </c>
      <c r="W150" s="17" t="s">
        <v>44</v>
      </c>
      <c r="X150" s="52" t="s">
        <v>175</v>
      </c>
      <c r="Y150" s="30"/>
      <c r="Z150" s="31" t="s">
        <v>77</v>
      </c>
    </row>
    <row r="151" ht="15.75" customHeight="1">
      <c r="A151" s="6">
        <v>25.0</v>
      </c>
      <c r="B151" s="6">
        <v>4.0</v>
      </c>
      <c r="C151" s="6">
        <v>353.0</v>
      </c>
      <c r="D151" s="25">
        <v>46189.0</v>
      </c>
      <c r="E151" s="6">
        <v>1.0</v>
      </c>
      <c r="F151" s="6" t="s">
        <v>74</v>
      </c>
      <c r="G151" s="6" t="s">
        <v>280</v>
      </c>
      <c r="H151" s="6">
        <v>14.0</v>
      </c>
      <c r="I151" s="6" t="s">
        <v>34</v>
      </c>
      <c r="J151" s="6" t="s">
        <v>254</v>
      </c>
      <c r="K151" s="11" t="s">
        <v>36</v>
      </c>
      <c r="L151" s="6"/>
      <c r="M151" s="6"/>
      <c r="N151" s="6" t="s">
        <v>340</v>
      </c>
      <c r="O151" s="6" t="s">
        <v>189</v>
      </c>
      <c r="P151" s="6" t="s">
        <v>341</v>
      </c>
      <c r="Q151" s="6"/>
      <c r="R151" s="16">
        <v>2500.0</v>
      </c>
      <c r="S151" s="17">
        <f>FRESADO!$R151*FRESADO!$E151</f>
        <v>2500</v>
      </c>
      <c r="T151" s="17">
        <f>FRESADO!$S151*16%</f>
        <v>400</v>
      </c>
      <c r="U151" s="17">
        <f>FRESADO!$S151+FRESADO!$T151</f>
        <v>2900</v>
      </c>
      <c r="V151" s="8" t="s">
        <v>161</v>
      </c>
      <c r="W151" s="17" t="s">
        <v>44</v>
      </c>
      <c r="X151" s="52" t="s">
        <v>175</v>
      </c>
      <c r="Y151" s="30"/>
      <c r="Z151" s="31" t="s">
        <v>77</v>
      </c>
    </row>
    <row r="152" ht="15.75" customHeight="1">
      <c r="A152" s="6">
        <v>25.0</v>
      </c>
      <c r="B152" s="6">
        <v>5.0</v>
      </c>
      <c r="C152" s="6">
        <v>354.0</v>
      </c>
      <c r="D152" s="25">
        <v>46189.0</v>
      </c>
      <c r="E152" s="6">
        <v>1.0</v>
      </c>
      <c r="F152" s="6" t="s">
        <v>74</v>
      </c>
      <c r="G152" s="6" t="s">
        <v>339</v>
      </c>
      <c r="H152" s="6">
        <v>14.0</v>
      </c>
      <c r="I152" s="6" t="s">
        <v>34</v>
      </c>
      <c r="J152" s="6" t="s">
        <v>272</v>
      </c>
      <c r="K152" s="11" t="s">
        <v>36</v>
      </c>
      <c r="L152" s="6"/>
      <c r="M152" s="6"/>
      <c r="N152" s="6" t="s">
        <v>340</v>
      </c>
      <c r="O152" s="6" t="s">
        <v>189</v>
      </c>
      <c r="P152" s="6" t="s">
        <v>341</v>
      </c>
      <c r="Q152" s="6"/>
      <c r="R152" s="16">
        <v>2500.0</v>
      </c>
      <c r="S152" s="17">
        <f>FRESADO!$R152*FRESADO!$E152</f>
        <v>2500</v>
      </c>
      <c r="T152" s="17">
        <f>FRESADO!$S152*16%</f>
        <v>400</v>
      </c>
      <c r="U152" s="17">
        <f>FRESADO!$S152+FRESADO!$T152</f>
        <v>2900</v>
      </c>
      <c r="V152" s="8" t="s">
        <v>161</v>
      </c>
      <c r="W152" s="17" t="s">
        <v>44</v>
      </c>
      <c r="X152" s="52" t="s">
        <v>175</v>
      </c>
      <c r="Y152" s="30"/>
      <c r="Z152" s="31" t="s">
        <v>77</v>
      </c>
    </row>
    <row r="153" ht="15.75" customHeight="1">
      <c r="A153" s="6">
        <v>25.0</v>
      </c>
      <c r="B153" s="6">
        <v>6.0</v>
      </c>
      <c r="C153" s="6">
        <v>355.0</v>
      </c>
      <c r="D153" s="25">
        <v>46189.0</v>
      </c>
      <c r="E153" s="6">
        <v>1.0</v>
      </c>
      <c r="F153" s="6" t="s">
        <v>74</v>
      </c>
      <c r="G153" s="6" t="s">
        <v>347</v>
      </c>
      <c r="H153" s="6">
        <v>14.0</v>
      </c>
      <c r="I153" s="6" t="s">
        <v>34</v>
      </c>
      <c r="J153" s="6" t="s">
        <v>70</v>
      </c>
      <c r="K153" s="11" t="s">
        <v>36</v>
      </c>
      <c r="L153" s="6"/>
      <c r="M153" s="6"/>
      <c r="N153" s="6" t="s">
        <v>340</v>
      </c>
      <c r="O153" s="6" t="s">
        <v>189</v>
      </c>
      <c r="P153" s="6" t="s">
        <v>341</v>
      </c>
      <c r="Q153" s="6"/>
      <c r="R153" s="16">
        <v>2500.0</v>
      </c>
      <c r="S153" s="17">
        <f>FRESADO!$R153*FRESADO!$E153</f>
        <v>2500</v>
      </c>
      <c r="T153" s="17">
        <f>FRESADO!$S153*16%</f>
        <v>400</v>
      </c>
      <c r="U153" s="17">
        <f>FRESADO!$S153+FRESADO!$T153</f>
        <v>2900</v>
      </c>
      <c r="V153" s="8" t="s">
        <v>161</v>
      </c>
      <c r="W153" s="17" t="s">
        <v>44</v>
      </c>
      <c r="X153" s="52" t="s">
        <v>175</v>
      </c>
      <c r="Y153" s="30"/>
      <c r="Z153" s="31" t="s">
        <v>77</v>
      </c>
    </row>
    <row r="154" ht="15.75" customHeight="1">
      <c r="A154" s="6">
        <v>25.0</v>
      </c>
      <c r="B154" s="6">
        <v>7.0</v>
      </c>
      <c r="C154" s="6">
        <v>356.0</v>
      </c>
      <c r="D154" s="25">
        <v>46189.0</v>
      </c>
      <c r="E154" s="6">
        <v>1.0</v>
      </c>
      <c r="F154" s="6" t="s">
        <v>74</v>
      </c>
      <c r="G154" s="6" t="s">
        <v>280</v>
      </c>
      <c r="H154" s="6">
        <v>14.0</v>
      </c>
      <c r="I154" s="6" t="s">
        <v>34</v>
      </c>
      <c r="J154" s="6" t="s">
        <v>254</v>
      </c>
      <c r="K154" s="11" t="s">
        <v>36</v>
      </c>
      <c r="L154" s="6"/>
      <c r="M154" s="6"/>
      <c r="N154" s="6" t="s">
        <v>340</v>
      </c>
      <c r="O154" s="6" t="s">
        <v>189</v>
      </c>
      <c r="P154" s="6" t="s">
        <v>341</v>
      </c>
      <c r="Q154" s="6"/>
      <c r="R154" s="16">
        <v>2500.0</v>
      </c>
      <c r="S154" s="17">
        <f>FRESADO!$R154*FRESADO!$E154</f>
        <v>2500</v>
      </c>
      <c r="T154" s="17">
        <f>FRESADO!$S154*16%</f>
        <v>400</v>
      </c>
      <c r="U154" s="17">
        <f>FRESADO!$S154+FRESADO!$T154</f>
        <v>2900</v>
      </c>
      <c r="V154" s="8" t="s">
        <v>161</v>
      </c>
      <c r="W154" s="17" t="s">
        <v>44</v>
      </c>
      <c r="X154" s="52" t="s">
        <v>175</v>
      </c>
      <c r="Y154" s="30"/>
      <c r="Z154" s="31" t="s">
        <v>77</v>
      </c>
    </row>
    <row r="155" ht="15.75" customHeight="1">
      <c r="A155" s="6">
        <v>25.0</v>
      </c>
      <c r="B155" s="6">
        <v>8.0</v>
      </c>
      <c r="C155" s="6">
        <v>357.0</v>
      </c>
      <c r="D155" s="25">
        <v>46189.0</v>
      </c>
      <c r="E155" s="6">
        <v>1.0</v>
      </c>
      <c r="F155" s="6" t="s">
        <v>74</v>
      </c>
      <c r="G155" s="6" t="s">
        <v>277</v>
      </c>
      <c r="H155" s="6">
        <v>14.0</v>
      </c>
      <c r="I155" s="6" t="s">
        <v>34</v>
      </c>
      <c r="J155" s="6" t="s">
        <v>278</v>
      </c>
      <c r="K155" s="11" t="s">
        <v>36</v>
      </c>
      <c r="L155" s="6"/>
      <c r="M155" s="6"/>
      <c r="N155" s="6" t="s">
        <v>340</v>
      </c>
      <c r="O155" s="6" t="s">
        <v>189</v>
      </c>
      <c r="P155" s="6" t="s">
        <v>341</v>
      </c>
      <c r="Q155" s="6"/>
      <c r="R155" s="16">
        <v>2500.0</v>
      </c>
      <c r="S155" s="17">
        <f>FRESADO!$R155*FRESADO!$E155</f>
        <v>2500</v>
      </c>
      <c r="T155" s="17">
        <f>FRESADO!$S155*16%</f>
        <v>400</v>
      </c>
      <c r="U155" s="17">
        <f>FRESADO!$S155+FRESADO!$T155</f>
        <v>2900</v>
      </c>
      <c r="V155" s="8" t="s">
        <v>161</v>
      </c>
      <c r="W155" s="17" t="s">
        <v>44</v>
      </c>
      <c r="X155" s="52" t="s">
        <v>175</v>
      </c>
      <c r="Y155" s="30"/>
      <c r="Z155" s="31" t="s">
        <v>77</v>
      </c>
    </row>
    <row r="156" ht="15.75" customHeight="1">
      <c r="A156" s="6">
        <v>25.0</v>
      </c>
      <c r="B156" s="6">
        <v>9.0</v>
      </c>
      <c r="C156" s="6">
        <v>358.0</v>
      </c>
      <c r="D156" s="25">
        <v>46189.0</v>
      </c>
      <c r="E156" s="6">
        <v>1.0</v>
      </c>
      <c r="F156" s="6" t="s">
        <v>74</v>
      </c>
      <c r="G156" s="6" t="s">
        <v>339</v>
      </c>
      <c r="H156" s="6">
        <v>14.0</v>
      </c>
      <c r="I156" s="6" t="s">
        <v>34</v>
      </c>
      <c r="J156" s="6" t="s">
        <v>272</v>
      </c>
      <c r="K156" s="11" t="s">
        <v>36</v>
      </c>
      <c r="L156" s="6"/>
      <c r="M156" s="6"/>
      <c r="N156" s="6" t="s">
        <v>340</v>
      </c>
      <c r="O156" s="6" t="s">
        <v>189</v>
      </c>
      <c r="P156" s="6" t="s">
        <v>341</v>
      </c>
      <c r="Q156" s="6"/>
      <c r="R156" s="16">
        <v>2500.0</v>
      </c>
      <c r="S156" s="17">
        <f>FRESADO!$R156*FRESADO!$E156</f>
        <v>2500</v>
      </c>
      <c r="T156" s="17">
        <f>FRESADO!$S156*16%</f>
        <v>400</v>
      </c>
      <c r="U156" s="17">
        <f>FRESADO!$S156+FRESADO!$T156</f>
        <v>2900</v>
      </c>
      <c r="V156" s="8" t="s">
        <v>161</v>
      </c>
      <c r="W156" s="17" t="s">
        <v>44</v>
      </c>
      <c r="X156" s="52" t="s">
        <v>175</v>
      </c>
      <c r="Y156" s="30"/>
      <c r="Z156" s="31" t="s">
        <v>77</v>
      </c>
    </row>
    <row r="157" ht="15.75" customHeight="1">
      <c r="A157" s="6">
        <v>25.0</v>
      </c>
      <c r="B157" s="6">
        <v>10.0</v>
      </c>
      <c r="C157" s="6">
        <v>359.0</v>
      </c>
      <c r="D157" s="25">
        <v>46189.0</v>
      </c>
      <c r="E157" s="6">
        <v>1.0</v>
      </c>
      <c r="F157" s="6" t="s">
        <v>74</v>
      </c>
      <c r="G157" s="6" t="s">
        <v>347</v>
      </c>
      <c r="H157" s="6">
        <v>14.0</v>
      </c>
      <c r="I157" s="6" t="s">
        <v>34</v>
      </c>
      <c r="J157" s="6" t="s">
        <v>70</v>
      </c>
      <c r="K157" s="11" t="s">
        <v>36</v>
      </c>
      <c r="L157" s="6"/>
      <c r="M157" s="6"/>
      <c r="N157" s="6" t="s">
        <v>340</v>
      </c>
      <c r="O157" s="6" t="s">
        <v>189</v>
      </c>
      <c r="P157" s="6" t="s">
        <v>341</v>
      </c>
      <c r="Q157" s="6"/>
      <c r="R157" s="16">
        <v>2500.0</v>
      </c>
      <c r="S157" s="17">
        <f>FRESADO!$R157*FRESADO!$E157</f>
        <v>2500</v>
      </c>
      <c r="T157" s="17">
        <f>FRESADO!$S157*16%</f>
        <v>400</v>
      </c>
      <c r="U157" s="17">
        <f>FRESADO!$S157+FRESADO!$T157</f>
        <v>2900</v>
      </c>
      <c r="V157" s="8" t="s">
        <v>161</v>
      </c>
      <c r="W157" s="17" t="s">
        <v>44</v>
      </c>
      <c r="X157" s="52" t="s">
        <v>175</v>
      </c>
      <c r="Y157" s="30"/>
      <c r="Z157" s="31" t="s">
        <v>77</v>
      </c>
    </row>
    <row r="158" ht="15.75" customHeight="1">
      <c r="A158" s="6">
        <v>25.0</v>
      </c>
      <c r="B158" s="6">
        <v>11.0</v>
      </c>
      <c r="C158" s="6">
        <v>360.0</v>
      </c>
      <c r="D158" s="25">
        <v>46189.0</v>
      </c>
      <c r="E158" s="6">
        <v>1.0</v>
      </c>
      <c r="F158" s="6" t="s">
        <v>74</v>
      </c>
      <c r="G158" s="6" t="s">
        <v>280</v>
      </c>
      <c r="H158" s="6">
        <v>14.0</v>
      </c>
      <c r="I158" s="6" t="s">
        <v>34</v>
      </c>
      <c r="J158" s="6" t="s">
        <v>254</v>
      </c>
      <c r="K158" s="11" t="s">
        <v>36</v>
      </c>
      <c r="L158" s="6"/>
      <c r="M158" s="6"/>
      <c r="N158" s="6" t="s">
        <v>340</v>
      </c>
      <c r="O158" s="6" t="s">
        <v>189</v>
      </c>
      <c r="P158" s="6" t="s">
        <v>341</v>
      </c>
      <c r="Q158" s="6"/>
      <c r="R158" s="16">
        <v>2500.0</v>
      </c>
      <c r="S158" s="17">
        <f>FRESADO!$R158*FRESADO!$E158</f>
        <v>2500</v>
      </c>
      <c r="T158" s="17">
        <f>FRESADO!$S158*16%</f>
        <v>400</v>
      </c>
      <c r="U158" s="17">
        <f>FRESADO!$S158+FRESADO!$T158</f>
        <v>2900</v>
      </c>
      <c r="V158" s="8" t="s">
        <v>161</v>
      </c>
      <c r="W158" s="17" t="s">
        <v>44</v>
      </c>
      <c r="X158" s="52" t="s">
        <v>175</v>
      </c>
      <c r="Y158" s="30"/>
      <c r="Z158" s="31" t="s">
        <v>77</v>
      </c>
    </row>
    <row r="159" ht="15.75" customHeight="1">
      <c r="A159" s="6">
        <v>25.0</v>
      </c>
      <c r="B159" s="6">
        <v>12.0</v>
      </c>
      <c r="C159" s="6">
        <v>361.0</v>
      </c>
      <c r="D159" s="25">
        <v>46189.0</v>
      </c>
      <c r="E159" s="6">
        <v>1.0</v>
      </c>
      <c r="F159" s="6" t="s">
        <v>74</v>
      </c>
      <c r="G159" s="6" t="s">
        <v>277</v>
      </c>
      <c r="H159" s="6">
        <v>14.0</v>
      </c>
      <c r="I159" s="6" t="s">
        <v>34</v>
      </c>
      <c r="J159" s="6" t="s">
        <v>278</v>
      </c>
      <c r="K159" s="11" t="s">
        <v>36</v>
      </c>
      <c r="L159" s="6"/>
      <c r="M159" s="6"/>
      <c r="N159" s="6" t="s">
        <v>340</v>
      </c>
      <c r="O159" s="6" t="s">
        <v>189</v>
      </c>
      <c r="P159" s="6" t="s">
        <v>341</v>
      </c>
      <c r="Q159" s="6"/>
      <c r="R159" s="16">
        <v>2500.0</v>
      </c>
      <c r="S159" s="17">
        <f>FRESADO!$R159*FRESADO!$E159</f>
        <v>2500</v>
      </c>
      <c r="T159" s="17">
        <f>FRESADO!$S159*16%</f>
        <v>400</v>
      </c>
      <c r="U159" s="17">
        <f>FRESADO!$S159+FRESADO!$T159</f>
        <v>2900</v>
      </c>
      <c r="V159" s="8" t="s">
        <v>161</v>
      </c>
      <c r="W159" s="17" t="s">
        <v>44</v>
      </c>
      <c r="X159" s="52" t="s">
        <v>175</v>
      </c>
      <c r="Y159" s="30"/>
      <c r="Z159" s="31" t="s">
        <v>77</v>
      </c>
    </row>
    <row r="160" ht="15.75" customHeight="1">
      <c r="A160" s="6">
        <v>25.0</v>
      </c>
      <c r="B160" s="6">
        <v>13.0</v>
      </c>
      <c r="C160" s="6">
        <v>362.0</v>
      </c>
      <c r="D160" s="25">
        <v>46189.0</v>
      </c>
      <c r="E160" s="6">
        <v>1.0</v>
      </c>
      <c r="F160" s="6" t="s">
        <v>74</v>
      </c>
      <c r="G160" s="6" t="s">
        <v>339</v>
      </c>
      <c r="H160" s="6">
        <v>14.0</v>
      </c>
      <c r="I160" s="6" t="s">
        <v>34</v>
      </c>
      <c r="J160" s="6" t="s">
        <v>272</v>
      </c>
      <c r="K160" s="11" t="s">
        <v>36</v>
      </c>
      <c r="L160" s="6"/>
      <c r="M160" s="6"/>
      <c r="N160" s="6" t="s">
        <v>340</v>
      </c>
      <c r="O160" s="6" t="s">
        <v>189</v>
      </c>
      <c r="P160" s="6" t="s">
        <v>341</v>
      </c>
      <c r="Q160" s="6"/>
      <c r="R160" s="16">
        <v>2500.0</v>
      </c>
      <c r="S160" s="17">
        <f>FRESADO!$R160*FRESADO!$E160</f>
        <v>2500</v>
      </c>
      <c r="T160" s="17">
        <f>FRESADO!$S160*16%</f>
        <v>400</v>
      </c>
      <c r="U160" s="17">
        <f>FRESADO!$S160+FRESADO!$T160</f>
        <v>2900</v>
      </c>
      <c r="V160" s="8" t="s">
        <v>161</v>
      </c>
      <c r="W160" s="17" t="s">
        <v>44</v>
      </c>
      <c r="X160" s="52" t="s">
        <v>175</v>
      </c>
      <c r="Y160" s="30"/>
      <c r="Z160" s="31" t="s">
        <v>77</v>
      </c>
    </row>
    <row r="161" ht="15.75" customHeight="1">
      <c r="A161" s="6">
        <v>25.0</v>
      </c>
      <c r="B161" s="6">
        <v>14.0</v>
      </c>
      <c r="C161" s="6">
        <v>363.0</v>
      </c>
      <c r="D161" s="25">
        <v>46189.0</v>
      </c>
      <c r="E161" s="6">
        <v>1.0</v>
      </c>
      <c r="F161" s="6" t="s">
        <v>74</v>
      </c>
      <c r="G161" s="6" t="s">
        <v>347</v>
      </c>
      <c r="H161" s="6">
        <v>14.0</v>
      </c>
      <c r="I161" s="6" t="s">
        <v>34</v>
      </c>
      <c r="J161" s="6" t="s">
        <v>70</v>
      </c>
      <c r="K161" s="11" t="s">
        <v>36</v>
      </c>
      <c r="L161" s="6"/>
      <c r="M161" s="6"/>
      <c r="N161" s="6" t="s">
        <v>340</v>
      </c>
      <c r="O161" s="6" t="s">
        <v>189</v>
      </c>
      <c r="P161" s="6" t="s">
        <v>341</v>
      </c>
      <c r="Q161" s="6"/>
      <c r="R161" s="16">
        <v>2500.0</v>
      </c>
      <c r="S161" s="17">
        <f>FRESADO!$R161*FRESADO!$E161</f>
        <v>2500</v>
      </c>
      <c r="T161" s="17">
        <f>FRESADO!$S161*16%</f>
        <v>400</v>
      </c>
      <c r="U161" s="17">
        <f>FRESADO!$S161+FRESADO!$T161</f>
        <v>2900</v>
      </c>
      <c r="V161" s="8" t="s">
        <v>161</v>
      </c>
      <c r="W161" s="17" t="s">
        <v>44</v>
      </c>
      <c r="X161" s="52" t="s">
        <v>175</v>
      </c>
      <c r="Y161" s="30"/>
      <c r="Z161" s="31" t="s">
        <v>77</v>
      </c>
    </row>
    <row r="162" ht="15.75" customHeight="1">
      <c r="A162" s="6">
        <v>25.0</v>
      </c>
      <c r="B162" s="6">
        <v>15.0</v>
      </c>
      <c r="C162" s="6">
        <v>364.0</v>
      </c>
      <c r="D162" s="25">
        <v>46189.0</v>
      </c>
      <c r="E162" s="6">
        <v>1.0</v>
      </c>
      <c r="F162" s="6" t="s">
        <v>388</v>
      </c>
      <c r="G162" s="6" t="s">
        <v>277</v>
      </c>
      <c r="H162" s="6">
        <v>14.0</v>
      </c>
      <c r="I162" s="6" t="s">
        <v>34</v>
      </c>
      <c r="J162" s="6" t="s">
        <v>278</v>
      </c>
      <c r="K162" s="11" t="s">
        <v>36</v>
      </c>
      <c r="L162" s="6"/>
      <c r="M162" s="6"/>
      <c r="N162" s="6" t="s">
        <v>340</v>
      </c>
      <c r="O162" s="6" t="s">
        <v>189</v>
      </c>
      <c r="P162" s="6" t="s">
        <v>341</v>
      </c>
      <c r="Q162" s="87" t="s">
        <v>390</v>
      </c>
      <c r="R162" s="16">
        <v>1540.0</v>
      </c>
      <c r="S162" s="17">
        <f>FRESADO!$R162*FRESADO!$E162</f>
        <v>1540</v>
      </c>
      <c r="T162" s="17">
        <f>FRESADO!$S162*16%</f>
        <v>246.4</v>
      </c>
      <c r="U162" s="17">
        <f>FRESADO!$S162+FRESADO!$T162</f>
        <v>1786.4</v>
      </c>
      <c r="V162" s="8" t="s">
        <v>161</v>
      </c>
      <c r="W162" s="17" t="s">
        <v>44</v>
      </c>
      <c r="X162" s="52" t="s">
        <v>175</v>
      </c>
      <c r="Y162" s="30"/>
      <c r="Z162" s="31" t="s">
        <v>77</v>
      </c>
    </row>
    <row r="163" ht="15.75" customHeight="1">
      <c r="A163" s="6">
        <v>25.0</v>
      </c>
      <c r="B163" s="6">
        <v>16.0</v>
      </c>
      <c r="C163" s="6">
        <v>365.0</v>
      </c>
      <c r="D163" s="25">
        <v>46190.0</v>
      </c>
      <c r="E163" s="6">
        <v>1.0</v>
      </c>
      <c r="F163" s="6" t="s">
        <v>74</v>
      </c>
      <c r="G163" s="6" t="s">
        <v>347</v>
      </c>
      <c r="H163" s="6">
        <v>14.0</v>
      </c>
      <c r="I163" s="6" t="s">
        <v>34</v>
      </c>
      <c r="J163" s="6" t="s">
        <v>70</v>
      </c>
      <c r="K163" s="11" t="s">
        <v>36</v>
      </c>
      <c r="L163" s="6"/>
      <c r="M163" s="6"/>
      <c r="N163" s="6" t="s">
        <v>340</v>
      </c>
      <c r="O163" s="6" t="s">
        <v>189</v>
      </c>
      <c r="P163" s="6" t="s">
        <v>394</v>
      </c>
      <c r="Q163" s="88"/>
      <c r="R163" s="16">
        <v>2500.0</v>
      </c>
      <c r="S163" s="17">
        <f>FRESADO!$R163*FRESADO!$E163</f>
        <v>2500</v>
      </c>
      <c r="T163" s="17">
        <f>FRESADO!$S163*16%</f>
        <v>400</v>
      </c>
      <c r="U163" s="17">
        <f>FRESADO!$S163+FRESADO!$T163</f>
        <v>2900</v>
      </c>
      <c r="V163" s="8" t="s">
        <v>161</v>
      </c>
      <c r="W163" s="17" t="s">
        <v>44</v>
      </c>
      <c r="X163" s="52" t="s">
        <v>175</v>
      </c>
      <c r="Y163" s="30"/>
      <c r="Z163" s="31" t="s">
        <v>77</v>
      </c>
    </row>
    <row r="164" ht="15.75" customHeight="1">
      <c r="A164" s="6">
        <v>25.0</v>
      </c>
      <c r="B164" s="6">
        <v>17.0</v>
      </c>
      <c r="C164" s="6">
        <v>366.0</v>
      </c>
      <c r="D164" s="25">
        <v>46190.0</v>
      </c>
      <c r="E164" s="6">
        <v>1.0</v>
      </c>
      <c r="F164" s="6" t="s">
        <v>74</v>
      </c>
      <c r="G164" s="6" t="s">
        <v>347</v>
      </c>
      <c r="H164" s="6">
        <v>14.0</v>
      </c>
      <c r="I164" s="6" t="s">
        <v>34</v>
      </c>
      <c r="J164" s="6" t="s">
        <v>89</v>
      </c>
      <c r="K164" s="11" t="s">
        <v>36</v>
      </c>
      <c r="L164" s="6"/>
      <c r="M164" s="6"/>
      <c r="N164" s="6" t="s">
        <v>340</v>
      </c>
      <c r="O164" s="6" t="s">
        <v>189</v>
      </c>
      <c r="P164" s="6" t="s">
        <v>394</v>
      </c>
      <c r="Q164" s="88"/>
      <c r="R164" s="16">
        <v>2500.0</v>
      </c>
      <c r="S164" s="17">
        <f>FRESADO!$R164*FRESADO!$E164</f>
        <v>2500</v>
      </c>
      <c r="T164" s="17">
        <f>FRESADO!$S164*16%</f>
        <v>400</v>
      </c>
      <c r="U164" s="17">
        <f>FRESADO!$S164+FRESADO!$T164</f>
        <v>2900</v>
      </c>
      <c r="V164" s="8" t="s">
        <v>161</v>
      </c>
      <c r="W164" s="17" t="s">
        <v>44</v>
      </c>
      <c r="X164" s="52" t="s">
        <v>175</v>
      </c>
      <c r="Y164" s="30"/>
      <c r="Z164" s="31" t="s">
        <v>77</v>
      </c>
    </row>
    <row r="165" ht="15.75" customHeight="1">
      <c r="A165" s="6">
        <v>25.0</v>
      </c>
      <c r="B165" s="6">
        <v>18.0</v>
      </c>
      <c r="C165" s="6">
        <v>367.0</v>
      </c>
      <c r="D165" s="25">
        <v>46190.0</v>
      </c>
      <c r="E165" s="6">
        <v>1.0</v>
      </c>
      <c r="F165" s="6" t="s">
        <v>74</v>
      </c>
      <c r="G165" s="6" t="s">
        <v>162</v>
      </c>
      <c r="H165" s="6">
        <v>14.0</v>
      </c>
      <c r="I165" s="6" t="s">
        <v>34</v>
      </c>
      <c r="J165" s="6" t="s">
        <v>83</v>
      </c>
      <c r="K165" s="11" t="s">
        <v>36</v>
      </c>
      <c r="L165" s="6"/>
      <c r="M165" s="6"/>
      <c r="N165" s="6" t="s">
        <v>398</v>
      </c>
      <c r="O165" s="6" t="s">
        <v>189</v>
      </c>
      <c r="P165" s="6" t="s">
        <v>394</v>
      </c>
      <c r="Q165" s="88" t="s">
        <v>399</v>
      </c>
      <c r="R165" s="16">
        <v>3000.0</v>
      </c>
      <c r="S165" s="17">
        <f>FRESADO!$R165*FRESADO!$E165</f>
        <v>3000</v>
      </c>
      <c r="T165" s="17">
        <f>FRESADO!$S165*16%</f>
        <v>480</v>
      </c>
      <c r="U165" s="17">
        <f>FRESADO!$S165+FRESADO!$T165</f>
        <v>3480</v>
      </c>
      <c r="V165" s="8" t="s">
        <v>161</v>
      </c>
      <c r="W165" s="17" t="s">
        <v>44</v>
      </c>
      <c r="X165" s="52" t="s">
        <v>175</v>
      </c>
      <c r="Y165" s="30"/>
      <c r="Z165" s="89" t="s">
        <v>399</v>
      </c>
    </row>
    <row r="166" ht="15.75" customHeight="1">
      <c r="A166" s="6">
        <v>25.0</v>
      </c>
      <c r="B166" s="6">
        <v>19.0</v>
      </c>
      <c r="C166" s="6">
        <v>368.0</v>
      </c>
      <c r="D166" s="25">
        <v>46190.0</v>
      </c>
      <c r="E166" s="6">
        <v>1.0</v>
      </c>
      <c r="F166" s="6" t="s">
        <v>74</v>
      </c>
      <c r="G166" s="6" t="s">
        <v>405</v>
      </c>
      <c r="H166" s="6">
        <v>14.0</v>
      </c>
      <c r="I166" s="6" t="s">
        <v>34</v>
      </c>
      <c r="J166" s="6" t="s">
        <v>406</v>
      </c>
      <c r="K166" s="11" t="s">
        <v>36</v>
      </c>
      <c r="L166" s="6"/>
      <c r="M166" s="6"/>
      <c r="N166" s="6" t="s">
        <v>398</v>
      </c>
      <c r="O166" s="6" t="s">
        <v>189</v>
      </c>
      <c r="P166" s="6" t="s">
        <v>394</v>
      </c>
      <c r="Q166" s="88" t="s">
        <v>399</v>
      </c>
      <c r="R166" s="16">
        <v>3000.0</v>
      </c>
      <c r="S166" s="17">
        <f>FRESADO!$R166*FRESADO!$E166</f>
        <v>3000</v>
      </c>
      <c r="T166" s="17">
        <f>FRESADO!$S166*16%</f>
        <v>480</v>
      </c>
      <c r="U166" s="17">
        <f>FRESADO!$S166+FRESADO!$T166</f>
        <v>3480</v>
      </c>
      <c r="V166" s="8" t="s">
        <v>161</v>
      </c>
      <c r="W166" s="17" t="s">
        <v>44</v>
      </c>
      <c r="X166" s="52" t="s">
        <v>175</v>
      </c>
      <c r="Y166" s="30"/>
      <c r="Z166" s="89" t="s">
        <v>399</v>
      </c>
    </row>
    <row r="167" ht="15.75" customHeight="1">
      <c r="A167" s="6">
        <v>25.0</v>
      </c>
      <c r="B167" s="6">
        <v>20.0</v>
      </c>
      <c r="C167" s="6">
        <v>369.0</v>
      </c>
      <c r="D167" s="25">
        <v>46190.0</v>
      </c>
      <c r="E167" s="6">
        <v>1.0</v>
      </c>
      <c r="F167" s="6" t="s">
        <v>74</v>
      </c>
      <c r="G167" s="6" t="s">
        <v>347</v>
      </c>
      <c r="H167" s="6">
        <v>14.0</v>
      </c>
      <c r="I167" s="6" t="s">
        <v>34</v>
      </c>
      <c r="J167" s="6" t="s">
        <v>70</v>
      </c>
      <c r="K167" s="11" t="s">
        <v>36</v>
      </c>
      <c r="L167" s="6"/>
      <c r="M167" s="6"/>
      <c r="N167" s="6" t="s">
        <v>340</v>
      </c>
      <c r="O167" s="6" t="s">
        <v>189</v>
      </c>
      <c r="P167" s="6" t="s">
        <v>394</v>
      </c>
      <c r="Q167" s="88"/>
      <c r="R167" s="16">
        <v>2500.0</v>
      </c>
      <c r="S167" s="17">
        <f>FRESADO!$R167*FRESADO!$E167</f>
        <v>2500</v>
      </c>
      <c r="T167" s="17">
        <f>FRESADO!$S167*16%</f>
        <v>400</v>
      </c>
      <c r="U167" s="17">
        <f>FRESADO!$S167+FRESADO!$T167</f>
        <v>2900</v>
      </c>
      <c r="V167" s="8" t="s">
        <v>161</v>
      </c>
      <c r="W167" s="17" t="s">
        <v>44</v>
      </c>
      <c r="X167" s="52" t="s">
        <v>175</v>
      </c>
      <c r="Y167" s="30"/>
      <c r="Z167" s="31" t="s">
        <v>77</v>
      </c>
    </row>
    <row r="168" ht="15.75" customHeight="1">
      <c r="A168" s="6">
        <v>25.0</v>
      </c>
      <c r="B168" s="6">
        <v>21.0</v>
      </c>
      <c r="C168" s="6">
        <v>370.0</v>
      </c>
      <c r="D168" s="25">
        <v>46190.0</v>
      </c>
      <c r="E168" s="6">
        <v>1.0</v>
      </c>
      <c r="F168" s="6" t="s">
        <v>74</v>
      </c>
      <c r="G168" s="6" t="s">
        <v>238</v>
      </c>
      <c r="H168" s="6">
        <v>14.0</v>
      </c>
      <c r="I168" s="6" t="s">
        <v>34</v>
      </c>
      <c r="J168" s="6" t="s">
        <v>89</v>
      </c>
      <c r="K168" s="11" t="s">
        <v>36</v>
      </c>
      <c r="L168" s="6"/>
      <c r="M168" s="6"/>
      <c r="N168" s="6" t="s">
        <v>340</v>
      </c>
      <c r="O168" s="6" t="s">
        <v>189</v>
      </c>
      <c r="P168" s="6" t="s">
        <v>394</v>
      </c>
      <c r="Q168" s="88"/>
      <c r="R168" s="16">
        <v>2500.0</v>
      </c>
      <c r="S168" s="17">
        <f>FRESADO!$R168*FRESADO!$E168</f>
        <v>2500</v>
      </c>
      <c r="T168" s="17">
        <f>FRESADO!$S168*16%</f>
        <v>400</v>
      </c>
      <c r="U168" s="17">
        <f>FRESADO!$S168+FRESADO!$T168</f>
        <v>2900</v>
      </c>
      <c r="V168" s="8" t="s">
        <v>161</v>
      </c>
      <c r="W168" s="17" t="s">
        <v>44</v>
      </c>
      <c r="X168" s="52" t="s">
        <v>175</v>
      </c>
      <c r="Y168" s="30"/>
      <c r="Z168" s="31" t="s">
        <v>77</v>
      </c>
    </row>
    <row r="169" ht="15.75" customHeight="1">
      <c r="A169" s="6">
        <v>25.0</v>
      </c>
      <c r="B169" s="6">
        <v>22.0</v>
      </c>
      <c r="C169" s="6">
        <v>371.0</v>
      </c>
      <c r="D169" s="25">
        <v>46190.0</v>
      </c>
      <c r="E169" s="6">
        <v>1.0</v>
      </c>
      <c r="F169" s="6" t="s">
        <v>74</v>
      </c>
      <c r="G169" s="6" t="s">
        <v>409</v>
      </c>
      <c r="H169" s="6">
        <v>14.0</v>
      </c>
      <c r="I169" s="6" t="s">
        <v>34</v>
      </c>
      <c r="J169" s="6" t="s">
        <v>87</v>
      </c>
      <c r="K169" s="11" t="s">
        <v>36</v>
      </c>
      <c r="L169" s="6"/>
      <c r="M169" s="6"/>
      <c r="N169" s="6" t="s">
        <v>398</v>
      </c>
      <c r="O169" s="6" t="s">
        <v>189</v>
      </c>
      <c r="P169" s="6" t="s">
        <v>394</v>
      </c>
      <c r="Q169" s="88" t="s">
        <v>399</v>
      </c>
      <c r="R169" s="16">
        <v>3000.0</v>
      </c>
      <c r="S169" s="17">
        <f>FRESADO!$R169*FRESADO!$E169</f>
        <v>3000</v>
      </c>
      <c r="T169" s="17">
        <f>FRESADO!$S169*16%</f>
        <v>480</v>
      </c>
      <c r="U169" s="17">
        <f>FRESADO!$S169+FRESADO!$T169</f>
        <v>3480</v>
      </c>
      <c r="V169" s="8" t="s">
        <v>161</v>
      </c>
      <c r="W169" s="17" t="s">
        <v>44</v>
      </c>
      <c r="X169" s="52" t="s">
        <v>175</v>
      </c>
      <c r="Y169" s="30"/>
      <c r="Z169" s="89" t="s">
        <v>399</v>
      </c>
    </row>
    <row r="170" ht="15.75" customHeight="1">
      <c r="A170" s="6">
        <v>25.0</v>
      </c>
      <c r="B170" s="6">
        <v>23.0</v>
      </c>
      <c r="C170" s="6">
        <v>372.0</v>
      </c>
      <c r="D170" s="25">
        <v>46190.0</v>
      </c>
      <c r="E170" s="6">
        <v>1.0</v>
      </c>
      <c r="F170" s="6" t="s">
        <v>74</v>
      </c>
      <c r="G170" s="6" t="s">
        <v>347</v>
      </c>
      <c r="H170" s="6">
        <v>14.0</v>
      </c>
      <c r="I170" s="6" t="s">
        <v>34</v>
      </c>
      <c r="J170" s="6" t="s">
        <v>70</v>
      </c>
      <c r="K170" s="11" t="s">
        <v>36</v>
      </c>
      <c r="L170" s="6"/>
      <c r="M170" s="6"/>
      <c r="N170" s="6" t="s">
        <v>340</v>
      </c>
      <c r="O170" s="6" t="s">
        <v>189</v>
      </c>
      <c r="P170" s="6" t="s">
        <v>394</v>
      </c>
      <c r="Q170" s="88"/>
      <c r="R170" s="16">
        <v>2500.0</v>
      </c>
      <c r="S170" s="17">
        <f>FRESADO!$R170*FRESADO!$E170</f>
        <v>2500</v>
      </c>
      <c r="T170" s="17">
        <f>FRESADO!$S170*16%</f>
        <v>400</v>
      </c>
      <c r="U170" s="17">
        <f>FRESADO!$S170+FRESADO!$T170</f>
        <v>2900</v>
      </c>
      <c r="V170" s="8" t="s">
        <v>161</v>
      </c>
      <c r="W170" s="17" t="s">
        <v>44</v>
      </c>
      <c r="X170" s="52" t="s">
        <v>175</v>
      </c>
      <c r="Y170" s="30"/>
      <c r="Z170" s="31" t="s">
        <v>77</v>
      </c>
    </row>
    <row r="171" ht="15.75" customHeight="1">
      <c r="A171" s="56">
        <v>25.0</v>
      </c>
      <c r="B171" s="56">
        <v>0.0</v>
      </c>
      <c r="C171" s="56">
        <v>373.0</v>
      </c>
      <c r="D171" s="97">
        <v>46190.0</v>
      </c>
      <c r="E171" s="54">
        <v>0.0</v>
      </c>
      <c r="F171" s="56" t="s">
        <v>182</v>
      </c>
      <c r="G171" s="54">
        <v>0.0</v>
      </c>
      <c r="H171" s="54">
        <v>0.0</v>
      </c>
      <c r="I171" s="54" t="s">
        <v>40</v>
      </c>
      <c r="J171" s="54" t="s">
        <v>183</v>
      </c>
      <c r="K171" s="56" t="s">
        <v>49</v>
      </c>
      <c r="L171" s="56"/>
      <c r="M171" s="56"/>
      <c r="N171" s="56"/>
      <c r="O171" s="56"/>
      <c r="P171" s="56"/>
      <c r="Q171" s="56" t="s">
        <v>182</v>
      </c>
      <c r="R171" s="59">
        <v>0.0</v>
      </c>
      <c r="S171" s="81">
        <f>FRESADO!$R171*FRESADO!$E171</f>
        <v>0</v>
      </c>
      <c r="T171" s="81">
        <f>FRESADO!$S171*16%</f>
        <v>0</v>
      </c>
      <c r="U171" s="81">
        <f>FRESADO!$S171+FRESADO!$T171</f>
        <v>0</v>
      </c>
      <c r="V171" s="56" t="s">
        <v>182</v>
      </c>
      <c r="W171" s="81"/>
      <c r="X171" s="81"/>
      <c r="Y171" s="82"/>
      <c r="Z171" s="83"/>
    </row>
    <row r="172" ht="15.75" customHeight="1">
      <c r="A172" s="6">
        <v>25.0</v>
      </c>
      <c r="B172" s="6">
        <v>24.0</v>
      </c>
      <c r="C172" s="6">
        <v>374.0</v>
      </c>
      <c r="D172" s="25">
        <v>46190.0</v>
      </c>
      <c r="E172" s="6">
        <v>1.0</v>
      </c>
      <c r="F172" s="6" t="s">
        <v>74</v>
      </c>
      <c r="G172" s="6" t="s">
        <v>238</v>
      </c>
      <c r="H172" s="6">
        <v>14.0</v>
      </c>
      <c r="I172" s="6" t="s">
        <v>34</v>
      </c>
      <c r="J172" s="6" t="s">
        <v>89</v>
      </c>
      <c r="K172" s="11" t="s">
        <v>36</v>
      </c>
      <c r="L172" s="6"/>
      <c r="M172" s="6"/>
      <c r="N172" s="6" t="s">
        <v>340</v>
      </c>
      <c r="O172" s="6" t="s">
        <v>189</v>
      </c>
      <c r="P172" s="6" t="s">
        <v>394</v>
      </c>
      <c r="Q172" s="88"/>
      <c r="R172" s="16">
        <v>2500.0</v>
      </c>
      <c r="S172" s="17">
        <f>FRESADO!$R172*FRESADO!$E172</f>
        <v>2500</v>
      </c>
      <c r="T172" s="17">
        <f>FRESADO!$S172*16%</f>
        <v>400</v>
      </c>
      <c r="U172" s="17">
        <f>FRESADO!$S172+FRESADO!$T172</f>
        <v>2900</v>
      </c>
      <c r="V172" s="8" t="s">
        <v>161</v>
      </c>
      <c r="W172" s="17" t="s">
        <v>44</v>
      </c>
      <c r="X172" s="52" t="s">
        <v>175</v>
      </c>
      <c r="Y172" s="30"/>
      <c r="Z172" s="31" t="s">
        <v>77</v>
      </c>
    </row>
    <row r="173" ht="15.75" customHeight="1">
      <c r="A173" s="6">
        <v>25.0</v>
      </c>
      <c r="B173" s="6">
        <v>25.0</v>
      </c>
      <c r="C173" s="6">
        <v>375.0</v>
      </c>
      <c r="D173" s="25">
        <v>46190.0</v>
      </c>
      <c r="E173" s="6">
        <v>1.0</v>
      </c>
      <c r="F173" s="6" t="s">
        <v>74</v>
      </c>
      <c r="G173" s="6" t="s">
        <v>347</v>
      </c>
      <c r="H173" s="6">
        <v>14.0</v>
      </c>
      <c r="I173" s="6" t="s">
        <v>34</v>
      </c>
      <c r="J173" s="6" t="s">
        <v>70</v>
      </c>
      <c r="K173" s="11" t="s">
        <v>36</v>
      </c>
      <c r="L173" s="6"/>
      <c r="M173" s="6"/>
      <c r="N173" s="6" t="s">
        <v>340</v>
      </c>
      <c r="O173" s="6" t="s">
        <v>189</v>
      </c>
      <c r="P173" s="6" t="s">
        <v>394</v>
      </c>
      <c r="Q173" s="88"/>
      <c r="R173" s="16">
        <v>2500.0</v>
      </c>
      <c r="S173" s="17">
        <f>FRESADO!$R173*FRESADO!$E173</f>
        <v>2500</v>
      </c>
      <c r="T173" s="17">
        <f>FRESADO!$S173*16%</f>
        <v>400</v>
      </c>
      <c r="U173" s="17">
        <f>FRESADO!$S173+FRESADO!$T173</f>
        <v>2900</v>
      </c>
      <c r="V173" s="8" t="s">
        <v>161</v>
      </c>
      <c r="W173" s="17" t="s">
        <v>44</v>
      </c>
      <c r="X173" s="52" t="s">
        <v>175</v>
      </c>
      <c r="Y173" s="30"/>
      <c r="Z173" s="31" t="s">
        <v>77</v>
      </c>
    </row>
    <row r="174" ht="15.75" customHeight="1">
      <c r="A174" s="6">
        <v>25.0</v>
      </c>
      <c r="B174" s="6">
        <v>26.0</v>
      </c>
      <c r="C174" s="6">
        <v>376.0</v>
      </c>
      <c r="D174" s="25">
        <v>46190.0</v>
      </c>
      <c r="E174" s="6">
        <v>1.0</v>
      </c>
      <c r="F174" s="6" t="s">
        <v>74</v>
      </c>
      <c r="G174" s="6" t="s">
        <v>238</v>
      </c>
      <c r="H174" s="6">
        <v>14.0</v>
      </c>
      <c r="I174" s="6" t="s">
        <v>34</v>
      </c>
      <c r="J174" s="6" t="s">
        <v>89</v>
      </c>
      <c r="K174" s="11" t="s">
        <v>36</v>
      </c>
      <c r="L174" s="6"/>
      <c r="M174" s="6"/>
      <c r="N174" s="6" t="s">
        <v>340</v>
      </c>
      <c r="O174" s="6" t="s">
        <v>189</v>
      </c>
      <c r="P174" s="6" t="s">
        <v>394</v>
      </c>
      <c r="Q174" s="88"/>
      <c r="R174" s="16">
        <v>2500.0</v>
      </c>
      <c r="S174" s="17">
        <f>FRESADO!$R174*FRESADO!$E174</f>
        <v>2500</v>
      </c>
      <c r="T174" s="17">
        <f>FRESADO!$S174*16%</f>
        <v>400</v>
      </c>
      <c r="U174" s="17">
        <f>FRESADO!$S174+FRESADO!$T174</f>
        <v>2900</v>
      </c>
      <c r="V174" s="8" t="s">
        <v>161</v>
      </c>
      <c r="W174" s="17" t="s">
        <v>44</v>
      </c>
      <c r="X174" s="52" t="s">
        <v>175</v>
      </c>
      <c r="Y174" s="30"/>
      <c r="Z174" s="31" t="s">
        <v>77</v>
      </c>
    </row>
    <row r="175" ht="15.75" customHeight="1">
      <c r="A175" s="6">
        <v>25.0</v>
      </c>
      <c r="B175" s="6">
        <v>27.0</v>
      </c>
      <c r="C175" s="6">
        <v>377.0</v>
      </c>
      <c r="D175" s="25">
        <v>46190.0</v>
      </c>
      <c r="E175" s="6">
        <v>1.0</v>
      </c>
      <c r="F175" s="6" t="s">
        <v>74</v>
      </c>
      <c r="G175" s="6" t="s">
        <v>347</v>
      </c>
      <c r="H175" s="6">
        <v>14.0</v>
      </c>
      <c r="I175" s="6" t="s">
        <v>34</v>
      </c>
      <c r="J175" s="6" t="s">
        <v>70</v>
      </c>
      <c r="K175" s="11" t="s">
        <v>36</v>
      </c>
      <c r="L175" s="6"/>
      <c r="M175" s="6"/>
      <c r="N175" s="6" t="s">
        <v>340</v>
      </c>
      <c r="O175" s="6" t="s">
        <v>189</v>
      </c>
      <c r="P175" s="6" t="s">
        <v>394</v>
      </c>
      <c r="Q175" s="88"/>
      <c r="R175" s="16">
        <v>2500.0</v>
      </c>
      <c r="S175" s="17">
        <f>FRESADO!$R175*FRESADO!$E175</f>
        <v>2500</v>
      </c>
      <c r="T175" s="17">
        <f>FRESADO!$S175*16%</f>
        <v>400</v>
      </c>
      <c r="U175" s="17">
        <f>FRESADO!$S175+FRESADO!$T175</f>
        <v>2900</v>
      </c>
      <c r="V175" s="8" t="s">
        <v>161</v>
      </c>
      <c r="W175" s="17" t="s">
        <v>44</v>
      </c>
      <c r="X175" s="52" t="s">
        <v>175</v>
      </c>
      <c r="Y175" s="30"/>
      <c r="Z175" s="31" t="s">
        <v>77</v>
      </c>
    </row>
    <row r="176" ht="15.75" customHeight="1">
      <c r="A176" s="6">
        <v>25.0</v>
      </c>
      <c r="B176" s="6">
        <v>28.0</v>
      </c>
      <c r="C176" s="6">
        <v>378.0</v>
      </c>
      <c r="D176" s="25">
        <v>46190.0</v>
      </c>
      <c r="E176" s="6">
        <v>1.0</v>
      </c>
      <c r="F176" s="6" t="s">
        <v>74</v>
      </c>
      <c r="G176" s="6" t="s">
        <v>238</v>
      </c>
      <c r="H176" s="6">
        <v>14.0</v>
      </c>
      <c r="I176" s="6" t="s">
        <v>34</v>
      </c>
      <c r="J176" s="6" t="s">
        <v>89</v>
      </c>
      <c r="K176" s="11" t="s">
        <v>36</v>
      </c>
      <c r="L176" s="6"/>
      <c r="M176" s="6"/>
      <c r="N176" s="6" t="s">
        <v>340</v>
      </c>
      <c r="O176" s="6" t="s">
        <v>189</v>
      </c>
      <c r="P176" s="6" t="s">
        <v>394</v>
      </c>
      <c r="Q176" s="88"/>
      <c r="R176" s="16">
        <v>2500.0</v>
      </c>
      <c r="S176" s="17">
        <f>FRESADO!$R176*FRESADO!$E176</f>
        <v>2500</v>
      </c>
      <c r="T176" s="17">
        <f>FRESADO!$S176*16%</f>
        <v>400</v>
      </c>
      <c r="U176" s="17">
        <f>FRESADO!$S176+FRESADO!$T176</f>
        <v>2900</v>
      </c>
      <c r="V176" s="8" t="s">
        <v>161</v>
      </c>
      <c r="W176" s="17" t="s">
        <v>44</v>
      </c>
      <c r="X176" s="52" t="s">
        <v>175</v>
      </c>
      <c r="Y176" s="30"/>
      <c r="Z176" s="31" t="s">
        <v>77</v>
      </c>
    </row>
    <row r="177" ht="15.75" customHeight="1">
      <c r="A177" s="6">
        <v>25.0</v>
      </c>
      <c r="B177" s="6">
        <v>29.0</v>
      </c>
      <c r="C177" s="6">
        <v>379.0</v>
      </c>
      <c r="D177" s="25">
        <v>46190.0</v>
      </c>
      <c r="E177" s="6">
        <v>1.0</v>
      </c>
      <c r="F177" s="6" t="s">
        <v>74</v>
      </c>
      <c r="G177" s="6" t="s">
        <v>347</v>
      </c>
      <c r="H177" s="6">
        <v>14.0</v>
      </c>
      <c r="I177" s="6" t="s">
        <v>34</v>
      </c>
      <c r="J177" s="6" t="s">
        <v>70</v>
      </c>
      <c r="K177" s="11" t="s">
        <v>36</v>
      </c>
      <c r="L177" s="6"/>
      <c r="M177" s="6"/>
      <c r="N177" s="6" t="s">
        <v>340</v>
      </c>
      <c r="O177" s="6" t="s">
        <v>189</v>
      </c>
      <c r="P177" s="6" t="s">
        <v>394</v>
      </c>
      <c r="Q177" s="88"/>
      <c r="R177" s="16">
        <v>2500.0</v>
      </c>
      <c r="S177" s="17">
        <f>FRESADO!$R177*FRESADO!$E177</f>
        <v>2500</v>
      </c>
      <c r="T177" s="17">
        <f>FRESADO!$S177*16%</f>
        <v>400</v>
      </c>
      <c r="U177" s="17">
        <f>FRESADO!$S177+FRESADO!$T177</f>
        <v>2900</v>
      </c>
      <c r="V177" s="8" t="s">
        <v>161</v>
      </c>
      <c r="W177" s="17" t="s">
        <v>44</v>
      </c>
      <c r="X177" s="52" t="s">
        <v>175</v>
      </c>
      <c r="Y177" s="30"/>
      <c r="Z177" s="31" t="s">
        <v>77</v>
      </c>
    </row>
    <row r="178" ht="15.75" customHeight="1">
      <c r="A178" s="6">
        <v>25.0</v>
      </c>
      <c r="B178" s="6">
        <v>30.0</v>
      </c>
      <c r="C178" s="6">
        <v>380.0</v>
      </c>
      <c r="D178" s="25">
        <v>46190.0</v>
      </c>
      <c r="E178" s="6">
        <v>1.0</v>
      </c>
      <c r="F178" s="6" t="s">
        <v>74</v>
      </c>
      <c r="G178" s="6" t="s">
        <v>238</v>
      </c>
      <c r="H178" s="6">
        <v>14.0</v>
      </c>
      <c r="I178" s="6" t="s">
        <v>34</v>
      </c>
      <c r="J178" s="6" t="s">
        <v>89</v>
      </c>
      <c r="K178" s="11" t="s">
        <v>36</v>
      </c>
      <c r="L178" s="6"/>
      <c r="M178" s="6"/>
      <c r="N178" s="6" t="s">
        <v>340</v>
      </c>
      <c r="O178" s="6" t="s">
        <v>189</v>
      </c>
      <c r="P178" s="6" t="s">
        <v>394</v>
      </c>
      <c r="Q178" s="88"/>
      <c r="R178" s="16">
        <v>2500.0</v>
      </c>
      <c r="S178" s="17">
        <f>FRESADO!$R178*FRESADO!$E178</f>
        <v>2500</v>
      </c>
      <c r="T178" s="17">
        <f>FRESADO!$S178*16%</f>
        <v>400</v>
      </c>
      <c r="U178" s="17">
        <f>FRESADO!$S178+FRESADO!$T178</f>
        <v>2900</v>
      </c>
      <c r="V178" s="8" t="s">
        <v>161</v>
      </c>
      <c r="W178" s="17" t="s">
        <v>44</v>
      </c>
      <c r="X178" s="52" t="s">
        <v>175</v>
      </c>
      <c r="Y178" s="30"/>
      <c r="Z178" s="31" t="s">
        <v>77</v>
      </c>
    </row>
    <row r="179" ht="15.75" customHeight="1">
      <c r="A179" s="6">
        <v>25.0</v>
      </c>
      <c r="B179" s="6">
        <v>31.0</v>
      </c>
      <c r="C179" s="6">
        <v>381.0</v>
      </c>
      <c r="D179" s="25">
        <v>46190.0</v>
      </c>
      <c r="E179" s="6">
        <v>1.0</v>
      </c>
      <c r="F179" s="6" t="s">
        <v>74</v>
      </c>
      <c r="G179" s="6" t="s">
        <v>238</v>
      </c>
      <c r="H179" s="6">
        <v>14.0</v>
      </c>
      <c r="I179" s="6" t="s">
        <v>34</v>
      </c>
      <c r="J179" s="6" t="s">
        <v>89</v>
      </c>
      <c r="K179" s="11" t="s">
        <v>36</v>
      </c>
      <c r="L179" s="6"/>
      <c r="M179" s="6"/>
      <c r="N179" s="6" t="s">
        <v>340</v>
      </c>
      <c r="O179" s="6" t="s">
        <v>189</v>
      </c>
      <c r="P179" s="6" t="s">
        <v>394</v>
      </c>
      <c r="Q179" s="88"/>
      <c r="R179" s="16">
        <v>2500.0</v>
      </c>
      <c r="S179" s="17">
        <f>FRESADO!$R179*FRESADO!$E179</f>
        <v>2500</v>
      </c>
      <c r="T179" s="17">
        <f>FRESADO!$S179*16%</f>
        <v>400</v>
      </c>
      <c r="U179" s="17">
        <f>FRESADO!$S179+FRESADO!$T179</f>
        <v>2900</v>
      </c>
      <c r="V179" s="8" t="s">
        <v>161</v>
      </c>
      <c r="W179" s="17" t="s">
        <v>44</v>
      </c>
      <c r="X179" s="52" t="s">
        <v>175</v>
      </c>
      <c r="Y179" s="30"/>
      <c r="Z179" s="31" t="s">
        <v>77</v>
      </c>
    </row>
    <row r="180" ht="15.75" customHeight="1">
      <c r="A180" s="6">
        <v>25.0</v>
      </c>
      <c r="B180" s="6">
        <v>32.0</v>
      </c>
      <c r="C180" s="6">
        <v>382.0</v>
      </c>
      <c r="D180" s="25">
        <v>46190.0</v>
      </c>
      <c r="E180" s="6">
        <v>1.0</v>
      </c>
      <c r="F180" s="6" t="s">
        <v>74</v>
      </c>
      <c r="G180" s="6" t="s">
        <v>238</v>
      </c>
      <c r="H180" s="6">
        <v>14.0</v>
      </c>
      <c r="I180" s="6" t="s">
        <v>34</v>
      </c>
      <c r="J180" s="6" t="s">
        <v>89</v>
      </c>
      <c r="K180" s="11" t="s">
        <v>36</v>
      </c>
      <c r="L180" s="6"/>
      <c r="M180" s="6"/>
      <c r="N180" s="6" t="s">
        <v>340</v>
      </c>
      <c r="O180" s="6" t="s">
        <v>189</v>
      </c>
      <c r="P180" s="6" t="s">
        <v>394</v>
      </c>
      <c r="Q180" s="88"/>
      <c r="R180" s="16">
        <v>2500.0</v>
      </c>
      <c r="S180" s="17">
        <f>FRESADO!$R180*FRESADO!$E180</f>
        <v>2500</v>
      </c>
      <c r="T180" s="17">
        <f>FRESADO!$S180*16%</f>
        <v>400</v>
      </c>
      <c r="U180" s="17">
        <f>FRESADO!$S180+FRESADO!$T180</f>
        <v>2900</v>
      </c>
      <c r="V180" s="8" t="s">
        <v>161</v>
      </c>
      <c r="W180" s="17" t="s">
        <v>44</v>
      </c>
      <c r="X180" s="52" t="s">
        <v>175</v>
      </c>
      <c r="Y180" s="30"/>
      <c r="Z180" s="31" t="s">
        <v>77</v>
      </c>
    </row>
    <row r="181" ht="15.75" customHeight="1">
      <c r="A181" s="6">
        <v>25.0</v>
      </c>
      <c r="B181" s="6">
        <v>33.0</v>
      </c>
      <c r="C181" s="6">
        <v>383.0</v>
      </c>
      <c r="D181" s="25">
        <v>46190.0</v>
      </c>
      <c r="E181" s="6">
        <v>1.0</v>
      </c>
      <c r="F181" s="6" t="s">
        <v>74</v>
      </c>
      <c r="G181" s="6" t="s">
        <v>238</v>
      </c>
      <c r="H181" s="6">
        <v>14.0</v>
      </c>
      <c r="I181" s="6" t="s">
        <v>34</v>
      </c>
      <c r="J181" s="6" t="s">
        <v>89</v>
      </c>
      <c r="K181" s="11" t="s">
        <v>36</v>
      </c>
      <c r="L181" s="6"/>
      <c r="M181" s="6"/>
      <c r="N181" s="6" t="s">
        <v>340</v>
      </c>
      <c r="O181" s="6" t="s">
        <v>189</v>
      </c>
      <c r="P181" s="6" t="s">
        <v>394</v>
      </c>
      <c r="Q181" s="88"/>
      <c r="R181" s="16">
        <v>2500.0</v>
      </c>
      <c r="S181" s="17">
        <f>FRESADO!$R181*FRESADO!$E181</f>
        <v>2500</v>
      </c>
      <c r="T181" s="17">
        <f>FRESADO!$S181*16%</f>
        <v>400</v>
      </c>
      <c r="U181" s="17">
        <f>FRESADO!$S181+FRESADO!$T181</f>
        <v>2900</v>
      </c>
      <c r="V181" s="8" t="s">
        <v>161</v>
      </c>
      <c r="W181" s="17" t="s">
        <v>44</v>
      </c>
      <c r="X181" s="52" t="s">
        <v>175</v>
      </c>
      <c r="Y181" s="30"/>
      <c r="Z181" s="31" t="s">
        <v>77</v>
      </c>
    </row>
    <row r="182" ht="15.75" customHeight="1">
      <c r="A182" s="56">
        <v>25.0</v>
      </c>
      <c r="B182" s="56">
        <v>0.0</v>
      </c>
      <c r="C182" s="56">
        <v>384.0</v>
      </c>
      <c r="D182" s="97">
        <v>46190.0</v>
      </c>
      <c r="E182" s="54">
        <v>0.0</v>
      </c>
      <c r="F182" s="56" t="s">
        <v>182</v>
      </c>
      <c r="G182" s="54">
        <v>0.0</v>
      </c>
      <c r="H182" s="54">
        <v>0.0</v>
      </c>
      <c r="I182" s="54" t="s">
        <v>40</v>
      </c>
      <c r="J182" s="54" t="s">
        <v>183</v>
      </c>
      <c r="K182" s="56" t="s">
        <v>49</v>
      </c>
      <c r="L182" s="56"/>
      <c r="M182" s="56"/>
      <c r="N182" s="56"/>
      <c r="O182" s="56"/>
      <c r="P182" s="56"/>
      <c r="Q182" s="56" t="s">
        <v>182</v>
      </c>
      <c r="R182" s="59">
        <v>0.0</v>
      </c>
      <c r="S182" s="81">
        <f>FRESADO!$R182*FRESADO!$E182</f>
        <v>0</v>
      </c>
      <c r="T182" s="81">
        <f>FRESADO!$S182*16%</f>
        <v>0</v>
      </c>
      <c r="U182" s="81">
        <f>FRESADO!$S182+FRESADO!$T182</f>
        <v>0</v>
      </c>
      <c r="V182" s="56" t="s">
        <v>182</v>
      </c>
      <c r="W182" s="81"/>
      <c r="X182" s="81"/>
      <c r="Y182" s="82"/>
      <c r="Z182" s="83"/>
    </row>
    <row r="183" ht="15.75" customHeight="1">
      <c r="A183" s="6">
        <v>25.0</v>
      </c>
      <c r="B183" s="6">
        <v>34.0</v>
      </c>
      <c r="C183" s="6">
        <v>385.0</v>
      </c>
      <c r="D183" s="25">
        <v>46190.0</v>
      </c>
      <c r="E183" s="6">
        <v>1.0</v>
      </c>
      <c r="F183" s="6" t="s">
        <v>74</v>
      </c>
      <c r="G183" s="6" t="s">
        <v>238</v>
      </c>
      <c r="H183" s="6">
        <v>14.0</v>
      </c>
      <c r="I183" s="6" t="s">
        <v>34</v>
      </c>
      <c r="J183" s="6" t="s">
        <v>89</v>
      </c>
      <c r="K183" s="11" t="s">
        <v>36</v>
      </c>
      <c r="L183" s="6"/>
      <c r="M183" s="6"/>
      <c r="N183" s="6" t="s">
        <v>340</v>
      </c>
      <c r="O183" s="6" t="s">
        <v>189</v>
      </c>
      <c r="P183" s="6" t="s">
        <v>394</v>
      </c>
      <c r="Q183" s="88"/>
      <c r="R183" s="16">
        <v>2500.0</v>
      </c>
      <c r="S183" s="17">
        <f>FRESADO!$R183*FRESADO!$E183</f>
        <v>2500</v>
      </c>
      <c r="T183" s="17">
        <f>FRESADO!$S183*16%</f>
        <v>400</v>
      </c>
      <c r="U183" s="17">
        <f>FRESADO!$S183+FRESADO!$T183</f>
        <v>2900</v>
      </c>
      <c r="V183" s="8" t="s">
        <v>161</v>
      </c>
      <c r="W183" s="17" t="s">
        <v>44</v>
      </c>
      <c r="X183" s="52" t="s">
        <v>175</v>
      </c>
      <c r="Y183" s="30"/>
      <c r="Z183" s="31" t="s">
        <v>77</v>
      </c>
    </row>
    <row r="184" ht="15.75" customHeight="1">
      <c r="A184" s="56">
        <v>25.0</v>
      </c>
      <c r="B184" s="56">
        <v>0.0</v>
      </c>
      <c r="C184" s="56">
        <v>384.0</v>
      </c>
      <c r="D184" s="97">
        <v>46190.0</v>
      </c>
      <c r="E184" s="54">
        <v>0.0</v>
      </c>
      <c r="F184" s="56" t="s">
        <v>182</v>
      </c>
      <c r="G184" s="54">
        <v>0.0</v>
      </c>
      <c r="H184" s="54">
        <v>0.0</v>
      </c>
      <c r="I184" s="54" t="s">
        <v>40</v>
      </c>
      <c r="J184" s="54" t="s">
        <v>183</v>
      </c>
      <c r="K184" s="56" t="s">
        <v>49</v>
      </c>
      <c r="L184" s="56"/>
      <c r="M184" s="56"/>
      <c r="N184" s="56"/>
      <c r="O184" s="56"/>
      <c r="P184" s="56"/>
      <c r="Q184" s="56" t="s">
        <v>182</v>
      </c>
      <c r="R184" s="59">
        <v>0.0</v>
      </c>
      <c r="S184" s="81">
        <f>FRESADO!$R184*FRESADO!$E184</f>
        <v>0</v>
      </c>
      <c r="T184" s="81">
        <f>FRESADO!$S184*16%</f>
        <v>0</v>
      </c>
      <c r="U184" s="81">
        <f>FRESADO!$S184+FRESADO!$T184</f>
        <v>0</v>
      </c>
      <c r="V184" s="56" t="s">
        <v>182</v>
      </c>
      <c r="W184" s="81"/>
      <c r="X184" s="81"/>
      <c r="Y184" s="82"/>
      <c r="Z184" s="83"/>
    </row>
    <row r="185" ht="15.75" customHeight="1">
      <c r="A185" s="6">
        <v>25.0</v>
      </c>
      <c r="B185" s="6">
        <v>35.0</v>
      </c>
      <c r="C185" s="6">
        <v>387.0</v>
      </c>
      <c r="D185" s="25">
        <v>46190.0</v>
      </c>
      <c r="E185" s="6">
        <v>1.0</v>
      </c>
      <c r="F185" s="6" t="s">
        <v>74</v>
      </c>
      <c r="G185" s="6" t="s">
        <v>238</v>
      </c>
      <c r="H185" s="6">
        <v>14.0</v>
      </c>
      <c r="I185" s="6" t="s">
        <v>34</v>
      </c>
      <c r="J185" s="6" t="s">
        <v>89</v>
      </c>
      <c r="K185" s="11" t="s">
        <v>36</v>
      </c>
      <c r="L185" s="6"/>
      <c r="M185" s="6"/>
      <c r="N185" s="6" t="s">
        <v>340</v>
      </c>
      <c r="O185" s="6" t="s">
        <v>189</v>
      </c>
      <c r="P185" s="6" t="s">
        <v>394</v>
      </c>
      <c r="Q185" s="88"/>
      <c r="R185" s="16">
        <v>2500.0</v>
      </c>
      <c r="S185" s="17">
        <f>FRESADO!$R185*FRESADO!$E185</f>
        <v>2500</v>
      </c>
      <c r="T185" s="17">
        <f>FRESADO!$S185*16%</f>
        <v>400</v>
      </c>
      <c r="U185" s="17">
        <f>FRESADO!$S185+FRESADO!$T185</f>
        <v>2900</v>
      </c>
      <c r="V185" s="8" t="s">
        <v>161</v>
      </c>
      <c r="W185" s="17" t="s">
        <v>44</v>
      </c>
      <c r="X185" s="52" t="s">
        <v>175</v>
      </c>
      <c r="Y185" s="30"/>
      <c r="Z185" s="31" t="s">
        <v>77</v>
      </c>
    </row>
    <row r="186" ht="15.75" customHeight="1">
      <c r="A186" s="6">
        <v>25.0</v>
      </c>
      <c r="B186" s="6">
        <v>36.0</v>
      </c>
      <c r="C186" s="6">
        <v>388.0</v>
      </c>
      <c r="D186" s="25">
        <v>46191.0</v>
      </c>
      <c r="E186" s="6">
        <v>1.0</v>
      </c>
      <c r="F186" s="6" t="s">
        <v>74</v>
      </c>
      <c r="G186" s="6" t="s">
        <v>339</v>
      </c>
      <c r="H186" s="6">
        <v>14.0</v>
      </c>
      <c r="I186" s="6" t="s">
        <v>34</v>
      </c>
      <c r="J186" s="6" t="s">
        <v>272</v>
      </c>
      <c r="K186" s="11" t="s">
        <v>36</v>
      </c>
      <c r="L186" s="6"/>
      <c r="M186" s="6"/>
      <c r="N186" s="6" t="s">
        <v>340</v>
      </c>
      <c r="O186" s="6" t="s">
        <v>189</v>
      </c>
      <c r="P186" s="6" t="s">
        <v>306</v>
      </c>
      <c r="Q186" s="88"/>
      <c r="R186" s="16">
        <v>2500.0</v>
      </c>
      <c r="S186" s="17">
        <f>FRESADO!$R186*FRESADO!$E186</f>
        <v>2500</v>
      </c>
      <c r="T186" s="17">
        <f>FRESADO!$S186*16%</f>
        <v>400</v>
      </c>
      <c r="U186" s="17">
        <f>FRESADO!$S186+FRESADO!$T186</f>
        <v>2900</v>
      </c>
      <c r="V186" s="8" t="s">
        <v>161</v>
      </c>
      <c r="W186" s="17" t="s">
        <v>44</v>
      </c>
      <c r="X186" s="52" t="s">
        <v>175</v>
      </c>
      <c r="Y186" s="30"/>
      <c r="Z186" s="31" t="s">
        <v>77</v>
      </c>
    </row>
    <row r="187" ht="15.75" customHeight="1">
      <c r="A187" s="6">
        <v>25.0</v>
      </c>
      <c r="B187" s="6">
        <v>37.0</v>
      </c>
      <c r="C187" s="6">
        <v>389.0</v>
      </c>
      <c r="D187" s="25">
        <v>46191.0</v>
      </c>
      <c r="E187" s="6">
        <v>1.0</v>
      </c>
      <c r="F187" s="6" t="s">
        <v>74</v>
      </c>
      <c r="G187" s="6" t="s">
        <v>347</v>
      </c>
      <c r="H187" s="6">
        <v>14.0</v>
      </c>
      <c r="I187" s="6" t="s">
        <v>34</v>
      </c>
      <c r="J187" s="6" t="s">
        <v>70</v>
      </c>
      <c r="K187" s="11" t="s">
        <v>36</v>
      </c>
      <c r="L187" s="6"/>
      <c r="M187" s="6"/>
      <c r="N187" s="6" t="s">
        <v>340</v>
      </c>
      <c r="O187" s="6" t="s">
        <v>189</v>
      </c>
      <c r="P187" s="6" t="s">
        <v>306</v>
      </c>
      <c r="Q187" s="88"/>
      <c r="R187" s="16">
        <v>2500.0</v>
      </c>
      <c r="S187" s="17">
        <f>FRESADO!$R187*FRESADO!$E187</f>
        <v>2500</v>
      </c>
      <c r="T187" s="17">
        <f>FRESADO!$S187*16%</f>
        <v>400</v>
      </c>
      <c r="U187" s="17">
        <f>FRESADO!$S187+FRESADO!$T187</f>
        <v>2900</v>
      </c>
      <c r="V187" s="8" t="s">
        <v>161</v>
      </c>
      <c r="W187" s="17" t="s">
        <v>44</v>
      </c>
      <c r="X187" s="52" t="s">
        <v>175</v>
      </c>
      <c r="Y187" s="30"/>
      <c r="Z187" s="31" t="s">
        <v>77</v>
      </c>
    </row>
    <row r="188" ht="15.75" customHeight="1">
      <c r="A188" s="6">
        <v>25.0</v>
      </c>
      <c r="B188" s="6">
        <v>38.0</v>
      </c>
      <c r="C188" s="6">
        <v>390.0</v>
      </c>
      <c r="D188" s="25">
        <v>46191.0</v>
      </c>
      <c r="E188" s="6">
        <v>1.0</v>
      </c>
      <c r="F188" s="6" t="s">
        <v>74</v>
      </c>
      <c r="G188" s="6" t="s">
        <v>405</v>
      </c>
      <c r="H188" s="6">
        <v>14.0</v>
      </c>
      <c r="I188" s="6" t="s">
        <v>34</v>
      </c>
      <c r="J188" s="6" t="s">
        <v>406</v>
      </c>
      <c r="K188" s="11" t="s">
        <v>36</v>
      </c>
      <c r="L188" s="6"/>
      <c r="M188" s="6"/>
      <c r="N188" s="6" t="s">
        <v>398</v>
      </c>
      <c r="O188" s="6" t="s">
        <v>189</v>
      </c>
      <c r="P188" s="6" t="s">
        <v>306</v>
      </c>
      <c r="Q188" s="88" t="s">
        <v>399</v>
      </c>
      <c r="R188" s="16">
        <v>3000.0</v>
      </c>
      <c r="S188" s="17">
        <f>FRESADO!$R188*FRESADO!$E188</f>
        <v>3000</v>
      </c>
      <c r="T188" s="17">
        <f>FRESADO!$S188*16%</f>
        <v>480</v>
      </c>
      <c r="U188" s="17">
        <f>FRESADO!$S188+FRESADO!$T188</f>
        <v>3480</v>
      </c>
      <c r="V188" s="8" t="s">
        <v>161</v>
      </c>
      <c r="W188" s="17" t="s">
        <v>44</v>
      </c>
      <c r="X188" s="52" t="s">
        <v>175</v>
      </c>
      <c r="Y188" s="30"/>
      <c r="Z188" s="89" t="s">
        <v>399</v>
      </c>
    </row>
    <row r="189" ht="15.75" customHeight="1">
      <c r="A189" s="56">
        <v>25.0</v>
      </c>
      <c r="B189" s="56">
        <v>0.0</v>
      </c>
      <c r="C189" s="56">
        <v>391.0</v>
      </c>
      <c r="D189" s="97">
        <v>46191.0</v>
      </c>
      <c r="E189" s="54">
        <v>0.0</v>
      </c>
      <c r="F189" s="56" t="s">
        <v>182</v>
      </c>
      <c r="G189" s="54">
        <v>0.0</v>
      </c>
      <c r="H189" s="54">
        <v>0.0</v>
      </c>
      <c r="I189" s="54" t="s">
        <v>40</v>
      </c>
      <c r="J189" s="54" t="s">
        <v>183</v>
      </c>
      <c r="K189" s="56" t="s">
        <v>49</v>
      </c>
      <c r="L189" s="56"/>
      <c r="M189" s="56"/>
      <c r="N189" s="56"/>
      <c r="O189" s="56"/>
      <c r="P189" s="56"/>
      <c r="Q189" s="56" t="s">
        <v>182</v>
      </c>
      <c r="R189" s="59">
        <v>0.0</v>
      </c>
      <c r="S189" s="81">
        <f>FRESADO!$R189*FRESADO!$E189</f>
        <v>0</v>
      </c>
      <c r="T189" s="81">
        <f>FRESADO!$S189*16%</f>
        <v>0</v>
      </c>
      <c r="U189" s="81">
        <f>FRESADO!$S189+FRESADO!$T189</f>
        <v>0</v>
      </c>
      <c r="V189" s="56" t="s">
        <v>182</v>
      </c>
      <c r="W189" s="81"/>
      <c r="X189" s="81"/>
      <c r="Y189" s="82"/>
      <c r="Z189" s="83"/>
    </row>
    <row r="190" ht="15.75" customHeight="1">
      <c r="A190" s="6">
        <v>25.0</v>
      </c>
      <c r="B190" s="6">
        <v>39.0</v>
      </c>
      <c r="C190" s="6">
        <v>392.0</v>
      </c>
      <c r="D190" s="25">
        <v>46191.0</v>
      </c>
      <c r="E190" s="6">
        <v>1.0</v>
      </c>
      <c r="F190" s="6" t="s">
        <v>74</v>
      </c>
      <c r="G190" s="6" t="s">
        <v>162</v>
      </c>
      <c r="H190" s="6">
        <v>14.0</v>
      </c>
      <c r="I190" s="6" t="s">
        <v>34</v>
      </c>
      <c r="J190" s="6" t="s">
        <v>83</v>
      </c>
      <c r="K190" s="11" t="s">
        <v>36</v>
      </c>
      <c r="L190" s="6"/>
      <c r="M190" s="6"/>
      <c r="N190" s="6" t="s">
        <v>398</v>
      </c>
      <c r="O190" s="6" t="s">
        <v>189</v>
      </c>
      <c r="P190" s="6" t="s">
        <v>306</v>
      </c>
      <c r="Q190" s="88" t="s">
        <v>399</v>
      </c>
      <c r="R190" s="16">
        <v>3000.0</v>
      </c>
      <c r="S190" s="17">
        <f>FRESADO!$R190*FRESADO!$E190</f>
        <v>3000</v>
      </c>
      <c r="T190" s="17">
        <f>FRESADO!$S190*16%</f>
        <v>480</v>
      </c>
      <c r="U190" s="17">
        <f>FRESADO!$S190+FRESADO!$T190</f>
        <v>3480</v>
      </c>
      <c r="V190" s="8" t="s">
        <v>161</v>
      </c>
      <c r="W190" s="17" t="s">
        <v>44</v>
      </c>
      <c r="X190" s="52" t="s">
        <v>175</v>
      </c>
      <c r="Y190" s="30"/>
      <c r="Z190" s="89" t="s">
        <v>399</v>
      </c>
    </row>
    <row r="191" ht="15.75" customHeight="1">
      <c r="A191" s="6">
        <v>25.0</v>
      </c>
      <c r="B191" s="6">
        <v>40.0</v>
      </c>
      <c r="C191" s="6">
        <v>393.0</v>
      </c>
      <c r="D191" s="25">
        <v>46191.0</v>
      </c>
      <c r="E191" s="6">
        <v>1.0</v>
      </c>
      <c r="F191" s="6" t="s">
        <v>74</v>
      </c>
      <c r="G191" s="6" t="s">
        <v>479</v>
      </c>
      <c r="H191" s="6">
        <v>14.0</v>
      </c>
      <c r="I191" s="6" t="s">
        <v>34</v>
      </c>
      <c r="J191" s="6" t="s">
        <v>190</v>
      </c>
      <c r="K191" s="11" t="s">
        <v>36</v>
      </c>
      <c r="L191" s="6"/>
      <c r="M191" s="6"/>
      <c r="N191" s="6" t="s">
        <v>398</v>
      </c>
      <c r="O191" s="6" t="s">
        <v>189</v>
      </c>
      <c r="P191" s="6" t="s">
        <v>306</v>
      </c>
      <c r="Q191" s="88" t="s">
        <v>399</v>
      </c>
      <c r="R191" s="16">
        <v>3000.0</v>
      </c>
      <c r="S191" s="17">
        <f>FRESADO!$R191*FRESADO!$E191</f>
        <v>3000</v>
      </c>
      <c r="T191" s="17">
        <f>FRESADO!$S191*16%</f>
        <v>480</v>
      </c>
      <c r="U191" s="17">
        <f>FRESADO!$S191+FRESADO!$T191</f>
        <v>3480</v>
      </c>
      <c r="V191" s="8" t="s">
        <v>161</v>
      </c>
      <c r="W191" s="17" t="s">
        <v>44</v>
      </c>
      <c r="X191" s="52" t="s">
        <v>175</v>
      </c>
      <c r="Y191" s="30"/>
      <c r="Z191" s="89" t="s">
        <v>399</v>
      </c>
    </row>
    <row r="192" ht="15.75" customHeight="1">
      <c r="A192" s="6">
        <v>25.0</v>
      </c>
      <c r="B192" s="6">
        <v>41.0</v>
      </c>
      <c r="C192" s="6">
        <v>394.0</v>
      </c>
      <c r="D192" s="25">
        <v>46191.0</v>
      </c>
      <c r="E192" s="6">
        <v>1.0</v>
      </c>
      <c r="F192" s="6" t="s">
        <v>74</v>
      </c>
      <c r="G192" s="6" t="s">
        <v>198</v>
      </c>
      <c r="H192" s="6">
        <v>14.0</v>
      </c>
      <c r="I192" s="6" t="s">
        <v>34</v>
      </c>
      <c r="J192" s="6" t="s">
        <v>487</v>
      </c>
      <c r="K192" s="11" t="s">
        <v>36</v>
      </c>
      <c r="L192" s="6"/>
      <c r="M192" s="6"/>
      <c r="N192" s="6" t="s">
        <v>398</v>
      </c>
      <c r="O192" s="6" t="s">
        <v>189</v>
      </c>
      <c r="P192" s="6" t="s">
        <v>306</v>
      </c>
      <c r="Q192" s="88" t="s">
        <v>399</v>
      </c>
      <c r="R192" s="16">
        <v>3000.0</v>
      </c>
      <c r="S192" s="17">
        <f>FRESADO!$R192*FRESADO!$E192</f>
        <v>3000</v>
      </c>
      <c r="T192" s="17">
        <f>FRESADO!$S192*16%</f>
        <v>480</v>
      </c>
      <c r="U192" s="17">
        <f>FRESADO!$S192+FRESADO!$T192</f>
        <v>3480</v>
      </c>
      <c r="V192" s="8" t="s">
        <v>161</v>
      </c>
      <c r="W192" s="17" t="s">
        <v>44</v>
      </c>
      <c r="X192" s="52" t="s">
        <v>175</v>
      </c>
      <c r="Y192" s="30"/>
      <c r="Z192" s="89" t="s">
        <v>399</v>
      </c>
    </row>
    <row r="193" ht="15.75" customHeight="1">
      <c r="A193" s="6">
        <v>25.0</v>
      </c>
      <c r="B193" s="6">
        <v>42.0</v>
      </c>
      <c r="C193" s="6">
        <v>395.0</v>
      </c>
      <c r="D193" s="25">
        <v>46191.0</v>
      </c>
      <c r="E193" s="6">
        <v>1.0</v>
      </c>
      <c r="F193" s="6" t="s">
        <v>74</v>
      </c>
      <c r="G193" s="6" t="s">
        <v>409</v>
      </c>
      <c r="H193" s="6">
        <v>14.0</v>
      </c>
      <c r="I193" s="6" t="s">
        <v>34</v>
      </c>
      <c r="J193" s="6" t="s">
        <v>87</v>
      </c>
      <c r="K193" s="11" t="s">
        <v>36</v>
      </c>
      <c r="L193" s="6"/>
      <c r="M193" s="6"/>
      <c r="N193" s="6" t="s">
        <v>340</v>
      </c>
      <c r="O193" s="6" t="s">
        <v>189</v>
      </c>
      <c r="P193" s="6" t="s">
        <v>306</v>
      </c>
      <c r="Q193" s="88"/>
      <c r="R193" s="16">
        <v>2500.0</v>
      </c>
      <c r="S193" s="17">
        <f>FRESADO!$R193*FRESADO!$E193</f>
        <v>2500</v>
      </c>
      <c r="T193" s="17">
        <f>FRESADO!$S193*16%</f>
        <v>400</v>
      </c>
      <c r="U193" s="17">
        <f>FRESADO!$S193+FRESADO!$T193</f>
        <v>2900</v>
      </c>
      <c r="V193" s="8" t="s">
        <v>161</v>
      </c>
      <c r="W193" s="17" t="s">
        <v>44</v>
      </c>
      <c r="X193" s="52" t="s">
        <v>175</v>
      </c>
      <c r="Y193" s="30"/>
      <c r="Z193" s="31" t="s">
        <v>77</v>
      </c>
    </row>
    <row r="194" ht="15.75" customHeight="1">
      <c r="A194" s="6">
        <v>25.0</v>
      </c>
      <c r="B194" s="6">
        <v>43.0</v>
      </c>
      <c r="C194" s="6">
        <v>396.0</v>
      </c>
      <c r="D194" s="25">
        <v>46191.0</v>
      </c>
      <c r="E194" s="6">
        <v>1.0</v>
      </c>
      <c r="F194" s="6" t="s">
        <v>74</v>
      </c>
      <c r="G194" s="6" t="s">
        <v>339</v>
      </c>
      <c r="H194" s="6">
        <v>14.0</v>
      </c>
      <c r="I194" s="6" t="s">
        <v>34</v>
      </c>
      <c r="J194" s="6" t="s">
        <v>272</v>
      </c>
      <c r="K194" s="11" t="s">
        <v>36</v>
      </c>
      <c r="L194" s="6"/>
      <c r="M194" s="6"/>
      <c r="N194" s="6" t="s">
        <v>340</v>
      </c>
      <c r="O194" s="6" t="s">
        <v>189</v>
      </c>
      <c r="P194" s="6" t="s">
        <v>306</v>
      </c>
      <c r="Q194" s="88"/>
      <c r="R194" s="16">
        <v>2500.0</v>
      </c>
      <c r="S194" s="17">
        <f>FRESADO!$R194*FRESADO!$E194</f>
        <v>2500</v>
      </c>
      <c r="T194" s="17">
        <f>FRESADO!$S194*16%</f>
        <v>400</v>
      </c>
      <c r="U194" s="17">
        <f>FRESADO!$S194+FRESADO!$T194</f>
        <v>2900</v>
      </c>
      <c r="V194" s="8" t="s">
        <v>161</v>
      </c>
      <c r="W194" s="17" t="s">
        <v>44</v>
      </c>
      <c r="X194" s="52" t="s">
        <v>175</v>
      </c>
      <c r="Y194" s="30"/>
      <c r="Z194" s="31" t="s">
        <v>77</v>
      </c>
    </row>
    <row r="195" ht="15.75" customHeight="1">
      <c r="A195" s="6">
        <v>25.0</v>
      </c>
      <c r="B195" s="6">
        <v>44.0</v>
      </c>
      <c r="C195" s="6">
        <v>397.0</v>
      </c>
      <c r="D195" s="25">
        <v>46191.0</v>
      </c>
      <c r="E195" s="6">
        <v>1.0</v>
      </c>
      <c r="F195" s="6" t="s">
        <v>74</v>
      </c>
      <c r="G195" s="6" t="s">
        <v>347</v>
      </c>
      <c r="H195" s="6">
        <v>14.0</v>
      </c>
      <c r="I195" s="6" t="s">
        <v>34</v>
      </c>
      <c r="J195" s="6" t="s">
        <v>70</v>
      </c>
      <c r="K195" s="11" t="s">
        <v>36</v>
      </c>
      <c r="L195" s="6"/>
      <c r="M195" s="6"/>
      <c r="N195" s="6" t="s">
        <v>340</v>
      </c>
      <c r="O195" s="6" t="s">
        <v>189</v>
      </c>
      <c r="P195" s="6" t="s">
        <v>306</v>
      </c>
      <c r="Q195" s="88"/>
      <c r="R195" s="16">
        <v>2500.0</v>
      </c>
      <c r="S195" s="17">
        <f>FRESADO!$R195*FRESADO!$E195</f>
        <v>2500</v>
      </c>
      <c r="T195" s="17">
        <f>FRESADO!$S195*16%</f>
        <v>400</v>
      </c>
      <c r="U195" s="17">
        <f>FRESADO!$S195+FRESADO!$T195</f>
        <v>2900</v>
      </c>
      <c r="V195" s="8" t="s">
        <v>161</v>
      </c>
      <c r="W195" s="17" t="s">
        <v>44</v>
      </c>
      <c r="X195" s="52" t="s">
        <v>175</v>
      </c>
      <c r="Y195" s="30"/>
      <c r="Z195" s="31" t="s">
        <v>77</v>
      </c>
    </row>
    <row r="196" ht="15.75" customHeight="1">
      <c r="A196" s="6">
        <v>25.0</v>
      </c>
      <c r="B196" s="6">
        <v>45.0</v>
      </c>
      <c r="C196" s="6">
        <v>398.0</v>
      </c>
      <c r="D196" s="25">
        <v>46191.0</v>
      </c>
      <c r="E196" s="6">
        <v>1.0</v>
      </c>
      <c r="F196" s="6" t="s">
        <v>74</v>
      </c>
      <c r="G196" s="6" t="s">
        <v>339</v>
      </c>
      <c r="H196" s="6">
        <v>14.0</v>
      </c>
      <c r="I196" s="6" t="s">
        <v>34</v>
      </c>
      <c r="J196" s="6" t="s">
        <v>272</v>
      </c>
      <c r="K196" s="11" t="s">
        <v>36</v>
      </c>
      <c r="L196" s="6"/>
      <c r="M196" s="6"/>
      <c r="N196" s="6" t="s">
        <v>340</v>
      </c>
      <c r="O196" s="6" t="s">
        <v>189</v>
      </c>
      <c r="P196" s="6" t="s">
        <v>306</v>
      </c>
      <c r="Q196" s="88"/>
      <c r="R196" s="16">
        <v>2500.0</v>
      </c>
      <c r="S196" s="17">
        <f>FRESADO!$R196*FRESADO!$E196</f>
        <v>2500</v>
      </c>
      <c r="T196" s="17">
        <f>FRESADO!$S196*16%</f>
        <v>400</v>
      </c>
      <c r="U196" s="17">
        <f>FRESADO!$S196+FRESADO!$T196</f>
        <v>2900</v>
      </c>
      <c r="V196" s="8" t="s">
        <v>161</v>
      </c>
      <c r="W196" s="17" t="s">
        <v>44</v>
      </c>
      <c r="X196" s="52" t="s">
        <v>175</v>
      </c>
      <c r="Y196" s="30"/>
      <c r="Z196" s="31" t="s">
        <v>77</v>
      </c>
    </row>
    <row r="197" ht="15.75" customHeight="1">
      <c r="A197" s="6">
        <v>25.0</v>
      </c>
      <c r="B197" s="6">
        <v>46.0</v>
      </c>
      <c r="C197" s="6">
        <v>399.0</v>
      </c>
      <c r="D197" s="25">
        <v>46191.0</v>
      </c>
      <c r="E197" s="6">
        <v>1.0</v>
      </c>
      <c r="F197" s="6" t="s">
        <v>74</v>
      </c>
      <c r="G197" s="6" t="s">
        <v>347</v>
      </c>
      <c r="H197" s="6">
        <v>14.0</v>
      </c>
      <c r="I197" s="6" t="s">
        <v>34</v>
      </c>
      <c r="J197" s="6" t="s">
        <v>70</v>
      </c>
      <c r="K197" s="11" t="s">
        <v>36</v>
      </c>
      <c r="L197" s="6"/>
      <c r="M197" s="6"/>
      <c r="N197" s="6" t="s">
        <v>340</v>
      </c>
      <c r="O197" s="6" t="s">
        <v>189</v>
      </c>
      <c r="P197" s="6" t="s">
        <v>306</v>
      </c>
      <c r="Q197" s="88"/>
      <c r="R197" s="16">
        <v>2500.0</v>
      </c>
      <c r="S197" s="17">
        <f>FRESADO!$R197*FRESADO!$E197</f>
        <v>2500</v>
      </c>
      <c r="T197" s="17">
        <f>FRESADO!$S197*16%</f>
        <v>400</v>
      </c>
      <c r="U197" s="17">
        <f>FRESADO!$S197+FRESADO!$T197</f>
        <v>2900</v>
      </c>
      <c r="V197" s="8" t="s">
        <v>161</v>
      </c>
      <c r="W197" s="17" t="s">
        <v>44</v>
      </c>
      <c r="X197" s="52" t="s">
        <v>175</v>
      </c>
      <c r="Y197" s="30"/>
      <c r="Z197" s="31" t="s">
        <v>77</v>
      </c>
    </row>
    <row r="198" ht="15.75" customHeight="1">
      <c r="A198" s="6">
        <v>25.0</v>
      </c>
      <c r="B198" s="6">
        <v>47.0</v>
      </c>
      <c r="C198" s="6">
        <v>400.0</v>
      </c>
      <c r="D198" s="25">
        <v>46191.0</v>
      </c>
      <c r="E198" s="6">
        <v>1.0</v>
      </c>
      <c r="F198" s="6" t="s">
        <v>74</v>
      </c>
      <c r="G198" s="6" t="s">
        <v>339</v>
      </c>
      <c r="H198" s="6">
        <v>14.0</v>
      </c>
      <c r="I198" s="6" t="s">
        <v>34</v>
      </c>
      <c r="J198" s="6" t="s">
        <v>272</v>
      </c>
      <c r="K198" s="11" t="s">
        <v>36</v>
      </c>
      <c r="L198" s="6"/>
      <c r="M198" s="6"/>
      <c r="N198" s="6" t="s">
        <v>340</v>
      </c>
      <c r="O198" s="6" t="s">
        <v>189</v>
      </c>
      <c r="P198" s="6" t="s">
        <v>306</v>
      </c>
      <c r="Q198" s="88"/>
      <c r="R198" s="16">
        <v>2500.0</v>
      </c>
      <c r="S198" s="17">
        <f>FRESADO!$R198*FRESADO!$E198</f>
        <v>2500</v>
      </c>
      <c r="T198" s="17">
        <f>FRESADO!$S198*16%</f>
        <v>400</v>
      </c>
      <c r="U198" s="17">
        <f>FRESADO!$S198+FRESADO!$T198</f>
        <v>2900</v>
      </c>
      <c r="V198" s="8" t="s">
        <v>161</v>
      </c>
      <c r="W198" s="17" t="s">
        <v>44</v>
      </c>
      <c r="X198" s="52" t="s">
        <v>175</v>
      </c>
      <c r="Y198" s="30"/>
      <c r="Z198" s="31" t="s">
        <v>77</v>
      </c>
    </row>
    <row r="199" ht="15.75" customHeight="1">
      <c r="A199" s="6">
        <v>25.0</v>
      </c>
      <c r="B199" s="6">
        <v>48.0</v>
      </c>
      <c r="C199" s="6">
        <v>401.0</v>
      </c>
      <c r="D199" s="25">
        <v>46191.0</v>
      </c>
      <c r="E199" s="6">
        <v>1.0</v>
      </c>
      <c r="F199" s="6" t="s">
        <v>74</v>
      </c>
      <c r="G199" s="6" t="s">
        <v>347</v>
      </c>
      <c r="H199" s="6">
        <v>14.0</v>
      </c>
      <c r="I199" s="6" t="s">
        <v>34</v>
      </c>
      <c r="J199" s="6" t="s">
        <v>70</v>
      </c>
      <c r="K199" s="11" t="s">
        <v>36</v>
      </c>
      <c r="L199" s="6"/>
      <c r="M199" s="6"/>
      <c r="N199" s="6" t="s">
        <v>340</v>
      </c>
      <c r="O199" s="6" t="s">
        <v>189</v>
      </c>
      <c r="P199" s="6" t="s">
        <v>306</v>
      </c>
      <c r="Q199" s="88"/>
      <c r="R199" s="16">
        <v>2500.0</v>
      </c>
      <c r="S199" s="17">
        <f>FRESADO!$R199*FRESADO!$E199</f>
        <v>2500</v>
      </c>
      <c r="T199" s="17">
        <f>FRESADO!$S199*16%</f>
        <v>400</v>
      </c>
      <c r="U199" s="17">
        <f>FRESADO!$S199+FRESADO!$T199</f>
        <v>2900</v>
      </c>
      <c r="V199" s="8" t="s">
        <v>161</v>
      </c>
      <c r="W199" s="17" t="s">
        <v>44</v>
      </c>
      <c r="X199" s="52" t="s">
        <v>175</v>
      </c>
      <c r="Y199" s="30"/>
      <c r="Z199" s="31" t="s">
        <v>77</v>
      </c>
    </row>
    <row r="200" ht="15.75" customHeight="1">
      <c r="A200" s="6">
        <v>25.0</v>
      </c>
      <c r="B200" s="6">
        <v>49.0</v>
      </c>
      <c r="C200" s="6">
        <v>402.0</v>
      </c>
      <c r="D200" s="25">
        <v>46191.0</v>
      </c>
      <c r="E200" s="6">
        <v>1.0</v>
      </c>
      <c r="F200" s="6" t="s">
        <v>74</v>
      </c>
      <c r="G200" s="6" t="s">
        <v>409</v>
      </c>
      <c r="H200" s="6">
        <v>14.0</v>
      </c>
      <c r="I200" s="6" t="s">
        <v>34</v>
      </c>
      <c r="J200" s="6" t="s">
        <v>87</v>
      </c>
      <c r="K200" s="11" t="s">
        <v>36</v>
      </c>
      <c r="L200" s="6"/>
      <c r="M200" s="6"/>
      <c r="N200" s="6" t="s">
        <v>340</v>
      </c>
      <c r="O200" s="6" t="s">
        <v>189</v>
      </c>
      <c r="P200" s="6" t="s">
        <v>306</v>
      </c>
      <c r="Q200" s="88"/>
      <c r="R200" s="16">
        <v>2500.0</v>
      </c>
      <c r="S200" s="17">
        <f>FRESADO!$R200*FRESADO!$E200</f>
        <v>2500</v>
      </c>
      <c r="T200" s="17">
        <f>FRESADO!$S200*16%</f>
        <v>400</v>
      </c>
      <c r="U200" s="17">
        <f>FRESADO!$S200+FRESADO!$T200</f>
        <v>2900</v>
      </c>
      <c r="V200" s="8" t="s">
        <v>161</v>
      </c>
      <c r="W200" s="17" t="s">
        <v>44</v>
      </c>
      <c r="X200" s="52" t="s">
        <v>175</v>
      </c>
      <c r="Y200" s="30"/>
      <c r="Z200" s="31" t="s">
        <v>77</v>
      </c>
    </row>
    <row r="201" ht="15.75" customHeight="1">
      <c r="A201" s="6">
        <v>25.0</v>
      </c>
      <c r="B201" s="6">
        <v>50.0</v>
      </c>
      <c r="C201" s="6">
        <v>403.0</v>
      </c>
      <c r="D201" s="25">
        <v>46191.0</v>
      </c>
      <c r="E201" s="6">
        <v>1.0</v>
      </c>
      <c r="F201" s="6" t="s">
        <v>74</v>
      </c>
      <c r="G201" s="6" t="s">
        <v>339</v>
      </c>
      <c r="H201" s="6">
        <v>14.0</v>
      </c>
      <c r="I201" s="6" t="s">
        <v>34</v>
      </c>
      <c r="J201" s="6" t="s">
        <v>272</v>
      </c>
      <c r="K201" s="11" t="s">
        <v>36</v>
      </c>
      <c r="L201" s="6"/>
      <c r="M201" s="6"/>
      <c r="N201" s="6" t="s">
        <v>340</v>
      </c>
      <c r="O201" s="6" t="s">
        <v>189</v>
      </c>
      <c r="P201" s="6" t="s">
        <v>306</v>
      </c>
      <c r="Q201" s="88"/>
      <c r="R201" s="16">
        <v>2500.0</v>
      </c>
      <c r="S201" s="17">
        <f>FRESADO!$R201*FRESADO!$E201</f>
        <v>2500</v>
      </c>
      <c r="T201" s="17">
        <f>FRESADO!$S201*16%</f>
        <v>400</v>
      </c>
      <c r="U201" s="17">
        <f>FRESADO!$S201+FRESADO!$T201</f>
        <v>2900</v>
      </c>
      <c r="V201" s="8" t="s">
        <v>161</v>
      </c>
      <c r="W201" s="17" t="s">
        <v>44</v>
      </c>
      <c r="X201" s="52" t="s">
        <v>175</v>
      </c>
      <c r="Y201" s="30"/>
      <c r="Z201" s="31" t="s">
        <v>77</v>
      </c>
    </row>
    <row r="202" ht="15.75" customHeight="1">
      <c r="A202" s="6">
        <v>25.0</v>
      </c>
      <c r="B202" s="6">
        <v>51.0</v>
      </c>
      <c r="C202" s="6">
        <v>404.0</v>
      </c>
      <c r="D202" s="25">
        <v>46191.0</v>
      </c>
      <c r="E202" s="6">
        <v>1.0</v>
      </c>
      <c r="F202" s="6" t="s">
        <v>74</v>
      </c>
      <c r="G202" s="6" t="s">
        <v>409</v>
      </c>
      <c r="H202" s="6">
        <v>14.0</v>
      </c>
      <c r="I202" s="6" t="s">
        <v>34</v>
      </c>
      <c r="J202" s="6" t="s">
        <v>87</v>
      </c>
      <c r="K202" s="11" t="s">
        <v>36</v>
      </c>
      <c r="L202" s="6"/>
      <c r="M202" s="6"/>
      <c r="N202" s="6" t="s">
        <v>340</v>
      </c>
      <c r="O202" s="6" t="s">
        <v>189</v>
      </c>
      <c r="P202" s="6" t="s">
        <v>306</v>
      </c>
      <c r="Q202" s="88"/>
      <c r="R202" s="16">
        <v>2500.0</v>
      </c>
      <c r="S202" s="17">
        <f>FRESADO!$R202*FRESADO!$E202</f>
        <v>2500</v>
      </c>
      <c r="T202" s="17">
        <f>FRESADO!$S202*16%</f>
        <v>400</v>
      </c>
      <c r="U202" s="17">
        <f>FRESADO!$S202+FRESADO!$T202</f>
        <v>2900</v>
      </c>
      <c r="V202" s="8" t="s">
        <v>161</v>
      </c>
      <c r="W202" s="17" t="s">
        <v>44</v>
      </c>
      <c r="X202" s="52" t="s">
        <v>175</v>
      </c>
      <c r="Y202" s="30"/>
      <c r="Z202" s="31" t="s">
        <v>77</v>
      </c>
    </row>
    <row r="203" ht="15.75" customHeight="1">
      <c r="A203" s="6">
        <v>25.0</v>
      </c>
      <c r="B203" s="6">
        <v>52.0</v>
      </c>
      <c r="C203" s="6">
        <v>405.0</v>
      </c>
      <c r="D203" s="25">
        <v>46191.0</v>
      </c>
      <c r="E203" s="6">
        <v>1.0</v>
      </c>
      <c r="F203" s="6" t="s">
        <v>74</v>
      </c>
      <c r="G203" s="6" t="s">
        <v>347</v>
      </c>
      <c r="H203" s="6">
        <v>14.0</v>
      </c>
      <c r="I203" s="6" t="s">
        <v>34</v>
      </c>
      <c r="J203" s="6" t="s">
        <v>70</v>
      </c>
      <c r="K203" s="11" t="s">
        <v>36</v>
      </c>
      <c r="L203" s="6"/>
      <c r="M203" s="6"/>
      <c r="N203" s="6" t="s">
        <v>340</v>
      </c>
      <c r="O203" s="6" t="s">
        <v>189</v>
      </c>
      <c r="P203" s="6" t="s">
        <v>306</v>
      </c>
      <c r="Q203" s="88"/>
      <c r="R203" s="16">
        <v>2500.0</v>
      </c>
      <c r="S203" s="17">
        <f>FRESADO!$R203*FRESADO!$E203</f>
        <v>2500</v>
      </c>
      <c r="T203" s="17">
        <f>FRESADO!$S203*16%</f>
        <v>400</v>
      </c>
      <c r="U203" s="17">
        <f>FRESADO!$S203+FRESADO!$T203</f>
        <v>2900</v>
      </c>
      <c r="V203" s="8" t="s">
        <v>161</v>
      </c>
      <c r="W203" s="17" t="s">
        <v>44</v>
      </c>
      <c r="X203" s="52" t="s">
        <v>175</v>
      </c>
      <c r="Y203" s="30"/>
      <c r="Z203" s="31" t="s">
        <v>77</v>
      </c>
    </row>
    <row r="204" ht="15.75" customHeight="1">
      <c r="A204" s="6">
        <v>25.0</v>
      </c>
      <c r="B204" s="6">
        <v>53.0</v>
      </c>
      <c r="C204" s="6">
        <v>406.0</v>
      </c>
      <c r="D204" s="25">
        <v>46191.0</v>
      </c>
      <c r="E204" s="6">
        <v>1.0</v>
      </c>
      <c r="F204" s="6" t="s">
        <v>74</v>
      </c>
      <c r="G204" s="6" t="s">
        <v>409</v>
      </c>
      <c r="H204" s="6">
        <v>14.0</v>
      </c>
      <c r="I204" s="6" t="s">
        <v>34</v>
      </c>
      <c r="J204" s="6" t="s">
        <v>87</v>
      </c>
      <c r="K204" s="11" t="s">
        <v>36</v>
      </c>
      <c r="L204" s="6"/>
      <c r="M204" s="6"/>
      <c r="N204" s="6" t="s">
        <v>340</v>
      </c>
      <c r="O204" s="6" t="s">
        <v>189</v>
      </c>
      <c r="P204" s="6" t="s">
        <v>306</v>
      </c>
      <c r="Q204" s="88"/>
      <c r="R204" s="16">
        <v>2500.0</v>
      </c>
      <c r="S204" s="17">
        <f>FRESADO!$R204*FRESADO!$E204</f>
        <v>2500</v>
      </c>
      <c r="T204" s="17">
        <f>FRESADO!$S204*16%</f>
        <v>400</v>
      </c>
      <c r="U204" s="17">
        <f>FRESADO!$S204+FRESADO!$T204</f>
        <v>2900</v>
      </c>
      <c r="V204" s="8" t="s">
        <v>161</v>
      </c>
      <c r="W204" s="17" t="s">
        <v>44</v>
      </c>
      <c r="X204" s="52" t="s">
        <v>175</v>
      </c>
      <c r="Y204" s="30"/>
      <c r="Z204" s="31" t="s">
        <v>77</v>
      </c>
    </row>
    <row r="205" ht="15.75" customHeight="1">
      <c r="A205" s="6">
        <v>25.0</v>
      </c>
      <c r="B205" s="6">
        <v>54.0</v>
      </c>
      <c r="C205" s="6">
        <v>407.0</v>
      </c>
      <c r="D205" s="25">
        <v>46191.0</v>
      </c>
      <c r="E205" s="6">
        <v>1.0</v>
      </c>
      <c r="F205" s="6" t="s">
        <v>388</v>
      </c>
      <c r="G205" s="6" t="s">
        <v>409</v>
      </c>
      <c r="H205" s="6">
        <v>14.0</v>
      </c>
      <c r="I205" s="6" t="s">
        <v>34</v>
      </c>
      <c r="J205" s="6" t="s">
        <v>87</v>
      </c>
      <c r="K205" s="11" t="s">
        <v>36</v>
      </c>
      <c r="L205" s="6"/>
      <c r="M205" s="6"/>
      <c r="N205" s="6" t="s">
        <v>340</v>
      </c>
      <c r="O205" s="6" t="s">
        <v>189</v>
      </c>
      <c r="P205" s="6" t="s">
        <v>306</v>
      </c>
      <c r="Q205" s="87" t="s">
        <v>390</v>
      </c>
      <c r="R205" s="16">
        <v>1540.0</v>
      </c>
      <c r="S205" s="17">
        <f>FRESADO!$R205*FRESADO!$E205</f>
        <v>1540</v>
      </c>
      <c r="T205" s="17">
        <f>FRESADO!$S205*16%</f>
        <v>246.4</v>
      </c>
      <c r="U205" s="17">
        <f>FRESADO!$S205+FRESADO!$T205</f>
        <v>1786.4</v>
      </c>
      <c r="V205" s="8" t="s">
        <v>161</v>
      </c>
      <c r="W205" s="17" t="s">
        <v>44</v>
      </c>
      <c r="X205" s="52" t="s">
        <v>175</v>
      </c>
      <c r="Y205" s="30"/>
      <c r="Z205" s="31" t="s">
        <v>77</v>
      </c>
    </row>
    <row r="206" ht="15.75" customHeight="1">
      <c r="A206" s="6">
        <v>25.0</v>
      </c>
      <c r="B206" s="6"/>
      <c r="C206" s="34" t="s">
        <v>72</v>
      </c>
      <c r="D206" s="105">
        <v>46192.0</v>
      </c>
      <c r="E206" s="6">
        <v>1.0</v>
      </c>
      <c r="F206" s="34" t="s">
        <v>148</v>
      </c>
      <c r="G206" s="6"/>
      <c r="H206" s="34">
        <v>0.0</v>
      </c>
      <c r="I206" s="6" t="s">
        <v>34</v>
      </c>
      <c r="J206" s="6"/>
      <c r="K206" s="11" t="s">
        <v>36</v>
      </c>
      <c r="L206" s="6"/>
      <c r="M206" s="6"/>
      <c r="N206" s="6"/>
      <c r="O206" s="6"/>
      <c r="P206" s="6"/>
      <c r="Q206" s="88"/>
      <c r="R206" s="66">
        <v>1500.0</v>
      </c>
      <c r="S206" s="17">
        <f>FRESADO!$R206*FRESADO!$E206</f>
        <v>1500</v>
      </c>
      <c r="T206" s="17">
        <f>FRESADO!$S206*16%</f>
        <v>240</v>
      </c>
      <c r="U206" s="17">
        <f>FRESADO!$S206+FRESADO!$T206</f>
        <v>1740</v>
      </c>
      <c r="V206" s="52" t="s">
        <v>541</v>
      </c>
      <c r="W206" s="17"/>
      <c r="X206" s="17"/>
      <c r="Y206" s="30"/>
    </row>
    <row r="207" ht="15.75" customHeight="1">
      <c r="A207" s="6">
        <v>25.0</v>
      </c>
      <c r="B207" s="6"/>
      <c r="C207" s="34" t="s">
        <v>72</v>
      </c>
      <c r="D207" s="105">
        <v>46192.0</v>
      </c>
      <c r="E207" s="6">
        <v>1.0</v>
      </c>
      <c r="F207" s="34" t="s">
        <v>148</v>
      </c>
      <c r="G207" s="6"/>
      <c r="H207" s="34">
        <v>0.0</v>
      </c>
      <c r="I207" s="6" t="s">
        <v>34</v>
      </c>
      <c r="J207" s="6"/>
      <c r="K207" s="11" t="s">
        <v>36</v>
      </c>
      <c r="L207" s="6"/>
      <c r="M207" s="6"/>
      <c r="N207" s="6"/>
      <c r="O207" s="6"/>
      <c r="P207" s="6"/>
      <c r="Q207" s="88"/>
      <c r="R207" s="66">
        <v>1500.0</v>
      </c>
      <c r="S207" s="17">
        <f>FRESADO!$R207*FRESADO!$E207</f>
        <v>1500</v>
      </c>
      <c r="T207" s="17">
        <f>FRESADO!$S207*16%</f>
        <v>240</v>
      </c>
      <c r="U207" s="17">
        <f>FRESADO!$S207+FRESADO!$T207</f>
        <v>1740</v>
      </c>
      <c r="V207" s="52" t="s">
        <v>541</v>
      </c>
      <c r="W207" s="17"/>
      <c r="X207" s="17"/>
      <c r="Y207" s="30"/>
    </row>
    <row r="208" ht="15.75" customHeight="1">
      <c r="A208" s="6">
        <v>25.0</v>
      </c>
      <c r="B208" s="6"/>
      <c r="C208" s="34" t="s">
        <v>72</v>
      </c>
      <c r="D208" s="105">
        <v>46192.0</v>
      </c>
      <c r="E208" s="6">
        <v>1.0</v>
      </c>
      <c r="F208" s="34" t="s">
        <v>148</v>
      </c>
      <c r="G208" s="6"/>
      <c r="H208" s="34">
        <v>0.0</v>
      </c>
      <c r="I208" s="6" t="s">
        <v>34</v>
      </c>
      <c r="J208" s="6"/>
      <c r="K208" s="11" t="s">
        <v>36</v>
      </c>
      <c r="L208" s="6"/>
      <c r="M208" s="6"/>
      <c r="N208" s="6"/>
      <c r="O208" s="6"/>
      <c r="P208" s="6"/>
      <c r="Q208" s="88"/>
      <c r="R208" s="66">
        <v>1500.0</v>
      </c>
      <c r="S208" s="17">
        <f>FRESADO!$R208*FRESADO!$E208</f>
        <v>1500</v>
      </c>
      <c r="T208" s="17">
        <f>FRESADO!$S208*16%</f>
        <v>240</v>
      </c>
      <c r="U208" s="17">
        <f>FRESADO!$S208+FRESADO!$T208</f>
        <v>1740</v>
      </c>
      <c r="V208" s="52" t="s">
        <v>541</v>
      </c>
      <c r="W208" s="17"/>
      <c r="X208" s="17"/>
      <c r="Y208" s="30"/>
    </row>
    <row r="209" ht="15.75" customHeight="1">
      <c r="A209" s="6">
        <v>26.0</v>
      </c>
      <c r="B209" s="6">
        <v>1.0</v>
      </c>
      <c r="C209" s="6">
        <v>408.0</v>
      </c>
      <c r="D209" s="25">
        <v>46195.0</v>
      </c>
      <c r="E209" s="6">
        <v>1.0</v>
      </c>
      <c r="F209" s="6" t="s">
        <v>74</v>
      </c>
      <c r="G209" s="6" t="s">
        <v>162</v>
      </c>
      <c r="H209" s="6">
        <v>14.0</v>
      </c>
      <c r="I209" s="6" t="s">
        <v>34</v>
      </c>
      <c r="J209" s="6" t="s">
        <v>406</v>
      </c>
      <c r="K209" s="11" t="s">
        <v>36</v>
      </c>
      <c r="L209" s="6"/>
      <c r="M209" s="6"/>
      <c r="N209" s="6" t="s">
        <v>398</v>
      </c>
      <c r="O209" s="6" t="s">
        <v>189</v>
      </c>
      <c r="P209" s="6" t="s">
        <v>546</v>
      </c>
      <c r="Q209" s="88" t="s">
        <v>399</v>
      </c>
      <c r="R209" s="16">
        <v>3000.0</v>
      </c>
      <c r="S209" s="17">
        <f>FRESADO!$R209*FRESADO!$E209</f>
        <v>3000</v>
      </c>
      <c r="T209" s="17">
        <f>FRESADO!$S209*16%</f>
        <v>480</v>
      </c>
      <c r="U209" s="17">
        <f>FRESADO!$S209+FRESADO!$T209</f>
        <v>3480</v>
      </c>
      <c r="V209" s="17" t="s">
        <v>215</v>
      </c>
      <c r="W209" s="17" t="s">
        <v>44</v>
      </c>
      <c r="X209" s="17"/>
      <c r="Y209" s="30"/>
      <c r="Z209" s="89" t="s">
        <v>399</v>
      </c>
    </row>
    <row r="210" ht="15.75" customHeight="1">
      <c r="A210" s="6">
        <v>26.0</v>
      </c>
      <c r="B210" s="6">
        <v>2.0</v>
      </c>
      <c r="C210" s="6">
        <v>409.0</v>
      </c>
      <c r="D210" s="25">
        <v>46195.0</v>
      </c>
      <c r="E210" s="6">
        <v>1.0</v>
      </c>
      <c r="F210" s="6" t="s">
        <v>74</v>
      </c>
      <c r="G210" s="6" t="s">
        <v>192</v>
      </c>
      <c r="H210" s="6">
        <v>14.0</v>
      </c>
      <c r="I210" s="6" t="s">
        <v>34</v>
      </c>
      <c r="J210" s="6" t="s">
        <v>41</v>
      </c>
      <c r="K210" s="11" t="s">
        <v>36</v>
      </c>
      <c r="L210" s="6"/>
      <c r="M210" s="6"/>
      <c r="N210" s="6" t="s">
        <v>398</v>
      </c>
      <c r="O210" s="6" t="s">
        <v>189</v>
      </c>
      <c r="P210" s="6" t="s">
        <v>546</v>
      </c>
      <c r="Q210" s="88" t="s">
        <v>399</v>
      </c>
      <c r="R210" s="16">
        <v>3000.0</v>
      </c>
      <c r="S210" s="17">
        <f>FRESADO!$R210*FRESADO!$E210</f>
        <v>3000</v>
      </c>
      <c r="T210" s="17">
        <f>FRESADO!$S210*16%</f>
        <v>480</v>
      </c>
      <c r="U210" s="17">
        <f>FRESADO!$S210+FRESADO!$T210</f>
        <v>3480</v>
      </c>
      <c r="V210" s="17" t="s">
        <v>215</v>
      </c>
      <c r="W210" s="17" t="s">
        <v>44</v>
      </c>
      <c r="X210" s="17"/>
      <c r="Y210" s="30"/>
      <c r="Z210" s="89" t="s">
        <v>399</v>
      </c>
    </row>
    <row r="211" ht="15.75" customHeight="1">
      <c r="A211" s="6">
        <v>26.0</v>
      </c>
      <c r="B211" s="6">
        <v>3.0</v>
      </c>
      <c r="C211" s="6">
        <v>410.0</v>
      </c>
      <c r="D211" s="25">
        <v>46195.0</v>
      </c>
      <c r="E211" s="6">
        <v>1.0</v>
      </c>
      <c r="F211" s="6" t="s">
        <v>74</v>
      </c>
      <c r="G211" s="6" t="s">
        <v>339</v>
      </c>
      <c r="H211" s="6">
        <v>14.0</v>
      </c>
      <c r="I211" s="6" t="s">
        <v>34</v>
      </c>
      <c r="J211" s="6" t="s">
        <v>272</v>
      </c>
      <c r="K211" s="11" t="s">
        <v>36</v>
      </c>
      <c r="L211" s="6"/>
      <c r="M211" s="6"/>
      <c r="N211" s="6" t="s">
        <v>340</v>
      </c>
      <c r="O211" s="6" t="s">
        <v>189</v>
      </c>
      <c r="P211" s="6" t="s">
        <v>546</v>
      </c>
      <c r="Q211" s="88"/>
      <c r="R211" s="16">
        <v>2500.0</v>
      </c>
      <c r="S211" s="17">
        <f>FRESADO!$R211*FRESADO!$E211</f>
        <v>2500</v>
      </c>
      <c r="T211" s="17">
        <f>FRESADO!$S211*16%</f>
        <v>400</v>
      </c>
      <c r="U211" s="17">
        <f>FRESADO!$S211+FRESADO!$T211</f>
        <v>2900</v>
      </c>
      <c r="V211" s="17" t="s">
        <v>215</v>
      </c>
      <c r="W211" s="17" t="s">
        <v>44</v>
      </c>
      <c r="X211" s="17"/>
      <c r="Y211" s="30"/>
      <c r="Z211" s="31" t="s">
        <v>77</v>
      </c>
    </row>
    <row r="212" ht="15.75" customHeight="1">
      <c r="A212" s="6">
        <v>26.0</v>
      </c>
      <c r="B212" s="6">
        <v>4.0</v>
      </c>
      <c r="C212" s="6">
        <v>411.0</v>
      </c>
      <c r="D212" s="25">
        <v>46195.0</v>
      </c>
      <c r="E212" s="6">
        <v>1.0</v>
      </c>
      <c r="F212" s="6" t="s">
        <v>74</v>
      </c>
      <c r="G212" s="6" t="s">
        <v>347</v>
      </c>
      <c r="H212" s="6">
        <v>14.0</v>
      </c>
      <c r="I212" s="6" t="s">
        <v>34</v>
      </c>
      <c r="J212" s="6" t="s">
        <v>70</v>
      </c>
      <c r="K212" s="11" t="s">
        <v>36</v>
      </c>
      <c r="L212" s="6"/>
      <c r="M212" s="6"/>
      <c r="N212" s="6" t="s">
        <v>340</v>
      </c>
      <c r="O212" s="6" t="s">
        <v>189</v>
      </c>
      <c r="P212" s="6" t="s">
        <v>546</v>
      </c>
      <c r="Q212" s="88"/>
      <c r="R212" s="16">
        <v>2500.0</v>
      </c>
      <c r="S212" s="17">
        <f>FRESADO!$R212*FRESADO!$E212</f>
        <v>2500</v>
      </c>
      <c r="T212" s="17">
        <f>FRESADO!$S212*16%</f>
        <v>400</v>
      </c>
      <c r="U212" s="17">
        <f>FRESADO!$S212+FRESADO!$T212</f>
        <v>2900</v>
      </c>
      <c r="V212" s="17" t="s">
        <v>215</v>
      </c>
      <c r="W212" s="17" t="s">
        <v>44</v>
      </c>
      <c r="X212" s="17"/>
      <c r="Y212" s="30"/>
      <c r="Z212" s="31" t="s">
        <v>77</v>
      </c>
    </row>
    <row r="213" ht="15.75" customHeight="1">
      <c r="A213" s="6">
        <v>26.0</v>
      </c>
      <c r="B213" s="6">
        <v>5.0</v>
      </c>
      <c r="C213" s="6">
        <v>412.0</v>
      </c>
      <c r="D213" s="25">
        <v>46195.0</v>
      </c>
      <c r="E213" s="6">
        <v>1.0</v>
      </c>
      <c r="F213" s="6" t="s">
        <v>74</v>
      </c>
      <c r="G213" s="6" t="s">
        <v>479</v>
      </c>
      <c r="H213" s="6">
        <v>14.0</v>
      </c>
      <c r="I213" s="6" t="s">
        <v>34</v>
      </c>
      <c r="J213" s="6" t="s">
        <v>190</v>
      </c>
      <c r="K213" s="11" t="s">
        <v>36</v>
      </c>
      <c r="L213" s="6"/>
      <c r="M213" s="6"/>
      <c r="N213" s="6" t="s">
        <v>398</v>
      </c>
      <c r="O213" s="6" t="s">
        <v>189</v>
      </c>
      <c r="P213" s="6" t="s">
        <v>546</v>
      </c>
      <c r="Q213" s="88" t="s">
        <v>399</v>
      </c>
      <c r="R213" s="16">
        <v>3000.0</v>
      </c>
      <c r="S213" s="17">
        <f>FRESADO!$R213*FRESADO!$E213</f>
        <v>3000</v>
      </c>
      <c r="T213" s="17">
        <f>FRESADO!$S213*16%</f>
        <v>480</v>
      </c>
      <c r="U213" s="17">
        <f>FRESADO!$S213+FRESADO!$T213</f>
        <v>3480</v>
      </c>
      <c r="V213" s="17" t="s">
        <v>215</v>
      </c>
      <c r="W213" s="17" t="s">
        <v>44</v>
      </c>
      <c r="X213" s="17"/>
      <c r="Y213" s="30"/>
      <c r="Z213" s="89" t="s">
        <v>399</v>
      </c>
    </row>
    <row r="214" ht="15.75" customHeight="1">
      <c r="A214" s="56">
        <v>26.0</v>
      </c>
      <c r="B214" s="56">
        <v>6.0</v>
      </c>
      <c r="C214" s="56">
        <v>413.0</v>
      </c>
      <c r="D214" s="97">
        <v>46195.0</v>
      </c>
      <c r="E214" s="54">
        <v>0.0</v>
      </c>
      <c r="F214" s="56" t="s">
        <v>182</v>
      </c>
      <c r="G214" s="54">
        <v>0.0</v>
      </c>
      <c r="H214" s="54">
        <v>0.0</v>
      </c>
      <c r="I214" s="54" t="s">
        <v>40</v>
      </c>
      <c r="J214" s="54" t="s">
        <v>183</v>
      </c>
      <c r="K214" s="56" t="s">
        <v>49</v>
      </c>
      <c r="L214" s="56"/>
      <c r="M214" s="56"/>
      <c r="N214" s="56"/>
      <c r="O214" s="56"/>
      <c r="P214" s="56"/>
      <c r="Q214" s="56" t="s">
        <v>182</v>
      </c>
      <c r="R214" s="59">
        <v>0.0</v>
      </c>
      <c r="S214" s="81">
        <f>FRESADO!$R214*FRESADO!$E214</f>
        <v>0</v>
      </c>
      <c r="T214" s="81">
        <f>FRESADO!$S214*16%</f>
        <v>0</v>
      </c>
      <c r="U214" s="81">
        <f>FRESADO!$S214+FRESADO!$T214</f>
        <v>0</v>
      </c>
      <c r="V214" s="56" t="s">
        <v>182</v>
      </c>
      <c r="W214" s="81"/>
      <c r="X214" s="81"/>
      <c r="Y214" s="82"/>
      <c r="Z214" s="83"/>
    </row>
    <row r="215" ht="15.75" customHeight="1">
      <c r="A215" s="6">
        <v>26.0</v>
      </c>
      <c r="B215" s="6">
        <v>7.0</v>
      </c>
      <c r="C215" s="6">
        <v>414.0</v>
      </c>
      <c r="D215" s="25">
        <v>46195.0</v>
      </c>
      <c r="E215" s="6">
        <v>1.0</v>
      </c>
      <c r="F215" s="6" t="s">
        <v>74</v>
      </c>
      <c r="G215" s="6" t="s">
        <v>339</v>
      </c>
      <c r="H215" s="6">
        <v>14.0</v>
      </c>
      <c r="I215" s="6" t="s">
        <v>34</v>
      </c>
      <c r="J215" s="6" t="s">
        <v>272</v>
      </c>
      <c r="K215" s="11" t="s">
        <v>36</v>
      </c>
      <c r="L215" s="6"/>
      <c r="M215" s="6"/>
      <c r="N215" s="6" t="s">
        <v>340</v>
      </c>
      <c r="O215" s="6" t="s">
        <v>189</v>
      </c>
      <c r="P215" s="6" t="s">
        <v>546</v>
      </c>
      <c r="Q215" s="88"/>
      <c r="R215" s="16">
        <v>2500.0</v>
      </c>
      <c r="S215" s="17">
        <f>FRESADO!$R215*FRESADO!$E215</f>
        <v>2500</v>
      </c>
      <c r="T215" s="17">
        <f>FRESADO!$S215*16%</f>
        <v>400</v>
      </c>
      <c r="U215" s="17">
        <f>FRESADO!$S215+FRESADO!$T215</f>
        <v>2900</v>
      </c>
      <c r="V215" s="17" t="s">
        <v>215</v>
      </c>
      <c r="W215" s="17" t="s">
        <v>44</v>
      </c>
      <c r="X215" s="17"/>
      <c r="Y215" s="30"/>
      <c r="Z215" s="31" t="s">
        <v>77</v>
      </c>
    </row>
    <row r="216" ht="15.75" customHeight="1">
      <c r="A216" s="6">
        <v>26.0</v>
      </c>
      <c r="B216" s="6">
        <v>8.0</v>
      </c>
      <c r="C216" s="6">
        <v>415.0</v>
      </c>
      <c r="D216" s="25">
        <v>46195.0</v>
      </c>
      <c r="E216" s="6">
        <v>1.0</v>
      </c>
      <c r="F216" s="6" t="s">
        <v>74</v>
      </c>
      <c r="G216" s="6" t="s">
        <v>347</v>
      </c>
      <c r="H216" s="6">
        <v>14.0</v>
      </c>
      <c r="I216" s="6" t="s">
        <v>34</v>
      </c>
      <c r="J216" s="6" t="s">
        <v>89</v>
      </c>
      <c r="K216" s="11" t="s">
        <v>36</v>
      </c>
      <c r="L216" s="6"/>
      <c r="M216" s="6"/>
      <c r="N216" s="6" t="s">
        <v>340</v>
      </c>
      <c r="O216" s="6" t="s">
        <v>189</v>
      </c>
      <c r="P216" s="6" t="s">
        <v>546</v>
      </c>
      <c r="Q216" s="88"/>
      <c r="R216" s="16">
        <v>2500.0</v>
      </c>
      <c r="S216" s="17">
        <f>FRESADO!$R216*FRESADO!$E216</f>
        <v>2500</v>
      </c>
      <c r="T216" s="17">
        <f>FRESADO!$S216*16%</f>
        <v>400</v>
      </c>
      <c r="U216" s="17">
        <f>FRESADO!$S216+FRESADO!$T216</f>
        <v>2900</v>
      </c>
      <c r="V216" s="17" t="s">
        <v>215</v>
      </c>
      <c r="W216" s="17" t="s">
        <v>44</v>
      </c>
      <c r="X216" s="17"/>
      <c r="Y216" s="30"/>
      <c r="Z216" s="31" t="s">
        <v>77</v>
      </c>
    </row>
    <row r="217" ht="15.75" customHeight="1">
      <c r="A217" s="6">
        <v>26.0</v>
      </c>
      <c r="B217" s="6">
        <v>9.0</v>
      </c>
      <c r="C217" s="6">
        <v>416.0</v>
      </c>
      <c r="D217" s="25">
        <v>46195.0</v>
      </c>
      <c r="E217" s="6">
        <v>1.0</v>
      </c>
      <c r="F217" s="6" t="s">
        <v>74</v>
      </c>
      <c r="G217" s="6" t="s">
        <v>347</v>
      </c>
      <c r="H217" s="6">
        <v>14.0</v>
      </c>
      <c r="I217" s="6" t="s">
        <v>34</v>
      </c>
      <c r="J217" s="6" t="s">
        <v>70</v>
      </c>
      <c r="K217" s="11" t="s">
        <v>36</v>
      </c>
      <c r="L217" s="6"/>
      <c r="M217" s="6"/>
      <c r="N217" s="6" t="s">
        <v>340</v>
      </c>
      <c r="O217" s="6" t="s">
        <v>189</v>
      </c>
      <c r="P217" s="6" t="s">
        <v>546</v>
      </c>
      <c r="Q217" s="88"/>
      <c r="R217" s="16">
        <v>2500.0</v>
      </c>
      <c r="S217" s="17">
        <f>FRESADO!$R217*FRESADO!$E217</f>
        <v>2500</v>
      </c>
      <c r="T217" s="17">
        <f>FRESADO!$S217*16%</f>
        <v>400</v>
      </c>
      <c r="U217" s="17">
        <f>FRESADO!$S217+FRESADO!$T217</f>
        <v>2900</v>
      </c>
      <c r="V217" s="17" t="s">
        <v>215</v>
      </c>
      <c r="W217" s="17" t="s">
        <v>44</v>
      </c>
      <c r="X217" s="17"/>
      <c r="Y217" s="30"/>
      <c r="Z217" s="31" t="s">
        <v>77</v>
      </c>
    </row>
    <row r="218" ht="15.75" customHeight="1">
      <c r="A218" s="6">
        <v>26.0</v>
      </c>
      <c r="B218" s="6">
        <v>10.0</v>
      </c>
      <c r="C218" s="6">
        <v>417.0</v>
      </c>
      <c r="D218" s="25">
        <v>46195.0</v>
      </c>
      <c r="E218" s="6">
        <v>1.0</v>
      </c>
      <c r="F218" s="6" t="s">
        <v>74</v>
      </c>
      <c r="G218" s="6" t="s">
        <v>339</v>
      </c>
      <c r="H218" s="6">
        <v>14.0</v>
      </c>
      <c r="I218" s="6" t="s">
        <v>34</v>
      </c>
      <c r="J218" s="6" t="s">
        <v>272</v>
      </c>
      <c r="K218" s="11" t="s">
        <v>36</v>
      </c>
      <c r="L218" s="6"/>
      <c r="M218" s="6"/>
      <c r="N218" s="6" t="s">
        <v>340</v>
      </c>
      <c r="O218" s="6" t="s">
        <v>189</v>
      </c>
      <c r="P218" s="6" t="s">
        <v>546</v>
      </c>
      <c r="Q218" s="88"/>
      <c r="R218" s="16">
        <v>2500.0</v>
      </c>
      <c r="S218" s="17">
        <f>FRESADO!$R218*FRESADO!$E218</f>
        <v>2500</v>
      </c>
      <c r="T218" s="17">
        <f>FRESADO!$S218*16%</f>
        <v>400</v>
      </c>
      <c r="U218" s="17">
        <f>FRESADO!$S218+FRESADO!$T218</f>
        <v>2900</v>
      </c>
      <c r="V218" s="17" t="s">
        <v>215</v>
      </c>
      <c r="W218" s="17" t="s">
        <v>44</v>
      </c>
      <c r="X218" s="17"/>
      <c r="Y218" s="30"/>
      <c r="Z218" s="31" t="s">
        <v>77</v>
      </c>
    </row>
    <row r="219" ht="15.75" customHeight="1">
      <c r="A219" s="6">
        <v>26.0</v>
      </c>
      <c r="B219" s="6">
        <v>11.0</v>
      </c>
      <c r="C219" s="6">
        <v>418.0</v>
      </c>
      <c r="D219" s="25">
        <v>46195.0</v>
      </c>
      <c r="E219" s="6">
        <v>1.0</v>
      </c>
      <c r="F219" s="6" t="s">
        <v>74</v>
      </c>
      <c r="G219" s="6" t="s">
        <v>238</v>
      </c>
      <c r="H219" s="6">
        <v>14.0</v>
      </c>
      <c r="I219" s="6" t="s">
        <v>34</v>
      </c>
      <c r="J219" s="6" t="s">
        <v>89</v>
      </c>
      <c r="K219" s="11" t="s">
        <v>36</v>
      </c>
      <c r="L219" s="6"/>
      <c r="M219" s="6"/>
      <c r="N219" s="6" t="s">
        <v>340</v>
      </c>
      <c r="O219" s="6" t="s">
        <v>189</v>
      </c>
      <c r="P219" s="6" t="s">
        <v>546</v>
      </c>
      <c r="Q219" s="88"/>
      <c r="R219" s="16">
        <v>2500.0</v>
      </c>
      <c r="S219" s="17">
        <f>FRESADO!$R219*FRESADO!$E219</f>
        <v>2500</v>
      </c>
      <c r="T219" s="17">
        <f>FRESADO!$S219*16%</f>
        <v>400</v>
      </c>
      <c r="U219" s="17">
        <f>FRESADO!$S219+FRESADO!$T219</f>
        <v>2900</v>
      </c>
      <c r="V219" s="17" t="s">
        <v>215</v>
      </c>
      <c r="W219" s="17" t="s">
        <v>44</v>
      </c>
      <c r="X219" s="17"/>
      <c r="Y219" s="30"/>
      <c r="Z219" s="31" t="s">
        <v>77</v>
      </c>
    </row>
    <row r="220" ht="15.75" customHeight="1">
      <c r="A220" s="56">
        <v>26.0</v>
      </c>
      <c r="B220" s="56">
        <v>12.0</v>
      </c>
      <c r="C220" s="56">
        <v>419.0</v>
      </c>
      <c r="D220" s="97">
        <v>46195.0</v>
      </c>
      <c r="E220" s="56">
        <v>0.0</v>
      </c>
      <c r="F220" s="56" t="s">
        <v>182</v>
      </c>
      <c r="G220" s="54">
        <v>0.0</v>
      </c>
      <c r="H220" s="54">
        <v>0.0</v>
      </c>
      <c r="I220" s="54" t="s">
        <v>40</v>
      </c>
      <c r="J220" s="54" t="s">
        <v>183</v>
      </c>
      <c r="K220" s="56" t="s">
        <v>49</v>
      </c>
      <c r="L220" s="56"/>
      <c r="M220" s="56"/>
      <c r="N220" s="56"/>
      <c r="O220" s="56"/>
      <c r="P220" s="56"/>
      <c r="Q220" s="56" t="s">
        <v>182</v>
      </c>
      <c r="R220" s="59">
        <v>0.0</v>
      </c>
      <c r="S220" s="81">
        <f>FRESADO!$R220*FRESADO!$E220</f>
        <v>0</v>
      </c>
      <c r="T220" s="81">
        <f>FRESADO!$S220*16%</f>
        <v>0</v>
      </c>
      <c r="U220" s="81">
        <f>FRESADO!$S220+FRESADO!$T220</f>
        <v>0</v>
      </c>
      <c r="V220" s="56" t="s">
        <v>182</v>
      </c>
      <c r="W220" s="81"/>
      <c r="X220" s="81"/>
      <c r="Y220" s="82"/>
      <c r="Z220" s="83"/>
    </row>
    <row r="221" ht="15.75" customHeight="1">
      <c r="A221" s="6">
        <v>26.0</v>
      </c>
      <c r="B221" s="6">
        <v>13.0</v>
      </c>
      <c r="C221" s="6">
        <v>420.0</v>
      </c>
      <c r="D221" s="25">
        <v>46195.0</v>
      </c>
      <c r="E221" s="6">
        <v>1.0</v>
      </c>
      <c r="F221" s="6" t="s">
        <v>74</v>
      </c>
      <c r="G221" s="6" t="s">
        <v>347</v>
      </c>
      <c r="H221" s="6">
        <v>14.0</v>
      </c>
      <c r="I221" s="6" t="s">
        <v>34</v>
      </c>
      <c r="J221" s="6" t="s">
        <v>70</v>
      </c>
      <c r="K221" s="11" t="s">
        <v>36</v>
      </c>
      <c r="L221" s="6"/>
      <c r="M221" s="6"/>
      <c r="N221" s="6" t="s">
        <v>340</v>
      </c>
      <c r="O221" s="6" t="s">
        <v>189</v>
      </c>
      <c r="P221" s="6" t="s">
        <v>546</v>
      </c>
      <c r="Q221" s="88"/>
      <c r="R221" s="16">
        <v>2500.0</v>
      </c>
      <c r="S221" s="17">
        <f>FRESADO!$R221*FRESADO!$E221</f>
        <v>2500</v>
      </c>
      <c r="T221" s="17">
        <f>FRESADO!$S221*16%</f>
        <v>400</v>
      </c>
      <c r="U221" s="17">
        <f>FRESADO!$S221+FRESADO!$T221</f>
        <v>2900</v>
      </c>
      <c r="V221" s="17" t="s">
        <v>215</v>
      </c>
      <c r="W221" s="17" t="s">
        <v>44</v>
      </c>
      <c r="X221" s="17"/>
      <c r="Y221" s="30"/>
      <c r="Z221" s="31" t="s">
        <v>77</v>
      </c>
    </row>
    <row r="222" ht="15.75" customHeight="1">
      <c r="A222" s="6">
        <v>26.0</v>
      </c>
      <c r="B222" s="6">
        <v>14.0</v>
      </c>
      <c r="C222" s="115">
        <v>421.0</v>
      </c>
      <c r="D222" s="116">
        <v>46195.0</v>
      </c>
      <c r="E222" s="6">
        <v>1.0</v>
      </c>
      <c r="F222" s="6" t="s">
        <v>388</v>
      </c>
      <c r="G222" s="6" t="s">
        <v>583</v>
      </c>
      <c r="H222" s="34">
        <v>7.0</v>
      </c>
      <c r="I222" s="6" t="s">
        <v>34</v>
      </c>
      <c r="J222" s="6" t="s">
        <v>584</v>
      </c>
      <c r="K222" s="34" t="s">
        <v>50</v>
      </c>
      <c r="L222" s="6"/>
      <c r="M222" s="6"/>
      <c r="N222" s="6" t="s">
        <v>340</v>
      </c>
      <c r="O222" s="6" t="s">
        <v>189</v>
      </c>
      <c r="P222" s="6" t="s">
        <v>546</v>
      </c>
      <c r="Q222" s="88" t="s">
        <v>390</v>
      </c>
      <c r="R222" s="66">
        <v>4500.0</v>
      </c>
      <c r="S222" s="17">
        <f>FRESADO!$R222*FRESADO!$E222</f>
        <v>4500</v>
      </c>
      <c r="T222" s="17">
        <f>FRESADO!$S222*16%</f>
        <v>720</v>
      </c>
      <c r="U222" s="17">
        <f>FRESADO!$S222+FRESADO!$T222</f>
        <v>5220</v>
      </c>
      <c r="V222" s="52" t="s">
        <v>110</v>
      </c>
      <c r="W222" s="52" t="s">
        <v>44</v>
      </c>
      <c r="X222" s="34" t="s">
        <v>335</v>
      </c>
      <c r="Y222" s="30"/>
    </row>
    <row r="223" ht="15.75" customHeight="1">
      <c r="A223" s="6">
        <v>26.0</v>
      </c>
      <c r="B223" s="6">
        <v>15.0</v>
      </c>
      <c r="C223" s="115">
        <v>422.0</v>
      </c>
      <c r="D223" s="116">
        <v>46196.0</v>
      </c>
      <c r="E223" s="6">
        <v>1.0</v>
      </c>
      <c r="F223" s="6" t="s">
        <v>388</v>
      </c>
      <c r="G223" s="6" t="s">
        <v>583</v>
      </c>
      <c r="H223" s="34">
        <v>7.0</v>
      </c>
      <c r="I223" s="6" t="s">
        <v>34</v>
      </c>
      <c r="J223" s="6" t="s">
        <v>584</v>
      </c>
      <c r="K223" s="34" t="s">
        <v>50</v>
      </c>
      <c r="L223" s="6"/>
      <c r="M223" s="6"/>
      <c r="N223" s="6" t="s">
        <v>340</v>
      </c>
      <c r="O223" s="6" t="s">
        <v>189</v>
      </c>
      <c r="P223" s="6" t="s">
        <v>546</v>
      </c>
      <c r="Q223" s="88" t="s">
        <v>390</v>
      </c>
      <c r="R223" s="66">
        <v>4500.0</v>
      </c>
      <c r="S223" s="17">
        <f>FRESADO!$R223*FRESADO!$E223</f>
        <v>4500</v>
      </c>
      <c r="T223" s="17">
        <f>FRESADO!$S223*16%</f>
        <v>720</v>
      </c>
      <c r="U223" s="17">
        <f>FRESADO!$S223+FRESADO!$T223</f>
        <v>5220</v>
      </c>
      <c r="V223" s="52" t="s">
        <v>110</v>
      </c>
      <c r="W223" s="52" t="s">
        <v>44</v>
      </c>
      <c r="X223" s="34" t="s">
        <v>335</v>
      </c>
      <c r="Y223" s="30"/>
    </row>
    <row r="224" ht="15.75" customHeight="1">
      <c r="A224" s="56">
        <v>26.0</v>
      </c>
      <c r="B224" s="56">
        <v>16.0</v>
      </c>
      <c r="C224" s="56">
        <v>423.0</v>
      </c>
      <c r="D224" s="97">
        <v>46197.0</v>
      </c>
      <c r="E224" s="56">
        <v>0.0</v>
      </c>
      <c r="F224" s="56" t="s">
        <v>182</v>
      </c>
      <c r="G224" s="54">
        <v>0.0</v>
      </c>
      <c r="H224" s="54">
        <v>0.0</v>
      </c>
      <c r="I224" s="54" t="s">
        <v>40</v>
      </c>
      <c r="J224" s="54" t="s">
        <v>183</v>
      </c>
      <c r="K224" s="56" t="s">
        <v>49</v>
      </c>
      <c r="L224" s="56"/>
      <c r="M224" s="56"/>
      <c r="N224" s="56"/>
      <c r="O224" s="56"/>
      <c r="P224" s="56"/>
      <c r="Q224" s="56" t="s">
        <v>182</v>
      </c>
      <c r="R224" s="59">
        <v>0.0</v>
      </c>
      <c r="S224" s="81">
        <f>FRESADO!$R224*FRESADO!$E224</f>
        <v>0</v>
      </c>
      <c r="T224" s="81">
        <f>FRESADO!$S224*16%</f>
        <v>0</v>
      </c>
      <c r="U224" s="81">
        <f>FRESADO!$S224+FRESADO!$T224</f>
        <v>0</v>
      </c>
      <c r="V224" s="56" t="s">
        <v>182</v>
      </c>
      <c r="W224" s="81"/>
      <c r="X224" s="81"/>
      <c r="Y224" s="82"/>
      <c r="Z224" s="83"/>
    </row>
    <row r="225" ht="15.75" customHeight="1">
      <c r="A225" s="6">
        <v>26.0</v>
      </c>
      <c r="B225" s="6">
        <v>17.0</v>
      </c>
      <c r="C225" s="6">
        <v>424.0</v>
      </c>
      <c r="D225" s="25">
        <v>46197.0</v>
      </c>
      <c r="E225" s="6">
        <v>1.0</v>
      </c>
      <c r="F225" s="6" t="s">
        <v>74</v>
      </c>
      <c r="G225" s="6" t="s">
        <v>192</v>
      </c>
      <c r="H225" s="6">
        <v>14.0</v>
      </c>
      <c r="I225" s="6" t="s">
        <v>34</v>
      </c>
      <c r="J225" s="6" t="s">
        <v>41</v>
      </c>
      <c r="K225" s="11" t="s">
        <v>36</v>
      </c>
      <c r="L225" s="6"/>
      <c r="M225" s="6"/>
      <c r="N225" s="6" t="s">
        <v>340</v>
      </c>
      <c r="O225" s="6" t="s">
        <v>189</v>
      </c>
      <c r="P225" s="6" t="s">
        <v>546</v>
      </c>
      <c r="Q225" s="88"/>
      <c r="R225" s="16">
        <v>2500.0</v>
      </c>
      <c r="S225" s="17">
        <f>FRESADO!$R225*FRESADO!$E225</f>
        <v>2500</v>
      </c>
      <c r="T225" s="17">
        <f>FRESADO!$S225*16%</f>
        <v>400</v>
      </c>
      <c r="U225" s="17">
        <f>FRESADO!$S225+FRESADO!$T225</f>
        <v>2900</v>
      </c>
      <c r="V225" s="17" t="s">
        <v>215</v>
      </c>
      <c r="W225" s="17" t="s">
        <v>44</v>
      </c>
      <c r="X225" s="17"/>
      <c r="Y225" s="30"/>
      <c r="Z225" s="31" t="s">
        <v>77</v>
      </c>
    </row>
    <row r="226" ht="15.75" customHeight="1">
      <c r="A226" s="6">
        <v>26.0</v>
      </c>
      <c r="B226" s="6">
        <v>18.0</v>
      </c>
      <c r="C226" s="6">
        <v>425.0</v>
      </c>
      <c r="D226" s="25">
        <v>46197.0</v>
      </c>
      <c r="E226" s="6">
        <v>1.0</v>
      </c>
      <c r="F226" s="6" t="s">
        <v>74</v>
      </c>
      <c r="G226" s="6" t="s">
        <v>280</v>
      </c>
      <c r="H226" s="6">
        <v>14.0</v>
      </c>
      <c r="I226" s="6" t="s">
        <v>34</v>
      </c>
      <c r="J226" s="6" t="s">
        <v>272</v>
      </c>
      <c r="K226" s="11" t="s">
        <v>36</v>
      </c>
      <c r="L226" s="6"/>
      <c r="M226" s="6"/>
      <c r="N226" s="6" t="s">
        <v>340</v>
      </c>
      <c r="O226" s="6" t="s">
        <v>189</v>
      </c>
      <c r="P226" s="6" t="s">
        <v>546</v>
      </c>
      <c r="Q226" s="88"/>
      <c r="R226" s="16">
        <v>2500.0</v>
      </c>
      <c r="S226" s="17">
        <f>FRESADO!$R226*FRESADO!$E226</f>
        <v>2500</v>
      </c>
      <c r="T226" s="17">
        <f>FRESADO!$S226*16%</f>
        <v>400</v>
      </c>
      <c r="U226" s="17">
        <f>FRESADO!$S226+FRESADO!$T226</f>
        <v>2900</v>
      </c>
      <c r="V226" s="17" t="s">
        <v>215</v>
      </c>
      <c r="W226" s="17" t="s">
        <v>44</v>
      </c>
      <c r="X226" s="17"/>
      <c r="Y226" s="30"/>
      <c r="Z226" s="31" t="s">
        <v>77</v>
      </c>
    </row>
    <row r="227" ht="15.75" customHeight="1">
      <c r="A227" s="6">
        <v>26.0</v>
      </c>
      <c r="B227" s="6">
        <v>19.0</v>
      </c>
      <c r="C227" s="119">
        <v>426.0</v>
      </c>
      <c r="D227" s="116">
        <v>46197.0</v>
      </c>
      <c r="E227" s="6">
        <v>1.0</v>
      </c>
      <c r="F227" s="6" t="s">
        <v>74</v>
      </c>
      <c r="G227" s="6" t="s">
        <v>625</v>
      </c>
      <c r="H227" s="6">
        <v>14.0</v>
      </c>
      <c r="I227" s="6" t="s">
        <v>34</v>
      </c>
      <c r="J227" s="6" t="s">
        <v>200</v>
      </c>
      <c r="K227" s="34" t="s">
        <v>50</v>
      </c>
      <c r="L227" s="6"/>
      <c r="M227" s="6"/>
      <c r="N227" s="6" t="s">
        <v>398</v>
      </c>
      <c r="O227" s="6" t="s">
        <v>189</v>
      </c>
      <c r="P227" s="6" t="s">
        <v>546</v>
      </c>
      <c r="Q227" s="88" t="s">
        <v>399</v>
      </c>
      <c r="R227" s="66">
        <v>2900.0</v>
      </c>
      <c r="S227" s="17">
        <f>FRESADO!$R227*FRESADO!$E227</f>
        <v>2900</v>
      </c>
      <c r="T227" s="17">
        <f>FRESADO!$S227*16%</f>
        <v>464</v>
      </c>
      <c r="U227" s="17">
        <f>FRESADO!$S227+FRESADO!$T227</f>
        <v>3364</v>
      </c>
      <c r="V227" s="52" t="s">
        <v>110</v>
      </c>
      <c r="W227" s="52" t="s">
        <v>44</v>
      </c>
      <c r="X227" s="34" t="s">
        <v>335</v>
      </c>
      <c r="Y227" s="30"/>
      <c r="Z227" s="89" t="s">
        <v>399</v>
      </c>
    </row>
    <row r="228" ht="15.75" customHeight="1">
      <c r="A228" s="6">
        <v>26.0</v>
      </c>
      <c r="B228" s="6">
        <v>20.0</v>
      </c>
      <c r="C228" s="119">
        <v>427.0</v>
      </c>
      <c r="D228" s="116">
        <v>46197.0</v>
      </c>
      <c r="E228" s="6">
        <v>1.0</v>
      </c>
      <c r="F228" s="6" t="s">
        <v>74</v>
      </c>
      <c r="G228" s="6" t="s">
        <v>353</v>
      </c>
      <c r="H228" s="6">
        <v>14.0</v>
      </c>
      <c r="I228" s="6" t="s">
        <v>34</v>
      </c>
      <c r="J228" s="6" t="s">
        <v>114</v>
      </c>
      <c r="K228" s="34" t="s">
        <v>50</v>
      </c>
      <c r="L228" s="6"/>
      <c r="M228" s="6"/>
      <c r="N228" s="6" t="s">
        <v>398</v>
      </c>
      <c r="O228" s="6" t="s">
        <v>189</v>
      </c>
      <c r="P228" s="6" t="s">
        <v>546</v>
      </c>
      <c r="Q228" s="88" t="s">
        <v>399</v>
      </c>
      <c r="R228" s="66">
        <v>2900.0</v>
      </c>
      <c r="S228" s="17">
        <f>FRESADO!$R228*FRESADO!$E228</f>
        <v>2900</v>
      </c>
      <c r="T228" s="17">
        <f>FRESADO!$S228*16%</f>
        <v>464</v>
      </c>
      <c r="U228" s="17">
        <f>FRESADO!$S228+FRESADO!$T228</f>
        <v>3364</v>
      </c>
      <c r="V228" s="52" t="s">
        <v>110</v>
      </c>
      <c r="W228" s="52" t="s">
        <v>44</v>
      </c>
      <c r="X228" s="34" t="s">
        <v>335</v>
      </c>
      <c r="Y228" s="30"/>
      <c r="Z228" s="89" t="s">
        <v>399</v>
      </c>
    </row>
    <row r="229" ht="15.75" customHeight="1">
      <c r="A229" s="6">
        <v>26.0</v>
      </c>
      <c r="B229" s="6">
        <v>21.0</v>
      </c>
      <c r="C229" s="6">
        <v>428.0</v>
      </c>
      <c r="D229" s="25">
        <v>46197.0</v>
      </c>
      <c r="E229" s="6">
        <v>1.0</v>
      </c>
      <c r="F229" s="6" t="s">
        <v>74</v>
      </c>
      <c r="G229" s="6" t="s">
        <v>198</v>
      </c>
      <c r="H229" s="6">
        <v>14.0</v>
      </c>
      <c r="I229" s="6" t="s">
        <v>34</v>
      </c>
      <c r="J229" s="6" t="s">
        <v>487</v>
      </c>
      <c r="K229" s="11" t="s">
        <v>36</v>
      </c>
      <c r="L229" s="6"/>
      <c r="M229" s="6"/>
      <c r="N229" s="6" t="s">
        <v>398</v>
      </c>
      <c r="O229" s="6" t="s">
        <v>189</v>
      </c>
      <c r="P229" s="6" t="s">
        <v>546</v>
      </c>
      <c r="Q229" s="88" t="s">
        <v>399</v>
      </c>
      <c r="R229" s="16">
        <v>3000.0</v>
      </c>
      <c r="S229" s="17">
        <f>FRESADO!$R229*FRESADO!$E229</f>
        <v>3000</v>
      </c>
      <c r="T229" s="17">
        <f>FRESADO!$S229*16%</f>
        <v>480</v>
      </c>
      <c r="U229" s="17">
        <f>FRESADO!$S229+FRESADO!$T229</f>
        <v>3480</v>
      </c>
      <c r="V229" s="17" t="s">
        <v>215</v>
      </c>
      <c r="W229" s="17" t="s">
        <v>44</v>
      </c>
      <c r="X229" s="17"/>
      <c r="Y229" s="30"/>
      <c r="Z229" s="89" t="s">
        <v>399</v>
      </c>
    </row>
    <row r="230" ht="15.75" customHeight="1">
      <c r="A230" s="6">
        <v>26.0</v>
      </c>
      <c r="B230" s="6">
        <v>22.0</v>
      </c>
      <c r="C230" s="6">
        <v>429.0</v>
      </c>
      <c r="D230" s="25">
        <v>46197.0</v>
      </c>
      <c r="E230" s="6">
        <v>1.0</v>
      </c>
      <c r="F230" s="6" t="s">
        <v>74</v>
      </c>
      <c r="G230" s="6" t="s">
        <v>405</v>
      </c>
      <c r="H230" s="6">
        <v>14.0</v>
      </c>
      <c r="I230" s="6" t="s">
        <v>34</v>
      </c>
      <c r="J230" s="6" t="s">
        <v>662</v>
      </c>
      <c r="K230" s="11" t="s">
        <v>36</v>
      </c>
      <c r="L230" s="6"/>
      <c r="M230" s="6"/>
      <c r="N230" s="6" t="s">
        <v>398</v>
      </c>
      <c r="O230" s="6" t="s">
        <v>189</v>
      </c>
      <c r="P230" s="6" t="s">
        <v>546</v>
      </c>
      <c r="Q230" s="88" t="s">
        <v>399</v>
      </c>
      <c r="R230" s="16">
        <v>3000.0</v>
      </c>
      <c r="S230" s="17">
        <f>FRESADO!$R230*FRESADO!$E230</f>
        <v>3000</v>
      </c>
      <c r="T230" s="17">
        <f>FRESADO!$S230*16%</f>
        <v>480</v>
      </c>
      <c r="U230" s="17">
        <f>FRESADO!$S230+FRESADO!$T230</f>
        <v>3480</v>
      </c>
      <c r="V230" s="17" t="s">
        <v>215</v>
      </c>
      <c r="W230" s="17" t="s">
        <v>44</v>
      </c>
      <c r="X230" s="17"/>
      <c r="Y230" s="30"/>
      <c r="Z230" s="89" t="s">
        <v>399</v>
      </c>
    </row>
    <row r="231" ht="15.75" customHeight="1">
      <c r="A231" s="6">
        <v>26.0</v>
      </c>
      <c r="B231" s="6">
        <v>23.0</v>
      </c>
      <c r="C231" s="6">
        <v>430.0</v>
      </c>
      <c r="D231" s="25">
        <v>46197.0</v>
      </c>
      <c r="E231" s="6">
        <v>1.0</v>
      </c>
      <c r="F231" s="6" t="s">
        <v>74</v>
      </c>
      <c r="G231" s="6" t="s">
        <v>479</v>
      </c>
      <c r="H231" s="6">
        <v>14.0</v>
      </c>
      <c r="I231" s="6" t="s">
        <v>34</v>
      </c>
      <c r="J231" s="6" t="s">
        <v>190</v>
      </c>
      <c r="K231" s="11" t="s">
        <v>36</v>
      </c>
      <c r="L231" s="6"/>
      <c r="M231" s="6"/>
      <c r="N231" s="6" t="s">
        <v>398</v>
      </c>
      <c r="O231" s="6" t="s">
        <v>189</v>
      </c>
      <c r="P231" s="6" t="s">
        <v>546</v>
      </c>
      <c r="Q231" s="88" t="s">
        <v>399</v>
      </c>
      <c r="R231" s="16">
        <v>3000.0</v>
      </c>
      <c r="S231" s="17">
        <f>FRESADO!$R231*FRESADO!$E231</f>
        <v>3000</v>
      </c>
      <c r="T231" s="17">
        <f>FRESADO!$S231*16%</f>
        <v>480</v>
      </c>
      <c r="U231" s="17">
        <f>FRESADO!$S231+FRESADO!$T231</f>
        <v>3480</v>
      </c>
      <c r="V231" s="17" t="s">
        <v>215</v>
      </c>
      <c r="W231" s="17" t="s">
        <v>44</v>
      </c>
      <c r="X231" s="17"/>
      <c r="Y231" s="30"/>
      <c r="Z231" s="89" t="s">
        <v>399</v>
      </c>
    </row>
    <row r="232" ht="15.75" customHeight="1">
      <c r="A232" s="6">
        <v>26.0</v>
      </c>
      <c r="B232" s="6">
        <v>24.0</v>
      </c>
      <c r="C232" s="6">
        <v>431.0</v>
      </c>
      <c r="D232" s="25">
        <v>46197.0</v>
      </c>
      <c r="E232" s="6">
        <v>1.0</v>
      </c>
      <c r="F232" s="6" t="s">
        <v>74</v>
      </c>
      <c r="G232" s="6" t="s">
        <v>347</v>
      </c>
      <c r="H232" s="6">
        <v>14.0</v>
      </c>
      <c r="I232" s="6" t="s">
        <v>34</v>
      </c>
      <c r="J232" s="6" t="s">
        <v>70</v>
      </c>
      <c r="K232" s="11" t="s">
        <v>36</v>
      </c>
      <c r="L232" s="6"/>
      <c r="M232" s="6"/>
      <c r="N232" s="6" t="s">
        <v>340</v>
      </c>
      <c r="O232" s="6" t="s">
        <v>189</v>
      </c>
      <c r="P232" s="6" t="s">
        <v>546</v>
      </c>
      <c r="Q232" s="88"/>
      <c r="R232" s="16">
        <v>2500.0</v>
      </c>
      <c r="S232" s="17">
        <f>FRESADO!$R232*FRESADO!$E232</f>
        <v>2500</v>
      </c>
      <c r="T232" s="17">
        <f>FRESADO!$S232*16%</f>
        <v>400</v>
      </c>
      <c r="U232" s="17">
        <f>FRESADO!$S232+FRESADO!$T232</f>
        <v>2900</v>
      </c>
      <c r="V232" s="17" t="s">
        <v>215</v>
      </c>
      <c r="W232" s="17" t="s">
        <v>44</v>
      </c>
      <c r="X232" s="17"/>
      <c r="Y232" s="30"/>
      <c r="Z232" s="31" t="s">
        <v>77</v>
      </c>
    </row>
    <row r="233" ht="15.75" customHeight="1">
      <c r="A233" s="6">
        <v>26.0</v>
      </c>
      <c r="B233" s="6">
        <v>25.0</v>
      </c>
      <c r="C233" s="6">
        <v>432.0</v>
      </c>
      <c r="D233" s="25">
        <v>46197.0</v>
      </c>
      <c r="E233" s="6">
        <v>1.0</v>
      </c>
      <c r="F233" s="6" t="s">
        <v>74</v>
      </c>
      <c r="G233" s="6" t="s">
        <v>192</v>
      </c>
      <c r="H233" s="6">
        <v>14.0</v>
      </c>
      <c r="I233" s="6" t="s">
        <v>34</v>
      </c>
      <c r="J233" s="6" t="s">
        <v>41</v>
      </c>
      <c r="K233" s="11" t="s">
        <v>36</v>
      </c>
      <c r="L233" s="6"/>
      <c r="M233" s="6"/>
      <c r="N233" s="6" t="s">
        <v>340</v>
      </c>
      <c r="O233" s="6" t="s">
        <v>189</v>
      </c>
      <c r="P233" s="6" t="s">
        <v>546</v>
      </c>
      <c r="Q233" s="88"/>
      <c r="R233" s="16">
        <v>2500.0</v>
      </c>
      <c r="S233" s="17">
        <f>FRESADO!$R233*FRESADO!$E233</f>
        <v>2500</v>
      </c>
      <c r="T233" s="17">
        <f>FRESADO!$S233*16%</f>
        <v>400</v>
      </c>
      <c r="U233" s="17">
        <f>FRESADO!$S233+FRESADO!$T233</f>
        <v>2900</v>
      </c>
      <c r="V233" s="17" t="s">
        <v>215</v>
      </c>
      <c r="W233" s="17" t="s">
        <v>44</v>
      </c>
      <c r="X233" s="17"/>
      <c r="Y233" s="30"/>
      <c r="Z233" s="31" t="s">
        <v>77</v>
      </c>
    </row>
    <row r="234" ht="15.75" customHeight="1">
      <c r="A234" s="6">
        <v>26.0</v>
      </c>
      <c r="B234" s="6">
        <v>26.0</v>
      </c>
      <c r="C234" s="6">
        <v>433.0</v>
      </c>
      <c r="D234" s="25">
        <v>46197.0</v>
      </c>
      <c r="E234" s="6">
        <v>1.0</v>
      </c>
      <c r="F234" s="6" t="s">
        <v>74</v>
      </c>
      <c r="G234" s="6" t="s">
        <v>280</v>
      </c>
      <c r="H234" s="6">
        <v>14.0</v>
      </c>
      <c r="I234" s="6" t="s">
        <v>34</v>
      </c>
      <c r="J234" s="6" t="s">
        <v>272</v>
      </c>
      <c r="K234" s="11" t="s">
        <v>36</v>
      </c>
      <c r="L234" s="6"/>
      <c r="M234" s="6"/>
      <c r="N234" s="6" t="s">
        <v>340</v>
      </c>
      <c r="O234" s="6" t="s">
        <v>189</v>
      </c>
      <c r="P234" s="6" t="s">
        <v>546</v>
      </c>
      <c r="Q234" s="88"/>
      <c r="R234" s="16">
        <v>2500.0</v>
      </c>
      <c r="S234" s="17">
        <f>FRESADO!$R234*FRESADO!$E234</f>
        <v>2500</v>
      </c>
      <c r="T234" s="17">
        <f>FRESADO!$S234*16%</f>
        <v>400</v>
      </c>
      <c r="U234" s="17">
        <f>FRESADO!$S234+FRESADO!$T234</f>
        <v>2900</v>
      </c>
      <c r="V234" s="17" t="s">
        <v>215</v>
      </c>
      <c r="W234" s="17" t="s">
        <v>44</v>
      </c>
      <c r="X234" s="17"/>
      <c r="Y234" s="30"/>
      <c r="Z234" s="31" t="s">
        <v>77</v>
      </c>
    </row>
    <row r="235" ht="15.75" customHeight="1">
      <c r="A235" s="6">
        <v>26.0</v>
      </c>
      <c r="B235" s="6">
        <v>27.0</v>
      </c>
      <c r="C235" s="6">
        <v>434.0</v>
      </c>
      <c r="D235" s="25">
        <v>46197.0</v>
      </c>
      <c r="E235" s="6">
        <v>1.0</v>
      </c>
      <c r="F235" s="6" t="s">
        <v>74</v>
      </c>
      <c r="G235" s="6" t="s">
        <v>347</v>
      </c>
      <c r="H235" s="6">
        <v>14.0</v>
      </c>
      <c r="I235" s="6" t="s">
        <v>34</v>
      </c>
      <c r="J235" s="6" t="s">
        <v>70</v>
      </c>
      <c r="K235" s="11" t="s">
        <v>36</v>
      </c>
      <c r="L235" s="6"/>
      <c r="M235" s="6"/>
      <c r="N235" s="6" t="s">
        <v>340</v>
      </c>
      <c r="O235" s="6" t="s">
        <v>189</v>
      </c>
      <c r="P235" s="6" t="s">
        <v>546</v>
      </c>
      <c r="Q235" s="88"/>
      <c r="R235" s="16">
        <v>2500.0</v>
      </c>
      <c r="S235" s="17">
        <f>FRESADO!$R235*FRESADO!$E235</f>
        <v>2500</v>
      </c>
      <c r="T235" s="17">
        <f>FRESADO!$S235*16%</f>
        <v>400</v>
      </c>
      <c r="U235" s="17">
        <f>FRESADO!$S235+FRESADO!$T235</f>
        <v>2900</v>
      </c>
      <c r="V235" s="17" t="s">
        <v>215</v>
      </c>
      <c r="W235" s="17" t="s">
        <v>44</v>
      </c>
      <c r="X235" s="17"/>
      <c r="Y235" s="30"/>
      <c r="Z235" s="31" t="s">
        <v>77</v>
      </c>
    </row>
    <row r="236" ht="15.75" customHeight="1">
      <c r="A236" s="6">
        <v>26.0</v>
      </c>
      <c r="B236" s="6">
        <v>28.0</v>
      </c>
      <c r="C236" s="6">
        <v>435.0</v>
      </c>
      <c r="D236" s="25">
        <v>46197.0</v>
      </c>
      <c r="E236" s="6">
        <v>1.0</v>
      </c>
      <c r="F236" s="6" t="s">
        <v>74</v>
      </c>
      <c r="G236" s="6" t="s">
        <v>192</v>
      </c>
      <c r="H236" s="6">
        <v>14.0</v>
      </c>
      <c r="I236" s="6" t="s">
        <v>34</v>
      </c>
      <c r="J236" s="6" t="s">
        <v>41</v>
      </c>
      <c r="K236" s="11" t="s">
        <v>36</v>
      </c>
      <c r="L236" s="6"/>
      <c r="M236" s="6"/>
      <c r="N236" s="6" t="s">
        <v>340</v>
      </c>
      <c r="O236" s="6" t="s">
        <v>189</v>
      </c>
      <c r="P236" s="6" t="s">
        <v>546</v>
      </c>
      <c r="Q236" s="88"/>
      <c r="R236" s="16">
        <v>2500.0</v>
      </c>
      <c r="S236" s="17">
        <f>FRESADO!$R236*FRESADO!$E236</f>
        <v>2500</v>
      </c>
      <c r="T236" s="17">
        <f>FRESADO!$S236*16%</f>
        <v>400</v>
      </c>
      <c r="U236" s="17">
        <f>FRESADO!$S236+FRESADO!$T236</f>
        <v>2900</v>
      </c>
      <c r="V236" s="17" t="s">
        <v>215</v>
      </c>
      <c r="W236" s="17" t="s">
        <v>44</v>
      </c>
      <c r="X236" s="17"/>
      <c r="Y236" s="30"/>
      <c r="Z236" s="31" t="s">
        <v>77</v>
      </c>
    </row>
    <row r="237" ht="15.75" customHeight="1">
      <c r="A237" s="6">
        <v>26.0</v>
      </c>
      <c r="B237" s="122">
        <v>29.0</v>
      </c>
      <c r="C237" s="115">
        <v>436.0</v>
      </c>
      <c r="D237" s="116">
        <v>46197.0</v>
      </c>
      <c r="E237" s="6">
        <v>1.0</v>
      </c>
      <c r="F237" s="6" t="s">
        <v>74</v>
      </c>
      <c r="G237" s="6" t="s">
        <v>320</v>
      </c>
      <c r="H237" s="6">
        <v>14.0</v>
      </c>
      <c r="I237" s="6" t="s">
        <v>34</v>
      </c>
      <c r="J237" s="6" t="s">
        <v>321</v>
      </c>
      <c r="K237" s="34" t="s">
        <v>50</v>
      </c>
      <c r="L237" s="6"/>
      <c r="M237" s="6"/>
      <c r="N237" s="6" t="s">
        <v>398</v>
      </c>
      <c r="O237" s="6" t="s">
        <v>189</v>
      </c>
      <c r="P237" s="6" t="s">
        <v>546</v>
      </c>
      <c r="Q237" s="88" t="s">
        <v>399</v>
      </c>
      <c r="R237" s="66">
        <v>2900.0</v>
      </c>
      <c r="S237" s="17">
        <f>FRESADO!$R237*FRESADO!$E237</f>
        <v>2900</v>
      </c>
      <c r="T237" s="17">
        <f>FRESADO!$S237*16%</f>
        <v>464</v>
      </c>
      <c r="U237" s="17">
        <f>FRESADO!$S237+FRESADO!$T237</f>
        <v>3364</v>
      </c>
      <c r="V237" s="52" t="s">
        <v>110</v>
      </c>
      <c r="W237" s="52" t="s">
        <v>44</v>
      </c>
      <c r="X237" s="34" t="s">
        <v>335</v>
      </c>
      <c r="Y237" s="30"/>
      <c r="Z237" s="89" t="s">
        <v>399</v>
      </c>
    </row>
    <row r="238" ht="15.75" customHeight="1">
      <c r="A238" s="6">
        <v>26.0</v>
      </c>
      <c r="B238" s="6">
        <v>30.0</v>
      </c>
      <c r="C238" s="115">
        <v>437.0</v>
      </c>
      <c r="D238" s="116">
        <v>46197.0</v>
      </c>
      <c r="E238" s="6">
        <v>1.0</v>
      </c>
      <c r="F238" s="6" t="s">
        <v>74</v>
      </c>
      <c r="G238" s="6" t="s">
        <v>300</v>
      </c>
      <c r="H238" s="6">
        <v>14.0</v>
      </c>
      <c r="I238" s="6" t="s">
        <v>34</v>
      </c>
      <c r="J238" s="6" t="s">
        <v>114</v>
      </c>
      <c r="K238" s="34" t="s">
        <v>50</v>
      </c>
      <c r="L238" s="6"/>
      <c r="M238" s="6"/>
      <c r="N238" s="6" t="s">
        <v>398</v>
      </c>
      <c r="O238" s="6" t="s">
        <v>189</v>
      </c>
      <c r="P238" s="6" t="s">
        <v>546</v>
      </c>
      <c r="Q238" s="88" t="s">
        <v>399</v>
      </c>
      <c r="R238" s="66">
        <v>2900.0</v>
      </c>
      <c r="S238" s="17">
        <f>FRESADO!$R238*FRESADO!$E238</f>
        <v>2900</v>
      </c>
      <c r="T238" s="17">
        <f>FRESADO!$S238*16%</f>
        <v>464</v>
      </c>
      <c r="U238" s="17">
        <f>FRESADO!$S238+FRESADO!$T238</f>
        <v>3364</v>
      </c>
      <c r="V238" s="52" t="s">
        <v>110</v>
      </c>
      <c r="W238" s="52" t="s">
        <v>44</v>
      </c>
      <c r="X238" s="34" t="s">
        <v>335</v>
      </c>
      <c r="Y238" s="30"/>
      <c r="Z238" s="89" t="s">
        <v>399</v>
      </c>
    </row>
    <row r="239" ht="15.75" customHeight="1">
      <c r="A239" s="6">
        <v>26.0</v>
      </c>
      <c r="B239" s="6">
        <v>31.0</v>
      </c>
      <c r="C239" s="115">
        <v>438.0</v>
      </c>
      <c r="D239" s="116">
        <v>46197.0</v>
      </c>
      <c r="E239" s="6">
        <v>1.0</v>
      </c>
      <c r="F239" s="6" t="s">
        <v>74</v>
      </c>
      <c r="G239" s="6" t="s">
        <v>674</v>
      </c>
      <c r="H239" s="6">
        <v>14.0</v>
      </c>
      <c r="I239" s="6" t="s">
        <v>34</v>
      </c>
      <c r="J239" s="6" t="s">
        <v>118</v>
      </c>
      <c r="K239" s="34" t="s">
        <v>50</v>
      </c>
      <c r="L239" s="6"/>
      <c r="M239" s="6"/>
      <c r="N239" s="6" t="s">
        <v>398</v>
      </c>
      <c r="O239" s="6" t="s">
        <v>189</v>
      </c>
      <c r="P239" s="6" t="s">
        <v>546</v>
      </c>
      <c r="Q239" s="88" t="s">
        <v>399</v>
      </c>
      <c r="R239" s="66">
        <v>2900.0</v>
      </c>
      <c r="S239" s="17">
        <f>FRESADO!$R239*FRESADO!$E239</f>
        <v>2900</v>
      </c>
      <c r="T239" s="17">
        <f>FRESADO!$S239*16%</f>
        <v>464</v>
      </c>
      <c r="U239" s="17">
        <f>FRESADO!$S239+FRESADO!$T239</f>
        <v>3364</v>
      </c>
      <c r="V239" s="52" t="s">
        <v>110</v>
      </c>
      <c r="W239" s="52" t="s">
        <v>44</v>
      </c>
      <c r="X239" s="34" t="s">
        <v>335</v>
      </c>
      <c r="Y239" s="30"/>
      <c r="Z239" s="89" t="s">
        <v>399</v>
      </c>
    </row>
    <row r="240" ht="15.75" customHeight="1">
      <c r="A240" s="6">
        <v>26.0</v>
      </c>
      <c r="B240" s="6">
        <v>32.0</v>
      </c>
      <c r="C240" s="119">
        <v>439.0</v>
      </c>
      <c r="D240" s="116">
        <v>46197.0</v>
      </c>
      <c r="E240" s="6">
        <v>1.0</v>
      </c>
      <c r="F240" s="6" t="s">
        <v>388</v>
      </c>
      <c r="G240" s="6" t="s">
        <v>583</v>
      </c>
      <c r="H240" s="34">
        <v>7.0</v>
      </c>
      <c r="I240" s="6" t="s">
        <v>34</v>
      </c>
      <c r="J240" s="6" t="s">
        <v>584</v>
      </c>
      <c r="K240" s="34" t="s">
        <v>50</v>
      </c>
      <c r="L240" s="6"/>
      <c r="M240" s="6"/>
      <c r="N240" s="6" t="s">
        <v>340</v>
      </c>
      <c r="O240" s="6" t="s">
        <v>189</v>
      </c>
      <c r="P240" s="6" t="s">
        <v>546</v>
      </c>
      <c r="Q240" s="88" t="s">
        <v>390</v>
      </c>
      <c r="R240" s="66">
        <v>4500.0</v>
      </c>
      <c r="S240" s="17">
        <f>FRESADO!$R240*FRESADO!$E240</f>
        <v>4500</v>
      </c>
      <c r="T240" s="17">
        <f>FRESADO!$S240*16%</f>
        <v>720</v>
      </c>
      <c r="U240" s="17">
        <f>FRESADO!$S240+FRESADO!$T240</f>
        <v>5220</v>
      </c>
      <c r="V240" s="52" t="s">
        <v>110</v>
      </c>
      <c r="W240" s="52" t="s">
        <v>44</v>
      </c>
      <c r="X240" s="34" t="s">
        <v>335</v>
      </c>
      <c r="Y240" s="30"/>
    </row>
    <row r="241" ht="15.75" customHeight="1">
      <c r="A241" s="6">
        <v>26.0</v>
      </c>
      <c r="B241" s="6">
        <v>33.0</v>
      </c>
      <c r="C241" s="115">
        <v>440.0</v>
      </c>
      <c r="D241" s="116">
        <v>46197.0</v>
      </c>
      <c r="E241" s="6">
        <v>1.0</v>
      </c>
      <c r="F241" s="6" t="s">
        <v>74</v>
      </c>
      <c r="G241" s="6" t="s">
        <v>287</v>
      </c>
      <c r="H241" s="6">
        <v>14.0</v>
      </c>
      <c r="I241" s="6" t="s">
        <v>34</v>
      </c>
      <c r="J241" s="6" t="s">
        <v>288</v>
      </c>
      <c r="K241" s="34" t="s">
        <v>50</v>
      </c>
      <c r="L241" s="6"/>
      <c r="M241" s="6"/>
      <c r="N241" s="6" t="s">
        <v>398</v>
      </c>
      <c r="O241" s="6" t="s">
        <v>189</v>
      </c>
      <c r="P241" s="6" t="s">
        <v>546</v>
      </c>
      <c r="Q241" s="88" t="s">
        <v>399</v>
      </c>
      <c r="R241" s="66">
        <v>2900.0</v>
      </c>
      <c r="S241" s="17">
        <f>FRESADO!$R241*FRESADO!$E241</f>
        <v>2900</v>
      </c>
      <c r="T241" s="17">
        <f>FRESADO!$S241*16%</f>
        <v>464</v>
      </c>
      <c r="U241" s="17">
        <f>FRESADO!$S241+FRESADO!$T241</f>
        <v>3364</v>
      </c>
      <c r="V241" s="52" t="s">
        <v>110</v>
      </c>
      <c r="W241" s="52" t="s">
        <v>44</v>
      </c>
      <c r="X241" s="34" t="s">
        <v>335</v>
      </c>
      <c r="Y241" s="30"/>
      <c r="Z241" s="89" t="s">
        <v>399</v>
      </c>
    </row>
    <row r="242" ht="15.75" customHeight="1">
      <c r="A242" s="6">
        <v>26.0</v>
      </c>
      <c r="B242" s="6">
        <v>34.0</v>
      </c>
      <c r="C242" s="115">
        <v>441.0</v>
      </c>
      <c r="D242" s="116">
        <v>46197.0</v>
      </c>
      <c r="E242" s="6">
        <v>1.0</v>
      </c>
      <c r="F242" s="6" t="s">
        <v>74</v>
      </c>
      <c r="G242" s="6" t="s">
        <v>205</v>
      </c>
      <c r="H242" s="6">
        <v>14.0</v>
      </c>
      <c r="I242" s="6" t="s">
        <v>34</v>
      </c>
      <c r="J242" s="6" t="s">
        <v>679</v>
      </c>
      <c r="K242" s="34" t="s">
        <v>50</v>
      </c>
      <c r="L242" s="6"/>
      <c r="M242" s="6"/>
      <c r="N242" s="6" t="s">
        <v>398</v>
      </c>
      <c r="O242" s="6" t="s">
        <v>189</v>
      </c>
      <c r="P242" s="6" t="s">
        <v>546</v>
      </c>
      <c r="Q242" s="88" t="s">
        <v>399</v>
      </c>
      <c r="R242" s="66">
        <v>2900.0</v>
      </c>
      <c r="S242" s="17">
        <f>FRESADO!$R242*FRESADO!$E242</f>
        <v>2900</v>
      </c>
      <c r="T242" s="17">
        <f>FRESADO!$S242*16%</f>
        <v>464</v>
      </c>
      <c r="U242" s="17">
        <f>FRESADO!$S242+FRESADO!$T242</f>
        <v>3364</v>
      </c>
      <c r="V242" s="52" t="s">
        <v>110</v>
      </c>
      <c r="W242" s="52" t="s">
        <v>44</v>
      </c>
      <c r="X242" s="34" t="s">
        <v>335</v>
      </c>
      <c r="Y242" s="30"/>
      <c r="Z242" s="89" t="s">
        <v>399</v>
      </c>
    </row>
    <row r="243" ht="15.75" customHeight="1">
      <c r="A243" s="6">
        <v>26.0</v>
      </c>
      <c r="B243" s="6">
        <v>35.0</v>
      </c>
      <c r="C243" s="115">
        <v>442.0</v>
      </c>
      <c r="D243" s="116">
        <v>46197.0</v>
      </c>
      <c r="E243" s="6">
        <v>1.0</v>
      </c>
      <c r="F243" s="6" t="s">
        <v>74</v>
      </c>
      <c r="G243" s="6" t="s">
        <v>194</v>
      </c>
      <c r="H243" s="6">
        <v>14.0</v>
      </c>
      <c r="I243" s="6" t="s">
        <v>34</v>
      </c>
      <c r="J243" s="6" t="s">
        <v>195</v>
      </c>
      <c r="K243" s="34" t="s">
        <v>50</v>
      </c>
      <c r="L243" s="6"/>
      <c r="M243" s="6"/>
      <c r="N243" s="6" t="s">
        <v>398</v>
      </c>
      <c r="O243" s="6" t="s">
        <v>189</v>
      </c>
      <c r="P243" s="6" t="s">
        <v>546</v>
      </c>
      <c r="Q243" s="88" t="s">
        <v>399</v>
      </c>
      <c r="R243" s="66">
        <v>2900.0</v>
      </c>
      <c r="S243" s="17">
        <f>FRESADO!$R243*FRESADO!$E243</f>
        <v>2900</v>
      </c>
      <c r="T243" s="17">
        <f>FRESADO!$S243*16%</f>
        <v>464</v>
      </c>
      <c r="U243" s="17">
        <f>FRESADO!$S243+FRESADO!$T243</f>
        <v>3364</v>
      </c>
      <c r="V243" s="52" t="s">
        <v>110</v>
      </c>
      <c r="W243" s="52" t="s">
        <v>44</v>
      </c>
      <c r="X243" s="34" t="s">
        <v>335</v>
      </c>
      <c r="Y243" s="30"/>
      <c r="Z243" s="89" t="s">
        <v>399</v>
      </c>
    </row>
    <row r="244" ht="15.75" customHeight="1">
      <c r="A244" s="6">
        <v>26.0</v>
      </c>
      <c r="B244" s="6">
        <v>36.0</v>
      </c>
      <c r="C244" s="115">
        <v>443.0</v>
      </c>
      <c r="D244" s="116">
        <v>46197.0</v>
      </c>
      <c r="E244" s="6">
        <v>1.0</v>
      </c>
      <c r="F244" s="6" t="s">
        <v>74</v>
      </c>
      <c r="G244" s="6" t="s">
        <v>482</v>
      </c>
      <c r="H244" s="6">
        <v>14.0</v>
      </c>
      <c r="I244" s="6" t="s">
        <v>34</v>
      </c>
      <c r="J244" s="6" t="s">
        <v>150</v>
      </c>
      <c r="K244" s="34" t="s">
        <v>50</v>
      </c>
      <c r="L244" s="6"/>
      <c r="M244" s="6"/>
      <c r="N244" s="6" t="s">
        <v>398</v>
      </c>
      <c r="O244" s="6" t="s">
        <v>189</v>
      </c>
      <c r="P244" s="6" t="s">
        <v>546</v>
      </c>
      <c r="Q244" s="88" t="s">
        <v>399</v>
      </c>
      <c r="R244" s="66">
        <v>2900.0</v>
      </c>
      <c r="S244" s="17">
        <f>FRESADO!$R244*FRESADO!$E244</f>
        <v>2900</v>
      </c>
      <c r="T244" s="17">
        <f>FRESADO!$S244*16%</f>
        <v>464</v>
      </c>
      <c r="U244" s="17">
        <f>FRESADO!$S244+FRESADO!$T244</f>
        <v>3364</v>
      </c>
      <c r="V244" s="52" t="s">
        <v>110</v>
      </c>
      <c r="W244" s="52" t="s">
        <v>44</v>
      </c>
      <c r="X244" s="34" t="s">
        <v>335</v>
      </c>
      <c r="Y244" s="30"/>
      <c r="Z244" s="89" t="s">
        <v>399</v>
      </c>
    </row>
    <row r="245" ht="15.75" customHeight="1">
      <c r="A245" s="6">
        <v>26.0</v>
      </c>
      <c r="B245" s="6">
        <v>37.0</v>
      </c>
      <c r="C245" s="6">
        <v>444.0</v>
      </c>
      <c r="D245" s="25">
        <v>46198.0</v>
      </c>
      <c r="E245" s="6">
        <v>1.0</v>
      </c>
      <c r="F245" s="6" t="s">
        <v>74</v>
      </c>
      <c r="G245" s="6" t="s">
        <v>198</v>
      </c>
      <c r="H245" s="6">
        <v>14.0</v>
      </c>
      <c r="I245" s="6" t="s">
        <v>34</v>
      </c>
      <c r="J245" s="6" t="s">
        <v>487</v>
      </c>
      <c r="K245" s="11" t="s">
        <v>36</v>
      </c>
      <c r="L245" s="6"/>
      <c r="M245" s="6"/>
      <c r="N245" s="6" t="s">
        <v>398</v>
      </c>
      <c r="O245" s="6" t="s">
        <v>189</v>
      </c>
      <c r="P245" s="6" t="s">
        <v>546</v>
      </c>
      <c r="Q245" s="88" t="s">
        <v>399</v>
      </c>
      <c r="R245" s="16">
        <v>3000.0</v>
      </c>
      <c r="S245" s="17">
        <f>FRESADO!$R245*FRESADO!$E245</f>
        <v>3000</v>
      </c>
      <c r="T245" s="17">
        <f>FRESADO!$S245*16%</f>
        <v>480</v>
      </c>
      <c r="U245" s="17">
        <f>FRESADO!$S245+FRESADO!$T245</f>
        <v>3480</v>
      </c>
      <c r="V245" s="17" t="s">
        <v>215</v>
      </c>
      <c r="W245" s="17" t="s">
        <v>44</v>
      </c>
      <c r="X245" s="17"/>
      <c r="Y245" s="30"/>
      <c r="Z245" s="89" t="s">
        <v>399</v>
      </c>
    </row>
    <row r="246" ht="15.75" customHeight="1">
      <c r="A246" s="6">
        <v>26.0</v>
      </c>
      <c r="B246" s="6">
        <v>38.0</v>
      </c>
      <c r="C246" s="6">
        <v>445.0</v>
      </c>
      <c r="D246" s="25">
        <v>46198.0</v>
      </c>
      <c r="E246" s="6">
        <v>1.0</v>
      </c>
      <c r="F246" s="6" t="s">
        <v>74</v>
      </c>
      <c r="G246" s="6" t="s">
        <v>405</v>
      </c>
      <c r="H246" s="6">
        <v>14.0</v>
      </c>
      <c r="I246" s="6" t="s">
        <v>34</v>
      </c>
      <c r="J246" s="6" t="s">
        <v>662</v>
      </c>
      <c r="K246" s="11" t="s">
        <v>36</v>
      </c>
      <c r="L246" s="6"/>
      <c r="M246" s="6"/>
      <c r="N246" s="6" t="s">
        <v>398</v>
      </c>
      <c r="O246" s="6" t="s">
        <v>189</v>
      </c>
      <c r="P246" s="6" t="s">
        <v>546</v>
      </c>
      <c r="Q246" s="88" t="s">
        <v>399</v>
      </c>
      <c r="R246" s="16">
        <v>3000.0</v>
      </c>
      <c r="S246" s="17">
        <f>FRESADO!$R246*FRESADO!$E246</f>
        <v>3000</v>
      </c>
      <c r="T246" s="17">
        <f>FRESADO!$S246*16%</f>
        <v>480</v>
      </c>
      <c r="U246" s="17">
        <f>FRESADO!$S246+FRESADO!$T246</f>
        <v>3480</v>
      </c>
      <c r="V246" s="17" t="s">
        <v>215</v>
      </c>
      <c r="W246" s="17" t="s">
        <v>44</v>
      </c>
      <c r="X246" s="17"/>
      <c r="Y246" s="30"/>
      <c r="Z246" s="89" t="s">
        <v>399</v>
      </c>
    </row>
    <row r="247" ht="15.75" customHeight="1">
      <c r="A247" s="6">
        <v>26.0</v>
      </c>
      <c r="B247" s="6">
        <v>39.0</v>
      </c>
      <c r="C247" s="6">
        <v>446.0</v>
      </c>
      <c r="D247" s="25">
        <v>46198.0</v>
      </c>
      <c r="E247" s="6">
        <v>1.0</v>
      </c>
      <c r="F247" s="6" t="s">
        <v>74</v>
      </c>
      <c r="G247" s="6" t="s">
        <v>479</v>
      </c>
      <c r="H247" s="6">
        <v>14.0</v>
      </c>
      <c r="I247" s="6" t="s">
        <v>34</v>
      </c>
      <c r="J247" s="6" t="s">
        <v>190</v>
      </c>
      <c r="K247" s="11" t="s">
        <v>36</v>
      </c>
      <c r="L247" s="6"/>
      <c r="M247" s="6"/>
      <c r="N247" s="6" t="s">
        <v>398</v>
      </c>
      <c r="O247" s="6" t="s">
        <v>189</v>
      </c>
      <c r="P247" s="6" t="s">
        <v>546</v>
      </c>
      <c r="Q247" s="88" t="s">
        <v>399</v>
      </c>
      <c r="R247" s="16">
        <v>3000.0</v>
      </c>
      <c r="S247" s="17">
        <f>FRESADO!$R247*FRESADO!$E247</f>
        <v>3000</v>
      </c>
      <c r="T247" s="17">
        <f>FRESADO!$S247*16%</f>
        <v>480</v>
      </c>
      <c r="U247" s="17">
        <f>FRESADO!$S247+FRESADO!$T247</f>
        <v>3480</v>
      </c>
      <c r="V247" s="17" t="s">
        <v>215</v>
      </c>
      <c r="W247" s="17" t="s">
        <v>44</v>
      </c>
      <c r="X247" s="17"/>
      <c r="Y247" s="30"/>
      <c r="Z247" s="89" t="s">
        <v>399</v>
      </c>
    </row>
    <row r="248" ht="15.75" customHeight="1">
      <c r="A248" s="6">
        <v>26.0</v>
      </c>
      <c r="B248" s="6">
        <v>40.0</v>
      </c>
      <c r="C248" s="115">
        <v>447.0</v>
      </c>
      <c r="D248" s="116">
        <v>46198.0</v>
      </c>
      <c r="E248" s="6">
        <v>1.0</v>
      </c>
      <c r="F248" s="6" t="s">
        <v>388</v>
      </c>
      <c r="G248" s="6" t="s">
        <v>583</v>
      </c>
      <c r="H248" s="34">
        <v>7.0</v>
      </c>
      <c r="I248" s="6" t="s">
        <v>34</v>
      </c>
      <c r="J248" s="6" t="s">
        <v>584</v>
      </c>
      <c r="K248" s="34" t="s">
        <v>50</v>
      </c>
      <c r="L248" s="6"/>
      <c r="M248" s="6"/>
      <c r="N248" s="6" t="s">
        <v>340</v>
      </c>
      <c r="O248" s="6" t="s">
        <v>189</v>
      </c>
      <c r="P248" s="6" t="s">
        <v>546</v>
      </c>
      <c r="Q248" s="88" t="s">
        <v>390</v>
      </c>
      <c r="R248" s="66">
        <v>4500.0</v>
      </c>
      <c r="S248" s="17">
        <f>FRESADO!$R248*FRESADO!$E248</f>
        <v>4500</v>
      </c>
      <c r="T248" s="17">
        <f>FRESADO!$S248*16%</f>
        <v>720</v>
      </c>
      <c r="U248" s="17">
        <f>FRESADO!$S248+FRESADO!$T248</f>
        <v>5220</v>
      </c>
      <c r="V248" s="52" t="s">
        <v>110</v>
      </c>
      <c r="W248" s="52" t="s">
        <v>44</v>
      </c>
      <c r="X248" s="34" t="s">
        <v>335</v>
      </c>
      <c r="Y248" s="30"/>
    </row>
    <row r="249" ht="15.75" customHeight="1">
      <c r="A249" s="6">
        <v>26.0</v>
      </c>
      <c r="B249" s="6">
        <v>41.0</v>
      </c>
      <c r="C249" s="6">
        <v>448.0</v>
      </c>
      <c r="D249" s="25">
        <v>46198.0</v>
      </c>
      <c r="E249" s="6">
        <v>1.0</v>
      </c>
      <c r="F249" s="6" t="s">
        <v>74</v>
      </c>
      <c r="G249" s="6" t="s">
        <v>162</v>
      </c>
      <c r="H249" s="6">
        <v>14.0</v>
      </c>
      <c r="I249" s="6" t="s">
        <v>34</v>
      </c>
      <c r="J249" s="6" t="s">
        <v>83</v>
      </c>
      <c r="K249" s="11" t="s">
        <v>36</v>
      </c>
      <c r="L249" s="6"/>
      <c r="M249" s="6"/>
      <c r="N249" s="6" t="s">
        <v>398</v>
      </c>
      <c r="O249" s="6" t="s">
        <v>189</v>
      </c>
      <c r="P249" s="6" t="s">
        <v>546</v>
      </c>
      <c r="Q249" s="88" t="s">
        <v>399</v>
      </c>
      <c r="R249" s="16">
        <v>3000.0</v>
      </c>
      <c r="S249" s="17">
        <f>FRESADO!$R249*FRESADO!$E249</f>
        <v>3000</v>
      </c>
      <c r="T249" s="17">
        <f>FRESADO!$S249*16%</f>
        <v>480</v>
      </c>
      <c r="U249" s="17">
        <f>FRESADO!$S249+FRESADO!$T249</f>
        <v>3480</v>
      </c>
      <c r="V249" s="17" t="s">
        <v>215</v>
      </c>
      <c r="W249" s="17" t="s">
        <v>44</v>
      </c>
      <c r="X249" s="17"/>
      <c r="Y249" s="30"/>
      <c r="Z249" s="89" t="s">
        <v>399</v>
      </c>
    </row>
    <row r="250" ht="15.75" customHeight="1">
      <c r="A250" s="6">
        <v>26.0</v>
      </c>
      <c r="B250" s="6">
        <v>42.0</v>
      </c>
      <c r="C250" s="6">
        <v>449.0</v>
      </c>
      <c r="D250" s="25">
        <v>46198.0</v>
      </c>
      <c r="E250" s="6">
        <v>1.0</v>
      </c>
      <c r="F250" s="6" t="s">
        <v>74</v>
      </c>
      <c r="G250" s="6" t="s">
        <v>374</v>
      </c>
      <c r="H250" s="6">
        <v>14.0</v>
      </c>
      <c r="I250" s="6" t="s">
        <v>34</v>
      </c>
      <c r="J250" s="6" t="s">
        <v>406</v>
      </c>
      <c r="K250" s="11" t="s">
        <v>36</v>
      </c>
      <c r="L250" s="6"/>
      <c r="M250" s="6"/>
      <c r="N250" s="6" t="s">
        <v>398</v>
      </c>
      <c r="O250" s="6" t="s">
        <v>189</v>
      </c>
      <c r="P250" s="6" t="s">
        <v>546</v>
      </c>
      <c r="Q250" s="88" t="s">
        <v>399</v>
      </c>
      <c r="R250" s="16">
        <v>3000.0</v>
      </c>
      <c r="S250" s="17">
        <f>FRESADO!$R250*FRESADO!$E250</f>
        <v>3000</v>
      </c>
      <c r="T250" s="17">
        <f>FRESADO!$S250*16%</f>
        <v>480</v>
      </c>
      <c r="U250" s="17">
        <f>FRESADO!$S250+FRESADO!$T250</f>
        <v>3480</v>
      </c>
      <c r="V250" s="17" t="s">
        <v>215</v>
      </c>
      <c r="W250" s="17" t="s">
        <v>44</v>
      </c>
      <c r="X250" s="17"/>
      <c r="Y250" s="30"/>
      <c r="Z250" s="89" t="s">
        <v>399</v>
      </c>
    </row>
    <row r="251" ht="15.75" customHeight="1">
      <c r="A251" s="6">
        <v>26.0</v>
      </c>
      <c r="B251" s="6">
        <v>43.0</v>
      </c>
      <c r="C251" s="6">
        <v>601.0</v>
      </c>
      <c r="D251" s="25">
        <v>46199.0</v>
      </c>
      <c r="E251" s="6">
        <v>1.0</v>
      </c>
      <c r="F251" s="6" t="s">
        <v>74</v>
      </c>
      <c r="G251" s="6" t="s">
        <v>162</v>
      </c>
      <c r="H251" s="6">
        <v>14.0</v>
      </c>
      <c r="I251" s="6" t="s">
        <v>34</v>
      </c>
      <c r="J251" s="6" t="s">
        <v>83</v>
      </c>
      <c r="K251" s="11" t="s">
        <v>36</v>
      </c>
      <c r="L251" s="6"/>
      <c r="M251" s="6"/>
      <c r="N251" s="6" t="s">
        <v>398</v>
      </c>
      <c r="O251" s="6" t="s">
        <v>189</v>
      </c>
      <c r="P251" s="6" t="s">
        <v>546</v>
      </c>
      <c r="Q251" s="88" t="s">
        <v>399</v>
      </c>
      <c r="R251" s="16">
        <v>3000.0</v>
      </c>
      <c r="S251" s="17">
        <f>FRESADO!$R251*FRESADO!$E251</f>
        <v>3000</v>
      </c>
      <c r="T251" s="17">
        <f>FRESADO!$S251*16%</f>
        <v>480</v>
      </c>
      <c r="U251" s="17">
        <f>FRESADO!$S251+FRESADO!$T251</f>
        <v>3480</v>
      </c>
      <c r="V251" s="17" t="s">
        <v>215</v>
      </c>
      <c r="W251" s="17" t="s">
        <v>44</v>
      </c>
      <c r="X251" s="17"/>
      <c r="Y251" s="30"/>
      <c r="Z251" s="89" t="s">
        <v>399</v>
      </c>
    </row>
    <row r="252" ht="15.75" customHeight="1">
      <c r="A252" s="6">
        <v>26.0</v>
      </c>
      <c r="B252" s="6">
        <v>44.0</v>
      </c>
      <c r="C252" s="6">
        <v>602.0</v>
      </c>
      <c r="D252" s="25">
        <v>46199.0</v>
      </c>
      <c r="E252" s="6">
        <v>1.0</v>
      </c>
      <c r="F252" s="6" t="s">
        <v>74</v>
      </c>
      <c r="G252" s="6" t="s">
        <v>479</v>
      </c>
      <c r="H252" s="6">
        <v>14.0</v>
      </c>
      <c r="I252" s="6" t="s">
        <v>34</v>
      </c>
      <c r="J252" s="6" t="s">
        <v>190</v>
      </c>
      <c r="K252" s="11" t="s">
        <v>36</v>
      </c>
      <c r="L252" s="6"/>
      <c r="M252" s="6"/>
      <c r="N252" s="6" t="s">
        <v>398</v>
      </c>
      <c r="O252" s="6" t="s">
        <v>189</v>
      </c>
      <c r="P252" s="6" t="s">
        <v>546</v>
      </c>
      <c r="Q252" s="88" t="s">
        <v>399</v>
      </c>
      <c r="R252" s="16">
        <v>3000.0</v>
      </c>
      <c r="S252" s="17">
        <f>FRESADO!$R252*FRESADO!$E252</f>
        <v>3000</v>
      </c>
      <c r="T252" s="17">
        <f>FRESADO!$S252*16%</f>
        <v>480</v>
      </c>
      <c r="U252" s="17">
        <f>FRESADO!$S252+FRESADO!$T252</f>
        <v>3480</v>
      </c>
      <c r="V252" s="17" t="s">
        <v>215</v>
      </c>
      <c r="W252" s="17" t="s">
        <v>44</v>
      </c>
      <c r="X252" s="17"/>
      <c r="Y252" s="30"/>
      <c r="Z252" s="89" t="s">
        <v>399</v>
      </c>
    </row>
    <row r="253" ht="15.75" customHeight="1">
      <c r="A253" s="6">
        <v>26.0</v>
      </c>
      <c r="B253" s="6">
        <v>45.0</v>
      </c>
      <c r="C253" s="6">
        <v>603.0</v>
      </c>
      <c r="D253" s="25">
        <v>46199.0</v>
      </c>
      <c r="E253" s="6">
        <v>1.0</v>
      </c>
      <c r="F253" s="6" t="s">
        <v>74</v>
      </c>
      <c r="G253" s="6" t="s">
        <v>198</v>
      </c>
      <c r="H253" s="6">
        <v>14.0</v>
      </c>
      <c r="I253" s="6" t="s">
        <v>34</v>
      </c>
      <c r="J253" s="6" t="s">
        <v>487</v>
      </c>
      <c r="K253" s="11" t="s">
        <v>36</v>
      </c>
      <c r="L253" s="6"/>
      <c r="M253" s="6"/>
      <c r="N253" s="6" t="s">
        <v>398</v>
      </c>
      <c r="O253" s="6" t="s">
        <v>189</v>
      </c>
      <c r="P253" s="6" t="s">
        <v>546</v>
      </c>
      <c r="Q253" s="88" t="s">
        <v>399</v>
      </c>
      <c r="R253" s="16">
        <v>3000.0</v>
      </c>
      <c r="S253" s="17">
        <f>FRESADO!$R253*FRESADO!$E253</f>
        <v>3000</v>
      </c>
      <c r="T253" s="17">
        <f>FRESADO!$S253*16%</f>
        <v>480</v>
      </c>
      <c r="U253" s="17">
        <f>FRESADO!$S253+FRESADO!$T253</f>
        <v>3480</v>
      </c>
      <c r="V253" s="17" t="s">
        <v>215</v>
      </c>
      <c r="W253" s="17" t="s">
        <v>44</v>
      </c>
      <c r="X253" s="17"/>
      <c r="Y253" s="30"/>
      <c r="Z253" s="89" t="s">
        <v>399</v>
      </c>
    </row>
    <row r="254" ht="15.75" customHeight="1">
      <c r="A254" s="6">
        <v>26.0</v>
      </c>
      <c r="B254" s="6">
        <v>46.0</v>
      </c>
      <c r="C254" s="6">
        <v>604.0</v>
      </c>
      <c r="D254" s="25">
        <v>46199.0</v>
      </c>
      <c r="E254" s="6">
        <v>1.0</v>
      </c>
      <c r="F254" s="6" t="s">
        <v>74</v>
      </c>
      <c r="G254" s="6" t="s">
        <v>405</v>
      </c>
      <c r="H254" s="6">
        <v>14.0</v>
      </c>
      <c r="I254" s="6" t="s">
        <v>34</v>
      </c>
      <c r="J254" s="6" t="s">
        <v>662</v>
      </c>
      <c r="K254" s="11" t="s">
        <v>36</v>
      </c>
      <c r="L254" s="6"/>
      <c r="M254" s="6"/>
      <c r="N254" s="6" t="s">
        <v>398</v>
      </c>
      <c r="O254" s="6" t="s">
        <v>189</v>
      </c>
      <c r="P254" s="6" t="s">
        <v>546</v>
      </c>
      <c r="Q254" s="88" t="s">
        <v>399</v>
      </c>
      <c r="R254" s="16">
        <v>3000.0</v>
      </c>
      <c r="S254" s="17">
        <f>FRESADO!$R254*FRESADO!$E254</f>
        <v>3000</v>
      </c>
      <c r="T254" s="17">
        <f>FRESADO!$S254*16%</f>
        <v>480</v>
      </c>
      <c r="U254" s="17">
        <f>FRESADO!$S254+FRESADO!$T254</f>
        <v>3480</v>
      </c>
      <c r="V254" s="17" t="s">
        <v>215</v>
      </c>
      <c r="W254" s="17" t="s">
        <v>44</v>
      </c>
      <c r="X254" s="17"/>
      <c r="Y254" s="30"/>
      <c r="Z254" s="89" t="s">
        <v>399</v>
      </c>
    </row>
    <row r="255" ht="15.75" customHeight="1">
      <c r="A255" s="6">
        <v>26.0</v>
      </c>
      <c r="B255" s="6">
        <v>47.0</v>
      </c>
      <c r="C255" s="6">
        <v>605.0</v>
      </c>
      <c r="D255" s="25">
        <v>46199.0</v>
      </c>
      <c r="E255" s="6">
        <v>1.0</v>
      </c>
      <c r="F255" s="6" t="s">
        <v>74</v>
      </c>
      <c r="G255" s="6" t="s">
        <v>374</v>
      </c>
      <c r="H255" s="6">
        <v>14.0</v>
      </c>
      <c r="I255" s="6" t="s">
        <v>34</v>
      </c>
      <c r="J255" s="6" t="s">
        <v>406</v>
      </c>
      <c r="K255" s="11" t="s">
        <v>36</v>
      </c>
      <c r="L255" s="6"/>
      <c r="M255" s="6"/>
      <c r="N255" s="6" t="s">
        <v>398</v>
      </c>
      <c r="O255" s="6" t="s">
        <v>189</v>
      </c>
      <c r="P255" s="6" t="s">
        <v>546</v>
      </c>
      <c r="Q255" s="88" t="s">
        <v>399</v>
      </c>
      <c r="R255" s="16">
        <v>3000.0</v>
      </c>
      <c r="S255" s="17">
        <f>FRESADO!$R255*FRESADO!$E255</f>
        <v>3000</v>
      </c>
      <c r="T255" s="17">
        <f>FRESADO!$S255*16%</f>
        <v>480</v>
      </c>
      <c r="U255" s="17">
        <f>FRESADO!$S255+FRESADO!$T255</f>
        <v>3480</v>
      </c>
      <c r="V255" s="17" t="s">
        <v>215</v>
      </c>
      <c r="W255" s="17" t="s">
        <v>44</v>
      </c>
      <c r="X255" s="17"/>
      <c r="Y255" s="30"/>
      <c r="Z255" s="89" t="s">
        <v>399</v>
      </c>
    </row>
    <row r="256" ht="15.75" customHeight="1">
      <c r="A256" s="6">
        <v>26.0</v>
      </c>
      <c r="B256" s="6">
        <v>48.0</v>
      </c>
      <c r="C256" s="115">
        <v>606.0</v>
      </c>
      <c r="D256" s="116">
        <v>46199.0</v>
      </c>
      <c r="E256" s="6">
        <v>1.0</v>
      </c>
      <c r="F256" s="6" t="s">
        <v>74</v>
      </c>
      <c r="G256" s="6" t="s">
        <v>300</v>
      </c>
      <c r="H256" s="6">
        <v>14.0</v>
      </c>
      <c r="I256" s="6" t="s">
        <v>34</v>
      </c>
      <c r="J256" s="6" t="s">
        <v>688</v>
      </c>
      <c r="K256" s="34" t="s">
        <v>50</v>
      </c>
      <c r="L256" s="6"/>
      <c r="M256" s="6"/>
      <c r="N256" s="6" t="s">
        <v>398</v>
      </c>
      <c r="O256" s="6" t="s">
        <v>189</v>
      </c>
      <c r="P256" s="6" t="s">
        <v>546</v>
      </c>
      <c r="Q256" s="88" t="s">
        <v>399</v>
      </c>
      <c r="R256" s="66">
        <v>2900.0</v>
      </c>
      <c r="S256" s="17">
        <f>FRESADO!$R256*FRESADO!$E256</f>
        <v>2900</v>
      </c>
      <c r="T256" s="17">
        <f>FRESADO!$S256*16%</f>
        <v>464</v>
      </c>
      <c r="U256" s="17">
        <f>FRESADO!$S256+FRESADO!$T256</f>
        <v>3364</v>
      </c>
      <c r="V256" s="52" t="s">
        <v>110</v>
      </c>
      <c r="W256" s="52" t="s">
        <v>44</v>
      </c>
      <c r="X256" s="34" t="s">
        <v>335</v>
      </c>
      <c r="Y256" s="30"/>
      <c r="Z256" s="89" t="s">
        <v>399</v>
      </c>
    </row>
    <row r="257" ht="15.75" customHeight="1">
      <c r="A257" s="6">
        <v>26.0</v>
      </c>
      <c r="B257" s="6">
        <v>49.0</v>
      </c>
      <c r="C257" s="115">
        <v>607.0</v>
      </c>
      <c r="D257" s="116">
        <v>46199.0</v>
      </c>
      <c r="E257" s="6">
        <v>1.0</v>
      </c>
      <c r="F257" s="6" t="s">
        <v>74</v>
      </c>
      <c r="G257" s="6" t="s">
        <v>353</v>
      </c>
      <c r="H257" s="6">
        <v>14.0</v>
      </c>
      <c r="I257" s="6" t="s">
        <v>34</v>
      </c>
      <c r="J257" s="6" t="s">
        <v>114</v>
      </c>
      <c r="K257" s="34" t="s">
        <v>50</v>
      </c>
      <c r="L257" s="6"/>
      <c r="M257" s="6"/>
      <c r="N257" s="6" t="s">
        <v>398</v>
      </c>
      <c r="O257" s="6" t="s">
        <v>189</v>
      </c>
      <c r="P257" s="6" t="s">
        <v>546</v>
      </c>
      <c r="Q257" s="88" t="s">
        <v>399</v>
      </c>
      <c r="R257" s="66">
        <v>2900.0</v>
      </c>
      <c r="S257" s="17">
        <f>FRESADO!$R257*FRESADO!$E257</f>
        <v>2900</v>
      </c>
      <c r="T257" s="17">
        <f>FRESADO!$S257*16%</f>
        <v>464</v>
      </c>
      <c r="U257" s="17">
        <f>FRESADO!$S257+FRESADO!$T257</f>
        <v>3364</v>
      </c>
      <c r="V257" s="52" t="s">
        <v>110</v>
      </c>
      <c r="W257" s="52" t="s">
        <v>44</v>
      </c>
      <c r="X257" s="34" t="s">
        <v>335</v>
      </c>
      <c r="Y257" s="30"/>
      <c r="Z257" s="89" t="s">
        <v>399</v>
      </c>
    </row>
    <row r="258" ht="15.75" customHeight="1">
      <c r="A258" s="6">
        <v>26.0</v>
      </c>
      <c r="B258" s="6">
        <v>50.0</v>
      </c>
      <c r="C258" s="115">
        <v>608.0</v>
      </c>
      <c r="D258" s="116">
        <v>46199.0</v>
      </c>
      <c r="E258" s="6">
        <v>1.0</v>
      </c>
      <c r="F258" s="6" t="s">
        <v>74</v>
      </c>
      <c r="G258" s="6" t="s">
        <v>674</v>
      </c>
      <c r="H258" s="6">
        <v>14.0</v>
      </c>
      <c r="I258" s="6" t="s">
        <v>34</v>
      </c>
      <c r="J258" s="6" t="s">
        <v>118</v>
      </c>
      <c r="K258" s="34" t="s">
        <v>50</v>
      </c>
      <c r="L258" s="6"/>
      <c r="M258" s="6"/>
      <c r="N258" s="6" t="s">
        <v>398</v>
      </c>
      <c r="O258" s="6" t="s">
        <v>189</v>
      </c>
      <c r="P258" s="6" t="s">
        <v>546</v>
      </c>
      <c r="Q258" s="88" t="s">
        <v>399</v>
      </c>
      <c r="R258" s="66">
        <v>2900.0</v>
      </c>
      <c r="S258" s="17">
        <f>FRESADO!$R258*FRESADO!$E258</f>
        <v>2900</v>
      </c>
      <c r="T258" s="17">
        <f>FRESADO!$S258*16%</f>
        <v>464</v>
      </c>
      <c r="U258" s="17">
        <f>FRESADO!$S258+FRESADO!$T258</f>
        <v>3364</v>
      </c>
      <c r="V258" s="52" t="s">
        <v>110</v>
      </c>
      <c r="W258" s="52" t="s">
        <v>44</v>
      </c>
      <c r="X258" s="34" t="s">
        <v>335</v>
      </c>
      <c r="Y258" s="30"/>
      <c r="Z258" s="89" t="s">
        <v>399</v>
      </c>
    </row>
    <row r="259" ht="15.75" customHeight="1">
      <c r="A259" s="6">
        <v>26.0</v>
      </c>
      <c r="B259" s="6">
        <v>51.0</v>
      </c>
      <c r="C259" s="6">
        <v>609.0</v>
      </c>
      <c r="D259" s="25">
        <v>46199.0</v>
      </c>
      <c r="E259" s="6">
        <v>1.0</v>
      </c>
      <c r="F259" s="6" t="s">
        <v>74</v>
      </c>
      <c r="G259" s="6" t="s">
        <v>192</v>
      </c>
      <c r="H259" s="6">
        <v>14.0</v>
      </c>
      <c r="I259" s="6" t="s">
        <v>34</v>
      </c>
      <c r="J259" s="6" t="s">
        <v>41</v>
      </c>
      <c r="K259" s="11" t="s">
        <v>36</v>
      </c>
      <c r="L259" s="6"/>
      <c r="M259" s="6"/>
      <c r="N259" s="6" t="s">
        <v>340</v>
      </c>
      <c r="O259" s="6" t="s">
        <v>189</v>
      </c>
      <c r="P259" s="6" t="s">
        <v>546</v>
      </c>
      <c r="Q259" s="88"/>
      <c r="R259" s="16">
        <v>2500.0</v>
      </c>
      <c r="S259" s="17">
        <f>FRESADO!$R259*FRESADO!$E259</f>
        <v>2500</v>
      </c>
      <c r="T259" s="17">
        <f>FRESADO!$S259*16%</f>
        <v>400</v>
      </c>
      <c r="U259" s="17">
        <f>FRESADO!$S259+FRESADO!$T259</f>
        <v>2900</v>
      </c>
      <c r="V259" s="17" t="s">
        <v>215</v>
      </c>
      <c r="W259" s="17" t="s">
        <v>44</v>
      </c>
      <c r="X259" s="17"/>
      <c r="Y259" s="30"/>
      <c r="Z259" s="31" t="s">
        <v>77</v>
      </c>
    </row>
    <row r="260" ht="15.75" customHeight="1">
      <c r="A260" s="6">
        <v>26.0</v>
      </c>
      <c r="B260" s="6">
        <v>52.0</v>
      </c>
      <c r="C260" s="6">
        <v>610.0</v>
      </c>
      <c r="D260" s="25">
        <v>46199.0</v>
      </c>
      <c r="E260" s="6">
        <v>1.0</v>
      </c>
      <c r="F260" s="6" t="s">
        <v>74</v>
      </c>
      <c r="G260" s="6" t="s">
        <v>238</v>
      </c>
      <c r="H260" s="6">
        <v>14.0</v>
      </c>
      <c r="I260" s="6" t="s">
        <v>34</v>
      </c>
      <c r="J260" s="6" t="s">
        <v>89</v>
      </c>
      <c r="K260" s="11" t="s">
        <v>36</v>
      </c>
      <c r="L260" s="6"/>
      <c r="M260" s="6"/>
      <c r="N260" s="6" t="s">
        <v>340</v>
      </c>
      <c r="O260" s="6" t="s">
        <v>189</v>
      </c>
      <c r="P260" s="6" t="s">
        <v>546</v>
      </c>
      <c r="Q260" s="88"/>
      <c r="R260" s="16">
        <v>2500.0</v>
      </c>
      <c r="S260" s="17">
        <f>FRESADO!$R260*FRESADO!$E260</f>
        <v>2500</v>
      </c>
      <c r="T260" s="17">
        <f>FRESADO!$S260*16%</f>
        <v>400</v>
      </c>
      <c r="U260" s="17">
        <f>FRESADO!$S260+FRESADO!$T260</f>
        <v>2900</v>
      </c>
      <c r="V260" s="17" t="s">
        <v>215</v>
      </c>
      <c r="W260" s="17" t="s">
        <v>44</v>
      </c>
      <c r="X260" s="17"/>
      <c r="Y260" s="30"/>
      <c r="Z260" s="31" t="s">
        <v>77</v>
      </c>
    </row>
    <row r="261" ht="15.75" customHeight="1">
      <c r="A261" s="6">
        <v>26.0</v>
      </c>
      <c r="B261" s="6">
        <v>53.0</v>
      </c>
      <c r="C261" s="115">
        <v>611.0</v>
      </c>
      <c r="D261" s="116">
        <v>46199.0</v>
      </c>
      <c r="E261" s="6">
        <v>1.0</v>
      </c>
      <c r="F261" s="6" t="s">
        <v>74</v>
      </c>
      <c r="G261" s="6" t="s">
        <v>689</v>
      </c>
      <c r="H261" s="6">
        <v>14.0</v>
      </c>
      <c r="I261" s="6" t="s">
        <v>34</v>
      </c>
      <c r="J261" s="6" t="s">
        <v>204</v>
      </c>
      <c r="K261" s="34" t="s">
        <v>50</v>
      </c>
      <c r="L261" s="6"/>
      <c r="M261" s="6"/>
      <c r="N261" s="6" t="s">
        <v>398</v>
      </c>
      <c r="O261" s="6" t="s">
        <v>189</v>
      </c>
      <c r="P261" s="6" t="s">
        <v>546</v>
      </c>
      <c r="Q261" s="88" t="s">
        <v>399</v>
      </c>
      <c r="R261" s="66">
        <v>2900.0</v>
      </c>
      <c r="S261" s="17">
        <f>FRESADO!$R261*FRESADO!$E261</f>
        <v>2900</v>
      </c>
      <c r="T261" s="17">
        <f>FRESADO!$S261*16%</f>
        <v>464</v>
      </c>
      <c r="U261" s="17">
        <f>FRESADO!$S261+FRESADO!$T261</f>
        <v>3364</v>
      </c>
      <c r="V261" s="52" t="s">
        <v>110</v>
      </c>
      <c r="W261" s="52" t="s">
        <v>44</v>
      </c>
      <c r="X261" s="34" t="s">
        <v>335</v>
      </c>
      <c r="Y261" s="30"/>
      <c r="Z261" s="89" t="s">
        <v>399</v>
      </c>
    </row>
    <row r="262" ht="15.75" customHeight="1">
      <c r="A262" s="6">
        <v>26.0</v>
      </c>
      <c r="B262" s="6">
        <v>54.0</v>
      </c>
      <c r="C262" s="115">
        <v>612.0</v>
      </c>
      <c r="D262" s="116">
        <v>46199.0</v>
      </c>
      <c r="E262" s="6">
        <v>1.0</v>
      </c>
      <c r="F262" s="6" t="s">
        <v>74</v>
      </c>
      <c r="G262" s="6" t="s">
        <v>205</v>
      </c>
      <c r="H262" s="6">
        <v>14.0</v>
      </c>
      <c r="I262" s="6" t="s">
        <v>34</v>
      </c>
      <c r="J262" s="6" t="s">
        <v>679</v>
      </c>
      <c r="K262" s="34" t="s">
        <v>50</v>
      </c>
      <c r="L262" s="6"/>
      <c r="M262" s="6"/>
      <c r="N262" s="6" t="s">
        <v>398</v>
      </c>
      <c r="O262" s="6" t="s">
        <v>189</v>
      </c>
      <c r="P262" s="6" t="s">
        <v>546</v>
      </c>
      <c r="Q262" s="88" t="s">
        <v>399</v>
      </c>
      <c r="R262" s="66">
        <v>2900.0</v>
      </c>
      <c r="S262" s="17">
        <f>FRESADO!$R262*FRESADO!$E262</f>
        <v>2900</v>
      </c>
      <c r="T262" s="17">
        <f>FRESADO!$S262*16%</f>
        <v>464</v>
      </c>
      <c r="U262" s="17">
        <f>FRESADO!$S262+FRESADO!$T262</f>
        <v>3364</v>
      </c>
      <c r="V262" s="52" t="s">
        <v>110</v>
      </c>
      <c r="W262" s="52" t="s">
        <v>44</v>
      </c>
      <c r="X262" s="34" t="s">
        <v>335</v>
      </c>
      <c r="Y262" s="30"/>
      <c r="Z262" s="89" t="s">
        <v>399</v>
      </c>
    </row>
    <row r="263" ht="15.75" customHeight="1">
      <c r="A263" s="6">
        <v>26.0</v>
      </c>
      <c r="B263" s="6">
        <v>55.0</v>
      </c>
      <c r="C263" s="6">
        <v>613.0</v>
      </c>
      <c r="D263" s="25">
        <v>46199.0</v>
      </c>
      <c r="E263" s="6">
        <v>1.0</v>
      </c>
      <c r="F263" s="6" t="s">
        <v>74</v>
      </c>
      <c r="G263" s="6" t="s">
        <v>192</v>
      </c>
      <c r="H263" s="6">
        <v>14.0</v>
      </c>
      <c r="I263" s="6" t="s">
        <v>34</v>
      </c>
      <c r="J263" s="6" t="s">
        <v>41</v>
      </c>
      <c r="K263" s="11" t="s">
        <v>36</v>
      </c>
      <c r="L263" s="6"/>
      <c r="M263" s="6"/>
      <c r="N263" s="6" t="s">
        <v>340</v>
      </c>
      <c r="O263" s="6" t="s">
        <v>189</v>
      </c>
      <c r="P263" s="6" t="s">
        <v>546</v>
      </c>
      <c r="Q263" s="88"/>
      <c r="R263" s="16">
        <v>2500.0</v>
      </c>
      <c r="S263" s="17">
        <f>FRESADO!$R263*FRESADO!$E263</f>
        <v>2500</v>
      </c>
      <c r="T263" s="17">
        <f>FRESADO!$S263*16%</f>
        <v>400</v>
      </c>
      <c r="U263" s="17">
        <f>FRESADO!$S263+FRESADO!$T263</f>
        <v>2900</v>
      </c>
      <c r="V263" s="17" t="s">
        <v>215</v>
      </c>
      <c r="W263" s="17" t="s">
        <v>44</v>
      </c>
      <c r="X263" s="17"/>
      <c r="Y263" s="30"/>
      <c r="Z263" s="31" t="s">
        <v>77</v>
      </c>
    </row>
    <row r="264" ht="15.75" customHeight="1">
      <c r="A264" s="6">
        <v>26.0</v>
      </c>
      <c r="B264" s="6">
        <v>56.0</v>
      </c>
      <c r="C264" s="6">
        <v>614.0</v>
      </c>
      <c r="D264" s="25">
        <v>46199.0</v>
      </c>
      <c r="E264" s="6">
        <v>1.0</v>
      </c>
      <c r="F264" s="6" t="s">
        <v>74</v>
      </c>
      <c r="G264" s="6" t="s">
        <v>238</v>
      </c>
      <c r="H264" s="6">
        <v>14.0</v>
      </c>
      <c r="I264" s="6" t="s">
        <v>34</v>
      </c>
      <c r="J264" s="6" t="s">
        <v>89</v>
      </c>
      <c r="K264" s="11" t="s">
        <v>36</v>
      </c>
      <c r="L264" s="6"/>
      <c r="M264" s="6"/>
      <c r="N264" s="6" t="s">
        <v>340</v>
      </c>
      <c r="O264" s="6" t="s">
        <v>189</v>
      </c>
      <c r="P264" s="6" t="s">
        <v>546</v>
      </c>
      <c r="Q264" s="88"/>
      <c r="R264" s="16">
        <v>2500.0</v>
      </c>
      <c r="S264" s="17">
        <f>FRESADO!$R264*FRESADO!$E264</f>
        <v>2500</v>
      </c>
      <c r="T264" s="17">
        <f>FRESADO!$S264*16%</f>
        <v>400</v>
      </c>
      <c r="U264" s="17">
        <f>FRESADO!$S264+FRESADO!$T264</f>
        <v>2900</v>
      </c>
      <c r="V264" s="17" t="s">
        <v>215</v>
      </c>
      <c r="W264" s="17" t="s">
        <v>44</v>
      </c>
      <c r="X264" s="17"/>
      <c r="Y264" s="30"/>
      <c r="Z264" s="31" t="s">
        <v>77</v>
      </c>
    </row>
    <row r="265" ht="15.75" customHeight="1">
      <c r="A265" s="6">
        <v>26.0</v>
      </c>
      <c r="B265" s="6">
        <v>57.0</v>
      </c>
      <c r="C265" s="115">
        <v>615.0</v>
      </c>
      <c r="D265" s="116">
        <v>46199.0</v>
      </c>
      <c r="E265" s="6">
        <v>1.0</v>
      </c>
      <c r="F265" s="6" t="s">
        <v>74</v>
      </c>
      <c r="G265" s="6" t="s">
        <v>320</v>
      </c>
      <c r="H265" s="6">
        <v>14.0</v>
      </c>
      <c r="I265" s="6" t="s">
        <v>34</v>
      </c>
      <c r="J265" s="6" t="s">
        <v>118</v>
      </c>
      <c r="K265" s="34" t="s">
        <v>50</v>
      </c>
      <c r="L265" s="6"/>
      <c r="M265" s="6"/>
      <c r="N265" s="6" t="s">
        <v>398</v>
      </c>
      <c r="O265" s="6" t="s">
        <v>189</v>
      </c>
      <c r="P265" s="6" t="s">
        <v>546</v>
      </c>
      <c r="Q265" s="88" t="s">
        <v>399</v>
      </c>
      <c r="R265" s="66">
        <v>2900.0</v>
      </c>
      <c r="S265" s="17">
        <f>FRESADO!$R265*FRESADO!$E265</f>
        <v>2900</v>
      </c>
      <c r="T265" s="17">
        <f>FRESADO!$S265*16%</f>
        <v>464</v>
      </c>
      <c r="U265" s="17">
        <f>FRESADO!$S265+FRESADO!$T265</f>
        <v>3364</v>
      </c>
      <c r="V265" s="52" t="s">
        <v>110</v>
      </c>
      <c r="W265" s="52" t="s">
        <v>44</v>
      </c>
      <c r="X265" s="34" t="s">
        <v>335</v>
      </c>
      <c r="Y265" s="30"/>
      <c r="Z265" s="89" t="s">
        <v>399</v>
      </c>
    </row>
    <row r="266" ht="15.75" customHeight="1">
      <c r="A266" s="6">
        <v>26.0</v>
      </c>
      <c r="B266" s="6">
        <v>58.0</v>
      </c>
      <c r="C266" s="115">
        <v>616.0</v>
      </c>
      <c r="D266" s="116">
        <v>46199.0</v>
      </c>
      <c r="E266" s="6">
        <v>1.0</v>
      </c>
      <c r="F266" s="6" t="s">
        <v>388</v>
      </c>
      <c r="G266" s="6" t="s">
        <v>583</v>
      </c>
      <c r="H266" s="34">
        <v>7.0</v>
      </c>
      <c r="I266" s="6" t="s">
        <v>34</v>
      </c>
      <c r="J266" s="6" t="s">
        <v>584</v>
      </c>
      <c r="K266" s="34" t="s">
        <v>50</v>
      </c>
      <c r="L266" s="6"/>
      <c r="M266" s="6"/>
      <c r="N266" s="6" t="s">
        <v>340</v>
      </c>
      <c r="O266" s="6" t="s">
        <v>189</v>
      </c>
      <c r="P266" s="6" t="s">
        <v>546</v>
      </c>
      <c r="Q266" s="88" t="s">
        <v>390</v>
      </c>
      <c r="R266" s="66">
        <v>4500.0</v>
      </c>
      <c r="S266" s="17">
        <f>FRESADO!$R266*FRESADO!$E266</f>
        <v>4500</v>
      </c>
      <c r="T266" s="17">
        <f>FRESADO!$S266*16%</f>
        <v>720</v>
      </c>
      <c r="U266" s="17">
        <f>FRESADO!$S266+FRESADO!$T266</f>
        <v>5220</v>
      </c>
      <c r="V266" s="52" t="s">
        <v>110</v>
      </c>
      <c r="W266" s="52" t="s">
        <v>44</v>
      </c>
      <c r="X266" s="34" t="s">
        <v>335</v>
      </c>
      <c r="Y266" s="30"/>
    </row>
    <row r="267" ht="15.75" customHeight="1">
      <c r="A267" s="6">
        <v>26.0</v>
      </c>
      <c r="B267" s="6">
        <v>59.0</v>
      </c>
      <c r="C267" s="6">
        <v>617.0</v>
      </c>
      <c r="D267" s="25">
        <v>46200.0</v>
      </c>
      <c r="E267" s="6">
        <v>1.0</v>
      </c>
      <c r="F267" s="6" t="s">
        <v>74</v>
      </c>
      <c r="G267" s="6" t="s">
        <v>280</v>
      </c>
      <c r="H267" s="6">
        <v>14.0</v>
      </c>
      <c r="I267" s="6" t="s">
        <v>34</v>
      </c>
      <c r="J267" s="6" t="s">
        <v>272</v>
      </c>
      <c r="K267" s="11" t="s">
        <v>36</v>
      </c>
      <c r="L267" s="6"/>
      <c r="M267" s="6"/>
      <c r="N267" s="6" t="s">
        <v>340</v>
      </c>
      <c r="O267" s="6" t="s">
        <v>189</v>
      </c>
      <c r="P267" s="6" t="s">
        <v>546</v>
      </c>
      <c r="Q267" s="88"/>
      <c r="R267" s="16">
        <v>2500.0</v>
      </c>
      <c r="S267" s="17">
        <f>FRESADO!$R267*FRESADO!$E267</f>
        <v>2500</v>
      </c>
      <c r="T267" s="17">
        <f>FRESADO!$S267*16%</f>
        <v>400</v>
      </c>
      <c r="U267" s="17">
        <f>FRESADO!$S267+FRESADO!$T267</f>
        <v>2900</v>
      </c>
      <c r="V267" s="17" t="s">
        <v>215</v>
      </c>
      <c r="W267" s="17" t="s">
        <v>44</v>
      </c>
      <c r="X267" s="17"/>
      <c r="Y267" s="30"/>
      <c r="Z267" s="31" t="s">
        <v>77</v>
      </c>
    </row>
    <row r="268" ht="15.75" customHeight="1">
      <c r="A268" s="6">
        <v>26.0</v>
      </c>
      <c r="B268" s="6">
        <v>60.0</v>
      </c>
      <c r="C268" s="6">
        <v>618.0</v>
      </c>
      <c r="D268" s="25">
        <v>46200.0</v>
      </c>
      <c r="E268" s="6">
        <v>1.0</v>
      </c>
      <c r="F268" s="6" t="s">
        <v>74</v>
      </c>
      <c r="G268" s="6" t="s">
        <v>347</v>
      </c>
      <c r="H268" s="6">
        <v>14.0</v>
      </c>
      <c r="I268" s="6" t="s">
        <v>34</v>
      </c>
      <c r="J268" s="6" t="s">
        <v>70</v>
      </c>
      <c r="K268" s="11" t="s">
        <v>36</v>
      </c>
      <c r="L268" s="6"/>
      <c r="M268" s="6"/>
      <c r="N268" s="6" t="s">
        <v>340</v>
      </c>
      <c r="O268" s="6" t="s">
        <v>189</v>
      </c>
      <c r="P268" s="6" t="s">
        <v>546</v>
      </c>
      <c r="Q268" s="88"/>
      <c r="R268" s="16">
        <v>2500.0</v>
      </c>
      <c r="S268" s="17">
        <f>FRESADO!$R268*FRESADO!$E268</f>
        <v>2500</v>
      </c>
      <c r="T268" s="17">
        <f>FRESADO!$S268*16%</f>
        <v>400</v>
      </c>
      <c r="U268" s="17">
        <f>FRESADO!$S268+FRESADO!$T268</f>
        <v>2900</v>
      </c>
      <c r="V268" s="17" t="s">
        <v>215</v>
      </c>
      <c r="W268" s="17" t="s">
        <v>44</v>
      </c>
      <c r="X268" s="17"/>
      <c r="Y268" s="30"/>
      <c r="Z268" s="31" t="s">
        <v>77</v>
      </c>
    </row>
    <row r="269" ht="15.75" customHeight="1">
      <c r="A269" s="6">
        <v>26.0</v>
      </c>
      <c r="B269" s="6">
        <v>61.0</v>
      </c>
      <c r="C269" s="6">
        <v>619.0</v>
      </c>
      <c r="D269" s="25">
        <v>46200.0</v>
      </c>
      <c r="E269" s="6">
        <v>1.0</v>
      </c>
      <c r="F269" s="6" t="s">
        <v>74</v>
      </c>
      <c r="G269" s="6" t="s">
        <v>690</v>
      </c>
      <c r="H269" s="6">
        <v>14.0</v>
      </c>
      <c r="I269" s="6" t="s">
        <v>34</v>
      </c>
      <c r="J269" s="6" t="s">
        <v>691</v>
      </c>
      <c r="K269" s="11" t="s">
        <v>36</v>
      </c>
      <c r="L269" s="6"/>
      <c r="M269" s="6"/>
      <c r="N269" s="6" t="s">
        <v>340</v>
      </c>
      <c r="O269" s="6" t="s">
        <v>189</v>
      </c>
      <c r="P269" s="6" t="s">
        <v>546</v>
      </c>
      <c r="Q269" s="88"/>
      <c r="R269" s="16">
        <v>2500.0</v>
      </c>
      <c r="S269" s="17">
        <f>FRESADO!$R269*FRESADO!$E269</f>
        <v>2500</v>
      </c>
      <c r="T269" s="17">
        <f>FRESADO!$S269*16%</f>
        <v>400</v>
      </c>
      <c r="U269" s="17">
        <f>FRESADO!$S269+FRESADO!$T269</f>
        <v>2900</v>
      </c>
      <c r="V269" s="17" t="s">
        <v>215</v>
      </c>
      <c r="W269" s="17" t="s">
        <v>44</v>
      </c>
      <c r="X269" s="17"/>
      <c r="Y269" s="30"/>
      <c r="Z269" s="31" t="s">
        <v>77</v>
      </c>
    </row>
    <row r="270" ht="15.75" customHeight="1">
      <c r="A270" s="6">
        <v>26.0</v>
      </c>
      <c r="B270" s="6">
        <v>62.0</v>
      </c>
      <c r="C270" s="6">
        <v>620.0</v>
      </c>
      <c r="D270" s="25">
        <v>46200.0</v>
      </c>
      <c r="E270" s="6">
        <v>1.0</v>
      </c>
      <c r="F270" s="6" t="s">
        <v>74</v>
      </c>
      <c r="G270" s="6" t="s">
        <v>192</v>
      </c>
      <c r="H270" s="6">
        <v>14.0</v>
      </c>
      <c r="I270" s="6" t="s">
        <v>34</v>
      </c>
      <c r="J270" s="6" t="s">
        <v>41</v>
      </c>
      <c r="K270" s="11" t="s">
        <v>36</v>
      </c>
      <c r="L270" s="6"/>
      <c r="M270" s="6"/>
      <c r="N270" s="6" t="s">
        <v>398</v>
      </c>
      <c r="O270" s="6" t="s">
        <v>189</v>
      </c>
      <c r="P270" s="6" t="s">
        <v>546</v>
      </c>
      <c r="Q270" s="88" t="s">
        <v>399</v>
      </c>
      <c r="R270" s="16">
        <v>3000.0</v>
      </c>
      <c r="S270" s="17">
        <f>FRESADO!$R270*FRESADO!$E270</f>
        <v>3000</v>
      </c>
      <c r="T270" s="17">
        <f>FRESADO!$S270*16%</f>
        <v>480</v>
      </c>
      <c r="U270" s="17">
        <f>FRESADO!$S270+FRESADO!$T270</f>
        <v>3480</v>
      </c>
      <c r="V270" s="17" t="s">
        <v>215</v>
      </c>
      <c r="W270" s="17" t="s">
        <v>44</v>
      </c>
      <c r="X270" s="17"/>
      <c r="Y270" s="30"/>
      <c r="Z270" s="89" t="s">
        <v>399</v>
      </c>
    </row>
    <row r="271" ht="15.75" customHeight="1">
      <c r="A271" s="6">
        <v>26.0</v>
      </c>
      <c r="B271" s="6">
        <v>63.0</v>
      </c>
      <c r="C271" s="6">
        <v>621.0</v>
      </c>
      <c r="D271" s="25">
        <v>46200.0</v>
      </c>
      <c r="E271" s="6">
        <v>1.0</v>
      </c>
      <c r="F271" s="6" t="s">
        <v>74</v>
      </c>
      <c r="G271" s="6" t="s">
        <v>277</v>
      </c>
      <c r="H271" s="6">
        <v>14.0</v>
      </c>
      <c r="I271" s="6" t="s">
        <v>34</v>
      </c>
      <c r="J271" s="6" t="s">
        <v>278</v>
      </c>
      <c r="K271" s="11" t="s">
        <v>36</v>
      </c>
      <c r="L271" s="6"/>
      <c r="M271" s="6"/>
      <c r="N271" s="6" t="s">
        <v>340</v>
      </c>
      <c r="O271" s="6" t="s">
        <v>189</v>
      </c>
      <c r="P271" s="6" t="s">
        <v>546</v>
      </c>
      <c r="Q271" s="88"/>
      <c r="R271" s="16">
        <v>2500.0</v>
      </c>
      <c r="S271" s="17">
        <f>FRESADO!$R271*FRESADO!$E271</f>
        <v>2500</v>
      </c>
      <c r="T271" s="17">
        <f>FRESADO!$S271*16%</f>
        <v>400</v>
      </c>
      <c r="U271" s="17">
        <f>FRESADO!$S271+FRESADO!$T271</f>
        <v>2900</v>
      </c>
      <c r="V271" s="17" t="s">
        <v>215</v>
      </c>
      <c r="W271" s="17" t="s">
        <v>44</v>
      </c>
      <c r="X271" s="17"/>
      <c r="Y271" s="30"/>
      <c r="Z271" s="31" t="s">
        <v>77</v>
      </c>
    </row>
    <row r="272" ht="15.75" customHeight="1">
      <c r="A272" s="6">
        <v>26.0</v>
      </c>
      <c r="B272" s="6">
        <v>64.0</v>
      </c>
      <c r="C272" s="6">
        <v>622.0</v>
      </c>
      <c r="D272" s="25">
        <v>46200.0</v>
      </c>
      <c r="E272" s="6">
        <v>1.0</v>
      </c>
      <c r="F272" s="6" t="s">
        <v>74</v>
      </c>
      <c r="G272" s="6" t="s">
        <v>692</v>
      </c>
      <c r="H272" s="6">
        <v>14.0</v>
      </c>
      <c r="I272" s="6" t="s">
        <v>34</v>
      </c>
      <c r="J272" s="6" t="s">
        <v>693</v>
      </c>
      <c r="K272" s="11" t="s">
        <v>36</v>
      </c>
      <c r="L272" s="6"/>
      <c r="M272" s="6"/>
      <c r="N272" s="6" t="s">
        <v>340</v>
      </c>
      <c r="O272" s="6" t="s">
        <v>189</v>
      </c>
      <c r="P272" s="6" t="s">
        <v>546</v>
      </c>
      <c r="Q272" s="88"/>
      <c r="R272" s="16">
        <v>2500.0</v>
      </c>
      <c r="S272" s="17">
        <f>FRESADO!$R272*FRESADO!$E272</f>
        <v>2500</v>
      </c>
      <c r="T272" s="17">
        <f>FRESADO!$S272*16%</f>
        <v>400</v>
      </c>
      <c r="U272" s="17">
        <f>FRESADO!$S272+FRESADO!$T272</f>
        <v>2900</v>
      </c>
      <c r="V272" s="17" t="s">
        <v>215</v>
      </c>
      <c r="W272" s="17" t="s">
        <v>44</v>
      </c>
      <c r="X272" s="17"/>
      <c r="Y272" s="30"/>
      <c r="Z272" s="31" t="s">
        <v>77</v>
      </c>
    </row>
    <row r="273" ht="15.75" customHeight="1">
      <c r="A273" s="6">
        <v>26.0</v>
      </c>
      <c r="B273" s="6">
        <v>65.0</v>
      </c>
      <c r="C273" s="6">
        <v>623.0</v>
      </c>
      <c r="D273" s="25">
        <v>46200.0</v>
      </c>
      <c r="E273" s="6">
        <v>1.0</v>
      </c>
      <c r="F273" s="6" t="s">
        <v>74</v>
      </c>
      <c r="G273" s="6" t="s">
        <v>280</v>
      </c>
      <c r="H273" s="6">
        <v>14.0</v>
      </c>
      <c r="I273" s="6" t="s">
        <v>34</v>
      </c>
      <c r="J273" s="6" t="s">
        <v>272</v>
      </c>
      <c r="K273" s="11" t="s">
        <v>36</v>
      </c>
      <c r="L273" s="6"/>
      <c r="M273" s="6"/>
      <c r="N273" s="6" t="s">
        <v>398</v>
      </c>
      <c r="O273" s="6" t="s">
        <v>189</v>
      </c>
      <c r="P273" s="6" t="s">
        <v>546</v>
      </c>
      <c r="Q273" s="88" t="s">
        <v>399</v>
      </c>
      <c r="R273" s="16">
        <v>3000.0</v>
      </c>
      <c r="S273" s="17">
        <f>FRESADO!$R273*FRESADO!$E273</f>
        <v>3000</v>
      </c>
      <c r="T273" s="17">
        <f>FRESADO!$S273*16%</f>
        <v>480</v>
      </c>
      <c r="U273" s="17">
        <f>FRESADO!$S273+FRESADO!$T273</f>
        <v>3480</v>
      </c>
      <c r="V273" s="17" t="s">
        <v>215</v>
      </c>
      <c r="W273" s="17" t="s">
        <v>44</v>
      </c>
      <c r="X273" s="17"/>
      <c r="Y273" s="30"/>
      <c r="Z273" s="89" t="s">
        <v>399</v>
      </c>
    </row>
    <row r="274" ht="15.75" customHeight="1">
      <c r="A274" s="56">
        <v>26.0</v>
      </c>
      <c r="B274" s="56">
        <v>66.0</v>
      </c>
      <c r="C274" s="56">
        <v>624.0</v>
      </c>
      <c r="D274" s="97">
        <v>46200.0</v>
      </c>
      <c r="E274" s="56">
        <v>0.0</v>
      </c>
      <c r="F274" s="56" t="s">
        <v>182</v>
      </c>
      <c r="G274" s="54">
        <v>0.0</v>
      </c>
      <c r="H274" s="54">
        <v>0.0</v>
      </c>
      <c r="I274" s="54" t="s">
        <v>40</v>
      </c>
      <c r="J274" s="54" t="s">
        <v>183</v>
      </c>
      <c r="K274" s="56" t="s">
        <v>49</v>
      </c>
      <c r="L274" s="56"/>
      <c r="M274" s="56"/>
      <c r="N274" s="56"/>
      <c r="O274" s="56"/>
      <c r="P274" s="56"/>
      <c r="Q274" s="56" t="s">
        <v>182</v>
      </c>
      <c r="R274" s="59">
        <v>0.0</v>
      </c>
      <c r="S274" s="81">
        <f>FRESADO!$R274*FRESADO!$E274</f>
        <v>0</v>
      </c>
      <c r="T274" s="81">
        <f>FRESADO!$S274*16%</f>
        <v>0</v>
      </c>
      <c r="U274" s="81">
        <f>FRESADO!$S274+FRESADO!$T274</f>
        <v>0</v>
      </c>
      <c r="V274" s="56" t="s">
        <v>182</v>
      </c>
      <c r="W274" s="81"/>
      <c r="X274" s="81"/>
      <c r="Y274" s="82"/>
      <c r="Z274" s="83"/>
    </row>
    <row r="275" ht="15.75" customHeight="1">
      <c r="A275" s="6">
        <v>26.0</v>
      </c>
      <c r="B275" s="6">
        <v>67.0</v>
      </c>
      <c r="C275" s="6">
        <v>625.0</v>
      </c>
      <c r="D275" s="25">
        <v>46200.0</v>
      </c>
      <c r="E275" s="6">
        <v>1.0</v>
      </c>
      <c r="F275" s="6" t="s">
        <v>74</v>
      </c>
      <c r="G275" s="6" t="s">
        <v>347</v>
      </c>
      <c r="H275" s="6">
        <v>14.0</v>
      </c>
      <c r="I275" s="6" t="s">
        <v>34</v>
      </c>
      <c r="J275" s="6" t="s">
        <v>70</v>
      </c>
      <c r="K275" s="11" t="s">
        <v>36</v>
      </c>
      <c r="L275" s="6"/>
      <c r="M275" s="6"/>
      <c r="N275" s="6" t="s">
        <v>340</v>
      </c>
      <c r="O275" s="6" t="s">
        <v>189</v>
      </c>
      <c r="P275" s="6" t="s">
        <v>546</v>
      </c>
      <c r="Q275" s="88"/>
      <c r="R275" s="16">
        <v>2500.0</v>
      </c>
      <c r="S275" s="17">
        <f>FRESADO!$R275*FRESADO!$E275</f>
        <v>2500</v>
      </c>
      <c r="T275" s="17">
        <f>FRESADO!$S275*16%</f>
        <v>400</v>
      </c>
      <c r="U275" s="17">
        <f>FRESADO!$S275+FRESADO!$T275</f>
        <v>2900</v>
      </c>
      <c r="V275" s="17" t="s">
        <v>215</v>
      </c>
      <c r="W275" s="17" t="s">
        <v>44</v>
      </c>
      <c r="X275" s="17"/>
      <c r="Y275" s="30"/>
      <c r="Z275" s="31" t="s">
        <v>77</v>
      </c>
    </row>
    <row r="276" ht="15.75" customHeight="1">
      <c r="A276" s="6">
        <v>26.0</v>
      </c>
      <c r="B276" s="6">
        <v>68.0</v>
      </c>
      <c r="C276" s="6">
        <v>626.0</v>
      </c>
      <c r="D276" s="25">
        <v>46200.0</v>
      </c>
      <c r="E276" s="6">
        <v>1.0</v>
      </c>
      <c r="F276" s="6" t="s">
        <v>74</v>
      </c>
      <c r="G276" s="34" t="s">
        <v>690</v>
      </c>
      <c r="H276" s="6">
        <v>14.0</v>
      </c>
      <c r="I276" s="6" t="s">
        <v>34</v>
      </c>
      <c r="J276" s="124" t="s">
        <v>691</v>
      </c>
      <c r="K276" s="11" t="s">
        <v>36</v>
      </c>
      <c r="L276" s="125"/>
      <c r="M276" s="125"/>
      <c r="N276" s="6" t="s">
        <v>398</v>
      </c>
      <c r="O276" s="125"/>
      <c r="P276" s="6" t="s">
        <v>546</v>
      </c>
      <c r="Q276" s="88" t="s">
        <v>399</v>
      </c>
      <c r="R276" s="16">
        <v>3000.0</v>
      </c>
      <c r="S276" s="17">
        <f>FRESADO!$R276*FRESADO!$E276</f>
        <v>3000</v>
      </c>
      <c r="T276" s="17">
        <f>FRESADO!$S276*16%</f>
        <v>480</v>
      </c>
      <c r="U276" s="17">
        <f>FRESADO!$S276+FRESADO!$T276</f>
        <v>3480</v>
      </c>
      <c r="V276" s="17" t="s">
        <v>215</v>
      </c>
      <c r="W276" s="17" t="s">
        <v>44</v>
      </c>
      <c r="X276" s="17"/>
      <c r="Z276" s="89" t="s">
        <v>399</v>
      </c>
    </row>
    <row r="277" ht="15.75" customHeight="1">
      <c r="A277" s="6">
        <v>26.0</v>
      </c>
      <c r="B277" s="56">
        <v>70.0</v>
      </c>
      <c r="C277" s="6">
        <v>627.0</v>
      </c>
      <c r="D277" s="25">
        <v>46200.0</v>
      </c>
      <c r="E277" s="6">
        <v>1.0</v>
      </c>
      <c r="F277" s="6" t="s">
        <v>74</v>
      </c>
      <c r="G277" s="6" t="s">
        <v>277</v>
      </c>
      <c r="H277" s="6">
        <v>14.0</v>
      </c>
      <c r="I277" s="6" t="s">
        <v>34</v>
      </c>
      <c r="J277" s="6" t="s">
        <v>278</v>
      </c>
      <c r="K277" s="11" t="s">
        <v>36</v>
      </c>
      <c r="L277" s="6"/>
      <c r="M277" s="6"/>
      <c r="N277" s="6" t="s">
        <v>340</v>
      </c>
      <c r="O277" s="6" t="s">
        <v>189</v>
      </c>
      <c r="P277" s="6" t="s">
        <v>546</v>
      </c>
      <c r="Q277" s="88"/>
      <c r="R277" s="16">
        <v>2500.0</v>
      </c>
      <c r="S277" s="17">
        <f>FRESADO!$R277*FRESADO!$E277</f>
        <v>2500</v>
      </c>
      <c r="T277" s="17">
        <f>FRESADO!$S277*16%</f>
        <v>400</v>
      </c>
      <c r="U277" s="17">
        <f>FRESADO!$S277+FRESADO!$T277</f>
        <v>2900</v>
      </c>
      <c r="V277" s="17" t="s">
        <v>215</v>
      </c>
      <c r="W277" s="17" t="s">
        <v>44</v>
      </c>
      <c r="X277" s="17"/>
      <c r="Y277" s="30"/>
      <c r="Z277" s="31" t="s">
        <v>77</v>
      </c>
    </row>
    <row r="278" ht="15.75" customHeight="1">
      <c r="A278" s="6">
        <v>26.0</v>
      </c>
      <c r="B278" s="6">
        <v>71.0</v>
      </c>
      <c r="C278" s="6">
        <v>628.0</v>
      </c>
      <c r="D278" s="25">
        <v>46200.0</v>
      </c>
      <c r="E278" s="6">
        <v>1.0</v>
      </c>
      <c r="F278" s="6" t="s">
        <v>74</v>
      </c>
      <c r="G278" s="6" t="s">
        <v>692</v>
      </c>
      <c r="H278" s="6">
        <v>14.0</v>
      </c>
      <c r="I278" s="6" t="s">
        <v>34</v>
      </c>
      <c r="J278" s="6" t="s">
        <v>693</v>
      </c>
      <c r="K278" s="11" t="s">
        <v>36</v>
      </c>
      <c r="L278" s="6"/>
      <c r="M278" s="6"/>
      <c r="N278" s="6" t="s">
        <v>340</v>
      </c>
      <c r="O278" s="6" t="s">
        <v>189</v>
      </c>
      <c r="P278" s="6" t="s">
        <v>546</v>
      </c>
      <c r="Q278" s="88"/>
      <c r="R278" s="16">
        <v>2500.0</v>
      </c>
      <c r="S278" s="17">
        <f>FRESADO!$R278*FRESADO!$E278</f>
        <v>2500</v>
      </c>
      <c r="T278" s="17">
        <f>FRESADO!$S278*16%</f>
        <v>400</v>
      </c>
      <c r="U278" s="17">
        <f>FRESADO!$S278+FRESADO!$T278</f>
        <v>2900</v>
      </c>
      <c r="V278" s="17" t="s">
        <v>215</v>
      </c>
      <c r="W278" s="17" t="s">
        <v>44</v>
      </c>
      <c r="X278" s="17"/>
      <c r="Y278" s="30"/>
      <c r="Z278" s="31" t="s">
        <v>77</v>
      </c>
    </row>
    <row r="279" ht="15.75" customHeight="1">
      <c r="A279" s="6">
        <v>26.0</v>
      </c>
      <c r="B279" s="6">
        <v>72.0</v>
      </c>
      <c r="C279" s="6">
        <v>629.0</v>
      </c>
      <c r="D279" s="25">
        <v>46200.0</v>
      </c>
      <c r="E279" s="6">
        <v>1.0</v>
      </c>
      <c r="F279" s="6" t="s">
        <v>74</v>
      </c>
      <c r="G279" s="6" t="s">
        <v>347</v>
      </c>
      <c r="H279" s="6">
        <v>14.0</v>
      </c>
      <c r="I279" s="6" t="s">
        <v>34</v>
      </c>
      <c r="J279" s="6" t="s">
        <v>70</v>
      </c>
      <c r="K279" s="11" t="s">
        <v>36</v>
      </c>
      <c r="L279" s="6"/>
      <c r="M279" s="6"/>
      <c r="N279" s="6" t="s">
        <v>340</v>
      </c>
      <c r="O279" s="6" t="s">
        <v>189</v>
      </c>
      <c r="P279" s="6" t="s">
        <v>546</v>
      </c>
      <c r="Q279" s="88"/>
      <c r="R279" s="16">
        <v>2500.0</v>
      </c>
      <c r="S279" s="17">
        <f>FRESADO!$R279*FRESADO!$E279</f>
        <v>2500</v>
      </c>
      <c r="T279" s="17">
        <f>FRESADO!$S279*16%</f>
        <v>400</v>
      </c>
      <c r="U279" s="17">
        <f>FRESADO!$S279+FRESADO!$T279</f>
        <v>2900</v>
      </c>
      <c r="V279" s="17" t="s">
        <v>215</v>
      </c>
      <c r="W279" s="17" t="s">
        <v>44</v>
      </c>
      <c r="X279" s="17"/>
      <c r="Y279" s="30"/>
      <c r="Z279" s="31" t="s">
        <v>77</v>
      </c>
    </row>
    <row r="280" ht="15.75" customHeight="1">
      <c r="A280" s="6">
        <v>26.0</v>
      </c>
      <c r="B280" s="6">
        <v>73.0</v>
      </c>
      <c r="C280" s="6">
        <v>630.0</v>
      </c>
      <c r="D280" s="25">
        <v>46200.0</v>
      </c>
      <c r="E280" s="6">
        <v>1.0</v>
      </c>
      <c r="F280" s="6" t="s">
        <v>74</v>
      </c>
      <c r="G280" s="6" t="s">
        <v>277</v>
      </c>
      <c r="H280" s="6">
        <v>14.0</v>
      </c>
      <c r="I280" s="6" t="s">
        <v>34</v>
      </c>
      <c r="J280" s="6" t="s">
        <v>278</v>
      </c>
      <c r="K280" s="11" t="s">
        <v>36</v>
      </c>
      <c r="L280" s="6"/>
      <c r="M280" s="6"/>
      <c r="N280" s="6" t="s">
        <v>340</v>
      </c>
      <c r="O280" s="6" t="s">
        <v>189</v>
      </c>
      <c r="P280" s="6" t="s">
        <v>546</v>
      </c>
      <c r="Q280" s="88"/>
      <c r="R280" s="16">
        <v>2500.0</v>
      </c>
      <c r="S280" s="17">
        <f>FRESADO!$R280*FRESADO!$E280</f>
        <v>2500</v>
      </c>
      <c r="T280" s="17">
        <f>FRESADO!$S280*16%</f>
        <v>400</v>
      </c>
      <c r="U280" s="17">
        <f>FRESADO!$S280+FRESADO!$T280</f>
        <v>2900</v>
      </c>
      <c r="V280" s="17" t="s">
        <v>215</v>
      </c>
      <c r="W280" s="17" t="s">
        <v>44</v>
      </c>
      <c r="X280" s="17"/>
      <c r="Y280" s="30"/>
      <c r="Z280" s="31" t="s">
        <v>77</v>
      </c>
    </row>
    <row r="281" ht="15.75" customHeight="1">
      <c r="A281" s="6">
        <v>26.0</v>
      </c>
      <c r="B281" s="56">
        <v>74.0</v>
      </c>
      <c r="C281" s="6">
        <v>631.0</v>
      </c>
      <c r="D281" s="25">
        <v>46200.0</v>
      </c>
      <c r="E281" s="6">
        <v>1.0</v>
      </c>
      <c r="F281" s="6" t="s">
        <v>74</v>
      </c>
      <c r="G281" s="6" t="s">
        <v>692</v>
      </c>
      <c r="H281" s="6">
        <v>14.0</v>
      </c>
      <c r="I281" s="6" t="s">
        <v>34</v>
      </c>
      <c r="J281" s="6" t="s">
        <v>693</v>
      </c>
      <c r="K281" s="11" t="s">
        <v>36</v>
      </c>
      <c r="L281" s="6"/>
      <c r="M281" s="6"/>
      <c r="N281" s="6" t="s">
        <v>340</v>
      </c>
      <c r="O281" s="6" t="s">
        <v>189</v>
      </c>
      <c r="P281" s="6" t="s">
        <v>546</v>
      </c>
      <c r="Q281" s="88"/>
      <c r="R281" s="16">
        <v>2500.0</v>
      </c>
      <c r="S281" s="17">
        <f>FRESADO!$R281*FRESADO!$E281</f>
        <v>2500</v>
      </c>
      <c r="T281" s="17">
        <f>FRESADO!$S281*16%</f>
        <v>400</v>
      </c>
      <c r="U281" s="17">
        <f>FRESADO!$S281+FRESADO!$T281</f>
        <v>2900</v>
      </c>
      <c r="V281" s="17" t="s">
        <v>215</v>
      </c>
      <c r="W281" s="17" t="s">
        <v>44</v>
      </c>
      <c r="X281" s="17"/>
      <c r="Y281" s="30"/>
      <c r="Z281" s="31" t="s">
        <v>77</v>
      </c>
    </row>
    <row r="282" ht="15.75" customHeight="1">
      <c r="A282" s="6">
        <v>26.0</v>
      </c>
      <c r="B282" s="6">
        <v>75.0</v>
      </c>
      <c r="C282" s="6">
        <v>632.0</v>
      </c>
      <c r="D282" s="25">
        <v>46200.0</v>
      </c>
      <c r="E282" s="6">
        <v>1.0</v>
      </c>
      <c r="F282" s="6" t="s">
        <v>74</v>
      </c>
      <c r="G282" s="6" t="s">
        <v>347</v>
      </c>
      <c r="H282" s="6">
        <v>14.0</v>
      </c>
      <c r="I282" s="6" t="s">
        <v>34</v>
      </c>
      <c r="J282" s="6" t="s">
        <v>70</v>
      </c>
      <c r="K282" s="11" t="s">
        <v>36</v>
      </c>
      <c r="L282" s="6"/>
      <c r="M282" s="6"/>
      <c r="N282" s="6" t="s">
        <v>340</v>
      </c>
      <c r="O282" s="6" t="s">
        <v>189</v>
      </c>
      <c r="P282" s="6" t="s">
        <v>546</v>
      </c>
      <c r="Q282" s="88"/>
      <c r="R282" s="16">
        <v>2500.0</v>
      </c>
      <c r="S282" s="17">
        <f>FRESADO!$R282*FRESADO!$E282</f>
        <v>2500</v>
      </c>
      <c r="T282" s="17">
        <f>FRESADO!$S282*16%</f>
        <v>400</v>
      </c>
      <c r="U282" s="17">
        <f>FRESADO!$S282+FRESADO!$T282</f>
        <v>2900</v>
      </c>
      <c r="V282" s="17" t="s">
        <v>215</v>
      </c>
      <c r="W282" s="17" t="s">
        <v>44</v>
      </c>
      <c r="X282" s="17"/>
      <c r="Y282" s="30"/>
      <c r="Z282" s="31" t="s">
        <v>77</v>
      </c>
    </row>
    <row r="283" ht="15.75" customHeight="1">
      <c r="A283" s="6">
        <v>26.0</v>
      </c>
      <c r="B283" s="6">
        <v>76.0</v>
      </c>
      <c r="C283" s="6">
        <v>633.0</v>
      </c>
      <c r="D283" s="25">
        <v>46200.0</v>
      </c>
      <c r="E283" s="6">
        <v>1.0</v>
      </c>
      <c r="F283" s="6" t="s">
        <v>74</v>
      </c>
      <c r="G283" s="6" t="s">
        <v>192</v>
      </c>
      <c r="H283" s="6">
        <v>14.0</v>
      </c>
      <c r="I283" s="6" t="s">
        <v>34</v>
      </c>
      <c r="J283" s="6" t="s">
        <v>41</v>
      </c>
      <c r="K283" s="11" t="s">
        <v>36</v>
      </c>
      <c r="L283" s="6"/>
      <c r="M283" s="6"/>
      <c r="N283" s="6" t="s">
        <v>340</v>
      </c>
      <c r="O283" s="6" t="s">
        <v>189</v>
      </c>
      <c r="P283" s="6" t="s">
        <v>546</v>
      </c>
      <c r="Q283" s="88"/>
      <c r="R283" s="16">
        <v>2500.0</v>
      </c>
      <c r="S283" s="17">
        <f>FRESADO!$R283*FRESADO!$E283</f>
        <v>2500</v>
      </c>
      <c r="T283" s="17">
        <f>FRESADO!$S283*16%</f>
        <v>400</v>
      </c>
      <c r="U283" s="17">
        <f>FRESADO!$S283+FRESADO!$T283</f>
        <v>2900</v>
      </c>
      <c r="V283" s="17" t="s">
        <v>215</v>
      </c>
      <c r="W283" s="17" t="s">
        <v>44</v>
      </c>
      <c r="X283" s="17"/>
      <c r="Y283" s="30"/>
      <c r="Z283" s="31" t="s">
        <v>77</v>
      </c>
    </row>
    <row r="284" ht="15.75" customHeight="1">
      <c r="A284" s="6">
        <v>26.0</v>
      </c>
      <c r="B284" s="6">
        <v>77.0</v>
      </c>
      <c r="C284" s="6">
        <v>634.0</v>
      </c>
      <c r="D284" s="25">
        <v>46200.0</v>
      </c>
      <c r="E284" s="6">
        <v>1.0</v>
      </c>
      <c r="F284" s="6" t="s">
        <v>74</v>
      </c>
      <c r="G284" s="6" t="s">
        <v>277</v>
      </c>
      <c r="H284" s="6">
        <v>14.0</v>
      </c>
      <c r="I284" s="6" t="s">
        <v>34</v>
      </c>
      <c r="J284" s="6" t="s">
        <v>278</v>
      </c>
      <c r="K284" s="11" t="s">
        <v>36</v>
      </c>
      <c r="L284" s="6"/>
      <c r="M284" s="6"/>
      <c r="N284" s="6" t="s">
        <v>340</v>
      </c>
      <c r="O284" s="6" t="s">
        <v>189</v>
      </c>
      <c r="P284" s="6" t="s">
        <v>546</v>
      </c>
      <c r="Q284" s="88"/>
      <c r="R284" s="16">
        <v>2500.0</v>
      </c>
      <c r="S284" s="17">
        <f>FRESADO!$R284*FRESADO!$E284</f>
        <v>2500</v>
      </c>
      <c r="T284" s="17">
        <f>FRESADO!$S284*16%</f>
        <v>400</v>
      </c>
      <c r="U284" s="17">
        <f>FRESADO!$S284+FRESADO!$T284</f>
        <v>2900</v>
      </c>
      <c r="V284" s="17" t="s">
        <v>215</v>
      </c>
      <c r="W284" s="17" t="s">
        <v>44</v>
      </c>
      <c r="X284" s="17"/>
      <c r="Y284" s="30"/>
      <c r="Z284" s="31" t="s">
        <v>77</v>
      </c>
    </row>
    <row r="285" ht="15.75" customHeight="1">
      <c r="A285" s="6">
        <v>26.0</v>
      </c>
      <c r="B285" s="56">
        <v>78.0</v>
      </c>
      <c r="C285" s="6">
        <v>635.0</v>
      </c>
      <c r="D285" s="25">
        <v>46200.0</v>
      </c>
      <c r="E285" s="6">
        <v>1.0</v>
      </c>
      <c r="F285" s="6" t="s">
        <v>74</v>
      </c>
      <c r="G285" s="6" t="s">
        <v>692</v>
      </c>
      <c r="H285" s="6">
        <v>14.0</v>
      </c>
      <c r="I285" s="6" t="s">
        <v>34</v>
      </c>
      <c r="J285" s="6" t="s">
        <v>693</v>
      </c>
      <c r="K285" s="11" t="s">
        <v>36</v>
      </c>
      <c r="L285" s="6"/>
      <c r="M285" s="6"/>
      <c r="N285" s="6" t="s">
        <v>340</v>
      </c>
      <c r="O285" s="6" t="s">
        <v>189</v>
      </c>
      <c r="P285" s="6" t="s">
        <v>546</v>
      </c>
      <c r="Q285" s="88"/>
      <c r="R285" s="16">
        <v>2500.0</v>
      </c>
      <c r="S285" s="17">
        <f>FRESADO!$R285*FRESADO!$E285</f>
        <v>2500</v>
      </c>
      <c r="T285" s="17">
        <f>FRESADO!$S285*16%</f>
        <v>400</v>
      </c>
      <c r="U285" s="17">
        <f>FRESADO!$S285+FRESADO!$T285</f>
        <v>2900</v>
      </c>
      <c r="V285" s="17" t="s">
        <v>215</v>
      </c>
      <c r="W285" s="17" t="s">
        <v>44</v>
      </c>
      <c r="X285" s="17"/>
      <c r="Y285" s="30"/>
      <c r="Z285" s="31" t="s">
        <v>77</v>
      </c>
    </row>
    <row r="286" ht="15.75" customHeight="1">
      <c r="A286" s="6">
        <v>26.0</v>
      </c>
      <c r="B286" s="6">
        <v>79.0</v>
      </c>
      <c r="C286" s="6">
        <v>636.0</v>
      </c>
      <c r="D286" s="25">
        <v>46200.0</v>
      </c>
      <c r="E286" s="6">
        <v>1.0</v>
      </c>
      <c r="F286" s="6" t="s">
        <v>74</v>
      </c>
      <c r="G286" s="6" t="s">
        <v>347</v>
      </c>
      <c r="H286" s="6">
        <v>14.0</v>
      </c>
      <c r="I286" s="6" t="s">
        <v>34</v>
      </c>
      <c r="J286" s="6" t="s">
        <v>70</v>
      </c>
      <c r="K286" s="11" t="s">
        <v>36</v>
      </c>
      <c r="L286" s="6"/>
      <c r="M286" s="6"/>
      <c r="N286" s="6" t="s">
        <v>340</v>
      </c>
      <c r="O286" s="6" t="s">
        <v>189</v>
      </c>
      <c r="P286" s="6" t="s">
        <v>546</v>
      </c>
      <c r="Q286" s="88"/>
      <c r="R286" s="16">
        <v>2500.0</v>
      </c>
      <c r="S286" s="17">
        <f>FRESADO!$R286*FRESADO!$E286</f>
        <v>2500</v>
      </c>
      <c r="T286" s="17">
        <f>FRESADO!$S286*16%</f>
        <v>400</v>
      </c>
      <c r="U286" s="17">
        <f>FRESADO!$S286+FRESADO!$T286</f>
        <v>2900</v>
      </c>
      <c r="V286" s="17" t="s">
        <v>215</v>
      </c>
      <c r="W286" s="17" t="s">
        <v>44</v>
      </c>
      <c r="X286" s="17"/>
      <c r="Y286" s="30"/>
      <c r="Z286" s="31" t="s">
        <v>77</v>
      </c>
    </row>
    <row r="287" ht="15.75" customHeight="1">
      <c r="A287" s="6">
        <v>26.0</v>
      </c>
      <c r="B287" s="6">
        <v>80.0</v>
      </c>
      <c r="C287" s="6">
        <v>637.0</v>
      </c>
      <c r="D287" s="25">
        <v>46200.0</v>
      </c>
      <c r="E287" s="6">
        <v>1.0</v>
      </c>
      <c r="F287" s="6" t="s">
        <v>74</v>
      </c>
      <c r="G287" s="6" t="s">
        <v>192</v>
      </c>
      <c r="H287" s="6">
        <v>14.0</v>
      </c>
      <c r="I287" s="6" t="s">
        <v>34</v>
      </c>
      <c r="J287" s="6" t="s">
        <v>41</v>
      </c>
      <c r="K287" s="11" t="s">
        <v>36</v>
      </c>
      <c r="L287" s="6"/>
      <c r="M287" s="6"/>
      <c r="N287" s="6" t="s">
        <v>340</v>
      </c>
      <c r="O287" s="6" t="s">
        <v>189</v>
      </c>
      <c r="P287" s="6" t="s">
        <v>546</v>
      </c>
      <c r="Q287" s="6"/>
      <c r="R287" s="16">
        <v>2500.0</v>
      </c>
      <c r="S287" s="17">
        <f>FRESADO!$R287*FRESADO!$E287</f>
        <v>2500</v>
      </c>
      <c r="T287" s="17">
        <f>FRESADO!$S287*16%</f>
        <v>400</v>
      </c>
      <c r="U287" s="17">
        <f>FRESADO!$S287+FRESADO!$T287</f>
        <v>2900</v>
      </c>
      <c r="V287" s="17" t="s">
        <v>215</v>
      </c>
      <c r="W287" s="17" t="s">
        <v>44</v>
      </c>
      <c r="X287" s="17"/>
      <c r="Y287" s="30"/>
      <c r="Z287" s="31" t="s">
        <v>77</v>
      </c>
    </row>
    <row r="288" ht="15.75" customHeight="1">
      <c r="A288" s="6">
        <v>26.0</v>
      </c>
      <c r="B288" s="6">
        <v>81.0</v>
      </c>
      <c r="C288" s="6">
        <v>638.0</v>
      </c>
      <c r="D288" s="25">
        <v>46200.0</v>
      </c>
      <c r="E288" s="6">
        <v>1.0</v>
      </c>
      <c r="F288" s="6" t="s">
        <v>74</v>
      </c>
      <c r="G288" s="6" t="s">
        <v>277</v>
      </c>
      <c r="H288" s="6">
        <v>14.0</v>
      </c>
      <c r="I288" s="6" t="s">
        <v>34</v>
      </c>
      <c r="J288" s="6" t="s">
        <v>278</v>
      </c>
      <c r="K288" s="11" t="s">
        <v>36</v>
      </c>
      <c r="L288" s="6"/>
      <c r="M288" s="6"/>
      <c r="N288" s="6" t="s">
        <v>340</v>
      </c>
      <c r="O288" s="6" t="s">
        <v>189</v>
      </c>
      <c r="P288" s="6" t="s">
        <v>546</v>
      </c>
      <c r="Q288" s="6"/>
      <c r="R288" s="16">
        <v>2500.0</v>
      </c>
      <c r="S288" s="17">
        <f>FRESADO!$R288*FRESADO!$E288</f>
        <v>2500</v>
      </c>
      <c r="T288" s="17">
        <f>FRESADO!$S288*16%</f>
        <v>400</v>
      </c>
      <c r="U288" s="17">
        <f>FRESADO!$S288+FRESADO!$T288</f>
        <v>2900</v>
      </c>
      <c r="V288" s="17" t="s">
        <v>215</v>
      </c>
      <c r="W288" s="17" t="s">
        <v>44</v>
      </c>
      <c r="X288" s="17"/>
      <c r="Y288" s="30"/>
      <c r="Z288" s="31" t="s">
        <v>77</v>
      </c>
    </row>
    <row r="289" ht="15.75" customHeight="1">
      <c r="A289" s="56">
        <v>26.0</v>
      </c>
      <c r="B289" s="56">
        <v>82.0</v>
      </c>
      <c r="C289" s="56">
        <v>639.0</v>
      </c>
      <c r="D289" s="97">
        <v>46200.0</v>
      </c>
      <c r="E289" s="56">
        <v>0.0</v>
      </c>
      <c r="F289" s="56" t="s">
        <v>182</v>
      </c>
      <c r="G289" s="54">
        <v>0.0</v>
      </c>
      <c r="H289" s="54">
        <v>0.0</v>
      </c>
      <c r="I289" s="54" t="s">
        <v>40</v>
      </c>
      <c r="J289" s="54" t="s">
        <v>183</v>
      </c>
      <c r="K289" s="56" t="s">
        <v>49</v>
      </c>
      <c r="L289" s="56"/>
      <c r="M289" s="56"/>
      <c r="N289" s="56"/>
      <c r="O289" s="56"/>
      <c r="P289" s="56"/>
      <c r="Q289" s="56" t="s">
        <v>182</v>
      </c>
      <c r="R289" s="59">
        <v>0.0</v>
      </c>
      <c r="S289" s="81">
        <f>FRESADO!$R289*FRESADO!$E289</f>
        <v>0</v>
      </c>
      <c r="T289" s="81">
        <f>FRESADO!$S289*16%</f>
        <v>0</v>
      </c>
      <c r="U289" s="81">
        <f>FRESADO!$S289+FRESADO!$T289</f>
        <v>0</v>
      </c>
      <c r="V289" s="56" t="s">
        <v>182</v>
      </c>
      <c r="W289" s="81"/>
      <c r="X289" s="81"/>
      <c r="Y289" s="82"/>
      <c r="Z289" s="83"/>
    </row>
    <row r="290" ht="15.75" customHeight="1">
      <c r="A290" s="6">
        <v>27.0</v>
      </c>
      <c r="B290" s="6">
        <v>1.0</v>
      </c>
      <c r="C290" s="6">
        <v>640.0</v>
      </c>
      <c r="D290" s="25">
        <v>46202.0</v>
      </c>
      <c r="E290" s="6">
        <v>1.0</v>
      </c>
      <c r="F290" s="6" t="s">
        <v>74</v>
      </c>
      <c r="G290" s="6" t="s">
        <v>198</v>
      </c>
      <c r="H290" s="6">
        <v>14.0</v>
      </c>
      <c r="I290" s="6" t="s">
        <v>34</v>
      </c>
      <c r="J290" s="6" t="s">
        <v>694</v>
      </c>
      <c r="K290" s="11" t="s">
        <v>36</v>
      </c>
      <c r="L290" s="6"/>
      <c r="M290" s="6"/>
      <c r="N290" s="6" t="s">
        <v>398</v>
      </c>
      <c r="O290" s="6" t="s">
        <v>189</v>
      </c>
      <c r="P290" s="6" t="s">
        <v>546</v>
      </c>
      <c r="Q290" s="6" t="s">
        <v>399</v>
      </c>
      <c r="R290" s="66">
        <v>3355.0</v>
      </c>
      <c r="S290" s="52">
        <f>R290*E290</f>
        <v>3355</v>
      </c>
      <c r="T290" s="17">
        <f>FRESADO!$S290*16%</f>
        <v>536.8</v>
      </c>
      <c r="U290" s="17">
        <f>FRESADO!$S290+FRESADO!$T290</f>
        <v>3891.8</v>
      </c>
      <c r="V290" s="52" t="s">
        <v>291</v>
      </c>
      <c r="W290" s="52" t="s">
        <v>44</v>
      </c>
      <c r="X290" s="17"/>
      <c r="Y290" s="30"/>
      <c r="Z290" s="42" t="s">
        <v>399</v>
      </c>
    </row>
    <row r="291" ht="15.75" customHeight="1">
      <c r="A291" s="6">
        <v>27.0</v>
      </c>
      <c r="B291" s="6">
        <v>2.0</v>
      </c>
      <c r="C291" s="6">
        <v>641.0</v>
      </c>
      <c r="D291" s="25">
        <v>46202.0</v>
      </c>
      <c r="E291" s="6">
        <v>1.0</v>
      </c>
      <c r="F291" s="6" t="s">
        <v>74</v>
      </c>
      <c r="G291" s="6" t="s">
        <v>479</v>
      </c>
      <c r="H291" s="6">
        <v>14.0</v>
      </c>
      <c r="I291" s="6" t="s">
        <v>34</v>
      </c>
      <c r="J291" s="6" t="s">
        <v>106</v>
      </c>
      <c r="K291" s="11" t="s">
        <v>36</v>
      </c>
      <c r="L291" s="6"/>
      <c r="M291" s="6"/>
      <c r="N291" s="6" t="s">
        <v>398</v>
      </c>
      <c r="O291" s="6" t="s">
        <v>189</v>
      </c>
      <c r="P291" s="6" t="s">
        <v>546</v>
      </c>
      <c r="Q291" s="6" t="s">
        <v>399</v>
      </c>
      <c r="R291" s="66">
        <v>3355.0</v>
      </c>
      <c r="S291" s="17">
        <f>FRESADO!$R291*FRESADO!$E291</f>
        <v>3355</v>
      </c>
      <c r="T291" s="17">
        <f>FRESADO!$S291*16%</f>
        <v>536.8</v>
      </c>
      <c r="U291" s="17">
        <f>FRESADO!$S291+FRESADO!$T291</f>
        <v>3891.8</v>
      </c>
      <c r="V291" s="52" t="s">
        <v>291</v>
      </c>
      <c r="W291" s="52" t="s">
        <v>44</v>
      </c>
      <c r="X291" s="17"/>
      <c r="Y291" s="30"/>
      <c r="Z291" s="42" t="s">
        <v>399</v>
      </c>
    </row>
    <row r="292" ht="15.75" customHeight="1">
      <c r="A292" s="6">
        <v>27.0</v>
      </c>
      <c r="B292" s="6">
        <v>3.0</v>
      </c>
      <c r="C292" s="6">
        <v>642.0</v>
      </c>
      <c r="D292" s="25">
        <v>46202.0</v>
      </c>
      <c r="E292" s="6">
        <v>1.0</v>
      </c>
      <c r="F292" s="6" t="s">
        <v>74</v>
      </c>
      <c r="G292" s="6" t="s">
        <v>405</v>
      </c>
      <c r="H292" s="6">
        <v>14.0</v>
      </c>
      <c r="I292" s="6" t="s">
        <v>34</v>
      </c>
      <c r="J292" s="6" t="s">
        <v>662</v>
      </c>
      <c r="K292" s="11" t="s">
        <v>36</v>
      </c>
      <c r="L292" s="6"/>
      <c r="M292" s="6"/>
      <c r="N292" s="6" t="s">
        <v>398</v>
      </c>
      <c r="O292" s="6" t="s">
        <v>189</v>
      </c>
      <c r="P292" s="6" t="s">
        <v>546</v>
      </c>
      <c r="Q292" s="6" t="s">
        <v>399</v>
      </c>
      <c r="R292" s="66">
        <v>3855.0</v>
      </c>
      <c r="S292" s="52">
        <v>3855.0</v>
      </c>
      <c r="T292" s="17">
        <f>FRESADO!$S292*16%</f>
        <v>616.8</v>
      </c>
      <c r="U292" s="17">
        <f>FRESADO!$S292+FRESADO!$T292</f>
        <v>4471.8</v>
      </c>
      <c r="V292" s="52" t="s">
        <v>291</v>
      </c>
      <c r="W292" s="52" t="s">
        <v>44</v>
      </c>
      <c r="X292" s="17"/>
      <c r="Y292" s="30"/>
      <c r="Z292" s="42" t="s">
        <v>399</v>
      </c>
    </row>
    <row r="293" ht="15.75" customHeight="1">
      <c r="A293" s="6">
        <v>27.0</v>
      </c>
      <c r="B293" s="6">
        <v>4.0</v>
      </c>
      <c r="C293" s="6">
        <v>643.0</v>
      </c>
      <c r="D293" s="25">
        <v>46202.0</v>
      </c>
      <c r="E293" s="6">
        <v>1.0</v>
      </c>
      <c r="F293" s="6" t="s">
        <v>74</v>
      </c>
      <c r="G293" s="6" t="s">
        <v>162</v>
      </c>
      <c r="H293" s="6">
        <v>14.0</v>
      </c>
      <c r="I293" s="6" t="s">
        <v>34</v>
      </c>
      <c r="J293" s="6" t="s">
        <v>83</v>
      </c>
      <c r="K293" s="11" t="s">
        <v>36</v>
      </c>
      <c r="L293" s="6"/>
      <c r="M293" s="6"/>
      <c r="N293" s="6" t="s">
        <v>398</v>
      </c>
      <c r="O293" s="6" t="s">
        <v>189</v>
      </c>
      <c r="P293" s="6" t="s">
        <v>546</v>
      </c>
      <c r="Q293" s="6" t="s">
        <v>399</v>
      </c>
      <c r="R293" s="66">
        <v>3855.0</v>
      </c>
      <c r="S293" s="52">
        <v>3855.0</v>
      </c>
      <c r="T293" s="17">
        <f>FRESADO!$S293*16%</f>
        <v>616.8</v>
      </c>
      <c r="U293" s="17">
        <f>FRESADO!$S293+FRESADO!$T293</f>
        <v>4471.8</v>
      </c>
      <c r="V293" s="52" t="s">
        <v>291</v>
      </c>
      <c r="W293" s="52" t="s">
        <v>44</v>
      </c>
      <c r="X293" s="17"/>
      <c r="Y293" s="30"/>
      <c r="Z293" s="42" t="s">
        <v>399</v>
      </c>
    </row>
    <row r="294" ht="15.75" customHeight="1">
      <c r="A294" s="6">
        <v>27.0</v>
      </c>
      <c r="B294" s="6">
        <v>5.0</v>
      </c>
      <c r="C294" s="6">
        <v>644.0</v>
      </c>
      <c r="D294" s="25">
        <v>46202.0</v>
      </c>
      <c r="E294" s="6">
        <v>1.0</v>
      </c>
      <c r="F294" s="6" t="s">
        <v>74</v>
      </c>
      <c r="G294" s="6" t="s">
        <v>374</v>
      </c>
      <c r="H294" s="6">
        <v>14.0</v>
      </c>
      <c r="I294" s="6" t="s">
        <v>34</v>
      </c>
      <c r="J294" s="6" t="s">
        <v>406</v>
      </c>
      <c r="K294" s="11" t="s">
        <v>36</v>
      </c>
      <c r="L294" s="6"/>
      <c r="M294" s="6"/>
      <c r="N294" s="6" t="s">
        <v>398</v>
      </c>
      <c r="O294" s="6" t="s">
        <v>189</v>
      </c>
      <c r="P294" s="6" t="s">
        <v>546</v>
      </c>
      <c r="Q294" s="6" t="s">
        <v>399</v>
      </c>
      <c r="R294" s="66">
        <v>3355.0</v>
      </c>
      <c r="S294" s="17">
        <f>FRESADO!$R294*FRESADO!$E294</f>
        <v>3355</v>
      </c>
      <c r="T294" s="17">
        <f>FRESADO!$S294*16%</f>
        <v>536.8</v>
      </c>
      <c r="U294" s="17">
        <f>FRESADO!$S294+FRESADO!$T294</f>
        <v>3891.8</v>
      </c>
      <c r="V294" s="52" t="s">
        <v>291</v>
      </c>
      <c r="W294" s="52" t="s">
        <v>44</v>
      </c>
      <c r="X294" s="17"/>
      <c r="Y294" s="30"/>
      <c r="Z294" s="42" t="s">
        <v>399</v>
      </c>
    </row>
    <row r="295" ht="15.75" customHeight="1">
      <c r="A295" s="6">
        <v>27.0</v>
      </c>
      <c r="B295" s="6">
        <v>6.0</v>
      </c>
      <c r="C295" s="6">
        <v>645.0</v>
      </c>
      <c r="D295" s="25">
        <v>46202.0</v>
      </c>
      <c r="E295" s="34">
        <v>1.0</v>
      </c>
      <c r="F295" s="6" t="s">
        <v>219</v>
      </c>
      <c r="G295" s="6"/>
      <c r="H295" s="34">
        <v>0.0</v>
      </c>
      <c r="I295" s="6" t="s">
        <v>34</v>
      </c>
      <c r="J295" s="6"/>
      <c r="K295" s="11" t="s">
        <v>36</v>
      </c>
      <c r="L295" s="6"/>
      <c r="M295" s="6"/>
      <c r="N295" s="6"/>
      <c r="O295" s="6"/>
      <c r="P295" s="6"/>
      <c r="Q295" s="6" t="s">
        <v>219</v>
      </c>
      <c r="R295" s="66">
        <v>1540.0</v>
      </c>
      <c r="S295" s="17">
        <f>FRESADO!$R295*FRESADO!$E295</f>
        <v>1540</v>
      </c>
      <c r="T295" s="17">
        <f>FRESADO!$S295*16%</f>
        <v>246.4</v>
      </c>
      <c r="U295" s="17">
        <f>FRESADO!$S295+FRESADO!$T295</f>
        <v>1786.4</v>
      </c>
      <c r="V295" s="52" t="s">
        <v>291</v>
      </c>
      <c r="W295" s="52" t="s">
        <v>44</v>
      </c>
      <c r="Y295" s="30"/>
      <c r="Z295" s="128"/>
    </row>
    <row r="296" ht="15.75" customHeight="1">
      <c r="A296" s="6">
        <v>27.0</v>
      </c>
      <c r="B296" s="6">
        <v>7.0</v>
      </c>
      <c r="C296" s="6">
        <v>646.0</v>
      </c>
      <c r="D296" s="25">
        <v>46202.0</v>
      </c>
      <c r="E296" s="34">
        <v>1.0</v>
      </c>
      <c r="F296" s="6" t="s">
        <v>219</v>
      </c>
      <c r="G296" s="6"/>
      <c r="H296" s="34">
        <v>0.0</v>
      </c>
      <c r="I296" s="6" t="s">
        <v>34</v>
      </c>
      <c r="J296" s="6"/>
      <c r="K296" s="11" t="s">
        <v>36</v>
      </c>
      <c r="L296" s="6"/>
      <c r="M296" s="6"/>
      <c r="N296" s="6"/>
      <c r="O296" s="6"/>
      <c r="P296" s="6"/>
      <c r="Q296" s="6" t="s">
        <v>219</v>
      </c>
      <c r="R296" s="66">
        <v>1540.0</v>
      </c>
      <c r="S296" s="17">
        <f>FRESADO!$R296*FRESADO!$E296</f>
        <v>1540</v>
      </c>
      <c r="T296" s="17">
        <f>FRESADO!$S296*16%</f>
        <v>246.4</v>
      </c>
      <c r="U296" s="17">
        <f>FRESADO!$S296+FRESADO!$T296</f>
        <v>1786.4</v>
      </c>
      <c r="V296" s="52" t="s">
        <v>291</v>
      </c>
      <c r="W296" s="52" t="s">
        <v>44</v>
      </c>
      <c r="X296" s="17"/>
      <c r="Y296" s="30"/>
      <c r="Z296" s="38"/>
    </row>
    <row r="297" ht="15.75" customHeight="1">
      <c r="A297" s="6">
        <v>27.0</v>
      </c>
      <c r="B297" s="6">
        <v>8.0</v>
      </c>
      <c r="C297" s="6">
        <v>647.0</v>
      </c>
      <c r="D297" s="25">
        <v>46202.0</v>
      </c>
      <c r="E297" s="34">
        <v>1.0</v>
      </c>
      <c r="F297" s="6" t="s">
        <v>219</v>
      </c>
      <c r="G297" s="6"/>
      <c r="H297" s="34">
        <v>0.0</v>
      </c>
      <c r="I297" s="6" t="s">
        <v>34</v>
      </c>
      <c r="J297" s="6"/>
      <c r="K297" s="11" t="s">
        <v>36</v>
      </c>
      <c r="L297" s="6"/>
      <c r="M297" s="6"/>
      <c r="N297" s="6"/>
      <c r="O297" s="6"/>
      <c r="P297" s="6"/>
      <c r="Q297" s="6" t="s">
        <v>219</v>
      </c>
      <c r="R297" s="66">
        <v>1540.0</v>
      </c>
      <c r="S297" s="17">
        <f>FRESADO!$R297*FRESADO!$E297</f>
        <v>1540</v>
      </c>
      <c r="T297" s="17">
        <f>FRESADO!$S297*16%</f>
        <v>246.4</v>
      </c>
      <c r="U297" s="17">
        <f>FRESADO!$S297+FRESADO!$T297</f>
        <v>1786.4</v>
      </c>
      <c r="V297" s="52" t="s">
        <v>291</v>
      </c>
      <c r="W297" s="52" t="s">
        <v>44</v>
      </c>
      <c r="X297" s="17"/>
      <c r="Y297" s="30"/>
      <c r="Z297" s="38"/>
    </row>
    <row r="298" ht="15.75" customHeight="1">
      <c r="A298" s="56">
        <v>27.0</v>
      </c>
      <c r="B298" s="56">
        <v>9.0</v>
      </c>
      <c r="C298" s="56">
        <v>648.0</v>
      </c>
      <c r="D298" s="97">
        <v>46202.0</v>
      </c>
      <c r="E298" s="56">
        <v>0.0</v>
      </c>
      <c r="F298" s="56" t="s">
        <v>182</v>
      </c>
      <c r="G298" s="54">
        <v>0.0</v>
      </c>
      <c r="H298" s="54">
        <v>0.0</v>
      </c>
      <c r="I298" s="54" t="s">
        <v>40</v>
      </c>
      <c r="J298" s="54" t="s">
        <v>183</v>
      </c>
      <c r="K298" s="56" t="s">
        <v>49</v>
      </c>
      <c r="L298" s="56"/>
      <c r="M298" s="56"/>
      <c r="N298" s="56"/>
      <c r="O298" s="56"/>
      <c r="P298" s="56"/>
      <c r="Q298" s="56" t="s">
        <v>182</v>
      </c>
      <c r="R298" s="59">
        <v>0.0</v>
      </c>
      <c r="S298" s="81">
        <f>FRESADO!$R298*FRESADO!$E298</f>
        <v>0</v>
      </c>
      <c r="T298" s="81">
        <f>FRESADO!$S298*16%</f>
        <v>0</v>
      </c>
      <c r="U298" s="81">
        <f>FRESADO!$S298+FRESADO!$T298</f>
        <v>0</v>
      </c>
      <c r="V298" s="56" t="s">
        <v>182</v>
      </c>
      <c r="W298" s="81"/>
      <c r="X298" s="81"/>
      <c r="Y298" s="82"/>
      <c r="Z298" s="83"/>
    </row>
    <row r="299" ht="15.75" customHeight="1">
      <c r="A299" s="6">
        <v>27.0</v>
      </c>
      <c r="B299" s="6">
        <v>10.0</v>
      </c>
      <c r="C299" s="6">
        <v>649.0</v>
      </c>
      <c r="D299" s="25">
        <v>46202.0</v>
      </c>
      <c r="E299" s="6">
        <v>1.0</v>
      </c>
      <c r="F299" s="6" t="s">
        <v>74</v>
      </c>
      <c r="G299" s="6" t="s">
        <v>405</v>
      </c>
      <c r="H299" s="6">
        <v>14.0</v>
      </c>
      <c r="I299" s="6" t="s">
        <v>34</v>
      </c>
      <c r="J299" s="6" t="s">
        <v>662</v>
      </c>
      <c r="K299" s="11" t="s">
        <v>36</v>
      </c>
      <c r="L299" s="6"/>
      <c r="M299" s="6"/>
      <c r="N299" s="6" t="s">
        <v>398</v>
      </c>
      <c r="O299" s="6" t="s">
        <v>189</v>
      </c>
      <c r="P299" s="6" t="s">
        <v>546</v>
      </c>
      <c r="Q299" s="6" t="s">
        <v>399</v>
      </c>
      <c r="R299" s="66">
        <v>3355.0</v>
      </c>
      <c r="S299" s="17">
        <f>FRESADO!$R299*FRESADO!$E299</f>
        <v>3355</v>
      </c>
      <c r="T299" s="17">
        <f>FRESADO!$S299*16%</f>
        <v>536.8</v>
      </c>
      <c r="U299" s="17">
        <f>FRESADO!$S299+FRESADO!$T299</f>
        <v>3891.8</v>
      </c>
      <c r="V299" s="52" t="s">
        <v>291</v>
      </c>
      <c r="W299" s="52" t="s">
        <v>44</v>
      </c>
      <c r="X299" s="17"/>
      <c r="Y299" s="30"/>
      <c r="Z299" s="42" t="s">
        <v>399</v>
      </c>
    </row>
    <row r="300" ht="15.75" customHeight="1">
      <c r="A300" s="6">
        <v>27.0</v>
      </c>
      <c r="B300" s="6">
        <v>11.0</v>
      </c>
      <c r="C300" s="6">
        <v>650.0</v>
      </c>
      <c r="D300" s="25">
        <v>46202.0</v>
      </c>
      <c r="E300" s="6">
        <v>1.0</v>
      </c>
      <c r="F300" s="6" t="s">
        <v>74</v>
      </c>
      <c r="G300" s="6" t="s">
        <v>162</v>
      </c>
      <c r="H300" s="6">
        <v>14.0</v>
      </c>
      <c r="I300" s="6" t="s">
        <v>34</v>
      </c>
      <c r="J300" s="6" t="s">
        <v>83</v>
      </c>
      <c r="K300" s="11" t="s">
        <v>36</v>
      </c>
      <c r="L300" s="6"/>
      <c r="M300" s="6"/>
      <c r="N300" s="6" t="s">
        <v>398</v>
      </c>
      <c r="O300" s="6" t="s">
        <v>189</v>
      </c>
      <c r="P300" s="6" t="s">
        <v>546</v>
      </c>
      <c r="Q300" s="6" t="s">
        <v>399</v>
      </c>
      <c r="R300" s="66">
        <v>3355.0</v>
      </c>
      <c r="S300" s="17">
        <f>FRESADO!$R300*FRESADO!$E300</f>
        <v>3355</v>
      </c>
      <c r="T300" s="17">
        <f>FRESADO!$S300*16%</f>
        <v>536.8</v>
      </c>
      <c r="U300" s="17">
        <f>FRESADO!$S300+FRESADO!$T300</f>
        <v>3891.8</v>
      </c>
      <c r="V300" s="52" t="s">
        <v>291</v>
      </c>
      <c r="W300" s="52" t="s">
        <v>44</v>
      </c>
      <c r="X300" s="17"/>
      <c r="Y300" s="30"/>
      <c r="Z300" s="42" t="s">
        <v>399</v>
      </c>
    </row>
    <row r="301" ht="15.75" customHeight="1">
      <c r="A301" s="6">
        <v>27.0</v>
      </c>
      <c r="B301" s="6">
        <v>12.0</v>
      </c>
      <c r="C301" s="6">
        <v>651.0</v>
      </c>
      <c r="D301" s="25">
        <v>46202.0</v>
      </c>
      <c r="E301" s="6">
        <v>1.0</v>
      </c>
      <c r="F301" s="6" t="s">
        <v>74</v>
      </c>
      <c r="G301" s="6" t="s">
        <v>374</v>
      </c>
      <c r="H301" s="6">
        <v>14.0</v>
      </c>
      <c r="I301" s="6" t="s">
        <v>34</v>
      </c>
      <c r="J301" s="6" t="s">
        <v>406</v>
      </c>
      <c r="K301" s="11" t="s">
        <v>36</v>
      </c>
      <c r="L301" s="6"/>
      <c r="M301" s="6"/>
      <c r="N301" s="6" t="s">
        <v>398</v>
      </c>
      <c r="O301" s="6" t="s">
        <v>189</v>
      </c>
      <c r="P301" s="6" t="s">
        <v>546</v>
      </c>
      <c r="Q301" s="6" t="s">
        <v>399</v>
      </c>
      <c r="R301" s="66">
        <v>3355.0</v>
      </c>
      <c r="S301" s="17">
        <f>FRESADO!$R301*FRESADO!$E301</f>
        <v>3355</v>
      </c>
      <c r="T301" s="17">
        <f>FRESADO!$S301*16%</f>
        <v>536.8</v>
      </c>
      <c r="U301" s="17">
        <f>FRESADO!$S301+FRESADO!$T301</f>
        <v>3891.8</v>
      </c>
      <c r="V301" s="52" t="s">
        <v>291</v>
      </c>
      <c r="W301" s="52" t="s">
        <v>44</v>
      </c>
      <c r="X301" s="17"/>
      <c r="Y301" s="30"/>
      <c r="Z301" s="42" t="s">
        <v>399</v>
      </c>
    </row>
    <row r="302" ht="15.75" customHeight="1">
      <c r="A302" s="6">
        <v>27.0</v>
      </c>
      <c r="B302" s="6">
        <v>13.0</v>
      </c>
      <c r="C302" s="6">
        <v>652.0</v>
      </c>
      <c r="D302" s="25">
        <v>46202.0</v>
      </c>
      <c r="E302" s="6">
        <v>1.0</v>
      </c>
      <c r="F302" s="6" t="s">
        <v>74</v>
      </c>
      <c r="G302" s="6" t="s">
        <v>198</v>
      </c>
      <c r="H302" s="6">
        <v>14.0</v>
      </c>
      <c r="I302" s="6" t="s">
        <v>34</v>
      </c>
      <c r="J302" s="6" t="s">
        <v>694</v>
      </c>
      <c r="K302" s="11" t="s">
        <v>36</v>
      </c>
      <c r="L302" s="6"/>
      <c r="M302" s="6"/>
      <c r="N302" s="6" t="s">
        <v>398</v>
      </c>
      <c r="O302" s="6" t="s">
        <v>189</v>
      </c>
      <c r="P302" s="6" t="s">
        <v>546</v>
      </c>
      <c r="Q302" s="6" t="s">
        <v>399</v>
      </c>
      <c r="R302" s="66">
        <v>3355.0</v>
      </c>
      <c r="S302" s="17">
        <f>FRESADO!$R302*FRESADO!$E302</f>
        <v>3355</v>
      </c>
      <c r="T302" s="17">
        <f>FRESADO!$S302*16%</f>
        <v>536.8</v>
      </c>
      <c r="U302" s="17">
        <f>FRESADO!$S302+FRESADO!$T302</f>
        <v>3891.8</v>
      </c>
      <c r="V302" s="52" t="s">
        <v>291</v>
      </c>
      <c r="W302" s="52" t="s">
        <v>44</v>
      </c>
      <c r="X302" s="17"/>
      <c r="Y302" s="30"/>
      <c r="Z302" s="42" t="s">
        <v>399</v>
      </c>
    </row>
    <row r="303" ht="15.75" customHeight="1">
      <c r="A303" s="6">
        <v>27.0</v>
      </c>
      <c r="B303" s="6">
        <v>14.0</v>
      </c>
      <c r="C303" s="6">
        <v>653.0</v>
      </c>
      <c r="D303" s="25">
        <v>46202.0</v>
      </c>
      <c r="E303" s="6">
        <v>1.0</v>
      </c>
      <c r="F303" s="6" t="s">
        <v>74</v>
      </c>
      <c r="G303" s="6" t="s">
        <v>405</v>
      </c>
      <c r="H303" s="6">
        <v>14.0</v>
      </c>
      <c r="I303" s="6" t="s">
        <v>34</v>
      </c>
      <c r="J303" s="6" t="s">
        <v>106</v>
      </c>
      <c r="K303" s="11" t="s">
        <v>36</v>
      </c>
      <c r="L303" s="6"/>
      <c r="M303" s="6"/>
      <c r="N303" s="6" t="s">
        <v>398</v>
      </c>
      <c r="O303" s="6" t="s">
        <v>189</v>
      </c>
      <c r="P303" s="6" t="s">
        <v>546</v>
      </c>
      <c r="Q303" s="6" t="s">
        <v>399</v>
      </c>
      <c r="R303" s="66">
        <v>3355.0</v>
      </c>
      <c r="S303" s="17">
        <f>FRESADO!$R303*FRESADO!$E303</f>
        <v>3355</v>
      </c>
      <c r="T303" s="17">
        <f>FRESADO!$S303*16%</f>
        <v>536.8</v>
      </c>
      <c r="U303" s="17">
        <f>FRESADO!$S303+FRESADO!$T303</f>
        <v>3891.8</v>
      </c>
      <c r="V303" s="52" t="s">
        <v>291</v>
      </c>
      <c r="W303" s="52" t="s">
        <v>44</v>
      </c>
      <c r="X303" s="17"/>
      <c r="Y303" s="30"/>
      <c r="Z303" s="42" t="s">
        <v>399</v>
      </c>
    </row>
    <row r="304" ht="15.75" customHeight="1">
      <c r="A304" s="6">
        <v>27.0</v>
      </c>
      <c r="B304" s="6">
        <v>15.0</v>
      </c>
      <c r="C304" s="115">
        <v>654.0</v>
      </c>
      <c r="D304" s="116">
        <v>46202.0</v>
      </c>
      <c r="E304" s="6">
        <v>1.0</v>
      </c>
      <c r="F304" s="6" t="s">
        <v>388</v>
      </c>
      <c r="G304" s="6" t="s">
        <v>583</v>
      </c>
      <c r="H304" s="6">
        <v>14.0</v>
      </c>
      <c r="I304" s="6" t="s">
        <v>34</v>
      </c>
      <c r="J304" s="6" t="s">
        <v>584</v>
      </c>
      <c r="K304" s="34" t="s">
        <v>50</v>
      </c>
      <c r="L304" s="6"/>
      <c r="M304" s="6"/>
      <c r="N304" s="6" t="s">
        <v>340</v>
      </c>
      <c r="O304" s="6" t="s">
        <v>189</v>
      </c>
      <c r="P304" s="6" t="s">
        <v>546</v>
      </c>
      <c r="Q304" s="6" t="s">
        <v>390</v>
      </c>
      <c r="R304" s="66">
        <v>4500.0</v>
      </c>
      <c r="S304" s="17">
        <f>FRESADO!$R304*FRESADO!$E304</f>
        <v>4500</v>
      </c>
      <c r="T304" s="17">
        <f>FRESADO!$S304*16%</f>
        <v>720</v>
      </c>
      <c r="U304" s="17">
        <f>FRESADO!$S304+FRESADO!$T304</f>
        <v>5220</v>
      </c>
      <c r="V304" s="52" t="s">
        <v>110</v>
      </c>
      <c r="W304" s="52" t="s">
        <v>44</v>
      </c>
      <c r="X304" s="34" t="s">
        <v>335</v>
      </c>
      <c r="Y304" s="30"/>
      <c r="Z304" s="38"/>
    </row>
    <row r="305" ht="15.75" customHeight="1">
      <c r="A305" s="6">
        <v>27.0</v>
      </c>
      <c r="B305" s="6">
        <v>16.0</v>
      </c>
      <c r="C305" s="122">
        <v>655.0</v>
      </c>
      <c r="D305" s="25">
        <v>46203.0</v>
      </c>
      <c r="E305" s="6">
        <v>1.0</v>
      </c>
      <c r="F305" s="6" t="s">
        <v>74</v>
      </c>
      <c r="G305" s="6" t="s">
        <v>162</v>
      </c>
      <c r="H305" s="6">
        <v>14.0</v>
      </c>
      <c r="I305" s="6" t="s">
        <v>34</v>
      </c>
      <c r="J305" s="6" t="s">
        <v>83</v>
      </c>
      <c r="K305" s="11" t="s">
        <v>36</v>
      </c>
      <c r="L305" s="6"/>
      <c r="M305" s="6"/>
      <c r="N305" s="6" t="s">
        <v>398</v>
      </c>
      <c r="O305" s="6" t="s">
        <v>189</v>
      </c>
      <c r="P305" s="6" t="s">
        <v>546</v>
      </c>
      <c r="Q305" s="34" t="s">
        <v>399</v>
      </c>
      <c r="R305" s="66">
        <v>3355.0</v>
      </c>
      <c r="S305" s="17">
        <f>FRESADO!$R305*FRESADO!$E305</f>
        <v>3355</v>
      </c>
      <c r="T305" s="17">
        <f>FRESADO!$S305*16%</f>
        <v>536.8</v>
      </c>
      <c r="U305" s="17">
        <f>FRESADO!$S305+FRESADO!$T305</f>
        <v>3891.8</v>
      </c>
      <c r="V305" s="52" t="s">
        <v>291</v>
      </c>
      <c r="W305" s="52" t="s">
        <v>44</v>
      </c>
      <c r="Y305" s="30"/>
      <c r="Z305" s="129" t="s">
        <v>399</v>
      </c>
    </row>
    <row r="306" ht="15.75" customHeight="1">
      <c r="A306" s="6">
        <v>27.0</v>
      </c>
      <c r="B306" s="6">
        <v>17.0</v>
      </c>
      <c r="C306" s="6">
        <v>656.0</v>
      </c>
      <c r="D306" s="25">
        <v>46203.0</v>
      </c>
      <c r="E306" s="6">
        <v>1.0</v>
      </c>
      <c r="F306" s="6" t="s">
        <v>74</v>
      </c>
      <c r="G306" s="6" t="s">
        <v>374</v>
      </c>
      <c r="H306" s="6">
        <v>14.0</v>
      </c>
      <c r="I306" s="6" t="s">
        <v>34</v>
      </c>
      <c r="J306" s="6" t="s">
        <v>406</v>
      </c>
      <c r="K306" s="11" t="s">
        <v>36</v>
      </c>
      <c r="L306" s="6"/>
      <c r="M306" s="6"/>
      <c r="N306" s="6" t="s">
        <v>398</v>
      </c>
      <c r="O306" s="6" t="s">
        <v>189</v>
      </c>
      <c r="P306" s="6" t="s">
        <v>546</v>
      </c>
      <c r="Q306" s="6" t="s">
        <v>399</v>
      </c>
      <c r="R306" s="66">
        <v>3355.0</v>
      </c>
      <c r="S306" s="17">
        <f>FRESADO!$R306*FRESADO!$E306</f>
        <v>3355</v>
      </c>
      <c r="T306" s="17">
        <f>FRESADO!$S306*16%</f>
        <v>536.8</v>
      </c>
      <c r="U306" s="17">
        <f>FRESADO!$S306+FRESADO!$T306</f>
        <v>3891.8</v>
      </c>
      <c r="V306" s="52" t="s">
        <v>291</v>
      </c>
      <c r="W306" s="52" t="s">
        <v>44</v>
      </c>
      <c r="X306" s="17"/>
      <c r="Y306" s="30"/>
      <c r="Z306" s="42" t="s">
        <v>399</v>
      </c>
    </row>
    <row r="307" ht="15.75" customHeight="1">
      <c r="A307" s="6">
        <v>27.0</v>
      </c>
      <c r="B307" s="6">
        <v>18.0</v>
      </c>
      <c r="C307" s="6">
        <v>657.0</v>
      </c>
      <c r="D307" s="25">
        <v>46203.0</v>
      </c>
      <c r="E307" s="6">
        <v>1.0</v>
      </c>
      <c r="F307" s="6" t="s">
        <v>74</v>
      </c>
      <c r="G307" s="6" t="s">
        <v>198</v>
      </c>
      <c r="H307" s="6">
        <v>14.0</v>
      </c>
      <c r="I307" s="6" t="s">
        <v>34</v>
      </c>
      <c r="J307" s="6" t="s">
        <v>694</v>
      </c>
      <c r="K307" s="11" t="s">
        <v>36</v>
      </c>
      <c r="L307" s="6"/>
      <c r="M307" s="6"/>
      <c r="N307" s="6" t="s">
        <v>398</v>
      </c>
      <c r="O307" s="6" t="s">
        <v>189</v>
      </c>
      <c r="P307" s="6" t="s">
        <v>546</v>
      </c>
      <c r="Q307" s="6" t="s">
        <v>399</v>
      </c>
      <c r="R307" s="66">
        <v>3355.0</v>
      </c>
      <c r="S307" s="17">
        <f>FRESADO!$R307*FRESADO!$E307</f>
        <v>3355</v>
      </c>
      <c r="T307" s="17">
        <f>FRESADO!$S307*16%</f>
        <v>536.8</v>
      </c>
      <c r="U307" s="17">
        <f>FRESADO!$S307+FRESADO!$T307</f>
        <v>3891.8</v>
      </c>
      <c r="V307" s="52" t="s">
        <v>291</v>
      </c>
      <c r="W307" s="52" t="s">
        <v>44</v>
      </c>
      <c r="X307" s="17"/>
      <c r="Y307" s="30"/>
      <c r="Z307" s="42" t="s">
        <v>399</v>
      </c>
    </row>
    <row r="308" ht="15.75" customHeight="1">
      <c r="A308" s="6">
        <v>27.0</v>
      </c>
      <c r="B308" s="6">
        <v>19.0</v>
      </c>
      <c r="C308" s="6">
        <v>658.0</v>
      </c>
      <c r="D308" s="25">
        <v>46203.0</v>
      </c>
      <c r="E308" s="6">
        <v>1.0</v>
      </c>
      <c r="F308" s="6" t="s">
        <v>74</v>
      </c>
      <c r="G308" s="6" t="s">
        <v>479</v>
      </c>
      <c r="H308" s="6">
        <v>14.0</v>
      </c>
      <c r="I308" s="6" t="s">
        <v>34</v>
      </c>
      <c r="J308" s="6" t="s">
        <v>190</v>
      </c>
      <c r="K308" s="11" t="s">
        <v>36</v>
      </c>
      <c r="L308" s="6"/>
      <c r="M308" s="6"/>
      <c r="N308" s="6" t="s">
        <v>398</v>
      </c>
      <c r="O308" s="6" t="s">
        <v>189</v>
      </c>
      <c r="P308" s="6" t="s">
        <v>546</v>
      </c>
      <c r="Q308" s="6" t="s">
        <v>399</v>
      </c>
      <c r="R308" s="66">
        <v>3355.0</v>
      </c>
      <c r="S308" s="17">
        <f>FRESADO!$R308*FRESADO!$E308</f>
        <v>3355</v>
      </c>
      <c r="T308" s="17">
        <f>FRESADO!$S308*16%</f>
        <v>536.8</v>
      </c>
      <c r="U308" s="17">
        <f>FRESADO!$S308+FRESADO!$T308</f>
        <v>3891.8</v>
      </c>
      <c r="V308" s="52" t="s">
        <v>291</v>
      </c>
      <c r="W308" s="52" t="s">
        <v>44</v>
      </c>
      <c r="X308" s="17"/>
      <c r="Y308" s="30"/>
      <c r="Z308" s="42" t="s">
        <v>399</v>
      </c>
    </row>
    <row r="309" ht="15.75" customHeight="1">
      <c r="A309" s="6">
        <v>27.0</v>
      </c>
      <c r="B309" s="6">
        <v>20.0</v>
      </c>
      <c r="C309" s="6">
        <v>659.0</v>
      </c>
      <c r="D309" s="25">
        <v>46203.0</v>
      </c>
      <c r="E309" s="6">
        <v>1.0</v>
      </c>
      <c r="F309" s="6" t="s">
        <v>74</v>
      </c>
      <c r="G309" s="6" t="s">
        <v>405</v>
      </c>
      <c r="H309" s="6">
        <v>14.0</v>
      </c>
      <c r="I309" s="6" t="s">
        <v>34</v>
      </c>
      <c r="J309" s="6" t="s">
        <v>662</v>
      </c>
      <c r="K309" s="11" t="s">
        <v>36</v>
      </c>
      <c r="L309" s="6"/>
      <c r="M309" s="6"/>
      <c r="N309" s="6" t="s">
        <v>398</v>
      </c>
      <c r="O309" s="6" t="s">
        <v>189</v>
      </c>
      <c r="P309" s="6" t="s">
        <v>546</v>
      </c>
      <c r="Q309" s="6" t="s">
        <v>399</v>
      </c>
      <c r="R309" s="66">
        <v>3355.0</v>
      </c>
      <c r="S309" s="17">
        <f>FRESADO!$R309*FRESADO!$E309</f>
        <v>3355</v>
      </c>
      <c r="T309" s="17">
        <f>FRESADO!$S309*16%</f>
        <v>536.8</v>
      </c>
      <c r="U309" s="17">
        <f>FRESADO!$S309+FRESADO!$T309</f>
        <v>3891.8</v>
      </c>
      <c r="V309" s="52" t="s">
        <v>291</v>
      </c>
      <c r="W309" s="52" t="s">
        <v>44</v>
      </c>
      <c r="X309" s="17"/>
      <c r="Y309" s="30"/>
      <c r="Z309" s="42" t="s">
        <v>399</v>
      </c>
    </row>
    <row r="310" ht="15.75" customHeight="1">
      <c r="A310" s="6">
        <v>27.0</v>
      </c>
      <c r="B310" s="6">
        <v>21.0</v>
      </c>
      <c r="C310" s="6">
        <v>660.0</v>
      </c>
      <c r="D310" s="25">
        <v>46203.0</v>
      </c>
      <c r="E310" s="6">
        <v>1.0</v>
      </c>
      <c r="F310" s="6" t="s">
        <v>74</v>
      </c>
      <c r="G310" s="6" t="s">
        <v>347</v>
      </c>
      <c r="H310" s="6">
        <v>14.0</v>
      </c>
      <c r="I310" s="6" t="s">
        <v>34</v>
      </c>
      <c r="J310" s="6" t="s">
        <v>70</v>
      </c>
      <c r="K310" s="11" t="s">
        <v>36</v>
      </c>
      <c r="L310" s="6"/>
      <c r="M310" s="6"/>
      <c r="N310" s="6" t="s">
        <v>340</v>
      </c>
      <c r="O310" s="6" t="s">
        <v>189</v>
      </c>
      <c r="P310" s="6" t="s">
        <v>546</v>
      </c>
      <c r="Q310" s="6"/>
      <c r="R310" s="66">
        <v>2500.0</v>
      </c>
      <c r="S310" s="17">
        <f>FRESADO!$R310*FRESADO!$E310</f>
        <v>2500</v>
      </c>
      <c r="T310" s="17">
        <f>FRESADO!$S310*16%</f>
        <v>400</v>
      </c>
      <c r="U310" s="17">
        <f>FRESADO!$S310+FRESADO!$T310</f>
        <v>2900</v>
      </c>
      <c r="V310" s="52" t="s">
        <v>291</v>
      </c>
      <c r="W310" s="52" t="s">
        <v>44</v>
      </c>
      <c r="X310" s="17"/>
      <c r="Y310" s="30"/>
      <c r="Z310" s="31" t="s">
        <v>77</v>
      </c>
    </row>
    <row r="311" ht="15.75" customHeight="1">
      <c r="A311" s="6">
        <v>27.0</v>
      </c>
      <c r="B311" s="6">
        <v>22.0</v>
      </c>
      <c r="C311" s="6">
        <v>661.0</v>
      </c>
      <c r="D311" s="25">
        <v>46203.0</v>
      </c>
      <c r="E311" s="6">
        <v>1.0</v>
      </c>
      <c r="F311" s="6" t="s">
        <v>74</v>
      </c>
      <c r="G311" s="6" t="s">
        <v>238</v>
      </c>
      <c r="H311" s="6">
        <v>14.0</v>
      </c>
      <c r="I311" s="6" t="s">
        <v>34</v>
      </c>
      <c r="J311" s="6" t="s">
        <v>89</v>
      </c>
      <c r="K311" s="11" t="s">
        <v>36</v>
      </c>
      <c r="L311" s="6"/>
      <c r="M311" s="6"/>
      <c r="N311" s="6" t="s">
        <v>340</v>
      </c>
      <c r="O311" s="6" t="s">
        <v>189</v>
      </c>
      <c r="P311" s="6" t="s">
        <v>546</v>
      </c>
      <c r="Q311" s="6"/>
      <c r="R311" s="66">
        <v>2500.0</v>
      </c>
      <c r="S311" s="17">
        <f>FRESADO!$R311*FRESADO!$E311</f>
        <v>2500</v>
      </c>
      <c r="T311" s="17">
        <f>FRESADO!$S311*16%</f>
        <v>400</v>
      </c>
      <c r="U311" s="17">
        <f>FRESADO!$S311+FRESADO!$T311</f>
        <v>2900</v>
      </c>
      <c r="V311" s="52" t="s">
        <v>291</v>
      </c>
      <c r="W311" s="52" t="s">
        <v>44</v>
      </c>
      <c r="X311" s="17"/>
      <c r="Y311" s="30"/>
      <c r="Z311" s="31" t="s">
        <v>77</v>
      </c>
    </row>
    <row r="312" ht="15.75" customHeight="1">
      <c r="A312" s="6">
        <v>27.0</v>
      </c>
      <c r="B312" s="6">
        <v>23.0</v>
      </c>
      <c r="C312" s="6">
        <v>662.0</v>
      </c>
      <c r="D312" s="25">
        <v>46203.0</v>
      </c>
      <c r="E312" s="6">
        <v>1.0</v>
      </c>
      <c r="F312" s="6" t="s">
        <v>74</v>
      </c>
      <c r="G312" s="6" t="s">
        <v>690</v>
      </c>
      <c r="H312" s="6">
        <v>14.0</v>
      </c>
      <c r="I312" s="6" t="s">
        <v>34</v>
      </c>
      <c r="J312" s="6" t="s">
        <v>691</v>
      </c>
      <c r="K312" s="11" t="s">
        <v>36</v>
      </c>
      <c r="L312" s="6"/>
      <c r="M312" s="6"/>
      <c r="N312" s="6" t="s">
        <v>340</v>
      </c>
      <c r="O312" s="6" t="s">
        <v>189</v>
      </c>
      <c r="P312" s="6" t="s">
        <v>546</v>
      </c>
      <c r="Q312" s="6"/>
      <c r="R312" s="66">
        <v>2500.0</v>
      </c>
      <c r="S312" s="17">
        <f>FRESADO!$R312*FRESADO!$E312</f>
        <v>2500</v>
      </c>
      <c r="T312" s="17">
        <f>FRESADO!$S312*16%</f>
        <v>400</v>
      </c>
      <c r="U312" s="17">
        <f>FRESADO!$S312+FRESADO!$T312</f>
        <v>2900</v>
      </c>
      <c r="V312" s="52" t="s">
        <v>291</v>
      </c>
      <c r="W312" s="52" t="s">
        <v>44</v>
      </c>
      <c r="X312" s="17"/>
      <c r="Y312" s="30"/>
      <c r="Z312" s="31" t="s">
        <v>77</v>
      </c>
    </row>
    <row r="313" ht="15.75" customHeight="1">
      <c r="A313" s="6">
        <v>27.0</v>
      </c>
      <c r="B313" s="6">
        <v>24.0</v>
      </c>
      <c r="C313" s="6">
        <v>663.0</v>
      </c>
      <c r="D313" s="25">
        <v>46203.0</v>
      </c>
      <c r="E313" s="6">
        <v>1.0</v>
      </c>
      <c r="F313" s="6" t="s">
        <v>74</v>
      </c>
      <c r="G313" s="6" t="s">
        <v>347</v>
      </c>
      <c r="H313" s="6">
        <v>14.0</v>
      </c>
      <c r="I313" s="6" t="s">
        <v>34</v>
      </c>
      <c r="J313" s="6" t="s">
        <v>70</v>
      </c>
      <c r="K313" s="11" t="s">
        <v>36</v>
      </c>
      <c r="L313" s="6"/>
      <c r="M313" s="6"/>
      <c r="N313" s="6" t="s">
        <v>340</v>
      </c>
      <c r="O313" s="6" t="s">
        <v>189</v>
      </c>
      <c r="P313" s="6" t="s">
        <v>546</v>
      </c>
      <c r="Q313" s="6"/>
      <c r="R313" s="66">
        <v>2500.0</v>
      </c>
      <c r="S313" s="17">
        <f>FRESADO!$R313*FRESADO!$E313</f>
        <v>2500</v>
      </c>
      <c r="T313" s="17">
        <f>FRESADO!$S313*16%</f>
        <v>400</v>
      </c>
      <c r="U313" s="17">
        <f>FRESADO!$S313+FRESADO!$T313</f>
        <v>2900</v>
      </c>
      <c r="V313" s="52" t="s">
        <v>291</v>
      </c>
      <c r="W313" s="52" t="s">
        <v>44</v>
      </c>
      <c r="X313" s="17"/>
      <c r="Y313" s="30"/>
      <c r="Z313" s="31" t="s">
        <v>77</v>
      </c>
    </row>
    <row r="314" ht="15.75" customHeight="1">
      <c r="A314" s="6">
        <v>27.0</v>
      </c>
      <c r="B314" s="6">
        <v>25.0</v>
      </c>
      <c r="C314" s="6">
        <v>664.0</v>
      </c>
      <c r="D314" s="25">
        <v>46203.0</v>
      </c>
      <c r="E314" s="6">
        <v>1.0</v>
      </c>
      <c r="F314" s="6" t="s">
        <v>74</v>
      </c>
      <c r="G314" s="6" t="s">
        <v>238</v>
      </c>
      <c r="H314" s="6">
        <v>14.0</v>
      </c>
      <c r="I314" s="6" t="s">
        <v>34</v>
      </c>
      <c r="J314" s="6" t="s">
        <v>89</v>
      </c>
      <c r="K314" s="11" t="s">
        <v>36</v>
      </c>
      <c r="L314" s="6"/>
      <c r="M314" s="6"/>
      <c r="N314" s="6" t="s">
        <v>340</v>
      </c>
      <c r="O314" s="6" t="s">
        <v>189</v>
      </c>
      <c r="P314" s="6" t="s">
        <v>546</v>
      </c>
      <c r="Q314" s="6"/>
      <c r="R314" s="66">
        <v>2500.0</v>
      </c>
      <c r="S314" s="17">
        <f>FRESADO!$R314*FRESADO!$E314</f>
        <v>2500</v>
      </c>
      <c r="T314" s="17">
        <f>FRESADO!$S314*16%</f>
        <v>400</v>
      </c>
      <c r="U314" s="17">
        <f>FRESADO!$S314+FRESADO!$T314</f>
        <v>2900</v>
      </c>
      <c r="V314" s="52" t="s">
        <v>291</v>
      </c>
      <c r="W314" s="52" t="s">
        <v>44</v>
      </c>
      <c r="X314" s="17"/>
      <c r="Y314" s="30"/>
      <c r="Z314" s="31" t="s">
        <v>77</v>
      </c>
    </row>
    <row r="315" ht="15.75" customHeight="1">
      <c r="A315" s="6">
        <v>27.0</v>
      </c>
      <c r="B315" s="6">
        <v>26.0</v>
      </c>
      <c r="C315" s="6">
        <v>665.0</v>
      </c>
      <c r="D315" s="25">
        <v>46203.0</v>
      </c>
      <c r="E315" s="6">
        <v>1.0</v>
      </c>
      <c r="F315" s="6" t="s">
        <v>74</v>
      </c>
      <c r="G315" s="6" t="s">
        <v>690</v>
      </c>
      <c r="H315" s="6">
        <v>14.0</v>
      </c>
      <c r="I315" s="6" t="s">
        <v>34</v>
      </c>
      <c r="J315" s="6" t="s">
        <v>691</v>
      </c>
      <c r="K315" s="11" t="s">
        <v>36</v>
      </c>
      <c r="L315" s="6"/>
      <c r="M315" s="6"/>
      <c r="N315" s="6" t="s">
        <v>340</v>
      </c>
      <c r="O315" s="6" t="s">
        <v>189</v>
      </c>
      <c r="P315" s="6" t="s">
        <v>546</v>
      </c>
      <c r="Q315" s="6"/>
      <c r="R315" s="66">
        <v>2500.0</v>
      </c>
      <c r="S315" s="17">
        <f>FRESADO!$R315*FRESADO!$E315</f>
        <v>2500</v>
      </c>
      <c r="T315" s="17">
        <f>FRESADO!$S315*16%</f>
        <v>400</v>
      </c>
      <c r="U315" s="17">
        <f>FRESADO!$S315+FRESADO!$T315</f>
        <v>2900</v>
      </c>
      <c r="V315" s="52" t="s">
        <v>291</v>
      </c>
      <c r="W315" s="52" t="s">
        <v>44</v>
      </c>
      <c r="X315" s="17"/>
      <c r="Y315" s="30"/>
      <c r="Z315" s="31" t="s">
        <v>77</v>
      </c>
    </row>
    <row r="316" ht="15.75" customHeight="1">
      <c r="A316" s="6">
        <v>27.0</v>
      </c>
      <c r="B316" s="6">
        <v>27.0</v>
      </c>
      <c r="C316" s="6">
        <v>666.0</v>
      </c>
      <c r="D316" s="25">
        <v>46203.0</v>
      </c>
      <c r="E316" s="6">
        <v>1.0</v>
      </c>
      <c r="F316" s="6" t="s">
        <v>74</v>
      </c>
      <c r="G316" s="6" t="s">
        <v>347</v>
      </c>
      <c r="H316" s="6">
        <v>14.0</v>
      </c>
      <c r="I316" s="6" t="s">
        <v>34</v>
      </c>
      <c r="J316" s="6" t="s">
        <v>70</v>
      </c>
      <c r="K316" s="11" t="s">
        <v>36</v>
      </c>
      <c r="L316" s="6"/>
      <c r="M316" s="6"/>
      <c r="N316" s="6" t="s">
        <v>340</v>
      </c>
      <c r="O316" s="6" t="s">
        <v>189</v>
      </c>
      <c r="P316" s="6" t="s">
        <v>546</v>
      </c>
      <c r="Q316" s="6"/>
      <c r="R316" s="66">
        <v>2500.0</v>
      </c>
      <c r="S316" s="17">
        <f>FRESADO!$R316*FRESADO!$E316</f>
        <v>2500</v>
      </c>
      <c r="T316" s="17">
        <f>FRESADO!$S316*16%</f>
        <v>400</v>
      </c>
      <c r="U316" s="17">
        <f>FRESADO!$S316+FRESADO!$T316</f>
        <v>2900</v>
      </c>
      <c r="V316" s="52" t="s">
        <v>291</v>
      </c>
      <c r="W316" s="52" t="s">
        <v>44</v>
      </c>
      <c r="X316" s="17"/>
      <c r="Y316" s="30"/>
      <c r="Z316" s="31" t="s">
        <v>77</v>
      </c>
    </row>
    <row r="317" ht="15.75" customHeight="1">
      <c r="A317" s="6">
        <v>27.0</v>
      </c>
      <c r="B317" s="6">
        <v>28.0</v>
      </c>
      <c r="C317" s="6">
        <v>667.0</v>
      </c>
      <c r="D317" s="25">
        <v>46203.0</v>
      </c>
      <c r="E317" s="6">
        <v>1.0</v>
      </c>
      <c r="F317" s="6" t="s">
        <v>74</v>
      </c>
      <c r="G317" s="6" t="s">
        <v>238</v>
      </c>
      <c r="H317" s="6">
        <v>14.0</v>
      </c>
      <c r="I317" s="6" t="s">
        <v>34</v>
      </c>
      <c r="J317" s="6" t="s">
        <v>89</v>
      </c>
      <c r="K317" s="11" t="s">
        <v>36</v>
      </c>
      <c r="L317" s="6"/>
      <c r="M317" s="6"/>
      <c r="N317" s="6" t="s">
        <v>340</v>
      </c>
      <c r="O317" s="6" t="s">
        <v>189</v>
      </c>
      <c r="P317" s="6" t="s">
        <v>546</v>
      </c>
      <c r="Q317" s="6"/>
      <c r="R317" s="66">
        <v>2500.0</v>
      </c>
      <c r="S317" s="17">
        <f>FRESADO!$R317*FRESADO!$E317</f>
        <v>2500</v>
      </c>
      <c r="T317" s="17">
        <f>FRESADO!$S317*16%</f>
        <v>400</v>
      </c>
      <c r="U317" s="17">
        <f>FRESADO!$S317+FRESADO!$T317</f>
        <v>2900</v>
      </c>
      <c r="V317" s="52" t="s">
        <v>291</v>
      </c>
      <c r="W317" s="52" t="s">
        <v>44</v>
      </c>
      <c r="X317" s="17"/>
      <c r="Y317" s="30"/>
      <c r="Z317" s="31" t="s">
        <v>77</v>
      </c>
    </row>
    <row r="318" ht="15.75" customHeight="1">
      <c r="A318" s="6">
        <v>27.0</v>
      </c>
      <c r="B318" s="6">
        <v>29.0</v>
      </c>
      <c r="C318" s="6">
        <v>668.0</v>
      </c>
      <c r="D318" s="25">
        <v>46203.0</v>
      </c>
      <c r="E318" s="6">
        <v>1.0</v>
      </c>
      <c r="F318" s="6" t="s">
        <v>74</v>
      </c>
      <c r="G318" s="6" t="s">
        <v>690</v>
      </c>
      <c r="H318" s="6">
        <v>14.0</v>
      </c>
      <c r="I318" s="6" t="s">
        <v>34</v>
      </c>
      <c r="J318" s="6" t="s">
        <v>691</v>
      </c>
      <c r="K318" s="11" t="s">
        <v>36</v>
      </c>
      <c r="L318" s="6"/>
      <c r="M318" s="6"/>
      <c r="N318" s="6" t="s">
        <v>340</v>
      </c>
      <c r="O318" s="6" t="s">
        <v>189</v>
      </c>
      <c r="P318" s="6" t="s">
        <v>546</v>
      </c>
      <c r="Q318" s="6"/>
      <c r="R318" s="66">
        <v>2500.0</v>
      </c>
      <c r="S318" s="17">
        <f>FRESADO!$R318*FRESADO!$E318</f>
        <v>2500</v>
      </c>
      <c r="T318" s="17">
        <f>FRESADO!$S318*16%</f>
        <v>400</v>
      </c>
      <c r="U318" s="17">
        <f>FRESADO!$S318+FRESADO!$T318</f>
        <v>2900</v>
      </c>
      <c r="V318" s="52" t="s">
        <v>291</v>
      </c>
      <c r="W318" s="52" t="s">
        <v>44</v>
      </c>
      <c r="X318" s="17"/>
      <c r="Y318" s="30"/>
      <c r="Z318" s="31" t="s">
        <v>77</v>
      </c>
    </row>
    <row r="319" ht="15.75" customHeight="1">
      <c r="A319" s="6">
        <v>27.0</v>
      </c>
      <c r="B319" s="6">
        <v>30.0</v>
      </c>
      <c r="C319" s="6">
        <v>669.0</v>
      </c>
      <c r="D319" s="25">
        <v>46203.0</v>
      </c>
      <c r="E319" s="6">
        <v>1.0</v>
      </c>
      <c r="F319" s="6" t="s">
        <v>74</v>
      </c>
      <c r="G319" s="6" t="s">
        <v>347</v>
      </c>
      <c r="H319" s="6">
        <v>14.0</v>
      </c>
      <c r="I319" s="6" t="s">
        <v>34</v>
      </c>
      <c r="J319" s="6" t="s">
        <v>70</v>
      </c>
      <c r="K319" s="11" t="s">
        <v>36</v>
      </c>
      <c r="L319" s="6"/>
      <c r="M319" s="6"/>
      <c r="N319" s="6" t="s">
        <v>340</v>
      </c>
      <c r="O319" s="6" t="s">
        <v>189</v>
      </c>
      <c r="P319" s="6" t="s">
        <v>546</v>
      </c>
      <c r="Q319" s="6"/>
      <c r="R319" s="66">
        <v>2500.0</v>
      </c>
      <c r="S319" s="17">
        <f>FRESADO!$R319*FRESADO!$E319</f>
        <v>2500</v>
      </c>
      <c r="T319" s="17">
        <f>FRESADO!$S319*16%</f>
        <v>400</v>
      </c>
      <c r="U319" s="17">
        <f>FRESADO!$S319+FRESADO!$T319</f>
        <v>2900</v>
      </c>
      <c r="V319" s="52" t="s">
        <v>291</v>
      </c>
      <c r="W319" s="52" t="s">
        <v>44</v>
      </c>
      <c r="X319" s="17"/>
      <c r="Y319" s="30"/>
      <c r="Z319" s="31" t="s">
        <v>77</v>
      </c>
    </row>
    <row r="320" ht="15.75" customHeight="1">
      <c r="A320" s="6">
        <v>27.0</v>
      </c>
      <c r="B320" s="6">
        <v>31.0</v>
      </c>
      <c r="C320" s="6">
        <v>670.0</v>
      </c>
      <c r="D320" s="25">
        <v>46203.0</v>
      </c>
      <c r="E320" s="6">
        <v>1.0</v>
      </c>
      <c r="F320" s="6" t="s">
        <v>74</v>
      </c>
      <c r="G320" s="6" t="s">
        <v>238</v>
      </c>
      <c r="H320" s="6">
        <v>14.0</v>
      </c>
      <c r="I320" s="6" t="s">
        <v>34</v>
      </c>
      <c r="J320" s="6" t="s">
        <v>89</v>
      </c>
      <c r="K320" s="11" t="s">
        <v>36</v>
      </c>
      <c r="L320" s="6"/>
      <c r="M320" s="6"/>
      <c r="N320" s="6" t="s">
        <v>340</v>
      </c>
      <c r="O320" s="6" t="s">
        <v>189</v>
      </c>
      <c r="P320" s="6" t="s">
        <v>546</v>
      </c>
      <c r="Q320" s="6"/>
      <c r="R320" s="66">
        <v>2500.0</v>
      </c>
      <c r="S320" s="17">
        <f>FRESADO!$R320*FRESADO!$E320</f>
        <v>2500</v>
      </c>
      <c r="T320" s="17">
        <f>FRESADO!$S320*16%</f>
        <v>400</v>
      </c>
      <c r="U320" s="17">
        <f>FRESADO!$S320+FRESADO!$T320</f>
        <v>2900</v>
      </c>
      <c r="V320" s="52" t="s">
        <v>291</v>
      </c>
      <c r="W320" s="52" t="s">
        <v>44</v>
      </c>
      <c r="X320" s="17"/>
      <c r="Y320" s="30"/>
      <c r="Z320" s="31" t="s">
        <v>77</v>
      </c>
    </row>
    <row r="321" ht="15.75" customHeight="1">
      <c r="A321" s="6">
        <v>27.0</v>
      </c>
      <c r="B321" s="6">
        <v>33.0</v>
      </c>
      <c r="C321" s="6">
        <v>671.0</v>
      </c>
      <c r="D321" s="25">
        <v>46203.0</v>
      </c>
      <c r="E321" s="6">
        <v>1.0</v>
      </c>
      <c r="F321" s="6" t="s">
        <v>74</v>
      </c>
      <c r="G321" s="6" t="s">
        <v>690</v>
      </c>
      <c r="H321" s="6">
        <v>14.0</v>
      </c>
      <c r="I321" s="6" t="s">
        <v>34</v>
      </c>
      <c r="J321" s="6" t="s">
        <v>691</v>
      </c>
      <c r="K321" s="11" t="s">
        <v>36</v>
      </c>
      <c r="L321" s="6"/>
      <c r="M321" s="6"/>
      <c r="N321" s="6" t="s">
        <v>340</v>
      </c>
      <c r="O321" s="6" t="s">
        <v>189</v>
      </c>
      <c r="P321" s="6" t="s">
        <v>546</v>
      </c>
      <c r="Q321" s="6"/>
      <c r="R321" s="66">
        <v>2500.0</v>
      </c>
      <c r="S321" s="17">
        <f>FRESADO!$R321*FRESADO!$E321</f>
        <v>2500</v>
      </c>
      <c r="T321" s="17">
        <f>FRESADO!$S321*16%</f>
        <v>400</v>
      </c>
      <c r="U321" s="17">
        <f>FRESADO!$S321+FRESADO!$T321</f>
        <v>2900</v>
      </c>
      <c r="V321" s="52" t="s">
        <v>291</v>
      </c>
      <c r="W321" s="52" t="s">
        <v>44</v>
      </c>
      <c r="X321" s="17"/>
      <c r="Y321" s="30"/>
      <c r="Z321" s="31" t="s">
        <v>77</v>
      </c>
    </row>
    <row r="322" ht="15.75" customHeight="1">
      <c r="A322" s="6">
        <v>27.0</v>
      </c>
      <c r="B322" s="6">
        <v>34.0</v>
      </c>
      <c r="C322" s="6">
        <v>672.0</v>
      </c>
      <c r="D322" s="25">
        <v>46203.0</v>
      </c>
      <c r="E322" s="6">
        <v>1.0</v>
      </c>
      <c r="F322" s="6" t="s">
        <v>74</v>
      </c>
      <c r="G322" s="6" t="s">
        <v>162</v>
      </c>
      <c r="H322" s="6">
        <v>14.0</v>
      </c>
      <c r="I322" s="6" t="s">
        <v>34</v>
      </c>
      <c r="J322" s="6" t="s">
        <v>83</v>
      </c>
      <c r="K322" s="11" t="s">
        <v>36</v>
      </c>
      <c r="L322" s="6"/>
      <c r="M322" s="6"/>
      <c r="N322" s="6" t="s">
        <v>398</v>
      </c>
      <c r="O322" s="6" t="s">
        <v>189</v>
      </c>
      <c r="P322" s="6" t="s">
        <v>546</v>
      </c>
      <c r="Q322" s="6" t="s">
        <v>399</v>
      </c>
      <c r="R322" s="66">
        <v>3355.0</v>
      </c>
      <c r="S322" s="17">
        <f>FRESADO!$R322*FRESADO!$E322</f>
        <v>3355</v>
      </c>
      <c r="T322" s="17">
        <f>FRESADO!$S322*16%</f>
        <v>536.8</v>
      </c>
      <c r="U322" s="17">
        <f>FRESADO!$S322+FRESADO!$T322</f>
        <v>3891.8</v>
      </c>
      <c r="V322" s="52" t="s">
        <v>291</v>
      </c>
      <c r="W322" s="52" t="s">
        <v>44</v>
      </c>
      <c r="X322" s="17"/>
      <c r="Y322" s="30"/>
      <c r="Z322" s="42" t="s">
        <v>399</v>
      </c>
    </row>
    <row r="323" ht="15.75" customHeight="1">
      <c r="A323" s="6">
        <v>27.0</v>
      </c>
      <c r="B323" s="6">
        <v>35.0</v>
      </c>
      <c r="C323" s="6">
        <v>673.0</v>
      </c>
      <c r="D323" s="25">
        <v>46203.0</v>
      </c>
      <c r="E323" s="6">
        <v>1.0</v>
      </c>
      <c r="F323" s="6" t="s">
        <v>74</v>
      </c>
      <c r="G323" s="6" t="s">
        <v>374</v>
      </c>
      <c r="H323" s="6">
        <v>14.0</v>
      </c>
      <c r="I323" s="6" t="s">
        <v>34</v>
      </c>
      <c r="J323" s="6" t="s">
        <v>406</v>
      </c>
      <c r="K323" s="11" t="s">
        <v>36</v>
      </c>
      <c r="L323" s="6"/>
      <c r="M323" s="6"/>
      <c r="N323" s="6" t="s">
        <v>398</v>
      </c>
      <c r="O323" s="6" t="s">
        <v>189</v>
      </c>
      <c r="P323" s="6" t="s">
        <v>546</v>
      </c>
      <c r="Q323" s="6" t="s">
        <v>399</v>
      </c>
      <c r="R323" s="66">
        <v>3355.0</v>
      </c>
      <c r="S323" s="17">
        <f>FRESADO!$R323*FRESADO!$E323</f>
        <v>3355</v>
      </c>
      <c r="T323" s="17">
        <f>FRESADO!$S323*16%</f>
        <v>536.8</v>
      </c>
      <c r="U323" s="17">
        <f>FRESADO!$S323+FRESADO!$T323</f>
        <v>3891.8</v>
      </c>
      <c r="V323" s="52" t="s">
        <v>291</v>
      </c>
      <c r="W323" s="52" t="s">
        <v>44</v>
      </c>
      <c r="X323" s="17"/>
      <c r="Y323" s="30"/>
      <c r="Z323" s="42" t="s">
        <v>399</v>
      </c>
    </row>
    <row r="324" ht="15.75" customHeight="1">
      <c r="A324" s="6">
        <v>27.0</v>
      </c>
      <c r="B324" s="6">
        <v>36.0</v>
      </c>
      <c r="C324" s="6">
        <v>674.0</v>
      </c>
      <c r="D324" s="25">
        <v>46203.0</v>
      </c>
      <c r="E324" s="6">
        <v>1.0</v>
      </c>
      <c r="F324" s="6" t="s">
        <v>74</v>
      </c>
      <c r="G324" s="6" t="s">
        <v>198</v>
      </c>
      <c r="H324" s="6">
        <v>14.0</v>
      </c>
      <c r="I324" s="6" t="s">
        <v>34</v>
      </c>
      <c r="J324" s="6" t="s">
        <v>694</v>
      </c>
      <c r="K324" s="11" t="s">
        <v>36</v>
      </c>
      <c r="L324" s="6"/>
      <c r="M324" s="6"/>
      <c r="N324" s="6" t="s">
        <v>398</v>
      </c>
      <c r="O324" s="6" t="s">
        <v>189</v>
      </c>
      <c r="P324" s="6" t="s">
        <v>546</v>
      </c>
      <c r="Q324" s="6" t="s">
        <v>399</v>
      </c>
      <c r="R324" s="66">
        <v>3355.0</v>
      </c>
      <c r="S324" s="17">
        <f>FRESADO!$R324*FRESADO!$E324</f>
        <v>3355</v>
      </c>
      <c r="T324" s="17">
        <f>FRESADO!$S324*16%</f>
        <v>536.8</v>
      </c>
      <c r="U324" s="17">
        <f>FRESADO!$S324+FRESADO!$T324</f>
        <v>3891.8</v>
      </c>
      <c r="V324" s="52" t="s">
        <v>291</v>
      </c>
      <c r="W324" s="52" t="s">
        <v>44</v>
      </c>
      <c r="X324" s="17"/>
      <c r="Y324" s="30"/>
      <c r="Z324" s="42" t="s">
        <v>399</v>
      </c>
    </row>
    <row r="325" ht="15.75" customHeight="1">
      <c r="A325" s="6">
        <v>27.0</v>
      </c>
      <c r="B325" s="6">
        <v>37.0</v>
      </c>
      <c r="C325" s="6">
        <v>675.0</v>
      </c>
      <c r="D325" s="25">
        <v>46203.0</v>
      </c>
      <c r="E325" s="6">
        <v>1.0</v>
      </c>
      <c r="F325" s="6" t="s">
        <v>74</v>
      </c>
      <c r="G325" s="6" t="s">
        <v>479</v>
      </c>
      <c r="H325" s="6">
        <v>14.0</v>
      </c>
      <c r="I325" s="6" t="s">
        <v>34</v>
      </c>
      <c r="J325" s="6" t="s">
        <v>106</v>
      </c>
      <c r="K325" s="11" t="s">
        <v>36</v>
      </c>
      <c r="L325" s="6"/>
      <c r="M325" s="6"/>
      <c r="N325" s="6" t="s">
        <v>398</v>
      </c>
      <c r="O325" s="6" t="s">
        <v>189</v>
      </c>
      <c r="P325" s="6" t="s">
        <v>546</v>
      </c>
      <c r="Q325" s="6" t="s">
        <v>399</v>
      </c>
      <c r="R325" s="66">
        <v>3355.0</v>
      </c>
      <c r="S325" s="17">
        <f>FRESADO!$R325*FRESADO!$E325</f>
        <v>3355</v>
      </c>
      <c r="T325" s="17">
        <f>FRESADO!$S325*16%</f>
        <v>536.8</v>
      </c>
      <c r="U325" s="17">
        <f>FRESADO!$S325+FRESADO!$T325</f>
        <v>3891.8</v>
      </c>
      <c r="V325" s="52" t="s">
        <v>291</v>
      </c>
      <c r="W325" s="52" t="s">
        <v>44</v>
      </c>
      <c r="X325" s="17"/>
      <c r="Y325" s="30"/>
      <c r="Z325" s="42" t="s">
        <v>399</v>
      </c>
    </row>
    <row r="326" ht="15.75" customHeight="1">
      <c r="A326" s="6">
        <v>27.0</v>
      </c>
      <c r="B326" s="6">
        <v>38.0</v>
      </c>
      <c r="C326" s="6">
        <v>676.0</v>
      </c>
      <c r="D326" s="25">
        <v>46203.0</v>
      </c>
      <c r="E326" s="6">
        <v>1.0</v>
      </c>
      <c r="F326" s="6" t="s">
        <v>74</v>
      </c>
      <c r="G326" s="6" t="s">
        <v>347</v>
      </c>
      <c r="H326" s="6">
        <v>14.0</v>
      </c>
      <c r="I326" s="6" t="s">
        <v>34</v>
      </c>
      <c r="J326" s="6" t="s">
        <v>70</v>
      </c>
      <c r="K326" s="11" t="s">
        <v>36</v>
      </c>
      <c r="L326" s="6"/>
      <c r="M326" s="6"/>
      <c r="N326" s="6" t="s">
        <v>340</v>
      </c>
      <c r="O326" s="6" t="s">
        <v>189</v>
      </c>
      <c r="P326" s="6" t="s">
        <v>546</v>
      </c>
      <c r="Q326" s="6"/>
      <c r="R326" s="66">
        <v>2500.0</v>
      </c>
      <c r="S326" s="17">
        <f>FRESADO!$R326*FRESADO!$E326</f>
        <v>2500</v>
      </c>
      <c r="T326" s="17">
        <f>FRESADO!$S326*16%</f>
        <v>400</v>
      </c>
      <c r="U326" s="17">
        <f>FRESADO!$S326+FRESADO!$T326</f>
        <v>2900</v>
      </c>
      <c r="V326" s="52" t="s">
        <v>291</v>
      </c>
      <c r="W326" s="52" t="s">
        <v>44</v>
      </c>
      <c r="X326" s="17"/>
      <c r="Y326" s="30"/>
      <c r="Z326" s="31" t="s">
        <v>77</v>
      </c>
    </row>
    <row r="327" ht="15.75" customHeight="1">
      <c r="A327" s="6">
        <v>27.0</v>
      </c>
      <c r="B327" s="6">
        <v>39.0</v>
      </c>
      <c r="C327" s="6">
        <v>677.0</v>
      </c>
      <c r="D327" s="25">
        <v>46203.0</v>
      </c>
      <c r="E327" s="6">
        <v>1.0</v>
      </c>
      <c r="F327" s="6" t="s">
        <v>74</v>
      </c>
      <c r="G327" s="6" t="s">
        <v>405</v>
      </c>
      <c r="H327" s="6">
        <v>14.0</v>
      </c>
      <c r="I327" s="6" t="s">
        <v>34</v>
      </c>
      <c r="J327" s="6" t="s">
        <v>662</v>
      </c>
      <c r="K327" s="11" t="s">
        <v>36</v>
      </c>
      <c r="L327" s="6"/>
      <c r="M327" s="6"/>
      <c r="N327" s="6" t="s">
        <v>398</v>
      </c>
      <c r="O327" s="6" t="s">
        <v>189</v>
      </c>
      <c r="P327" s="6" t="s">
        <v>546</v>
      </c>
      <c r="Q327" s="6" t="s">
        <v>399</v>
      </c>
      <c r="R327" s="66">
        <v>3355.0</v>
      </c>
      <c r="S327" s="17">
        <f>FRESADO!$R327*FRESADO!$E327</f>
        <v>3355</v>
      </c>
      <c r="T327" s="17">
        <f>FRESADO!$S327*16%</f>
        <v>536.8</v>
      </c>
      <c r="U327" s="17">
        <f>FRESADO!$S327+FRESADO!$T327</f>
        <v>3891.8</v>
      </c>
      <c r="V327" s="52" t="s">
        <v>291</v>
      </c>
      <c r="W327" s="52" t="s">
        <v>44</v>
      </c>
      <c r="X327" s="17"/>
      <c r="Y327" s="30"/>
      <c r="Z327" s="42" t="s">
        <v>399</v>
      </c>
    </row>
    <row r="328" ht="15.75" customHeight="1">
      <c r="A328" s="6">
        <v>27.0</v>
      </c>
      <c r="B328" s="6">
        <v>40.0</v>
      </c>
      <c r="C328" s="115">
        <v>678.0</v>
      </c>
      <c r="D328" s="116">
        <v>46203.0</v>
      </c>
      <c r="E328" s="6">
        <v>1.0</v>
      </c>
      <c r="F328" s="6" t="s">
        <v>388</v>
      </c>
      <c r="G328" s="6" t="s">
        <v>583</v>
      </c>
      <c r="H328" s="6">
        <v>7.0</v>
      </c>
      <c r="I328" s="6" t="s">
        <v>34</v>
      </c>
      <c r="J328" s="6" t="s">
        <v>584</v>
      </c>
      <c r="K328" s="34" t="s">
        <v>50</v>
      </c>
      <c r="L328" s="6"/>
      <c r="M328" s="6"/>
      <c r="N328" s="6" t="s">
        <v>340</v>
      </c>
      <c r="O328" s="6" t="s">
        <v>189</v>
      </c>
      <c r="P328" s="6" t="s">
        <v>546</v>
      </c>
      <c r="Q328" s="6"/>
      <c r="R328" s="66">
        <v>4500.0</v>
      </c>
      <c r="S328" s="17">
        <f>FRESADO!$R328*FRESADO!$E328</f>
        <v>4500</v>
      </c>
      <c r="T328" s="17">
        <f>FRESADO!$S328*16%</f>
        <v>720</v>
      </c>
      <c r="U328" s="17">
        <f>FRESADO!$S328+FRESADO!$T328</f>
        <v>5220</v>
      </c>
      <c r="V328" s="52" t="s">
        <v>110</v>
      </c>
      <c r="W328" s="52" t="s">
        <v>44</v>
      </c>
      <c r="X328" s="34" t="s">
        <v>335</v>
      </c>
      <c r="Y328" s="30"/>
      <c r="Z328" s="38"/>
    </row>
    <row r="329" ht="15.75" customHeight="1">
      <c r="A329" s="6">
        <v>27.0</v>
      </c>
      <c r="B329" s="6">
        <v>41.0</v>
      </c>
      <c r="C329" s="6">
        <v>679.0</v>
      </c>
      <c r="D329" s="25">
        <v>46204.0</v>
      </c>
      <c r="E329" s="6">
        <v>1.0</v>
      </c>
      <c r="F329" s="6" t="s">
        <v>74</v>
      </c>
      <c r="G329" s="6" t="s">
        <v>347</v>
      </c>
      <c r="H329" s="6">
        <v>14.0</v>
      </c>
      <c r="I329" s="6" t="s">
        <v>34</v>
      </c>
      <c r="J329" s="6" t="s">
        <v>70</v>
      </c>
      <c r="K329" s="11" t="s">
        <v>36</v>
      </c>
      <c r="L329" s="6"/>
      <c r="M329" s="6"/>
      <c r="N329" s="6" t="s">
        <v>340</v>
      </c>
      <c r="O329" s="6" t="s">
        <v>189</v>
      </c>
      <c r="P329" s="6" t="s">
        <v>546</v>
      </c>
      <c r="Q329" s="6"/>
      <c r="R329" s="66">
        <v>2500.0</v>
      </c>
      <c r="S329" s="17">
        <f>FRESADO!$R329*FRESADO!$E329</f>
        <v>2500</v>
      </c>
      <c r="T329" s="17">
        <f>FRESADO!$S329*16%</f>
        <v>400</v>
      </c>
      <c r="U329" s="17">
        <f>FRESADO!$S329+FRESADO!$T329</f>
        <v>2900</v>
      </c>
      <c r="V329" s="52" t="s">
        <v>291</v>
      </c>
      <c r="W329" s="52" t="s">
        <v>44</v>
      </c>
      <c r="X329" s="17"/>
      <c r="Y329" s="30"/>
      <c r="Z329" s="31" t="s">
        <v>77</v>
      </c>
    </row>
    <row r="330" ht="15.75" customHeight="1">
      <c r="A330" s="6">
        <v>27.0</v>
      </c>
      <c r="B330" s="6">
        <v>42.0</v>
      </c>
      <c r="C330" s="6">
        <v>680.0</v>
      </c>
      <c r="D330" s="25">
        <v>46204.0</v>
      </c>
      <c r="E330" s="6">
        <v>1.0</v>
      </c>
      <c r="F330" s="6" t="s">
        <v>74</v>
      </c>
      <c r="G330" s="6" t="s">
        <v>192</v>
      </c>
      <c r="H330" s="6">
        <v>14.0</v>
      </c>
      <c r="I330" s="6" t="s">
        <v>34</v>
      </c>
      <c r="J330" s="6" t="s">
        <v>41</v>
      </c>
      <c r="K330" s="11" t="s">
        <v>36</v>
      </c>
      <c r="L330" s="6"/>
      <c r="M330" s="6"/>
      <c r="N330" s="6" t="s">
        <v>340</v>
      </c>
      <c r="O330" s="6" t="s">
        <v>189</v>
      </c>
      <c r="P330" s="6" t="s">
        <v>546</v>
      </c>
      <c r="Q330" s="6"/>
      <c r="R330" s="66">
        <v>2500.0</v>
      </c>
      <c r="S330" s="17">
        <f>FRESADO!$R330*FRESADO!$E330</f>
        <v>2500</v>
      </c>
      <c r="T330" s="17">
        <f>FRESADO!$S330*16%</f>
        <v>400</v>
      </c>
      <c r="U330" s="17">
        <f>FRESADO!$S330+FRESADO!$T330</f>
        <v>2900</v>
      </c>
      <c r="V330" s="52" t="s">
        <v>291</v>
      </c>
      <c r="W330" s="52" t="s">
        <v>44</v>
      </c>
      <c r="X330" s="17"/>
      <c r="Y330" s="30"/>
      <c r="Z330" s="31" t="s">
        <v>77</v>
      </c>
    </row>
    <row r="331" ht="15.75" customHeight="1">
      <c r="A331" s="6">
        <v>27.0</v>
      </c>
      <c r="B331" s="6">
        <v>43.0</v>
      </c>
      <c r="C331" s="6">
        <v>681.0</v>
      </c>
      <c r="D331" s="25">
        <v>46204.0</v>
      </c>
      <c r="E331" s="6">
        <v>1.0</v>
      </c>
      <c r="F331" s="6" t="s">
        <v>74</v>
      </c>
      <c r="G331" s="6" t="s">
        <v>162</v>
      </c>
      <c r="H331" s="6">
        <v>14.0</v>
      </c>
      <c r="I331" s="6" t="s">
        <v>34</v>
      </c>
      <c r="J331" s="6" t="s">
        <v>83</v>
      </c>
      <c r="K331" s="11" t="s">
        <v>36</v>
      </c>
      <c r="L331" s="6"/>
      <c r="M331" s="6"/>
      <c r="N331" s="6" t="s">
        <v>398</v>
      </c>
      <c r="O331" s="6" t="s">
        <v>189</v>
      </c>
      <c r="P331" s="6" t="s">
        <v>546</v>
      </c>
      <c r="Q331" s="6" t="s">
        <v>399</v>
      </c>
      <c r="R331" s="66">
        <v>3355.0</v>
      </c>
      <c r="S331" s="17">
        <f>FRESADO!$R331*FRESADO!$E331</f>
        <v>3355</v>
      </c>
      <c r="T331" s="17">
        <f>FRESADO!$S331*16%</f>
        <v>536.8</v>
      </c>
      <c r="U331" s="17">
        <f>FRESADO!$S331+FRESADO!$T331</f>
        <v>3891.8</v>
      </c>
      <c r="V331" s="52" t="s">
        <v>291</v>
      </c>
      <c r="W331" s="52" t="s">
        <v>44</v>
      </c>
      <c r="X331" s="17"/>
      <c r="Y331" s="30"/>
      <c r="Z331" s="42" t="s">
        <v>399</v>
      </c>
    </row>
    <row r="332" ht="15.75" customHeight="1">
      <c r="A332" s="6">
        <v>27.0</v>
      </c>
      <c r="B332" s="6">
        <v>44.0</v>
      </c>
      <c r="C332" s="6">
        <v>682.0</v>
      </c>
      <c r="D332" s="25">
        <v>46204.0</v>
      </c>
      <c r="E332" s="6">
        <v>1.0</v>
      </c>
      <c r="F332" s="6" t="s">
        <v>74</v>
      </c>
      <c r="G332" s="6" t="s">
        <v>374</v>
      </c>
      <c r="H332" s="6">
        <v>14.0</v>
      </c>
      <c r="I332" s="6" t="s">
        <v>34</v>
      </c>
      <c r="J332" s="6" t="s">
        <v>406</v>
      </c>
      <c r="K332" s="11" t="s">
        <v>36</v>
      </c>
      <c r="L332" s="6"/>
      <c r="M332" s="6"/>
      <c r="N332" s="6" t="s">
        <v>398</v>
      </c>
      <c r="O332" s="6" t="s">
        <v>189</v>
      </c>
      <c r="P332" s="6" t="s">
        <v>546</v>
      </c>
      <c r="Q332" s="6" t="s">
        <v>399</v>
      </c>
      <c r="R332" s="66">
        <v>3355.0</v>
      </c>
      <c r="S332" s="17">
        <f>FRESADO!$R332*FRESADO!$E332</f>
        <v>3355</v>
      </c>
      <c r="T332" s="17">
        <f>FRESADO!$S332*16%</f>
        <v>536.8</v>
      </c>
      <c r="U332" s="17">
        <f>FRESADO!$S332+FRESADO!$T332</f>
        <v>3891.8</v>
      </c>
      <c r="V332" s="52" t="s">
        <v>291</v>
      </c>
      <c r="W332" s="52" t="s">
        <v>44</v>
      </c>
      <c r="X332" s="17"/>
      <c r="Y332" s="30"/>
      <c r="Z332" s="42" t="s">
        <v>399</v>
      </c>
    </row>
    <row r="333" ht="15.75" customHeight="1">
      <c r="A333" s="6">
        <v>27.0</v>
      </c>
      <c r="B333" s="6">
        <v>45.0</v>
      </c>
      <c r="C333" s="6">
        <v>683.0</v>
      </c>
      <c r="D333" s="25">
        <v>46204.0</v>
      </c>
      <c r="E333" s="6">
        <v>1.0</v>
      </c>
      <c r="F333" s="6" t="s">
        <v>74</v>
      </c>
      <c r="G333" s="6" t="s">
        <v>405</v>
      </c>
      <c r="H333" s="6">
        <v>14.0</v>
      </c>
      <c r="I333" s="6" t="s">
        <v>34</v>
      </c>
      <c r="J333" s="6" t="s">
        <v>662</v>
      </c>
      <c r="K333" s="11" t="s">
        <v>36</v>
      </c>
      <c r="L333" s="6"/>
      <c r="M333" s="6"/>
      <c r="N333" s="6" t="s">
        <v>398</v>
      </c>
      <c r="O333" s="6" t="s">
        <v>189</v>
      </c>
      <c r="P333" s="6" t="s">
        <v>546</v>
      </c>
      <c r="Q333" s="6" t="s">
        <v>399</v>
      </c>
      <c r="R333" s="66">
        <v>3355.0</v>
      </c>
      <c r="S333" s="17">
        <f>FRESADO!$R333*FRESADO!$E333</f>
        <v>3355</v>
      </c>
      <c r="T333" s="17">
        <f>FRESADO!$S333*16%</f>
        <v>536.8</v>
      </c>
      <c r="U333" s="17">
        <f>FRESADO!$S333+FRESADO!$T333</f>
        <v>3891.8</v>
      </c>
      <c r="V333" s="52" t="s">
        <v>291</v>
      </c>
      <c r="W333" s="52" t="s">
        <v>44</v>
      </c>
      <c r="X333" s="17"/>
      <c r="Y333" s="30"/>
      <c r="Z333" s="42" t="s">
        <v>399</v>
      </c>
    </row>
    <row r="334" ht="15.75" customHeight="1">
      <c r="A334" s="6">
        <v>27.0</v>
      </c>
      <c r="B334" s="6">
        <v>46.0</v>
      </c>
      <c r="C334" s="6">
        <v>684.0</v>
      </c>
      <c r="D334" s="25">
        <v>46204.0</v>
      </c>
      <c r="E334" s="6">
        <v>1.0</v>
      </c>
      <c r="F334" s="6" t="s">
        <v>74</v>
      </c>
      <c r="G334" s="6" t="s">
        <v>479</v>
      </c>
      <c r="H334" s="6">
        <v>14.0</v>
      </c>
      <c r="I334" s="6" t="s">
        <v>34</v>
      </c>
      <c r="J334" s="6" t="s">
        <v>106</v>
      </c>
      <c r="K334" s="11" t="s">
        <v>36</v>
      </c>
      <c r="L334" s="6"/>
      <c r="M334" s="6"/>
      <c r="N334" s="6" t="s">
        <v>398</v>
      </c>
      <c r="O334" s="6" t="s">
        <v>189</v>
      </c>
      <c r="P334" s="6" t="s">
        <v>546</v>
      </c>
      <c r="Q334" s="6" t="s">
        <v>399</v>
      </c>
      <c r="R334" s="66">
        <v>3355.0</v>
      </c>
      <c r="S334" s="17">
        <f>FRESADO!$R334*FRESADO!$E334</f>
        <v>3355</v>
      </c>
      <c r="T334" s="17">
        <f>FRESADO!$S334*16%</f>
        <v>536.8</v>
      </c>
      <c r="U334" s="17">
        <f>FRESADO!$S334+FRESADO!$T334</f>
        <v>3891.8</v>
      </c>
      <c r="V334" s="52" t="s">
        <v>291</v>
      </c>
      <c r="W334" s="52" t="s">
        <v>44</v>
      </c>
      <c r="X334" s="17"/>
      <c r="Y334" s="30"/>
      <c r="Z334" s="42" t="s">
        <v>399</v>
      </c>
    </row>
    <row r="335" ht="15.75" customHeight="1">
      <c r="A335" s="6">
        <v>27.0</v>
      </c>
      <c r="B335" s="6">
        <v>47.0</v>
      </c>
      <c r="C335" s="6">
        <v>685.0</v>
      </c>
      <c r="D335" s="25">
        <v>46204.0</v>
      </c>
      <c r="E335" s="6">
        <v>1.0</v>
      </c>
      <c r="F335" s="6" t="s">
        <v>74</v>
      </c>
      <c r="G335" s="6" t="s">
        <v>198</v>
      </c>
      <c r="H335" s="6">
        <v>14.0</v>
      </c>
      <c r="I335" s="6" t="s">
        <v>34</v>
      </c>
      <c r="J335" s="6" t="s">
        <v>694</v>
      </c>
      <c r="K335" s="11" t="s">
        <v>36</v>
      </c>
      <c r="L335" s="6"/>
      <c r="M335" s="6"/>
      <c r="N335" s="6" t="s">
        <v>398</v>
      </c>
      <c r="O335" s="6" t="s">
        <v>189</v>
      </c>
      <c r="P335" s="6" t="s">
        <v>546</v>
      </c>
      <c r="Q335" s="6" t="s">
        <v>399</v>
      </c>
      <c r="R335" s="66">
        <v>3355.0</v>
      </c>
      <c r="S335" s="17">
        <f>FRESADO!$R335*FRESADO!$E335</f>
        <v>3355</v>
      </c>
      <c r="T335" s="17">
        <f>FRESADO!$S335*16%</f>
        <v>536.8</v>
      </c>
      <c r="U335" s="17">
        <f>FRESADO!$S335+FRESADO!$T335</f>
        <v>3891.8</v>
      </c>
      <c r="V335" s="52" t="s">
        <v>291</v>
      </c>
      <c r="W335" s="52" t="s">
        <v>44</v>
      </c>
      <c r="X335" s="17"/>
      <c r="Y335" s="30"/>
      <c r="Z335" s="42" t="s">
        <v>399</v>
      </c>
    </row>
    <row r="336" ht="15.75" customHeight="1">
      <c r="A336" s="6">
        <v>27.0</v>
      </c>
      <c r="B336" s="6">
        <v>48.0</v>
      </c>
      <c r="C336" s="6">
        <v>686.0</v>
      </c>
      <c r="D336" s="25">
        <v>46204.0</v>
      </c>
      <c r="E336" s="6">
        <v>1.0</v>
      </c>
      <c r="F336" s="6" t="s">
        <v>74</v>
      </c>
      <c r="G336" s="6" t="s">
        <v>347</v>
      </c>
      <c r="H336" s="6">
        <v>14.0</v>
      </c>
      <c r="I336" s="6" t="s">
        <v>34</v>
      </c>
      <c r="J336" s="6" t="s">
        <v>70</v>
      </c>
      <c r="K336" s="11" t="s">
        <v>36</v>
      </c>
      <c r="L336" s="6"/>
      <c r="M336" s="6"/>
      <c r="N336" s="6" t="s">
        <v>340</v>
      </c>
      <c r="O336" s="6" t="s">
        <v>189</v>
      </c>
      <c r="P336" s="6" t="s">
        <v>546</v>
      </c>
      <c r="Q336" s="6"/>
      <c r="R336" s="66">
        <v>2500.0</v>
      </c>
      <c r="S336" s="17">
        <f>FRESADO!$R336*FRESADO!$E336</f>
        <v>2500</v>
      </c>
      <c r="T336" s="17">
        <f>FRESADO!$S336*16%</f>
        <v>400</v>
      </c>
      <c r="U336" s="17">
        <f>FRESADO!$S336+FRESADO!$T336</f>
        <v>2900</v>
      </c>
      <c r="V336" s="52" t="s">
        <v>291</v>
      </c>
      <c r="W336" s="52" t="s">
        <v>44</v>
      </c>
      <c r="X336" s="17"/>
      <c r="Y336" s="30"/>
      <c r="Z336" s="31" t="s">
        <v>77</v>
      </c>
    </row>
    <row r="337" ht="15.75" customHeight="1">
      <c r="A337" s="6">
        <v>27.0</v>
      </c>
      <c r="B337" s="6">
        <v>49.0</v>
      </c>
      <c r="C337" s="6">
        <v>687.0</v>
      </c>
      <c r="D337" s="25">
        <v>46204.0</v>
      </c>
      <c r="E337" s="6">
        <v>1.0</v>
      </c>
      <c r="F337" s="6" t="s">
        <v>74</v>
      </c>
      <c r="G337" s="6" t="s">
        <v>280</v>
      </c>
      <c r="H337" s="6">
        <v>14.0</v>
      </c>
      <c r="I337" s="6" t="s">
        <v>34</v>
      </c>
      <c r="J337" s="6" t="s">
        <v>272</v>
      </c>
      <c r="K337" s="11" t="s">
        <v>36</v>
      </c>
      <c r="L337" s="6"/>
      <c r="M337" s="6"/>
      <c r="N337" s="6" t="s">
        <v>340</v>
      </c>
      <c r="O337" s="6" t="s">
        <v>189</v>
      </c>
      <c r="P337" s="6" t="s">
        <v>546</v>
      </c>
      <c r="Q337" s="6"/>
      <c r="R337" s="66">
        <v>2500.0</v>
      </c>
      <c r="S337" s="17">
        <f>FRESADO!$R337*FRESADO!$E337</f>
        <v>2500</v>
      </c>
      <c r="T337" s="17">
        <f>FRESADO!$S337*16%</f>
        <v>400</v>
      </c>
      <c r="U337" s="17">
        <f>FRESADO!$S337+FRESADO!$T337</f>
        <v>2900</v>
      </c>
      <c r="V337" s="52" t="s">
        <v>291</v>
      </c>
      <c r="W337" s="52" t="s">
        <v>44</v>
      </c>
      <c r="X337" s="17"/>
      <c r="Y337" s="30"/>
      <c r="Z337" s="31" t="s">
        <v>77</v>
      </c>
    </row>
    <row r="338" ht="15.75" customHeight="1">
      <c r="A338" s="6">
        <v>27.0</v>
      </c>
      <c r="B338" s="6">
        <v>50.0</v>
      </c>
      <c r="C338" s="6">
        <v>688.0</v>
      </c>
      <c r="D338" s="25">
        <v>46204.0</v>
      </c>
      <c r="E338" s="6">
        <v>1.0</v>
      </c>
      <c r="F338" s="6" t="s">
        <v>74</v>
      </c>
      <c r="G338" s="6" t="s">
        <v>192</v>
      </c>
      <c r="H338" s="6">
        <v>14.0</v>
      </c>
      <c r="I338" s="6" t="s">
        <v>34</v>
      </c>
      <c r="J338" s="6" t="s">
        <v>41</v>
      </c>
      <c r="K338" s="11" t="s">
        <v>36</v>
      </c>
      <c r="L338" s="6"/>
      <c r="M338" s="6"/>
      <c r="N338" s="6" t="s">
        <v>340</v>
      </c>
      <c r="O338" s="6" t="s">
        <v>189</v>
      </c>
      <c r="P338" s="6" t="s">
        <v>546</v>
      </c>
      <c r="Q338" s="6"/>
      <c r="R338" s="66">
        <v>2500.0</v>
      </c>
      <c r="S338" s="17">
        <f>FRESADO!$R338*FRESADO!$E338</f>
        <v>2500</v>
      </c>
      <c r="T338" s="17">
        <f>FRESADO!$S338*16%</f>
        <v>400</v>
      </c>
      <c r="U338" s="17">
        <f>FRESADO!$S338+FRESADO!$T338</f>
        <v>2900</v>
      </c>
      <c r="V338" s="52" t="s">
        <v>291</v>
      </c>
      <c r="W338" s="52" t="s">
        <v>44</v>
      </c>
      <c r="X338" s="17"/>
      <c r="Y338" s="30"/>
      <c r="Z338" s="31" t="s">
        <v>77</v>
      </c>
    </row>
    <row r="339" ht="15.75" customHeight="1">
      <c r="A339" s="56">
        <v>27.0</v>
      </c>
      <c r="B339" s="56">
        <v>51.0</v>
      </c>
      <c r="C339" s="56">
        <v>689.0</v>
      </c>
      <c r="D339" s="97">
        <v>46204.0</v>
      </c>
      <c r="E339" s="56">
        <v>0.0</v>
      </c>
      <c r="F339" s="56" t="s">
        <v>182</v>
      </c>
      <c r="G339" s="54">
        <v>0.0</v>
      </c>
      <c r="H339" s="54">
        <v>0.0</v>
      </c>
      <c r="I339" s="54" t="s">
        <v>40</v>
      </c>
      <c r="J339" s="54" t="s">
        <v>183</v>
      </c>
      <c r="K339" s="56" t="s">
        <v>49</v>
      </c>
      <c r="L339" s="56"/>
      <c r="M339" s="56"/>
      <c r="N339" s="56"/>
      <c r="O339" s="56"/>
      <c r="P339" s="56"/>
      <c r="Q339" s="56" t="s">
        <v>182</v>
      </c>
      <c r="R339" s="59">
        <v>0.0</v>
      </c>
      <c r="S339" s="81">
        <f>FRESADO!$R339*FRESADO!$E339</f>
        <v>0</v>
      </c>
      <c r="T339" s="81">
        <f>FRESADO!$S339*16%</f>
        <v>0</v>
      </c>
      <c r="U339" s="81">
        <f>FRESADO!$S339+FRESADO!$T339</f>
        <v>0</v>
      </c>
      <c r="V339" s="56" t="s">
        <v>182</v>
      </c>
      <c r="W339" s="81"/>
      <c r="X339" s="81"/>
      <c r="Y339" s="82"/>
      <c r="Z339" s="83"/>
    </row>
    <row r="340" ht="15.75" customHeight="1">
      <c r="A340" s="6">
        <v>27.0</v>
      </c>
      <c r="B340" s="6">
        <v>52.0</v>
      </c>
      <c r="C340" s="6">
        <v>690.0</v>
      </c>
      <c r="D340" s="25">
        <v>46204.0</v>
      </c>
      <c r="E340" s="6">
        <v>1.0</v>
      </c>
      <c r="F340" s="6" t="s">
        <v>74</v>
      </c>
      <c r="G340" s="6" t="s">
        <v>347</v>
      </c>
      <c r="H340" s="6">
        <v>14.0</v>
      </c>
      <c r="I340" s="6" t="s">
        <v>34</v>
      </c>
      <c r="J340" s="6" t="s">
        <v>70</v>
      </c>
      <c r="K340" s="11" t="s">
        <v>36</v>
      </c>
      <c r="L340" s="6"/>
      <c r="M340" s="6"/>
      <c r="N340" s="6" t="s">
        <v>340</v>
      </c>
      <c r="O340" s="6" t="s">
        <v>189</v>
      </c>
      <c r="P340" s="6" t="s">
        <v>546</v>
      </c>
      <c r="Q340" s="6"/>
      <c r="R340" s="66">
        <v>2500.0</v>
      </c>
      <c r="S340" s="17">
        <f>FRESADO!$R340*FRESADO!$E340</f>
        <v>2500</v>
      </c>
      <c r="T340" s="17">
        <f>FRESADO!$S340*16%</f>
        <v>400</v>
      </c>
      <c r="U340" s="17">
        <f>FRESADO!$S340+FRESADO!$T340</f>
        <v>2900</v>
      </c>
      <c r="V340" s="52" t="s">
        <v>291</v>
      </c>
      <c r="W340" s="52" t="s">
        <v>44</v>
      </c>
      <c r="X340" s="17"/>
      <c r="Y340" s="30"/>
      <c r="Z340" s="31" t="s">
        <v>77</v>
      </c>
    </row>
    <row r="341" ht="15.75" customHeight="1">
      <c r="A341" s="6">
        <v>27.0</v>
      </c>
      <c r="B341" s="6">
        <v>53.0</v>
      </c>
      <c r="C341" s="6">
        <v>691.0</v>
      </c>
      <c r="D341" s="25">
        <v>46204.0</v>
      </c>
      <c r="E341" s="6">
        <v>1.0</v>
      </c>
      <c r="F341" s="6" t="s">
        <v>74</v>
      </c>
      <c r="G341" s="6" t="s">
        <v>280</v>
      </c>
      <c r="H341" s="6">
        <v>14.0</v>
      </c>
      <c r="I341" s="6" t="s">
        <v>34</v>
      </c>
      <c r="J341" s="6" t="s">
        <v>272</v>
      </c>
      <c r="K341" s="11" t="s">
        <v>36</v>
      </c>
      <c r="L341" s="6"/>
      <c r="M341" s="6"/>
      <c r="N341" s="6" t="s">
        <v>340</v>
      </c>
      <c r="O341" s="6" t="s">
        <v>189</v>
      </c>
      <c r="P341" s="6" t="s">
        <v>546</v>
      </c>
      <c r="Q341" s="6"/>
      <c r="R341" s="66">
        <v>2500.0</v>
      </c>
      <c r="S341" s="17">
        <f>FRESADO!$R341*FRESADO!$E341</f>
        <v>2500</v>
      </c>
      <c r="T341" s="17">
        <f>FRESADO!$S341*16%</f>
        <v>400</v>
      </c>
      <c r="U341" s="17">
        <f>FRESADO!$S341+FRESADO!$T341</f>
        <v>2900</v>
      </c>
      <c r="V341" s="52" t="s">
        <v>291</v>
      </c>
      <c r="W341" s="52" t="s">
        <v>44</v>
      </c>
      <c r="X341" s="17"/>
      <c r="Y341" s="30"/>
      <c r="Z341" s="31" t="s">
        <v>77</v>
      </c>
    </row>
    <row r="342" ht="15.75" customHeight="1">
      <c r="A342" s="6">
        <v>27.0</v>
      </c>
      <c r="B342" s="6">
        <v>54.0</v>
      </c>
      <c r="C342" s="6">
        <v>692.0</v>
      </c>
      <c r="D342" s="25">
        <v>46204.0</v>
      </c>
      <c r="E342" s="6">
        <v>1.0</v>
      </c>
      <c r="F342" s="6" t="s">
        <v>74</v>
      </c>
      <c r="G342" s="6" t="s">
        <v>192</v>
      </c>
      <c r="H342" s="6">
        <v>14.0</v>
      </c>
      <c r="I342" s="6" t="s">
        <v>34</v>
      </c>
      <c r="J342" s="6" t="s">
        <v>41</v>
      </c>
      <c r="K342" s="11" t="s">
        <v>36</v>
      </c>
      <c r="L342" s="6"/>
      <c r="M342" s="6"/>
      <c r="N342" s="6" t="s">
        <v>340</v>
      </c>
      <c r="O342" s="6" t="s">
        <v>189</v>
      </c>
      <c r="P342" s="6" t="s">
        <v>546</v>
      </c>
      <c r="Q342" s="6"/>
      <c r="R342" s="66">
        <v>2500.0</v>
      </c>
      <c r="S342" s="17">
        <f>FRESADO!$R342*FRESADO!$E342</f>
        <v>2500</v>
      </c>
      <c r="T342" s="17">
        <f>FRESADO!$S342*16%</f>
        <v>400</v>
      </c>
      <c r="U342" s="17">
        <f>FRESADO!$S342+FRESADO!$T342</f>
        <v>2900</v>
      </c>
      <c r="V342" s="52" t="s">
        <v>291</v>
      </c>
      <c r="W342" s="52" t="s">
        <v>44</v>
      </c>
      <c r="X342" s="17"/>
      <c r="Y342" s="30"/>
      <c r="Z342" s="31" t="s">
        <v>77</v>
      </c>
    </row>
    <row r="343" ht="15.75" customHeight="1">
      <c r="A343" s="6">
        <v>27.0</v>
      </c>
      <c r="B343" s="6">
        <v>55.0</v>
      </c>
      <c r="C343" s="6">
        <v>693.0</v>
      </c>
      <c r="D343" s="25">
        <v>46204.0</v>
      </c>
      <c r="E343" s="6">
        <v>1.0</v>
      </c>
      <c r="F343" s="6" t="s">
        <v>74</v>
      </c>
      <c r="G343" s="6" t="s">
        <v>347</v>
      </c>
      <c r="H343" s="6">
        <v>14.0</v>
      </c>
      <c r="I343" s="6" t="s">
        <v>34</v>
      </c>
      <c r="J343" s="6" t="s">
        <v>70</v>
      </c>
      <c r="K343" s="11" t="s">
        <v>36</v>
      </c>
      <c r="L343" s="6"/>
      <c r="M343" s="6"/>
      <c r="N343" s="6" t="s">
        <v>340</v>
      </c>
      <c r="O343" s="6" t="s">
        <v>189</v>
      </c>
      <c r="P343" s="6" t="s">
        <v>546</v>
      </c>
      <c r="Q343" s="6"/>
      <c r="R343" s="66">
        <v>2500.0</v>
      </c>
      <c r="S343" s="17">
        <f>FRESADO!$R343*FRESADO!$E343</f>
        <v>2500</v>
      </c>
      <c r="T343" s="17">
        <f>FRESADO!$S343*16%</f>
        <v>400</v>
      </c>
      <c r="U343" s="17">
        <f>FRESADO!$S343+FRESADO!$T343</f>
        <v>2900</v>
      </c>
      <c r="V343" s="52" t="s">
        <v>291</v>
      </c>
      <c r="W343" s="52" t="s">
        <v>44</v>
      </c>
      <c r="X343" s="17"/>
      <c r="Y343" s="30"/>
      <c r="Z343" s="31" t="s">
        <v>77</v>
      </c>
    </row>
    <row r="344" ht="15.75" customHeight="1">
      <c r="A344" s="6">
        <v>27.0</v>
      </c>
      <c r="B344" s="6">
        <v>56.0</v>
      </c>
      <c r="C344" s="6">
        <v>694.0</v>
      </c>
      <c r="D344" s="25">
        <v>46204.0</v>
      </c>
      <c r="E344" s="6">
        <v>1.0</v>
      </c>
      <c r="F344" s="6" t="s">
        <v>74</v>
      </c>
      <c r="G344" s="6" t="s">
        <v>280</v>
      </c>
      <c r="H344" s="6">
        <v>14.0</v>
      </c>
      <c r="I344" s="6" t="s">
        <v>34</v>
      </c>
      <c r="J344" s="6" t="s">
        <v>272</v>
      </c>
      <c r="K344" s="11" t="s">
        <v>36</v>
      </c>
      <c r="L344" s="6"/>
      <c r="M344" s="6"/>
      <c r="N344" s="6" t="s">
        <v>340</v>
      </c>
      <c r="O344" s="6" t="s">
        <v>189</v>
      </c>
      <c r="P344" s="6" t="s">
        <v>546</v>
      </c>
      <c r="Q344" s="6"/>
      <c r="R344" s="66">
        <v>2500.0</v>
      </c>
      <c r="S344" s="17">
        <f>FRESADO!$R344*FRESADO!$E344</f>
        <v>2500</v>
      </c>
      <c r="T344" s="17">
        <f>FRESADO!$S344*16%</f>
        <v>400</v>
      </c>
      <c r="U344" s="17">
        <f>FRESADO!$S344+FRESADO!$T344</f>
        <v>2900</v>
      </c>
      <c r="V344" s="52" t="s">
        <v>291</v>
      </c>
      <c r="W344" s="52" t="s">
        <v>44</v>
      </c>
      <c r="X344" s="17"/>
      <c r="Y344" s="30"/>
      <c r="Z344" s="31" t="s">
        <v>77</v>
      </c>
    </row>
    <row r="345" ht="15.75" customHeight="1">
      <c r="A345" s="6">
        <v>27.0</v>
      </c>
      <c r="B345" s="6">
        <v>57.0</v>
      </c>
      <c r="C345" s="6">
        <v>695.0</v>
      </c>
      <c r="D345" s="25">
        <v>46204.0</v>
      </c>
      <c r="E345" s="6">
        <v>1.0</v>
      </c>
      <c r="F345" s="6" t="s">
        <v>74</v>
      </c>
      <c r="G345" s="6" t="s">
        <v>192</v>
      </c>
      <c r="H345" s="6">
        <v>14.0</v>
      </c>
      <c r="I345" s="6" t="s">
        <v>34</v>
      </c>
      <c r="J345" s="6" t="s">
        <v>41</v>
      </c>
      <c r="K345" s="11" t="s">
        <v>36</v>
      </c>
      <c r="L345" s="6"/>
      <c r="M345" s="6"/>
      <c r="N345" s="6" t="s">
        <v>340</v>
      </c>
      <c r="O345" s="6" t="s">
        <v>189</v>
      </c>
      <c r="P345" s="6" t="s">
        <v>546</v>
      </c>
      <c r="Q345" s="6"/>
      <c r="R345" s="66">
        <v>2500.0</v>
      </c>
      <c r="S345" s="17">
        <f>FRESADO!$R345*FRESADO!$E345</f>
        <v>2500</v>
      </c>
      <c r="T345" s="17">
        <f>FRESADO!$S345*16%</f>
        <v>400</v>
      </c>
      <c r="U345" s="17">
        <f>FRESADO!$S345+FRESADO!$T345</f>
        <v>2900</v>
      </c>
      <c r="V345" s="52" t="s">
        <v>291</v>
      </c>
      <c r="W345" s="52" t="s">
        <v>44</v>
      </c>
      <c r="X345" s="17"/>
      <c r="Y345" s="30"/>
      <c r="Z345" s="31" t="s">
        <v>77</v>
      </c>
    </row>
    <row r="346" ht="15.75" customHeight="1">
      <c r="A346" s="6">
        <v>27.0</v>
      </c>
      <c r="B346" s="6">
        <v>58.0</v>
      </c>
      <c r="C346" s="6">
        <v>696.0</v>
      </c>
      <c r="D346" s="25">
        <v>46204.0</v>
      </c>
      <c r="E346" s="6">
        <v>1.0</v>
      </c>
      <c r="F346" s="6" t="s">
        <v>74</v>
      </c>
      <c r="G346" s="6" t="s">
        <v>162</v>
      </c>
      <c r="H346" s="6">
        <v>14.0</v>
      </c>
      <c r="I346" s="6" t="s">
        <v>34</v>
      </c>
      <c r="J346" s="6" t="s">
        <v>83</v>
      </c>
      <c r="K346" s="11" t="s">
        <v>36</v>
      </c>
      <c r="L346" s="6"/>
      <c r="M346" s="6"/>
      <c r="N346" s="6" t="s">
        <v>398</v>
      </c>
      <c r="O346" s="6" t="s">
        <v>189</v>
      </c>
      <c r="P346" s="6" t="s">
        <v>546</v>
      </c>
      <c r="Q346" s="6" t="s">
        <v>399</v>
      </c>
      <c r="R346" s="66">
        <v>3355.0</v>
      </c>
      <c r="S346" s="17">
        <f>FRESADO!$R346*FRESADO!$E346</f>
        <v>3355</v>
      </c>
      <c r="T346" s="17">
        <f>FRESADO!$S346*16%</f>
        <v>536.8</v>
      </c>
      <c r="U346" s="17">
        <f>FRESADO!$S346+FRESADO!$T346</f>
        <v>3891.8</v>
      </c>
      <c r="V346" s="52" t="s">
        <v>291</v>
      </c>
      <c r="W346" s="52" t="s">
        <v>44</v>
      </c>
      <c r="X346" s="17"/>
      <c r="Y346" s="30"/>
      <c r="Z346" s="42" t="s">
        <v>399</v>
      </c>
    </row>
    <row r="347" ht="15.75" customHeight="1">
      <c r="A347" s="6">
        <v>27.0</v>
      </c>
      <c r="B347" s="6">
        <v>59.0</v>
      </c>
      <c r="C347" s="6">
        <v>697.0</v>
      </c>
      <c r="D347" s="25">
        <v>46204.0</v>
      </c>
      <c r="E347" s="6">
        <v>1.0</v>
      </c>
      <c r="F347" s="6" t="s">
        <v>74</v>
      </c>
      <c r="G347" s="6" t="s">
        <v>198</v>
      </c>
      <c r="H347" s="6">
        <v>14.0</v>
      </c>
      <c r="I347" s="6" t="s">
        <v>34</v>
      </c>
      <c r="J347" s="6" t="s">
        <v>694</v>
      </c>
      <c r="K347" s="11" t="s">
        <v>36</v>
      </c>
      <c r="L347" s="6"/>
      <c r="M347" s="6"/>
      <c r="N347" s="6" t="s">
        <v>398</v>
      </c>
      <c r="O347" s="6" t="s">
        <v>189</v>
      </c>
      <c r="P347" s="6" t="s">
        <v>546</v>
      </c>
      <c r="Q347" s="6" t="s">
        <v>399</v>
      </c>
      <c r="R347" s="66">
        <v>3355.0</v>
      </c>
      <c r="S347" s="17">
        <f>FRESADO!$R347*FRESADO!$E347</f>
        <v>3355</v>
      </c>
      <c r="T347" s="17">
        <f>FRESADO!$S347*16%</f>
        <v>536.8</v>
      </c>
      <c r="U347" s="17">
        <f>FRESADO!$S347+FRESADO!$T347</f>
        <v>3891.8</v>
      </c>
      <c r="V347" s="52" t="s">
        <v>291</v>
      </c>
      <c r="W347" s="52" t="s">
        <v>44</v>
      </c>
      <c r="X347" s="17"/>
      <c r="Y347" s="30"/>
      <c r="Z347" s="42" t="s">
        <v>399</v>
      </c>
    </row>
    <row r="348" ht="15.75" customHeight="1">
      <c r="A348" s="6">
        <v>27.0</v>
      </c>
      <c r="B348" s="6">
        <v>60.0</v>
      </c>
      <c r="C348" s="6">
        <v>698.0</v>
      </c>
      <c r="D348" s="25">
        <v>46204.0</v>
      </c>
      <c r="E348" s="6">
        <v>1.0</v>
      </c>
      <c r="F348" s="6" t="s">
        <v>74</v>
      </c>
      <c r="G348" s="6" t="s">
        <v>374</v>
      </c>
      <c r="H348" s="6">
        <v>14.0</v>
      </c>
      <c r="I348" s="6" t="s">
        <v>34</v>
      </c>
      <c r="J348" s="6" t="s">
        <v>406</v>
      </c>
      <c r="K348" s="11" t="s">
        <v>36</v>
      </c>
      <c r="L348" s="6"/>
      <c r="M348" s="6"/>
      <c r="N348" s="6" t="s">
        <v>398</v>
      </c>
      <c r="O348" s="6" t="s">
        <v>189</v>
      </c>
      <c r="P348" s="6" t="s">
        <v>546</v>
      </c>
      <c r="Q348" s="6" t="s">
        <v>399</v>
      </c>
      <c r="R348" s="66">
        <v>3355.0</v>
      </c>
      <c r="S348" s="17">
        <f>FRESADO!$R348*FRESADO!$E348</f>
        <v>3355</v>
      </c>
      <c r="T348" s="17">
        <f>FRESADO!$S348*16%</f>
        <v>536.8</v>
      </c>
      <c r="U348" s="17">
        <f>FRESADO!$S348+FRESADO!$T348</f>
        <v>3891.8</v>
      </c>
      <c r="V348" s="52" t="s">
        <v>291</v>
      </c>
      <c r="W348" s="52" t="s">
        <v>44</v>
      </c>
      <c r="X348" s="17"/>
      <c r="Y348" s="30"/>
      <c r="Z348" s="42" t="s">
        <v>399</v>
      </c>
    </row>
    <row r="349" ht="15.75" customHeight="1">
      <c r="A349" s="6">
        <v>27.0</v>
      </c>
      <c r="B349" s="6">
        <v>61.0</v>
      </c>
      <c r="C349" s="6">
        <v>699.0</v>
      </c>
      <c r="D349" s="25">
        <v>46204.0</v>
      </c>
      <c r="E349" s="6">
        <v>1.0</v>
      </c>
      <c r="F349" s="6" t="s">
        <v>74</v>
      </c>
      <c r="G349" s="6" t="s">
        <v>405</v>
      </c>
      <c r="H349" s="6">
        <v>14.0</v>
      </c>
      <c r="I349" s="6" t="s">
        <v>34</v>
      </c>
      <c r="J349" s="6" t="s">
        <v>662</v>
      </c>
      <c r="K349" s="11" t="s">
        <v>36</v>
      </c>
      <c r="L349" s="6"/>
      <c r="M349" s="6"/>
      <c r="N349" s="6" t="s">
        <v>398</v>
      </c>
      <c r="O349" s="6" t="s">
        <v>189</v>
      </c>
      <c r="P349" s="6" t="s">
        <v>546</v>
      </c>
      <c r="Q349" s="6" t="s">
        <v>399</v>
      </c>
      <c r="R349" s="66">
        <v>3355.0</v>
      </c>
      <c r="S349" s="17">
        <f>FRESADO!$R349*FRESADO!$E349</f>
        <v>3355</v>
      </c>
      <c r="T349" s="17">
        <f>FRESADO!$S349*16%</f>
        <v>536.8</v>
      </c>
      <c r="U349" s="17">
        <f>FRESADO!$S349+FRESADO!$T349</f>
        <v>3891.8</v>
      </c>
      <c r="V349" s="52" t="s">
        <v>291</v>
      </c>
      <c r="W349" s="52" t="s">
        <v>44</v>
      </c>
      <c r="X349" s="17"/>
      <c r="Y349" s="30"/>
      <c r="Z349" s="42" t="s">
        <v>399</v>
      </c>
    </row>
    <row r="350" ht="15.75" customHeight="1">
      <c r="A350" s="6">
        <v>27.0</v>
      </c>
      <c r="B350" s="6">
        <v>62.0</v>
      </c>
      <c r="C350" s="6">
        <v>700.0</v>
      </c>
      <c r="D350" s="25">
        <v>46204.0</v>
      </c>
      <c r="E350" s="6">
        <v>1.0</v>
      </c>
      <c r="F350" s="6" t="s">
        <v>74</v>
      </c>
      <c r="G350" s="6" t="s">
        <v>479</v>
      </c>
      <c r="H350" s="6">
        <v>14.0</v>
      </c>
      <c r="I350" s="6" t="s">
        <v>34</v>
      </c>
      <c r="J350" s="6" t="s">
        <v>106</v>
      </c>
      <c r="K350" s="11" t="s">
        <v>36</v>
      </c>
      <c r="L350" s="6"/>
      <c r="M350" s="6"/>
      <c r="N350" s="6" t="s">
        <v>398</v>
      </c>
      <c r="O350" s="6" t="s">
        <v>189</v>
      </c>
      <c r="P350" s="6" t="s">
        <v>546</v>
      </c>
      <c r="Q350" s="6" t="s">
        <v>399</v>
      </c>
      <c r="R350" s="66">
        <v>3355.0</v>
      </c>
      <c r="S350" s="17">
        <f>FRESADO!$R350*FRESADO!$E350</f>
        <v>3355</v>
      </c>
      <c r="T350" s="17">
        <f>FRESADO!$S350*16%</f>
        <v>536.8</v>
      </c>
      <c r="U350" s="17">
        <f>FRESADO!$S350+FRESADO!$T350</f>
        <v>3891.8</v>
      </c>
      <c r="V350" s="52" t="s">
        <v>291</v>
      </c>
      <c r="W350" s="52" t="s">
        <v>44</v>
      </c>
      <c r="X350" s="17"/>
      <c r="Y350" s="30"/>
      <c r="Z350" s="42" t="s">
        <v>399</v>
      </c>
    </row>
    <row r="351" ht="15.75" customHeight="1">
      <c r="A351" s="6">
        <v>27.0</v>
      </c>
      <c r="B351" s="6">
        <v>63.0</v>
      </c>
      <c r="C351" s="115">
        <v>701.0</v>
      </c>
      <c r="D351" s="116">
        <v>46204.0</v>
      </c>
      <c r="E351" s="6">
        <v>1.0</v>
      </c>
      <c r="F351" s="6" t="s">
        <v>388</v>
      </c>
      <c r="G351" s="6" t="s">
        <v>583</v>
      </c>
      <c r="H351" s="6">
        <v>7.0</v>
      </c>
      <c r="I351" s="6" t="s">
        <v>34</v>
      </c>
      <c r="J351" s="6" t="s">
        <v>584</v>
      </c>
      <c r="K351" s="34" t="s">
        <v>50</v>
      </c>
      <c r="L351" s="6"/>
      <c r="M351" s="6"/>
      <c r="N351" s="6" t="s">
        <v>340</v>
      </c>
      <c r="O351" s="6" t="s">
        <v>189</v>
      </c>
      <c r="P351" s="6" t="s">
        <v>546</v>
      </c>
      <c r="Q351" s="6" t="s">
        <v>390</v>
      </c>
      <c r="R351" s="66">
        <v>4500.0</v>
      </c>
      <c r="S351" s="17">
        <f>FRESADO!$R351*FRESADO!$E351</f>
        <v>4500</v>
      </c>
      <c r="T351" s="17">
        <f>FRESADO!$S351*16%</f>
        <v>720</v>
      </c>
      <c r="U351" s="17">
        <f>FRESADO!$S351+FRESADO!$T351</f>
        <v>5220</v>
      </c>
      <c r="V351" s="52" t="s">
        <v>110</v>
      </c>
      <c r="W351" s="52" t="s">
        <v>44</v>
      </c>
      <c r="X351" s="34" t="s">
        <v>335</v>
      </c>
      <c r="Y351" s="30"/>
      <c r="Z351" s="38"/>
    </row>
    <row r="352" ht="15.75" customHeight="1">
      <c r="A352" s="6">
        <v>27.0</v>
      </c>
      <c r="B352" s="6">
        <v>64.0</v>
      </c>
      <c r="C352" s="6">
        <v>702.0</v>
      </c>
      <c r="D352" s="25">
        <v>46205.0</v>
      </c>
      <c r="E352" s="6">
        <v>1.0</v>
      </c>
      <c r="F352" s="6" t="s">
        <v>74</v>
      </c>
      <c r="G352" s="6" t="s">
        <v>374</v>
      </c>
      <c r="H352" s="6">
        <v>14.0</v>
      </c>
      <c r="I352" s="6" t="s">
        <v>34</v>
      </c>
      <c r="J352" s="6" t="s">
        <v>406</v>
      </c>
      <c r="K352" s="11" t="s">
        <v>36</v>
      </c>
      <c r="L352" s="6"/>
      <c r="M352" s="6"/>
      <c r="N352" s="6" t="s">
        <v>398</v>
      </c>
      <c r="O352" s="6" t="s">
        <v>189</v>
      </c>
      <c r="P352" s="6" t="s">
        <v>546</v>
      </c>
      <c r="Q352" s="6" t="s">
        <v>399</v>
      </c>
      <c r="R352" s="66">
        <v>3355.0</v>
      </c>
      <c r="S352" s="17">
        <f>FRESADO!$R352*FRESADO!$E352</f>
        <v>3355</v>
      </c>
      <c r="T352" s="17">
        <f>FRESADO!$S352*16%</f>
        <v>536.8</v>
      </c>
      <c r="U352" s="17">
        <f>FRESADO!$S352+FRESADO!$T352</f>
        <v>3891.8</v>
      </c>
      <c r="V352" s="52" t="s">
        <v>291</v>
      </c>
      <c r="W352" s="52" t="s">
        <v>44</v>
      </c>
      <c r="X352" s="17"/>
      <c r="Y352" s="30"/>
      <c r="Z352" s="42" t="s">
        <v>399</v>
      </c>
    </row>
    <row r="353" ht="15.75" customHeight="1">
      <c r="A353" s="6">
        <v>27.0</v>
      </c>
      <c r="B353" s="6">
        <v>65.0</v>
      </c>
      <c r="C353" s="6">
        <v>703.0</v>
      </c>
      <c r="D353" s="25">
        <v>46205.0</v>
      </c>
      <c r="E353" s="6">
        <v>1.0</v>
      </c>
      <c r="F353" s="6" t="s">
        <v>74</v>
      </c>
      <c r="G353" s="6" t="s">
        <v>162</v>
      </c>
      <c r="H353" s="6">
        <v>14.0</v>
      </c>
      <c r="I353" s="6" t="s">
        <v>34</v>
      </c>
      <c r="J353" s="6" t="s">
        <v>83</v>
      </c>
      <c r="K353" s="11" t="s">
        <v>36</v>
      </c>
      <c r="L353" s="6"/>
      <c r="M353" s="6"/>
      <c r="N353" s="6" t="s">
        <v>398</v>
      </c>
      <c r="O353" s="6" t="s">
        <v>189</v>
      </c>
      <c r="P353" s="6" t="s">
        <v>546</v>
      </c>
      <c r="Q353" s="6" t="s">
        <v>399</v>
      </c>
      <c r="R353" s="66">
        <v>3355.0</v>
      </c>
      <c r="S353" s="17">
        <f>FRESADO!$R353*FRESADO!$E353</f>
        <v>3355</v>
      </c>
      <c r="T353" s="17">
        <f>FRESADO!$S353*16%</f>
        <v>536.8</v>
      </c>
      <c r="U353" s="17">
        <f>FRESADO!$S353+FRESADO!$T353</f>
        <v>3891.8</v>
      </c>
      <c r="V353" s="52" t="s">
        <v>291</v>
      </c>
      <c r="W353" s="52" t="s">
        <v>44</v>
      </c>
      <c r="X353" s="17"/>
      <c r="Y353" s="30"/>
      <c r="Z353" s="42" t="s">
        <v>399</v>
      </c>
    </row>
    <row r="354" ht="15.75" customHeight="1">
      <c r="A354" s="6">
        <v>27.0</v>
      </c>
      <c r="B354" s="6">
        <v>66.0</v>
      </c>
      <c r="C354" s="6">
        <v>704.0</v>
      </c>
      <c r="D354" s="25">
        <v>46205.0</v>
      </c>
      <c r="E354" s="6">
        <v>1.0</v>
      </c>
      <c r="F354" s="6" t="s">
        <v>74</v>
      </c>
      <c r="G354" s="6" t="s">
        <v>405</v>
      </c>
      <c r="H354" s="6">
        <v>14.0</v>
      </c>
      <c r="I354" s="6" t="s">
        <v>34</v>
      </c>
      <c r="J354" s="6" t="s">
        <v>662</v>
      </c>
      <c r="K354" s="11" t="s">
        <v>36</v>
      </c>
      <c r="L354" s="6"/>
      <c r="M354" s="6"/>
      <c r="N354" s="6" t="s">
        <v>398</v>
      </c>
      <c r="O354" s="6" t="s">
        <v>189</v>
      </c>
      <c r="P354" s="6" t="s">
        <v>546</v>
      </c>
      <c r="Q354" s="6" t="s">
        <v>399</v>
      </c>
      <c r="R354" s="66">
        <v>3355.0</v>
      </c>
      <c r="S354" s="17">
        <f>FRESADO!$R354*FRESADO!$E354</f>
        <v>3355</v>
      </c>
      <c r="T354" s="17">
        <f>FRESADO!$S354*16%</f>
        <v>536.8</v>
      </c>
      <c r="U354" s="17">
        <f>FRESADO!$S354+FRESADO!$T354</f>
        <v>3891.8</v>
      </c>
      <c r="V354" s="52" t="s">
        <v>291</v>
      </c>
      <c r="W354" s="52" t="s">
        <v>44</v>
      </c>
      <c r="X354" s="17"/>
      <c r="Y354" s="30"/>
      <c r="Z354" s="42" t="s">
        <v>399</v>
      </c>
    </row>
    <row r="355" ht="15.75" customHeight="1">
      <c r="A355" s="6">
        <v>27.0</v>
      </c>
      <c r="B355" s="6">
        <v>67.0</v>
      </c>
      <c r="C355" s="6">
        <v>705.0</v>
      </c>
      <c r="D355" s="25">
        <v>46205.0</v>
      </c>
      <c r="E355" s="6">
        <v>1.0</v>
      </c>
      <c r="F355" s="6" t="s">
        <v>74</v>
      </c>
      <c r="G355" s="6" t="s">
        <v>198</v>
      </c>
      <c r="H355" s="6">
        <v>14.0</v>
      </c>
      <c r="I355" s="6" t="s">
        <v>34</v>
      </c>
      <c r="J355" s="6" t="s">
        <v>694</v>
      </c>
      <c r="K355" s="11" t="s">
        <v>36</v>
      </c>
      <c r="L355" s="6"/>
      <c r="M355" s="6"/>
      <c r="N355" s="6" t="s">
        <v>398</v>
      </c>
      <c r="O355" s="6" t="s">
        <v>189</v>
      </c>
      <c r="P355" s="6" t="s">
        <v>546</v>
      </c>
      <c r="Q355" s="6" t="s">
        <v>399</v>
      </c>
      <c r="R355" s="66">
        <v>3355.0</v>
      </c>
      <c r="S355" s="17">
        <f>FRESADO!$R355*FRESADO!$E355</f>
        <v>3355</v>
      </c>
      <c r="T355" s="17">
        <f>FRESADO!$S355*16%</f>
        <v>536.8</v>
      </c>
      <c r="U355" s="17">
        <f>FRESADO!$S355+FRESADO!$T355</f>
        <v>3891.8</v>
      </c>
      <c r="V355" s="52" t="s">
        <v>291</v>
      </c>
      <c r="W355" s="52" t="s">
        <v>44</v>
      </c>
      <c r="X355" s="17"/>
      <c r="Y355" s="30"/>
      <c r="Z355" s="42" t="s">
        <v>399</v>
      </c>
    </row>
    <row r="356" ht="15.75" customHeight="1">
      <c r="A356" s="6">
        <v>27.0</v>
      </c>
      <c r="B356" s="6">
        <v>68.0</v>
      </c>
      <c r="C356" s="6">
        <v>706.0</v>
      </c>
      <c r="D356" s="25">
        <v>46205.0</v>
      </c>
      <c r="E356" s="6">
        <v>1.0</v>
      </c>
      <c r="F356" s="6" t="s">
        <v>74</v>
      </c>
      <c r="G356" s="6" t="s">
        <v>479</v>
      </c>
      <c r="H356" s="6">
        <v>14.0</v>
      </c>
      <c r="I356" s="6" t="s">
        <v>34</v>
      </c>
      <c r="J356" s="6" t="s">
        <v>106</v>
      </c>
      <c r="K356" s="11" t="s">
        <v>36</v>
      </c>
      <c r="L356" s="6"/>
      <c r="M356" s="6"/>
      <c r="N356" s="6" t="s">
        <v>398</v>
      </c>
      <c r="O356" s="6" t="s">
        <v>189</v>
      </c>
      <c r="P356" s="6" t="s">
        <v>546</v>
      </c>
      <c r="Q356" s="6" t="s">
        <v>399</v>
      </c>
      <c r="R356" s="66">
        <v>3355.0</v>
      </c>
      <c r="S356" s="17">
        <f>FRESADO!$R356*FRESADO!$E356</f>
        <v>3355</v>
      </c>
      <c r="T356" s="17">
        <f>FRESADO!$S356*16%</f>
        <v>536.8</v>
      </c>
      <c r="U356" s="17">
        <f>FRESADO!$S356+FRESADO!$T356</f>
        <v>3891.8</v>
      </c>
      <c r="V356" s="52" t="s">
        <v>291</v>
      </c>
      <c r="W356" s="52" t="s">
        <v>44</v>
      </c>
      <c r="X356" s="17"/>
      <c r="Y356" s="30"/>
      <c r="Z356" s="42" t="s">
        <v>399</v>
      </c>
    </row>
    <row r="357" ht="15.75" customHeight="1">
      <c r="A357" s="6">
        <v>27.0</v>
      </c>
      <c r="B357" s="6">
        <v>69.0</v>
      </c>
      <c r="C357" s="6">
        <v>707.0</v>
      </c>
      <c r="D357" s="25">
        <v>46205.0</v>
      </c>
      <c r="E357" s="6">
        <v>1.0</v>
      </c>
      <c r="F357" s="6" t="s">
        <v>74</v>
      </c>
      <c r="G357" s="6" t="s">
        <v>280</v>
      </c>
      <c r="H357" s="6">
        <v>14.0</v>
      </c>
      <c r="I357" s="6" t="s">
        <v>34</v>
      </c>
      <c r="J357" s="6" t="s">
        <v>272</v>
      </c>
      <c r="K357" s="11" t="s">
        <v>36</v>
      </c>
      <c r="L357" s="6"/>
      <c r="M357" s="6"/>
      <c r="N357" s="6" t="s">
        <v>340</v>
      </c>
      <c r="O357" s="6" t="s">
        <v>189</v>
      </c>
      <c r="P357" s="6" t="s">
        <v>546</v>
      </c>
      <c r="Q357" s="6"/>
      <c r="R357" s="66">
        <v>2500.0</v>
      </c>
      <c r="S357" s="17">
        <f>FRESADO!$R357*FRESADO!$E357</f>
        <v>2500</v>
      </c>
      <c r="T357" s="17">
        <f>FRESADO!$S357*16%</f>
        <v>400</v>
      </c>
      <c r="U357" s="17">
        <f>FRESADO!$S357+FRESADO!$T357</f>
        <v>2900</v>
      </c>
      <c r="V357" s="52" t="s">
        <v>291</v>
      </c>
      <c r="W357" s="52" t="s">
        <v>44</v>
      </c>
      <c r="X357" s="17"/>
      <c r="Y357" s="30"/>
      <c r="Z357" s="31" t="s">
        <v>77</v>
      </c>
    </row>
    <row r="358" ht="15.75" customHeight="1">
      <c r="A358" s="6">
        <v>27.0</v>
      </c>
      <c r="B358" s="6">
        <v>70.0</v>
      </c>
      <c r="C358" s="6">
        <v>708.0</v>
      </c>
      <c r="D358" s="25">
        <v>46205.0</v>
      </c>
      <c r="E358" s="6">
        <v>1.0</v>
      </c>
      <c r="F358" s="6" t="s">
        <v>74</v>
      </c>
      <c r="G358" s="6" t="s">
        <v>347</v>
      </c>
      <c r="H358" s="6">
        <v>14.0</v>
      </c>
      <c r="I358" s="6" t="s">
        <v>34</v>
      </c>
      <c r="J358" s="6" t="s">
        <v>70</v>
      </c>
      <c r="K358" s="11" t="s">
        <v>36</v>
      </c>
      <c r="L358" s="6"/>
      <c r="M358" s="6"/>
      <c r="N358" s="6" t="s">
        <v>340</v>
      </c>
      <c r="O358" s="6" t="s">
        <v>189</v>
      </c>
      <c r="P358" s="6" t="s">
        <v>546</v>
      </c>
      <c r="Q358" s="6"/>
      <c r="R358" s="66">
        <v>2500.0</v>
      </c>
      <c r="S358" s="17">
        <f>FRESADO!$R358*FRESADO!$E358</f>
        <v>2500</v>
      </c>
      <c r="T358" s="17">
        <f>FRESADO!$S358*16%</f>
        <v>400</v>
      </c>
      <c r="U358" s="17">
        <f>FRESADO!$S358+FRESADO!$T358</f>
        <v>2900</v>
      </c>
      <c r="V358" s="52" t="s">
        <v>291</v>
      </c>
      <c r="W358" s="52" t="s">
        <v>44</v>
      </c>
      <c r="X358" s="17"/>
      <c r="Y358" s="30"/>
      <c r="Z358" s="31" t="s">
        <v>77</v>
      </c>
    </row>
    <row r="359" ht="15.75" customHeight="1">
      <c r="A359" s="6">
        <v>27.0</v>
      </c>
      <c r="B359" s="6">
        <v>71.0</v>
      </c>
      <c r="C359" s="6">
        <v>709.0</v>
      </c>
      <c r="D359" s="25">
        <v>46205.0</v>
      </c>
      <c r="E359" s="6">
        <v>1.0</v>
      </c>
      <c r="F359" s="6" t="s">
        <v>74</v>
      </c>
      <c r="G359" s="6" t="s">
        <v>192</v>
      </c>
      <c r="H359" s="6">
        <v>14.0</v>
      </c>
      <c r="I359" s="6" t="s">
        <v>34</v>
      </c>
      <c r="J359" s="6" t="s">
        <v>41</v>
      </c>
      <c r="K359" s="11" t="s">
        <v>36</v>
      </c>
      <c r="L359" s="6"/>
      <c r="M359" s="6"/>
      <c r="N359" s="6" t="s">
        <v>340</v>
      </c>
      <c r="O359" s="6" t="s">
        <v>189</v>
      </c>
      <c r="P359" s="6" t="s">
        <v>546</v>
      </c>
      <c r="Q359" s="6"/>
      <c r="R359" s="66">
        <v>2500.0</v>
      </c>
      <c r="S359" s="17">
        <f>FRESADO!$R359*FRESADO!$E359</f>
        <v>2500</v>
      </c>
      <c r="T359" s="17">
        <f>FRESADO!$S359*16%</f>
        <v>400</v>
      </c>
      <c r="U359" s="17">
        <f>FRESADO!$S359+FRESADO!$T359</f>
        <v>2900</v>
      </c>
      <c r="V359" s="52" t="s">
        <v>291</v>
      </c>
      <c r="W359" s="52" t="s">
        <v>44</v>
      </c>
      <c r="X359" s="17"/>
      <c r="Y359" s="30"/>
      <c r="Z359" s="31" t="s">
        <v>77</v>
      </c>
    </row>
    <row r="360" ht="15.75" customHeight="1">
      <c r="A360" s="6">
        <v>27.0</v>
      </c>
      <c r="B360" s="6">
        <v>72.0</v>
      </c>
      <c r="C360" s="6">
        <v>710.0</v>
      </c>
      <c r="D360" s="25">
        <v>46205.0</v>
      </c>
      <c r="E360" s="6">
        <v>1.0</v>
      </c>
      <c r="F360" s="6" t="s">
        <v>74</v>
      </c>
      <c r="G360" s="6" t="s">
        <v>347</v>
      </c>
      <c r="H360" s="6">
        <v>14.0</v>
      </c>
      <c r="I360" s="6" t="s">
        <v>34</v>
      </c>
      <c r="J360" s="6" t="s">
        <v>70</v>
      </c>
      <c r="K360" s="11" t="s">
        <v>36</v>
      </c>
      <c r="L360" s="6"/>
      <c r="M360" s="6"/>
      <c r="N360" s="6" t="s">
        <v>340</v>
      </c>
      <c r="O360" s="6" t="s">
        <v>189</v>
      </c>
      <c r="P360" s="6" t="s">
        <v>546</v>
      </c>
      <c r="Q360" s="6"/>
      <c r="R360" s="66">
        <v>2500.0</v>
      </c>
      <c r="S360" s="17">
        <f>FRESADO!$R360*FRESADO!$E360</f>
        <v>2500</v>
      </c>
      <c r="T360" s="17">
        <f>FRESADO!$S360*16%</f>
        <v>400</v>
      </c>
      <c r="U360" s="17">
        <f>FRESADO!$S360+FRESADO!$T360</f>
        <v>2900</v>
      </c>
      <c r="V360" s="52" t="s">
        <v>291</v>
      </c>
      <c r="W360" s="52" t="s">
        <v>44</v>
      </c>
      <c r="X360" s="17"/>
      <c r="Y360" s="30"/>
      <c r="Z360" s="31" t="s">
        <v>77</v>
      </c>
    </row>
    <row r="361" ht="15.75" customHeight="1">
      <c r="A361" s="56">
        <v>27.0</v>
      </c>
      <c r="B361" s="56">
        <v>73.0</v>
      </c>
      <c r="C361" s="56">
        <v>711.0</v>
      </c>
      <c r="D361" s="97">
        <v>46205.0</v>
      </c>
      <c r="E361" s="56">
        <v>0.0</v>
      </c>
      <c r="F361" s="56" t="s">
        <v>182</v>
      </c>
      <c r="G361" s="54">
        <v>0.0</v>
      </c>
      <c r="H361" s="54">
        <v>0.0</v>
      </c>
      <c r="I361" s="54" t="s">
        <v>40</v>
      </c>
      <c r="J361" s="54" t="s">
        <v>183</v>
      </c>
      <c r="K361" s="56" t="s">
        <v>49</v>
      </c>
      <c r="L361" s="56"/>
      <c r="M361" s="56"/>
      <c r="N361" s="56"/>
      <c r="O361" s="56"/>
      <c r="P361" s="56"/>
      <c r="Q361" s="56" t="s">
        <v>182</v>
      </c>
      <c r="R361" s="59">
        <v>0.0</v>
      </c>
      <c r="S361" s="81">
        <f>FRESADO!$R361*FRESADO!$E361</f>
        <v>0</v>
      </c>
      <c r="T361" s="81">
        <f>FRESADO!$S361*16%</f>
        <v>0</v>
      </c>
      <c r="U361" s="81">
        <f>FRESADO!$S361+FRESADO!$T361</f>
        <v>0</v>
      </c>
      <c r="V361" s="56" t="s">
        <v>182</v>
      </c>
      <c r="W361" s="81"/>
      <c r="X361" s="81"/>
      <c r="Y361" s="82"/>
      <c r="Z361" s="83"/>
    </row>
    <row r="362" ht="15.75" customHeight="1">
      <c r="A362" s="6">
        <v>27.0</v>
      </c>
      <c r="B362" s="6">
        <v>74.0</v>
      </c>
      <c r="C362" s="6">
        <v>712.0</v>
      </c>
      <c r="D362" s="25">
        <v>46205.0</v>
      </c>
      <c r="E362" s="6">
        <v>1.0</v>
      </c>
      <c r="F362" s="6" t="s">
        <v>74</v>
      </c>
      <c r="G362" s="6" t="s">
        <v>280</v>
      </c>
      <c r="H362" s="6">
        <v>14.0</v>
      </c>
      <c r="I362" s="6" t="s">
        <v>34</v>
      </c>
      <c r="J362" s="6" t="s">
        <v>272</v>
      </c>
      <c r="K362" s="11" t="s">
        <v>36</v>
      </c>
      <c r="L362" s="6"/>
      <c r="M362" s="6"/>
      <c r="N362" s="6" t="s">
        <v>340</v>
      </c>
      <c r="O362" s="6" t="s">
        <v>189</v>
      </c>
      <c r="P362" s="6" t="s">
        <v>546</v>
      </c>
      <c r="Q362" s="6"/>
      <c r="R362" s="66">
        <v>2500.0</v>
      </c>
      <c r="S362" s="17">
        <f>FRESADO!$R362*FRESADO!$E362</f>
        <v>2500</v>
      </c>
      <c r="T362" s="17">
        <f>FRESADO!$S362*16%</f>
        <v>400</v>
      </c>
      <c r="U362" s="17">
        <f>FRESADO!$S362+FRESADO!$T362</f>
        <v>2900</v>
      </c>
      <c r="V362" s="52" t="s">
        <v>291</v>
      </c>
      <c r="W362" s="52" t="s">
        <v>44</v>
      </c>
      <c r="X362" s="17"/>
      <c r="Y362" s="30"/>
      <c r="Z362" s="31" t="s">
        <v>77</v>
      </c>
    </row>
    <row r="363" ht="15.75" customHeight="1">
      <c r="A363" s="6">
        <v>27.0</v>
      </c>
      <c r="B363" s="6">
        <v>75.0</v>
      </c>
      <c r="C363" s="6">
        <v>713.0</v>
      </c>
      <c r="D363" s="25">
        <v>46205.0</v>
      </c>
      <c r="E363" s="6">
        <v>1.0</v>
      </c>
      <c r="F363" s="6" t="s">
        <v>74</v>
      </c>
      <c r="G363" s="6" t="s">
        <v>192</v>
      </c>
      <c r="H363" s="6">
        <v>14.0</v>
      </c>
      <c r="I363" s="6" t="s">
        <v>34</v>
      </c>
      <c r="J363" s="6" t="s">
        <v>41</v>
      </c>
      <c r="K363" s="11" t="s">
        <v>36</v>
      </c>
      <c r="L363" s="6"/>
      <c r="M363" s="6"/>
      <c r="N363" s="6" t="s">
        <v>340</v>
      </c>
      <c r="O363" s="6" t="s">
        <v>189</v>
      </c>
      <c r="P363" s="6" t="s">
        <v>546</v>
      </c>
      <c r="Q363" s="6"/>
      <c r="R363" s="66">
        <v>2500.0</v>
      </c>
      <c r="S363" s="17">
        <f>FRESADO!$R363*FRESADO!$E363</f>
        <v>2500</v>
      </c>
      <c r="T363" s="17">
        <f>FRESADO!$S363*16%</f>
        <v>400</v>
      </c>
      <c r="U363" s="17">
        <f>FRESADO!$S363+FRESADO!$T363</f>
        <v>2900</v>
      </c>
      <c r="V363" s="52" t="s">
        <v>291</v>
      </c>
      <c r="W363" s="52" t="s">
        <v>44</v>
      </c>
      <c r="X363" s="17"/>
      <c r="Y363" s="30"/>
      <c r="Z363" s="31" t="s">
        <v>77</v>
      </c>
    </row>
    <row r="364" ht="15.75" customHeight="1">
      <c r="A364" s="56">
        <v>27.0</v>
      </c>
      <c r="B364" s="56">
        <v>76.0</v>
      </c>
      <c r="C364" s="56">
        <v>714.0</v>
      </c>
      <c r="D364" s="97">
        <v>46205.0</v>
      </c>
      <c r="E364" s="56">
        <v>0.0</v>
      </c>
      <c r="F364" s="56" t="s">
        <v>182</v>
      </c>
      <c r="G364" s="54">
        <v>0.0</v>
      </c>
      <c r="H364" s="54">
        <v>0.0</v>
      </c>
      <c r="I364" s="54" t="s">
        <v>40</v>
      </c>
      <c r="J364" s="54" t="s">
        <v>183</v>
      </c>
      <c r="K364" s="56" t="s">
        <v>49</v>
      </c>
      <c r="L364" s="56"/>
      <c r="M364" s="56"/>
      <c r="N364" s="56"/>
      <c r="O364" s="56"/>
      <c r="P364" s="56"/>
      <c r="Q364" s="56" t="s">
        <v>182</v>
      </c>
      <c r="R364" s="59">
        <v>0.0</v>
      </c>
      <c r="S364" s="81">
        <f>FRESADO!$R364*FRESADO!$E364</f>
        <v>0</v>
      </c>
      <c r="T364" s="81">
        <f>FRESADO!$S364*16%</f>
        <v>0</v>
      </c>
      <c r="U364" s="81">
        <f>FRESADO!$S364+FRESADO!$T364</f>
        <v>0</v>
      </c>
      <c r="V364" s="56" t="s">
        <v>182</v>
      </c>
      <c r="W364" s="81"/>
      <c r="X364" s="81"/>
      <c r="Y364" s="82"/>
      <c r="Z364" s="83"/>
    </row>
    <row r="365" ht="15.75" customHeight="1">
      <c r="A365" s="6">
        <v>27.0</v>
      </c>
      <c r="B365" s="6">
        <v>77.0</v>
      </c>
      <c r="C365" s="6">
        <v>715.0</v>
      </c>
      <c r="D365" s="25">
        <v>46205.0</v>
      </c>
      <c r="E365" s="6">
        <v>1.0</v>
      </c>
      <c r="F365" s="6" t="s">
        <v>74</v>
      </c>
      <c r="G365" s="6" t="s">
        <v>347</v>
      </c>
      <c r="H365" s="6">
        <v>14.0</v>
      </c>
      <c r="I365" s="6" t="s">
        <v>34</v>
      </c>
      <c r="J365" s="6" t="s">
        <v>70</v>
      </c>
      <c r="K365" s="11" t="s">
        <v>36</v>
      </c>
      <c r="L365" s="6"/>
      <c r="M365" s="6"/>
      <c r="N365" s="6" t="s">
        <v>340</v>
      </c>
      <c r="O365" s="6" t="s">
        <v>189</v>
      </c>
      <c r="P365" s="6" t="s">
        <v>546</v>
      </c>
      <c r="Q365" s="6"/>
      <c r="R365" s="66">
        <v>2500.0</v>
      </c>
      <c r="S365" s="17">
        <f>FRESADO!$R365*FRESADO!$E365</f>
        <v>2500</v>
      </c>
      <c r="T365" s="17">
        <f>FRESADO!$S365*16%</f>
        <v>400</v>
      </c>
      <c r="U365" s="17">
        <f>FRESADO!$S365+FRESADO!$T365</f>
        <v>2900</v>
      </c>
      <c r="V365" s="52" t="s">
        <v>291</v>
      </c>
      <c r="W365" s="52" t="s">
        <v>44</v>
      </c>
      <c r="X365" s="17"/>
      <c r="Y365" s="30"/>
      <c r="Z365" s="31" t="s">
        <v>77</v>
      </c>
    </row>
    <row r="366" ht="15.75" customHeight="1">
      <c r="A366" s="6">
        <v>27.0</v>
      </c>
      <c r="B366" s="6">
        <v>78.0</v>
      </c>
      <c r="C366" s="6">
        <v>716.0</v>
      </c>
      <c r="D366" s="25">
        <v>46205.0</v>
      </c>
      <c r="E366" s="6">
        <v>1.0</v>
      </c>
      <c r="F366" s="6" t="s">
        <v>74</v>
      </c>
      <c r="G366" s="6" t="s">
        <v>280</v>
      </c>
      <c r="H366" s="6">
        <v>14.0</v>
      </c>
      <c r="I366" s="6" t="s">
        <v>34</v>
      </c>
      <c r="J366" s="6" t="s">
        <v>272</v>
      </c>
      <c r="K366" s="11" t="s">
        <v>36</v>
      </c>
      <c r="L366" s="6"/>
      <c r="M366" s="6"/>
      <c r="N366" s="6" t="s">
        <v>340</v>
      </c>
      <c r="O366" s="6" t="s">
        <v>189</v>
      </c>
      <c r="P366" s="6" t="s">
        <v>546</v>
      </c>
      <c r="Q366" s="6"/>
      <c r="R366" s="66">
        <v>2500.0</v>
      </c>
      <c r="S366" s="17">
        <f>FRESADO!$R366*FRESADO!$E366</f>
        <v>2500</v>
      </c>
      <c r="T366" s="17">
        <f>FRESADO!$S366*16%</f>
        <v>400</v>
      </c>
      <c r="U366" s="17">
        <f>FRESADO!$S366+FRESADO!$T366</f>
        <v>2900</v>
      </c>
      <c r="V366" s="52" t="s">
        <v>291</v>
      </c>
      <c r="W366" s="52" t="s">
        <v>44</v>
      </c>
      <c r="X366" s="17"/>
      <c r="Y366" s="30"/>
      <c r="Z366" s="31" t="s">
        <v>77</v>
      </c>
    </row>
    <row r="367" ht="15.75" customHeight="1">
      <c r="A367" s="6">
        <v>27.0</v>
      </c>
      <c r="B367" s="6">
        <v>79.0</v>
      </c>
      <c r="C367" s="6">
        <v>717.0</v>
      </c>
      <c r="D367" s="25">
        <v>46205.0</v>
      </c>
      <c r="E367" s="6">
        <v>1.0</v>
      </c>
      <c r="F367" s="6" t="s">
        <v>74</v>
      </c>
      <c r="G367" s="6" t="s">
        <v>192</v>
      </c>
      <c r="H367" s="6">
        <v>14.0</v>
      </c>
      <c r="I367" s="6" t="s">
        <v>34</v>
      </c>
      <c r="J367" s="6" t="s">
        <v>41</v>
      </c>
      <c r="K367" s="11" t="s">
        <v>36</v>
      </c>
      <c r="L367" s="6"/>
      <c r="M367" s="6"/>
      <c r="N367" s="6" t="s">
        <v>340</v>
      </c>
      <c r="O367" s="6" t="s">
        <v>189</v>
      </c>
      <c r="P367" s="6" t="s">
        <v>546</v>
      </c>
      <c r="Q367" s="6"/>
      <c r="R367" s="66">
        <v>2500.0</v>
      </c>
      <c r="S367" s="17">
        <f>FRESADO!$R367*FRESADO!$E367</f>
        <v>2500</v>
      </c>
      <c r="T367" s="17">
        <f>FRESADO!$S367*16%</f>
        <v>400</v>
      </c>
      <c r="U367" s="17">
        <f>FRESADO!$S367+FRESADO!$T367</f>
        <v>2900</v>
      </c>
      <c r="V367" s="52" t="s">
        <v>291</v>
      </c>
      <c r="W367" s="52" t="s">
        <v>44</v>
      </c>
      <c r="X367" s="17"/>
      <c r="Y367" s="30"/>
      <c r="Z367" s="31" t="s">
        <v>77</v>
      </c>
    </row>
    <row r="368" ht="15.75" customHeight="1">
      <c r="A368" s="6">
        <v>27.0</v>
      </c>
      <c r="B368" s="6">
        <v>80.0</v>
      </c>
      <c r="C368" s="6">
        <v>718.0</v>
      </c>
      <c r="D368" s="25">
        <v>46205.0</v>
      </c>
      <c r="E368" s="6">
        <v>1.0</v>
      </c>
      <c r="F368" s="6" t="s">
        <v>74</v>
      </c>
      <c r="G368" s="6" t="s">
        <v>347</v>
      </c>
      <c r="H368" s="6">
        <v>14.0</v>
      </c>
      <c r="I368" s="6" t="s">
        <v>34</v>
      </c>
      <c r="J368" s="6" t="s">
        <v>70</v>
      </c>
      <c r="K368" s="11" t="s">
        <v>36</v>
      </c>
      <c r="L368" s="6"/>
      <c r="M368" s="6"/>
      <c r="N368" s="6" t="s">
        <v>340</v>
      </c>
      <c r="O368" s="6" t="s">
        <v>189</v>
      </c>
      <c r="P368" s="6" t="s">
        <v>546</v>
      </c>
      <c r="Q368" s="6"/>
      <c r="R368" s="66">
        <v>2500.0</v>
      </c>
      <c r="S368" s="17">
        <f>FRESADO!$R368*FRESADO!$E368</f>
        <v>2500</v>
      </c>
      <c r="T368" s="17">
        <f>FRESADO!$S368*16%</f>
        <v>400</v>
      </c>
      <c r="U368" s="17">
        <f>FRESADO!$S368+FRESADO!$T368</f>
        <v>2900</v>
      </c>
      <c r="V368" s="52" t="s">
        <v>291</v>
      </c>
      <c r="W368" s="52" t="s">
        <v>44</v>
      </c>
      <c r="X368" s="17"/>
      <c r="Y368" s="30"/>
      <c r="Z368" s="31" t="s">
        <v>77</v>
      </c>
    </row>
    <row r="369" ht="15.75" customHeight="1">
      <c r="A369" s="6">
        <v>27.0</v>
      </c>
      <c r="B369" s="6">
        <v>81.0</v>
      </c>
      <c r="C369" s="6">
        <v>719.0</v>
      </c>
      <c r="D369" s="25">
        <v>46205.0</v>
      </c>
      <c r="E369" s="6">
        <v>1.0</v>
      </c>
      <c r="F369" s="6" t="s">
        <v>74</v>
      </c>
      <c r="G369" s="6" t="s">
        <v>280</v>
      </c>
      <c r="H369" s="6">
        <v>14.0</v>
      </c>
      <c r="I369" s="6" t="s">
        <v>34</v>
      </c>
      <c r="J369" s="6" t="s">
        <v>272</v>
      </c>
      <c r="K369" s="11" t="s">
        <v>36</v>
      </c>
      <c r="L369" s="6"/>
      <c r="M369" s="6"/>
      <c r="N369" s="6" t="s">
        <v>340</v>
      </c>
      <c r="O369" s="6" t="s">
        <v>189</v>
      </c>
      <c r="P369" s="6" t="s">
        <v>546</v>
      </c>
      <c r="Q369" s="6"/>
      <c r="R369" s="66">
        <v>2500.0</v>
      </c>
      <c r="S369" s="17">
        <f>FRESADO!$R369*FRESADO!$E369</f>
        <v>2500</v>
      </c>
      <c r="T369" s="17">
        <f>FRESADO!$S369*16%</f>
        <v>400</v>
      </c>
      <c r="U369" s="17">
        <f>FRESADO!$S369+FRESADO!$T369</f>
        <v>2900</v>
      </c>
      <c r="V369" s="52" t="s">
        <v>291</v>
      </c>
      <c r="W369" s="52" t="s">
        <v>44</v>
      </c>
      <c r="X369" s="17"/>
      <c r="Y369" s="30"/>
      <c r="Z369" s="31" t="s">
        <v>77</v>
      </c>
    </row>
    <row r="370" ht="15.75" customHeight="1">
      <c r="A370" s="6">
        <v>27.0</v>
      </c>
      <c r="B370" s="6">
        <v>82.0</v>
      </c>
      <c r="C370" s="6">
        <v>720.0</v>
      </c>
      <c r="D370" s="25">
        <v>46205.0</v>
      </c>
      <c r="E370" s="6">
        <v>1.0</v>
      </c>
      <c r="F370" s="6" t="s">
        <v>74</v>
      </c>
      <c r="G370" s="6" t="s">
        <v>192</v>
      </c>
      <c r="H370" s="6">
        <v>14.0</v>
      </c>
      <c r="I370" s="6" t="s">
        <v>34</v>
      </c>
      <c r="J370" s="6" t="s">
        <v>41</v>
      </c>
      <c r="K370" s="11" t="s">
        <v>36</v>
      </c>
      <c r="L370" s="6"/>
      <c r="M370" s="6"/>
      <c r="N370" s="6" t="s">
        <v>340</v>
      </c>
      <c r="O370" s="6" t="s">
        <v>189</v>
      </c>
      <c r="P370" s="6" t="s">
        <v>546</v>
      </c>
      <c r="Q370" s="6"/>
      <c r="R370" s="66">
        <v>2500.0</v>
      </c>
      <c r="S370" s="17">
        <f>FRESADO!$R370*FRESADO!$E370</f>
        <v>2500</v>
      </c>
      <c r="T370" s="17">
        <f>FRESADO!$S370*16%</f>
        <v>400</v>
      </c>
      <c r="U370" s="17">
        <f>FRESADO!$S370+FRESADO!$T370</f>
        <v>2900</v>
      </c>
      <c r="V370" s="52" t="s">
        <v>291</v>
      </c>
      <c r="W370" s="52" t="s">
        <v>44</v>
      </c>
      <c r="X370" s="17"/>
      <c r="Y370" s="30"/>
      <c r="Z370" s="31" t="s">
        <v>77</v>
      </c>
    </row>
    <row r="371" ht="15.75" customHeight="1">
      <c r="A371" s="6">
        <v>27.0</v>
      </c>
      <c r="B371" s="6">
        <v>83.0</v>
      </c>
      <c r="C371" s="6">
        <v>721.0</v>
      </c>
      <c r="D371" s="25">
        <v>46205.0</v>
      </c>
      <c r="E371" s="6">
        <v>1.0</v>
      </c>
      <c r="F371" s="6" t="s">
        <v>74</v>
      </c>
      <c r="G371" s="6" t="s">
        <v>198</v>
      </c>
      <c r="H371" s="6">
        <v>14.0</v>
      </c>
      <c r="I371" s="6" t="s">
        <v>34</v>
      </c>
      <c r="J371" s="6" t="s">
        <v>694</v>
      </c>
      <c r="K371" s="11" t="s">
        <v>36</v>
      </c>
      <c r="L371" s="6"/>
      <c r="M371" s="6"/>
      <c r="N371" s="6" t="s">
        <v>398</v>
      </c>
      <c r="O371" s="6" t="s">
        <v>189</v>
      </c>
      <c r="P371" s="6" t="s">
        <v>546</v>
      </c>
      <c r="Q371" s="6" t="s">
        <v>399</v>
      </c>
      <c r="R371" s="66">
        <v>3355.0</v>
      </c>
      <c r="S371" s="17">
        <f>FRESADO!$R371*FRESADO!$E371</f>
        <v>3355</v>
      </c>
      <c r="T371" s="17">
        <f>FRESADO!$S371*16%</f>
        <v>536.8</v>
      </c>
      <c r="U371" s="17">
        <f>FRESADO!$S371+FRESADO!$T371</f>
        <v>3891.8</v>
      </c>
      <c r="V371" s="52" t="s">
        <v>291</v>
      </c>
      <c r="W371" s="52" t="s">
        <v>44</v>
      </c>
      <c r="X371" s="17"/>
      <c r="Y371" s="30"/>
      <c r="Z371" s="42" t="s">
        <v>399</v>
      </c>
    </row>
    <row r="372" ht="15.75" customHeight="1">
      <c r="A372" s="6">
        <v>27.0</v>
      </c>
      <c r="B372" s="6">
        <v>84.0</v>
      </c>
      <c r="C372" s="6">
        <v>722.0</v>
      </c>
      <c r="D372" s="25">
        <v>46205.0</v>
      </c>
      <c r="E372" s="6">
        <v>1.0</v>
      </c>
      <c r="F372" s="6" t="s">
        <v>74</v>
      </c>
      <c r="G372" s="6" t="s">
        <v>347</v>
      </c>
      <c r="H372" s="6">
        <v>14.0</v>
      </c>
      <c r="I372" s="6" t="s">
        <v>34</v>
      </c>
      <c r="J372" s="6" t="s">
        <v>70</v>
      </c>
      <c r="K372" s="11" t="s">
        <v>36</v>
      </c>
      <c r="L372" s="6"/>
      <c r="M372" s="6"/>
      <c r="N372" s="6" t="s">
        <v>340</v>
      </c>
      <c r="O372" s="6" t="s">
        <v>189</v>
      </c>
      <c r="P372" s="6" t="s">
        <v>546</v>
      </c>
      <c r="Q372" s="6"/>
      <c r="R372" s="66">
        <v>2500.0</v>
      </c>
      <c r="S372" s="17">
        <f>FRESADO!$R372*FRESADO!$E372</f>
        <v>2500</v>
      </c>
      <c r="T372" s="17">
        <f>FRESADO!$S372*16%</f>
        <v>400</v>
      </c>
      <c r="U372" s="17">
        <f>FRESADO!$S372+FRESADO!$T372</f>
        <v>2900</v>
      </c>
      <c r="V372" s="52" t="s">
        <v>291</v>
      </c>
      <c r="W372" s="52" t="s">
        <v>44</v>
      </c>
      <c r="X372" s="17"/>
      <c r="Y372" s="30"/>
      <c r="Z372" s="31" t="s">
        <v>77</v>
      </c>
    </row>
    <row r="373" ht="15.75" customHeight="1">
      <c r="A373" s="6">
        <v>27.0</v>
      </c>
      <c r="B373" s="6">
        <v>85.0</v>
      </c>
      <c r="C373" s="6">
        <v>723.0</v>
      </c>
      <c r="D373" s="25">
        <v>46205.0</v>
      </c>
      <c r="E373" s="34">
        <v>1.0</v>
      </c>
      <c r="F373" s="6" t="s">
        <v>219</v>
      </c>
      <c r="G373" s="6"/>
      <c r="H373" s="34">
        <v>0.0</v>
      </c>
      <c r="I373" s="6" t="s">
        <v>34</v>
      </c>
      <c r="J373" s="6"/>
      <c r="K373" s="11" t="s">
        <v>36</v>
      </c>
      <c r="L373" s="6"/>
      <c r="M373" s="6"/>
      <c r="N373" s="6"/>
      <c r="O373" s="6"/>
      <c r="P373" s="6"/>
      <c r="Q373" s="6" t="s">
        <v>219</v>
      </c>
      <c r="R373" s="66">
        <v>1000.0</v>
      </c>
      <c r="S373" s="17">
        <f>FRESADO!$R373*FRESADO!$E373</f>
        <v>1000</v>
      </c>
      <c r="T373" s="17">
        <f>FRESADO!$S373*16%</f>
        <v>160</v>
      </c>
      <c r="U373" s="17">
        <f>FRESADO!$S373+FRESADO!$T373</f>
        <v>1160</v>
      </c>
      <c r="V373" s="52" t="s">
        <v>291</v>
      </c>
      <c r="W373" s="52" t="s">
        <v>44</v>
      </c>
      <c r="X373" s="17"/>
      <c r="Y373" s="30"/>
      <c r="Z373" s="38"/>
    </row>
    <row r="374" ht="15.75" customHeight="1">
      <c r="A374" s="6">
        <v>27.0</v>
      </c>
      <c r="B374" s="6">
        <v>86.0</v>
      </c>
      <c r="C374" s="6">
        <v>724.0</v>
      </c>
      <c r="D374" s="25">
        <v>46205.0</v>
      </c>
      <c r="E374" s="6">
        <v>1.0</v>
      </c>
      <c r="F374" s="6" t="s">
        <v>74</v>
      </c>
      <c r="G374" s="6" t="s">
        <v>192</v>
      </c>
      <c r="H374" s="6">
        <v>14.0</v>
      </c>
      <c r="I374" s="6" t="s">
        <v>34</v>
      </c>
      <c r="J374" s="6" t="s">
        <v>41</v>
      </c>
      <c r="K374" s="11" t="s">
        <v>36</v>
      </c>
      <c r="L374" s="6"/>
      <c r="M374" s="6"/>
      <c r="N374" s="6" t="s">
        <v>340</v>
      </c>
      <c r="O374" s="6" t="s">
        <v>189</v>
      </c>
      <c r="P374" s="6" t="s">
        <v>546</v>
      </c>
      <c r="Q374" s="6"/>
      <c r="R374" s="66">
        <v>2500.0</v>
      </c>
      <c r="S374" s="17">
        <f>FRESADO!$R374*FRESADO!$E374</f>
        <v>2500</v>
      </c>
      <c r="T374" s="17">
        <f>FRESADO!$S374*16%</f>
        <v>400</v>
      </c>
      <c r="U374" s="17">
        <f>FRESADO!$S374+FRESADO!$T374</f>
        <v>2900</v>
      </c>
      <c r="V374" s="52" t="s">
        <v>291</v>
      </c>
      <c r="W374" s="52" t="s">
        <v>44</v>
      </c>
      <c r="X374" s="17"/>
      <c r="Y374" s="30"/>
      <c r="Z374" s="31" t="s">
        <v>77</v>
      </c>
    </row>
    <row r="375" ht="15.75" customHeight="1">
      <c r="A375" s="6">
        <v>27.0</v>
      </c>
      <c r="B375" s="6">
        <v>87.0</v>
      </c>
      <c r="C375" s="115">
        <v>725.0</v>
      </c>
      <c r="D375" s="116">
        <v>46205.0</v>
      </c>
      <c r="E375" s="6">
        <v>1.0</v>
      </c>
      <c r="F375" s="6" t="s">
        <v>388</v>
      </c>
      <c r="G375" s="6" t="s">
        <v>583</v>
      </c>
      <c r="H375" s="6">
        <v>14.0</v>
      </c>
      <c r="I375" s="6" t="s">
        <v>34</v>
      </c>
      <c r="J375" s="6" t="s">
        <v>584</v>
      </c>
      <c r="K375" s="34" t="s">
        <v>50</v>
      </c>
      <c r="L375" s="6"/>
      <c r="M375" s="6"/>
      <c r="N375" s="6" t="s">
        <v>340</v>
      </c>
      <c r="O375" s="6" t="s">
        <v>189</v>
      </c>
      <c r="P375" s="6" t="s">
        <v>546</v>
      </c>
      <c r="Q375" s="6" t="s">
        <v>390</v>
      </c>
      <c r="R375" s="66">
        <v>4500.0</v>
      </c>
      <c r="S375" s="17">
        <f>FRESADO!$R375*FRESADO!$E375</f>
        <v>4500</v>
      </c>
      <c r="T375" s="17">
        <f>FRESADO!$S375*16%</f>
        <v>720</v>
      </c>
      <c r="U375" s="17">
        <f>FRESADO!$S375+FRESADO!$T375</f>
        <v>5220</v>
      </c>
      <c r="V375" s="52" t="s">
        <v>110</v>
      </c>
      <c r="W375" s="52" t="s">
        <v>44</v>
      </c>
      <c r="X375" s="34" t="s">
        <v>335</v>
      </c>
      <c r="Y375" s="30"/>
      <c r="Z375" s="38"/>
    </row>
    <row r="376" ht="15.75" customHeight="1">
      <c r="A376" s="6">
        <v>27.0</v>
      </c>
      <c r="B376" s="6">
        <v>88.0</v>
      </c>
      <c r="C376" s="6">
        <v>726.0</v>
      </c>
      <c r="D376" s="25">
        <v>46206.0</v>
      </c>
      <c r="E376" s="6">
        <v>1.0</v>
      </c>
      <c r="F376" s="6" t="s">
        <v>74</v>
      </c>
      <c r="G376" s="6" t="s">
        <v>374</v>
      </c>
      <c r="H376" s="6">
        <v>14.0</v>
      </c>
      <c r="I376" s="6" t="s">
        <v>34</v>
      </c>
      <c r="J376" s="6" t="s">
        <v>406</v>
      </c>
      <c r="K376" s="11" t="s">
        <v>36</v>
      </c>
      <c r="L376" s="6"/>
      <c r="M376" s="6"/>
      <c r="N376" s="6" t="s">
        <v>398</v>
      </c>
      <c r="O376" s="6" t="s">
        <v>189</v>
      </c>
      <c r="P376" s="6" t="s">
        <v>546</v>
      </c>
      <c r="Q376" s="6" t="s">
        <v>399</v>
      </c>
      <c r="R376" s="66">
        <v>3355.0</v>
      </c>
      <c r="S376" s="17">
        <f>FRESADO!$R376*FRESADO!$E376</f>
        <v>3355</v>
      </c>
      <c r="T376" s="17">
        <f>FRESADO!$S376*16%</f>
        <v>536.8</v>
      </c>
      <c r="U376" s="17">
        <f>FRESADO!$S376+FRESADO!$T376</f>
        <v>3891.8</v>
      </c>
      <c r="V376" s="52" t="s">
        <v>291</v>
      </c>
      <c r="W376" s="52" t="s">
        <v>44</v>
      </c>
      <c r="X376" s="17"/>
      <c r="Y376" s="30"/>
      <c r="Z376" s="42" t="s">
        <v>399</v>
      </c>
    </row>
    <row r="377" ht="15.75" customHeight="1">
      <c r="A377" s="6">
        <v>27.0</v>
      </c>
      <c r="B377" s="6">
        <v>89.0</v>
      </c>
      <c r="C377" s="6">
        <v>727.0</v>
      </c>
      <c r="D377" s="25">
        <v>46206.0</v>
      </c>
      <c r="E377" s="6">
        <v>1.0</v>
      </c>
      <c r="F377" s="6" t="s">
        <v>74</v>
      </c>
      <c r="G377" s="6" t="s">
        <v>405</v>
      </c>
      <c r="H377" s="6">
        <v>14.0</v>
      </c>
      <c r="I377" s="6" t="s">
        <v>34</v>
      </c>
      <c r="J377" s="6" t="s">
        <v>662</v>
      </c>
      <c r="K377" s="11" t="s">
        <v>36</v>
      </c>
      <c r="L377" s="6"/>
      <c r="M377" s="6"/>
      <c r="N377" s="6" t="s">
        <v>398</v>
      </c>
      <c r="O377" s="6" t="s">
        <v>189</v>
      </c>
      <c r="P377" s="6" t="s">
        <v>546</v>
      </c>
      <c r="Q377" s="6" t="s">
        <v>399</v>
      </c>
      <c r="R377" s="66">
        <v>3355.0</v>
      </c>
      <c r="S377" s="17">
        <f>FRESADO!$R377*FRESADO!$E377</f>
        <v>3355</v>
      </c>
      <c r="T377" s="17">
        <f>FRESADO!$S377*16%</f>
        <v>536.8</v>
      </c>
      <c r="U377" s="17">
        <f>FRESADO!$S377+FRESADO!$T377</f>
        <v>3891.8</v>
      </c>
      <c r="V377" s="52" t="s">
        <v>291</v>
      </c>
      <c r="W377" s="52" t="s">
        <v>44</v>
      </c>
      <c r="X377" s="17"/>
      <c r="Y377" s="30"/>
      <c r="Z377" s="42" t="s">
        <v>399</v>
      </c>
    </row>
    <row r="378" ht="15.75" customHeight="1">
      <c r="A378" s="6">
        <v>27.0</v>
      </c>
      <c r="B378" s="6">
        <v>90.0</v>
      </c>
      <c r="C378" s="6">
        <v>728.0</v>
      </c>
      <c r="D378" s="25">
        <v>46206.0</v>
      </c>
      <c r="E378" s="6">
        <v>1.0</v>
      </c>
      <c r="F378" s="6" t="s">
        <v>74</v>
      </c>
      <c r="G378" s="6" t="s">
        <v>162</v>
      </c>
      <c r="H378" s="6">
        <v>14.0</v>
      </c>
      <c r="I378" s="6" t="s">
        <v>34</v>
      </c>
      <c r="J378" s="6" t="s">
        <v>83</v>
      </c>
      <c r="K378" s="11" t="s">
        <v>36</v>
      </c>
      <c r="L378" s="6"/>
      <c r="M378" s="6"/>
      <c r="N378" s="6" t="s">
        <v>398</v>
      </c>
      <c r="O378" s="6" t="s">
        <v>189</v>
      </c>
      <c r="P378" s="6" t="s">
        <v>546</v>
      </c>
      <c r="Q378" s="6" t="s">
        <v>399</v>
      </c>
      <c r="R378" s="66">
        <v>3355.0</v>
      </c>
      <c r="S378" s="17">
        <f>FRESADO!$R378*FRESADO!$E378</f>
        <v>3355</v>
      </c>
      <c r="T378" s="17">
        <f>FRESADO!$S378*16%</f>
        <v>536.8</v>
      </c>
      <c r="U378" s="17">
        <f>FRESADO!$S378+FRESADO!$T378</f>
        <v>3891.8</v>
      </c>
      <c r="V378" s="52" t="s">
        <v>291</v>
      </c>
      <c r="W378" s="52" t="s">
        <v>44</v>
      </c>
      <c r="X378" s="17"/>
      <c r="Y378" s="30"/>
      <c r="Z378" s="42" t="s">
        <v>399</v>
      </c>
    </row>
    <row r="379" ht="15.75" customHeight="1">
      <c r="A379" s="6">
        <v>27.0</v>
      </c>
      <c r="B379" s="6">
        <v>91.0</v>
      </c>
      <c r="C379" s="6">
        <v>729.0</v>
      </c>
      <c r="D379" s="25">
        <v>46206.0</v>
      </c>
      <c r="E379" s="6">
        <v>1.0</v>
      </c>
      <c r="F379" s="6" t="s">
        <v>74</v>
      </c>
      <c r="G379" s="6" t="s">
        <v>479</v>
      </c>
      <c r="H379" s="6">
        <v>14.0</v>
      </c>
      <c r="I379" s="6" t="s">
        <v>34</v>
      </c>
      <c r="J379" s="6" t="s">
        <v>106</v>
      </c>
      <c r="K379" s="11" t="s">
        <v>36</v>
      </c>
      <c r="L379" s="6"/>
      <c r="M379" s="6"/>
      <c r="N379" s="6" t="s">
        <v>398</v>
      </c>
      <c r="O379" s="6" t="s">
        <v>189</v>
      </c>
      <c r="P379" s="6" t="s">
        <v>546</v>
      </c>
      <c r="Q379" s="6" t="s">
        <v>399</v>
      </c>
      <c r="R379" s="66">
        <v>3355.0</v>
      </c>
      <c r="S379" s="17">
        <f>FRESADO!$R379*FRESADO!$E379</f>
        <v>3355</v>
      </c>
      <c r="T379" s="17">
        <f>FRESADO!$S379*16%</f>
        <v>536.8</v>
      </c>
      <c r="U379" s="17">
        <f>FRESADO!$S379+FRESADO!$T379</f>
        <v>3891.8</v>
      </c>
      <c r="V379" s="52" t="s">
        <v>291</v>
      </c>
      <c r="W379" s="52" t="s">
        <v>44</v>
      </c>
      <c r="X379" s="17"/>
      <c r="Y379" s="30"/>
      <c r="Z379" s="42" t="s">
        <v>399</v>
      </c>
    </row>
    <row r="380" ht="15.75" customHeight="1">
      <c r="A380" s="6">
        <v>27.0</v>
      </c>
      <c r="B380" s="6">
        <v>92.0</v>
      </c>
      <c r="C380" s="6">
        <v>730.0</v>
      </c>
      <c r="D380" s="25">
        <v>46206.0</v>
      </c>
      <c r="E380" s="6">
        <v>1.0</v>
      </c>
      <c r="F380" s="6" t="s">
        <v>74</v>
      </c>
      <c r="G380" s="6" t="s">
        <v>198</v>
      </c>
      <c r="H380" s="6">
        <v>14.0</v>
      </c>
      <c r="I380" s="6" t="s">
        <v>34</v>
      </c>
      <c r="J380" s="6" t="s">
        <v>694</v>
      </c>
      <c r="K380" s="11" t="s">
        <v>36</v>
      </c>
      <c r="L380" s="6"/>
      <c r="M380" s="6"/>
      <c r="N380" s="6" t="s">
        <v>398</v>
      </c>
      <c r="O380" s="6" t="s">
        <v>189</v>
      </c>
      <c r="P380" s="6" t="s">
        <v>546</v>
      </c>
      <c r="Q380" s="6" t="s">
        <v>399</v>
      </c>
      <c r="R380" s="66">
        <v>3355.0</v>
      </c>
      <c r="S380" s="17">
        <f>FRESADO!$R380*FRESADO!$E380</f>
        <v>3355</v>
      </c>
      <c r="T380" s="17">
        <f>FRESADO!$S380*16%</f>
        <v>536.8</v>
      </c>
      <c r="U380" s="17">
        <f>FRESADO!$S380+FRESADO!$T380</f>
        <v>3891.8</v>
      </c>
      <c r="V380" s="52" t="s">
        <v>291</v>
      </c>
      <c r="W380" s="52" t="s">
        <v>44</v>
      </c>
      <c r="X380" s="17"/>
      <c r="Y380" s="30"/>
      <c r="Z380" s="42" t="s">
        <v>399</v>
      </c>
    </row>
    <row r="381" ht="15.75" customHeight="1">
      <c r="A381" s="6">
        <v>27.0</v>
      </c>
      <c r="B381" s="6">
        <v>93.0</v>
      </c>
      <c r="C381" s="6">
        <v>731.0</v>
      </c>
      <c r="D381" s="25">
        <v>46206.0</v>
      </c>
      <c r="E381" s="6">
        <v>1.0</v>
      </c>
      <c r="F381" s="6" t="s">
        <v>74</v>
      </c>
      <c r="G381" s="6" t="s">
        <v>192</v>
      </c>
      <c r="H381" s="6">
        <v>14.0</v>
      </c>
      <c r="I381" s="6" t="s">
        <v>34</v>
      </c>
      <c r="J381" s="6" t="s">
        <v>41</v>
      </c>
      <c r="K381" s="11" t="s">
        <v>36</v>
      </c>
      <c r="L381" s="6"/>
      <c r="M381" s="6"/>
      <c r="N381" s="6" t="s">
        <v>340</v>
      </c>
      <c r="O381" s="6" t="s">
        <v>189</v>
      </c>
      <c r="P381" s="6" t="s">
        <v>546</v>
      </c>
      <c r="Q381" s="6"/>
      <c r="R381" s="66">
        <v>2500.0</v>
      </c>
      <c r="S381" s="17">
        <f>FRESADO!$R381*FRESADO!$E381</f>
        <v>2500</v>
      </c>
      <c r="T381" s="17">
        <f>FRESADO!$S381*16%</f>
        <v>400</v>
      </c>
      <c r="U381" s="17">
        <f>FRESADO!$S381+FRESADO!$T381</f>
        <v>2900</v>
      </c>
      <c r="V381" s="52" t="s">
        <v>291</v>
      </c>
      <c r="W381" s="52" t="s">
        <v>44</v>
      </c>
      <c r="X381" s="17"/>
      <c r="Y381" s="30"/>
      <c r="Z381" s="31" t="s">
        <v>77</v>
      </c>
    </row>
    <row r="382" ht="15.75" customHeight="1">
      <c r="A382" s="6">
        <v>27.0</v>
      </c>
      <c r="B382" s="6">
        <v>94.0</v>
      </c>
      <c r="C382" s="6">
        <v>732.0</v>
      </c>
      <c r="D382" s="25">
        <v>46206.0</v>
      </c>
      <c r="E382" s="6">
        <v>1.0</v>
      </c>
      <c r="F382" s="6" t="s">
        <v>74</v>
      </c>
      <c r="G382" s="6" t="s">
        <v>690</v>
      </c>
      <c r="H382" s="6">
        <v>14.0</v>
      </c>
      <c r="I382" s="6" t="s">
        <v>34</v>
      </c>
      <c r="J382" s="6" t="s">
        <v>691</v>
      </c>
      <c r="K382" s="11" t="s">
        <v>36</v>
      </c>
      <c r="L382" s="6"/>
      <c r="M382" s="6"/>
      <c r="N382" s="6" t="s">
        <v>340</v>
      </c>
      <c r="O382" s="6" t="s">
        <v>189</v>
      </c>
      <c r="P382" s="6" t="s">
        <v>546</v>
      </c>
      <c r="Q382" s="6"/>
      <c r="R382" s="66">
        <v>2500.0</v>
      </c>
      <c r="S382" s="17">
        <f>FRESADO!$R382*FRESADO!$E382</f>
        <v>2500</v>
      </c>
      <c r="T382" s="17">
        <f>FRESADO!$S382*16%</f>
        <v>400</v>
      </c>
      <c r="U382" s="17">
        <f>FRESADO!$S382+FRESADO!$T382</f>
        <v>2900</v>
      </c>
      <c r="V382" s="52" t="s">
        <v>291</v>
      </c>
      <c r="W382" s="52" t="s">
        <v>44</v>
      </c>
      <c r="X382" s="17"/>
      <c r="Y382" s="30"/>
      <c r="Z382" s="31" t="s">
        <v>77</v>
      </c>
    </row>
    <row r="383" ht="15.75" customHeight="1">
      <c r="A383" s="6">
        <v>27.0</v>
      </c>
      <c r="B383" s="6">
        <v>95.0</v>
      </c>
      <c r="C383" s="6">
        <v>733.0</v>
      </c>
      <c r="D383" s="25">
        <v>46206.0</v>
      </c>
      <c r="E383" s="6">
        <v>1.0</v>
      </c>
      <c r="F383" s="6" t="s">
        <v>74</v>
      </c>
      <c r="G383" s="6" t="s">
        <v>347</v>
      </c>
      <c r="H383" s="6">
        <v>14.0</v>
      </c>
      <c r="I383" s="6" t="s">
        <v>34</v>
      </c>
      <c r="J383" s="6" t="s">
        <v>70</v>
      </c>
      <c r="K383" s="11" t="s">
        <v>36</v>
      </c>
      <c r="L383" s="6"/>
      <c r="M383" s="6"/>
      <c r="N383" s="6" t="s">
        <v>340</v>
      </c>
      <c r="O383" s="6" t="s">
        <v>189</v>
      </c>
      <c r="P383" s="6" t="s">
        <v>546</v>
      </c>
      <c r="Q383" s="6"/>
      <c r="R383" s="66">
        <v>2500.0</v>
      </c>
      <c r="S383" s="17">
        <f>FRESADO!$R383*FRESADO!$E383</f>
        <v>2500</v>
      </c>
      <c r="T383" s="17">
        <f>FRESADO!$S383*16%</f>
        <v>400</v>
      </c>
      <c r="U383" s="17">
        <f>FRESADO!$S383+FRESADO!$T383</f>
        <v>2900</v>
      </c>
      <c r="V383" s="52" t="s">
        <v>291</v>
      </c>
      <c r="W383" s="52" t="s">
        <v>44</v>
      </c>
      <c r="X383" s="17"/>
      <c r="Y383" s="30"/>
      <c r="Z383" s="31" t="s">
        <v>77</v>
      </c>
    </row>
    <row r="384" ht="15.75" customHeight="1">
      <c r="A384" s="6">
        <v>27.0</v>
      </c>
      <c r="B384" s="6">
        <v>96.0</v>
      </c>
      <c r="C384" s="6">
        <v>734.0</v>
      </c>
      <c r="D384" s="25">
        <v>46206.0</v>
      </c>
      <c r="E384" s="6">
        <v>1.0</v>
      </c>
      <c r="F384" s="6" t="s">
        <v>74</v>
      </c>
      <c r="G384" s="6" t="s">
        <v>192</v>
      </c>
      <c r="H384" s="6">
        <v>14.0</v>
      </c>
      <c r="I384" s="6" t="s">
        <v>34</v>
      </c>
      <c r="J384" s="6" t="s">
        <v>41</v>
      </c>
      <c r="K384" s="11" t="s">
        <v>36</v>
      </c>
      <c r="L384" s="6"/>
      <c r="M384" s="6"/>
      <c r="N384" s="6" t="s">
        <v>340</v>
      </c>
      <c r="O384" s="6" t="s">
        <v>189</v>
      </c>
      <c r="P384" s="6" t="s">
        <v>546</v>
      </c>
      <c r="Q384" s="6"/>
      <c r="R384" s="66">
        <v>2500.0</v>
      </c>
      <c r="S384" s="17">
        <f>FRESADO!$R384*FRESADO!$E384</f>
        <v>2500</v>
      </c>
      <c r="T384" s="17">
        <f>FRESADO!$S384*16%</f>
        <v>400</v>
      </c>
      <c r="U384" s="17">
        <f>FRESADO!$S384+FRESADO!$T384</f>
        <v>2900</v>
      </c>
      <c r="V384" s="52" t="s">
        <v>291</v>
      </c>
      <c r="W384" s="52" t="s">
        <v>44</v>
      </c>
      <c r="X384" s="17"/>
      <c r="Y384" s="30"/>
      <c r="Z384" s="31" t="s">
        <v>77</v>
      </c>
    </row>
    <row r="385" ht="15.75" customHeight="1">
      <c r="A385" s="6">
        <v>27.0</v>
      </c>
      <c r="B385" s="6">
        <v>97.0</v>
      </c>
      <c r="C385" s="6">
        <v>735.0</v>
      </c>
      <c r="D385" s="25">
        <v>46206.0</v>
      </c>
      <c r="E385" s="6">
        <v>1.0</v>
      </c>
      <c r="F385" s="6" t="s">
        <v>74</v>
      </c>
      <c r="G385" s="6" t="s">
        <v>690</v>
      </c>
      <c r="H385" s="6">
        <v>14.0</v>
      </c>
      <c r="I385" s="6" t="s">
        <v>34</v>
      </c>
      <c r="J385" s="6" t="s">
        <v>691</v>
      </c>
      <c r="K385" s="11" t="s">
        <v>36</v>
      </c>
      <c r="L385" s="6"/>
      <c r="M385" s="6"/>
      <c r="N385" s="6" t="s">
        <v>340</v>
      </c>
      <c r="O385" s="6" t="s">
        <v>189</v>
      </c>
      <c r="P385" s="6" t="s">
        <v>546</v>
      </c>
      <c r="Q385" s="6"/>
      <c r="R385" s="66">
        <v>2500.0</v>
      </c>
      <c r="S385" s="17">
        <f>FRESADO!$R385*FRESADO!$E385</f>
        <v>2500</v>
      </c>
      <c r="T385" s="17">
        <f>FRESADO!$S385*16%</f>
        <v>400</v>
      </c>
      <c r="U385" s="17">
        <f>FRESADO!$S385+FRESADO!$T385</f>
        <v>2900</v>
      </c>
      <c r="V385" s="52" t="s">
        <v>291</v>
      </c>
      <c r="W385" s="52" t="s">
        <v>44</v>
      </c>
      <c r="X385" s="17"/>
      <c r="Y385" s="30"/>
      <c r="Z385" s="31" t="s">
        <v>77</v>
      </c>
    </row>
    <row r="386" ht="15.75" customHeight="1">
      <c r="A386" s="6">
        <v>27.0</v>
      </c>
      <c r="B386" s="6">
        <v>98.0</v>
      </c>
      <c r="C386" s="6">
        <v>736.0</v>
      </c>
      <c r="D386" s="25">
        <v>46206.0</v>
      </c>
      <c r="E386" s="6">
        <v>1.0</v>
      </c>
      <c r="F386" s="6" t="s">
        <v>74</v>
      </c>
      <c r="G386" s="6" t="s">
        <v>347</v>
      </c>
      <c r="H386" s="6">
        <v>14.0</v>
      </c>
      <c r="I386" s="6" t="s">
        <v>34</v>
      </c>
      <c r="J386" s="6" t="s">
        <v>70</v>
      </c>
      <c r="K386" s="11" t="s">
        <v>36</v>
      </c>
      <c r="L386" s="6"/>
      <c r="M386" s="6"/>
      <c r="N386" s="6" t="s">
        <v>340</v>
      </c>
      <c r="O386" s="6" t="s">
        <v>189</v>
      </c>
      <c r="P386" s="6" t="s">
        <v>546</v>
      </c>
      <c r="Q386" s="6"/>
      <c r="R386" s="66">
        <v>2500.0</v>
      </c>
      <c r="S386" s="17">
        <f>FRESADO!$R386*FRESADO!$E386</f>
        <v>2500</v>
      </c>
      <c r="T386" s="17">
        <f>FRESADO!$S386*16%</f>
        <v>400</v>
      </c>
      <c r="U386" s="17">
        <f>FRESADO!$S386+FRESADO!$T386</f>
        <v>2900</v>
      </c>
      <c r="V386" s="52" t="s">
        <v>291</v>
      </c>
      <c r="W386" s="52" t="s">
        <v>44</v>
      </c>
      <c r="X386" s="17"/>
      <c r="Y386" s="148"/>
      <c r="Z386" s="31" t="s">
        <v>77</v>
      </c>
    </row>
    <row r="387" ht="15.75" customHeight="1">
      <c r="A387" s="6">
        <v>27.0</v>
      </c>
      <c r="B387" s="6">
        <v>99.0</v>
      </c>
      <c r="C387" s="6">
        <v>737.0</v>
      </c>
      <c r="D387" s="25">
        <v>46206.0</v>
      </c>
      <c r="E387" s="6">
        <v>1.0</v>
      </c>
      <c r="F387" s="6" t="s">
        <v>74</v>
      </c>
      <c r="G387" s="6" t="s">
        <v>192</v>
      </c>
      <c r="H387" s="6">
        <v>14.0</v>
      </c>
      <c r="I387" s="6" t="s">
        <v>34</v>
      </c>
      <c r="J387" s="6" t="s">
        <v>41</v>
      </c>
      <c r="K387" s="11" t="s">
        <v>36</v>
      </c>
      <c r="L387" s="6"/>
      <c r="M387" s="6"/>
      <c r="N387" s="6" t="s">
        <v>340</v>
      </c>
      <c r="O387" s="6" t="s">
        <v>189</v>
      </c>
      <c r="P387" s="6" t="s">
        <v>546</v>
      </c>
      <c r="Q387" s="6"/>
      <c r="R387" s="66">
        <v>2500.0</v>
      </c>
      <c r="S387" s="17">
        <f>FRESADO!$R387*FRESADO!$E387</f>
        <v>2500</v>
      </c>
      <c r="T387" s="17">
        <f>FRESADO!$S387*16%</f>
        <v>400</v>
      </c>
      <c r="U387" s="17">
        <f>FRESADO!$S387+FRESADO!$T387</f>
        <v>2900</v>
      </c>
      <c r="V387" s="52" t="s">
        <v>291</v>
      </c>
      <c r="W387" s="52" t="s">
        <v>44</v>
      </c>
      <c r="X387" s="17"/>
      <c r="Y387" s="148"/>
      <c r="Z387" s="31" t="s">
        <v>77</v>
      </c>
    </row>
    <row r="388" ht="15.75" customHeight="1">
      <c r="A388" s="6">
        <v>27.0</v>
      </c>
      <c r="B388" s="6">
        <v>100.0</v>
      </c>
      <c r="C388" s="6">
        <v>738.0</v>
      </c>
      <c r="D388" s="25">
        <v>46206.0</v>
      </c>
      <c r="E388" s="6">
        <v>1.0</v>
      </c>
      <c r="F388" s="6" t="s">
        <v>74</v>
      </c>
      <c r="G388" s="6" t="s">
        <v>690</v>
      </c>
      <c r="H388" s="6">
        <v>14.0</v>
      </c>
      <c r="I388" s="6" t="s">
        <v>34</v>
      </c>
      <c r="J388" s="6" t="s">
        <v>691</v>
      </c>
      <c r="K388" s="11" t="s">
        <v>36</v>
      </c>
      <c r="L388" s="6"/>
      <c r="M388" s="6"/>
      <c r="N388" s="6" t="s">
        <v>340</v>
      </c>
      <c r="O388" s="6" t="s">
        <v>189</v>
      </c>
      <c r="P388" s="6" t="s">
        <v>546</v>
      </c>
      <c r="Q388" s="6"/>
      <c r="R388" s="66">
        <v>2500.0</v>
      </c>
      <c r="S388" s="17">
        <f>FRESADO!$R388*FRESADO!$E388</f>
        <v>2500</v>
      </c>
      <c r="T388" s="17">
        <f>FRESADO!$S388*16%</f>
        <v>400</v>
      </c>
      <c r="U388" s="17">
        <f>FRESADO!$S388+FRESADO!$T388</f>
        <v>2900</v>
      </c>
      <c r="V388" s="52" t="s">
        <v>291</v>
      </c>
      <c r="W388" s="52" t="s">
        <v>44</v>
      </c>
      <c r="X388" s="17"/>
      <c r="Y388" s="148"/>
      <c r="Z388" s="31" t="s">
        <v>77</v>
      </c>
    </row>
    <row r="389" ht="15.75" customHeight="1">
      <c r="A389" s="6">
        <v>27.0</v>
      </c>
      <c r="B389" s="6">
        <v>101.0</v>
      </c>
      <c r="C389" s="6">
        <v>739.0</v>
      </c>
      <c r="D389" s="25">
        <v>46206.0</v>
      </c>
      <c r="E389" s="6">
        <v>1.0</v>
      </c>
      <c r="F389" s="6" t="s">
        <v>74</v>
      </c>
      <c r="G389" s="6" t="s">
        <v>347</v>
      </c>
      <c r="H389" s="6">
        <v>14.0</v>
      </c>
      <c r="I389" s="6" t="s">
        <v>34</v>
      </c>
      <c r="J389" s="6" t="s">
        <v>70</v>
      </c>
      <c r="K389" s="11" t="s">
        <v>36</v>
      </c>
      <c r="L389" s="6"/>
      <c r="M389" s="6"/>
      <c r="N389" s="6" t="s">
        <v>340</v>
      </c>
      <c r="O389" s="6" t="s">
        <v>189</v>
      </c>
      <c r="P389" s="6" t="s">
        <v>546</v>
      </c>
      <c r="Q389" s="6"/>
      <c r="R389" s="66">
        <v>2500.0</v>
      </c>
      <c r="S389" s="17">
        <f>FRESADO!$R389*FRESADO!$E389</f>
        <v>2500</v>
      </c>
      <c r="T389" s="17">
        <f>FRESADO!$S389*16%</f>
        <v>400</v>
      </c>
      <c r="U389" s="17">
        <f>FRESADO!$S389+FRESADO!$T389</f>
        <v>2900</v>
      </c>
      <c r="V389" s="52" t="s">
        <v>291</v>
      </c>
      <c r="W389" s="52" t="s">
        <v>44</v>
      </c>
      <c r="X389" s="17"/>
      <c r="Y389" s="148"/>
      <c r="Z389" s="31" t="s">
        <v>77</v>
      </c>
    </row>
    <row r="390" ht="15.75" customHeight="1">
      <c r="A390" s="6">
        <v>27.0</v>
      </c>
      <c r="B390" s="6">
        <v>102.0</v>
      </c>
      <c r="C390" s="115">
        <v>740.0</v>
      </c>
      <c r="D390" s="116">
        <v>46206.0</v>
      </c>
      <c r="E390" s="6">
        <v>1.0</v>
      </c>
      <c r="F390" s="6" t="s">
        <v>388</v>
      </c>
      <c r="G390" s="6" t="s">
        <v>583</v>
      </c>
      <c r="H390" s="6">
        <v>7.0</v>
      </c>
      <c r="I390" s="6" t="s">
        <v>34</v>
      </c>
      <c r="J390" s="6" t="s">
        <v>584</v>
      </c>
      <c r="K390" s="34" t="s">
        <v>50</v>
      </c>
      <c r="L390" s="6"/>
      <c r="M390" s="6"/>
      <c r="N390" s="6" t="s">
        <v>340</v>
      </c>
      <c r="O390" s="6" t="s">
        <v>189</v>
      </c>
      <c r="P390" s="6" t="s">
        <v>546</v>
      </c>
      <c r="Q390" s="6" t="s">
        <v>390</v>
      </c>
      <c r="R390" s="66">
        <v>4500.0</v>
      </c>
      <c r="S390" s="17">
        <f>FRESADO!$R390*FRESADO!$E390</f>
        <v>4500</v>
      </c>
      <c r="T390" s="17">
        <f>FRESADO!$S390*16%</f>
        <v>720</v>
      </c>
      <c r="U390" s="17">
        <f>FRESADO!$S390+FRESADO!$T390</f>
        <v>5220</v>
      </c>
      <c r="V390" s="52" t="s">
        <v>110</v>
      </c>
      <c r="W390" s="52" t="s">
        <v>44</v>
      </c>
      <c r="X390" s="34" t="s">
        <v>335</v>
      </c>
      <c r="Y390" s="30"/>
      <c r="Z390" s="38"/>
    </row>
    <row r="391" ht="15.75" customHeight="1">
      <c r="A391" s="6">
        <v>27.0</v>
      </c>
      <c r="B391" s="6">
        <v>103.0</v>
      </c>
      <c r="C391" s="6">
        <v>741.0</v>
      </c>
      <c r="D391" s="25">
        <v>46207.0</v>
      </c>
      <c r="E391" s="6">
        <v>1.0</v>
      </c>
      <c r="F391" s="6" t="s">
        <v>74</v>
      </c>
      <c r="G391" s="6" t="s">
        <v>347</v>
      </c>
      <c r="H391" s="6">
        <v>14.0</v>
      </c>
      <c r="I391" s="6" t="s">
        <v>34</v>
      </c>
      <c r="J391" s="6" t="s">
        <v>70</v>
      </c>
      <c r="K391" s="11" t="s">
        <v>36</v>
      </c>
      <c r="L391" s="6"/>
      <c r="M391" s="6"/>
      <c r="N391" s="6" t="s">
        <v>340</v>
      </c>
      <c r="O391" s="6" t="s">
        <v>189</v>
      </c>
      <c r="P391" s="6" t="s">
        <v>546</v>
      </c>
      <c r="Q391" s="6"/>
      <c r="R391" s="66">
        <v>2500.0</v>
      </c>
      <c r="S391" s="17">
        <f>FRESADO!$R391*FRESADO!$E391</f>
        <v>2500</v>
      </c>
      <c r="T391" s="17">
        <f>FRESADO!$S391*16%</f>
        <v>400</v>
      </c>
      <c r="U391" s="17">
        <f>FRESADO!$S391+FRESADO!$T391</f>
        <v>2900</v>
      </c>
      <c r="V391" s="52" t="s">
        <v>291</v>
      </c>
      <c r="W391" s="52" t="s">
        <v>44</v>
      </c>
      <c r="X391" s="17"/>
      <c r="Y391" s="30"/>
      <c r="Z391" s="31" t="s">
        <v>77</v>
      </c>
    </row>
    <row r="392" ht="15.75" customHeight="1">
      <c r="A392" s="6">
        <v>27.0</v>
      </c>
      <c r="B392" s="6">
        <v>104.0</v>
      </c>
      <c r="C392" s="6">
        <v>742.0</v>
      </c>
      <c r="D392" s="25">
        <v>46207.0</v>
      </c>
      <c r="E392" s="6">
        <v>1.0</v>
      </c>
      <c r="F392" s="6" t="s">
        <v>74</v>
      </c>
      <c r="G392" s="6" t="s">
        <v>192</v>
      </c>
      <c r="H392" s="6">
        <v>14.0</v>
      </c>
      <c r="I392" s="6" t="s">
        <v>34</v>
      </c>
      <c r="J392" s="6" t="s">
        <v>41</v>
      </c>
      <c r="K392" s="11" t="s">
        <v>36</v>
      </c>
      <c r="L392" s="6"/>
      <c r="M392" s="6"/>
      <c r="N392" s="6" t="s">
        <v>398</v>
      </c>
      <c r="O392" s="6" t="s">
        <v>189</v>
      </c>
      <c r="P392" s="6" t="s">
        <v>546</v>
      </c>
      <c r="Q392" s="6" t="s">
        <v>399</v>
      </c>
      <c r="R392" s="66">
        <v>3855.0</v>
      </c>
      <c r="S392" s="17">
        <f>FRESADO!$R392*FRESADO!$E392</f>
        <v>3855</v>
      </c>
      <c r="T392" s="17">
        <f>FRESADO!$S392*16%</f>
        <v>616.8</v>
      </c>
      <c r="U392" s="17">
        <f>FRESADO!$S392+FRESADO!$T392</f>
        <v>4471.8</v>
      </c>
      <c r="V392" s="52" t="s">
        <v>291</v>
      </c>
      <c r="W392" s="52" t="s">
        <v>44</v>
      </c>
      <c r="X392" s="17"/>
      <c r="Y392" s="30"/>
      <c r="Z392" s="42" t="s">
        <v>399</v>
      </c>
    </row>
    <row r="393" ht="15.75" customHeight="1">
      <c r="A393" s="6">
        <v>27.0</v>
      </c>
      <c r="B393" s="6">
        <v>105.0</v>
      </c>
      <c r="C393" s="6">
        <v>743.0</v>
      </c>
      <c r="D393" s="25">
        <v>46207.0</v>
      </c>
      <c r="E393" s="6">
        <v>1.0</v>
      </c>
      <c r="F393" s="6" t="s">
        <v>74</v>
      </c>
      <c r="G393" s="6" t="s">
        <v>690</v>
      </c>
      <c r="H393" s="6">
        <v>14.0</v>
      </c>
      <c r="I393" s="6" t="s">
        <v>34</v>
      </c>
      <c r="J393" s="6" t="s">
        <v>691</v>
      </c>
      <c r="K393" s="11" t="s">
        <v>36</v>
      </c>
      <c r="L393" s="6"/>
      <c r="M393" s="6"/>
      <c r="N393" s="6" t="s">
        <v>340</v>
      </c>
      <c r="O393" s="6" t="s">
        <v>189</v>
      </c>
      <c r="P393" s="6" t="s">
        <v>546</v>
      </c>
      <c r="Q393" s="6" t="s">
        <v>399</v>
      </c>
      <c r="R393" s="66">
        <v>3855.0</v>
      </c>
      <c r="S393" s="17">
        <f>FRESADO!$R393*FRESADO!$E393</f>
        <v>3855</v>
      </c>
      <c r="T393" s="17">
        <f>FRESADO!$S393*16%</f>
        <v>616.8</v>
      </c>
      <c r="U393" s="17">
        <f>FRESADO!$S393+FRESADO!$T393</f>
        <v>4471.8</v>
      </c>
      <c r="V393" s="52" t="s">
        <v>291</v>
      </c>
      <c r="W393" s="52" t="s">
        <v>44</v>
      </c>
      <c r="X393" s="17"/>
      <c r="Y393" s="30"/>
      <c r="Z393" s="42" t="s">
        <v>399</v>
      </c>
    </row>
    <row r="394" ht="15.75" customHeight="1">
      <c r="A394" s="6">
        <v>27.0</v>
      </c>
      <c r="B394" s="6">
        <v>106.0</v>
      </c>
      <c r="C394" s="6">
        <v>744.0</v>
      </c>
      <c r="D394" s="25">
        <v>46207.0</v>
      </c>
      <c r="E394" s="6">
        <v>1.0</v>
      </c>
      <c r="F394" s="6" t="s">
        <v>74</v>
      </c>
      <c r="G394" s="6" t="s">
        <v>347</v>
      </c>
      <c r="H394" s="6">
        <v>14.0</v>
      </c>
      <c r="I394" s="6" t="s">
        <v>34</v>
      </c>
      <c r="J394" s="6" t="s">
        <v>70</v>
      </c>
      <c r="K394" s="11" t="s">
        <v>36</v>
      </c>
      <c r="L394" s="6"/>
      <c r="M394" s="6"/>
      <c r="N394" s="6" t="s">
        <v>340</v>
      </c>
      <c r="O394" s="6" t="s">
        <v>189</v>
      </c>
      <c r="P394" s="6" t="s">
        <v>546</v>
      </c>
      <c r="Q394" s="6"/>
      <c r="R394" s="66">
        <v>2500.0</v>
      </c>
      <c r="S394" s="17">
        <f>FRESADO!$R394*FRESADO!$E394</f>
        <v>2500</v>
      </c>
      <c r="T394" s="17">
        <f>FRESADO!$S394*16%</f>
        <v>400</v>
      </c>
      <c r="U394" s="17">
        <f>FRESADO!$S394+FRESADO!$T394</f>
        <v>2900</v>
      </c>
      <c r="V394" s="52" t="s">
        <v>291</v>
      </c>
      <c r="W394" s="52" t="s">
        <v>44</v>
      </c>
      <c r="X394" s="17"/>
      <c r="Y394" s="30"/>
      <c r="Z394" s="31" t="s">
        <v>77</v>
      </c>
    </row>
    <row r="395" ht="15.75" customHeight="1">
      <c r="A395" s="6">
        <v>27.0</v>
      </c>
      <c r="B395" s="6">
        <v>107.0</v>
      </c>
      <c r="C395" s="6">
        <v>745.0</v>
      </c>
      <c r="D395" s="25">
        <v>46207.0</v>
      </c>
      <c r="E395" s="6">
        <v>1.0</v>
      </c>
      <c r="F395" s="6" t="s">
        <v>74</v>
      </c>
      <c r="G395" s="6" t="s">
        <v>280</v>
      </c>
      <c r="H395" s="6">
        <v>14.0</v>
      </c>
      <c r="I395" s="6" t="s">
        <v>34</v>
      </c>
      <c r="J395" s="6" t="s">
        <v>272</v>
      </c>
      <c r="K395" s="11" t="s">
        <v>36</v>
      </c>
      <c r="L395" s="6"/>
      <c r="M395" s="6"/>
      <c r="N395" s="6" t="s">
        <v>340</v>
      </c>
      <c r="O395" s="6" t="s">
        <v>189</v>
      </c>
      <c r="P395" s="6" t="s">
        <v>546</v>
      </c>
      <c r="Q395" s="6"/>
      <c r="R395" s="66">
        <v>2500.0</v>
      </c>
      <c r="S395" s="17">
        <f>FRESADO!$R395*FRESADO!$E395</f>
        <v>2500</v>
      </c>
      <c r="T395" s="17">
        <f>FRESADO!$S395*16%</f>
        <v>400</v>
      </c>
      <c r="U395" s="17">
        <f>FRESADO!$S395+FRESADO!$T395</f>
        <v>2900</v>
      </c>
      <c r="V395" s="52" t="s">
        <v>291</v>
      </c>
      <c r="W395" s="52" t="s">
        <v>44</v>
      </c>
      <c r="X395" s="17"/>
      <c r="Y395" s="30"/>
      <c r="Z395" s="31" t="s">
        <v>77</v>
      </c>
    </row>
    <row r="396" ht="15.75" customHeight="1">
      <c r="A396" s="6">
        <v>27.0</v>
      </c>
      <c r="B396" s="6">
        <v>108.0</v>
      </c>
      <c r="C396" s="6">
        <v>746.0</v>
      </c>
      <c r="D396" s="25">
        <v>46207.0</v>
      </c>
      <c r="E396" s="6">
        <v>1.0</v>
      </c>
      <c r="F396" s="6" t="s">
        <v>74</v>
      </c>
      <c r="G396" s="6" t="s">
        <v>238</v>
      </c>
      <c r="H396" s="6">
        <v>14.0</v>
      </c>
      <c r="I396" s="6" t="s">
        <v>34</v>
      </c>
      <c r="J396" s="6" t="s">
        <v>89</v>
      </c>
      <c r="K396" s="11" t="s">
        <v>36</v>
      </c>
      <c r="L396" s="6"/>
      <c r="M396" s="6"/>
      <c r="N396" s="6" t="s">
        <v>340</v>
      </c>
      <c r="O396" s="6" t="s">
        <v>189</v>
      </c>
      <c r="P396" s="6" t="s">
        <v>546</v>
      </c>
      <c r="Q396" s="6"/>
      <c r="R396" s="66">
        <v>2500.0</v>
      </c>
      <c r="S396" s="17">
        <f>FRESADO!$R396*FRESADO!$E396</f>
        <v>2500</v>
      </c>
      <c r="T396" s="17">
        <f>FRESADO!$S396*16%</f>
        <v>400</v>
      </c>
      <c r="U396" s="17">
        <f>FRESADO!$S396+FRESADO!$T396</f>
        <v>2900</v>
      </c>
      <c r="V396" s="52" t="s">
        <v>291</v>
      </c>
      <c r="W396" s="52" t="s">
        <v>44</v>
      </c>
      <c r="X396" s="17"/>
      <c r="Y396" s="30"/>
      <c r="Z396" s="31" t="s">
        <v>77</v>
      </c>
    </row>
    <row r="397" ht="15.75" customHeight="1">
      <c r="A397" s="6">
        <v>27.0</v>
      </c>
      <c r="B397" s="6">
        <v>109.0</v>
      </c>
      <c r="C397" s="115">
        <v>747.0</v>
      </c>
      <c r="D397" s="116">
        <v>46207.0</v>
      </c>
      <c r="E397" s="6">
        <v>1.0</v>
      </c>
      <c r="F397" s="6" t="s">
        <v>74</v>
      </c>
      <c r="G397" s="6" t="s">
        <v>674</v>
      </c>
      <c r="H397" s="6">
        <v>14.0</v>
      </c>
      <c r="I397" s="6" t="s">
        <v>34</v>
      </c>
      <c r="J397" s="6" t="s">
        <v>118</v>
      </c>
      <c r="K397" s="34" t="s">
        <v>50</v>
      </c>
      <c r="L397" s="6"/>
      <c r="M397" s="6"/>
      <c r="N397" s="6" t="s">
        <v>398</v>
      </c>
      <c r="O397" s="6" t="s">
        <v>189</v>
      </c>
      <c r="P397" s="6" t="s">
        <v>546</v>
      </c>
      <c r="Q397" s="6" t="s">
        <v>399</v>
      </c>
      <c r="R397" s="66">
        <v>2900.0</v>
      </c>
      <c r="S397" s="17">
        <f>FRESADO!$R397*FRESADO!$E397</f>
        <v>2900</v>
      </c>
      <c r="T397" s="17">
        <f>FRESADO!$S397*16%</f>
        <v>464</v>
      </c>
      <c r="U397" s="17">
        <f>FRESADO!$S397+FRESADO!$T397</f>
        <v>3364</v>
      </c>
      <c r="V397" s="52" t="s">
        <v>110</v>
      </c>
      <c r="W397" s="52" t="s">
        <v>44</v>
      </c>
      <c r="X397" s="34" t="s">
        <v>335</v>
      </c>
      <c r="Y397" s="30"/>
      <c r="Z397" s="89" t="s">
        <v>399</v>
      </c>
    </row>
    <row r="398" ht="15.75" customHeight="1">
      <c r="A398" s="6">
        <v>27.0</v>
      </c>
      <c r="B398" s="6">
        <v>110.0</v>
      </c>
      <c r="C398" s="6">
        <v>748.0</v>
      </c>
      <c r="D398" s="25">
        <v>46207.0</v>
      </c>
      <c r="E398" s="6">
        <v>1.0</v>
      </c>
      <c r="F398" s="6" t="s">
        <v>74</v>
      </c>
      <c r="G398" s="6" t="s">
        <v>280</v>
      </c>
      <c r="H398" s="6">
        <v>14.0</v>
      </c>
      <c r="I398" s="6" t="s">
        <v>34</v>
      </c>
      <c r="J398" s="6" t="s">
        <v>272</v>
      </c>
      <c r="K398" s="11" t="s">
        <v>36</v>
      </c>
      <c r="L398" s="6"/>
      <c r="M398" s="6"/>
      <c r="N398" s="6" t="s">
        <v>340</v>
      </c>
      <c r="O398" s="6" t="s">
        <v>189</v>
      </c>
      <c r="P398" s="6" t="s">
        <v>546</v>
      </c>
      <c r="Q398" s="6"/>
      <c r="R398" s="66">
        <v>2500.0</v>
      </c>
      <c r="S398" s="17">
        <f>FRESADO!$R398*FRESADO!$E398</f>
        <v>2500</v>
      </c>
      <c r="T398" s="17">
        <f>FRESADO!$S398*16%</f>
        <v>400</v>
      </c>
      <c r="U398" s="17">
        <f>FRESADO!$S398+FRESADO!$T398</f>
        <v>2900</v>
      </c>
      <c r="V398" s="52" t="s">
        <v>291</v>
      </c>
      <c r="W398" s="52" t="s">
        <v>44</v>
      </c>
      <c r="X398" s="17"/>
      <c r="Y398" s="30"/>
      <c r="Z398" s="31" t="s">
        <v>77</v>
      </c>
    </row>
    <row r="399" ht="15.75" customHeight="1">
      <c r="A399" s="6">
        <v>27.0</v>
      </c>
      <c r="B399" s="6">
        <v>111.0</v>
      </c>
      <c r="C399" s="6">
        <v>749.0</v>
      </c>
      <c r="D399" s="25">
        <v>46207.0</v>
      </c>
      <c r="E399" s="6">
        <v>1.0</v>
      </c>
      <c r="F399" s="6" t="s">
        <v>74</v>
      </c>
      <c r="G399" s="6" t="s">
        <v>238</v>
      </c>
      <c r="H399" s="6">
        <v>14.0</v>
      </c>
      <c r="I399" s="6" t="s">
        <v>34</v>
      </c>
      <c r="J399" s="6" t="s">
        <v>89</v>
      </c>
      <c r="K399" s="11" t="s">
        <v>36</v>
      </c>
      <c r="L399" s="6"/>
      <c r="M399" s="6"/>
      <c r="N399" s="6" t="s">
        <v>340</v>
      </c>
      <c r="O399" s="6" t="s">
        <v>189</v>
      </c>
      <c r="P399" s="6" t="s">
        <v>546</v>
      </c>
      <c r="Q399" s="6"/>
      <c r="R399" s="66">
        <v>2500.0</v>
      </c>
      <c r="S399" s="17">
        <f>FRESADO!$R399*FRESADO!$E399</f>
        <v>2500</v>
      </c>
      <c r="T399" s="17">
        <f>FRESADO!$S399*16%</f>
        <v>400</v>
      </c>
      <c r="U399" s="17">
        <f>FRESADO!$S399+FRESADO!$T399</f>
        <v>2900</v>
      </c>
      <c r="V399" s="52" t="s">
        <v>291</v>
      </c>
      <c r="W399" s="52" t="s">
        <v>44</v>
      </c>
      <c r="X399" s="17"/>
      <c r="Y399" s="30"/>
      <c r="Z399" s="31" t="s">
        <v>77</v>
      </c>
    </row>
    <row r="400" ht="15.75" customHeight="1">
      <c r="A400" s="6">
        <v>27.0</v>
      </c>
      <c r="B400" s="6">
        <v>112.0</v>
      </c>
      <c r="C400" s="6">
        <v>1251.0</v>
      </c>
      <c r="D400" s="25">
        <v>46207.0</v>
      </c>
      <c r="E400" s="6">
        <v>1.0</v>
      </c>
      <c r="F400" s="6" t="s">
        <v>74</v>
      </c>
      <c r="G400" s="6" t="s">
        <v>347</v>
      </c>
      <c r="H400" s="6">
        <v>14.0</v>
      </c>
      <c r="I400" s="6" t="s">
        <v>34</v>
      </c>
      <c r="J400" s="6" t="s">
        <v>70</v>
      </c>
      <c r="K400" s="11" t="s">
        <v>36</v>
      </c>
      <c r="L400" s="6"/>
      <c r="M400" s="6"/>
      <c r="N400" s="6" t="s">
        <v>340</v>
      </c>
      <c r="O400" s="6" t="s">
        <v>189</v>
      </c>
      <c r="P400" s="6" t="s">
        <v>546</v>
      </c>
      <c r="Q400" s="6"/>
      <c r="R400" s="66">
        <v>2500.0</v>
      </c>
      <c r="S400" s="17">
        <f>FRESADO!$R400*FRESADO!$E400</f>
        <v>2500</v>
      </c>
      <c r="T400" s="17">
        <f>FRESADO!$S400*16%</f>
        <v>400</v>
      </c>
      <c r="U400" s="17">
        <f>FRESADO!$S400+FRESADO!$T400</f>
        <v>2900</v>
      </c>
      <c r="V400" s="52" t="s">
        <v>291</v>
      </c>
      <c r="W400" s="52" t="s">
        <v>44</v>
      </c>
      <c r="X400" s="17"/>
      <c r="Y400" s="30"/>
      <c r="Z400" s="31" t="s">
        <v>77</v>
      </c>
    </row>
    <row r="401" ht="15.75" customHeight="1">
      <c r="A401" s="6">
        <v>27.0</v>
      </c>
      <c r="B401" s="6">
        <v>113.0</v>
      </c>
      <c r="C401" s="119">
        <v>1252.0</v>
      </c>
      <c r="D401" s="116">
        <v>46207.0</v>
      </c>
      <c r="E401" s="6">
        <v>1.0</v>
      </c>
      <c r="F401" s="6" t="s">
        <v>74</v>
      </c>
      <c r="G401" s="6" t="s">
        <v>555</v>
      </c>
      <c r="H401" s="6">
        <v>14.0</v>
      </c>
      <c r="I401" s="6" t="s">
        <v>34</v>
      </c>
      <c r="J401" s="6" t="s">
        <v>885</v>
      </c>
      <c r="K401" s="34" t="s">
        <v>50</v>
      </c>
      <c r="L401" s="6"/>
      <c r="M401" s="6"/>
      <c r="N401" s="6" t="s">
        <v>398</v>
      </c>
      <c r="O401" s="6" t="s">
        <v>189</v>
      </c>
      <c r="P401" s="6" t="s">
        <v>546</v>
      </c>
      <c r="Q401" s="6" t="s">
        <v>399</v>
      </c>
      <c r="R401" s="66">
        <v>2900.0</v>
      </c>
      <c r="S401" s="17">
        <f>FRESADO!$R401*FRESADO!$E401</f>
        <v>2900</v>
      </c>
      <c r="T401" s="17">
        <f>FRESADO!$S401*16%</f>
        <v>464</v>
      </c>
      <c r="U401" s="17">
        <f>FRESADO!$S401+FRESADO!$T401</f>
        <v>3364</v>
      </c>
      <c r="V401" s="52" t="s">
        <v>110</v>
      </c>
      <c r="W401" s="52" t="s">
        <v>44</v>
      </c>
      <c r="X401" s="34" t="s">
        <v>335</v>
      </c>
      <c r="Y401" s="30"/>
      <c r="Z401" s="89" t="s">
        <v>399</v>
      </c>
    </row>
    <row r="402" ht="15.75" customHeight="1">
      <c r="A402" s="6">
        <v>27.0</v>
      </c>
      <c r="B402" s="6">
        <v>114.0</v>
      </c>
      <c r="C402" s="6">
        <v>1253.0</v>
      </c>
      <c r="D402" s="25">
        <v>46207.0</v>
      </c>
      <c r="E402" s="6">
        <v>1.0</v>
      </c>
      <c r="F402" s="6" t="s">
        <v>74</v>
      </c>
      <c r="G402" s="6" t="s">
        <v>280</v>
      </c>
      <c r="H402" s="6">
        <v>14.0</v>
      </c>
      <c r="I402" s="6" t="s">
        <v>34</v>
      </c>
      <c r="J402" s="6" t="s">
        <v>272</v>
      </c>
      <c r="K402" s="11" t="s">
        <v>36</v>
      </c>
      <c r="L402" s="6"/>
      <c r="M402" s="6"/>
      <c r="N402" s="6" t="s">
        <v>340</v>
      </c>
      <c r="O402" s="6" t="s">
        <v>189</v>
      </c>
      <c r="P402" s="6" t="s">
        <v>546</v>
      </c>
      <c r="Q402" s="6"/>
      <c r="R402" s="66">
        <v>2500.0</v>
      </c>
      <c r="S402" s="17">
        <f>FRESADO!$R402*FRESADO!$E402</f>
        <v>2500</v>
      </c>
      <c r="T402" s="17">
        <f>FRESADO!$S402*16%</f>
        <v>400</v>
      </c>
      <c r="U402" s="17">
        <f>FRESADO!$S402+FRESADO!$T402</f>
        <v>2900</v>
      </c>
      <c r="V402" s="52" t="s">
        <v>291</v>
      </c>
      <c r="W402" s="52" t="s">
        <v>44</v>
      </c>
      <c r="X402" s="17"/>
      <c r="Y402" s="30"/>
      <c r="Z402" s="31" t="s">
        <v>77</v>
      </c>
    </row>
    <row r="403" ht="15.75" customHeight="1">
      <c r="A403" s="6">
        <v>27.0</v>
      </c>
      <c r="B403" s="6">
        <v>115.0</v>
      </c>
      <c r="C403" s="6">
        <v>1254.0</v>
      </c>
      <c r="D403" s="25">
        <v>46207.0</v>
      </c>
      <c r="E403" s="6">
        <v>1.0</v>
      </c>
      <c r="F403" s="6" t="s">
        <v>74</v>
      </c>
      <c r="G403" s="6" t="s">
        <v>238</v>
      </c>
      <c r="H403" s="6">
        <v>14.0</v>
      </c>
      <c r="I403" s="6" t="s">
        <v>34</v>
      </c>
      <c r="J403" s="6" t="s">
        <v>89</v>
      </c>
      <c r="K403" s="11" t="s">
        <v>36</v>
      </c>
      <c r="L403" s="6"/>
      <c r="M403" s="6"/>
      <c r="N403" s="6" t="s">
        <v>340</v>
      </c>
      <c r="O403" s="6" t="s">
        <v>189</v>
      </c>
      <c r="P403" s="6" t="s">
        <v>546</v>
      </c>
      <c r="Q403" s="6"/>
      <c r="R403" s="66">
        <v>2500.0</v>
      </c>
      <c r="S403" s="17">
        <f>FRESADO!$R403*FRESADO!$E403</f>
        <v>2500</v>
      </c>
      <c r="T403" s="17">
        <f>FRESADO!$S403*16%</f>
        <v>400</v>
      </c>
      <c r="U403" s="17">
        <f>FRESADO!$S403+FRESADO!$T403</f>
        <v>2900</v>
      </c>
      <c r="V403" s="52" t="s">
        <v>291</v>
      </c>
      <c r="W403" s="52" t="s">
        <v>44</v>
      </c>
      <c r="X403" s="17"/>
      <c r="Y403" s="30"/>
      <c r="Z403" s="31" t="s">
        <v>77</v>
      </c>
    </row>
    <row r="404" ht="15.75" customHeight="1">
      <c r="A404" s="6">
        <v>27.0</v>
      </c>
      <c r="B404" s="6">
        <v>116.0</v>
      </c>
      <c r="C404" s="115">
        <v>1255.0</v>
      </c>
      <c r="D404" s="116">
        <v>46207.0</v>
      </c>
      <c r="E404" s="6">
        <v>1.0</v>
      </c>
      <c r="F404" s="6" t="s">
        <v>388</v>
      </c>
      <c r="G404" s="6" t="s">
        <v>583</v>
      </c>
      <c r="H404" s="6">
        <v>7.0</v>
      </c>
      <c r="I404" s="6" t="s">
        <v>34</v>
      </c>
      <c r="J404" s="6" t="s">
        <v>584</v>
      </c>
      <c r="K404" s="34" t="s">
        <v>50</v>
      </c>
      <c r="L404" s="6"/>
      <c r="M404" s="6"/>
      <c r="N404" s="6" t="s">
        <v>340</v>
      </c>
      <c r="O404" s="6" t="s">
        <v>189</v>
      </c>
      <c r="P404" s="6" t="s">
        <v>546</v>
      </c>
      <c r="Q404" s="6" t="s">
        <v>390</v>
      </c>
      <c r="R404" s="66">
        <v>4500.0</v>
      </c>
      <c r="S404" s="17">
        <f>FRESADO!$R404*FRESADO!$E404</f>
        <v>4500</v>
      </c>
      <c r="T404" s="17">
        <f>FRESADO!$S404*16%</f>
        <v>720</v>
      </c>
      <c r="U404" s="17">
        <f>FRESADO!$S404+FRESADO!$T404</f>
        <v>5220</v>
      </c>
      <c r="V404" s="52" t="s">
        <v>110</v>
      </c>
      <c r="W404" s="52" t="s">
        <v>44</v>
      </c>
      <c r="X404" s="34" t="s">
        <v>335</v>
      </c>
      <c r="Y404" s="30"/>
      <c r="Z404" s="38"/>
    </row>
    <row r="405" ht="15.75" customHeight="1">
      <c r="A405" s="149">
        <v>28.0</v>
      </c>
      <c r="B405" s="149">
        <v>1.0</v>
      </c>
      <c r="C405" s="150">
        <v>1256.0</v>
      </c>
      <c r="D405" s="151">
        <v>46209.0</v>
      </c>
      <c r="E405" s="149">
        <f>1</f>
        <v>1</v>
      </c>
      <c r="F405" s="149" t="s">
        <v>74</v>
      </c>
      <c r="G405" s="149" t="s">
        <v>162</v>
      </c>
      <c r="H405" s="149">
        <v>14.0</v>
      </c>
      <c r="I405" s="149" t="s">
        <v>34</v>
      </c>
      <c r="J405" s="149" t="s">
        <v>83</v>
      </c>
      <c r="K405" s="11" t="s">
        <v>36</v>
      </c>
      <c r="L405" s="149"/>
      <c r="M405" s="149"/>
      <c r="N405" s="149" t="s">
        <v>398</v>
      </c>
      <c r="O405" s="149" t="s">
        <v>189</v>
      </c>
      <c r="P405" s="149" t="s">
        <v>546</v>
      </c>
      <c r="Q405" s="6" t="s">
        <v>399</v>
      </c>
      <c r="R405" s="152">
        <v>3355.0</v>
      </c>
      <c r="S405" s="17">
        <f>FRESADO!$R405*FRESADO!$E405</f>
        <v>3355</v>
      </c>
      <c r="T405" s="17">
        <f>FRESADO!$S405*16%</f>
        <v>536.8</v>
      </c>
      <c r="U405" s="17">
        <f>FRESADO!$S405+FRESADO!$T405</f>
        <v>3891.8</v>
      </c>
      <c r="V405" s="123" t="s">
        <v>376</v>
      </c>
      <c r="W405" s="123" t="s">
        <v>44</v>
      </c>
      <c r="X405" s="81"/>
      <c r="Y405" s="82"/>
      <c r="Z405" s="89" t="s">
        <v>399</v>
      </c>
    </row>
    <row r="406" ht="15.75" customHeight="1">
      <c r="A406" s="149">
        <v>28.0</v>
      </c>
      <c r="B406" s="149">
        <v>2.0</v>
      </c>
      <c r="C406" s="150">
        <v>1257.0</v>
      </c>
      <c r="D406" s="151">
        <v>46209.0</v>
      </c>
      <c r="E406" s="149">
        <v>1.0</v>
      </c>
      <c r="F406" s="149" t="s">
        <v>74</v>
      </c>
      <c r="G406" s="149" t="s">
        <v>374</v>
      </c>
      <c r="H406" s="149">
        <v>14.0</v>
      </c>
      <c r="I406" s="149" t="s">
        <v>34</v>
      </c>
      <c r="J406" s="149" t="s">
        <v>406</v>
      </c>
      <c r="K406" s="11" t="s">
        <v>36</v>
      </c>
      <c r="L406" s="149"/>
      <c r="M406" s="149"/>
      <c r="N406" s="149" t="s">
        <v>398</v>
      </c>
      <c r="O406" s="149" t="s">
        <v>189</v>
      </c>
      <c r="P406" s="149" t="s">
        <v>546</v>
      </c>
      <c r="Q406" s="6" t="s">
        <v>399</v>
      </c>
      <c r="R406" s="152">
        <v>3355.0</v>
      </c>
      <c r="S406" s="17">
        <f>FRESADO!$R406*FRESADO!$E406</f>
        <v>3355</v>
      </c>
      <c r="T406" s="17">
        <f>FRESADO!$S406*16%</f>
        <v>536.8</v>
      </c>
      <c r="U406" s="17">
        <f>FRESADO!$S406+FRESADO!$T406</f>
        <v>3891.8</v>
      </c>
      <c r="V406" s="123" t="s">
        <v>376</v>
      </c>
      <c r="W406" s="123" t="s">
        <v>44</v>
      </c>
      <c r="X406" s="81"/>
      <c r="Y406" s="82"/>
      <c r="Z406" s="89" t="s">
        <v>399</v>
      </c>
    </row>
    <row r="407" ht="15.75" customHeight="1">
      <c r="A407" s="149">
        <v>28.0</v>
      </c>
      <c r="B407" s="149">
        <v>3.0</v>
      </c>
      <c r="C407" s="150">
        <v>1258.0</v>
      </c>
      <c r="D407" s="151">
        <v>46209.0</v>
      </c>
      <c r="E407" s="149">
        <v>1.0</v>
      </c>
      <c r="F407" s="149" t="s">
        <v>74</v>
      </c>
      <c r="G407" s="149" t="s">
        <v>198</v>
      </c>
      <c r="H407" s="149">
        <v>14.0</v>
      </c>
      <c r="I407" s="149" t="s">
        <v>34</v>
      </c>
      <c r="J407" s="149" t="s">
        <v>694</v>
      </c>
      <c r="K407" s="11" t="s">
        <v>36</v>
      </c>
      <c r="L407" s="149"/>
      <c r="M407" s="149"/>
      <c r="N407" s="149" t="s">
        <v>398</v>
      </c>
      <c r="O407" s="149" t="s">
        <v>189</v>
      </c>
      <c r="P407" s="149" t="s">
        <v>546</v>
      </c>
      <c r="Q407" s="6" t="s">
        <v>399</v>
      </c>
      <c r="R407" s="152">
        <v>3355.0</v>
      </c>
      <c r="S407" s="17">
        <f>FRESADO!$R407*FRESADO!$E407</f>
        <v>3355</v>
      </c>
      <c r="T407" s="17">
        <f>FRESADO!$S407*16%</f>
        <v>536.8</v>
      </c>
      <c r="U407" s="17">
        <f>FRESADO!$S407+FRESADO!$T407</f>
        <v>3891.8</v>
      </c>
      <c r="V407" s="123" t="s">
        <v>376</v>
      </c>
      <c r="W407" s="123" t="s">
        <v>44</v>
      </c>
      <c r="X407" s="81"/>
      <c r="Y407" s="82"/>
      <c r="Z407" s="89" t="s">
        <v>399</v>
      </c>
    </row>
    <row r="408" ht="15.75" customHeight="1">
      <c r="A408" s="149">
        <v>28.0</v>
      </c>
      <c r="B408" s="149">
        <v>4.0</v>
      </c>
      <c r="C408" s="150">
        <v>1259.0</v>
      </c>
      <c r="D408" s="151">
        <v>46209.0</v>
      </c>
      <c r="E408" s="149">
        <v>1.0</v>
      </c>
      <c r="F408" s="149" t="s">
        <v>74</v>
      </c>
      <c r="G408" s="149" t="s">
        <v>479</v>
      </c>
      <c r="H408" s="149">
        <v>14.0</v>
      </c>
      <c r="I408" s="149" t="s">
        <v>34</v>
      </c>
      <c r="J408" s="149" t="s">
        <v>106</v>
      </c>
      <c r="K408" s="11" t="s">
        <v>36</v>
      </c>
      <c r="L408" s="149"/>
      <c r="M408" s="149"/>
      <c r="N408" s="149" t="s">
        <v>398</v>
      </c>
      <c r="O408" s="149" t="s">
        <v>189</v>
      </c>
      <c r="P408" s="149" t="s">
        <v>546</v>
      </c>
      <c r="Q408" s="6" t="s">
        <v>399</v>
      </c>
      <c r="R408" s="152">
        <v>3355.0</v>
      </c>
      <c r="S408" s="17">
        <f>FRESADO!$R408*FRESADO!$E408</f>
        <v>3355</v>
      </c>
      <c r="T408" s="17">
        <f>FRESADO!$S408*16%</f>
        <v>536.8</v>
      </c>
      <c r="U408" s="17">
        <f>FRESADO!$S408+FRESADO!$T408</f>
        <v>3891.8</v>
      </c>
      <c r="V408" s="123" t="s">
        <v>376</v>
      </c>
      <c r="W408" s="123" t="s">
        <v>44</v>
      </c>
      <c r="X408" s="81"/>
      <c r="Y408" s="82"/>
      <c r="Z408" s="89" t="s">
        <v>399</v>
      </c>
    </row>
    <row r="409" ht="15.75" customHeight="1">
      <c r="A409" s="149">
        <v>28.0</v>
      </c>
      <c r="B409" s="149">
        <v>5.0</v>
      </c>
      <c r="C409" s="150">
        <v>1260.0</v>
      </c>
      <c r="D409" s="151">
        <v>46209.0</v>
      </c>
      <c r="E409" s="149">
        <v>1.0</v>
      </c>
      <c r="F409" s="149" t="s">
        <v>74</v>
      </c>
      <c r="G409" s="149" t="s">
        <v>405</v>
      </c>
      <c r="H409" s="149">
        <v>14.0</v>
      </c>
      <c r="I409" s="149" t="s">
        <v>34</v>
      </c>
      <c r="J409" s="149" t="s">
        <v>662</v>
      </c>
      <c r="K409" s="11" t="s">
        <v>36</v>
      </c>
      <c r="L409" s="149"/>
      <c r="M409" s="149"/>
      <c r="N409" s="149" t="s">
        <v>398</v>
      </c>
      <c r="O409" s="149" t="s">
        <v>189</v>
      </c>
      <c r="P409" s="149" t="s">
        <v>546</v>
      </c>
      <c r="Q409" s="6" t="s">
        <v>399</v>
      </c>
      <c r="R409" s="152">
        <v>3355.0</v>
      </c>
      <c r="S409" s="17">
        <f>FRESADO!$R409*FRESADO!$E409</f>
        <v>3355</v>
      </c>
      <c r="T409" s="17">
        <f>FRESADO!$S409*16%</f>
        <v>536.8</v>
      </c>
      <c r="U409" s="17">
        <f>FRESADO!$S409+FRESADO!$T409</f>
        <v>3891.8</v>
      </c>
      <c r="V409" s="123" t="s">
        <v>376</v>
      </c>
      <c r="W409" s="123" t="s">
        <v>44</v>
      </c>
      <c r="X409" s="81"/>
      <c r="Y409" s="82"/>
      <c r="Z409" s="89" t="s">
        <v>399</v>
      </c>
    </row>
    <row r="410" ht="15.75" customHeight="1">
      <c r="A410" s="149">
        <v>28.0</v>
      </c>
      <c r="B410" s="149">
        <v>6.0</v>
      </c>
      <c r="C410" s="150">
        <v>1261.0</v>
      </c>
      <c r="D410" s="151">
        <v>46209.0</v>
      </c>
      <c r="E410" s="149">
        <v>1.0</v>
      </c>
      <c r="F410" s="149" t="s">
        <v>74</v>
      </c>
      <c r="G410" s="149" t="s">
        <v>162</v>
      </c>
      <c r="H410" s="149">
        <v>14.0</v>
      </c>
      <c r="I410" s="149" t="s">
        <v>34</v>
      </c>
      <c r="J410" s="149" t="s">
        <v>83</v>
      </c>
      <c r="K410" s="11" t="s">
        <v>36</v>
      </c>
      <c r="L410" s="149"/>
      <c r="M410" s="149"/>
      <c r="N410" s="149" t="s">
        <v>398</v>
      </c>
      <c r="O410" s="149" t="s">
        <v>189</v>
      </c>
      <c r="P410" s="149" t="s">
        <v>546</v>
      </c>
      <c r="Q410" s="6" t="s">
        <v>399</v>
      </c>
      <c r="R410" s="152">
        <v>3355.0</v>
      </c>
      <c r="S410" s="17">
        <f>FRESADO!$R410*FRESADO!$E410</f>
        <v>3355</v>
      </c>
      <c r="T410" s="17">
        <f>FRESADO!$S410*16%</f>
        <v>536.8</v>
      </c>
      <c r="U410" s="17">
        <f>FRESADO!$S410+FRESADO!$T410</f>
        <v>3891.8</v>
      </c>
      <c r="V410" s="123" t="s">
        <v>376</v>
      </c>
      <c r="W410" s="123" t="s">
        <v>44</v>
      </c>
      <c r="X410" s="81"/>
      <c r="Y410" s="82"/>
      <c r="Z410" s="89" t="s">
        <v>399</v>
      </c>
    </row>
    <row r="411" ht="15.75" customHeight="1">
      <c r="A411" s="149">
        <v>28.0</v>
      </c>
      <c r="B411" s="149">
        <v>7.0</v>
      </c>
      <c r="C411" s="150">
        <v>1262.0</v>
      </c>
      <c r="D411" s="151">
        <v>46209.0</v>
      </c>
      <c r="E411" s="149">
        <v>1.0</v>
      </c>
      <c r="F411" s="149" t="s">
        <v>74</v>
      </c>
      <c r="G411" s="149" t="s">
        <v>374</v>
      </c>
      <c r="H411" s="149">
        <v>14.0</v>
      </c>
      <c r="I411" s="149" t="s">
        <v>34</v>
      </c>
      <c r="J411" s="149" t="s">
        <v>406</v>
      </c>
      <c r="K411" s="11" t="s">
        <v>36</v>
      </c>
      <c r="L411" s="149"/>
      <c r="M411" s="149"/>
      <c r="N411" s="149" t="s">
        <v>398</v>
      </c>
      <c r="O411" s="149" t="s">
        <v>189</v>
      </c>
      <c r="P411" s="149" t="s">
        <v>546</v>
      </c>
      <c r="Q411" s="6" t="s">
        <v>399</v>
      </c>
      <c r="R411" s="152">
        <v>3355.0</v>
      </c>
      <c r="S411" s="17">
        <f>FRESADO!$R411*FRESADO!$E411</f>
        <v>3355</v>
      </c>
      <c r="T411" s="17">
        <f>FRESADO!$S411*16%</f>
        <v>536.8</v>
      </c>
      <c r="U411" s="17">
        <f>FRESADO!$S411+FRESADO!$T411</f>
        <v>3891.8</v>
      </c>
      <c r="V411" s="123" t="s">
        <v>376</v>
      </c>
      <c r="W411" s="123" t="s">
        <v>44</v>
      </c>
      <c r="X411" s="81"/>
      <c r="Y411" s="82"/>
      <c r="Z411" s="89" t="s">
        <v>399</v>
      </c>
    </row>
    <row r="412" ht="15.75" customHeight="1">
      <c r="A412" s="149">
        <v>28.0</v>
      </c>
      <c r="B412" s="149">
        <v>8.0</v>
      </c>
      <c r="C412" s="150">
        <v>1263.0</v>
      </c>
      <c r="D412" s="151">
        <v>46209.0</v>
      </c>
      <c r="E412" s="149">
        <v>1.0</v>
      </c>
      <c r="F412" s="149" t="s">
        <v>74</v>
      </c>
      <c r="G412" s="149" t="s">
        <v>198</v>
      </c>
      <c r="H412" s="149">
        <v>14.0</v>
      </c>
      <c r="I412" s="149" t="s">
        <v>34</v>
      </c>
      <c r="J412" s="149" t="s">
        <v>694</v>
      </c>
      <c r="K412" s="11" t="s">
        <v>36</v>
      </c>
      <c r="L412" s="149"/>
      <c r="M412" s="149"/>
      <c r="N412" s="149" t="s">
        <v>398</v>
      </c>
      <c r="O412" s="149" t="s">
        <v>189</v>
      </c>
      <c r="P412" s="149" t="s">
        <v>546</v>
      </c>
      <c r="Q412" s="6" t="s">
        <v>399</v>
      </c>
      <c r="R412" s="152">
        <v>3355.0</v>
      </c>
      <c r="S412" s="17">
        <f>FRESADO!$R412*FRESADO!$E412</f>
        <v>3355</v>
      </c>
      <c r="T412" s="17">
        <f>FRESADO!$S412*16%</f>
        <v>536.8</v>
      </c>
      <c r="U412" s="17">
        <f>FRESADO!$S412+FRESADO!$T412</f>
        <v>3891.8</v>
      </c>
      <c r="V412" s="123" t="s">
        <v>376</v>
      </c>
      <c r="W412" s="123" t="s">
        <v>44</v>
      </c>
      <c r="X412" s="81"/>
      <c r="Y412" s="82"/>
      <c r="Z412" s="89" t="s">
        <v>399</v>
      </c>
    </row>
    <row r="413" ht="15.75" customHeight="1">
      <c r="A413" s="149">
        <v>28.0</v>
      </c>
      <c r="B413" s="149">
        <v>9.0</v>
      </c>
      <c r="C413" s="150">
        <v>1264.0</v>
      </c>
      <c r="D413" s="151">
        <v>46209.0</v>
      </c>
      <c r="E413" s="149">
        <v>1.0</v>
      </c>
      <c r="F413" s="149" t="s">
        <v>74</v>
      </c>
      <c r="G413" s="149" t="s">
        <v>479</v>
      </c>
      <c r="H413" s="149">
        <v>14.0</v>
      </c>
      <c r="I413" s="149" t="s">
        <v>34</v>
      </c>
      <c r="J413" s="149" t="s">
        <v>106</v>
      </c>
      <c r="K413" s="11" t="s">
        <v>36</v>
      </c>
      <c r="L413" s="149"/>
      <c r="M413" s="149"/>
      <c r="N413" s="149" t="s">
        <v>398</v>
      </c>
      <c r="O413" s="149" t="s">
        <v>189</v>
      </c>
      <c r="P413" s="149" t="s">
        <v>546</v>
      </c>
      <c r="Q413" s="6" t="s">
        <v>399</v>
      </c>
      <c r="R413" s="152">
        <v>3355.0</v>
      </c>
      <c r="S413" s="17">
        <f>FRESADO!$R413*FRESADO!$E413</f>
        <v>3355</v>
      </c>
      <c r="T413" s="17">
        <f>FRESADO!$S413*16%</f>
        <v>536.8</v>
      </c>
      <c r="U413" s="17">
        <f>FRESADO!$S413+FRESADO!$T413</f>
        <v>3891.8</v>
      </c>
      <c r="V413" s="123" t="s">
        <v>376</v>
      </c>
      <c r="W413" s="123" t="s">
        <v>44</v>
      </c>
      <c r="X413" s="81"/>
      <c r="Y413" s="82"/>
      <c r="Z413" s="89" t="s">
        <v>399</v>
      </c>
    </row>
    <row r="414" ht="15.75" customHeight="1">
      <c r="A414" s="149">
        <v>28.0</v>
      </c>
      <c r="B414" s="149">
        <v>10.0</v>
      </c>
      <c r="C414" s="150">
        <v>1265.0</v>
      </c>
      <c r="D414" s="151">
        <v>46209.0</v>
      </c>
      <c r="E414" s="149">
        <v>1.0</v>
      </c>
      <c r="F414" s="149" t="s">
        <v>74</v>
      </c>
      <c r="G414" s="149" t="s">
        <v>405</v>
      </c>
      <c r="H414" s="149">
        <v>14.0</v>
      </c>
      <c r="I414" s="149" t="s">
        <v>34</v>
      </c>
      <c r="J414" s="149" t="s">
        <v>662</v>
      </c>
      <c r="K414" s="11" t="s">
        <v>36</v>
      </c>
      <c r="L414" s="149"/>
      <c r="M414" s="149"/>
      <c r="N414" s="149" t="s">
        <v>398</v>
      </c>
      <c r="O414" s="149" t="s">
        <v>189</v>
      </c>
      <c r="P414" s="149" t="s">
        <v>546</v>
      </c>
      <c r="Q414" s="6" t="s">
        <v>399</v>
      </c>
      <c r="R414" s="152">
        <v>3355.0</v>
      </c>
      <c r="S414" s="17">
        <f>FRESADO!$R414*FRESADO!$E414</f>
        <v>3355</v>
      </c>
      <c r="T414" s="17">
        <f>FRESADO!$S414*16%</f>
        <v>536.8</v>
      </c>
      <c r="U414" s="17">
        <f>FRESADO!$S414+FRESADO!$T414</f>
        <v>3891.8</v>
      </c>
      <c r="V414" s="123" t="s">
        <v>376</v>
      </c>
      <c r="W414" s="123" t="s">
        <v>44</v>
      </c>
      <c r="X414" s="81"/>
      <c r="Y414" s="82"/>
      <c r="Z414" s="89" t="s">
        <v>399</v>
      </c>
    </row>
    <row r="415" ht="15.75" customHeight="1">
      <c r="A415" s="153">
        <v>28.0</v>
      </c>
      <c r="B415" s="153">
        <v>11.0</v>
      </c>
      <c r="C415" s="153">
        <v>1266.0</v>
      </c>
      <c r="D415" s="154">
        <v>46209.0</v>
      </c>
      <c r="E415" s="153">
        <v>0.0</v>
      </c>
      <c r="F415" s="56" t="s">
        <v>182</v>
      </c>
      <c r="G415" s="54">
        <v>0.0</v>
      </c>
      <c r="H415" s="54">
        <v>0.0</v>
      </c>
      <c r="I415" s="54" t="s">
        <v>40</v>
      </c>
      <c r="J415" s="54" t="s">
        <v>183</v>
      </c>
      <c r="K415" s="56" t="s">
        <v>49</v>
      </c>
      <c r="L415" s="153"/>
      <c r="M415" s="153"/>
      <c r="N415" s="153"/>
      <c r="O415" s="153"/>
      <c r="P415" s="153"/>
      <c r="Q415" s="56" t="s">
        <v>182</v>
      </c>
      <c r="R415" s="59">
        <v>0.0</v>
      </c>
      <c r="S415" s="81">
        <f>FRESADO!$R415*FRESADO!$E415</f>
        <v>0</v>
      </c>
      <c r="T415" s="81">
        <f>FRESADO!$S415*16%</f>
        <v>0</v>
      </c>
      <c r="U415" s="81">
        <f>FRESADO!$S415+FRESADO!$T415</f>
        <v>0</v>
      </c>
      <c r="V415" s="56" t="s">
        <v>182</v>
      </c>
      <c r="W415" s="81"/>
      <c r="X415" s="81"/>
      <c r="Y415" s="82"/>
      <c r="Z415" s="83"/>
    </row>
    <row r="416" ht="15.75" customHeight="1">
      <c r="A416" s="149">
        <v>28.0</v>
      </c>
      <c r="B416" s="149">
        <v>12.0</v>
      </c>
      <c r="C416" s="150">
        <v>1267.0</v>
      </c>
      <c r="D416" s="151">
        <v>46209.0</v>
      </c>
      <c r="E416" s="149">
        <v>1.0</v>
      </c>
      <c r="F416" s="149" t="s">
        <v>74</v>
      </c>
      <c r="G416" s="149" t="s">
        <v>347</v>
      </c>
      <c r="H416" s="149">
        <v>14.0</v>
      </c>
      <c r="I416" s="149" t="s">
        <v>34</v>
      </c>
      <c r="J416" s="149" t="s">
        <v>70</v>
      </c>
      <c r="K416" s="11" t="s">
        <v>36</v>
      </c>
      <c r="L416" s="149"/>
      <c r="M416" s="149"/>
      <c r="N416" s="149" t="s">
        <v>340</v>
      </c>
      <c r="O416" s="149" t="s">
        <v>189</v>
      </c>
      <c r="P416" s="149" t="s">
        <v>546</v>
      </c>
      <c r="Q416" s="88"/>
      <c r="R416" s="152">
        <v>2500.0</v>
      </c>
      <c r="S416" s="17">
        <f>FRESADO!$R416*FRESADO!$E416</f>
        <v>2500</v>
      </c>
      <c r="T416" s="17">
        <f>FRESADO!$S416*16%</f>
        <v>400</v>
      </c>
      <c r="U416" s="17">
        <f>FRESADO!$S416+FRESADO!$T416</f>
        <v>2900</v>
      </c>
      <c r="V416" s="123" t="s">
        <v>376</v>
      </c>
      <c r="W416" s="123" t="s">
        <v>44</v>
      </c>
      <c r="X416" s="81"/>
      <c r="Y416" s="82"/>
      <c r="Z416" s="31" t="s">
        <v>77</v>
      </c>
    </row>
    <row r="417" ht="15.75" customHeight="1">
      <c r="A417" s="149">
        <v>28.0</v>
      </c>
      <c r="B417" s="149">
        <v>13.0</v>
      </c>
      <c r="C417" s="150">
        <v>1268.0</v>
      </c>
      <c r="D417" s="151">
        <v>46209.0</v>
      </c>
      <c r="E417" s="149">
        <f>1</f>
        <v>1</v>
      </c>
      <c r="F417" s="149" t="s">
        <v>74</v>
      </c>
      <c r="G417" s="149" t="s">
        <v>280</v>
      </c>
      <c r="H417" s="149">
        <v>14.0</v>
      </c>
      <c r="I417" s="149" t="s">
        <v>34</v>
      </c>
      <c r="J417" s="149" t="s">
        <v>272</v>
      </c>
      <c r="K417" s="11" t="s">
        <v>36</v>
      </c>
      <c r="L417" s="149"/>
      <c r="M417" s="149"/>
      <c r="N417" s="149" t="s">
        <v>340</v>
      </c>
      <c r="O417" s="149" t="s">
        <v>189</v>
      </c>
      <c r="P417" s="149" t="s">
        <v>546</v>
      </c>
      <c r="Q417" s="88"/>
      <c r="R417" s="152">
        <v>2500.0</v>
      </c>
      <c r="S417" s="17">
        <f>FRESADO!$R417*FRESADO!$E417</f>
        <v>2500</v>
      </c>
      <c r="T417" s="17">
        <f>FRESADO!$S417*16%</f>
        <v>400</v>
      </c>
      <c r="U417" s="17">
        <f>FRESADO!$S417+FRESADO!$T417</f>
        <v>2900</v>
      </c>
      <c r="V417" s="123" t="s">
        <v>376</v>
      </c>
      <c r="W417" s="123" t="s">
        <v>44</v>
      </c>
      <c r="X417" s="81"/>
      <c r="Y417" s="82"/>
      <c r="Z417" s="31" t="s">
        <v>77</v>
      </c>
    </row>
    <row r="418" ht="15.75" customHeight="1">
      <c r="A418" s="149">
        <v>28.0</v>
      </c>
      <c r="B418" s="149">
        <v>14.0</v>
      </c>
      <c r="C418" s="150">
        <v>1269.0</v>
      </c>
      <c r="D418" s="151">
        <v>46209.0</v>
      </c>
      <c r="E418" s="149">
        <v>1.0</v>
      </c>
      <c r="F418" s="149" t="s">
        <v>74</v>
      </c>
      <c r="G418" s="149" t="s">
        <v>690</v>
      </c>
      <c r="H418" s="149">
        <v>14.0</v>
      </c>
      <c r="I418" s="149" t="s">
        <v>34</v>
      </c>
      <c r="J418" s="149" t="s">
        <v>691</v>
      </c>
      <c r="K418" s="11" t="s">
        <v>36</v>
      </c>
      <c r="L418" s="149"/>
      <c r="M418" s="149"/>
      <c r="N418" s="149" t="s">
        <v>340</v>
      </c>
      <c r="O418" s="149" t="s">
        <v>189</v>
      </c>
      <c r="P418" s="149" t="s">
        <v>546</v>
      </c>
      <c r="Q418" s="88"/>
      <c r="R418" s="152">
        <v>2500.0</v>
      </c>
      <c r="S418" s="17">
        <f>FRESADO!$R418*FRESADO!$E418</f>
        <v>2500</v>
      </c>
      <c r="T418" s="17">
        <f>FRESADO!$S418*16%</f>
        <v>400</v>
      </c>
      <c r="U418" s="17">
        <f>FRESADO!$S418+FRESADO!$T418</f>
        <v>2900</v>
      </c>
      <c r="V418" s="123" t="s">
        <v>376</v>
      </c>
      <c r="W418" s="123" t="s">
        <v>44</v>
      </c>
      <c r="X418" s="81"/>
      <c r="Y418" s="82"/>
      <c r="Z418" s="31" t="s">
        <v>77</v>
      </c>
    </row>
    <row r="419" ht="15.75" customHeight="1">
      <c r="A419" s="149">
        <v>28.0</v>
      </c>
      <c r="B419" s="149">
        <v>15.0</v>
      </c>
      <c r="C419" s="150">
        <v>1270.0</v>
      </c>
      <c r="D419" s="151">
        <v>46209.0</v>
      </c>
      <c r="E419" s="149">
        <v>1.0</v>
      </c>
      <c r="F419" s="149" t="s">
        <v>74</v>
      </c>
      <c r="G419" s="149" t="s">
        <v>347</v>
      </c>
      <c r="H419" s="149">
        <v>14.0</v>
      </c>
      <c r="I419" s="149" t="s">
        <v>34</v>
      </c>
      <c r="J419" s="149" t="s">
        <v>70</v>
      </c>
      <c r="K419" s="11" t="s">
        <v>36</v>
      </c>
      <c r="L419" s="149"/>
      <c r="M419" s="149"/>
      <c r="N419" s="149" t="s">
        <v>340</v>
      </c>
      <c r="O419" s="149" t="s">
        <v>189</v>
      </c>
      <c r="P419" s="149" t="s">
        <v>546</v>
      </c>
      <c r="Q419" s="88"/>
      <c r="R419" s="152">
        <v>2500.0</v>
      </c>
      <c r="S419" s="17">
        <f>FRESADO!$R419*FRESADO!$E419</f>
        <v>2500</v>
      </c>
      <c r="T419" s="17">
        <f>FRESADO!$S419*16%</f>
        <v>400</v>
      </c>
      <c r="U419" s="17">
        <f>FRESADO!$S419+FRESADO!$T419</f>
        <v>2900</v>
      </c>
      <c r="V419" s="123" t="s">
        <v>376</v>
      </c>
      <c r="W419" s="123" t="s">
        <v>44</v>
      </c>
      <c r="X419" s="81"/>
      <c r="Y419" s="82"/>
      <c r="Z419" s="31" t="s">
        <v>77</v>
      </c>
    </row>
    <row r="420" ht="15.75" customHeight="1">
      <c r="A420" s="149">
        <v>28.0</v>
      </c>
      <c r="B420" s="149">
        <v>16.0</v>
      </c>
      <c r="C420" s="150">
        <v>1271.0</v>
      </c>
      <c r="D420" s="151">
        <v>46209.0</v>
      </c>
      <c r="E420" s="149">
        <v>1.0</v>
      </c>
      <c r="F420" s="149" t="s">
        <v>74</v>
      </c>
      <c r="G420" s="149" t="s">
        <v>280</v>
      </c>
      <c r="H420" s="149">
        <v>14.0</v>
      </c>
      <c r="I420" s="149" t="s">
        <v>34</v>
      </c>
      <c r="J420" s="149" t="s">
        <v>272</v>
      </c>
      <c r="K420" s="11" t="s">
        <v>36</v>
      </c>
      <c r="L420" s="149"/>
      <c r="M420" s="149"/>
      <c r="N420" s="149" t="s">
        <v>340</v>
      </c>
      <c r="O420" s="149" t="s">
        <v>189</v>
      </c>
      <c r="P420" s="149" t="s">
        <v>546</v>
      </c>
      <c r="Q420" s="88"/>
      <c r="R420" s="152">
        <v>2500.0</v>
      </c>
      <c r="S420" s="17">
        <f>FRESADO!$R420*FRESADO!$E420</f>
        <v>2500</v>
      </c>
      <c r="T420" s="17">
        <f>FRESADO!$S420*16%</f>
        <v>400</v>
      </c>
      <c r="U420" s="17">
        <f>FRESADO!$S420+FRESADO!$T420</f>
        <v>2900</v>
      </c>
      <c r="V420" s="123" t="s">
        <v>376</v>
      </c>
      <c r="W420" s="123" t="s">
        <v>44</v>
      </c>
      <c r="X420" s="81"/>
      <c r="Y420" s="82"/>
      <c r="Z420" s="31" t="s">
        <v>77</v>
      </c>
    </row>
    <row r="421" ht="15.75" customHeight="1">
      <c r="A421" s="149">
        <v>28.0</v>
      </c>
      <c r="B421" s="149">
        <v>17.0</v>
      </c>
      <c r="C421" s="150">
        <v>1272.0</v>
      </c>
      <c r="D421" s="151">
        <v>46209.0</v>
      </c>
      <c r="E421" s="149">
        <v>1.0</v>
      </c>
      <c r="F421" s="149" t="s">
        <v>74</v>
      </c>
      <c r="G421" s="149" t="s">
        <v>690</v>
      </c>
      <c r="H421" s="149">
        <v>14.0</v>
      </c>
      <c r="I421" s="149" t="s">
        <v>34</v>
      </c>
      <c r="J421" s="149" t="s">
        <v>691</v>
      </c>
      <c r="K421" s="11" t="s">
        <v>36</v>
      </c>
      <c r="L421" s="149"/>
      <c r="M421" s="149"/>
      <c r="N421" s="149" t="s">
        <v>340</v>
      </c>
      <c r="O421" s="149" t="s">
        <v>189</v>
      </c>
      <c r="P421" s="149" t="s">
        <v>546</v>
      </c>
      <c r="Q421" s="88"/>
      <c r="R421" s="152">
        <v>2500.0</v>
      </c>
      <c r="S421" s="17">
        <f>FRESADO!$R421*FRESADO!$E421</f>
        <v>2500</v>
      </c>
      <c r="T421" s="17">
        <f>FRESADO!$S421*16%</f>
        <v>400</v>
      </c>
      <c r="U421" s="17">
        <f>FRESADO!$S421+FRESADO!$T421</f>
        <v>2900</v>
      </c>
      <c r="V421" s="123" t="s">
        <v>376</v>
      </c>
      <c r="W421" s="123" t="s">
        <v>44</v>
      </c>
      <c r="X421" s="81"/>
      <c r="Y421" s="82"/>
      <c r="Z421" s="31" t="s">
        <v>77</v>
      </c>
    </row>
    <row r="422" ht="15.75" customHeight="1">
      <c r="A422" s="149">
        <v>28.0</v>
      </c>
      <c r="B422" s="149">
        <v>18.0</v>
      </c>
      <c r="C422" s="150">
        <v>1273.0</v>
      </c>
      <c r="D422" s="151">
        <v>46209.0</v>
      </c>
      <c r="E422" s="149">
        <v>1.0</v>
      </c>
      <c r="F422" s="149" t="s">
        <v>74</v>
      </c>
      <c r="G422" s="149" t="s">
        <v>347</v>
      </c>
      <c r="H422" s="149">
        <v>14.0</v>
      </c>
      <c r="I422" s="149" t="s">
        <v>34</v>
      </c>
      <c r="J422" s="149" t="s">
        <v>70</v>
      </c>
      <c r="K422" s="11" t="s">
        <v>36</v>
      </c>
      <c r="L422" s="149"/>
      <c r="M422" s="149"/>
      <c r="N422" s="149" t="s">
        <v>340</v>
      </c>
      <c r="O422" s="149" t="s">
        <v>189</v>
      </c>
      <c r="P422" s="149" t="s">
        <v>546</v>
      </c>
      <c r="Q422" s="88"/>
      <c r="R422" s="152">
        <v>2500.0</v>
      </c>
      <c r="S422" s="17">
        <f>FRESADO!$R422*FRESADO!$E422</f>
        <v>2500</v>
      </c>
      <c r="T422" s="17">
        <f>FRESADO!$S422*16%</f>
        <v>400</v>
      </c>
      <c r="U422" s="17">
        <f>FRESADO!$S422+FRESADO!$T422</f>
        <v>2900</v>
      </c>
      <c r="V422" s="123" t="s">
        <v>376</v>
      </c>
      <c r="W422" s="123" t="s">
        <v>44</v>
      </c>
      <c r="X422" s="81"/>
      <c r="Y422" s="82"/>
      <c r="Z422" s="31" t="s">
        <v>77</v>
      </c>
    </row>
    <row r="423" ht="15.75" customHeight="1">
      <c r="A423" s="149">
        <v>28.0</v>
      </c>
      <c r="B423" s="149">
        <v>19.0</v>
      </c>
      <c r="C423" s="150">
        <v>1274.0</v>
      </c>
      <c r="D423" s="151">
        <v>46209.0</v>
      </c>
      <c r="E423" s="149">
        <v>1.0</v>
      </c>
      <c r="F423" s="149" t="s">
        <v>74</v>
      </c>
      <c r="G423" s="149" t="s">
        <v>280</v>
      </c>
      <c r="H423" s="149">
        <v>14.0</v>
      </c>
      <c r="I423" s="149" t="s">
        <v>34</v>
      </c>
      <c r="J423" s="149" t="s">
        <v>272</v>
      </c>
      <c r="K423" s="11" t="s">
        <v>36</v>
      </c>
      <c r="L423" s="149"/>
      <c r="M423" s="149"/>
      <c r="N423" s="149" t="s">
        <v>340</v>
      </c>
      <c r="O423" s="149" t="s">
        <v>189</v>
      </c>
      <c r="P423" s="149" t="s">
        <v>546</v>
      </c>
      <c r="Q423" s="88"/>
      <c r="R423" s="152">
        <v>2500.0</v>
      </c>
      <c r="S423" s="17">
        <f>FRESADO!$R423*FRESADO!$E423</f>
        <v>2500</v>
      </c>
      <c r="T423" s="17">
        <f>FRESADO!$S423*16%</f>
        <v>400</v>
      </c>
      <c r="U423" s="17">
        <f>FRESADO!$S423+FRESADO!$T423</f>
        <v>2900</v>
      </c>
      <c r="V423" s="123" t="s">
        <v>376</v>
      </c>
      <c r="W423" s="123" t="s">
        <v>44</v>
      </c>
      <c r="X423" s="81"/>
      <c r="Y423" s="82"/>
      <c r="Z423" s="31" t="s">
        <v>77</v>
      </c>
    </row>
    <row r="424" ht="15.75" customHeight="1">
      <c r="A424" s="149">
        <v>28.0</v>
      </c>
      <c r="B424" s="149">
        <v>20.0</v>
      </c>
      <c r="C424" s="150">
        <v>1281.0</v>
      </c>
      <c r="D424" s="151">
        <v>46209.0</v>
      </c>
      <c r="E424" s="149">
        <v>1.0</v>
      </c>
      <c r="F424" s="149" t="s">
        <v>74</v>
      </c>
      <c r="G424" s="149" t="s">
        <v>280</v>
      </c>
      <c r="H424" s="149">
        <v>14.0</v>
      </c>
      <c r="I424" s="149" t="s">
        <v>34</v>
      </c>
      <c r="J424" s="149" t="s">
        <v>272</v>
      </c>
      <c r="K424" s="11" t="s">
        <v>36</v>
      </c>
      <c r="L424" s="149"/>
      <c r="M424" s="149"/>
      <c r="N424" s="149" t="s">
        <v>340</v>
      </c>
      <c r="O424" s="149" t="s">
        <v>189</v>
      </c>
      <c r="P424" s="149" t="s">
        <v>546</v>
      </c>
      <c r="Q424" s="88"/>
      <c r="R424" s="152">
        <v>2500.0</v>
      </c>
      <c r="S424" s="17">
        <f>FRESADO!$R424*FRESADO!$E424</f>
        <v>2500</v>
      </c>
      <c r="T424" s="17">
        <f>FRESADO!$S424*16%</f>
        <v>400</v>
      </c>
      <c r="U424" s="17">
        <f>FRESADO!$S424+FRESADO!$T424</f>
        <v>2900</v>
      </c>
      <c r="V424" s="123" t="s">
        <v>376</v>
      </c>
      <c r="W424" s="123" t="s">
        <v>44</v>
      </c>
      <c r="X424" s="81"/>
      <c r="Y424" s="82"/>
      <c r="Z424" s="31" t="s">
        <v>77</v>
      </c>
    </row>
    <row r="425" ht="15.75" customHeight="1">
      <c r="A425" s="149">
        <v>28.0</v>
      </c>
      <c r="B425" s="149">
        <v>21.0</v>
      </c>
      <c r="C425" s="150">
        <v>1282.0</v>
      </c>
      <c r="D425" s="151">
        <v>46209.0</v>
      </c>
      <c r="E425" s="149">
        <v>1.0</v>
      </c>
      <c r="F425" s="149" t="s">
        <v>74</v>
      </c>
      <c r="G425" s="149" t="s">
        <v>690</v>
      </c>
      <c r="H425" s="149">
        <v>14.0</v>
      </c>
      <c r="I425" s="149" t="s">
        <v>34</v>
      </c>
      <c r="J425" s="149" t="s">
        <v>691</v>
      </c>
      <c r="K425" s="11" t="s">
        <v>36</v>
      </c>
      <c r="L425" s="149"/>
      <c r="M425" s="149"/>
      <c r="N425" s="149" t="s">
        <v>340</v>
      </c>
      <c r="O425" s="149" t="s">
        <v>189</v>
      </c>
      <c r="P425" s="149" t="s">
        <v>546</v>
      </c>
      <c r="Q425" s="88"/>
      <c r="R425" s="152">
        <v>2500.0</v>
      </c>
      <c r="S425" s="17">
        <f>FRESADO!$R425*FRESADO!$E425</f>
        <v>2500</v>
      </c>
      <c r="T425" s="17">
        <f>FRESADO!$S425*16%</f>
        <v>400</v>
      </c>
      <c r="U425" s="17">
        <f>FRESADO!$S425+FRESADO!$T425</f>
        <v>2900</v>
      </c>
      <c r="V425" s="123" t="s">
        <v>376</v>
      </c>
      <c r="W425" s="123" t="s">
        <v>44</v>
      </c>
      <c r="X425" s="81"/>
      <c r="Y425" s="82"/>
      <c r="Z425" s="31" t="s">
        <v>77</v>
      </c>
    </row>
    <row r="426" ht="15.75" customHeight="1">
      <c r="A426" s="149">
        <v>28.0</v>
      </c>
      <c r="B426" s="149">
        <v>22.0</v>
      </c>
      <c r="C426" s="150">
        <v>1283.0</v>
      </c>
      <c r="D426" s="151">
        <v>46209.0</v>
      </c>
      <c r="E426" s="149">
        <v>1.0</v>
      </c>
      <c r="F426" s="149" t="s">
        <v>74</v>
      </c>
      <c r="G426" s="149" t="s">
        <v>347</v>
      </c>
      <c r="H426" s="149">
        <v>14.0</v>
      </c>
      <c r="I426" s="149" t="s">
        <v>34</v>
      </c>
      <c r="J426" s="149" t="s">
        <v>70</v>
      </c>
      <c r="K426" s="11" t="s">
        <v>36</v>
      </c>
      <c r="L426" s="149"/>
      <c r="M426" s="149"/>
      <c r="N426" s="149" t="s">
        <v>340</v>
      </c>
      <c r="O426" s="149" t="s">
        <v>189</v>
      </c>
      <c r="P426" s="149" t="s">
        <v>546</v>
      </c>
      <c r="Q426" s="88"/>
      <c r="R426" s="152">
        <v>2500.0</v>
      </c>
      <c r="S426" s="17">
        <f>FRESADO!$R426*FRESADO!$E426</f>
        <v>2500</v>
      </c>
      <c r="T426" s="17">
        <f>FRESADO!$S426*16%</f>
        <v>400</v>
      </c>
      <c r="U426" s="17">
        <f>FRESADO!$S426+FRESADO!$T426</f>
        <v>2900</v>
      </c>
      <c r="V426" s="123" t="s">
        <v>376</v>
      </c>
      <c r="W426" s="123" t="s">
        <v>44</v>
      </c>
      <c r="X426" s="81"/>
      <c r="Y426" s="82"/>
      <c r="Z426" s="31" t="s">
        <v>77</v>
      </c>
    </row>
    <row r="427" ht="15.75" customHeight="1">
      <c r="A427" s="149">
        <v>28.0</v>
      </c>
      <c r="B427" s="149">
        <v>23.0</v>
      </c>
      <c r="C427" s="150">
        <v>1284.0</v>
      </c>
      <c r="D427" s="151">
        <v>46209.0</v>
      </c>
      <c r="E427" s="149">
        <v>1.0</v>
      </c>
      <c r="F427" s="149" t="s">
        <v>74</v>
      </c>
      <c r="G427" s="149" t="s">
        <v>280</v>
      </c>
      <c r="H427" s="149">
        <v>14.0</v>
      </c>
      <c r="I427" s="149" t="s">
        <v>34</v>
      </c>
      <c r="J427" s="149" t="s">
        <v>272</v>
      </c>
      <c r="K427" s="11" t="s">
        <v>36</v>
      </c>
      <c r="L427" s="149"/>
      <c r="M427" s="149"/>
      <c r="N427" s="149" t="s">
        <v>340</v>
      </c>
      <c r="O427" s="149" t="s">
        <v>189</v>
      </c>
      <c r="P427" s="149" t="s">
        <v>546</v>
      </c>
      <c r="Q427" s="88"/>
      <c r="R427" s="152">
        <v>2500.0</v>
      </c>
      <c r="S427" s="17">
        <f>FRESADO!$R427*FRESADO!$E427</f>
        <v>2500</v>
      </c>
      <c r="T427" s="17">
        <f>FRESADO!$S427*16%</f>
        <v>400</v>
      </c>
      <c r="U427" s="17">
        <f>FRESADO!$S427+FRESADO!$T427</f>
        <v>2900</v>
      </c>
      <c r="V427" s="123" t="s">
        <v>376</v>
      </c>
      <c r="W427" s="123" t="s">
        <v>44</v>
      </c>
      <c r="X427" s="81"/>
      <c r="Y427" s="82"/>
      <c r="Z427" s="31" t="s">
        <v>77</v>
      </c>
    </row>
    <row r="428" ht="15.75" customHeight="1">
      <c r="A428" s="149">
        <v>28.0</v>
      </c>
      <c r="B428" s="149">
        <v>24.0</v>
      </c>
      <c r="C428" s="150">
        <v>1285.0</v>
      </c>
      <c r="D428" s="151">
        <v>46209.0</v>
      </c>
      <c r="E428" s="149">
        <v>1.0</v>
      </c>
      <c r="F428" s="149" t="s">
        <v>74</v>
      </c>
      <c r="G428" s="149" t="s">
        <v>690</v>
      </c>
      <c r="H428" s="149">
        <v>14.0</v>
      </c>
      <c r="I428" s="149" t="s">
        <v>34</v>
      </c>
      <c r="J428" s="149" t="s">
        <v>691</v>
      </c>
      <c r="K428" s="11" t="s">
        <v>36</v>
      </c>
      <c r="L428" s="149"/>
      <c r="M428" s="149"/>
      <c r="N428" s="149" t="s">
        <v>340</v>
      </c>
      <c r="O428" s="149" t="s">
        <v>189</v>
      </c>
      <c r="P428" s="149" t="s">
        <v>546</v>
      </c>
      <c r="Q428" s="88"/>
      <c r="R428" s="152">
        <v>2500.0</v>
      </c>
      <c r="S428" s="17">
        <f>FRESADO!$R428*FRESADO!$E428</f>
        <v>2500</v>
      </c>
      <c r="T428" s="17">
        <f>FRESADO!$S428*16%</f>
        <v>400</v>
      </c>
      <c r="U428" s="17">
        <f>FRESADO!$S428+FRESADO!$T428</f>
        <v>2900</v>
      </c>
      <c r="V428" s="123" t="s">
        <v>376</v>
      </c>
      <c r="W428" s="123" t="s">
        <v>44</v>
      </c>
      <c r="X428" s="81"/>
      <c r="Y428" s="82"/>
      <c r="Z428" s="31" t="s">
        <v>77</v>
      </c>
    </row>
    <row r="429" ht="15.75" customHeight="1">
      <c r="A429" s="149">
        <v>28.0</v>
      </c>
      <c r="B429" s="149">
        <v>25.0</v>
      </c>
      <c r="C429" s="150">
        <v>1286.0</v>
      </c>
      <c r="D429" s="151">
        <v>46209.0</v>
      </c>
      <c r="E429" s="149">
        <v>1.0</v>
      </c>
      <c r="F429" s="149" t="s">
        <v>74</v>
      </c>
      <c r="G429" s="149" t="s">
        <v>347</v>
      </c>
      <c r="H429" s="149">
        <v>14.0</v>
      </c>
      <c r="I429" s="149" t="s">
        <v>34</v>
      </c>
      <c r="J429" s="149" t="s">
        <v>70</v>
      </c>
      <c r="K429" s="11" t="s">
        <v>36</v>
      </c>
      <c r="L429" s="149"/>
      <c r="M429" s="149"/>
      <c r="N429" s="149" t="s">
        <v>340</v>
      </c>
      <c r="O429" s="149" t="s">
        <v>189</v>
      </c>
      <c r="P429" s="149" t="s">
        <v>546</v>
      </c>
      <c r="Q429" s="88"/>
      <c r="R429" s="152">
        <v>2500.0</v>
      </c>
      <c r="S429" s="17">
        <f>FRESADO!$R429*FRESADO!$E429</f>
        <v>2500</v>
      </c>
      <c r="T429" s="17">
        <f>FRESADO!$S429*16%</f>
        <v>400</v>
      </c>
      <c r="U429" s="17">
        <f>FRESADO!$S429+FRESADO!$T429</f>
        <v>2900</v>
      </c>
      <c r="V429" s="123" t="s">
        <v>376</v>
      </c>
      <c r="W429" s="123" t="s">
        <v>44</v>
      </c>
      <c r="X429" s="81"/>
      <c r="Y429" s="82"/>
      <c r="Z429" s="31" t="s">
        <v>77</v>
      </c>
    </row>
    <row r="430" ht="15.75" customHeight="1">
      <c r="A430" s="149">
        <v>28.0</v>
      </c>
      <c r="B430" s="149">
        <v>26.0</v>
      </c>
      <c r="C430" s="150">
        <v>1287.0</v>
      </c>
      <c r="D430" s="151">
        <v>46209.0</v>
      </c>
      <c r="E430" s="149">
        <v>1.0</v>
      </c>
      <c r="F430" s="149" t="s">
        <v>74</v>
      </c>
      <c r="G430" s="149" t="s">
        <v>280</v>
      </c>
      <c r="H430" s="149">
        <v>14.0</v>
      </c>
      <c r="I430" s="149" t="s">
        <v>34</v>
      </c>
      <c r="J430" s="149" t="s">
        <v>272</v>
      </c>
      <c r="K430" s="11" t="s">
        <v>36</v>
      </c>
      <c r="L430" s="149"/>
      <c r="M430" s="149"/>
      <c r="N430" s="149" t="s">
        <v>340</v>
      </c>
      <c r="O430" s="149" t="s">
        <v>189</v>
      </c>
      <c r="P430" s="149" t="s">
        <v>546</v>
      </c>
      <c r="Q430" s="88"/>
      <c r="R430" s="152">
        <v>2500.0</v>
      </c>
      <c r="S430" s="17">
        <f>FRESADO!$R430*FRESADO!$E430</f>
        <v>2500</v>
      </c>
      <c r="T430" s="17">
        <f>FRESADO!$S430*16%</f>
        <v>400</v>
      </c>
      <c r="U430" s="17">
        <f>FRESADO!$S430+FRESADO!$T430</f>
        <v>2900</v>
      </c>
      <c r="V430" s="123" t="s">
        <v>376</v>
      </c>
      <c r="W430" s="123" t="s">
        <v>44</v>
      </c>
      <c r="X430" s="81"/>
      <c r="Y430" s="82"/>
      <c r="Z430" s="31" t="s">
        <v>77</v>
      </c>
    </row>
    <row r="431" ht="15.75" customHeight="1">
      <c r="A431" s="149">
        <v>28.0</v>
      </c>
      <c r="B431" s="149">
        <v>27.0</v>
      </c>
      <c r="C431" s="150">
        <v>1288.0</v>
      </c>
      <c r="D431" s="151">
        <v>46209.0</v>
      </c>
      <c r="E431" s="149">
        <v>1.0</v>
      </c>
      <c r="F431" s="149" t="s">
        <v>74</v>
      </c>
      <c r="G431" s="149" t="s">
        <v>690</v>
      </c>
      <c r="H431" s="149">
        <v>14.0</v>
      </c>
      <c r="I431" s="149" t="s">
        <v>34</v>
      </c>
      <c r="J431" s="149" t="s">
        <v>691</v>
      </c>
      <c r="K431" s="11" t="s">
        <v>36</v>
      </c>
      <c r="L431" s="149"/>
      <c r="M431" s="149"/>
      <c r="N431" s="149" t="s">
        <v>340</v>
      </c>
      <c r="O431" s="149" t="s">
        <v>189</v>
      </c>
      <c r="P431" s="149" t="s">
        <v>546</v>
      </c>
      <c r="Q431" s="88"/>
      <c r="R431" s="152">
        <v>2500.0</v>
      </c>
      <c r="S431" s="17">
        <f>FRESADO!$R431*FRESADO!$E431</f>
        <v>2500</v>
      </c>
      <c r="T431" s="17">
        <f>FRESADO!$S431*16%</f>
        <v>400</v>
      </c>
      <c r="U431" s="17">
        <f>FRESADO!$S431+FRESADO!$T431</f>
        <v>2900</v>
      </c>
      <c r="V431" s="123" t="s">
        <v>376</v>
      </c>
      <c r="W431" s="123" t="s">
        <v>44</v>
      </c>
      <c r="X431" s="81"/>
      <c r="Y431" s="82"/>
      <c r="Z431" s="31" t="s">
        <v>77</v>
      </c>
    </row>
    <row r="432" ht="15.75" customHeight="1">
      <c r="A432" s="149">
        <v>28.0</v>
      </c>
      <c r="B432" s="149">
        <v>28.0</v>
      </c>
      <c r="C432" s="150">
        <v>1289.0</v>
      </c>
      <c r="D432" s="151">
        <v>46209.0</v>
      </c>
      <c r="E432" s="149">
        <v>1.0</v>
      </c>
      <c r="F432" s="149" t="s">
        <v>74</v>
      </c>
      <c r="G432" s="149" t="s">
        <v>347</v>
      </c>
      <c r="H432" s="149">
        <v>14.0</v>
      </c>
      <c r="I432" s="149" t="s">
        <v>34</v>
      </c>
      <c r="J432" s="149" t="s">
        <v>70</v>
      </c>
      <c r="K432" s="11" t="s">
        <v>36</v>
      </c>
      <c r="L432" s="149"/>
      <c r="M432" s="149"/>
      <c r="N432" s="149" t="s">
        <v>340</v>
      </c>
      <c r="O432" s="149" t="s">
        <v>189</v>
      </c>
      <c r="P432" s="149" t="s">
        <v>546</v>
      </c>
      <c r="Q432" s="88"/>
      <c r="R432" s="152">
        <v>2500.0</v>
      </c>
      <c r="S432" s="17">
        <f>FRESADO!$R432*FRESADO!$E432</f>
        <v>2500</v>
      </c>
      <c r="T432" s="17">
        <f>FRESADO!$S432*16%</f>
        <v>400</v>
      </c>
      <c r="U432" s="17">
        <f>FRESADO!$S432+FRESADO!$T432</f>
        <v>2900</v>
      </c>
      <c r="V432" s="123" t="s">
        <v>376</v>
      </c>
      <c r="W432" s="123" t="s">
        <v>44</v>
      </c>
      <c r="X432" s="81"/>
      <c r="Y432" s="82"/>
      <c r="Z432" s="31" t="s">
        <v>77</v>
      </c>
    </row>
    <row r="433" ht="15.75" customHeight="1">
      <c r="A433" s="149">
        <v>28.0</v>
      </c>
      <c r="B433" s="149">
        <v>29.0</v>
      </c>
      <c r="C433" s="150">
        <v>1290.0</v>
      </c>
      <c r="D433" s="151">
        <v>46209.0</v>
      </c>
      <c r="E433" s="149">
        <v>1.0</v>
      </c>
      <c r="F433" s="149" t="s">
        <v>74</v>
      </c>
      <c r="G433" s="149" t="s">
        <v>280</v>
      </c>
      <c r="H433" s="149">
        <v>14.0</v>
      </c>
      <c r="I433" s="149" t="s">
        <v>34</v>
      </c>
      <c r="J433" s="149" t="s">
        <v>272</v>
      </c>
      <c r="K433" s="11" t="s">
        <v>36</v>
      </c>
      <c r="L433" s="149"/>
      <c r="M433" s="149"/>
      <c r="N433" s="149" t="s">
        <v>340</v>
      </c>
      <c r="O433" s="149" t="s">
        <v>189</v>
      </c>
      <c r="P433" s="149" t="s">
        <v>546</v>
      </c>
      <c r="Q433" s="88"/>
      <c r="R433" s="152">
        <v>2500.0</v>
      </c>
      <c r="S433" s="17">
        <f>FRESADO!$R433*FRESADO!$E433</f>
        <v>2500</v>
      </c>
      <c r="T433" s="17">
        <f>FRESADO!$S433*16%</f>
        <v>400</v>
      </c>
      <c r="U433" s="17">
        <f>FRESADO!$S433+FRESADO!$T433</f>
        <v>2900</v>
      </c>
      <c r="V433" s="123" t="s">
        <v>376</v>
      </c>
      <c r="W433" s="123" t="s">
        <v>44</v>
      </c>
      <c r="X433" s="81"/>
      <c r="Y433" s="82"/>
      <c r="Z433" s="31" t="s">
        <v>77</v>
      </c>
    </row>
    <row r="434" ht="15.75" customHeight="1">
      <c r="A434" s="149">
        <v>28.0</v>
      </c>
      <c r="B434" s="149">
        <v>30.0</v>
      </c>
      <c r="C434" s="150">
        <v>1291.0</v>
      </c>
      <c r="D434" s="151">
        <v>46209.0</v>
      </c>
      <c r="E434" s="149">
        <v>1.0</v>
      </c>
      <c r="F434" s="149" t="s">
        <v>74</v>
      </c>
      <c r="G434" s="149" t="s">
        <v>690</v>
      </c>
      <c r="H434" s="149">
        <v>14.0</v>
      </c>
      <c r="I434" s="149" t="s">
        <v>34</v>
      </c>
      <c r="J434" s="149" t="s">
        <v>691</v>
      </c>
      <c r="K434" s="11" t="s">
        <v>36</v>
      </c>
      <c r="L434" s="149"/>
      <c r="M434" s="149"/>
      <c r="N434" s="149" t="s">
        <v>340</v>
      </c>
      <c r="O434" s="149" t="s">
        <v>189</v>
      </c>
      <c r="P434" s="149" t="s">
        <v>546</v>
      </c>
      <c r="Q434" s="88"/>
      <c r="R434" s="152">
        <v>2500.0</v>
      </c>
      <c r="S434" s="17">
        <f>FRESADO!$R434*FRESADO!$E434</f>
        <v>2500</v>
      </c>
      <c r="T434" s="17">
        <f>FRESADO!$S434*16%</f>
        <v>400</v>
      </c>
      <c r="U434" s="17">
        <f>FRESADO!$S434+FRESADO!$T434</f>
        <v>2900</v>
      </c>
      <c r="V434" s="123" t="s">
        <v>376</v>
      </c>
      <c r="W434" s="123" t="s">
        <v>44</v>
      </c>
      <c r="X434" s="81"/>
      <c r="Y434" s="82"/>
      <c r="Z434" s="31" t="s">
        <v>77</v>
      </c>
    </row>
    <row r="435" ht="15.75" customHeight="1">
      <c r="A435" s="149">
        <v>28.0</v>
      </c>
      <c r="B435" s="149">
        <v>31.0</v>
      </c>
      <c r="C435" s="150">
        <v>1311.0</v>
      </c>
      <c r="D435" s="155">
        <v>46209.0</v>
      </c>
      <c r="E435" s="156">
        <v>1.0</v>
      </c>
      <c r="F435" s="149" t="s">
        <v>388</v>
      </c>
      <c r="G435" s="149" t="s">
        <v>583</v>
      </c>
      <c r="H435" s="149">
        <v>0.0</v>
      </c>
      <c r="I435" s="149" t="s">
        <v>34</v>
      </c>
      <c r="J435" s="149" t="s">
        <v>584</v>
      </c>
      <c r="K435" s="34" t="s">
        <v>50</v>
      </c>
      <c r="L435" s="149"/>
      <c r="M435" s="149"/>
      <c r="N435" s="149" t="s">
        <v>340</v>
      </c>
      <c r="O435" s="149" t="s">
        <v>189</v>
      </c>
      <c r="P435" s="149" t="s">
        <v>546</v>
      </c>
      <c r="Q435" s="157" t="s">
        <v>390</v>
      </c>
      <c r="R435" s="152">
        <v>4500.0</v>
      </c>
      <c r="S435" s="17">
        <f>FRESADO!$R435*FRESADO!$E435</f>
        <v>4500</v>
      </c>
      <c r="T435" s="17">
        <f>FRESADO!$S435*16%</f>
        <v>720</v>
      </c>
      <c r="U435" s="17">
        <f>FRESADO!$S435+FRESADO!$T435</f>
        <v>5220</v>
      </c>
      <c r="V435" s="52" t="s">
        <v>545</v>
      </c>
      <c r="W435" s="81"/>
      <c r="X435" s="81"/>
      <c r="Y435" s="82"/>
      <c r="Z435" s="83"/>
    </row>
    <row r="436" ht="15.75" customHeight="1">
      <c r="A436" s="158">
        <v>28.0</v>
      </c>
      <c r="B436" s="158">
        <v>32.0</v>
      </c>
      <c r="C436" s="149" t="s">
        <v>72</v>
      </c>
      <c r="D436" s="159">
        <v>46209.0</v>
      </c>
      <c r="E436" s="160">
        <v>1.0</v>
      </c>
      <c r="F436" s="158" t="s">
        <v>73</v>
      </c>
      <c r="G436" s="158" t="s">
        <v>98</v>
      </c>
      <c r="H436" s="160">
        <v>10.0</v>
      </c>
      <c r="I436" s="158" t="s">
        <v>34</v>
      </c>
      <c r="J436" s="158" t="s">
        <v>886</v>
      </c>
      <c r="K436" s="11" t="s">
        <v>36</v>
      </c>
      <c r="L436" s="158"/>
      <c r="M436" s="158"/>
      <c r="N436" s="158" t="s">
        <v>340</v>
      </c>
      <c r="O436" s="158" t="s">
        <v>189</v>
      </c>
      <c r="P436" s="158" t="s">
        <v>546</v>
      </c>
      <c r="Q436" s="161"/>
      <c r="R436" s="162">
        <v>4500.0</v>
      </c>
      <c r="S436" s="163">
        <f>FRESADO!$R436*FRESADO!$E436</f>
        <v>4500</v>
      </c>
      <c r="T436" s="163">
        <f>FRESADO!$S436*16%</f>
        <v>720</v>
      </c>
      <c r="U436" s="163">
        <f>FRESADO!$S436+FRESADO!$T436</f>
        <v>5220</v>
      </c>
      <c r="V436" s="164" t="s">
        <v>504</v>
      </c>
      <c r="W436" s="165"/>
      <c r="X436" s="165"/>
      <c r="Y436" s="166"/>
      <c r="Z436" s="167"/>
    </row>
    <row r="437" ht="15.75" customHeight="1">
      <c r="A437" s="149">
        <v>28.0</v>
      </c>
      <c r="B437" s="149">
        <v>33.0</v>
      </c>
      <c r="C437" s="150">
        <v>1275.0</v>
      </c>
      <c r="D437" s="151">
        <v>46210.0</v>
      </c>
      <c r="E437" s="149">
        <v>1.0</v>
      </c>
      <c r="F437" s="149" t="s">
        <v>74</v>
      </c>
      <c r="G437" s="149" t="s">
        <v>162</v>
      </c>
      <c r="H437" s="149">
        <v>14.0</v>
      </c>
      <c r="I437" s="149" t="s">
        <v>34</v>
      </c>
      <c r="J437" s="149" t="s">
        <v>83</v>
      </c>
      <c r="K437" s="11" t="s">
        <v>36</v>
      </c>
      <c r="L437" s="149"/>
      <c r="M437" s="149"/>
      <c r="N437" s="149" t="s">
        <v>398</v>
      </c>
      <c r="O437" s="149" t="s">
        <v>189</v>
      </c>
      <c r="P437" s="149" t="s">
        <v>546</v>
      </c>
      <c r="Q437" s="6" t="s">
        <v>399</v>
      </c>
      <c r="R437" s="152">
        <v>3355.0</v>
      </c>
      <c r="S437" s="17">
        <f>FRESADO!$R437*FRESADO!$E437</f>
        <v>3355</v>
      </c>
      <c r="T437" s="17">
        <f>FRESADO!$S437*16%</f>
        <v>536.8</v>
      </c>
      <c r="U437" s="17">
        <f>FRESADO!$S437+FRESADO!$T437</f>
        <v>3891.8</v>
      </c>
      <c r="V437" s="123" t="s">
        <v>376</v>
      </c>
      <c r="W437" s="123" t="s">
        <v>44</v>
      </c>
      <c r="X437" s="81"/>
      <c r="Y437" s="82"/>
      <c r="Z437" s="89" t="s">
        <v>399</v>
      </c>
    </row>
    <row r="438" ht="15.75" customHeight="1">
      <c r="A438" s="149">
        <v>28.0</v>
      </c>
      <c r="B438" s="149">
        <v>34.0</v>
      </c>
      <c r="C438" s="150">
        <v>1276.0</v>
      </c>
      <c r="D438" s="151">
        <v>46210.0</v>
      </c>
      <c r="E438" s="149">
        <v>1.0</v>
      </c>
      <c r="F438" s="149" t="s">
        <v>74</v>
      </c>
      <c r="G438" s="149" t="s">
        <v>374</v>
      </c>
      <c r="H438" s="149">
        <v>14.0</v>
      </c>
      <c r="I438" s="149" t="s">
        <v>34</v>
      </c>
      <c r="J438" s="149" t="s">
        <v>406</v>
      </c>
      <c r="K438" s="11" t="s">
        <v>36</v>
      </c>
      <c r="L438" s="149"/>
      <c r="M438" s="149"/>
      <c r="N438" s="149" t="s">
        <v>398</v>
      </c>
      <c r="O438" s="149" t="s">
        <v>189</v>
      </c>
      <c r="P438" s="149" t="s">
        <v>546</v>
      </c>
      <c r="Q438" s="6" t="s">
        <v>399</v>
      </c>
      <c r="R438" s="152">
        <v>3355.0</v>
      </c>
      <c r="S438" s="17">
        <f>FRESADO!$R438*FRESADO!$E438</f>
        <v>3355</v>
      </c>
      <c r="T438" s="17">
        <f>FRESADO!$S438*16%</f>
        <v>536.8</v>
      </c>
      <c r="U438" s="17">
        <f>FRESADO!$S438+FRESADO!$T438</f>
        <v>3891.8</v>
      </c>
      <c r="V438" s="123" t="s">
        <v>376</v>
      </c>
      <c r="W438" s="123" t="s">
        <v>44</v>
      </c>
      <c r="X438" s="81"/>
      <c r="Y438" s="82"/>
      <c r="Z438" s="89" t="s">
        <v>399</v>
      </c>
    </row>
    <row r="439" ht="15.75" customHeight="1">
      <c r="A439" s="149">
        <v>28.0</v>
      </c>
      <c r="B439" s="149">
        <v>35.0</v>
      </c>
      <c r="C439" s="150">
        <v>1277.0</v>
      </c>
      <c r="D439" s="151">
        <v>46210.0</v>
      </c>
      <c r="E439" s="149">
        <v>1.0</v>
      </c>
      <c r="F439" s="149" t="s">
        <v>74</v>
      </c>
      <c r="G439" s="149" t="s">
        <v>405</v>
      </c>
      <c r="H439" s="149">
        <v>14.0</v>
      </c>
      <c r="I439" s="149" t="s">
        <v>34</v>
      </c>
      <c r="J439" s="149" t="s">
        <v>662</v>
      </c>
      <c r="K439" s="11" t="s">
        <v>36</v>
      </c>
      <c r="L439" s="149"/>
      <c r="M439" s="149"/>
      <c r="N439" s="149" t="s">
        <v>398</v>
      </c>
      <c r="O439" s="149" t="s">
        <v>189</v>
      </c>
      <c r="P439" s="149" t="s">
        <v>546</v>
      </c>
      <c r="Q439" s="6" t="s">
        <v>399</v>
      </c>
      <c r="R439" s="152">
        <v>3355.0</v>
      </c>
      <c r="S439" s="17">
        <f>FRESADO!$R439*FRESADO!$E439</f>
        <v>3355</v>
      </c>
      <c r="T439" s="17">
        <f>FRESADO!$S439*16%</f>
        <v>536.8</v>
      </c>
      <c r="U439" s="17">
        <f>FRESADO!$S439+FRESADO!$T439</f>
        <v>3891.8</v>
      </c>
      <c r="V439" s="123" t="s">
        <v>376</v>
      </c>
      <c r="W439" s="123" t="s">
        <v>44</v>
      </c>
      <c r="X439" s="81"/>
      <c r="Y439" s="82"/>
      <c r="Z439" s="89" t="s">
        <v>399</v>
      </c>
    </row>
    <row r="440" ht="15.75" customHeight="1">
      <c r="A440" s="149">
        <v>28.0</v>
      </c>
      <c r="B440" s="158">
        <v>36.0</v>
      </c>
      <c r="C440" s="150">
        <v>1278.0</v>
      </c>
      <c r="D440" s="151">
        <v>46210.0</v>
      </c>
      <c r="E440" s="149">
        <v>1.0</v>
      </c>
      <c r="F440" s="149" t="s">
        <v>74</v>
      </c>
      <c r="G440" s="149" t="s">
        <v>198</v>
      </c>
      <c r="H440" s="149">
        <v>14.0</v>
      </c>
      <c r="I440" s="149" t="s">
        <v>34</v>
      </c>
      <c r="J440" s="149" t="s">
        <v>694</v>
      </c>
      <c r="K440" s="11" t="s">
        <v>36</v>
      </c>
      <c r="L440" s="149"/>
      <c r="M440" s="149"/>
      <c r="N440" s="149" t="s">
        <v>398</v>
      </c>
      <c r="O440" s="149" t="s">
        <v>189</v>
      </c>
      <c r="P440" s="149" t="s">
        <v>546</v>
      </c>
      <c r="Q440" s="6" t="s">
        <v>399</v>
      </c>
      <c r="R440" s="152">
        <v>3355.0</v>
      </c>
      <c r="S440" s="17">
        <f>FRESADO!$R440*FRESADO!$E440</f>
        <v>3355</v>
      </c>
      <c r="T440" s="17">
        <f>FRESADO!$S440*16%</f>
        <v>536.8</v>
      </c>
      <c r="U440" s="17">
        <f>FRESADO!$S440+FRESADO!$T440</f>
        <v>3891.8</v>
      </c>
      <c r="V440" s="123" t="s">
        <v>376</v>
      </c>
      <c r="W440" s="123" t="s">
        <v>44</v>
      </c>
      <c r="X440" s="81"/>
      <c r="Y440" s="82"/>
      <c r="Z440" s="89" t="s">
        <v>399</v>
      </c>
    </row>
    <row r="441" ht="15.75" customHeight="1">
      <c r="A441" s="149">
        <v>28.0</v>
      </c>
      <c r="B441" s="149">
        <v>37.0</v>
      </c>
      <c r="C441" s="149">
        <v>1279.0</v>
      </c>
      <c r="D441" s="151">
        <v>46210.0</v>
      </c>
      <c r="E441" s="149">
        <v>1.0</v>
      </c>
      <c r="F441" s="149" t="s">
        <v>74</v>
      </c>
      <c r="G441" s="149" t="s">
        <v>479</v>
      </c>
      <c r="H441" s="149">
        <v>14.0</v>
      </c>
      <c r="I441" s="149" t="s">
        <v>34</v>
      </c>
      <c r="J441" s="149" t="s">
        <v>106</v>
      </c>
      <c r="K441" s="11" t="s">
        <v>36</v>
      </c>
      <c r="L441" s="149"/>
      <c r="M441" s="149"/>
      <c r="N441" s="149" t="s">
        <v>398</v>
      </c>
      <c r="O441" s="149" t="s">
        <v>189</v>
      </c>
      <c r="P441" s="149" t="s">
        <v>546</v>
      </c>
      <c r="Q441" s="88" t="s">
        <v>399</v>
      </c>
      <c r="R441" s="168"/>
      <c r="S441" s="17">
        <f>FRESADO!$R441*FRESADO!$E441</f>
        <v>0</v>
      </c>
      <c r="T441" s="17">
        <f>FRESADO!$S441*16%</f>
        <v>0</v>
      </c>
      <c r="U441" s="17">
        <f>FRESADO!$S441+FRESADO!$T441</f>
        <v>0</v>
      </c>
      <c r="V441" s="169" t="s">
        <v>695</v>
      </c>
      <c r="W441" s="81"/>
      <c r="X441" s="81"/>
      <c r="Y441" s="82"/>
      <c r="Z441" s="89" t="s">
        <v>399</v>
      </c>
    </row>
    <row r="442" ht="15.75" customHeight="1">
      <c r="A442" s="149">
        <v>28.0</v>
      </c>
      <c r="B442" s="149">
        <v>38.0</v>
      </c>
      <c r="C442" s="150">
        <v>1280.0</v>
      </c>
      <c r="D442" s="151">
        <v>46210.0</v>
      </c>
      <c r="E442" s="149">
        <v>1.0</v>
      </c>
      <c r="F442" s="149" t="s">
        <v>74</v>
      </c>
      <c r="G442" s="149" t="s">
        <v>162</v>
      </c>
      <c r="H442" s="149">
        <v>14.0</v>
      </c>
      <c r="I442" s="149" t="s">
        <v>34</v>
      </c>
      <c r="J442" s="149" t="s">
        <v>83</v>
      </c>
      <c r="K442" s="11" t="s">
        <v>36</v>
      </c>
      <c r="L442" s="149"/>
      <c r="M442" s="149"/>
      <c r="N442" s="149" t="s">
        <v>398</v>
      </c>
      <c r="O442" s="149" t="s">
        <v>189</v>
      </c>
      <c r="P442" s="149" t="s">
        <v>546</v>
      </c>
      <c r="Q442" s="6" t="s">
        <v>399</v>
      </c>
      <c r="R442" s="152">
        <v>3355.0</v>
      </c>
      <c r="S442" s="17">
        <f>FRESADO!$R442*FRESADO!$E442</f>
        <v>3355</v>
      </c>
      <c r="T442" s="17">
        <f>FRESADO!$S442*16%</f>
        <v>536.8</v>
      </c>
      <c r="U442" s="17">
        <f>FRESADO!$S442+FRESADO!$T442</f>
        <v>3891.8</v>
      </c>
      <c r="V442" s="123" t="s">
        <v>376</v>
      </c>
      <c r="W442" s="123" t="s">
        <v>44</v>
      </c>
      <c r="X442" s="81"/>
      <c r="Y442" s="82"/>
      <c r="Z442" s="89" t="s">
        <v>399</v>
      </c>
    </row>
    <row r="443" ht="15.75" customHeight="1">
      <c r="A443" s="149">
        <v>28.0</v>
      </c>
      <c r="B443" s="149">
        <v>39.0</v>
      </c>
      <c r="C443" s="150">
        <v>1292.0</v>
      </c>
      <c r="D443" s="151">
        <v>46210.0</v>
      </c>
      <c r="E443" s="149">
        <v>1.0</v>
      </c>
      <c r="F443" s="149" t="s">
        <v>74</v>
      </c>
      <c r="G443" s="149" t="s">
        <v>198</v>
      </c>
      <c r="H443" s="149">
        <v>14.0</v>
      </c>
      <c r="I443" s="149" t="s">
        <v>34</v>
      </c>
      <c r="J443" s="149" t="s">
        <v>694</v>
      </c>
      <c r="K443" s="11" t="s">
        <v>36</v>
      </c>
      <c r="L443" s="149"/>
      <c r="M443" s="149"/>
      <c r="N443" s="149" t="s">
        <v>398</v>
      </c>
      <c r="O443" s="149" t="s">
        <v>189</v>
      </c>
      <c r="P443" s="149" t="s">
        <v>546</v>
      </c>
      <c r="Q443" s="6" t="s">
        <v>399</v>
      </c>
      <c r="R443" s="152">
        <v>3355.0</v>
      </c>
      <c r="S443" s="17">
        <f>FRESADO!$R443*FRESADO!$E443</f>
        <v>3355</v>
      </c>
      <c r="T443" s="17">
        <f>FRESADO!$S443*16%</f>
        <v>536.8</v>
      </c>
      <c r="U443" s="17">
        <f>FRESADO!$S443+FRESADO!$T443</f>
        <v>3891.8</v>
      </c>
      <c r="V443" s="123" t="s">
        <v>376</v>
      </c>
      <c r="W443" s="123" t="s">
        <v>44</v>
      </c>
      <c r="X443" s="81"/>
      <c r="Y443" s="82"/>
      <c r="Z443" s="89" t="s">
        <v>399</v>
      </c>
    </row>
    <row r="444" ht="15.75" customHeight="1">
      <c r="A444" s="149">
        <v>28.0</v>
      </c>
      <c r="B444" s="149">
        <v>40.0</v>
      </c>
      <c r="C444" s="150">
        <v>1293.0</v>
      </c>
      <c r="D444" s="151">
        <v>46210.0</v>
      </c>
      <c r="E444" s="149">
        <v>1.0</v>
      </c>
      <c r="F444" s="149" t="s">
        <v>74</v>
      </c>
      <c r="G444" s="149" t="s">
        <v>405</v>
      </c>
      <c r="H444" s="149">
        <v>14.0</v>
      </c>
      <c r="I444" s="149" t="s">
        <v>34</v>
      </c>
      <c r="J444" s="149" t="s">
        <v>662</v>
      </c>
      <c r="K444" s="11" t="s">
        <v>36</v>
      </c>
      <c r="L444" s="149"/>
      <c r="M444" s="149"/>
      <c r="N444" s="149" t="s">
        <v>398</v>
      </c>
      <c r="O444" s="149" t="s">
        <v>189</v>
      </c>
      <c r="P444" s="149" t="s">
        <v>546</v>
      </c>
      <c r="Q444" s="6" t="s">
        <v>399</v>
      </c>
      <c r="R444" s="152">
        <v>3355.0</v>
      </c>
      <c r="S444" s="17">
        <f>FRESADO!$R444*FRESADO!$E444</f>
        <v>3355</v>
      </c>
      <c r="T444" s="17">
        <f>FRESADO!$S444*16%</f>
        <v>536.8</v>
      </c>
      <c r="U444" s="17">
        <f>FRESADO!$S444+FRESADO!$T444</f>
        <v>3891.8</v>
      </c>
      <c r="V444" s="123" t="s">
        <v>376</v>
      </c>
      <c r="W444" s="123" t="s">
        <v>44</v>
      </c>
      <c r="X444" s="81"/>
      <c r="Y444" s="82"/>
      <c r="Z444" s="89" t="s">
        <v>399</v>
      </c>
    </row>
    <row r="445" ht="15.75" customHeight="1">
      <c r="A445" s="149">
        <v>28.0</v>
      </c>
      <c r="B445" s="149">
        <v>41.0</v>
      </c>
      <c r="C445" s="150">
        <v>1294.0</v>
      </c>
      <c r="D445" s="151">
        <v>46210.0</v>
      </c>
      <c r="E445" s="149">
        <v>1.0</v>
      </c>
      <c r="F445" s="149" t="s">
        <v>74</v>
      </c>
      <c r="G445" s="149" t="s">
        <v>479</v>
      </c>
      <c r="H445" s="149">
        <v>14.0</v>
      </c>
      <c r="I445" s="149" t="s">
        <v>34</v>
      </c>
      <c r="J445" s="149" t="s">
        <v>106</v>
      </c>
      <c r="K445" s="11" t="s">
        <v>36</v>
      </c>
      <c r="L445" s="149"/>
      <c r="M445" s="149"/>
      <c r="N445" s="149" t="s">
        <v>398</v>
      </c>
      <c r="O445" s="149" t="s">
        <v>189</v>
      </c>
      <c r="P445" s="149" t="s">
        <v>546</v>
      </c>
      <c r="Q445" s="6" t="s">
        <v>399</v>
      </c>
      <c r="R445" s="152">
        <v>3355.0</v>
      </c>
      <c r="S445" s="17">
        <f>FRESADO!$R445*FRESADO!$E445</f>
        <v>3355</v>
      </c>
      <c r="T445" s="17">
        <f>FRESADO!$S445*16%</f>
        <v>536.8</v>
      </c>
      <c r="U445" s="17">
        <f>FRESADO!$S445+FRESADO!$T445</f>
        <v>3891.8</v>
      </c>
      <c r="V445" s="123" t="s">
        <v>376</v>
      </c>
      <c r="W445" s="123" t="s">
        <v>44</v>
      </c>
      <c r="X445" s="81"/>
      <c r="Y445" s="82"/>
      <c r="Z445" s="89" t="s">
        <v>399</v>
      </c>
    </row>
    <row r="446" ht="15.75" customHeight="1">
      <c r="A446" s="149">
        <v>28.0</v>
      </c>
      <c r="B446" s="149">
        <v>42.0</v>
      </c>
      <c r="C446" s="150">
        <v>1301.0</v>
      </c>
      <c r="D446" s="151">
        <v>46210.0</v>
      </c>
      <c r="E446" s="149">
        <v>1.0</v>
      </c>
      <c r="F446" s="149" t="s">
        <v>74</v>
      </c>
      <c r="G446" s="149" t="s">
        <v>280</v>
      </c>
      <c r="H446" s="149">
        <v>14.0</v>
      </c>
      <c r="I446" s="149" t="s">
        <v>34</v>
      </c>
      <c r="J446" s="149" t="s">
        <v>272</v>
      </c>
      <c r="K446" s="11" t="s">
        <v>36</v>
      </c>
      <c r="L446" s="149"/>
      <c r="M446" s="149"/>
      <c r="N446" s="149" t="s">
        <v>340</v>
      </c>
      <c r="O446" s="149" t="s">
        <v>189</v>
      </c>
      <c r="P446" s="149" t="s">
        <v>546</v>
      </c>
      <c r="Q446" s="88"/>
      <c r="R446" s="152">
        <v>2500.0</v>
      </c>
      <c r="S446" s="17">
        <f>FRESADO!$R446*FRESADO!$E446</f>
        <v>2500</v>
      </c>
      <c r="T446" s="17">
        <f>FRESADO!$S446*16%</f>
        <v>400</v>
      </c>
      <c r="U446" s="17">
        <f>FRESADO!$S446+FRESADO!$T446</f>
        <v>2900</v>
      </c>
      <c r="V446" s="123" t="s">
        <v>376</v>
      </c>
      <c r="W446" s="123" t="s">
        <v>44</v>
      </c>
      <c r="X446" s="81"/>
      <c r="Y446" s="82"/>
      <c r="Z446" s="31" t="s">
        <v>77</v>
      </c>
    </row>
    <row r="447" ht="15.75" customHeight="1">
      <c r="A447" s="149">
        <v>28.0</v>
      </c>
      <c r="B447" s="149">
        <v>43.0</v>
      </c>
      <c r="C447" s="150">
        <v>1302.0</v>
      </c>
      <c r="D447" s="151">
        <v>46210.0</v>
      </c>
      <c r="E447" s="149">
        <v>1.0</v>
      </c>
      <c r="F447" s="149" t="s">
        <v>74</v>
      </c>
      <c r="G447" s="149" t="s">
        <v>347</v>
      </c>
      <c r="H447" s="149">
        <v>14.0</v>
      </c>
      <c r="I447" s="149" t="s">
        <v>34</v>
      </c>
      <c r="J447" s="149" t="s">
        <v>70</v>
      </c>
      <c r="K447" s="11" t="s">
        <v>36</v>
      </c>
      <c r="L447" s="149"/>
      <c r="M447" s="149"/>
      <c r="N447" s="149" t="s">
        <v>340</v>
      </c>
      <c r="O447" s="149" t="s">
        <v>189</v>
      </c>
      <c r="P447" s="149" t="s">
        <v>546</v>
      </c>
      <c r="Q447" s="88"/>
      <c r="R447" s="152">
        <v>2500.0</v>
      </c>
      <c r="S447" s="17">
        <f>FRESADO!$R447*FRESADO!$E447</f>
        <v>2500</v>
      </c>
      <c r="T447" s="17">
        <f>FRESADO!$S447*16%</f>
        <v>400</v>
      </c>
      <c r="U447" s="17">
        <f>FRESADO!$S447+FRESADO!$T447</f>
        <v>2900</v>
      </c>
      <c r="V447" s="123" t="s">
        <v>376</v>
      </c>
      <c r="W447" s="123" t="s">
        <v>44</v>
      </c>
      <c r="X447" s="81"/>
      <c r="Y447" s="82"/>
      <c r="Z447" s="31" t="s">
        <v>77</v>
      </c>
    </row>
    <row r="448" ht="15.75" customHeight="1">
      <c r="A448" s="149">
        <v>28.0</v>
      </c>
      <c r="B448" s="149">
        <v>44.0</v>
      </c>
      <c r="C448" s="150">
        <v>1303.0</v>
      </c>
      <c r="D448" s="151">
        <v>46210.0</v>
      </c>
      <c r="E448" s="149">
        <v>1.0</v>
      </c>
      <c r="F448" s="149" t="s">
        <v>74</v>
      </c>
      <c r="G448" s="149" t="s">
        <v>238</v>
      </c>
      <c r="H448" s="149">
        <v>14.0</v>
      </c>
      <c r="I448" s="149" t="s">
        <v>34</v>
      </c>
      <c r="J448" s="149" t="s">
        <v>89</v>
      </c>
      <c r="K448" s="11" t="s">
        <v>36</v>
      </c>
      <c r="L448" s="149"/>
      <c r="M448" s="149"/>
      <c r="N448" s="149" t="s">
        <v>340</v>
      </c>
      <c r="O448" s="149" t="s">
        <v>189</v>
      </c>
      <c r="P448" s="149" t="s">
        <v>546</v>
      </c>
      <c r="Q448" s="88"/>
      <c r="R448" s="152">
        <v>2500.0</v>
      </c>
      <c r="S448" s="17">
        <f>FRESADO!$R448*FRESADO!$E448</f>
        <v>2500</v>
      </c>
      <c r="T448" s="17">
        <f>FRESADO!$S448*16%</f>
        <v>400</v>
      </c>
      <c r="U448" s="17">
        <f>FRESADO!$S448+FRESADO!$T448</f>
        <v>2900</v>
      </c>
      <c r="V448" s="123" t="s">
        <v>376</v>
      </c>
      <c r="W448" s="123" t="s">
        <v>44</v>
      </c>
      <c r="X448" s="81"/>
      <c r="Y448" s="82"/>
      <c r="Z448" s="31" t="s">
        <v>77</v>
      </c>
    </row>
    <row r="449" ht="15.75" customHeight="1">
      <c r="A449" s="149">
        <v>28.0</v>
      </c>
      <c r="B449" s="149">
        <v>45.0</v>
      </c>
      <c r="C449" s="150">
        <v>1304.0</v>
      </c>
      <c r="D449" s="151">
        <v>46210.0</v>
      </c>
      <c r="E449" s="149">
        <v>1.0</v>
      </c>
      <c r="F449" s="149" t="s">
        <v>74</v>
      </c>
      <c r="G449" s="149" t="s">
        <v>280</v>
      </c>
      <c r="H449" s="149">
        <v>14.0</v>
      </c>
      <c r="I449" s="149" t="s">
        <v>34</v>
      </c>
      <c r="J449" s="149" t="s">
        <v>272</v>
      </c>
      <c r="K449" s="11" t="s">
        <v>36</v>
      </c>
      <c r="L449" s="149"/>
      <c r="M449" s="149"/>
      <c r="N449" s="149" t="s">
        <v>340</v>
      </c>
      <c r="O449" s="149" t="s">
        <v>189</v>
      </c>
      <c r="P449" s="149" t="s">
        <v>546</v>
      </c>
      <c r="Q449" s="88"/>
      <c r="R449" s="152">
        <v>2500.0</v>
      </c>
      <c r="S449" s="17">
        <f>FRESADO!$R449*FRESADO!$E449</f>
        <v>2500</v>
      </c>
      <c r="T449" s="17">
        <f>FRESADO!$S449*16%</f>
        <v>400</v>
      </c>
      <c r="U449" s="17">
        <f>FRESADO!$S449+FRESADO!$T449</f>
        <v>2900</v>
      </c>
      <c r="V449" s="123" t="s">
        <v>376</v>
      </c>
      <c r="W449" s="123" t="s">
        <v>44</v>
      </c>
      <c r="X449" s="81"/>
      <c r="Y449" s="82"/>
      <c r="Z449" s="31" t="s">
        <v>77</v>
      </c>
    </row>
    <row r="450" ht="15.75" customHeight="1">
      <c r="A450" s="149">
        <v>28.0</v>
      </c>
      <c r="B450" s="149">
        <v>46.0</v>
      </c>
      <c r="C450" s="150">
        <v>1305.0</v>
      </c>
      <c r="D450" s="151">
        <v>46210.0</v>
      </c>
      <c r="E450" s="149">
        <v>1.0</v>
      </c>
      <c r="F450" s="149" t="s">
        <v>74</v>
      </c>
      <c r="G450" s="149" t="s">
        <v>347</v>
      </c>
      <c r="H450" s="149">
        <v>14.0</v>
      </c>
      <c r="I450" s="149" t="s">
        <v>34</v>
      </c>
      <c r="J450" s="149" t="s">
        <v>70</v>
      </c>
      <c r="K450" s="11" t="s">
        <v>36</v>
      </c>
      <c r="L450" s="149"/>
      <c r="M450" s="149"/>
      <c r="N450" s="149" t="s">
        <v>340</v>
      </c>
      <c r="O450" s="149" t="s">
        <v>189</v>
      </c>
      <c r="P450" s="149" t="s">
        <v>546</v>
      </c>
      <c r="Q450" s="88"/>
      <c r="R450" s="152">
        <v>2500.0</v>
      </c>
      <c r="S450" s="17">
        <f>FRESADO!$R450*FRESADO!$E450</f>
        <v>2500</v>
      </c>
      <c r="T450" s="17">
        <f>FRESADO!$S450*16%</f>
        <v>400</v>
      </c>
      <c r="U450" s="17">
        <f>FRESADO!$S450+FRESADO!$T450</f>
        <v>2900</v>
      </c>
      <c r="V450" s="123" t="s">
        <v>376</v>
      </c>
      <c r="W450" s="123" t="s">
        <v>44</v>
      </c>
      <c r="X450" s="81"/>
      <c r="Y450" s="82"/>
      <c r="Z450" s="31" t="s">
        <v>77</v>
      </c>
    </row>
    <row r="451" ht="15.75" customHeight="1">
      <c r="A451" s="149">
        <v>28.0</v>
      </c>
      <c r="B451" s="149">
        <v>47.0</v>
      </c>
      <c r="C451" s="150">
        <v>1306.0</v>
      </c>
      <c r="D451" s="151">
        <v>46210.0</v>
      </c>
      <c r="E451" s="149">
        <v>1.0</v>
      </c>
      <c r="F451" s="149" t="s">
        <v>74</v>
      </c>
      <c r="G451" s="149" t="s">
        <v>238</v>
      </c>
      <c r="H451" s="149">
        <v>14.0</v>
      </c>
      <c r="I451" s="149" t="s">
        <v>34</v>
      </c>
      <c r="J451" s="149" t="s">
        <v>89</v>
      </c>
      <c r="K451" s="11" t="s">
        <v>36</v>
      </c>
      <c r="L451" s="149"/>
      <c r="M451" s="149"/>
      <c r="N451" s="149" t="s">
        <v>340</v>
      </c>
      <c r="O451" s="149" t="s">
        <v>189</v>
      </c>
      <c r="P451" s="149" t="s">
        <v>546</v>
      </c>
      <c r="Q451" s="88"/>
      <c r="R451" s="152">
        <v>2500.0</v>
      </c>
      <c r="S451" s="17">
        <f>FRESADO!$R451*FRESADO!$E451</f>
        <v>2500</v>
      </c>
      <c r="T451" s="17">
        <f>FRESADO!$S451*16%</f>
        <v>400</v>
      </c>
      <c r="U451" s="17">
        <f>FRESADO!$S451+FRESADO!$T451</f>
        <v>2900</v>
      </c>
      <c r="V451" s="123" t="s">
        <v>376</v>
      </c>
      <c r="W451" s="123" t="s">
        <v>44</v>
      </c>
      <c r="X451" s="81"/>
      <c r="Y451" s="82"/>
      <c r="Z451" s="31" t="s">
        <v>77</v>
      </c>
    </row>
    <row r="452" ht="15.75" customHeight="1">
      <c r="A452" s="149">
        <v>28.0</v>
      </c>
      <c r="B452" s="149">
        <v>48.0</v>
      </c>
      <c r="C452" s="150">
        <v>1307.0</v>
      </c>
      <c r="D452" s="151">
        <v>46210.0</v>
      </c>
      <c r="E452" s="149">
        <v>1.0</v>
      </c>
      <c r="F452" s="149" t="s">
        <v>74</v>
      </c>
      <c r="G452" s="149" t="s">
        <v>280</v>
      </c>
      <c r="H452" s="149">
        <v>14.0</v>
      </c>
      <c r="I452" s="149" t="s">
        <v>34</v>
      </c>
      <c r="J452" s="149" t="s">
        <v>272</v>
      </c>
      <c r="K452" s="11" t="s">
        <v>36</v>
      </c>
      <c r="L452" s="149"/>
      <c r="M452" s="149"/>
      <c r="N452" s="149" t="s">
        <v>340</v>
      </c>
      <c r="O452" s="149" t="s">
        <v>189</v>
      </c>
      <c r="P452" s="149" t="s">
        <v>546</v>
      </c>
      <c r="Q452" s="88"/>
      <c r="R452" s="152">
        <v>2500.0</v>
      </c>
      <c r="S452" s="17">
        <f>FRESADO!$R452*FRESADO!$E452</f>
        <v>2500</v>
      </c>
      <c r="T452" s="17">
        <f>FRESADO!$S452*16%</f>
        <v>400</v>
      </c>
      <c r="U452" s="17">
        <f>FRESADO!$S452+FRESADO!$T452</f>
        <v>2900</v>
      </c>
      <c r="V452" s="123" t="s">
        <v>376</v>
      </c>
      <c r="W452" s="123" t="s">
        <v>44</v>
      </c>
      <c r="X452" s="81"/>
      <c r="Y452" s="82"/>
      <c r="Z452" s="31" t="s">
        <v>77</v>
      </c>
    </row>
    <row r="453" ht="15.75" customHeight="1">
      <c r="A453" s="149">
        <v>28.0</v>
      </c>
      <c r="B453" s="149">
        <v>49.0</v>
      </c>
      <c r="C453" s="150">
        <v>1308.0</v>
      </c>
      <c r="D453" s="151">
        <v>46210.0</v>
      </c>
      <c r="E453" s="149">
        <v>1.0</v>
      </c>
      <c r="F453" s="149" t="s">
        <v>74</v>
      </c>
      <c r="G453" s="149" t="s">
        <v>347</v>
      </c>
      <c r="H453" s="149">
        <v>14.0</v>
      </c>
      <c r="I453" s="149" t="s">
        <v>34</v>
      </c>
      <c r="J453" s="149" t="s">
        <v>70</v>
      </c>
      <c r="K453" s="11" t="s">
        <v>36</v>
      </c>
      <c r="L453" s="149"/>
      <c r="M453" s="149"/>
      <c r="N453" s="149" t="s">
        <v>340</v>
      </c>
      <c r="O453" s="149" t="s">
        <v>189</v>
      </c>
      <c r="P453" s="149" t="s">
        <v>546</v>
      </c>
      <c r="Q453" s="88"/>
      <c r="R453" s="152">
        <v>2500.0</v>
      </c>
      <c r="S453" s="17">
        <f>FRESADO!$R453*FRESADO!$E453</f>
        <v>2500</v>
      </c>
      <c r="T453" s="17">
        <f>FRESADO!$S453*16%</f>
        <v>400</v>
      </c>
      <c r="U453" s="17">
        <f>FRESADO!$S453+FRESADO!$T453</f>
        <v>2900</v>
      </c>
      <c r="V453" s="123" t="s">
        <v>376</v>
      </c>
      <c r="W453" s="123" t="s">
        <v>44</v>
      </c>
      <c r="X453" s="81"/>
      <c r="Y453" s="82"/>
      <c r="Z453" s="31" t="s">
        <v>77</v>
      </c>
    </row>
    <row r="454" ht="15.75" customHeight="1">
      <c r="A454" s="149">
        <v>28.0</v>
      </c>
      <c r="B454" s="149">
        <v>50.0</v>
      </c>
      <c r="C454" s="150">
        <v>1309.0</v>
      </c>
      <c r="D454" s="151">
        <v>46210.0</v>
      </c>
      <c r="E454" s="149">
        <v>1.0</v>
      </c>
      <c r="F454" s="149" t="s">
        <v>74</v>
      </c>
      <c r="G454" s="149" t="s">
        <v>238</v>
      </c>
      <c r="H454" s="149">
        <v>14.0</v>
      </c>
      <c r="I454" s="149" t="s">
        <v>34</v>
      </c>
      <c r="J454" s="149" t="s">
        <v>89</v>
      </c>
      <c r="K454" s="11" t="s">
        <v>36</v>
      </c>
      <c r="L454" s="149"/>
      <c r="M454" s="149"/>
      <c r="N454" s="149" t="s">
        <v>340</v>
      </c>
      <c r="O454" s="149" t="s">
        <v>189</v>
      </c>
      <c r="P454" s="149" t="s">
        <v>546</v>
      </c>
      <c r="Q454" s="88"/>
      <c r="R454" s="152">
        <v>2500.0</v>
      </c>
      <c r="S454" s="17">
        <f>FRESADO!$R454*FRESADO!$E454</f>
        <v>2500</v>
      </c>
      <c r="T454" s="17">
        <f>FRESADO!$S454*16%</f>
        <v>400</v>
      </c>
      <c r="U454" s="17">
        <f>FRESADO!$S454+FRESADO!$T454</f>
        <v>2900</v>
      </c>
      <c r="V454" s="123" t="s">
        <v>376</v>
      </c>
      <c r="W454" s="123" t="s">
        <v>44</v>
      </c>
      <c r="X454" s="81"/>
      <c r="Y454" s="82"/>
      <c r="Z454" s="31" t="s">
        <v>77</v>
      </c>
    </row>
    <row r="455" ht="15.75" customHeight="1">
      <c r="A455" s="149">
        <v>28.0</v>
      </c>
      <c r="B455" s="149">
        <v>51.0</v>
      </c>
      <c r="C455" s="150">
        <v>1310.0</v>
      </c>
      <c r="D455" s="151">
        <v>46210.0</v>
      </c>
      <c r="E455" s="149">
        <v>1.0</v>
      </c>
      <c r="F455" s="149" t="s">
        <v>74</v>
      </c>
      <c r="G455" s="149" t="s">
        <v>374</v>
      </c>
      <c r="H455" s="149">
        <v>14.0</v>
      </c>
      <c r="I455" s="149" t="s">
        <v>34</v>
      </c>
      <c r="J455" s="149" t="s">
        <v>406</v>
      </c>
      <c r="K455" s="11" t="s">
        <v>36</v>
      </c>
      <c r="L455" s="149"/>
      <c r="M455" s="149"/>
      <c r="N455" s="149" t="s">
        <v>398</v>
      </c>
      <c r="O455" s="149" t="s">
        <v>189</v>
      </c>
      <c r="P455" s="149" t="s">
        <v>546</v>
      </c>
      <c r="Q455" s="6" t="s">
        <v>399</v>
      </c>
      <c r="R455" s="152">
        <v>3355.0</v>
      </c>
      <c r="S455" s="17">
        <f>FRESADO!$R455*FRESADO!$E455</f>
        <v>3355</v>
      </c>
      <c r="T455" s="17">
        <f>FRESADO!$S455*16%</f>
        <v>536.8</v>
      </c>
      <c r="U455" s="17">
        <f>FRESADO!$S455+FRESADO!$T455</f>
        <v>3891.8</v>
      </c>
      <c r="V455" s="123" t="s">
        <v>376</v>
      </c>
      <c r="W455" s="123" t="s">
        <v>44</v>
      </c>
      <c r="X455" s="81"/>
      <c r="Y455" s="82"/>
      <c r="Z455" s="89" t="s">
        <v>399</v>
      </c>
    </row>
    <row r="456" ht="15.75" customHeight="1">
      <c r="A456" s="149">
        <v>28.0</v>
      </c>
      <c r="B456" s="149">
        <v>52.0</v>
      </c>
      <c r="C456" s="150">
        <v>1312.0</v>
      </c>
      <c r="D456" s="155">
        <v>46210.0</v>
      </c>
      <c r="E456" s="156">
        <v>1.0</v>
      </c>
      <c r="F456" s="149" t="s">
        <v>388</v>
      </c>
      <c r="G456" s="149" t="s">
        <v>583</v>
      </c>
      <c r="H456" s="149">
        <v>0.0</v>
      </c>
      <c r="I456" s="149" t="s">
        <v>34</v>
      </c>
      <c r="J456" s="149" t="s">
        <v>584</v>
      </c>
      <c r="K456" s="34" t="s">
        <v>50</v>
      </c>
      <c r="L456" s="149"/>
      <c r="M456" s="149"/>
      <c r="N456" s="149" t="s">
        <v>340</v>
      </c>
      <c r="O456" s="149" t="s">
        <v>189</v>
      </c>
      <c r="P456" s="149" t="s">
        <v>546</v>
      </c>
      <c r="Q456" s="157" t="s">
        <v>390</v>
      </c>
      <c r="R456" s="152">
        <v>4500.0</v>
      </c>
      <c r="S456" s="17">
        <f>FRESADO!$R456*FRESADO!$E456</f>
        <v>4500</v>
      </c>
      <c r="T456" s="17">
        <f>FRESADO!$S456*16%</f>
        <v>720</v>
      </c>
      <c r="U456" s="17">
        <f>FRESADO!$S456+FRESADO!$T456</f>
        <v>5220</v>
      </c>
      <c r="V456" s="52" t="s">
        <v>545</v>
      </c>
      <c r="W456" s="81"/>
      <c r="X456" s="81"/>
      <c r="Y456" s="82"/>
      <c r="Z456" s="83"/>
    </row>
    <row r="457" ht="15.75" customHeight="1">
      <c r="A457" s="149">
        <v>28.0</v>
      </c>
      <c r="B457" s="149">
        <v>53.0</v>
      </c>
      <c r="C457" s="150">
        <v>1295.0</v>
      </c>
      <c r="D457" s="151">
        <v>46211.0</v>
      </c>
      <c r="E457" s="149">
        <v>1.0</v>
      </c>
      <c r="F457" s="149" t="s">
        <v>74</v>
      </c>
      <c r="G457" s="149" t="s">
        <v>405</v>
      </c>
      <c r="H457" s="149">
        <v>14.0</v>
      </c>
      <c r="I457" s="149" t="s">
        <v>34</v>
      </c>
      <c r="J457" s="149" t="s">
        <v>662</v>
      </c>
      <c r="K457" s="11" t="s">
        <v>36</v>
      </c>
      <c r="L457" s="149"/>
      <c r="M457" s="149"/>
      <c r="N457" s="149" t="s">
        <v>398</v>
      </c>
      <c r="O457" s="149" t="s">
        <v>189</v>
      </c>
      <c r="P457" s="149" t="s">
        <v>546</v>
      </c>
      <c r="Q457" s="6" t="s">
        <v>399</v>
      </c>
      <c r="R457" s="152">
        <v>3355.0</v>
      </c>
      <c r="S457" s="17">
        <f>FRESADO!$R457*FRESADO!$E457</f>
        <v>3355</v>
      </c>
      <c r="T457" s="17">
        <f>FRESADO!$S457*16%</f>
        <v>536.8</v>
      </c>
      <c r="U457" s="17">
        <f>FRESADO!$S457+FRESADO!$T457</f>
        <v>3891.8</v>
      </c>
      <c r="V457" s="123" t="s">
        <v>376</v>
      </c>
      <c r="W457" s="123" t="s">
        <v>44</v>
      </c>
      <c r="X457" s="81"/>
      <c r="Y457" s="82"/>
      <c r="Z457" s="89" t="s">
        <v>399</v>
      </c>
    </row>
    <row r="458" ht="15.75" customHeight="1">
      <c r="A458" s="149">
        <v>28.0</v>
      </c>
      <c r="B458" s="149">
        <v>54.0</v>
      </c>
      <c r="C458" s="150">
        <v>1296.0</v>
      </c>
      <c r="D458" s="151">
        <v>46211.0</v>
      </c>
      <c r="E458" s="149">
        <v>1.0</v>
      </c>
      <c r="F458" s="149" t="s">
        <v>74</v>
      </c>
      <c r="G458" s="149" t="s">
        <v>162</v>
      </c>
      <c r="H458" s="149">
        <v>14.0</v>
      </c>
      <c r="I458" s="149" t="s">
        <v>34</v>
      </c>
      <c r="J458" s="149" t="s">
        <v>83</v>
      </c>
      <c r="K458" s="11" t="s">
        <v>36</v>
      </c>
      <c r="L458" s="149"/>
      <c r="M458" s="149"/>
      <c r="N458" s="149" t="s">
        <v>398</v>
      </c>
      <c r="O458" s="149" t="s">
        <v>189</v>
      </c>
      <c r="P458" s="149" t="s">
        <v>546</v>
      </c>
      <c r="Q458" s="6" t="s">
        <v>399</v>
      </c>
      <c r="R458" s="152">
        <v>3355.0</v>
      </c>
      <c r="S458" s="17">
        <f>FRESADO!$R458*FRESADO!$E458</f>
        <v>3355</v>
      </c>
      <c r="T458" s="17">
        <f>FRESADO!$S458*16%</f>
        <v>536.8</v>
      </c>
      <c r="U458" s="17">
        <f>FRESADO!$S458+FRESADO!$T458</f>
        <v>3891.8</v>
      </c>
      <c r="V458" s="123" t="s">
        <v>376</v>
      </c>
      <c r="W458" s="123" t="s">
        <v>44</v>
      </c>
      <c r="X458" s="81"/>
      <c r="Y458" s="82"/>
      <c r="Z458" s="89" t="s">
        <v>399</v>
      </c>
    </row>
    <row r="459" ht="15.75" customHeight="1">
      <c r="A459" s="149">
        <v>28.0</v>
      </c>
      <c r="B459" s="149">
        <v>55.0</v>
      </c>
      <c r="C459" s="150">
        <v>1297.0</v>
      </c>
      <c r="D459" s="151">
        <v>46211.0</v>
      </c>
      <c r="E459" s="149">
        <v>1.0</v>
      </c>
      <c r="F459" s="149" t="s">
        <v>74</v>
      </c>
      <c r="G459" s="149" t="s">
        <v>374</v>
      </c>
      <c r="H459" s="149">
        <v>14.0</v>
      </c>
      <c r="I459" s="149" t="s">
        <v>34</v>
      </c>
      <c r="J459" s="149" t="s">
        <v>406</v>
      </c>
      <c r="K459" s="11" t="s">
        <v>36</v>
      </c>
      <c r="L459" s="149"/>
      <c r="M459" s="149"/>
      <c r="N459" s="149" t="s">
        <v>398</v>
      </c>
      <c r="O459" s="149" t="s">
        <v>189</v>
      </c>
      <c r="P459" s="149" t="s">
        <v>546</v>
      </c>
      <c r="Q459" s="6" t="s">
        <v>399</v>
      </c>
      <c r="R459" s="152">
        <v>3355.0</v>
      </c>
      <c r="S459" s="17">
        <f>FRESADO!$R459*FRESADO!$E459</f>
        <v>3355</v>
      </c>
      <c r="T459" s="17">
        <f>FRESADO!$S459*16%</f>
        <v>536.8</v>
      </c>
      <c r="U459" s="17">
        <f>FRESADO!$S459+FRESADO!$T459</f>
        <v>3891.8</v>
      </c>
      <c r="V459" s="123" t="s">
        <v>376</v>
      </c>
      <c r="W459" s="123" t="s">
        <v>44</v>
      </c>
      <c r="X459" s="81"/>
      <c r="Y459" s="82"/>
      <c r="Z459" s="89" t="s">
        <v>399</v>
      </c>
    </row>
    <row r="460" ht="15.75" customHeight="1">
      <c r="A460" s="149">
        <v>28.0</v>
      </c>
      <c r="B460" s="149">
        <v>56.0</v>
      </c>
      <c r="C460" s="150">
        <v>1298.0</v>
      </c>
      <c r="D460" s="151">
        <v>46211.0</v>
      </c>
      <c r="E460" s="149">
        <v>1.0</v>
      </c>
      <c r="F460" s="149" t="s">
        <v>74</v>
      </c>
      <c r="G460" s="149" t="s">
        <v>198</v>
      </c>
      <c r="H460" s="149">
        <v>14.0</v>
      </c>
      <c r="I460" s="149" t="s">
        <v>34</v>
      </c>
      <c r="J460" s="149" t="s">
        <v>694</v>
      </c>
      <c r="K460" s="11" t="s">
        <v>36</v>
      </c>
      <c r="L460" s="149"/>
      <c r="M460" s="149"/>
      <c r="N460" s="149" t="s">
        <v>398</v>
      </c>
      <c r="O460" s="149" t="s">
        <v>189</v>
      </c>
      <c r="P460" s="149" t="s">
        <v>546</v>
      </c>
      <c r="Q460" s="6" t="s">
        <v>399</v>
      </c>
      <c r="R460" s="152">
        <v>3355.0</v>
      </c>
      <c r="S460" s="17">
        <f>FRESADO!$R460*FRESADO!$E460</f>
        <v>3355</v>
      </c>
      <c r="T460" s="17">
        <f>FRESADO!$S460*16%</f>
        <v>536.8</v>
      </c>
      <c r="U460" s="17">
        <f>FRESADO!$S460+FRESADO!$T460</f>
        <v>3891.8</v>
      </c>
      <c r="V460" s="123" t="s">
        <v>376</v>
      </c>
      <c r="W460" s="123" t="s">
        <v>44</v>
      </c>
      <c r="X460" s="81"/>
      <c r="Y460" s="82"/>
      <c r="Z460" s="89" t="s">
        <v>399</v>
      </c>
    </row>
    <row r="461" ht="15.75" customHeight="1">
      <c r="A461" s="149">
        <v>28.0</v>
      </c>
      <c r="B461" s="149">
        <v>57.0</v>
      </c>
      <c r="C461" s="150">
        <v>1299.0</v>
      </c>
      <c r="D461" s="151">
        <v>46211.0</v>
      </c>
      <c r="E461" s="149">
        <v>1.0</v>
      </c>
      <c r="F461" s="149" t="s">
        <v>74</v>
      </c>
      <c r="G461" s="149" t="s">
        <v>479</v>
      </c>
      <c r="H461" s="149">
        <v>14.0</v>
      </c>
      <c r="I461" s="149" t="s">
        <v>34</v>
      </c>
      <c r="J461" s="149" t="s">
        <v>106</v>
      </c>
      <c r="K461" s="11" t="s">
        <v>36</v>
      </c>
      <c r="L461" s="149"/>
      <c r="M461" s="149"/>
      <c r="N461" s="149" t="s">
        <v>398</v>
      </c>
      <c r="O461" s="149" t="s">
        <v>189</v>
      </c>
      <c r="P461" s="149" t="s">
        <v>546</v>
      </c>
      <c r="Q461" s="6" t="s">
        <v>399</v>
      </c>
      <c r="R461" s="152">
        <v>3855.0</v>
      </c>
      <c r="S461" s="17">
        <f>FRESADO!$R461*FRESADO!$E461</f>
        <v>3855</v>
      </c>
      <c r="T461" s="17">
        <f>FRESADO!$S461*16%</f>
        <v>616.8</v>
      </c>
      <c r="U461" s="17">
        <f>FRESADO!$S461+FRESADO!$T461</f>
        <v>4471.8</v>
      </c>
      <c r="V461" s="123" t="s">
        <v>376</v>
      </c>
      <c r="W461" s="123" t="s">
        <v>44</v>
      </c>
      <c r="X461" s="81"/>
      <c r="Y461" s="82"/>
      <c r="Z461" s="89" t="s">
        <v>399</v>
      </c>
    </row>
    <row r="462" ht="15.75" customHeight="1">
      <c r="A462" s="149">
        <v>28.0</v>
      </c>
      <c r="B462" s="149">
        <v>58.0</v>
      </c>
      <c r="C462" s="150">
        <v>1313.0</v>
      </c>
      <c r="D462" s="151">
        <v>46211.0</v>
      </c>
      <c r="E462" s="149">
        <v>1.0</v>
      </c>
      <c r="F462" s="149" t="s">
        <v>74</v>
      </c>
      <c r="G462" s="149" t="s">
        <v>280</v>
      </c>
      <c r="H462" s="149">
        <v>14.0</v>
      </c>
      <c r="I462" s="149" t="s">
        <v>34</v>
      </c>
      <c r="J462" s="149" t="s">
        <v>272</v>
      </c>
      <c r="K462" s="11" t="s">
        <v>36</v>
      </c>
      <c r="L462" s="149"/>
      <c r="M462" s="149"/>
      <c r="N462" s="149" t="s">
        <v>340</v>
      </c>
      <c r="O462" s="149" t="s">
        <v>189</v>
      </c>
      <c r="P462" s="149" t="s">
        <v>546</v>
      </c>
      <c r="Q462" s="88"/>
      <c r="R462" s="152">
        <v>2500.0</v>
      </c>
      <c r="S462" s="17">
        <f>FRESADO!$R462*FRESADO!$E462</f>
        <v>2500</v>
      </c>
      <c r="T462" s="17">
        <f>FRESADO!$S462*16%</f>
        <v>400</v>
      </c>
      <c r="U462" s="17">
        <f>FRESADO!$S462+FRESADO!$T462</f>
        <v>2900</v>
      </c>
      <c r="V462" s="123" t="s">
        <v>376</v>
      </c>
      <c r="W462" s="123" t="s">
        <v>44</v>
      </c>
      <c r="X462" s="81"/>
      <c r="Y462" s="82"/>
      <c r="Z462" s="31" t="s">
        <v>77</v>
      </c>
    </row>
    <row r="463" ht="15.75" customHeight="1">
      <c r="A463" s="149">
        <v>28.0</v>
      </c>
      <c r="B463" s="149">
        <v>59.0</v>
      </c>
      <c r="C463" s="150">
        <v>1314.0</v>
      </c>
      <c r="D463" s="151">
        <v>46211.0</v>
      </c>
      <c r="E463" s="149">
        <v>1.0</v>
      </c>
      <c r="F463" s="149" t="s">
        <v>74</v>
      </c>
      <c r="G463" s="149" t="s">
        <v>347</v>
      </c>
      <c r="H463" s="149">
        <v>14.0</v>
      </c>
      <c r="I463" s="149" t="s">
        <v>34</v>
      </c>
      <c r="J463" s="149" t="s">
        <v>70</v>
      </c>
      <c r="K463" s="11" t="s">
        <v>36</v>
      </c>
      <c r="L463" s="149"/>
      <c r="M463" s="149"/>
      <c r="N463" s="149" t="s">
        <v>340</v>
      </c>
      <c r="O463" s="149" t="s">
        <v>189</v>
      </c>
      <c r="P463" s="149" t="s">
        <v>546</v>
      </c>
      <c r="Q463" s="88"/>
      <c r="R463" s="152">
        <v>2500.0</v>
      </c>
      <c r="S463" s="17">
        <f>FRESADO!$R463*FRESADO!$E463</f>
        <v>2500</v>
      </c>
      <c r="T463" s="17">
        <f>FRESADO!$S463*16%</f>
        <v>400</v>
      </c>
      <c r="U463" s="17">
        <f>FRESADO!$S463+FRESADO!$T463</f>
        <v>2900</v>
      </c>
      <c r="V463" s="123" t="s">
        <v>376</v>
      </c>
      <c r="W463" s="123" t="s">
        <v>44</v>
      </c>
      <c r="X463" s="81"/>
      <c r="Y463" s="82"/>
      <c r="Z463" s="31" t="s">
        <v>77</v>
      </c>
    </row>
    <row r="464" ht="15.75" customHeight="1">
      <c r="A464" s="149">
        <v>28.0</v>
      </c>
      <c r="B464" s="149">
        <v>60.0</v>
      </c>
      <c r="C464" s="150">
        <v>1315.0</v>
      </c>
      <c r="D464" s="151">
        <v>46211.0</v>
      </c>
      <c r="E464" s="149">
        <v>1.0</v>
      </c>
      <c r="F464" s="149" t="s">
        <v>74</v>
      </c>
      <c r="G464" s="149" t="s">
        <v>238</v>
      </c>
      <c r="H464" s="149">
        <v>14.0</v>
      </c>
      <c r="I464" s="149" t="s">
        <v>34</v>
      </c>
      <c r="J464" s="149" t="s">
        <v>89</v>
      </c>
      <c r="K464" s="11" t="s">
        <v>36</v>
      </c>
      <c r="L464" s="149"/>
      <c r="M464" s="149"/>
      <c r="N464" s="149" t="s">
        <v>340</v>
      </c>
      <c r="O464" s="149" t="s">
        <v>189</v>
      </c>
      <c r="P464" s="149" t="s">
        <v>546</v>
      </c>
      <c r="Q464" s="170"/>
      <c r="R464" s="152">
        <v>2500.0</v>
      </c>
      <c r="S464" s="17">
        <f>FRESADO!$R464*FRESADO!$E464</f>
        <v>2500</v>
      </c>
      <c r="T464" s="17">
        <f>FRESADO!$S464*16%</f>
        <v>400</v>
      </c>
      <c r="U464" s="17">
        <f>FRESADO!$S464+FRESADO!$T464</f>
        <v>2900</v>
      </c>
      <c r="V464" s="123" t="s">
        <v>376</v>
      </c>
      <c r="W464" s="123" t="s">
        <v>44</v>
      </c>
      <c r="X464" s="81"/>
      <c r="Y464" s="82"/>
      <c r="Z464" s="31" t="s">
        <v>77</v>
      </c>
    </row>
    <row r="465" ht="15.75" customHeight="1">
      <c r="A465" s="149">
        <v>28.0</v>
      </c>
      <c r="B465" s="149">
        <v>61.0</v>
      </c>
      <c r="C465" s="150">
        <v>1316.0</v>
      </c>
      <c r="D465" s="151">
        <v>46211.0</v>
      </c>
      <c r="E465" s="149">
        <v>1.0</v>
      </c>
      <c r="F465" s="149" t="s">
        <v>74</v>
      </c>
      <c r="G465" s="149" t="s">
        <v>280</v>
      </c>
      <c r="H465" s="149">
        <v>14.0</v>
      </c>
      <c r="I465" s="149" t="s">
        <v>34</v>
      </c>
      <c r="J465" s="149" t="s">
        <v>272</v>
      </c>
      <c r="K465" s="11" t="s">
        <v>36</v>
      </c>
      <c r="L465" s="149"/>
      <c r="M465" s="149"/>
      <c r="N465" s="149" t="s">
        <v>340</v>
      </c>
      <c r="O465" s="149" t="s">
        <v>189</v>
      </c>
      <c r="P465" s="149" t="s">
        <v>546</v>
      </c>
      <c r="Q465" s="88"/>
      <c r="R465" s="152">
        <v>2500.0</v>
      </c>
      <c r="S465" s="17">
        <f>FRESADO!$R465*FRESADO!$E465</f>
        <v>2500</v>
      </c>
      <c r="T465" s="17">
        <f>FRESADO!$S465*16%</f>
        <v>400</v>
      </c>
      <c r="U465" s="17">
        <f>FRESADO!$S465+FRESADO!$T465</f>
        <v>2900</v>
      </c>
      <c r="V465" s="123" t="s">
        <v>376</v>
      </c>
      <c r="W465" s="123" t="s">
        <v>44</v>
      </c>
      <c r="X465" s="81"/>
      <c r="Y465" s="82"/>
      <c r="Z465" s="31" t="s">
        <v>77</v>
      </c>
    </row>
    <row r="466" ht="15.75" customHeight="1">
      <c r="A466" s="149">
        <v>28.0</v>
      </c>
      <c r="B466" s="149">
        <v>62.0</v>
      </c>
      <c r="C466" s="150">
        <v>1317.0</v>
      </c>
      <c r="D466" s="151">
        <v>46211.0</v>
      </c>
      <c r="E466" s="149">
        <v>1.0</v>
      </c>
      <c r="F466" s="149" t="s">
        <v>74</v>
      </c>
      <c r="G466" s="149" t="s">
        <v>347</v>
      </c>
      <c r="H466" s="149">
        <v>14.0</v>
      </c>
      <c r="I466" s="149" t="s">
        <v>34</v>
      </c>
      <c r="J466" s="149" t="s">
        <v>70</v>
      </c>
      <c r="K466" s="11" t="s">
        <v>36</v>
      </c>
      <c r="L466" s="149"/>
      <c r="M466" s="149"/>
      <c r="N466" s="149" t="s">
        <v>340</v>
      </c>
      <c r="O466" s="149" t="s">
        <v>189</v>
      </c>
      <c r="P466" s="149" t="s">
        <v>546</v>
      </c>
      <c r="Q466" s="88"/>
      <c r="R466" s="152">
        <v>2500.0</v>
      </c>
      <c r="S466" s="17">
        <f>FRESADO!$R466*FRESADO!$E466</f>
        <v>2500</v>
      </c>
      <c r="T466" s="17">
        <f>FRESADO!$S466*16%</f>
        <v>400</v>
      </c>
      <c r="U466" s="17">
        <f>FRESADO!$S466+FRESADO!$T466</f>
        <v>2900</v>
      </c>
      <c r="V466" s="123" t="s">
        <v>376</v>
      </c>
      <c r="W466" s="123" t="s">
        <v>44</v>
      </c>
      <c r="X466" s="81"/>
      <c r="Y466" s="82"/>
      <c r="Z466" s="31" t="s">
        <v>77</v>
      </c>
    </row>
    <row r="467" ht="15.75" customHeight="1">
      <c r="A467" s="149">
        <v>28.0</v>
      </c>
      <c r="B467" s="149">
        <v>63.0</v>
      </c>
      <c r="C467" s="150">
        <v>1318.0</v>
      </c>
      <c r="D467" s="151">
        <v>46211.0</v>
      </c>
      <c r="E467" s="149">
        <v>1.0</v>
      </c>
      <c r="F467" s="149" t="s">
        <v>74</v>
      </c>
      <c r="G467" s="149" t="s">
        <v>238</v>
      </c>
      <c r="H467" s="149">
        <v>14.0</v>
      </c>
      <c r="I467" s="149" t="s">
        <v>34</v>
      </c>
      <c r="J467" s="149" t="s">
        <v>89</v>
      </c>
      <c r="K467" s="11" t="s">
        <v>36</v>
      </c>
      <c r="L467" s="149"/>
      <c r="M467" s="149"/>
      <c r="N467" s="149" t="s">
        <v>340</v>
      </c>
      <c r="O467" s="149" t="s">
        <v>189</v>
      </c>
      <c r="P467" s="149" t="s">
        <v>546</v>
      </c>
      <c r="Q467" s="88"/>
      <c r="R467" s="152">
        <v>2500.0</v>
      </c>
      <c r="S467" s="17">
        <f>FRESADO!$R467*FRESADO!$E467</f>
        <v>2500</v>
      </c>
      <c r="T467" s="17">
        <f>FRESADO!$S467*16%</f>
        <v>400</v>
      </c>
      <c r="U467" s="17">
        <f>FRESADO!$S467+FRESADO!$T467</f>
        <v>2900</v>
      </c>
      <c r="V467" s="123" t="s">
        <v>376</v>
      </c>
      <c r="W467" s="123" t="s">
        <v>44</v>
      </c>
      <c r="X467" s="81"/>
      <c r="Y467" s="82"/>
      <c r="Z467" s="31" t="s">
        <v>77</v>
      </c>
    </row>
    <row r="468" ht="15.75" customHeight="1">
      <c r="A468" s="149">
        <v>28.0</v>
      </c>
      <c r="B468" s="149">
        <v>64.0</v>
      </c>
      <c r="C468" s="150">
        <v>1319.0</v>
      </c>
      <c r="D468" s="151">
        <v>46211.0</v>
      </c>
      <c r="E468" s="149">
        <v>1.0</v>
      </c>
      <c r="F468" s="149" t="s">
        <v>74</v>
      </c>
      <c r="G468" s="149" t="s">
        <v>280</v>
      </c>
      <c r="H468" s="149">
        <v>14.0</v>
      </c>
      <c r="I468" s="149" t="s">
        <v>34</v>
      </c>
      <c r="J468" s="149" t="s">
        <v>272</v>
      </c>
      <c r="K468" s="11" t="s">
        <v>36</v>
      </c>
      <c r="L468" s="149"/>
      <c r="M468" s="149"/>
      <c r="N468" s="149" t="s">
        <v>340</v>
      </c>
      <c r="O468" s="149" t="s">
        <v>189</v>
      </c>
      <c r="P468" s="149" t="s">
        <v>546</v>
      </c>
      <c r="Q468" s="88"/>
      <c r="R468" s="152">
        <v>2500.0</v>
      </c>
      <c r="S468" s="17">
        <f>FRESADO!$R468*FRESADO!$E468</f>
        <v>2500</v>
      </c>
      <c r="T468" s="17">
        <f>FRESADO!$S468*16%</f>
        <v>400</v>
      </c>
      <c r="U468" s="17">
        <f>FRESADO!$S468+FRESADO!$T468</f>
        <v>2900</v>
      </c>
      <c r="V468" s="123" t="s">
        <v>376</v>
      </c>
      <c r="W468" s="123" t="s">
        <v>44</v>
      </c>
      <c r="X468" s="81"/>
      <c r="Y468" s="82"/>
      <c r="Z468" s="31" t="s">
        <v>77</v>
      </c>
    </row>
    <row r="469" ht="15.75" customHeight="1">
      <c r="A469" s="149">
        <v>28.0</v>
      </c>
      <c r="B469" s="149">
        <v>65.0</v>
      </c>
      <c r="C469" s="150">
        <v>1320.0</v>
      </c>
      <c r="D469" s="151">
        <v>46211.0</v>
      </c>
      <c r="E469" s="149">
        <v>1.0</v>
      </c>
      <c r="F469" s="149" t="s">
        <v>74</v>
      </c>
      <c r="G469" s="149" t="s">
        <v>347</v>
      </c>
      <c r="H469" s="149">
        <v>14.0</v>
      </c>
      <c r="I469" s="149" t="s">
        <v>34</v>
      </c>
      <c r="J469" s="149" t="s">
        <v>70</v>
      </c>
      <c r="K469" s="11" t="s">
        <v>36</v>
      </c>
      <c r="L469" s="149"/>
      <c r="M469" s="149"/>
      <c r="N469" s="149" t="s">
        <v>340</v>
      </c>
      <c r="O469" s="149" t="s">
        <v>189</v>
      </c>
      <c r="P469" s="149" t="s">
        <v>546</v>
      </c>
      <c r="Q469" s="88"/>
      <c r="R469" s="152">
        <v>2500.0</v>
      </c>
      <c r="S469" s="17">
        <f>FRESADO!$R469*FRESADO!$E469</f>
        <v>2500</v>
      </c>
      <c r="T469" s="17">
        <f>FRESADO!$S469*16%</f>
        <v>400</v>
      </c>
      <c r="U469" s="17">
        <f>FRESADO!$S469+FRESADO!$T469</f>
        <v>2900</v>
      </c>
      <c r="V469" s="123" t="s">
        <v>376</v>
      </c>
      <c r="W469" s="123" t="s">
        <v>44</v>
      </c>
      <c r="X469" s="81"/>
      <c r="Y469" s="82"/>
      <c r="Z469" s="31" t="s">
        <v>77</v>
      </c>
    </row>
    <row r="470" ht="15.75" customHeight="1">
      <c r="A470" s="149">
        <v>28.0</v>
      </c>
      <c r="B470" s="149">
        <v>66.0</v>
      </c>
      <c r="C470" s="150">
        <v>1321.0</v>
      </c>
      <c r="D470" s="151">
        <v>46211.0</v>
      </c>
      <c r="E470" s="149">
        <v>1.0</v>
      </c>
      <c r="F470" s="149" t="s">
        <v>74</v>
      </c>
      <c r="G470" s="149" t="s">
        <v>238</v>
      </c>
      <c r="H470" s="149">
        <v>14.0</v>
      </c>
      <c r="I470" s="149" t="s">
        <v>34</v>
      </c>
      <c r="J470" s="149" t="s">
        <v>89</v>
      </c>
      <c r="K470" s="11" t="s">
        <v>36</v>
      </c>
      <c r="L470" s="149"/>
      <c r="M470" s="149"/>
      <c r="N470" s="149" t="s">
        <v>340</v>
      </c>
      <c r="O470" s="149" t="s">
        <v>189</v>
      </c>
      <c r="P470" s="149" t="s">
        <v>546</v>
      </c>
      <c r="Q470" s="88"/>
      <c r="R470" s="152">
        <v>2500.0</v>
      </c>
      <c r="S470" s="17">
        <f>FRESADO!$R470*FRESADO!$E470</f>
        <v>2500</v>
      </c>
      <c r="T470" s="17">
        <f>FRESADO!$S470*16%</f>
        <v>400</v>
      </c>
      <c r="U470" s="17">
        <f>FRESADO!$S470+FRESADO!$T470</f>
        <v>2900</v>
      </c>
      <c r="V470" s="123" t="s">
        <v>376</v>
      </c>
      <c r="W470" s="123" t="s">
        <v>44</v>
      </c>
      <c r="X470" s="81"/>
      <c r="Y470" s="82"/>
      <c r="Z470" s="31" t="s">
        <v>77</v>
      </c>
    </row>
    <row r="471" ht="15.75" customHeight="1">
      <c r="A471" s="149">
        <v>28.0</v>
      </c>
      <c r="B471" s="149">
        <v>67.0</v>
      </c>
      <c r="C471" s="150">
        <v>1322.0</v>
      </c>
      <c r="D471" s="151">
        <v>46211.0</v>
      </c>
      <c r="E471" s="149">
        <v>1.0</v>
      </c>
      <c r="F471" s="149" t="s">
        <v>74</v>
      </c>
      <c r="G471" s="149" t="s">
        <v>280</v>
      </c>
      <c r="H471" s="149">
        <v>14.0</v>
      </c>
      <c r="I471" s="149" t="s">
        <v>34</v>
      </c>
      <c r="J471" s="149" t="s">
        <v>272</v>
      </c>
      <c r="K471" s="11" t="s">
        <v>36</v>
      </c>
      <c r="L471" s="149"/>
      <c r="M471" s="149"/>
      <c r="N471" s="149" t="s">
        <v>340</v>
      </c>
      <c r="O471" s="149" t="s">
        <v>189</v>
      </c>
      <c r="P471" s="149" t="s">
        <v>546</v>
      </c>
      <c r="Q471" s="171"/>
      <c r="R471" s="152">
        <v>2500.0</v>
      </c>
      <c r="S471" s="17">
        <f>FRESADO!$R471*FRESADO!$E471</f>
        <v>2500</v>
      </c>
      <c r="T471" s="17">
        <f>FRESADO!$S471*16%</f>
        <v>400</v>
      </c>
      <c r="U471" s="17">
        <f>FRESADO!$S471+FRESADO!$T471</f>
        <v>2900</v>
      </c>
      <c r="V471" s="123" t="s">
        <v>376</v>
      </c>
      <c r="W471" s="123" t="s">
        <v>44</v>
      </c>
      <c r="X471" s="81"/>
      <c r="Y471" s="82"/>
      <c r="Z471" s="31" t="s">
        <v>77</v>
      </c>
    </row>
    <row r="472" ht="15.75" customHeight="1">
      <c r="A472" s="149">
        <v>28.0</v>
      </c>
      <c r="B472" s="149">
        <v>68.0</v>
      </c>
      <c r="C472" s="150">
        <v>1323.0</v>
      </c>
      <c r="D472" s="151">
        <v>46211.0</v>
      </c>
      <c r="E472" s="149">
        <v>1.0</v>
      </c>
      <c r="F472" s="149" t="s">
        <v>74</v>
      </c>
      <c r="G472" s="149" t="s">
        <v>347</v>
      </c>
      <c r="H472" s="149">
        <v>14.0</v>
      </c>
      <c r="I472" s="149" t="s">
        <v>34</v>
      </c>
      <c r="J472" s="149" t="s">
        <v>70</v>
      </c>
      <c r="K472" s="11" t="s">
        <v>36</v>
      </c>
      <c r="L472" s="149"/>
      <c r="M472" s="149"/>
      <c r="N472" s="149" t="s">
        <v>340</v>
      </c>
      <c r="O472" s="149" t="s">
        <v>189</v>
      </c>
      <c r="P472" s="149" t="s">
        <v>546</v>
      </c>
      <c r="Q472" s="88"/>
      <c r="R472" s="152">
        <v>2500.0</v>
      </c>
      <c r="S472" s="17">
        <f>FRESADO!$R472*FRESADO!$E472</f>
        <v>2500</v>
      </c>
      <c r="T472" s="17">
        <f>FRESADO!$S472*16%</f>
        <v>400</v>
      </c>
      <c r="U472" s="17">
        <f>FRESADO!$S472+FRESADO!$T472</f>
        <v>2900</v>
      </c>
      <c r="V472" s="123" t="s">
        <v>376</v>
      </c>
      <c r="W472" s="123" t="s">
        <v>44</v>
      </c>
      <c r="X472" s="81"/>
      <c r="Y472" s="82"/>
      <c r="Z472" s="31" t="s">
        <v>77</v>
      </c>
    </row>
    <row r="473" ht="15.75" customHeight="1">
      <c r="A473" s="149">
        <v>28.0</v>
      </c>
      <c r="B473" s="149">
        <v>69.0</v>
      </c>
      <c r="C473" s="150">
        <v>1324.0</v>
      </c>
      <c r="D473" s="151">
        <v>46211.0</v>
      </c>
      <c r="E473" s="149">
        <v>1.0</v>
      </c>
      <c r="F473" s="149" t="s">
        <v>74</v>
      </c>
      <c r="G473" s="149" t="s">
        <v>238</v>
      </c>
      <c r="H473" s="149">
        <v>14.0</v>
      </c>
      <c r="I473" s="149" t="s">
        <v>34</v>
      </c>
      <c r="J473" s="149" t="s">
        <v>89</v>
      </c>
      <c r="K473" s="11" t="s">
        <v>36</v>
      </c>
      <c r="L473" s="149"/>
      <c r="M473" s="149"/>
      <c r="N473" s="149" t="s">
        <v>340</v>
      </c>
      <c r="O473" s="149" t="s">
        <v>189</v>
      </c>
      <c r="P473" s="149" t="s">
        <v>546</v>
      </c>
      <c r="Q473" s="171"/>
      <c r="R473" s="152">
        <v>2500.0</v>
      </c>
      <c r="S473" s="17">
        <f>FRESADO!$R473*FRESADO!$E473</f>
        <v>2500</v>
      </c>
      <c r="T473" s="17">
        <f>FRESADO!$S473*16%</f>
        <v>400</v>
      </c>
      <c r="U473" s="17">
        <f>FRESADO!$S473+FRESADO!$T473</f>
        <v>2900</v>
      </c>
      <c r="V473" s="123" t="s">
        <v>376</v>
      </c>
      <c r="W473" s="123" t="s">
        <v>44</v>
      </c>
      <c r="X473" s="81"/>
      <c r="Y473" s="82"/>
      <c r="Z473" s="31" t="s">
        <v>77</v>
      </c>
    </row>
    <row r="474" ht="15.75" customHeight="1">
      <c r="A474" s="149">
        <v>28.0</v>
      </c>
      <c r="B474" s="149">
        <v>70.0</v>
      </c>
      <c r="C474" s="150">
        <v>1325.0</v>
      </c>
      <c r="D474" s="151">
        <v>46211.0</v>
      </c>
      <c r="E474" s="149">
        <v>1.0</v>
      </c>
      <c r="F474" s="149" t="s">
        <v>74</v>
      </c>
      <c r="G474" s="149" t="s">
        <v>280</v>
      </c>
      <c r="H474" s="149">
        <v>14.0</v>
      </c>
      <c r="I474" s="149" t="s">
        <v>34</v>
      </c>
      <c r="J474" s="149" t="s">
        <v>272</v>
      </c>
      <c r="K474" s="11" t="s">
        <v>36</v>
      </c>
      <c r="L474" s="149"/>
      <c r="M474" s="149"/>
      <c r="N474" s="149" t="s">
        <v>340</v>
      </c>
      <c r="O474" s="149" t="s">
        <v>189</v>
      </c>
      <c r="P474" s="149" t="s">
        <v>546</v>
      </c>
      <c r="Q474" s="171"/>
      <c r="R474" s="152">
        <v>2500.0</v>
      </c>
      <c r="S474" s="17">
        <f>FRESADO!$R474*FRESADO!$E474</f>
        <v>2500</v>
      </c>
      <c r="T474" s="17">
        <f>FRESADO!$S474*16%</f>
        <v>400</v>
      </c>
      <c r="U474" s="17">
        <f>FRESADO!$S474+FRESADO!$T474</f>
        <v>2900</v>
      </c>
      <c r="V474" s="123" t="s">
        <v>376</v>
      </c>
      <c r="W474" s="123" t="s">
        <v>44</v>
      </c>
      <c r="X474" s="81"/>
      <c r="Y474" s="82"/>
      <c r="Z474" s="31" t="s">
        <v>77</v>
      </c>
    </row>
    <row r="475" ht="15.75" customHeight="1">
      <c r="A475" s="149">
        <v>28.0</v>
      </c>
      <c r="B475" s="149">
        <v>71.0</v>
      </c>
      <c r="C475" s="150">
        <v>1326.0</v>
      </c>
      <c r="D475" s="151">
        <v>46211.0</v>
      </c>
      <c r="E475" s="149">
        <v>1.0</v>
      </c>
      <c r="F475" s="149" t="s">
        <v>74</v>
      </c>
      <c r="G475" s="149" t="s">
        <v>347</v>
      </c>
      <c r="H475" s="149">
        <v>14.0</v>
      </c>
      <c r="I475" s="149" t="s">
        <v>34</v>
      </c>
      <c r="J475" s="149" t="s">
        <v>70</v>
      </c>
      <c r="K475" s="11" t="s">
        <v>36</v>
      </c>
      <c r="L475" s="149"/>
      <c r="M475" s="149"/>
      <c r="N475" s="149" t="s">
        <v>340</v>
      </c>
      <c r="O475" s="149" t="s">
        <v>189</v>
      </c>
      <c r="P475" s="149" t="s">
        <v>546</v>
      </c>
      <c r="Q475" s="88"/>
      <c r="R475" s="152">
        <v>2500.0</v>
      </c>
      <c r="S475" s="17">
        <f>FRESADO!$R475*FRESADO!$E475</f>
        <v>2500</v>
      </c>
      <c r="T475" s="17">
        <f>FRESADO!$S475*16%</f>
        <v>400</v>
      </c>
      <c r="U475" s="17">
        <f>FRESADO!$S475+FRESADO!$T475</f>
        <v>2900</v>
      </c>
      <c r="V475" s="123" t="s">
        <v>376</v>
      </c>
      <c r="W475" s="123" t="s">
        <v>44</v>
      </c>
      <c r="X475" s="81"/>
      <c r="Y475" s="82"/>
      <c r="Z475" s="31" t="s">
        <v>77</v>
      </c>
    </row>
    <row r="476" ht="15.75" customHeight="1">
      <c r="A476" s="149">
        <v>28.0</v>
      </c>
      <c r="B476" s="149">
        <v>72.0</v>
      </c>
      <c r="C476" s="150">
        <v>1327.0</v>
      </c>
      <c r="D476" s="151">
        <v>46211.0</v>
      </c>
      <c r="E476" s="149">
        <v>1.0</v>
      </c>
      <c r="F476" s="149" t="s">
        <v>74</v>
      </c>
      <c r="G476" s="149" t="s">
        <v>347</v>
      </c>
      <c r="H476" s="149">
        <v>14.0</v>
      </c>
      <c r="I476" s="149" t="s">
        <v>34</v>
      </c>
      <c r="J476" s="149" t="s">
        <v>89</v>
      </c>
      <c r="K476" s="11" t="s">
        <v>36</v>
      </c>
      <c r="L476" s="149"/>
      <c r="M476" s="149"/>
      <c r="N476" s="149" t="s">
        <v>340</v>
      </c>
      <c r="O476" s="149" t="s">
        <v>189</v>
      </c>
      <c r="P476" s="149" t="s">
        <v>546</v>
      </c>
      <c r="Q476" s="171"/>
      <c r="R476" s="152">
        <v>2500.0</v>
      </c>
      <c r="S476" s="17">
        <f>FRESADO!$R476*FRESADO!$E476</f>
        <v>2500</v>
      </c>
      <c r="T476" s="17">
        <f>FRESADO!$S476*16%</f>
        <v>400</v>
      </c>
      <c r="U476" s="17">
        <f>FRESADO!$S476+FRESADO!$T476</f>
        <v>2900</v>
      </c>
      <c r="V476" s="123" t="s">
        <v>376</v>
      </c>
      <c r="W476" s="123" t="s">
        <v>44</v>
      </c>
      <c r="X476" s="81"/>
      <c r="Y476" s="82"/>
      <c r="Z476" s="31" t="s">
        <v>77</v>
      </c>
    </row>
    <row r="477" ht="15.75" customHeight="1">
      <c r="A477" s="149">
        <v>28.0</v>
      </c>
      <c r="B477" s="149">
        <v>73.0</v>
      </c>
      <c r="C477" s="150">
        <v>1328.0</v>
      </c>
      <c r="D477" s="151">
        <v>46211.0</v>
      </c>
      <c r="E477" s="149">
        <v>1.0</v>
      </c>
      <c r="F477" s="149" t="s">
        <v>74</v>
      </c>
      <c r="G477" s="149" t="s">
        <v>280</v>
      </c>
      <c r="H477" s="149">
        <v>14.0</v>
      </c>
      <c r="I477" s="149" t="s">
        <v>34</v>
      </c>
      <c r="J477" s="149" t="s">
        <v>272</v>
      </c>
      <c r="K477" s="11" t="s">
        <v>36</v>
      </c>
      <c r="L477" s="149"/>
      <c r="M477" s="149"/>
      <c r="N477" s="149" t="s">
        <v>340</v>
      </c>
      <c r="O477" s="149" t="s">
        <v>189</v>
      </c>
      <c r="P477" s="149" t="s">
        <v>546</v>
      </c>
      <c r="Q477" s="171"/>
      <c r="R477" s="152">
        <v>2500.0</v>
      </c>
      <c r="S477" s="17">
        <f>FRESADO!$R477*FRESADO!$E477</f>
        <v>2500</v>
      </c>
      <c r="T477" s="17">
        <f>FRESADO!$S477*16%</f>
        <v>400</v>
      </c>
      <c r="U477" s="17">
        <f>FRESADO!$S477+FRESADO!$T477</f>
        <v>2900</v>
      </c>
      <c r="V477" s="123" t="s">
        <v>376</v>
      </c>
      <c r="W477" s="123" t="s">
        <v>44</v>
      </c>
      <c r="X477" s="81"/>
      <c r="Y477" s="82"/>
      <c r="Z477" s="31" t="s">
        <v>77</v>
      </c>
    </row>
    <row r="478" ht="15.75" customHeight="1">
      <c r="A478" s="149">
        <v>28.0</v>
      </c>
      <c r="B478" s="149">
        <v>74.0</v>
      </c>
      <c r="C478" s="150">
        <v>1329.0</v>
      </c>
      <c r="D478" s="151">
        <v>46211.0</v>
      </c>
      <c r="E478" s="149">
        <v>1.0</v>
      </c>
      <c r="F478" s="149" t="s">
        <v>74</v>
      </c>
      <c r="G478" s="149" t="s">
        <v>347</v>
      </c>
      <c r="H478" s="149">
        <v>14.0</v>
      </c>
      <c r="I478" s="149" t="s">
        <v>34</v>
      </c>
      <c r="J478" s="149" t="s">
        <v>70</v>
      </c>
      <c r="K478" s="11" t="s">
        <v>36</v>
      </c>
      <c r="L478" s="149"/>
      <c r="M478" s="149"/>
      <c r="N478" s="149" t="s">
        <v>340</v>
      </c>
      <c r="O478" s="149" t="s">
        <v>189</v>
      </c>
      <c r="P478" s="149" t="s">
        <v>546</v>
      </c>
      <c r="Q478" s="88"/>
      <c r="R478" s="152">
        <v>2500.0</v>
      </c>
      <c r="S478" s="17">
        <f>FRESADO!$R478*FRESADO!$E478</f>
        <v>2500</v>
      </c>
      <c r="T478" s="17">
        <f>FRESADO!$S478*16%</f>
        <v>400</v>
      </c>
      <c r="U478" s="17">
        <f>FRESADO!$S478+FRESADO!$T478</f>
        <v>2900</v>
      </c>
      <c r="V478" s="123" t="s">
        <v>376</v>
      </c>
      <c r="W478" s="123" t="s">
        <v>44</v>
      </c>
      <c r="X478" s="81"/>
      <c r="Y478" s="82"/>
      <c r="Z478" s="31" t="s">
        <v>77</v>
      </c>
    </row>
    <row r="479" ht="15.75" customHeight="1">
      <c r="A479" s="149">
        <v>28.0</v>
      </c>
      <c r="B479" s="149">
        <v>75.0</v>
      </c>
      <c r="C479" s="150">
        <v>1330.0</v>
      </c>
      <c r="D479" s="151">
        <v>46211.0</v>
      </c>
      <c r="E479" s="149">
        <v>1.0</v>
      </c>
      <c r="F479" s="149" t="s">
        <v>74</v>
      </c>
      <c r="G479" s="149" t="s">
        <v>347</v>
      </c>
      <c r="H479" s="149">
        <v>14.0</v>
      </c>
      <c r="I479" s="149" t="s">
        <v>34</v>
      </c>
      <c r="J479" s="149" t="s">
        <v>70</v>
      </c>
      <c r="K479" s="11" t="s">
        <v>36</v>
      </c>
      <c r="L479" s="149"/>
      <c r="M479" s="149"/>
      <c r="N479" s="149" t="s">
        <v>340</v>
      </c>
      <c r="O479" s="149" t="s">
        <v>189</v>
      </c>
      <c r="P479" s="149" t="s">
        <v>546</v>
      </c>
      <c r="Q479" s="88"/>
      <c r="R479" s="152">
        <v>2500.0</v>
      </c>
      <c r="S479" s="17">
        <f>FRESADO!$R479*FRESADO!$E479</f>
        <v>2500</v>
      </c>
      <c r="T479" s="17">
        <f>FRESADO!$S479*16%</f>
        <v>400</v>
      </c>
      <c r="U479" s="17">
        <f>FRESADO!$S479+FRESADO!$T479</f>
        <v>2900</v>
      </c>
      <c r="V479" s="123" t="s">
        <v>376</v>
      </c>
      <c r="W479" s="123" t="s">
        <v>44</v>
      </c>
      <c r="X479" s="81"/>
      <c r="Y479" s="82"/>
      <c r="Z479" s="31" t="s">
        <v>77</v>
      </c>
    </row>
    <row r="480" ht="15.75" customHeight="1">
      <c r="A480" s="149">
        <v>28.0</v>
      </c>
      <c r="B480" s="149">
        <v>76.0</v>
      </c>
      <c r="C480" s="150">
        <v>1331.0</v>
      </c>
      <c r="D480" s="151">
        <v>46211.0</v>
      </c>
      <c r="E480" s="149">
        <v>1.0</v>
      </c>
      <c r="F480" s="149" t="s">
        <v>74</v>
      </c>
      <c r="G480" s="149" t="s">
        <v>238</v>
      </c>
      <c r="H480" s="149">
        <v>14.0</v>
      </c>
      <c r="I480" s="149" t="s">
        <v>34</v>
      </c>
      <c r="J480" s="149" t="s">
        <v>89</v>
      </c>
      <c r="K480" s="11" t="s">
        <v>36</v>
      </c>
      <c r="L480" s="149"/>
      <c r="M480" s="149"/>
      <c r="N480" s="149" t="s">
        <v>340</v>
      </c>
      <c r="O480" s="149" t="s">
        <v>189</v>
      </c>
      <c r="P480" s="149" t="s">
        <v>546</v>
      </c>
      <c r="Q480" s="171"/>
      <c r="R480" s="152">
        <v>2500.0</v>
      </c>
      <c r="S480" s="17">
        <f>FRESADO!$R480*FRESADO!$E480</f>
        <v>2500</v>
      </c>
      <c r="T480" s="17">
        <f>FRESADO!$S480*16%</f>
        <v>400</v>
      </c>
      <c r="U480" s="17">
        <f>FRESADO!$S480+FRESADO!$T480</f>
        <v>2900</v>
      </c>
      <c r="V480" s="123" t="s">
        <v>376</v>
      </c>
      <c r="W480" s="123" t="s">
        <v>44</v>
      </c>
      <c r="X480" s="81"/>
      <c r="Y480" s="82"/>
      <c r="Z480" s="31" t="s">
        <v>77</v>
      </c>
    </row>
    <row r="481" ht="15.75" customHeight="1">
      <c r="A481" s="149">
        <v>28.0</v>
      </c>
      <c r="B481" s="149">
        <v>77.0</v>
      </c>
      <c r="C481" s="150">
        <v>1332.0</v>
      </c>
      <c r="D481" s="151">
        <v>46211.0</v>
      </c>
      <c r="E481" s="149">
        <v>1.0</v>
      </c>
      <c r="F481" s="149" t="s">
        <v>74</v>
      </c>
      <c r="G481" s="149" t="s">
        <v>198</v>
      </c>
      <c r="H481" s="149">
        <v>14.0</v>
      </c>
      <c r="I481" s="149" t="s">
        <v>34</v>
      </c>
      <c r="J481" s="149" t="s">
        <v>694</v>
      </c>
      <c r="K481" s="11" t="s">
        <v>36</v>
      </c>
      <c r="L481" s="149"/>
      <c r="M481" s="149"/>
      <c r="N481" s="149" t="s">
        <v>398</v>
      </c>
      <c r="O481" s="149" t="s">
        <v>189</v>
      </c>
      <c r="P481" s="149" t="s">
        <v>546</v>
      </c>
      <c r="Q481" s="6" t="s">
        <v>399</v>
      </c>
      <c r="R481" s="152">
        <v>3355.0</v>
      </c>
      <c r="S481" s="17">
        <f>FRESADO!$R481*FRESADO!$E481</f>
        <v>3355</v>
      </c>
      <c r="T481" s="17">
        <f>FRESADO!$S481*16%</f>
        <v>536.8</v>
      </c>
      <c r="U481" s="17">
        <f>FRESADO!$S481+FRESADO!$T481</f>
        <v>3891.8</v>
      </c>
      <c r="V481" s="123" t="s">
        <v>376</v>
      </c>
      <c r="W481" s="123" t="s">
        <v>44</v>
      </c>
      <c r="X481" s="81"/>
      <c r="Y481" s="82"/>
      <c r="Z481" s="89" t="s">
        <v>399</v>
      </c>
    </row>
    <row r="482" ht="15.75" customHeight="1">
      <c r="A482" s="149">
        <v>28.0</v>
      </c>
      <c r="B482" s="149">
        <v>78.0</v>
      </c>
      <c r="C482" s="150">
        <v>1333.0</v>
      </c>
      <c r="D482" s="151">
        <v>46211.0</v>
      </c>
      <c r="E482" s="149">
        <v>1.0</v>
      </c>
      <c r="F482" s="149" t="s">
        <v>74</v>
      </c>
      <c r="G482" s="149" t="s">
        <v>479</v>
      </c>
      <c r="H482" s="149">
        <v>14.0</v>
      </c>
      <c r="I482" s="149" t="s">
        <v>34</v>
      </c>
      <c r="J482" s="149" t="s">
        <v>106</v>
      </c>
      <c r="K482" s="11" t="s">
        <v>36</v>
      </c>
      <c r="L482" s="149"/>
      <c r="M482" s="149"/>
      <c r="N482" s="149" t="s">
        <v>398</v>
      </c>
      <c r="O482" s="149" t="s">
        <v>189</v>
      </c>
      <c r="P482" s="149" t="s">
        <v>546</v>
      </c>
      <c r="Q482" s="6" t="s">
        <v>399</v>
      </c>
      <c r="R482" s="152">
        <v>3855.0</v>
      </c>
      <c r="S482" s="17">
        <f>FRESADO!$R482*FRESADO!$E482</f>
        <v>3855</v>
      </c>
      <c r="T482" s="17">
        <f>FRESADO!$S482*16%</f>
        <v>616.8</v>
      </c>
      <c r="U482" s="17">
        <f>FRESADO!$S482+FRESADO!$T482</f>
        <v>4471.8</v>
      </c>
      <c r="V482" s="123" t="s">
        <v>376</v>
      </c>
      <c r="W482" s="123" t="s">
        <v>44</v>
      </c>
      <c r="X482" s="81"/>
      <c r="Y482" s="82"/>
      <c r="Z482" s="89" t="s">
        <v>399</v>
      </c>
    </row>
    <row r="483" ht="15.75" customHeight="1">
      <c r="A483" s="149">
        <v>28.0</v>
      </c>
      <c r="B483" s="149">
        <v>79.0</v>
      </c>
      <c r="C483" s="150">
        <v>1334.0</v>
      </c>
      <c r="D483" s="151">
        <v>46211.0</v>
      </c>
      <c r="E483" s="149">
        <v>1.0</v>
      </c>
      <c r="F483" s="149" t="s">
        <v>74</v>
      </c>
      <c r="G483" s="149" t="s">
        <v>162</v>
      </c>
      <c r="H483" s="149">
        <v>14.0</v>
      </c>
      <c r="I483" s="149" t="s">
        <v>34</v>
      </c>
      <c r="J483" s="149" t="s">
        <v>83</v>
      </c>
      <c r="K483" s="11" t="s">
        <v>36</v>
      </c>
      <c r="L483" s="149"/>
      <c r="M483" s="149"/>
      <c r="N483" s="149" t="s">
        <v>398</v>
      </c>
      <c r="O483" s="149" t="s">
        <v>189</v>
      </c>
      <c r="P483" s="149" t="s">
        <v>546</v>
      </c>
      <c r="Q483" s="6" t="s">
        <v>399</v>
      </c>
      <c r="R483" s="152">
        <v>3355.0</v>
      </c>
      <c r="S483" s="17">
        <f>FRESADO!$R483*FRESADO!$E483</f>
        <v>3355</v>
      </c>
      <c r="T483" s="17">
        <f>FRESADO!$S483*16%</f>
        <v>536.8</v>
      </c>
      <c r="U483" s="17">
        <f>FRESADO!$S483+FRESADO!$T483</f>
        <v>3891.8</v>
      </c>
      <c r="V483" s="123" t="s">
        <v>376</v>
      </c>
      <c r="W483" s="123" t="s">
        <v>44</v>
      </c>
      <c r="X483" s="81"/>
      <c r="Y483" s="82"/>
      <c r="Z483" s="89" t="s">
        <v>399</v>
      </c>
    </row>
    <row r="484" ht="15.75" customHeight="1">
      <c r="A484" s="149">
        <v>28.0</v>
      </c>
      <c r="B484" s="149">
        <v>80.0</v>
      </c>
      <c r="C484" s="150">
        <v>1335.0</v>
      </c>
      <c r="D484" s="151">
        <v>46211.0</v>
      </c>
      <c r="E484" s="149">
        <v>1.0</v>
      </c>
      <c r="F484" s="149" t="s">
        <v>74</v>
      </c>
      <c r="G484" s="149" t="s">
        <v>405</v>
      </c>
      <c r="H484" s="149">
        <v>14.0</v>
      </c>
      <c r="I484" s="149" t="s">
        <v>34</v>
      </c>
      <c r="J484" s="149" t="s">
        <v>662</v>
      </c>
      <c r="K484" s="11" t="s">
        <v>36</v>
      </c>
      <c r="L484" s="149"/>
      <c r="M484" s="149"/>
      <c r="N484" s="149" t="s">
        <v>398</v>
      </c>
      <c r="O484" s="149" t="s">
        <v>189</v>
      </c>
      <c r="P484" s="149" t="s">
        <v>546</v>
      </c>
      <c r="Q484" s="6" t="s">
        <v>399</v>
      </c>
      <c r="R484" s="152">
        <v>3355.0</v>
      </c>
      <c r="S484" s="17">
        <f>FRESADO!$R484*FRESADO!$E484</f>
        <v>3355</v>
      </c>
      <c r="T484" s="17">
        <f>FRESADO!$S484*16%</f>
        <v>536.8</v>
      </c>
      <c r="U484" s="17">
        <f>FRESADO!$S484+FRESADO!$T484</f>
        <v>3891.8</v>
      </c>
      <c r="V484" s="123" t="s">
        <v>376</v>
      </c>
      <c r="W484" s="123" t="s">
        <v>44</v>
      </c>
      <c r="X484" s="81"/>
      <c r="Y484" s="82"/>
      <c r="Z484" s="89" t="s">
        <v>399</v>
      </c>
    </row>
    <row r="485" ht="15.75" customHeight="1">
      <c r="A485" s="149">
        <v>28.0</v>
      </c>
      <c r="B485" s="149">
        <v>81.0</v>
      </c>
      <c r="C485" s="150">
        <v>1336.0</v>
      </c>
      <c r="D485" s="151">
        <v>46211.0</v>
      </c>
      <c r="E485" s="149">
        <v>1.0</v>
      </c>
      <c r="F485" s="149" t="s">
        <v>74</v>
      </c>
      <c r="G485" s="149" t="s">
        <v>374</v>
      </c>
      <c r="H485" s="149">
        <v>14.0</v>
      </c>
      <c r="I485" s="149" t="s">
        <v>34</v>
      </c>
      <c r="J485" s="149" t="s">
        <v>406</v>
      </c>
      <c r="K485" s="11" t="s">
        <v>36</v>
      </c>
      <c r="L485" s="149"/>
      <c r="M485" s="149"/>
      <c r="N485" s="149" t="s">
        <v>398</v>
      </c>
      <c r="O485" s="149" t="s">
        <v>189</v>
      </c>
      <c r="P485" s="149" t="s">
        <v>546</v>
      </c>
      <c r="Q485" s="6" t="s">
        <v>399</v>
      </c>
      <c r="R485" s="152">
        <v>3855.0</v>
      </c>
      <c r="S485" s="17">
        <f>FRESADO!$R485*FRESADO!$E485</f>
        <v>3855</v>
      </c>
      <c r="T485" s="17">
        <f>FRESADO!$S485*16%</f>
        <v>616.8</v>
      </c>
      <c r="U485" s="17">
        <f>FRESADO!$S485+FRESADO!$T485</f>
        <v>4471.8</v>
      </c>
      <c r="V485" s="123" t="s">
        <v>376</v>
      </c>
      <c r="W485" s="123" t="s">
        <v>44</v>
      </c>
      <c r="X485" s="81"/>
      <c r="Y485" s="82"/>
      <c r="Z485" s="89" t="s">
        <v>399</v>
      </c>
    </row>
    <row r="486" ht="15.75" customHeight="1">
      <c r="A486" s="149">
        <v>28.0</v>
      </c>
      <c r="B486" s="149">
        <v>82.0</v>
      </c>
      <c r="C486" s="150">
        <v>1337.0</v>
      </c>
      <c r="D486" s="151">
        <v>46211.0</v>
      </c>
      <c r="E486" s="149">
        <v>1.0</v>
      </c>
      <c r="F486" s="149" t="s">
        <v>74</v>
      </c>
      <c r="G486" s="149" t="s">
        <v>280</v>
      </c>
      <c r="H486" s="149">
        <v>14.0</v>
      </c>
      <c r="I486" s="149" t="s">
        <v>34</v>
      </c>
      <c r="J486" s="149" t="s">
        <v>272</v>
      </c>
      <c r="K486" s="11" t="s">
        <v>36</v>
      </c>
      <c r="L486" s="149"/>
      <c r="M486" s="149"/>
      <c r="N486" s="149" t="s">
        <v>340</v>
      </c>
      <c r="O486" s="149" t="s">
        <v>189</v>
      </c>
      <c r="P486" s="149" t="s">
        <v>546</v>
      </c>
      <c r="Q486" s="88"/>
      <c r="R486" s="152">
        <v>2500.0</v>
      </c>
      <c r="S486" s="17">
        <f>FRESADO!$R486*FRESADO!$E486</f>
        <v>2500</v>
      </c>
      <c r="T486" s="17">
        <f>FRESADO!$S486*16%</f>
        <v>400</v>
      </c>
      <c r="U486" s="17">
        <f>FRESADO!$S486+FRESADO!$T486</f>
        <v>2900</v>
      </c>
      <c r="V486" s="123" t="s">
        <v>376</v>
      </c>
      <c r="W486" s="123" t="s">
        <v>44</v>
      </c>
      <c r="X486" s="81"/>
      <c r="Y486" s="82"/>
      <c r="Z486" s="31" t="s">
        <v>77</v>
      </c>
    </row>
    <row r="487" ht="15.75" customHeight="1">
      <c r="A487" s="149">
        <v>28.0</v>
      </c>
      <c r="B487" s="149">
        <v>83.0</v>
      </c>
      <c r="C487" s="150">
        <v>1338.0</v>
      </c>
      <c r="D487" s="151">
        <v>46211.0</v>
      </c>
      <c r="E487" s="149">
        <v>1.0</v>
      </c>
      <c r="F487" s="149" t="s">
        <v>74</v>
      </c>
      <c r="G487" s="149" t="s">
        <v>238</v>
      </c>
      <c r="H487" s="149">
        <v>14.0</v>
      </c>
      <c r="I487" s="149" t="s">
        <v>34</v>
      </c>
      <c r="J487" s="149" t="s">
        <v>89</v>
      </c>
      <c r="K487" s="11" t="s">
        <v>36</v>
      </c>
      <c r="L487" s="149"/>
      <c r="M487" s="149"/>
      <c r="N487" s="149" t="s">
        <v>340</v>
      </c>
      <c r="O487" s="149" t="s">
        <v>189</v>
      </c>
      <c r="P487" s="149" t="s">
        <v>546</v>
      </c>
      <c r="Q487" s="88"/>
      <c r="R487" s="152">
        <v>2500.0</v>
      </c>
      <c r="S487" s="17">
        <f>FRESADO!$R487*FRESADO!$E487</f>
        <v>2500</v>
      </c>
      <c r="T487" s="17">
        <f>FRESADO!$S487*16%</f>
        <v>400</v>
      </c>
      <c r="U487" s="17">
        <f>FRESADO!$S487+FRESADO!$T487</f>
        <v>2900</v>
      </c>
      <c r="V487" s="123" t="s">
        <v>376</v>
      </c>
      <c r="W487" s="123" t="s">
        <v>44</v>
      </c>
      <c r="X487" s="81"/>
      <c r="Y487" s="82"/>
      <c r="Z487" s="31" t="s">
        <v>77</v>
      </c>
    </row>
    <row r="488" ht="15.75" customHeight="1">
      <c r="A488" s="149">
        <v>28.0</v>
      </c>
      <c r="B488" s="149">
        <v>84.0</v>
      </c>
      <c r="C488" s="150">
        <v>1339.0</v>
      </c>
      <c r="D488" s="151">
        <v>46211.0</v>
      </c>
      <c r="E488" s="149">
        <v>1.0</v>
      </c>
      <c r="F488" s="149" t="s">
        <v>74</v>
      </c>
      <c r="G488" s="149" t="s">
        <v>347</v>
      </c>
      <c r="H488" s="149">
        <v>14.0</v>
      </c>
      <c r="I488" s="149" t="s">
        <v>34</v>
      </c>
      <c r="J488" s="149" t="s">
        <v>70</v>
      </c>
      <c r="K488" s="11" t="s">
        <v>36</v>
      </c>
      <c r="L488" s="149"/>
      <c r="M488" s="149"/>
      <c r="N488" s="149" t="s">
        <v>340</v>
      </c>
      <c r="O488" s="149" t="s">
        <v>189</v>
      </c>
      <c r="P488" s="149" t="s">
        <v>546</v>
      </c>
      <c r="Q488" s="88"/>
      <c r="R488" s="152">
        <v>2500.0</v>
      </c>
      <c r="S488" s="17">
        <f>FRESADO!$R488*FRESADO!$E488</f>
        <v>2500</v>
      </c>
      <c r="T488" s="17">
        <f>FRESADO!$S488*16%</f>
        <v>400</v>
      </c>
      <c r="U488" s="17">
        <f>FRESADO!$S488+FRESADO!$T488</f>
        <v>2900</v>
      </c>
      <c r="V488" s="123" t="s">
        <v>376</v>
      </c>
      <c r="W488" s="123" t="s">
        <v>44</v>
      </c>
      <c r="X488" s="81"/>
      <c r="Y488" s="82"/>
      <c r="Z488" s="31" t="s">
        <v>77</v>
      </c>
    </row>
    <row r="489" ht="15.75" customHeight="1">
      <c r="A489" s="149">
        <v>28.0</v>
      </c>
      <c r="B489" s="149">
        <v>85.0</v>
      </c>
      <c r="C489" s="150">
        <v>1340.0</v>
      </c>
      <c r="D489" s="151">
        <v>46211.0</v>
      </c>
      <c r="E489" s="149">
        <v>1.0</v>
      </c>
      <c r="F489" s="149" t="s">
        <v>74</v>
      </c>
      <c r="G489" s="149" t="s">
        <v>280</v>
      </c>
      <c r="H489" s="149">
        <v>14.0</v>
      </c>
      <c r="I489" s="149" t="s">
        <v>34</v>
      </c>
      <c r="J489" s="149" t="s">
        <v>272</v>
      </c>
      <c r="K489" s="11" t="s">
        <v>36</v>
      </c>
      <c r="L489" s="149"/>
      <c r="M489" s="149"/>
      <c r="N489" s="149" t="s">
        <v>340</v>
      </c>
      <c r="O489" s="149" t="s">
        <v>189</v>
      </c>
      <c r="P489" s="149" t="s">
        <v>546</v>
      </c>
      <c r="Q489" s="171"/>
      <c r="R489" s="152">
        <v>2500.0</v>
      </c>
      <c r="S489" s="17">
        <f>FRESADO!$R489*FRESADO!$E489</f>
        <v>2500</v>
      </c>
      <c r="T489" s="17">
        <f>FRESADO!$S489*16%</f>
        <v>400</v>
      </c>
      <c r="U489" s="17">
        <f>FRESADO!$S489+FRESADO!$T489</f>
        <v>2900</v>
      </c>
      <c r="V489" s="123" t="s">
        <v>376</v>
      </c>
      <c r="W489" s="123" t="s">
        <v>44</v>
      </c>
      <c r="X489" s="81"/>
      <c r="Y489" s="82"/>
      <c r="Z489" s="31" t="s">
        <v>77</v>
      </c>
    </row>
    <row r="490" ht="15.75" customHeight="1">
      <c r="A490" s="149">
        <v>28.0</v>
      </c>
      <c r="B490" s="149">
        <v>86.0</v>
      </c>
      <c r="C490" s="150">
        <v>1341.0</v>
      </c>
      <c r="D490" s="151">
        <v>46211.0</v>
      </c>
      <c r="E490" s="149">
        <v>1.0</v>
      </c>
      <c r="F490" s="149" t="s">
        <v>74</v>
      </c>
      <c r="G490" s="149" t="s">
        <v>238</v>
      </c>
      <c r="H490" s="149">
        <v>14.0</v>
      </c>
      <c r="I490" s="149" t="s">
        <v>34</v>
      </c>
      <c r="J490" s="149" t="s">
        <v>89</v>
      </c>
      <c r="K490" s="11" t="s">
        <v>36</v>
      </c>
      <c r="L490" s="149"/>
      <c r="M490" s="149"/>
      <c r="N490" s="149" t="s">
        <v>340</v>
      </c>
      <c r="O490" s="149" t="s">
        <v>189</v>
      </c>
      <c r="P490" s="149" t="s">
        <v>546</v>
      </c>
      <c r="Q490" s="88"/>
      <c r="R490" s="152">
        <v>2500.0</v>
      </c>
      <c r="S490" s="17">
        <f>FRESADO!$R490*FRESADO!$E490</f>
        <v>2500</v>
      </c>
      <c r="T490" s="17">
        <f>FRESADO!$S490*16%</f>
        <v>400</v>
      </c>
      <c r="U490" s="17">
        <f>FRESADO!$S490+FRESADO!$T490</f>
        <v>2900</v>
      </c>
      <c r="V490" s="123" t="s">
        <v>376</v>
      </c>
      <c r="W490" s="123" t="s">
        <v>44</v>
      </c>
      <c r="X490" s="81"/>
      <c r="Y490" s="82"/>
      <c r="Z490" s="31" t="s">
        <v>77</v>
      </c>
    </row>
    <row r="491" ht="15.75" customHeight="1">
      <c r="A491" s="149">
        <v>28.0</v>
      </c>
      <c r="B491" s="149">
        <v>87.0</v>
      </c>
      <c r="C491" s="150">
        <v>1342.0</v>
      </c>
      <c r="D491" s="151">
        <v>46211.0</v>
      </c>
      <c r="E491" s="149">
        <v>1.0</v>
      </c>
      <c r="F491" s="149" t="s">
        <v>74</v>
      </c>
      <c r="G491" s="149" t="s">
        <v>347</v>
      </c>
      <c r="H491" s="149">
        <v>14.0</v>
      </c>
      <c r="I491" s="149" t="s">
        <v>34</v>
      </c>
      <c r="J491" s="149" t="s">
        <v>70</v>
      </c>
      <c r="K491" s="11" t="s">
        <v>36</v>
      </c>
      <c r="L491" s="149"/>
      <c r="M491" s="149"/>
      <c r="N491" s="149" t="s">
        <v>340</v>
      </c>
      <c r="O491" s="149" t="s">
        <v>189</v>
      </c>
      <c r="P491" s="149" t="s">
        <v>546</v>
      </c>
      <c r="Q491" s="88"/>
      <c r="R491" s="152">
        <v>2500.0</v>
      </c>
      <c r="S491" s="17">
        <f>FRESADO!$R491*FRESADO!$E491</f>
        <v>2500</v>
      </c>
      <c r="T491" s="17">
        <f>FRESADO!$S491*16%</f>
        <v>400</v>
      </c>
      <c r="U491" s="17">
        <f>FRESADO!$S491+FRESADO!$T491</f>
        <v>2900</v>
      </c>
      <c r="V491" s="123" t="s">
        <v>376</v>
      </c>
      <c r="W491" s="123" t="s">
        <v>44</v>
      </c>
      <c r="X491" s="81"/>
      <c r="Y491" s="82"/>
      <c r="Z491" s="31" t="s">
        <v>77</v>
      </c>
    </row>
    <row r="492" ht="15.75" customHeight="1">
      <c r="A492" s="149">
        <v>28.0</v>
      </c>
      <c r="B492" s="149">
        <v>88.0</v>
      </c>
      <c r="C492" s="150">
        <v>1343.0</v>
      </c>
      <c r="D492" s="151">
        <v>46211.0</v>
      </c>
      <c r="E492" s="149">
        <v>1.0</v>
      </c>
      <c r="F492" s="149" t="s">
        <v>74</v>
      </c>
      <c r="G492" s="149" t="s">
        <v>280</v>
      </c>
      <c r="H492" s="149">
        <v>14.0</v>
      </c>
      <c r="I492" s="149" t="s">
        <v>34</v>
      </c>
      <c r="J492" s="149" t="s">
        <v>272</v>
      </c>
      <c r="K492" s="11" t="s">
        <v>36</v>
      </c>
      <c r="L492" s="149"/>
      <c r="M492" s="149"/>
      <c r="N492" s="149" t="s">
        <v>340</v>
      </c>
      <c r="O492" s="149" t="s">
        <v>189</v>
      </c>
      <c r="P492" s="149" t="s">
        <v>546</v>
      </c>
      <c r="Q492" s="171"/>
      <c r="R492" s="152">
        <v>2500.0</v>
      </c>
      <c r="S492" s="17">
        <f>FRESADO!$R492*FRESADO!$E492</f>
        <v>2500</v>
      </c>
      <c r="T492" s="17">
        <f>FRESADO!$S492*16%</f>
        <v>400</v>
      </c>
      <c r="U492" s="17">
        <f>FRESADO!$S492+FRESADO!$T492</f>
        <v>2900</v>
      </c>
      <c r="V492" s="123" t="s">
        <v>376</v>
      </c>
      <c r="W492" s="123" t="s">
        <v>44</v>
      </c>
      <c r="X492" s="81"/>
      <c r="Y492" s="82"/>
      <c r="Z492" s="31" t="s">
        <v>77</v>
      </c>
    </row>
    <row r="493" ht="15.75" customHeight="1">
      <c r="A493" s="149">
        <v>28.0</v>
      </c>
      <c r="B493" s="149">
        <v>89.0</v>
      </c>
      <c r="C493" s="150">
        <v>1344.0</v>
      </c>
      <c r="D493" s="151">
        <v>46211.0</v>
      </c>
      <c r="E493" s="149">
        <v>1.0</v>
      </c>
      <c r="F493" s="149" t="s">
        <v>74</v>
      </c>
      <c r="G493" s="149" t="s">
        <v>238</v>
      </c>
      <c r="H493" s="149">
        <v>14.0</v>
      </c>
      <c r="I493" s="149" t="s">
        <v>34</v>
      </c>
      <c r="J493" s="149" t="s">
        <v>89</v>
      </c>
      <c r="K493" s="11" t="s">
        <v>36</v>
      </c>
      <c r="L493" s="149"/>
      <c r="M493" s="149"/>
      <c r="N493" s="149" t="s">
        <v>340</v>
      </c>
      <c r="O493" s="149" t="s">
        <v>189</v>
      </c>
      <c r="P493" s="149" t="s">
        <v>546</v>
      </c>
      <c r="Q493" s="88"/>
      <c r="R493" s="152">
        <v>2500.0</v>
      </c>
      <c r="S493" s="17">
        <f>FRESADO!$R493*FRESADO!$E493</f>
        <v>2500</v>
      </c>
      <c r="T493" s="17">
        <f>FRESADO!$S493*16%</f>
        <v>400</v>
      </c>
      <c r="U493" s="17">
        <f>FRESADO!$S493+FRESADO!$T493</f>
        <v>2900</v>
      </c>
      <c r="V493" s="123" t="s">
        <v>376</v>
      </c>
      <c r="W493" s="123" t="s">
        <v>44</v>
      </c>
      <c r="X493" s="81"/>
      <c r="Y493" s="82"/>
      <c r="Z493" s="31" t="s">
        <v>77</v>
      </c>
    </row>
    <row r="494" ht="15.75" customHeight="1">
      <c r="A494" s="149">
        <v>28.0</v>
      </c>
      <c r="B494" s="149">
        <v>90.0</v>
      </c>
      <c r="C494" s="150">
        <v>1345.0</v>
      </c>
      <c r="D494" s="151">
        <v>46211.0</v>
      </c>
      <c r="E494" s="149">
        <v>1.0</v>
      </c>
      <c r="F494" s="149" t="s">
        <v>74</v>
      </c>
      <c r="G494" s="149" t="s">
        <v>347</v>
      </c>
      <c r="H494" s="149">
        <v>14.0</v>
      </c>
      <c r="I494" s="149" t="s">
        <v>34</v>
      </c>
      <c r="J494" s="149" t="s">
        <v>70</v>
      </c>
      <c r="K494" s="11" t="s">
        <v>36</v>
      </c>
      <c r="L494" s="149"/>
      <c r="M494" s="149"/>
      <c r="N494" s="149" t="s">
        <v>340</v>
      </c>
      <c r="O494" s="149" t="s">
        <v>189</v>
      </c>
      <c r="P494" s="149" t="s">
        <v>546</v>
      </c>
      <c r="Q494" s="88"/>
      <c r="R494" s="152">
        <v>2500.0</v>
      </c>
      <c r="S494" s="17">
        <f>FRESADO!$R494*FRESADO!$E494</f>
        <v>2500</v>
      </c>
      <c r="T494" s="17">
        <f>FRESADO!$S494*16%</f>
        <v>400</v>
      </c>
      <c r="U494" s="17">
        <f>FRESADO!$S494+FRESADO!$T494</f>
        <v>2900</v>
      </c>
      <c r="V494" s="123" t="s">
        <v>376</v>
      </c>
      <c r="W494" s="123" t="s">
        <v>44</v>
      </c>
      <c r="X494" s="81"/>
      <c r="Y494" s="82"/>
      <c r="Z494" s="31" t="s">
        <v>77</v>
      </c>
    </row>
    <row r="495" ht="15.75" customHeight="1">
      <c r="A495" s="149">
        <v>28.0</v>
      </c>
      <c r="B495" s="149">
        <v>91.0</v>
      </c>
      <c r="C495" s="150">
        <v>1346.0</v>
      </c>
      <c r="D495" s="155">
        <v>46211.0</v>
      </c>
      <c r="E495" s="156">
        <v>1.0</v>
      </c>
      <c r="F495" s="149" t="s">
        <v>388</v>
      </c>
      <c r="G495" s="149" t="s">
        <v>583</v>
      </c>
      <c r="H495" s="149">
        <v>0.0</v>
      </c>
      <c r="I495" s="149" t="s">
        <v>34</v>
      </c>
      <c r="J495" s="149" t="s">
        <v>584</v>
      </c>
      <c r="K495" s="34" t="s">
        <v>50</v>
      </c>
      <c r="L495" s="149"/>
      <c r="M495" s="149"/>
      <c r="N495" s="149" t="s">
        <v>340</v>
      </c>
      <c r="O495" s="149" t="s">
        <v>189</v>
      </c>
      <c r="P495" s="149" t="s">
        <v>546</v>
      </c>
      <c r="Q495" s="157" t="s">
        <v>390</v>
      </c>
      <c r="R495" s="152">
        <v>4500.0</v>
      </c>
      <c r="S495" s="17">
        <f>FRESADO!$R495*FRESADO!$E495</f>
        <v>4500</v>
      </c>
      <c r="T495" s="17">
        <f>FRESADO!$S495*16%</f>
        <v>720</v>
      </c>
      <c r="U495" s="17">
        <f>FRESADO!$S495+FRESADO!$T495</f>
        <v>5220</v>
      </c>
      <c r="V495" s="52" t="s">
        <v>545</v>
      </c>
      <c r="W495" s="81"/>
      <c r="X495" s="81"/>
      <c r="Y495" s="82"/>
      <c r="Z495" s="83"/>
    </row>
    <row r="496" ht="15.75" customHeight="1">
      <c r="A496" s="158">
        <v>28.0</v>
      </c>
      <c r="B496" s="158">
        <v>92.0</v>
      </c>
      <c r="C496" s="149" t="s">
        <v>72</v>
      </c>
      <c r="D496" s="159">
        <v>46211.0</v>
      </c>
      <c r="E496" s="160">
        <v>1.0</v>
      </c>
      <c r="F496" s="158" t="s">
        <v>73</v>
      </c>
      <c r="G496" s="158" t="s">
        <v>98</v>
      </c>
      <c r="H496" s="160">
        <v>10.0</v>
      </c>
      <c r="I496" s="158" t="s">
        <v>34</v>
      </c>
      <c r="J496" s="158" t="s">
        <v>886</v>
      </c>
      <c r="K496" s="11" t="s">
        <v>36</v>
      </c>
      <c r="L496" s="158"/>
      <c r="M496" s="158"/>
      <c r="N496" s="158" t="s">
        <v>340</v>
      </c>
      <c r="O496" s="158" t="s">
        <v>189</v>
      </c>
      <c r="P496" s="158" t="s">
        <v>546</v>
      </c>
      <c r="Q496" s="161"/>
      <c r="R496" s="162">
        <v>5500.0</v>
      </c>
      <c r="S496" s="163">
        <f>FRESADO!$R496*FRESADO!$E496</f>
        <v>5500</v>
      </c>
      <c r="T496" s="163">
        <f>FRESADO!$S496*16%</f>
        <v>880</v>
      </c>
      <c r="U496" s="163">
        <f>FRESADO!$S496+FRESADO!$T496</f>
        <v>6380</v>
      </c>
      <c r="V496" s="164" t="s">
        <v>504</v>
      </c>
      <c r="W496" s="165"/>
      <c r="X496" s="165"/>
      <c r="Y496" s="166"/>
      <c r="Z496" s="167"/>
    </row>
    <row r="497" ht="15.75" customHeight="1">
      <c r="A497" s="149">
        <v>28.0</v>
      </c>
      <c r="B497" s="149">
        <v>93.0</v>
      </c>
      <c r="C497" s="150">
        <v>1347.0</v>
      </c>
      <c r="D497" s="155">
        <v>46212.0</v>
      </c>
      <c r="E497" s="156">
        <v>1.0</v>
      </c>
      <c r="F497" s="149" t="s">
        <v>388</v>
      </c>
      <c r="G497" s="149" t="s">
        <v>583</v>
      </c>
      <c r="H497" s="149">
        <v>0.0</v>
      </c>
      <c r="I497" s="149" t="s">
        <v>34</v>
      </c>
      <c r="J497" s="149" t="s">
        <v>584</v>
      </c>
      <c r="K497" s="34" t="s">
        <v>50</v>
      </c>
      <c r="L497" s="149"/>
      <c r="M497" s="149"/>
      <c r="N497" s="149" t="s">
        <v>340</v>
      </c>
      <c r="O497" s="149" t="s">
        <v>189</v>
      </c>
      <c r="P497" s="149" t="s">
        <v>546</v>
      </c>
      <c r="Q497" s="157" t="s">
        <v>390</v>
      </c>
      <c r="R497" s="152">
        <v>4500.0</v>
      </c>
      <c r="S497" s="17">
        <f>FRESADO!$R497*FRESADO!$E497</f>
        <v>4500</v>
      </c>
      <c r="T497" s="17">
        <f>FRESADO!$S497*16%</f>
        <v>720</v>
      </c>
      <c r="U497" s="17">
        <f>FRESADO!$S497+FRESADO!$T497</f>
        <v>5220</v>
      </c>
      <c r="V497" s="52" t="s">
        <v>545</v>
      </c>
      <c r="W497" s="81"/>
      <c r="X497" s="81"/>
      <c r="Y497" s="82"/>
      <c r="Z497" s="83"/>
    </row>
    <row r="498" ht="15.75" customHeight="1">
      <c r="A498" s="172">
        <v>29.0</v>
      </c>
      <c r="B498" s="173">
        <v>1.0</v>
      </c>
      <c r="C498" s="93">
        <v>1386.0</v>
      </c>
      <c r="D498" s="174">
        <v>46217.0</v>
      </c>
      <c r="E498" s="175">
        <v>1.0</v>
      </c>
      <c r="F498" s="175" t="s">
        <v>74</v>
      </c>
      <c r="G498" s="175" t="s">
        <v>374</v>
      </c>
      <c r="H498" s="175">
        <v>14.0</v>
      </c>
      <c r="I498" s="175" t="s">
        <v>34</v>
      </c>
      <c r="J498" s="175" t="s">
        <v>406</v>
      </c>
      <c r="K498" s="11" t="s">
        <v>36</v>
      </c>
      <c r="L498" s="176"/>
      <c r="M498" s="176"/>
      <c r="N498" s="175" t="s">
        <v>398</v>
      </c>
      <c r="O498" s="175" t="s">
        <v>189</v>
      </c>
      <c r="P498" s="175" t="s">
        <v>546</v>
      </c>
      <c r="Q498" s="175" t="s">
        <v>399</v>
      </c>
      <c r="R498" s="162">
        <v>3355.0</v>
      </c>
      <c r="S498" s="163">
        <f>FRESADO!$R498*FRESADO!$E498</f>
        <v>3355</v>
      </c>
      <c r="T498" s="163">
        <f>FRESADO!$S498*16%</f>
        <v>536.8</v>
      </c>
      <c r="U498" s="163">
        <f>FRESADO!$S498+FRESADO!$T498</f>
        <v>3891.8</v>
      </c>
      <c r="V498" s="164" t="s">
        <v>504</v>
      </c>
      <c r="W498" s="165"/>
      <c r="X498" s="165"/>
      <c r="Y498" s="166"/>
      <c r="Z498" s="175" t="s">
        <v>399</v>
      </c>
    </row>
    <row r="499" ht="15.75" customHeight="1">
      <c r="A499" s="172">
        <v>29.0</v>
      </c>
      <c r="B499" s="173">
        <v>2.0</v>
      </c>
      <c r="C499" s="93">
        <v>1387.0</v>
      </c>
      <c r="D499" s="174">
        <v>46217.0</v>
      </c>
      <c r="E499" s="175">
        <v>1.0</v>
      </c>
      <c r="F499" s="175" t="s">
        <v>74</v>
      </c>
      <c r="G499" s="175" t="s">
        <v>405</v>
      </c>
      <c r="H499" s="175">
        <v>14.0</v>
      </c>
      <c r="I499" s="175" t="s">
        <v>34</v>
      </c>
      <c r="J499" s="175" t="s">
        <v>216</v>
      </c>
      <c r="K499" s="11" t="s">
        <v>36</v>
      </c>
      <c r="L499" s="176"/>
      <c r="M499" s="176"/>
      <c r="N499" s="175" t="s">
        <v>398</v>
      </c>
      <c r="O499" s="175" t="s">
        <v>189</v>
      </c>
      <c r="P499" s="175" t="s">
        <v>546</v>
      </c>
      <c r="Q499" s="175" t="s">
        <v>399</v>
      </c>
      <c r="R499" s="162">
        <v>3355.0</v>
      </c>
      <c r="S499" s="163">
        <f>FRESADO!$R499*FRESADO!$E499</f>
        <v>3355</v>
      </c>
      <c r="T499" s="163">
        <f>FRESADO!$S499*16%</f>
        <v>536.8</v>
      </c>
      <c r="U499" s="163">
        <f>FRESADO!$S499+FRESADO!$T499</f>
        <v>3891.8</v>
      </c>
      <c r="V499" s="164" t="s">
        <v>504</v>
      </c>
      <c r="W499" s="165"/>
      <c r="X499" s="165"/>
      <c r="Y499" s="166"/>
      <c r="Z499" s="175" t="s">
        <v>399</v>
      </c>
    </row>
    <row r="500" ht="15.75" customHeight="1">
      <c r="A500" s="172">
        <v>29.0</v>
      </c>
      <c r="B500" s="173">
        <v>3.0</v>
      </c>
      <c r="C500" s="93">
        <v>1388.0</v>
      </c>
      <c r="D500" s="174">
        <v>46217.0</v>
      </c>
      <c r="E500" s="175">
        <v>1.0</v>
      </c>
      <c r="F500" s="175" t="s">
        <v>74</v>
      </c>
      <c r="G500" s="175" t="s">
        <v>479</v>
      </c>
      <c r="H500" s="175">
        <v>14.0</v>
      </c>
      <c r="I500" s="175" t="s">
        <v>34</v>
      </c>
      <c r="J500" s="175" t="s">
        <v>106</v>
      </c>
      <c r="K500" s="11" t="s">
        <v>36</v>
      </c>
      <c r="L500" s="176"/>
      <c r="M500" s="176"/>
      <c r="N500" s="175" t="s">
        <v>398</v>
      </c>
      <c r="O500" s="175" t="s">
        <v>189</v>
      </c>
      <c r="P500" s="175" t="s">
        <v>546</v>
      </c>
      <c r="Q500" s="175" t="s">
        <v>399</v>
      </c>
      <c r="R500" s="162">
        <v>3355.0</v>
      </c>
      <c r="S500" s="163">
        <f>FRESADO!$R500*FRESADO!$E500</f>
        <v>3355</v>
      </c>
      <c r="T500" s="163">
        <f>FRESADO!$S500*16%</f>
        <v>536.8</v>
      </c>
      <c r="U500" s="163">
        <f>FRESADO!$S500+FRESADO!$T500</f>
        <v>3891.8</v>
      </c>
      <c r="V500" s="164" t="s">
        <v>504</v>
      </c>
      <c r="W500" s="165"/>
      <c r="X500" s="165"/>
      <c r="Y500" s="166"/>
      <c r="Z500" s="175" t="s">
        <v>399</v>
      </c>
    </row>
    <row r="501" ht="15.75" customHeight="1">
      <c r="A501" s="172">
        <v>29.0</v>
      </c>
      <c r="B501" s="173">
        <v>4.0</v>
      </c>
      <c r="C501" s="93">
        <v>1389.0</v>
      </c>
      <c r="D501" s="174">
        <v>46217.0</v>
      </c>
      <c r="E501" s="175">
        <v>1.0</v>
      </c>
      <c r="F501" s="175" t="s">
        <v>74</v>
      </c>
      <c r="G501" s="175" t="s">
        <v>198</v>
      </c>
      <c r="H501" s="175">
        <v>14.0</v>
      </c>
      <c r="I501" s="175" t="s">
        <v>34</v>
      </c>
      <c r="J501" s="175" t="s">
        <v>694</v>
      </c>
      <c r="K501" s="11" t="s">
        <v>36</v>
      </c>
      <c r="L501" s="176"/>
      <c r="M501" s="176"/>
      <c r="N501" s="175" t="s">
        <v>398</v>
      </c>
      <c r="O501" s="175" t="s">
        <v>189</v>
      </c>
      <c r="P501" s="175" t="s">
        <v>546</v>
      </c>
      <c r="Q501" s="175" t="s">
        <v>399</v>
      </c>
      <c r="R501" s="162">
        <v>3355.0</v>
      </c>
      <c r="S501" s="163">
        <f>FRESADO!$R501*FRESADO!$E501</f>
        <v>3355</v>
      </c>
      <c r="T501" s="163">
        <f>FRESADO!$S501*16%</f>
        <v>536.8</v>
      </c>
      <c r="U501" s="163">
        <f>FRESADO!$S501+FRESADO!$T501</f>
        <v>3891.8</v>
      </c>
      <c r="V501" s="164" t="s">
        <v>504</v>
      </c>
      <c r="W501" s="165"/>
      <c r="X501" s="165"/>
      <c r="Y501" s="166"/>
      <c r="Z501" s="175" t="s">
        <v>399</v>
      </c>
    </row>
    <row r="502" ht="15.75" customHeight="1">
      <c r="A502" s="172">
        <v>29.0</v>
      </c>
      <c r="B502" s="173">
        <v>5.0</v>
      </c>
      <c r="C502" s="101">
        <v>1390.0</v>
      </c>
      <c r="D502" s="174">
        <v>46217.0</v>
      </c>
      <c r="E502" s="175">
        <v>1.0</v>
      </c>
      <c r="F502" s="175" t="s">
        <v>74</v>
      </c>
      <c r="G502" s="175" t="s">
        <v>162</v>
      </c>
      <c r="H502" s="175">
        <v>14.0</v>
      </c>
      <c r="I502" s="175" t="s">
        <v>34</v>
      </c>
      <c r="J502" s="175" t="s">
        <v>83</v>
      </c>
      <c r="K502" s="11" t="s">
        <v>36</v>
      </c>
      <c r="L502" s="176"/>
      <c r="M502" s="176"/>
      <c r="N502" s="175" t="s">
        <v>398</v>
      </c>
      <c r="O502" s="175" t="s">
        <v>189</v>
      </c>
      <c r="P502" s="175" t="s">
        <v>546</v>
      </c>
      <c r="Q502" s="175" t="s">
        <v>399</v>
      </c>
      <c r="R502" s="162">
        <v>3355.0</v>
      </c>
      <c r="S502" s="163">
        <f>FRESADO!$R502*FRESADO!$E502</f>
        <v>3355</v>
      </c>
      <c r="T502" s="163">
        <f>FRESADO!$S502*16%</f>
        <v>536.8</v>
      </c>
      <c r="U502" s="163">
        <f>FRESADO!$S502+FRESADO!$T502</f>
        <v>3891.8</v>
      </c>
      <c r="V502" s="164" t="s">
        <v>504</v>
      </c>
      <c r="W502" s="165"/>
      <c r="X502" s="165"/>
      <c r="Y502" s="166"/>
      <c r="Z502" s="175" t="s">
        <v>399</v>
      </c>
    </row>
    <row r="503" ht="15.75" customHeight="1">
      <c r="A503" s="172">
        <v>29.0</v>
      </c>
      <c r="B503" s="173">
        <v>6.0</v>
      </c>
      <c r="C503" s="101">
        <v>1391.0</v>
      </c>
      <c r="D503" s="174">
        <v>46217.0</v>
      </c>
      <c r="E503" s="175">
        <v>1.0</v>
      </c>
      <c r="F503" s="177" t="s">
        <v>74</v>
      </c>
      <c r="G503" s="175" t="s">
        <v>192</v>
      </c>
      <c r="H503" s="175">
        <v>14.0</v>
      </c>
      <c r="I503" s="175" t="s">
        <v>34</v>
      </c>
      <c r="J503" s="175" t="s">
        <v>41</v>
      </c>
      <c r="K503" s="11" t="s">
        <v>36</v>
      </c>
      <c r="L503" s="176"/>
      <c r="M503" s="176"/>
      <c r="N503" s="175" t="s">
        <v>340</v>
      </c>
      <c r="O503" s="175" t="s">
        <v>189</v>
      </c>
      <c r="P503" s="175" t="s">
        <v>546</v>
      </c>
      <c r="Q503" s="178"/>
      <c r="R503" s="162">
        <v>2500.0</v>
      </c>
      <c r="S503" s="163">
        <f>FRESADO!$R503*FRESADO!$E503</f>
        <v>2500</v>
      </c>
      <c r="T503" s="163">
        <f>FRESADO!$S503*16%</f>
        <v>400</v>
      </c>
      <c r="U503" s="163">
        <f>FRESADO!$S503+FRESADO!$T503</f>
        <v>2900</v>
      </c>
      <c r="V503" s="164" t="s">
        <v>504</v>
      </c>
      <c r="W503" s="165"/>
      <c r="X503" s="165"/>
      <c r="Y503" s="166"/>
      <c r="Z503" s="31" t="s">
        <v>77</v>
      </c>
    </row>
    <row r="504" ht="15.75" customHeight="1">
      <c r="A504" s="172">
        <v>29.0</v>
      </c>
      <c r="B504" s="173">
        <v>7.0</v>
      </c>
      <c r="C504" s="101">
        <v>1392.0</v>
      </c>
      <c r="D504" s="174">
        <v>46217.0</v>
      </c>
      <c r="E504" s="175">
        <v>1.0</v>
      </c>
      <c r="F504" s="177" t="s">
        <v>74</v>
      </c>
      <c r="G504" s="175" t="s">
        <v>347</v>
      </c>
      <c r="H504" s="175">
        <v>14.0</v>
      </c>
      <c r="I504" s="175" t="s">
        <v>34</v>
      </c>
      <c r="J504" s="175" t="s">
        <v>70</v>
      </c>
      <c r="K504" s="11" t="s">
        <v>36</v>
      </c>
      <c r="L504" s="176"/>
      <c r="M504" s="176"/>
      <c r="N504" s="175" t="s">
        <v>340</v>
      </c>
      <c r="O504" s="175" t="s">
        <v>189</v>
      </c>
      <c r="P504" s="175" t="s">
        <v>546</v>
      </c>
      <c r="Q504" s="178"/>
      <c r="R504" s="162">
        <v>2500.0</v>
      </c>
      <c r="S504" s="163">
        <f>FRESADO!$R504*FRESADO!$E504</f>
        <v>2500</v>
      </c>
      <c r="T504" s="163">
        <f>FRESADO!$S504*16%</f>
        <v>400</v>
      </c>
      <c r="U504" s="163">
        <f>FRESADO!$S504+FRESADO!$T504</f>
        <v>2900</v>
      </c>
      <c r="V504" s="164" t="s">
        <v>504</v>
      </c>
      <c r="W504" s="165"/>
      <c r="X504" s="165"/>
      <c r="Y504" s="166"/>
      <c r="Z504" s="31" t="s">
        <v>77</v>
      </c>
    </row>
    <row r="505" ht="15.75" customHeight="1">
      <c r="A505" s="172">
        <v>29.0</v>
      </c>
      <c r="B505" s="173">
        <v>8.0</v>
      </c>
      <c r="C505" s="101">
        <v>1393.0</v>
      </c>
      <c r="D505" s="174">
        <v>46217.0</v>
      </c>
      <c r="E505" s="175">
        <v>1.0</v>
      </c>
      <c r="F505" s="177" t="s">
        <v>74</v>
      </c>
      <c r="G505" s="175" t="s">
        <v>690</v>
      </c>
      <c r="H505" s="175">
        <v>14.0</v>
      </c>
      <c r="I505" s="175" t="s">
        <v>34</v>
      </c>
      <c r="J505" s="175" t="s">
        <v>691</v>
      </c>
      <c r="K505" s="11" t="s">
        <v>36</v>
      </c>
      <c r="L505" s="176"/>
      <c r="M505" s="176"/>
      <c r="N505" s="175" t="s">
        <v>340</v>
      </c>
      <c r="O505" s="175" t="s">
        <v>189</v>
      </c>
      <c r="P505" s="175" t="s">
        <v>546</v>
      </c>
      <c r="Q505" s="178"/>
      <c r="R505" s="162">
        <v>2500.0</v>
      </c>
      <c r="S505" s="163">
        <f>FRESADO!$R505*FRESADO!$E505</f>
        <v>2500</v>
      </c>
      <c r="T505" s="163">
        <f>FRESADO!$S505*16%</f>
        <v>400</v>
      </c>
      <c r="U505" s="163">
        <f>FRESADO!$S505+FRESADO!$T505</f>
        <v>2900</v>
      </c>
      <c r="V505" s="164" t="s">
        <v>504</v>
      </c>
      <c r="W505" s="165"/>
      <c r="X505" s="165"/>
      <c r="Y505" s="166"/>
      <c r="Z505" s="31" t="s">
        <v>77</v>
      </c>
    </row>
    <row r="506" ht="15.75" customHeight="1">
      <c r="A506" s="172">
        <v>29.0</v>
      </c>
      <c r="B506" s="173">
        <v>9.0</v>
      </c>
      <c r="C506" s="101">
        <v>1394.0</v>
      </c>
      <c r="D506" s="174">
        <v>46217.0</v>
      </c>
      <c r="E506" s="177">
        <v>1.0</v>
      </c>
      <c r="F506" s="177" t="s">
        <v>74</v>
      </c>
      <c r="G506" s="175" t="s">
        <v>192</v>
      </c>
      <c r="H506" s="175">
        <v>14.0</v>
      </c>
      <c r="I506" s="175" t="s">
        <v>34</v>
      </c>
      <c r="J506" s="175" t="s">
        <v>41</v>
      </c>
      <c r="K506" s="11" t="s">
        <v>36</v>
      </c>
      <c r="L506" s="176"/>
      <c r="M506" s="176"/>
      <c r="N506" s="175" t="s">
        <v>340</v>
      </c>
      <c r="O506" s="175" t="s">
        <v>189</v>
      </c>
      <c r="P506" s="175" t="s">
        <v>546</v>
      </c>
      <c r="Q506" s="178"/>
      <c r="R506" s="162">
        <v>2500.0</v>
      </c>
      <c r="S506" s="163">
        <f>FRESADO!$R506*FRESADO!$E506</f>
        <v>2500</v>
      </c>
      <c r="T506" s="163">
        <f>FRESADO!$S506*16%</f>
        <v>400</v>
      </c>
      <c r="U506" s="163">
        <f>FRESADO!$S506+FRESADO!$T506</f>
        <v>2900</v>
      </c>
      <c r="V506" s="164" t="s">
        <v>504</v>
      </c>
      <c r="W506" s="165"/>
      <c r="X506" s="165"/>
      <c r="Y506" s="166"/>
      <c r="Z506" s="31" t="s">
        <v>77</v>
      </c>
    </row>
    <row r="507" ht="15.75" customHeight="1">
      <c r="A507" s="172">
        <v>29.0</v>
      </c>
      <c r="B507" s="173">
        <v>10.0</v>
      </c>
      <c r="C507" s="93">
        <v>1395.0</v>
      </c>
      <c r="D507" s="174">
        <v>46217.0</v>
      </c>
      <c r="E507" s="175">
        <v>1.0</v>
      </c>
      <c r="F507" s="175" t="s">
        <v>74</v>
      </c>
      <c r="G507" s="175" t="s">
        <v>347</v>
      </c>
      <c r="H507" s="175">
        <v>14.0</v>
      </c>
      <c r="I507" s="175" t="s">
        <v>34</v>
      </c>
      <c r="J507" s="175" t="s">
        <v>70</v>
      </c>
      <c r="K507" s="11" t="s">
        <v>36</v>
      </c>
      <c r="L507" s="176"/>
      <c r="M507" s="176"/>
      <c r="N507" s="175" t="s">
        <v>340</v>
      </c>
      <c r="O507" s="175" t="s">
        <v>189</v>
      </c>
      <c r="P507" s="175" t="s">
        <v>546</v>
      </c>
      <c r="Q507" s="178"/>
      <c r="R507" s="162">
        <v>2500.0</v>
      </c>
      <c r="S507" s="163">
        <f>FRESADO!$R507*FRESADO!$E507</f>
        <v>2500</v>
      </c>
      <c r="T507" s="163">
        <f>FRESADO!$S507*16%</f>
        <v>400</v>
      </c>
      <c r="U507" s="163">
        <f>FRESADO!$S507+FRESADO!$T507</f>
        <v>2900</v>
      </c>
      <c r="V507" s="164" t="s">
        <v>504</v>
      </c>
      <c r="W507" s="165"/>
      <c r="X507" s="165"/>
      <c r="Y507" s="166"/>
      <c r="Z507" s="31" t="s">
        <v>77</v>
      </c>
    </row>
    <row r="508" ht="15.75" customHeight="1">
      <c r="A508" s="172">
        <v>29.0</v>
      </c>
      <c r="B508" s="173">
        <v>11.0</v>
      </c>
      <c r="C508" s="101">
        <v>1396.0</v>
      </c>
      <c r="D508" s="179">
        <v>46217.0</v>
      </c>
      <c r="E508" s="177">
        <v>1.0</v>
      </c>
      <c r="F508" s="177" t="s">
        <v>74</v>
      </c>
      <c r="G508" s="177" t="s">
        <v>690</v>
      </c>
      <c r="H508" s="177">
        <v>14.0</v>
      </c>
      <c r="I508" s="177" t="s">
        <v>34</v>
      </c>
      <c r="J508" s="177" t="s">
        <v>691</v>
      </c>
      <c r="K508" s="11" t="s">
        <v>36</v>
      </c>
      <c r="L508" s="176"/>
      <c r="M508" s="176"/>
      <c r="N508" s="177" t="s">
        <v>340</v>
      </c>
      <c r="O508" s="177" t="s">
        <v>189</v>
      </c>
      <c r="P508" s="177" t="s">
        <v>546</v>
      </c>
      <c r="Q508" s="180"/>
      <c r="R508" s="162">
        <v>2500.0</v>
      </c>
      <c r="S508" s="163">
        <f>FRESADO!$R508*FRESADO!$E508</f>
        <v>2500</v>
      </c>
      <c r="T508" s="163">
        <f>FRESADO!$S508*16%</f>
        <v>400</v>
      </c>
      <c r="U508" s="163">
        <f>FRESADO!$S508+FRESADO!$T508</f>
        <v>2900</v>
      </c>
      <c r="V508" s="164" t="s">
        <v>504</v>
      </c>
      <c r="W508" s="165"/>
      <c r="X508" s="165"/>
      <c r="Y508" s="166"/>
      <c r="Z508" s="31" t="s">
        <v>77</v>
      </c>
    </row>
    <row r="509" ht="15.75" customHeight="1">
      <c r="A509" s="172">
        <v>29.0</v>
      </c>
      <c r="B509" s="173">
        <v>12.0</v>
      </c>
      <c r="C509" s="93">
        <v>1397.0</v>
      </c>
      <c r="D509" s="174">
        <v>46217.0</v>
      </c>
      <c r="E509" s="175">
        <v>1.0</v>
      </c>
      <c r="F509" s="175" t="s">
        <v>74</v>
      </c>
      <c r="G509" s="175" t="s">
        <v>192</v>
      </c>
      <c r="H509" s="175">
        <v>14.0</v>
      </c>
      <c r="I509" s="175" t="s">
        <v>34</v>
      </c>
      <c r="J509" s="175" t="s">
        <v>41</v>
      </c>
      <c r="K509" s="11" t="s">
        <v>36</v>
      </c>
      <c r="L509" s="176"/>
      <c r="M509" s="176"/>
      <c r="N509" s="175" t="s">
        <v>340</v>
      </c>
      <c r="O509" s="175" t="s">
        <v>189</v>
      </c>
      <c r="P509" s="175" t="s">
        <v>546</v>
      </c>
      <c r="Q509" s="178"/>
      <c r="R509" s="162">
        <v>2500.0</v>
      </c>
      <c r="S509" s="163">
        <f>FRESADO!$R509*FRESADO!$E509</f>
        <v>2500</v>
      </c>
      <c r="T509" s="163">
        <f>FRESADO!$S509*16%</f>
        <v>400</v>
      </c>
      <c r="U509" s="163">
        <f>FRESADO!$S509+FRESADO!$T509</f>
        <v>2900</v>
      </c>
      <c r="V509" s="164" t="s">
        <v>504</v>
      </c>
      <c r="W509" s="165"/>
      <c r="X509" s="165"/>
      <c r="Y509" s="166"/>
      <c r="Z509" s="31" t="s">
        <v>77</v>
      </c>
    </row>
    <row r="510" ht="15.75" customHeight="1">
      <c r="A510" s="172">
        <v>29.0</v>
      </c>
      <c r="B510" s="173">
        <v>13.0</v>
      </c>
      <c r="C510" s="93">
        <v>1398.0</v>
      </c>
      <c r="D510" s="179">
        <v>46217.0</v>
      </c>
      <c r="E510" s="175">
        <v>1.0</v>
      </c>
      <c r="F510" s="175" t="s">
        <v>74</v>
      </c>
      <c r="G510" s="175" t="s">
        <v>347</v>
      </c>
      <c r="H510" s="175">
        <v>14.0</v>
      </c>
      <c r="I510" s="175" t="s">
        <v>34</v>
      </c>
      <c r="J510" s="175" t="s">
        <v>70</v>
      </c>
      <c r="K510" s="11" t="s">
        <v>36</v>
      </c>
      <c r="L510" s="176"/>
      <c r="M510" s="176"/>
      <c r="N510" s="175" t="s">
        <v>340</v>
      </c>
      <c r="O510" s="175" t="s">
        <v>189</v>
      </c>
      <c r="P510" s="175" t="s">
        <v>546</v>
      </c>
      <c r="Q510" s="178"/>
      <c r="R510" s="162">
        <v>2500.0</v>
      </c>
      <c r="S510" s="163">
        <f>FRESADO!$R510*FRESADO!$E510</f>
        <v>2500</v>
      </c>
      <c r="T510" s="163">
        <f>FRESADO!$S510*16%</f>
        <v>400</v>
      </c>
      <c r="U510" s="163">
        <f>FRESADO!$S510+FRESADO!$T510</f>
        <v>2900</v>
      </c>
      <c r="V510" s="164" t="s">
        <v>504</v>
      </c>
      <c r="W510" s="165"/>
      <c r="X510" s="165"/>
      <c r="Y510" s="166"/>
      <c r="Z510" s="31" t="s">
        <v>77</v>
      </c>
    </row>
    <row r="511" ht="15.75" customHeight="1">
      <c r="A511" s="172">
        <v>29.0</v>
      </c>
      <c r="B511" s="173">
        <v>14.0</v>
      </c>
      <c r="C511" s="93">
        <v>1399.0</v>
      </c>
      <c r="D511" s="179">
        <v>46217.0</v>
      </c>
      <c r="E511" s="175">
        <v>1.0</v>
      </c>
      <c r="F511" s="175" t="s">
        <v>74</v>
      </c>
      <c r="G511" s="175" t="s">
        <v>690</v>
      </c>
      <c r="H511" s="175">
        <v>14.0</v>
      </c>
      <c r="I511" s="175" t="s">
        <v>34</v>
      </c>
      <c r="J511" s="175" t="s">
        <v>691</v>
      </c>
      <c r="K511" s="11" t="s">
        <v>36</v>
      </c>
      <c r="L511" s="176"/>
      <c r="M511" s="176"/>
      <c r="N511" s="175" t="s">
        <v>340</v>
      </c>
      <c r="O511" s="175" t="s">
        <v>189</v>
      </c>
      <c r="P511" s="175" t="s">
        <v>546</v>
      </c>
      <c r="Q511" s="178"/>
      <c r="R511" s="162">
        <v>2500.0</v>
      </c>
      <c r="S511" s="163">
        <f>FRESADO!$R511*FRESADO!$E511</f>
        <v>2500</v>
      </c>
      <c r="T511" s="163">
        <f>FRESADO!$S511*16%</f>
        <v>400</v>
      </c>
      <c r="U511" s="163">
        <f>FRESADO!$S511+FRESADO!$T511</f>
        <v>2900</v>
      </c>
      <c r="V511" s="164" t="s">
        <v>504</v>
      </c>
      <c r="W511" s="165"/>
      <c r="X511" s="165"/>
      <c r="Y511" s="166"/>
      <c r="Z511" s="31" t="s">
        <v>77</v>
      </c>
    </row>
    <row r="512" ht="15.75" customHeight="1">
      <c r="A512" s="172">
        <v>29.0</v>
      </c>
      <c r="B512" s="173">
        <v>15.0</v>
      </c>
      <c r="C512" s="93">
        <v>1400.0</v>
      </c>
      <c r="D512" s="179">
        <v>46217.0</v>
      </c>
      <c r="E512" s="175">
        <v>1.0</v>
      </c>
      <c r="F512" s="175" t="s">
        <v>74</v>
      </c>
      <c r="G512" s="175" t="s">
        <v>192</v>
      </c>
      <c r="H512" s="175">
        <v>14.0</v>
      </c>
      <c r="I512" s="175" t="s">
        <v>34</v>
      </c>
      <c r="J512" s="175" t="s">
        <v>41</v>
      </c>
      <c r="K512" s="11" t="s">
        <v>36</v>
      </c>
      <c r="L512" s="176"/>
      <c r="M512" s="176"/>
      <c r="N512" s="175" t="s">
        <v>340</v>
      </c>
      <c r="O512" s="175" t="s">
        <v>189</v>
      </c>
      <c r="P512" s="175" t="s">
        <v>546</v>
      </c>
      <c r="Q512" s="178"/>
      <c r="R512" s="162">
        <v>2500.0</v>
      </c>
      <c r="S512" s="163">
        <f>FRESADO!$R512*FRESADO!$E512</f>
        <v>2500</v>
      </c>
      <c r="T512" s="163">
        <f>FRESADO!$S512*16%</f>
        <v>400</v>
      </c>
      <c r="U512" s="163">
        <f>FRESADO!$S512+FRESADO!$T512</f>
        <v>2900</v>
      </c>
      <c r="V512" s="164" t="s">
        <v>504</v>
      </c>
      <c r="W512" s="165"/>
      <c r="X512" s="165"/>
      <c r="Y512" s="166"/>
      <c r="Z512" s="31" t="s">
        <v>77</v>
      </c>
    </row>
    <row r="513" ht="15.75" customHeight="1">
      <c r="A513" s="172">
        <v>29.0</v>
      </c>
      <c r="B513" s="173">
        <v>16.0</v>
      </c>
      <c r="C513" s="93">
        <v>1151.0</v>
      </c>
      <c r="D513" s="179">
        <v>46217.0</v>
      </c>
      <c r="E513" s="175">
        <v>1.0</v>
      </c>
      <c r="F513" s="175" t="s">
        <v>74</v>
      </c>
      <c r="G513" s="175" t="s">
        <v>347</v>
      </c>
      <c r="H513" s="175">
        <v>14.0</v>
      </c>
      <c r="I513" s="175" t="s">
        <v>34</v>
      </c>
      <c r="J513" s="175" t="s">
        <v>70</v>
      </c>
      <c r="K513" s="11" t="s">
        <v>36</v>
      </c>
      <c r="L513" s="176"/>
      <c r="M513" s="176"/>
      <c r="N513" s="175" t="s">
        <v>340</v>
      </c>
      <c r="O513" s="175" t="s">
        <v>189</v>
      </c>
      <c r="P513" s="175" t="s">
        <v>546</v>
      </c>
      <c r="Q513" s="178"/>
      <c r="R513" s="162">
        <v>2500.0</v>
      </c>
      <c r="S513" s="163">
        <f>FRESADO!$R513*FRESADO!$E513</f>
        <v>2500</v>
      </c>
      <c r="T513" s="163">
        <f>FRESADO!$S513*16%</f>
        <v>400</v>
      </c>
      <c r="U513" s="163">
        <f>FRESADO!$S513+FRESADO!$T513</f>
        <v>2900</v>
      </c>
      <c r="V513" s="164" t="s">
        <v>504</v>
      </c>
      <c r="W513" s="165"/>
      <c r="X513" s="165"/>
      <c r="Y513" s="166"/>
      <c r="Z513" s="31" t="s">
        <v>77</v>
      </c>
    </row>
    <row r="514" ht="15.75" customHeight="1">
      <c r="A514" s="172">
        <v>29.0</v>
      </c>
      <c r="B514" s="173">
        <v>17.0</v>
      </c>
      <c r="C514" s="93">
        <v>1152.0</v>
      </c>
      <c r="D514" s="179">
        <v>46217.0</v>
      </c>
      <c r="E514" s="175">
        <v>1.0</v>
      </c>
      <c r="F514" s="175" t="s">
        <v>74</v>
      </c>
      <c r="G514" s="175" t="s">
        <v>162</v>
      </c>
      <c r="H514" s="175">
        <v>14.0</v>
      </c>
      <c r="I514" s="175" t="s">
        <v>34</v>
      </c>
      <c r="J514" s="175" t="s">
        <v>83</v>
      </c>
      <c r="K514" s="11" t="s">
        <v>36</v>
      </c>
      <c r="L514" s="176"/>
      <c r="M514" s="176"/>
      <c r="N514" s="175" t="s">
        <v>398</v>
      </c>
      <c r="O514" s="175" t="s">
        <v>189</v>
      </c>
      <c r="P514" s="175" t="s">
        <v>546</v>
      </c>
      <c r="Q514" s="175" t="s">
        <v>399</v>
      </c>
      <c r="R514" s="162">
        <v>3355.0</v>
      </c>
      <c r="S514" s="163">
        <f>FRESADO!$R514*FRESADO!$E514</f>
        <v>3355</v>
      </c>
      <c r="T514" s="163">
        <f>FRESADO!$S514*16%</f>
        <v>536.8</v>
      </c>
      <c r="U514" s="163">
        <f>FRESADO!$S514+FRESADO!$T514</f>
        <v>3891.8</v>
      </c>
      <c r="V514" s="164" t="s">
        <v>504</v>
      </c>
      <c r="W514" s="165"/>
      <c r="X514" s="165"/>
      <c r="Y514" s="166"/>
      <c r="Z514" s="175" t="s">
        <v>399</v>
      </c>
    </row>
    <row r="515" ht="15.75" customHeight="1">
      <c r="A515" s="172">
        <v>29.0</v>
      </c>
      <c r="B515" s="173">
        <v>18.0</v>
      </c>
      <c r="C515" s="93">
        <v>1153.0</v>
      </c>
      <c r="D515" s="179">
        <v>46217.0</v>
      </c>
      <c r="E515" s="175">
        <v>1.0</v>
      </c>
      <c r="F515" s="175" t="s">
        <v>74</v>
      </c>
      <c r="G515" s="175" t="s">
        <v>374</v>
      </c>
      <c r="H515" s="175">
        <v>14.0</v>
      </c>
      <c r="I515" s="175" t="s">
        <v>34</v>
      </c>
      <c r="J515" s="175" t="s">
        <v>406</v>
      </c>
      <c r="K515" s="11" t="s">
        <v>36</v>
      </c>
      <c r="L515" s="176"/>
      <c r="M515" s="176"/>
      <c r="N515" s="175" t="s">
        <v>398</v>
      </c>
      <c r="O515" s="175" t="s">
        <v>189</v>
      </c>
      <c r="P515" s="175" t="s">
        <v>546</v>
      </c>
      <c r="Q515" s="175" t="s">
        <v>399</v>
      </c>
      <c r="R515" s="162">
        <v>3355.0</v>
      </c>
      <c r="S515" s="163">
        <f>FRESADO!$R515*FRESADO!$E515</f>
        <v>3355</v>
      </c>
      <c r="T515" s="163">
        <f>FRESADO!$S515*16%</f>
        <v>536.8</v>
      </c>
      <c r="U515" s="163">
        <f>FRESADO!$S515+FRESADO!$T515</f>
        <v>3891.8</v>
      </c>
      <c r="V515" s="164" t="s">
        <v>504</v>
      </c>
      <c r="W515" s="165"/>
      <c r="X515" s="165"/>
      <c r="Y515" s="166"/>
      <c r="Z515" s="175" t="s">
        <v>399</v>
      </c>
    </row>
    <row r="516" ht="15.75" customHeight="1">
      <c r="A516" s="172">
        <v>29.0</v>
      </c>
      <c r="B516" s="173">
        <v>19.0</v>
      </c>
      <c r="C516" s="93">
        <v>1154.0</v>
      </c>
      <c r="D516" s="179">
        <v>46217.0</v>
      </c>
      <c r="E516" s="175">
        <v>1.0</v>
      </c>
      <c r="F516" s="175" t="s">
        <v>74</v>
      </c>
      <c r="G516" s="175" t="s">
        <v>405</v>
      </c>
      <c r="H516" s="175">
        <v>14.0</v>
      </c>
      <c r="I516" s="175" t="s">
        <v>34</v>
      </c>
      <c r="J516" s="175" t="s">
        <v>216</v>
      </c>
      <c r="K516" s="11" t="s">
        <v>36</v>
      </c>
      <c r="L516" s="176"/>
      <c r="M516" s="176"/>
      <c r="N516" s="175" t="s">
        <v>398</v>
      </c>
      <c r="O516" s="175" t="s">
        <v>189</v>
      </c>
      <c r="P516" s="175" t="s">
        <v>546</v>
      </c>
      <c r="Q516" s="175" t="s">
        <v>399</v>
      </c>
      <c r="R516" s="162">
        <v>3355.0</v>
      </c>
      <c r="S516" s="163">
        <f>FRESADO!$R516*FRESADO!$E516</f>
        <v>3355</v>
      </c>
      <c r="T516" s="163">
        <f>FRESADO!$S516*16%</f>
        <v>536.8</v>
      </c>
      <c r="U516" s="163">
        <f>FRESADO!$S516+FRESADO!$T516</f>
        <v>3891.8</v>
      </c>
      <c r="V516" s="164" t="s">
        <v>504</v>
      </c>
      <c r="W516" s="165"/>
      <c r="X516" s="165"/>
      <c r="Y516" s="166"/>
      <c r="Z516" s="175" t="s">
        <v>399</v>
      </c>
    </row>
    <row r="517" ht="15.75" customHeight="1">
      <c r="A517" s="172">
        <v>29.0</v>
      </c>
      <c r="B517" s="173">
        <v>20.0</v>
      </c>
      <c r="C517" s="93">
        <v>1155.0</v>
      </c>
      <c r="D517" s="179">
        <v>46217.0</v>
      </c>
      <c r="E517" s="175">
        <v>1.0</v>
      </c>
      <c r="F517" s="175" t="s">
        <v>74</v>
      </c>
      <c r="G517" s="175" t="s">
        <v>198</v>
      </c>
      <c r="H517" s="175">
        <v>14.0</v>
      </c>
      <c r="I517" s="175" t="s">
        <v>34</v>
      </c>
      <c r="J517" s="175" t="s">
        <v>694</v>
      </c>
      <c r="K517" s="11" t="s">
        <v>36</v>
      </c>
      <c r="L517" s="176"/>
      <c r="M517" s="176"/>
      <c r="N517" s="175" t="s">
        <v>398</v>
      </c>
      <c r="O517" s="175" t="s">
        <v>189</v>
      </c>
      <c r="P517" s="175" t="s">
        <v>546</v>
      </c>
      <c r="Q517" s="175" t="s">
        <v>399</v>
      </c>
      <c r="R517" s="162">
        <v>3355.0</v>
      </c>
      <c r="S517" s="163">
        <f>FRESADO!$R517*FRESADO!$E517</f>
        <v>3355</v>
      </c>
      <c r="T517" s="163">
        <f>FRESADO!$S517*16%</f>
        <v>536.8</v>
      </c>
      <c r="U517" s="163">
        <f>FRESADO!$S517+FRESADO!$T517</f>
        <v>3891.8</v>
      </c>
      <c r="V517" s="164" t="s">
        <v>504</v>
      </c>
      <c r="W517" s="165"/>
      <c r="X517" s="165"/>
      <c r="Y517" s="166"/>
      <c r="Z517" s="175" t="s">
        <v>399</v>
      </c>
    </row>
    <row r="518" ht="15.75" customHeight="1">
      <c r="A518" s="172">
        <v>29.0</v>
      </c>
      <c r="B518" s="173">
        <v>21.0</v>
      </c>
      <c r="C518" s="93">
        <v>1156.0</v>
      </c>
      <c r="D518" s="179">
        <v>46217.0</v>
      </c>
      <c r="E518" s="175">
        <v>1.0</v>
      </c>
      <c r="F518" s="175" t="s">
        <v>74</v>
      </c>
      <c r="G518" s="175" t="s">
        <v>479</v>
      </c>
      <c r="H518" s="175">
        <v>14.0</v>
      </c>
      <c r="I518" s="175" t="s">
        <v>34</v>
      </c>
      <c r="J518" s="175" t="s">
        <v>106</v>
      </c>
      <c r="K518" s="11" t="s">
        <v>36</v>
      </c>
      <c r="L518" s="176"/>
      <c r="M518" s="176"/>
      <c r="N518" s="175" t="s">
        <v>398</v>
      </c>
      <c r="O518" s="175" t="s">
        <v>189</v>
      </c>
      <c r="P518" s="175" t="s">
        <v>546</v>
      </c>
      <c r="Q518" s="175" t="s">
        <v>399</v>
      </c>
      <c r="R518" s="162">
        <v>3355.0</v>
      </c>
      <c r="S518" s="163">
        <f>FRESADO!$R518*FRESADO!$E518</f>
        <v>3355</v>
      </c>
      <c r="T518" s="163">
        <f>FRESADO!$S518*16%</f>
        <v>536.8</v>
      </c>
      <c r="U518" s="163">
        <f>FRESADO!$S518+FRESADO!$T518</f>
        <v>3891.8</v>
      </c>
      <c r="V518" s="164" t="s">
        <v>504</v>
      </c>
      <c r="W518" s="165"/>
      <c r="X518" s="165"/>
      <c r="Y518" s="166"/>
      <c r="Z518" s="175" t="s">
        <v>399</v>
      </c>
    </row>
    <row r="519" ht="15.75" customHeight="1">
      <c r="A519" s="172">
        <v>29.0</v>
      </c>
      <c r="B519" s="173">
        <v>22.0</v>
      </c>
      <c r="C519" s="93">
        <v>1157.0</v>
      </c>
      <c r="D519" s="179">
        <v>46217.0</v>
      </c>
      <c r="E519" s="175">
        <v>1.0</v>
      </c>
      <c r="F519" s="175" t="s">
        <v>74</v>
      </c>
      <c r="G519" s="175" t="s">
        <v>192</v>
      </c>
      <c r="H519" s="175">
        <v>14.0</v>
      </c>
      <c r="I519" s="175" t="s">
        <v>34</v>
      </c>
      <c r="J519" s="175" t="s">
        <v>41</v>
      </c>
      <c r="K519" s="11" t="s">
        <v>36</v>
      </c>
      <c r="L519" s="176"/>
      <c r="M519" s="176"/>
      <c r="N519" s="175" t="s">
        <v>340</v>
      </c>
      <c r="O519" s="175" t="s">
        <v>189</v>
      </c>
      <c r="P519" s="175" t="s">
        <v>546</v>
      </c>
      <c r="Q519" s="178"/>
      <c r="R519" s="162">
        <v>2500.0</v>
      </c>
      <c r="S519" s="163">
        <f>FRESADO!$R519*FRESADO!$E519</f>
        <v>2500</v>
      </c>
      <c r="T519" s="163">
        <f>FRESADO!$S519*16%</f>
        <v>400</v>
      </c>
      <c r="U519" s="163">
        <f>FRESADO!$S519+FRESADO!$T519</f>
        <v>2900</v>
      </c>
      <c r="V519" s="164" t="s">
        <v>504</v>
      </c>
      <c r="W519" s="165"/>
      <c r="X519" s="165"/>
      <c r="Y519" s="166"/>
      <c r="Z519" s="31" t="s">
        <v>77</v>
      </c>
    </row>
    <row r="520" ht="15.75" customHeight="1">
      <c r="A520" s="172">
        <v>29.0</v>
      </c>
      <c r="B520" s="173">
        <v>23.0</v>
      </c>
      <c r="C520" s="93">
        <v>1158.0</v>
      </c>
      <c r="D520" s="179">
        <v>46217.0</v>
      </c>
      <c r="E520" s="175">
        <v>1.0</v>
      </c>
      <c r="F520" s="175" t="s">
        <v>74</v>
      </c>
      <c r="G520" s="175" t="s">
        <v>347</v>
      </c>
      <c r="H520" s="175">
        <v>14.0</v>
      </c>
      <c r="I520" s="175" t="s">
        <v>34</v>
      </c>
      <c r="J520" s="175" t="s">
        <v>70</v>
      </c>
      <c r="K520" s="11" t="s">
        <v>36</v>
      </c>
      <c r="L520" s="176"/>
      <c r="M520" s="176"/>
      <c r="N520" s="175" t="s">
        <v>340</v>
      </c>
      <c r="O520" s="175" t="s">
        <v>189</v>
      </c>
      <c r="P520" s="175" t="s">
        <v>546</v>
      </c>
      <c r="Q520" s="178"/>
      <c r="R520" s="162">
        <v>2500.0</v>
      </c>
      <c r="S520" s="163">
        <f>FRESADO!$R520*FRESADO!$E520</f>
        <v>2500</v>
      </c>
      <c r="T520" s="163">
        <f>FRESADO!$S520*16%</f>
        <v>400</v>
      </c>
      <c r="U520" s="163">
        <f>FRESADO!$S520+FRESADO!$T520</f>
        <v>2900</v>
      </c>
      <c r="V520" s="164" t="s">
        <v>504</v>
      </c>
      <c r="W520" s="165"/>
      <c r="X520" s="165"/>
      <c r="Y520" s="166"/>
      <c r="Z520" s="31" t="s">
        <v>77</v>
      </c>
    </row>
    <row r="521" ht="15.75" customHeight="1">
      <c r="A521" s="172">
        <v>29.0</v>
      </c>
      <c r="B521" s="173">
        <v>24.0</v>
      </c>
      <c r="C521" s="93">
        <v>1159.0</v>
      </c>
      <c r="D521" s="179">
        <v>46217.0</v>
      </c>
      <c r="E521" s="175">
        <v>1.0</v>
      </c>
      <c r="F521" s="175" t="s">
        <v>74</v>
      </c>
      <c r="G521" s="175" t="s">
        <v>347</v>
      </c>
      <c r="H521" s="175">
        <v>14.0</v>
      </c>
      <c r="I521" s="175" t="s">
        <v>34</v>
      </c>
      <c r="J521" s="175" t="s">
        <v>70</v>
      </c>
      <c r="K521" s="11" t="s">
        <v>36</v>
      </c>
      <c r="L521" s="176"/>
      <c r="M521" s="176"/>
      <c r="N521" s="175" t="s">
        <v>340</v>
      </c>
      <c r="O521" s="175" t="s">
        <v>189</v>
      </c>
      <c r="P521" s="175" t="s">
        <v>546</v>
      </c>
      <c r="Q521" s="178"/>
      <c r="R521" s="162">
        <v>2500.0</v>
      </c>
      <c r="S521" s="163">
        <f>FRESADO!$R521*FRESADO!$E521</f>
        <v>2500</v>
      </c>
      <c r="T521" s="163">
        <f>FRESADO!$S521*16%</f>
        <v>400</v>
      </c>
      <c r="U521" s="163">
        <f>FRESADO!$S521+FRESADO!$T521</f>
        <v>2900</v>
      </c>
      <c r="V521" s="164" t="s">
        <v>504</v>
      </c>
      <c r="W521" s="165"/>
      <c r="X521" s="165"/>
      <c r="Y521" s="166"/>
      <c r="Z521" s="31" t="s">
        <v>77</v>
      </c>
    </row>
    <row r="522" ht="15.75" customHeight="1">
      <c r="A522" s="172">
        <v>29.0</v>
      </c>
      <c r="B522" s="173">
        <v>25.0</v>
      </c>
      <c r="C522" s="93">
        <v>1160.0</v>
      </c>
      <c r="D522" s="179">
        <v>46217.0</v>
      </c>
      <c r="E522" s="175">
        <v>1.0</v>
      </c>
      <c r="F522" s="175" t="s">
        <v>74</v>
      </c>
      <c r="G522" s="175" t="s">
        <v>192</v>
      </c>
      <c r="H522" s="175">
        <v>14.0</v>
      </c>
      <c r="I522" s="175" t="s">
        <v>34</v>
      </c>
      <c r="J522" s="175" t="s">
        <v>41</v>
      </c>
      <c r="K522" s="11" t="s">
        <v>36</v>
      </c>
      <c r="L522" s="176"/>
      <c r="M522" s="176"/>
      <c r="N522" s="175" t="s">
        <v>340</v>
      </c>
      <c r="O522" s="175" t="s">
        <v>189</v>
      </c>
      <c r="P522" s="175" t="s">
        <v>546</v>
      </c>
      <c r="Q522" s="178"/>
      <c r="R522" s="162">
        <v>2500.0</v>
      </c>
      <c r="S522" s="163">
        <f>FRESADO!$R522*FRESADO!$E522</f>
        <v>2500</v>
      </c>
      <c r="T522" s="163">
        <f>FRESADO!$S522*16%</f>
        <v>400</v>
      </c>
      <c r="U522" s="163">
        <f>FRESADO!$S522+FRESADO!$T522</f>
        <v>2900</v>
      </c>
      <c r="V522" s="164" t="s">
        <v>504</v>
      </c>
      <c r="W522" s="165"/>
      <c r="X522" s="165"/>
      <c r="Y522" s="166"/>
      <c r="Z522" s="31" t="s">
        <v>77</v>
      </c>
    </row>
    <row r="523" ht="15.75" customHeight="1">
      <c r="A523" s="172">
        <v>29.0</v>
      </c>
      <c r="B523" s="173">
        <v>26.0</v>
      </c>
      <c r="C523" s="93">
        <v>1161.0</v>
      </c>
      <c r="D523" s="179">
        <v>46217.0</v>
      </c>
      <c r="E523" s="175">
        <v>1.0</v>
      </c>
      <c r="F523" s="175" t="s">
        <v>74</v>
      </c>
      <c r="G523" s="175" t="s">
        <v>347</v>
      </c>
      <c r="H523" s="175">
        <v>14.0</v>
      </c>
      <c r="I523" s="175" t="s">
        <v>34</v>
      </c>
      <c r="J523" s="175" t="s">
        <v>70</v>
      </c>
      <c r="K523" s="11" t="s">
        <v>36</v>
      </c>
      <c r="L523" s="176"/>
      <c r="M523" s="176"/>
      <c r="N523" s="175" t="s">
        <v>340</v>
      </c>
      <c r="O523" s="175" t="s">
        <v>189</v>
      </c>
      <c r="P523" s="175" t="s">
        <v>546</v>
      </c>
      <c r="Q523" s="178"/>
      <c r="R523" s="162">
        <v>2500.0</v>
      </c>
      <c r="S523" s="163">
        <f>FRESADO!$R523*FRESADO!$E523</f>
        <v>2500</v>
      </c>
      <c r="T523" s="163">
        <f>FRESADO!$S523*16%</f>
        <v>400</v>
      </c>
      <c r="U523" s="163">
        <f>FRESADO!$S523+FRESADO!$T523</f>
        <v>2900</v>
      </c>
      <c r="V523" s="164" t="s">
        <v>504</v>
      </c>
      <c r="W523" s="165"/>
      <c r="X523" s="165"/>
      <c r="Y523" s="166"/>
      <c r="Z523" s="31" t="s">
        <v>77</v>
      </c>
    </row>
    <row r="524" ht="15.75" customHeight="1">
      <c r="A524" s="172">
        <v>29.0</v>
      </c>
      <c r="B524" s="173">
        <v>27.0</v>
      </c>
      <c r="C524" s="93">
        <v>1162.0</v>
      </c>
      <c r="D524" s="179">
        <v>46217.0</v>
      </c>
      <c r="E524" s="175">
        <v>1.0</v>
      </c>
      <c r="F524" s="175" t="s">
        <v>73</v>
      </c>
      <c r="G524" s="175" t="s">
        <v>887</v>
      </c>
      <c r="H524" s="175">
        <v>10.0</v>
      </c>
      <c r="I524" s="175" t="s">
        <v>34</v>
      </c>
      <c r="J524" s="175" t="s">
        <v>888</v>
      </c>
      <c r="K524" s="11" t="s">
        <v>36</v>
      </c>
      <c r="L524" s="176"/>
      <c r="M524" s="176"/>
      <c r="N524" s="175" t="s">
        <v>340</v>
      </c>
      <c r="O524" s="175" t="s">
        <v>189</v>
      </c>
      <c r="P524" s="175" t="s">
        <v>546</v>
      </c>
      <c r="Q524" s="178"/>
      <c r="R524" s="162">
        <v>4500.0</v>
      </c>
      <c r="S524" s="163">
        <f>FRESADO!$R524*FRESADO!$E524</f>
        <v>4500</v>
      </c>
      <c r="T524" s="163">
        <f>FRESADO!$S524*16%</f>
        <v>720</v>
      </c>
      <c r="U524" s="163">
        <f>FRESADO!$S524+FRESADO!$T524</f>
        <v>5220</v>
      </c>
      <c r="V524" s="164" t="s">
        <v>504</v>
      </c>
      <c r="W524" s="165"/>
      <c r="X524" s="165"/>
      <c r="Y524" s="166"/>
      <c r="Z524" s="167"/>
    </row>
    <row r="525" ht="15.75" customHeight="1">
      <c r="A525" s="34">
        <v>29.0</v>
      </c>
      <c r="B525" s="181">
        <v>28.0</v>
      </c>
      <c r="C525" s="182">
        <v>1163.0</v>
      </c>
      <c r="D525" s="183">
        <v>46217.0</v>
      </c>
      <c r="E525" s="175">
        <v>1.0</v>
      </c>
      <c r="F525" s="149" t="s">
        <v>388</v>
      </c>
      <c r="G525" s="175" t="s">
        <v>583</v>
      </c>
      <c r="H525" s="175">
        <v>7.0</v>
      </c>
      <c r="I525" s="175" t="s">
        <v>34</v>
      </c>
      <c r="J525" s="175" t="s">
        <v>584</v>
      </c>
      <c r="K525" s="34" t="s">
        <v>50</v>
      </c>
      <c r="L525" s="176"/>
      <c r="M525" s="176"/>
      <c r="N525" s="175" t="s">
        <v>340</v>
      </c>
      <c r="O525" s="175" t="s">
        <v>189</v>
      </c>
      <c r="P525" s="175" t="s">
        <v>546</v>
      </c>
      <c r="Q525" s="184" t="s">
        <v>390</v>
      </c>
      <c r="R525" s="152">
        <v>4500.0</v>
      </c>
      <c r="S525" s="17">
        <f>FRESADO!$R525*FRESADO!$E525</f>
        <v>4500</v>
      </c>
      <c r="T525" s="17">
        <f>FRESADO!$S525*16%</f>
        <v>720</v>
      </c>
      <c r="U525" s="17">
        <f>FRESADO!$S525+FRESADO!$T525</f>
        <v>5220</v>
      </c>
      <c r="V525" s="52" t="s">
        <v>545</v>
      </c>
      <c r="W525" s="81"/>
      <c r="X525" s="81"/>
      <c r="Y525" s="82"/>
      <c r="Z525" s="83"/>
    </row>
    <row r="526" ht="15.75" customHeight="1">
      <c r="A526" s="172">
        <v>29.0</v>
      </c>
      <c r="B526" s="173">
        <v>29.0</v>
      </c>
      <c r="C526" s="93">
        <v>1164.0</v>
      </c>
      <c r="D526" s="179">
        <v>46218.0</v>
      </c>
      <c r="E526" s="175">
        <v>1.0</v>
      </c>
      <c r="F526" s="175" t="s">
        <v>74</v>
      </c>
      <c r="G526" s="175" t="s">
        <v>405</v>
      </c>
      <c r="H526" s="175">
        <v>14.0</v>
      </c>
      <c r="I526" s="175" t="s">
        <v>34</v>
      </c>
      <c r="J526" s="175" t="s">
        <v>216</v>
      </c>
      <c r="K526" s="11" t="s">
        <v>36</v>
      </c>
      <c r="L526" s="176"/>
      <c r="M526" s="176"/>
      <c r="N526" s="175" t="s">
        <v>398</v>
      </c>
      <c r="O526" s="175" t="s">
        <v>189</v>
      </c>
      <c r="P526" s="175" t="s">
        <v>546</v>
      </c>
      <c r="Q526" s="175" t="s">
        <v>399</v>
      </c>
      <c r="R526" s="162">
        <v>3355.0</v>
      </c>
      <c r="S526" s="163">
        <f>FRESADO!$R526*FRESADO!$E526</f>
        <v>3355</v>
      </c>
      <c r="T526" s="163">
        <f>FRESADO!$S526*16%</f>
        <v>536.8</v>
      </c>
      <c r="U526" s="163">
        <f>FRESADO!$S526+FRESADO!$T526</f>
        <v>3891.8</v>
      </c>
      <c r="V526" s="164" t="s">
        <v>504</v>
      </c>
      <c r="W526" s="165"/>
      <c r="X526" s="165"/>
      <c r="Y526" s="166"/>
      <c r="Z526" s="175" t="s">
        <v>399</v>
      </c>
    </row>
    <row r="527" ht="15.75" customHeight="1">
      <c r="A527" s="172">
        <v>29.0</v>
      </c>
      <c r="B527" s="173">
        <v>30.0</v>
      </c>
      <c r="C527" s="93">
        <v>1165.0</v>
      </c>
      <c r="D527" s="179">
        <v>46218.0</v>
      </c>
      <c r="E527" s="175">
        <v>1.0</v>
      </c>
      <c r="F527" s="175" t="s">
        <v>74</v>
      </c>
      <c r="G527" s="175" t="s">
        <v>479</v>
      </c>
      <c r="H527" s="175">
        <v>14.0</v>
      </c>
      <c r="I527" s="175" t="s">
        <v>34</v>
      </c>
      <c r="J527" s="175" t="s">
        <v>106</v>
      </c>
      <c r="K527" s="11" t="s">
        <v>36</v>
      </c>
      <c r="L527" s="176"/>
      <c r="M527" s="176"/>
      <c r="N527" s="175" t="s">
        <v>398</v>
      </c>
      <c r="O527" s="175" t="s">
        <v>189</v>
      </c>
      <c r="P527" s="175" t="s">
        <v>546</v>
      </c>
      <c r="Q527" s="175" t="s">
        <v>399</v>
      </c>
      <c r="R527" s="162">
        <v>3355.0</v>
      </c>
      <c r="S527" s="163">
        <f>FRESADO!$R527*FRESADO!$E527</f>
        <v>3355</v>
      </c>
      <c r="T527" s="163">
        <f>FRESADO!$S527*16%</f>
        <v>536.8</v>
      </c>
      <c r="U527" s="163">
        <f>FRESADO!$S527+FRESADO!$T527</f>
        <v>3891.8</v>
      </c>
      <c r="V527" s="185" t="s">
        <v>504</v>
      </c>
      <c r="W527" s="165"/>
      <c r="X527" s="165"/>
      <c r="Y527" s="166"/>
      <c r="Z527" s="175" t="s">
        <v>399</v>
      </c>
    </row>
    <row r="528" ht="15.75" customHeight="1">
      <c r="A528" s="172">
        <v>29.0</v>
      </c>
      <c r="B528" s="173">
        <v>31.0</v>
      </c>
      <c r="C528" s="93">
        <v>1166.0</v>
      </c>
      <c r="D528" s="179">
        <v>46218.0</v>
      </c>
      <c r="E528" s="175">
        <v>1.0</v>
      </c>
      <c r="F528" s="175" t="s">
        <v>74</v>
      </c>
      <c r="G528" s="175" t="s">
        <v>690</v>
      </c>
      <c r="H528" s="175">
        <v>14.0</v>
      </c>
      <c r="I528" s="175" t="s">
        <v>34</v>
      </c>
      <c r="J528" s="175" t="s">
        <v>691</v>
      </c>
      <c r="K528" s="11" t="s">
        <v>36</v>
      </c>
      <c r="L528" s="176"/>
      <c r="M528" s="176"/>
      <c r="N528" s="175" t="s">
        <v>398</v>
      </c>
      <c r="O528" s="175" t="s">
        <v>189</v>
      </c>
      <c r="P528" s="175" t="s">
        <v>546</v>
      </c>
      <c r="Q528" s="184" t="s">
        <v>399</v>
      </c>
      <c r="R528" s="162">
        <v>3855.0</v>
      </c>
      <c r="S528" s="163">
        <f>FRESADO!$R528*FRESADO!$E528</f>
        <v>3855</v>
      </c>
      <c r="T528" s="163">
        <f>FRESADO!$S528*16%</f>
        <v>616.8</v>
      </c>
      <c r="U528" s="163">
        <f>FRESADO!$S528+FRESADO!$T528</f>
        <v>4471.8</v>
      </c>
      <c r="V528" s="164" t="s">
        <v>504</v>
      </c>
      <c r="W528" s="165"/>
      <c r="X528" s="165"/>
      <c r="Y528" s="166"/>
      <c r="Z528" s="175" t="s">
        <v>399</v>
      </c>
    </row>
    <row r="529" ht="15.75" customHeight="1">
      <c r="A529" s="172">
        <v>29.0</v>
      </c>
      <c r="B529" s="173">
        <v>32.0</v>
      </c>
      <c r="C529" s="93">
        <v>1167.0</v>
      </c>
      <c r="D529" s="179">
        <v>46218.0</v>
      </c>
      <c r="E529" s="175">
        <v>1.0</v>
      </c>
      <c r="F529" s="175" t="s">
        <v>74</v>
      </c>
      <c r="G529" s="175" t="s">
        <v>280</v>
      </c>
      <c r="H529" s="175">
        <v>14.0</v>
      </c>
      <c r="I529" s="175" t="s">
        <v>34</v>
      </c>
      <c r="J529" s="175" t="s">
        <v>272</v>
      </c>
      <c r="K529" s="11" t="s">
        <v>36</v>
      </c>
      <c r="L529" s="176"/>
      <c r="M529" s="176"/>
      <c r="N529" s="175" t="s">
        <v>398</v>
      </c>
      <c r="O529" s="175" t="s">
        <v>189</v>
      </c>
      <c r="P529" s="175" t="s">
        <v>546</v>
      </c>
      <c r="Q529" s="175" t="s">
        <v>399</v>
      </c>
      <c r="R529" s="162">
        <v>3855.0</v>
      </c>
      <c r="S529" s="163">
        <f>FRESADO!$R529*FRESADO!$E529</f>
        <v>3855</v>
      </c>
      <c r="T529" s="163">
        <f>FRESADO!$S529*16%</f>
        <v>616.8</v>
      </c>
      <c r="U529" s="163">
        <f>FRESADO!$S529+FRESADO!$T529</f>
        <v>4471.8</v>
      </c>
      <c r="V529" s="164" t="s">
        <v>504</v>
      </c>
      <c r="W529" s="165"/>
      <c r="X529" s="165"/>
      <c r="Y529" s="166"/>
      <c r="Z529" s="175" t="s">
        <v>399</v>
      </c>
    </row>
    <row r="530" ht="15.75" customHeight="1">
      <c r="A530" s="172">
        <v>29.0</v>
      </c>
      <c r="B530" s="173">
        <v>33.0</v>
      </c>
      <c r="C530" s="93">
        <v>1168.0</v>
      </c>
      <c r="D530" s="179">
        <v>46218.0</v>
      </c>
      <c r="E530" s="175">
        <v>1.0</v>
      </c>
      <c r="F530" s="175" t="s">
        <v>74</v>
      </c>
      <c r="G530" s="175" t="s">
        <v>192</v>
      </c>
      <c r="H530" s="175">
        <v>14.0</v>
      </c>
      <c r="I530" s="175" t="s">
        <v>34</v>
      </c>
      <c r="J530" s="175" t="s">
        <v>41</v>
      </c>
      <c r="K530" s="11" t="s">
        <v>36</v>
      </c>
      <c r="L530" s="176"/>
      <c r="M530" s="176"/>
      <c r="N530" s="175" t="s">
        <v>398</v>
      </c>
      <c r="O530" s="175" t="s">
        <v>189</v>
      </c>
      <c r="P530" s="175" t="s">
        <v>546</v>
      </c>
      <c r="Q530" s="175" t="s">
        <v>399</v>
      </c>
      <c r="R530" s="162">
        <v>3855.0</v>
      </c>
      <c r="S530" s="163">
        <f>FRESADO!$R530*FRESADO!$E530</f>
        <v>3855</v>
      </c>
      <c r="T530" s="163">
        <f>FRESADO!$S530*16%</f>
        <v>616.8</v>
      </c>
      <c r="U530" s="163">
        <f>FRESADO!$S530+FRESADO!$T530</f>
        <v>4471.8</v>
      </c>
      <c r="V530" s="164" t="s">
        <v>504</v>
      </c>
      <c r="W530" s="165"/>
      <c r="X530" s="165"/>
      <c r="Y530" s="166"/>
      <c r="Z530" s="175" t="s">
        <v>399</v>
      </c>
    </row>
    <row r="531" ht="15.75" customHeight="1">
      <c r="A531" s="172">
        <v>29.0</v>
      </c>
      <c r="B531" s="173">
        <v>34.0</v>
      </c>
      <c r="C531" s="93">
        <v>1169.0</v>
      </c>
      <c r="D531" s="179">
        <v>46218.0</v>
      </c>
      <c r="E531" s="175">
        <v>1.0</v>
      </c>
      <c r="F531" s="175" t="s">
        <v>74</v>
      </c>
      <c r="G531" s="175" t="s">
        <v>479</v>
      </c>
      <c r="H531" s="175">
        <v>14.0</v>
      </c>
      <c r="I531" s="175" t="s">
        <v>34</v>
      </c>
      <c r="J531" s="175" t="s">
        <v>106</v>
      </c>
      <c r="K531" s="11" t="s">
        <v>36</v>
      </c>
      <c r="L531" s="176"/>
      <c r="M531" s="176"/>
      <c r="N531" s="175" t="s">
        <v>398</v>
      </c>
      <c r="O531" s="175" t="s">
        <v>189</v>
      </c>
      <c r="P531" s="175" t="s">
        <v>546</v>
      </c>
      <c r="Q531" s="175" t="s">
        <v>399</v>
      </c>
      <c r="R531" s="162">
        <v>3355.0</v>
      </c>
      <c r="S531" s="163">
        <f>FRESADO!$R531*FRESADO!$E531</f>
        <v>3355</v>
      </c>
      <c r="T531" s="163">
        <f>FRESADO!$S531*16%</f>
        <v>536.8</v>
      </c>
      <c r="U531" s="163">
        <f>FRESADO!$S531+FRESADO!$T531</f>
        <v>3891.8</v>
      </c>
      <c r="V531" s="164" t="s">
        <v>504</v>
      </c>
      <c r="W531" s="165"/>
      <c r="X531" s="165"/>
      <c r="Y531" s="166"/>
      <c r="Z531" s="175" t="s">
        <v>399</v>
      </c>
    </row>
    <row r="532" ht="15.75" customHeight="1">
      <c r="A532" s="172">
        <v>29.0</v>
      </c>
      <c r="B532" s="173">
        <v>35.0</v>
      </c>
      <c r="C532" s="93">
        <v>1170.0</v>
      </c>
      <c r="D532" s="179">
        <v>46218.0</v>
      </c>
      <c r="E532" s="175">
        <v>1.0</v>
      </c>
      <c r="F532" s="175" t="s">
        <v>74</v>
      </c>
      <c r="G532" s="175" t="s">
        <v>405</v>
      </c>
      <c r="H532" s="175">
        <v>14.0</v>
      </c>
      <c r="I532" s="175" t="s">
        <v>34</v>
      </c>
      <c r="J532" s="175" t="s">
        <v>216</v>
      </c>
      <c r="K532" s="11" t="s">
        <v>36</v>
      </c>
      <c r="L532" s="176"/>
      <c r="M532" s="176"/>
      <c r="N532" s="175" t="s">
        <v>398</v>
      </c>
      <c r="O532" s="175" t="s">
        <v>189</v>
      </c>
      <c r="P532" s="175" t="s">
        <v>546</v>
      </c>
      <c r="Q532" s="175" t="s">
        <v>399</v>
      </c>
      <c r="R532" s="162">
        <v>3355.0</v>
      </c>
      <c r="S532" s="163">
        <f>FRESADO!$R532*FRESADO!$E532</f>
        <v>3355</v>
      </c>
      <c r="T532" s="163">
        <f>FRESADO!$S532*16%</f>
        <v>536.8</v>
      </c>
      <c r="U532" s="163">
        <f>FRESADO!$S532+FRESADO!$T532</f>
        <v>3891.8</v>
      </c>
      <c r="V532" s="164" t="s">
        <v>504</v>
      </c>
      <c r="W532" s="165"/>
      <c r="X532" s="165"/>
      <c r="Y532" s="166"/>
      <c r="Z532" s="175" t="s">
        <v>399</v>
      </c>
    </row>
    <row r="533" ht="15.75" customHeight="1">
      <c r="A533" s="172">
        <v>29.0</v>
      </c>
      <c r="B533" s="173">
        <v>36.0</v>
      </c>
      <c r="C533" s="93">
        <v>1171.0</v>
      </c>
      <c r="D533" s="179">
        <v>46218.0</v>
      </c>
      <c r="E533" s="175">
        <v>1.0</v>
      </c>
      <c r="F533" s="175" t="s">
        <v>74</v>
      </c>
      <c r="G533" s="175" t="s">
        <v>280</v>
      </c>
      <c r="H533" s="175">
        <v>14.0</v>
      </c>
      <c r="I533" s="175" t="s">
        <v>34</v>
      </c>
      <c r="J533" s="175" t="s">
        <v>272</v>
      </c>
      <c r="K533" s="11" t="s">
        <v>36</v>
      </c>
      <c r="L533" s="176"/>
      <c r="M533" s="176"/>
      <c r="N533" s="175" t="s">
        <v>398</v>
      </c>
      <c r="O533" s="175" t="s">
        <v>189</v>
      </c>
      <c r="P533" s="175" t="s">
        <v>546</v>
      </c>
      <c r="Q533" s="175" t="s">
        <v>399</v>
      </c>
      <c r="R533" s="162">
        <v>3855.0</v>
      </c>
      <c r="S533" s="163">
        <f>FRESADO!$R533*FRESADO!$E533</f>
        <v>3855</v>
      </c>
      <c r="T533" s="163">
        <f>FRESADO!$S533*16%</f>
        <v>616.8</v>
      </c>
      <c r="U533" s="163">
        <f>FRESADO!$S533+FRESADO!$T533</f>
        <v>4471.8</v>
      </c>
      <c r="V533" s="164" t="s">
        <v>504</v>
      </c>
      <c r="W533" s="165"/>
      <c r="X533" s="165"/>
      <c r="Y533" s="166"/>
      <c r="Z533" s="175" t="s">
        <v>399</v>
      </c>
    </row>
    <row r="534" ht="15.75" customHeight="1">
      <c r="A534" s="172">
        <v>29.0</v>
      </c>
      <c r="B534" s="173">
        <v>37.0</v>
      </c>
      <c r="C534" s="93">
        <v>1172.0</v>
      </c>
      <c r="D534" s="179">
        <v>46218.0</v>
      </c>
      <c r="E534" s="175">
        <v>1.0</v>
      </c>
      <c r="F534" s="175" t="s">
        <v>74</v>
      </c>
      <c r="G534" s="175" t="s">
        <v>690</v>
      </c>
      <c r="H534" s="175">
        <v>14.0</v>
      </c>
      <c r="I534" s="175" t="s">
        <v>34</v>
      </c>
      <c r="J534" s="175" t="s">
        <v>691</v>
      </c>
      <c r="K534" s="11" t="s">
        <v>36</v>
      </c>
      <c r="L534" s="176"/>
      <c r="M534" s="176"/>
      <c r="N534" s="175" t="s">
        <v>398</v>
      </c>
      <c r="O534" s="175" t="s">
        <v>189</v>
      </c>
      <c r="P534" s="175" t="s">
        <v>546</v>
      </c>
      <c r="Q534" s="175" t="s">
        <v>399</v>
      </c>
      <c r="R534" s="162">
        <v>3855.0</v>
      </c>
      <c r="S534" s="163">
        <f>FRESADO!$R534*FRESADO!$E534</f>
        <v>3855</v>
      </c>
      <c r="T534" s="163">
        <f>FRESADO!$S534*16%</f>
        <v>616.8</v>
      </c>
      <c r="U534" s="163">
        <f>FRESADO!$S534+FRESADO!$T534</f>
        <v>4471.8</v>
      </c>
      <c r="V534" s="164" t="s">
        <v>504</v>
      </c>
      <c r="W534" s="165"/>
      <c r="X534" s="165"/>
      <c r="Y534" s="166"/>
      <c r="Z534" s="175" t="s">
        <v>399</v>
      </c>
    </row>
    <row r="535" ht="15.75" customHeight="1">
      <c r="A535" s="172">
        <v>29.0</v>
      </c>
      <c r="B535" s="173">
        <v>38.0</v>
      </c>
      <c r="C535" s="93">
        <v>1173.0</v>
      </c>
      <c r="D535" s="179">
        <v>46218.0</v>
      </c>
      <c r="E535" s="175">
        <v>1.0</v>
      </c>
      <c r="F535" s="175" t="s">
        <v>74</v>
      </c>
      <c r="G535" s="175" t="s">
        <v>192</v>
      </c>
      <c r="H535" s="175">
        <v>14.0</v>
      </c>
      <c r="I535" s="175" t="s">
        <v>34</v>
      </c>
      <c r="J535" s="175" t="s">
        <v>41</v>
      </c>
      <c r="K535" s="11" t="s">
        <v>36</v>
      </c>
      <c r="L535" s="176"/>
      <c r="M535" s="176"/>
      <c r="N535" s="175" t="s">
        <v>398</v>
      </c>
      <c r="O535" s="175" t="s">
        <v>189</v>
      </c>
      <c r="P535" s="175" t="s">
        <v>546</v>
      </c>
      <c r="Q535" s="175" t="s">
        <v>399</v>
      </c>
      <c r="R535" s="162">
        <v>3855.0</v>
      </c>
      <c r="S535" s="163">
        <f>FRESADO!$R535*FRESADO!$E535</f>
        <v>3855</v>
      </c>
      <c r="T535" s="163">
        <f>FRESADO!$S535*16%</f>
        <v>616.8</v>
      </c>
      <c r="U535" s="163">
        <f>FRESADO!$S535+FRESADO!$T535</f>
        <v>4471.8</v>
      </c>
      <c r="V535" s="164" t="s">
        <v>504</v>
      </c>
      <c r="W535" s="165"/>
      <c r="X535" s="165"/>
      <c r="Y535" s="166"/>
      <c r="Z535" s="175" t="s">
        <v>399</v>
      </c>
    </row>
    <row r="536" ht="15.75" customHeight="1">
      <c r="A536" s="172">
        <v>29.0</v>
      </c>
      <c r="B536" s="173">
        <v>39.0</v>
      </c>
      <c r="C536" s="93">
        <v>1174.0</v>
      </c>
      <c r="D536" s="179">
        <v>46218.0</v>
      </c>
      <c r="E536" s="175">
        <v>1.0</v>
      </c>
      <c r="F536" s="175" t="s">
        <v>74</v>
      </c>
      <c r="G536" s="175" t="s">
        <v>374</v>
      </c>
      <c r="H536" s="175">
        <v>14.0</v>
      </c>
      <c r="I536" s="175" t="s">
        <v>34</v>
      </c>
      <c r="J536" s="175" t="s">
        <v>406</v>
      </c>
      <c r="K536" s="11" t="s">
        <v>36</v>
      </c>
      <c r="L536" s="176"/>
      <c r="M536" s="176"/>
      <c r="N536" s="175" t="s">
        <v>398</v>
      </c>
      <c r="O536" s="175" t="s">
        <v>189</v>
      </c>
      <c r="P536" s="175" t="s">
        <v>546</v>
      </c>
      <c r="Q536" s="175" t="s">
        <v>399</v>
      </c>
      <c r="R536" s="162">
        <v>3355.0</v>
      </c>
      <c r="S536" s="163">
        <f>FRESADO!$R536*FRESADO!$E536</f>
        <v>3355</v>
      </c>
      <c r="T536" s="163">
        <f>FRESADO!$S536*16%</f>
        <v>536.8</v>
      </c>
      <c r="U536" s="163">
        <f>FRESADO!$S536+FRESADO!$T536</f>
        <v>3891.8</v>
      </c>
      <c r="V536" s="164" t="s">
        <v>504</v>
      </c>
      <c r="W536" s="165"/>
      <c r="X536" s="165"/>
      <c r="Y536" s="166"/>
      <c r="Z536" s="175" t="s">
        <v>399</v>
      </c>
    </row>
    <row r="537" ht="15.75" customHeight="1">
      <c r="A537" s="172">
        <v>29.0</v>
      </c>
      <c r="B537" s="173">
        <v>40.0</v>
      </c>
      <c r="C537" s="93">
        <v>1175.0</v>
      </c>
      <c r="D537" s="179">
        <v>46218.0</v>
      </c>
      <c r="E537" s="175">
        <v>1.0</v>
      </c>
      <c r="F537" s="175" t="s">
        <v>74</v>
      </c>
      <c r="G537" s="175" t="s">
        <v>198</v>
      </c>
      <c r="H537" s="175">
        <v>14.0</v>
      </c>
      <c r="I537" s="175" t="s">
        <v>34</v>
      </c>
      <c r="J537" s="175" t="s">
        <v>694</v>
      </c>
      <c r="K537" s="11" t="s">
        <v>36</v>
      </c>
      <c r="L537" s="176"/>
      <c r="M537" s="176"/>
      <c r="N537" s="175" t="s">
        <v>398</v>
      </c>
      <c r="O537" s="175" t="s">
        <v>189</v>
      </c>
      <c r="P537" s="175" t="s">
        <v>546</v>
      </c>
      <c r="Q537" s="175" t="s">
        <v>399</v>
      </c>
      <c r="R537" s="162">
        <v>3355.0</v>
      </c>
      <c r="S537" s="163">
        <f>FRESADO!$R537*FRESADO!$E537</f>
        <v>3355</v>
      </c>
      <c r="T537" s="163">
        <f>FRESADO!$S537*16%</f>
        <v>536.8</v>
      </c>
      <c r="U537" s="163">
        <f>FRESADO!$S537+FRESADO!$T537</f>
        <v>3891.8</v>
      </c>
      <c r="V537" s="164" t="s">
        <v>504</v>
      </c>
      <c r="W537" s="165"/>
      <c r="X537" s="165"/>
      <c r="Y537" s="166"/>
      <c r="Z537" s="175" t="s">
        <v>399</v>
      </c>
    </row>
    <row r="538" ht="15.75" customHeight="1">
      <c r="A538" s="172">
        <v>29.0</v>
      </c>
      <c r="B538" s="173">
        <v>41.0</v>
      </c>
      <c r="C538" s="93">
        <v>1176.0</v>
      </c>
      <c r="D538" s="179">
        <v>46218.0</v>
      </c>
      <c r="E538" s="175">
        <v>1.0</v>
      </c>
      <c r="F538" s="175" t="s">
        <v>74</v>
      </c>
      <c r="G538" s="175" t="s">
        <v>162</v>
      </c>
      <c r="H538" s="175">
        <v>14.0</v>
      </c>
      <c r="I538" s="175" t="s">
        <v>34</v>
      </c>
      <c r="J538" s="175" t="s">
        <v>83</v>
      </c>
      <c r="K538" s="11" t="s">
        <v>36</v>
      </c>
      <c r="L538" s="176"/>
      <c r="M538" s="176"/>
      <c r="N538" s="175" t="s">
        <v>398</v>
      </c>
      <c r="O538" s="175" t="s">
        <v>189</v>
      </c>
      <c r="P538" s="175" t="s">
        <v>546</v>
      </c>
      <c r="Q538" s="175" t="s">
        <v>399</v>
      </c>
      <c r="R538" s="162">
        <v>3355.0</v>
      </c>
      <c r="S538" s="163">
        <f>FRESADO!$R538*FRESADO!$E538</f>
        <v>3355</v>
      </c>
      <c r="T538" s="163">
        <f>FRESADO!$S538*16%</f>
        <v>536.8</v>
      </c>
      <c r="U538" s="163">
        <f>FRESADO!$S538+FRESADO!$T538</f>
        <v>3891.8</v>
      </c>
      <c r="V538" s="164" t="s">
        <v>504</v>
      </c>
      <c r="W538" s="165"/>
      <c r="X538" s="165"/>
      <c r="Y538" s="166"/>
      <c r="Z538" s="175" t="s">
        <v>399</v>
      </c>
    </row>
    <row r="539" ht="15.75" customHeight="1">
      <c r="A539" s="172">
        <v>29.0</v>
      </c>
      <c r="B539" s="173">
        <v>42.0</v>
      </c>
      <c r="C539" s="93">
        <v>1201.0</v>
      </c>
      <c r="D539" s="179">
        <v>46218.0</v>
      </c>
      <c r="E539" s="175">
        <v>1.0</v>
      </c>
      <c r="F539" s="175" t="s">
        <v>73</v>
      </c>
      <c r="G539" s="175" t="s">
        <v>887</v>
      </c>
      <c r="H539" s="175">
        <v>10.0</v>
      </c>
      <c r="I539" s="175" t="s">
        <v>34</v>
      </c>
      <c r="J539" s="175" t="s">
        <v>888</v>
      </c>
      <c r="K539" s="11" t="s">
        <v>36</v>
      </c>
      <c r="L539" s="176"/>
      <c r="M539" s="176"/>
      <c r="N539" s="175" t="s">
        <v>340</v>
      </c>
      <c r="O539" s="175" t="s">
        <v>189</v>
      </c>
      <c r="P539" s="175" t="s">
        <v>546</v>
      </c>
      <c r="Q539" s="178"/>
      <c r="R539" s="162">
        <v>4900.0</v>
      </c>
      <c r="S539" s="163">
        <f>FRESADO!$R539*FRESADO!$E539</f>
        <v>4900</v>
      </c>
      <c r="T539" s="163">
        <f>FRESADO!$S539*16%</f>
        <v>784</v>
      </c>
      <c r="U539" s="163">
        <f>FRESADO!$S539+FRESADO!$T539</f>
        <v>5684</v>
      </c>
      <c r="V539" s="164" t="s">
        <v>504</v>
      </c>
      <c r="W539" s="165"/>
      <c r="X539" s="165"/>
      <c r="Y539" s="166"/>
      <c r="Z539" s="167"/>
    </row>
    <row r="540" ht="15.75" customHeight="1">
      <c r="A540" s="34">
        <v>29.0</v>
      </c>
      <c r="B540" s="181">
        <v>43.0</v>
      </c>
      <c r="C540" s="182">
        <v>1202.0</v>
      </c>
      <c r="D540" s="183">
        <v>46218.0</v>
      </c>
      <c r="E540" s="175">
        <v>1.0</v>
      </c>
      <c r="F540" s="149" t="s">
        <v>388</v>
      </c>
      <c r="G540" s="175" t="s">
        <v>583</v>
      </c>
      <c r="H540" s="175">
        <v>7.0</v>
      </c>
      <c r="I540" s="175" t="s">
        <v>34</v>
      </c>
      <c r="J540" s="175" t="s">
        <v>584</v>
      </c>
      <c r="K540" s="34" t="s">
        <v>50</v>
      </c>
      <c r="L540" s="176"/>
      <c r="M540" s="176"/>
      <c r="N540" s="175" t="s">
        <v>340</v>
      </c>
      <c r="O540" s="175" t="s">
        <v>189</v>
      </c>
      <c r="P540" s="175" t="s">
        <v>546</v>
      </c>
      <c r="Q540" s="184" t="s">
        <v>390</v>
      </c>
      <c r="R540" s="152">
        <v>4500.0</v>
      </c>
      <c r="S540" s="17">
        <f>FRESADO!$R540*FRESADO!$E540</f>
        <v>4500</v>
      </c>
      <c r="T540" s="17">
        <f>FRESADO!$S540*16%</f>
        <v>720</v>
      </c>
      <c r="U540" s="17">
        <f>FRESADO!$S540+FRESADO!$T540</f>
        <v>5220</v>
      </c>
      <c r="V540" s="52" t="s">
        <v>545</v>
      </c>
      <c r="W540" s="81"/>
      <c r="X540" s="81"/>
      <c r="Y540" s="82"/>
      <c r="Z540" s="83"/>
    </row>
    <row r="541" ht="15.75" customHeight="1">
      <c r="A541" s="172">
        <v>29.0</v>
      </c>
      <c r="B541" s="173">
        <v>44.0</v>
      </c>
      <c r="C541" s="93">
        <v>1203.0</v>
      </c>
      <c r="D541" s="179">
        <v>46219.0</v>
      </c>
      <c r="E541" s="175">
        <v>1.0</v>
      </c>
      <c r="F541" s="175" t="s">
        <v>74</v>
      </c>
      <c r="G541" s="175" t="s">
        <v>162</v>
      </c>
      <c r="H541" s="175">
        <v>14.0</v>
      </c>
      <c r="I541" s="175" t="s">
        <v>34</v>
      </c>
      <c r="J541" s="175" t="s">
        <v>83</v>
      </c>
      <c r="K541" s="11" t="s">
        <v>36</v>
      </c>
      <c r="L541" s="176"/>
      <c r="M541" s="176"/>
      <c r="N541" s="175" t="s">
        <v>398</v>
      </c>
      <c r="O541" s="175" t="s">
        <v>189</v>
      </c>
      <c r="P541" s="175" t="s">
        <v>546</v>
      </c>
      <c r="Q541" s="175" t="s">
        <v>399</v>
      </c>
      <c r="R541" s="162">
        <v>3355.0</v>
      </c>
      <c r="S541" s="163">
        <f>FRESADO!$R541*FRESADO!$E541</f>
        <v>3355</v>
      </c>
      <c r="T541" s="163">
        <f>FRESADO!$S541*16%</f>
        <v>536.8</v>
      </c>
      <c r="U541" s="163">
        <f>FRESADO!$S541+FRESADO!$T541</f>
        <v>3891.8</v>
      </c>
      <c r="V541" s="164" t="s">
        <v>504</v>
      </c>
      <c r="W541" s="165"/>
      <c r="X541" s="165"/>
      <c r="Y541" s="166"/>
      <c r="Z541" s="175" t="s">
        <v>399</v>
      </c>
    </row>
    <row r="542" ht="15.75" customHeight="1">
      <c r="A542" s="172">
        <v>29.0</v>
      </c>
      <c r="B542" s="173">
        <v>45.0</v>
      </c>
      <c r="C542" s="93">
        <v>1204.0</v>
      </c>
      <c r="D542" s="179">
        <v>46219.0</v>
      </c>
      <c r="E542" s="175">
        <v>1.0</v>
      </c>
      <c r="F542" s="175" t="s">
        <v>74</v>
      </c>
      <c r="G542" s="175" t="s">
        <v>198</v>
      </c>
      <c r="H542" s="175">
        <v>14.0</v>
      </c>
      <c r="I542" s="175" t="s">
        <v>34</v>
      </c>
      <c r="J542" s="175" t="s">
        <v>694</v>
      </c>
      <c r="K542" s="11" t="s">
        <v>36</v>
      </c>
      <c r="L542" s="176"/>
      <c r="M542" s="176"/>
      <c r="N542" s="175" t="s">
        <v>398</v>
      </c>
      <c r="O542" s="175" t="s">
        <v>189</v>
      </c>
      <c r="P542" s="175" t="s">
        <v>546</v>
      </c>
      <c r="Q542" s="175" t="s">
        <v>399</v>
      </c>
      <c r="R542" s="162">
        <v>3355.0</v>
      </c>
      <c r="S542" s="163">
        <f>FRESADO!$R542*FRESADO!$E542</f>
        <v>3355</v>
      </c>
      <c r="T542" s="163">
        <f>FRESADO!$S542*16%</f>
        <v>536.8</v>
      </c>
      <c r="U542" s="163">
        <f>FRESADO!$S542+FRESADO!$T542</f>
        <v>3891.8</v>
      </c>
      <c r="V542" s="164" t="s">
        <v>504</v>
      </c>
      <c r="W542" s="165"/>
      <c r="X542" s="165"/>
      <c r="Y542" s="166"/>
      <c r="Z542" s="175" t="s">
        <v>399</v>
      </c>
    </row>
    <row r="543" ht="15.75" customHeight="1">
      <c r="A543" s="172">
        <v>29.0</v>
      </c>
      <c r="B543" s="173">
        <v>46.0</v>
      </c>
      <c r="C543" s="93">
        <v>1205.0</v>
      </c>
      <c r="D543" s="179">
        <v>46219.0</v>
      </c>
      <c r="E543" s="175">
        <v>1.0</v>
      </c>
      <c r="F543" s="175" t="s">
        <v>74</v>
      </c>
      <c r="G543" s="175" t="s">
        <v>479</v>
      </c>
      <c r="H543" s="175">
        <v>14.0</v>
      </c>
      <c r="I543" s="175" t="s">
        <v>34</v>
      </c>
      <c r="J543" s="175" t="s">
        <v>106</v>
      </c>
      <c r="K543" s="11" t="s">
        <v>36</v>
      </c>
      <c r="L543" s="176"/>
      <c r="M543" s="176"/>
      <c r="N543" s="175" t="s">
        <v>398</v>
      </c>
      <c r="O543" s="175" t="s">
        <v>189</v>
      </c>
      <c r="P543" s="175" t="s">
        <v>546</v>
      </c>
      <c r="Q543" s="175" t="s">
        <v>399</v>
      </c>
      <c r="R543" s="162">
        <v>3355.0</v>
      </c>
      <c r="S543" s="163">
        <f>FRESADO!$R543*FRESADO!$E543</f>
        <v>3355</v>
      </c>
      <c r="T543" s="163">
        <f>FRESADO!$S543*16%</f>
        <v>536.8</v>
      </c>
      <c r="U543" s="163">
        <f>FRESADO!$S543+FRESADO!$T543</f>
        <v>3891.8</v>
      </c>
      <c r="V543" s="164" t="s">
        <v>504</v>
      </c>
      <c r="W543" s="165"/>
      <c r="X543" s="165"/>
      <c r="Y543" s="166"/>
      <c r="Z543" s="175" t="s">
        <v>399</v>
      </c>
    </row>
    <row r="544" ht="15.75" customHeight="1">
      <c r="A544" s="172">
        <v>29.0</v>
      </c>
      <c r="B544" s="173">
        <v>47.0</v>
      </c>
      <c r="C544" s="93">
        <v>1206.0</v>
      </c>
      <c r="D544" s="179">
        <v>46219.0</v>
      </c>
      <c r="E544" s="175">
        <v>1.0</v>
      </c>
      <c r="F544" s="175" t="s">
        <v>74</v>
      </c>
      <c r="G544" s="175" t="s">
        <v>405</v>
      </c>
      <c r="H544" s="175">
        <v>14.0</v>
      </c>
      <c r="I544" s="175" t="s">
        <v>34</v>
      </c>
      <c r="J544" s="175" t="s">
        <v>216</v>
      </c>
      <c r="K544" s="11" t="s">
        <v>36</v>
      </c>
      <c r="L544" s="176"/>
      <c r="M544" s="176"/>
      <c r="N544" s="175" t="s">
        <v>398</v>
      </c>
      <c r="O544" s="175" t="s">
        <v>189</v>
      </c>
      <c r="P544" s="175" t="s">
        <v>546</v>
      </c>
      <c r="Q544" s="175" t="s">
        <v>399</v>
      </c>
      <c r="R544" s="162">
        <v>3355.0</v>
      </c>
      <c r="S544" s="163">
        <f>FRESADO!$R544*FRESADO!$E544</f>
        <v>3355</v>
      </c>
      <c r="T544" s="163">
        <f>FRESADO!$S544*16%</f>
        <v>536.8</v>
      </c>
      <c r="U544" s="163">
        <f>FRESADO!$S544+FRESADO!$T544</f>
        <v>3891.8</v>
      </c>
      <c r="V544" s="164" t="s">
        <v>504</v>
      </c>
      <c r="W544" s="165"/>
      <c r="X544" s="165"/>
      <c r="Y544" s="166"/>
      <c r="Z544" s="175" t="s">
        <v>399</v>
      </c>
    </row>
    <row r="545" ht="15.75" customHeight="1">
      <c r="A545" s="172">
        <v>29.0</v>
      </c>
      <c r="B545" s="173">
        <v>48.0</v>
      </c>
      <c r="C545" s="93">
        <v>1207.0</v>
      </c>
      <c r="D545" s="179">
        <v>46219.0</v>
      </c>
      <c r="E545" s="175">
        <v>1.0</v>
      </c>
      <c r="F545" s="175" t="s">
        <v>74</v>
      </c>
      <c r="G545" s="175" t="s">
        <v>690</v>
      </c>
      <c r="H545" s="175">
        <v>14.0</v>
      </c>
      <c r="I545" s="175" t="s">
        <v>34</v>
      </c>
      <c r="J545" s="175" t="s">
        <v>691</v>
      </c>
      <c r="K545" s="11" t="s">
        <v>36</v>
      </c>
      <c r="L545" s="176"/>
      <c r="M545" s="176"/>
      <c r="N545" s="175" t="s">
        <v>340</v>
      </c>
      <c r="O545" s="175" t="s">
        <v>189</v>
      </c>
      <c r="P545" s="175" t="s">
        <v>546</v>
      </c>
      <c r="Q545" s="178"/>
      <c r="R545" s="162">
        <v>2500.0</v>
      </c>
      <c r="S545" s="163">
        <f>FRESADO!$R545*FRESADO!$E545</f>
        <v>2500</v>
      </c>
      <c r="T545" s="163">
        <f>FRESADO!$S545*16%</f>
        <v>400</v>
      </c>
      <c r="U545" s="163">
        <f>FRESADO!$S545+FRESADO!$T545</f>
        <v>2900</v>
      </c>
      <c r="V545" s="164" t="s">
        <v>504</v>
      </c>
      <c r="W545" s="165"/>
      <c r="X545" s="165"/>
      <c r="Y545" s="166"/>
      <c r="Z545" s="31" t="s">
        <v>77</v>
      </c>
    </row>
    <row r="546" ht="15.75" customHeight="1">
      <c r="A546" s="172">
        <v>29.0</v>
      </c>
      <c r="B546" s="173">
        <v>49.0</v>
      </c>
      <c r="C546" s="93">
        <v>1208.0</v>
      </c>
      <c r="D546" s="179">
        <v>46219.0</v>
      </c>
      <c r="E546" s="175">
        <v>1.0</v>
      </c>
      <c r="F546" s="175" t="s">
        <v>74</v>
      </c>
      <c r="G546" s="175" t="s">
        <v>347</v>
      </c>
      <c r="H546" s="175">
        <v>14.0</v>
      </c>
      <c r="I546" s="175" t="s">
        <v>34</v>
      </c>
      <c r="J546" s="175" t="s">
        <v>70</v>
      </c>
      <c r="K546" s="11" t="s">
        <v>36</v>
      </c>
      <c r="L546" s="176"/>
      <c r="M546" s="176"/>
      <c r="N546" s="175" t="s">
        <v>340</v>
      </c>
      <c r="O546" s="175" t="s">
        <v>189</v>
      </c>
      <c r="P546" s="175" t="s">
        <v>546</v>
      </c>
      <c r="Q546" s="178"/>
      <c r="R546" s="162">
        <v>2500.0</v>
      </c>
      <c r="S546" s="163">
        <f>FRESADO!$R546*FRESADO!$E546</f>
        <v>2500</v>
      </c>
      <c r="T546" s="163">
        <f>FRESADO!$S546*16%</f>
        <v>400</v>
      </c>
      <c r="U546" s="163">
        <f>FRESADO!$S546+FRESADO!$T546</f>
        <v>2900</v>
      </c>
      <c r="V546" s="164" t="s">
        <v>504</v>
      </c>
      <c r="W546" s="165"/>
      <c r="X546" s="165"/>
      <c r="Y546" s="166"/>
      <c r="Z546" s="31" t="s">
        <v>77</v>
      </c>
    </row>
    <row r="547" ht="15.75" customHeight="1">
      <c r="A547" s="172">
        <v>29.0</v>
      </c>
      <c r="B547" s="173">
        <v>50.0</v>
      </c>
      <c r="C547" s="93">
        <v>1209.0</v>
      </c>
      <c r="D547" s="179">
        <v>46219.0</v>
      </c>
      <c r="E547" s="175">
        <v>1.0</v>
      </c>
      <c r="F547" s="175" t="s">
        <v>74</v>
      </c>
      <c r="G547" s="175" t="s">
        <v>280</v>
      </c>
      <c r="H547" s="175">
        <v>14.0</v>
      </c>
      <c r="I547" s="175" t="s">
        <v>34</v>
      </c>
      <c r="J547" s="175" t="s">
        <v>272</v>
      </c>
      <c r="K547" s="11" t="s">
        <v>36</v>
      </c>
      <c r="L547" s="176"/>
      <c r="M547" s="176"/>
      <c r="N547" s="175" t="s">
        <v>340</v>
      </c>
      <c r="O547" s="175" t="s">
        <v>189</v>
      </c>
      <c r="P547" s="175" t="s">
        <v>546</v>
      </c>
      <c r="Q547" s="178"/>
      <c r="R547" s="162">
        <v>2500.0</v>
      </c>
      <c r="S547" s="163">
        <f>FRESADO!$R547*FRESADO!$E547</f>
        <v>2500</v>
      </c>
      <c r="T547" s="163">
        <f>FRESADO!$S547*16%</f>
        <v>400</v>
      </c>
      <c r="U547" s="163">
        <f>FRESADO!$S547+FRESADO!$T547</f>
        <v>2900</v>
      </c>
      <c r="V547" s="185" t="s">
        <v>504</v>
      </c>
      <c r="W547" s="165"/>
      <c r="X547" s="165"/>
      <c r="Y547" s="166"/>
      <c r="Z547" s="31" t="s">
        <v>77</v>
      </c>
    </row>
    <row r="548" ht="15.75" customHeight="1">
      <c r="A548" s="172">
        <v>29.0</v>
      </c>
      <c r="B548" s="173">
        <v>51.0</v>
      </c>
      <c r="C548" s="93">
        <v>1210.0</v>
      </c>
      <c r="D548" s="179">
        <v>46219.0</v>
      </c>
      <c r="E548" s="175">
        <v>1.0</v>
      </c>
      <c r="F548" s="175" t="s">
        <v>74</v>
      </c>
      <c r="G548" s="175" t="s">
        <v>374</v>
      </c>
      <c r="H548" s="175">
        <v>14.0</v>
      </c>
      <c r="I548" s="175" t="s">
        <v>34</v>
      </c>
      <c r="J548" s="175" t="s">
        <v>406</v>
      </c>
      <c r="K548" s="11" t="s">
        <v>36</v>
      </c>
      <c r="L548" s="176"/>
      <c r="M548" s="176"/>
      <c r="N548" s="175" t="s">
        <v>398</v>
      </c>
      <c r="O548" s="175" t="s">
        <v>189</v>
      </c>
      <c r="P548" s="175" t="s">
        <v>546</v>
      </c>
      <c r="Q548" s="184" t="s">
        <v>399</v>
      </c>
      <c r="R548" s="162">
        <v>3355.0</v>
      </c>
      <c r="S548" s="163">
        <f>FRESADO!$R548*FRESADO!$E548</f>
        <v>3355</v>
      </c>
      <c r="T548" s="163">
        <f>FRESADO!$S548*16%</f>
        <v>536.8</v>
      </c>
      <c r="U548" s="163">
        <f>FRESADO!$S548+FRESADO!$T548</f>
        <v>3891.8</v>
      </c>
      <c r="V548" s="164" t="s">
        <v>504</v>
      </c>
      <c r="W548" s="165"/>
      <c r="X548" s="165"/>
      <c r="Y548" s="166"/>
      <c r="Z548" s="175" t="s">
        <v>399</v>
      </c>
    </row>
    <row r="549" ht="15.75" customHeight="1">
      <c r="A549" s="172">
        <v>29.0</v>
      </c>
      <c r="B549" s="173">
        <v>52.0</v>
      </c>
      <c r="C549" s="93">
        <v>1211.0</v>
      </c>
      <c r="D549" s="179">
        <v>46219.0</v>
      </c>
      <c r="E549" s="175">
        <v>1.0</v>
      </c>
      <c r="F549" s="175" t="s">
        <v>74</v>
      </c>
      <c r="G549" s="175" t="s">
        <v>690</v>
      </c>
      <c r="H549" s="175">
        <v>14.0</v>
      </c>
      <c r="I549" s="175" t="s">
        <v>34</v>
      </c>
      <c r="J549" s="175" t="s">
        <v>691</v>
      </c>
      <c r="K549" s="11" t="s">
        <v>36</v>
      </c>
      <c r="L549" s="176"/>
      <c r="M549" s="176"/>
      <c r="N549" s="175" t="s">
        <v>340</v>
      </c>
      <c r="O549" s="175" t="s">
        <v>189</v>
      </c>
      <c r="P549" s="175" t="s">
        <v>546</v>
      </c>
      <c r="Q549" s="186"/>
      <c r="R549" s="162">
        <v>2500.0</v>
      </c>
      <c r="S549" s="163">
        <f>FRESADO!$R549*FRESADO!$E549</f>
        <v>2500</v>
      </c>
      <c r="T549" s="163">
        <f>FRESADO!$S549*16%</f>
        <v>400</v>
      </c>
      <c r="U549" s="163">
        <f>FRESADO!$S549+FRESADO!$T549</f>
        <v>2900</v>
      </c>
      <c r="V549" s="164" t="s">
        <v>504</v>
      </c>
      <c r="W549" s="165"/>
      <c r="X549" s="165"/>
      <c r="Y549" s="166"/>
      <c r="Z549" s="31" t="s">
        <v>77</v>
      </c>
    </row>
    <row r="550" ht="15.75" customHeight="1">
      <c r="A550" s="172">
        <v>29.0</v>
      </c>
      <c r="B550" s="173">
        <v>53.0</v>
      </c>
      <c r="C550" s="93">
        <v>1212.0</v>
      </c>
      <c r="D550" s="179">
        <v>46219.0</v>
      </c>
      <c r="E550" s="175">
        <v>1.0</v>
      </c>
      <c r="F550" s="175" t="s">
        <v>74</v>
      </c>
      <c r="G550" s="175" t="s">
        <v>347</v>
      </c>
      <c r="H550" s="175">
        <v>14.0</v>
      </c>
      <c r="I550" s="175" t="s">
        <v>34</v>
      </c>
      <c r="J550" s="175" t="s">
        <v>70</v>
      </c>
      <c r="K550" s="11" t="s">
        <v>36</v>
      </c>
      <c r="L550" s="176"/>
      <c r="M550" s="176"/>
      <c r="N550" s="175" t="s">
        <v>340</v>
      </c>
      <c r="O550" s="175" t="s">
        <v>189</v>
      </c>
      <c r="P550" s="175" t="s">
        <v>546</v>
      </c>
      <c r="Q550" s="178"/>
      <c r="R550" s="162">
        <v>2500.0</v>
      </c>
      <c r="S550" s="163">
        <f>FRESADO!$R550*FRESADO!$E550</f>
        <v>2500</v>
      </c>
      <c r="T550" s="163">
        <f>FRESADO!$S550*16%</f>
        <v>400</v>
      </c>
      <c r="U550" s="163">
        <f>FRESADO!$S550+FRESADO!$T550</f>
        <v>2900</v>
      </c>
      <c r="V550" s="164" t="s">
        <v>504</v>
      </c>
      <c r="W550" s="165"/>
      <c r="X550" s="165"/>
      <c r="Y550" s="166"/>
      <c r="Z550" s="31" t="s">
        <v>77</v>
      </c>
    </row>
    <row r="551" ht="15.75" customHeight="1">
      <c r="A551" s="172">
        <v>29.0</v>
      </c>
      <c r="B551" s="173">
        <v>54.0</v>
      </c>
      <c r="C551" s="93">
        <v>1213.0</v>
      </c>
      <c r="D551" s="187">
        <v>46219.0</v>
      </c>
      <c r="E551" s="175">
        <v>1.0</v>
      </c>
      <c r="F551" s="175" t="s">
        <v>74</v>
      </c>
      <c r="G551" s="175" t="s">
        <v>280</v>
      </c>
      <c r="H551" s="175">
        <v>14.0</v>
      </c>
      <c r="I551" s="175" t="s">
        <v>34</v>
      </c>
      <c r="J551" s="175" t="s">
        <v>272</v>
      </c>
      <c r="K551" s="11" t="s">
        <v>36</v>
      </c>
      <c r="L551" s="188"/>
      <c r="M551" s="188"/>
      <c r="N551" s="175" t="s">
        <v>340</v>
      </c>
      <c r="O551" s="175" t="s">
        <v>189</v>
      </c>
      <c r="P551" s="175" t="s">
        <v>546</v>
      </c>
      <c r="Q551" s="178"/>
      <c r="R551" s="162">
        <v>2500.0</v>
      </c>
      <c r="S551" s="163">
        <f>FRESADO!$R551*FRESADO!$E551</f>
        <v>2500</v>
      </c>
      <c r="T551" s="163">
        <f>FRESADO!$S551*16%</f>
        <v>400</v>
      </c>
      <c r="U551" s="163">
        <f>FRESADO!$S551+FRESADO!$T551</f>
        <v>2900</v>
      </c>
      <c r="V551" s="164" t="s">
        <v>504</v>
      </c>
      <c r="W551" s="163"/>
      <c r="X551" s="163"/>
      <c r="Y551" s="189"/>
      <c r="Z551" s="31" t="s">
        <v>77</v>
      </c>
    </row>
    <row r="552" ht="15.75" customHeight="1">
      <c r="A552" s="172">
        <v>29.0</v>
      </c>
      <c r="B552" s="173">
        <v>55.0</v>
      </c>
      <c r="C552" s="93">
        <v>1214.0</v>
      </c>
      <c r="D552" s="187">
        <v>46219.0</v>
      </c>
      <c r="E552" s="175">
        <v>1.0</v>
      </c>
      <c r="F552" s="175" t="s">
        <v>74</v>
      </c>
      <c r="G552" s="175" t="s">
        <v>690</v>
      </c>
      <c r="H552" s="175">
        <v>14.0</v>
      </c>
      <c r="I552" s="175" t="s">
        <v>34</v>
      </c>
      <c r="J552" s="175" t="s">
        <v>691</v>
      </c>
      <c r="K552" s="11" t="s">
        <v>36</v>
      </c>
      <c r="L552" s="188"/>
      <c r="M552" s="188"/>
      <c r="N552" s="175" t="s">
        <v>340</v>
      </c>
      <c r="O552" s="175" t="s">
        <v>189</v>
      </c>
      <c r="P552" s="175" t="s">
        <v>546</v>
      </c>
      <c r="Q552" s="178"/>
      <c r="R552" s="162">
        <v>2500.0</v>
      </c>
      <c r="S552" s="163">
        <f>FRESADO!$R552*FRESADO!$E552</f>
        <v>2500</v>
      </c>
      <c r="T552" s="163">
        <f>FRESADO!$S552*16%</f>
        <v>400</v>
      </c>
      <c r="U552" s="163">
        <f>FRESADO!$S552+FRESADO!$T552</f>
        <v>2900</v>
      </c>
      <c r="V552" s="164" t="s">
        <v>504</v>
      </c>
      <c r="W552" s="163"/>
      <c r="X552" s="163"/>
      <c r="Y552" s="189"/>
      <c r="Z552" s="31" t="s">
        <v>77</v>
      </c>
    </row>
    <row r="553" ht="15.75" customHeight="1">
      <c r="A553" s="172">
        <v>29.0</v>
      </c>
      <c r="B553" s="173">
        <v>56.0</v>
      </c>
      <c r="C553" s="93">
        <v>1215.0</v>
      </c>
      <c r="D553" s="187">
        <v>46219.0</v>
      </c>
      <c r="E553" s="175">
        <v>1.0</v>
      </c>
      <c r="F553" s="175" t="s">
        <v>74</v>
      </c>
      <c r="G553" s="175" t="s">
        <v>347</v>
      </c>
      <c r="H553" s="175">
        <v>14.0</v>
      </c>
      <c r="I553" s="175" t="s">
        <v>34</v>
      </c>
      <c r="J553" s="175" t="s">
        <v>70</v>
      </c>
      <c r="K553" s="11" t="s">
        <v>36</v>
      </c>
      <c r="L553" s="188"/>
      <c r="M553" s="188"/>
      <c r="N553" s="175" t="s">
        <v>340</v>
      </c>
      <c r="O553" s="175" t="s">
        <v>189</v>
      </c>
      <c r="P553" s="175" t="s">
        <v>546</v>
      </c>
      <c r="Q553" s="178"/>
      <c r="R553" s="162">
        <v>2500.0</v>
      </c>
      <c r="S553" s="163">
        <f>FRESADO!$R553*FRESADO!$E553</f>
        <v>2500</v>
      </c>
      <c r="T553" s="163">
        <f>FRESADO!$S553*16%</f>
        <v>400</v>
      </c>
      <c r="U553" s="163">
        <f>FRESADO!$S553+FRESADO!$T553</f>
        <v>2900</v>
      </c>
      <c r="V553" s="164" t="s">
        <v>504</v>
      </c>
      <c r="W553" s="163"/>
      <c r="X553" s="163"/>
      <c r="Y553" s="189"/>
      <c r="Z553" s="31" t="s">
        <v>77</v>
      </c>
    </row>
    <row r="554" ht="15.75" customHeight="1">
      <c r="A554" s="172">
        <v>29.0</v>
      </c>
      <c r="B554" s="173">
        <v>57.0</v>
      </c>
      <c r="C554" s="93">
        <v>1216.0</v>
      </c>
      <c r="D554" s="187">
        <v>46219.0</v>
      </c>
      <c r="E554" s="175">
        <v>1.0</v>
      </c>
      <c r="F554" s="175" t="s">
        <v>74</v>
      </c>
      <c r="G554" s="175" t="s">
        <v>280</v>
      </c>
      <c r="H554" s="175">
        <v>14.0</v>
      </c>
      <c r="I554" s="175" t="s">
        <v>34</v>
      </c>
      <c r="J554" s="175" t="s">
        <v>272</v>
      </c>
      <c r="K554" s="11" t="s">
        <v>36</v>
      </c>
      <c r="L554" s="188"/>
      <c r="M554" s="188"/>
      <c r="N554" s="175" t="s">
        <v>340</v>
      </c>
      <c r="O554" s="175" t="s">
        <v>189</v>
      </c>
      <c r="P554" s="175" t="s">
        <v>546</v>
      </c>
      <c r="Q554" s="178"/>
      <c r="R554" s="162">
        <v>2500.0</v>
      </c>
      <c r="S554" s="163">
        <f>FRESADO!$R554*FRESADO!$E554</f>
        <v>2500</v>
      </c>
      <c r="T554" s="163">
        <f>FRESADO!$S554*16%</f>
        <v>400</v>
      </c>
      <c r="U554" s="163">
        <f>FRESADO!$S554+FRESADO!$T554</f>
        <v>2900</v>
      </c>
      <c r="V554" s="164" t="s">
        <v>504</v>
      </c>
      <c r="W554" s="190"/>
      <c r="X554" s="190"/>
      <c r="Y554" s="191"/>
      <c r="Z554" s="31" t="s">
        <v>77</v>
      </c>
    </row>
    <row r="555" ht="15.75" customHeight="1">
      <c r="A555" s="172">
        <v>29.0</v>
      </c>
      <c r="B555" s="173">
        <v>58.0</v>
      </c>
      <c r="C555" s="93">
        <v>1217.0</v>
      </c>
      <c r="D555" s="187">
        <v>46219.0</v>
      </c>
      <c r="E555" s="175">
        <v>1.0</v>
      </c>
      <c r="F555" s="175" t="s">
        <v>74</v>
      </c>
      <c r="G555" s="175" t="s">
        <v>690</v>
      </c>
      <c r="H555" s="175">
        <v>14.0</v>
      </c>
      <c r="I555" s="175" t="s">
        <v>34</v>
      </c>
      <c r="J555" s="175" t="s">
        <v>691</v>
      </c>
      <c r="K555" s="11" t="s">
        <v>36</v>
      </c>
      <c r="L555" s="192"/>
      <c r="M555" s="192"/>
      <c r="N555" s="175" t="s">
        <v>340</v>
      </c>
      <c r="O555" s="175" t="s">
        <v>189</v>
      </c>
      <c r="P555" s="175" t="s">
        <v>546</v>
      </c>
      <c r="Q555" s="178"/>
      <c r="R555" s="162">
        <v>2500.0</v>
      </c>
      <c r="S555" s="163">
        <f>FRESADO!$R555*FRESADO!$E555</f>
        <v>2500</v>
      </c>
      <c r="T555" s="163">
        <f>FRESADO!$S555*16%</f>
        <v>400</v>
      </c>
      <c r="U555" s="163">
        <f>FRESADO!$S555+FRESADO!$T555</f>
        <v>2900</v>
      </c>
      <c r="V555" s="164" t="s">
        <v>504</v>
      </c>
      <c r="W555" s="193"/>
      <c r="X555" s="193"/>
      <c r="Y555" s="189"/>
      <c r="Z555" s="31" t="s">
        <v>77</v>
      </c>
    </row>
    <row r="556" ht="15.75" customHeight="1">
      <c r="A556" s="172">
        <v>29.0</v>
      </c>
      <c r="B556" s="173">
        <v>59.0</v>
      </c>
      <c r="C556" s="93">
        <v>1218.0</v>
      </c>
      <c r="D556" s="187">
        <v>46219.0</v>
      </c>
      <c r="E556" s="175">
        <v>1.0</v>
      </c>
      <c r="F556" s="175" t="s">
        <v>74</v>
      </c>
      <c r="G556" s="175" t="s">
        <v>347</v>
      </c>
      <c r="H556" s="175">
        <v>14.0</v>
      </c>
      <c r="I556" s="175" t="s">
        <v>34</v>
      </c>
      <c r="J556" s="175" t="s">
        <v>70</v>
      </c>
      <c r="K556" s="11" t="s">
        <v>36</v>
      </c>
      <c r="L556" s="194"/>
      <c r="M556" s="194"/>
      <c r="N556" s="175" t="s">
        <v>340</v>
      </c>
      <c r="O556" s="175" t="s">
        <v>189</v>
      </c>
      <c r="P556" s="175" t="s">
        <v>546</v>
      </c>
      <c r="Q556" s="195"/>
      <c r="R556" s="162">
        <v>2500.0</v>
      </c>
      <c r="S556" s="163">
        <f>FRESADO!$R556*FRESADO!$E556</f>
        <v>2500</v>
      </c>
      <c r="T556" s="163">
        <f>FRESADO!$S556*16%</f>
        <v>400</v>
      </c>
      <c r="U556" s="163">
        <f>FRESADO!$S556+FRESADO!$T556</f>
        <v>2900</v>
      </c>
      <c r="V556" s="164" t="s">
        <v>504</v>
      </c>
      <c r="W556" s="196"/>
      <c r="X556" s="196"/>
      <c r="Y556" s="189"/>
      <c r="Z556" s="31" t="s">
        <v>77</v>
      </c>
    </row>
    <row r="557" ht="15.75" customHeight="1">
      <c r="A557" s="197">
        <v>29.0</v>
      </c>
      <c r="B557" s="197">
        <v>60.0</v>
      </c>
      <c r="C557" s="198">
        <v>1219.0</v>
      </c>
      <c r="D557" s="199">
        <v>46219.0</v>
      </c>
      <c r="E557" s="198">
        <v>0.0</v>
      </c>
      <c r="F557" s="56" t="s">
        <v>182</v>
      </c>
      <c r="G557" s="54">
        <v>0.0</v>
      </c>
      <c r="H557" s="54">
        <v>0.0</v>
      </c>
      <c r="I557" s="54" t="s">
        <v>40</v>
      </c>
      <c r="J557" s="54" t="s">
        <v>183</v>
      </c>
      <c r="K557" s="56" t="s">
        <v>49</v>
      </c>
      <c r="L557" s="194"/>
      <c r="M557" s="194"/>
      <c r="N557" s="200"/>
      <c r="O557" s="200"/>
      <c r="P557" s="200"/>
      <c r="Q557" s="56" t="s">
        <v>182</v>
      </c>
      <c r="R557" s="59">
        <v>0.0</v>
      </c>
      <c r="S557" s="81">
        <f>FRESADO!$R557*FRESADO!$E557</f>
        <v>0</v>
      </c>
      <c r="T557" s="81">
        <f>FRESADO!$S557*16%</f>
        <v>0</v>
      </c>
      <c r="U557" s="81">
        <f>FRESADO!$S557+FRESADO!$T557</f>
        <v>0</v>
      </c>
      <c r="V557" s="56" t="s">
        <v>182</v>
      </c>
      <c r="W557" s="104"/>
      <c r="X557" s="104"/>
      <c r="Y557" s="30"/>
    </row>
    <row r="558" ht="15.75" customHeight="1">
      <c r="A558" s="172">
        <v>29.0</v>
      </c>
      <c r="B558" s="173">
        <v>61.0</v>
      </c>
      <c r="C558" s="93">
        <v>1220.0</v>
      </c>
      <c r="D558" s="187">
        <v>46219.0</v>
      </c>
      <c r="E558" s="175">
        <v>1.0</v>
      </c>
      <c r="F558" s="175" t="s">
        <v>74</v>
      </c>
      <c r="G558" s="175" t="s">
        <v>280</v>
      </c>
      <c r="H558" s="175">
        <v>14.0</v>
      </c>
      <c r="I558" s="175" t="s">
        <v>34</v>
      </c>
      <c r="J558" s="175" t="s">
        <v>272</v>
      </c>
      <c r="K558" s="11" t="s">
        <v>36</v>
      </c>
      <c r="L558" s="194"/>
      <c r="M558" s="194"/>
      <c r="N558" s="175" t="s">
        <v>340</v>
      </c>
      <c r="O558" s="175" t="s">
        <v>189</v>
      </c>
      <c r="P558" s="175" t="s">
        <v>546</v>
      </c>
      <c r="Q558" s="195"/>
      <c r="R558" s="162">
        <v>2500.0</v>
      </c>
      <c r="S558" s="163">
        <f>FRESADO!$R558*FRESADO!$E558</f>
        <v>2500</v>
      </c>
      <c r="T558" s="163">
        <f>FRESADO!$S558*16%</f>
        <v>400</v>
      </c>
      <c r="U558" s="163">
        <f>FRESADO!$S558+FRESADO!$T558</f>
        <v>2900</v>
      </c>
      <c r="V558" s="164" t="s">
        <v>504</v>
      </c>
      <c r="W558" s="196"/>
      <c r="X558" s="196"/>
      <c r="Y558" s="189"/>
      <c r="Z558" s="31" t="s">
        <v>77</v>
      </c>
    </row>
    <row r="559" ht="15.75" customHeight="1">
      <c r="A559" s="34">
        <v>29.0</v>
      </c>
      <c r="B559" s="181">
        <v>62.0</v>
      </c>
      <c r="C559" s="182">
        <v>1221.0</v>
      </c>
      <c r="D559" s="201">
        <v>46219.0</v>
      </c>
      <c r="E559" s="175">
        <v>1.0</v>
      </c>
      <c r="F559" s="175" t="s">
        <v>74</v>
      </c>
      <c r="G559" s="175" t="s">
        <v>480</v>
      </c>
      <c r="H559" s="175">
        <v>14.0</v>
      </c>
      <c r="I559" s="175" t="s">
        <v>34</v>
      </c>
      <c r="J559" s="175" t="s">
        <v>284</v>
      </c>
      <c r="K559" s="34" t="s">
        <v>50</v>
      </c>
      <c r="L559" s="194"/>
      <c r="M559" s="194"/>
      <c r="N559" s="175" t="s">
        <v>398</v>
      </c>
      <c r="O559" s="175" t="s">
        <v>189</v>
      </c>
      <c r="P559" s="175" t="s">
        <v>546</v>
      </c>
      <c r="Q559" s="175" t="s">
        <v>399</v>
      </c>
      <c r="R559" s="202">
        <v>2900.0</v>
      </c>
      <c r="S559" s="17">
        <f>FRESADO!$R559*FRESADO!$E559</f>
        <v>2900</v>
      </c>
      <c r="T559" s="17">
        <f>FRESADO!$S559*16%</f>
        <v>464</v>
      </c>
      <c r="U559" s="17">
        <f>FRESADO!$S559+FRESADO!$T559</f>
        <v>3364</v>
      </c>
      <c r="V559" s="52" t="s">
        <v>545</v>
      </c>
      <c r="W559" s="104"/>
      <c r="X559" s="104"/>
      <c r="Y559" s="30"/>
      <c r="Z559" s="89" t="s">
        <v>399</v>
      </c>
    </row>
    <row r="560" ht="15.75" customHeight="1">
      <c r="A560" s="34">
        <v>29.0</v>
      </c>
      <c r="B560" s="181">
        <v>63.0</v>
      </c>
      <c r="C560" s="175">
        <v>1222.0</v>
      </c>
      <c r="D560" s="187">
        <v>46219.0</v>
      </c>
      <c r="E560" s="175">
        <v>1.0</v>
      </c>
      <c r="F560" s="175" t="s">
        <v>74</v>
      </c>
      <c r="G560" s="175" t="s">
        <v>533</v>
      </c>
      <c r="H560" s="175">
        <v>14.0</v>
      </c>
      <c r="I560" s="175" t="s">
        <v>34</v>
      </c>
      <c r="J560" s="175" t="s">
        <v>889</v>
      </c>
      <c r="K560" s="11" t="s">
        <v>36</v>
      </c>
      <c r="L560" s="194"/>
      <c r="M560" s="194"/>
      <c r="N560" s="175" t="s">
        <v>398</v>
      </c>
      <c r="O560" s="175" t="s">
        <v>189</v>
      </c>
      <c r="P560" s="175" t="s">
        <v>546</v>
      </c>
      <c r="Q560" s="175" t="s">
        <v>399</v>
      </c>
      <c r="R560" s="203"/>
      <c r="S560" s="17">
        <f>FRESADO!$R560*FRESADO!$E560</f>
        <v>0</v>
      </c>
      <c r="T560" s="17">
        <f>FRESADO!$S560*16%</f>
        <v>0</v>
      </c>
      <c r="U560" s="17">
        <f>FRESADO!$S560+FRESADO!$T560</f>
        <v>0</v>
      </c>
      <c r="V560" s="169" t="s">
        <v>695</v>
      </c>
      <c r="W560" s="104"/>
      <c r="X560" s="104"/>
      <c r="Y560" s="30"/>
      <c r="Z560" s="89" t="s">
        <v>399</v>
      </c>
    </row>
    <row r="561" ht="15.75" customHeight="1">
      <c r="A561" s="34">
        <v>29.0</v>
      </c>
      <c r="B561" s="181">
        <v>64.0</v>
      </c>
      <c r="C561" s="182">
        <v>1223.0</v>
      </c>
      <c r="D561" s="201">
        <v>46219.0</v>
      </c>
      <c r="E561" s="175">
        <v>1.0</v>
      </c>
      <c r="F561" s="175" t="s">
        <v>74</v>
      </c>
      <c r="G561" s="175" t="s">
        <v>890</v>
      </c>
      <c r="H561" s="175">
        <v>14.0</v>
      </c>
      <c r="I561" s="175" t="s">
        <v>34</v>
      </c>
      <c r="J561" s="175" t="s">
        <v>195</v>
      </c>
      <c r="K561" s="34" t="s">
        <v>50</v>
      </c>
      <c r="L561" s="194"/>
      <c r="M561" s="194"/>
      <c r="N561" s="175" t="s">
        <v>398</v>
      </c>
      <c r="O561" s="175" t="s">
        <v>189</v>
      </c>
      <c r="P561" s="175" t="s">
        <v>546</v>
      </c>
      <c r="Q561" s="175" t="s">
        <v>399</v>
      </c>
      <c r="R561" s="202">
        <v>2900.0</v>
      </c>
      <c r="S561" s="17">
        <f>FRESADO!$R561*FRESADO!$E561</f>
        <v>2900</v>
      </c>
      <c r="T561" s="17">
        <f>FRESADO!$S561*16%</f>
        <v>464</v>
      </c>
      <c r="U561" s="17">
        <f>FRESADO!$S561+FRESADO!$T561</f>
        <v>3364</v>
      </c>
      <c r="V561" s="52" t="s">
        <v>545</v>
      </c>
      <c r="W561" s="104"/>
      <c r="X561" s="104"/>
      <c r="Y561" s="30"/>
      <c r="Z561" s="89" t="s">
        <v>399</v>
      </c>
    </row>
    <row r="562" ht="15.75" customHeight="1">
      <c r="A562" s="34">
        <v>29.0</v>
      </c>
      <c r="B562" s="181">
        <v>65.0</v>
      </c>
      <c r="C562" s="204">
        <v>1224.0</v>
      </c>
      <c r="D562" s="205">
        <v>46219.0</v>
      </c>
      <c r="E562" s="198">
        <v>1.0</v>
      </c>
      <c r="F562" s="198" t="s">
        <v>219</v>
      </c>
      <c r="G562" s="200"/>
      <c r="H562" s="200"/>
      <c r="I562" s="200"/>
      <c r="J562" s="200"/>
      <c r="K562" s="34" t="s">
        <v>50</v>
      </c>
      <c r="L562" s="194"/>
      <c r="M562" s="194"/>
      <c r="N562" s="200"/>
      <c r="O562" s="200"/>
      <c r="P562" s="200"/>
      <c r="Q562" s="198" t="s">
        <v>219</v>
      </c>
      <c r="R562" s="202">
        <v>1450.0</v>
      </c>
      <c r="S562" s="17">
        <f>FRESADO!$R562*FRESADO!$E562</f>
        <v>1450</v>
      </c>
      <c r="T562" s="17">
        <f>FRESADO!$S562*16%</f>
        <v>232</v>
      </c>
      <c r="U562" s="17">
        <f>FRESADO!$S562+FRESADO!$T562</f>
        <v>1682</v>
      </c>
      <c r="V562" s="52" t="s">
        <v>545</v>
      </c>
      <c r="W562" s="104"/>
      <c r="X562" s="104"/>
      <c r="Y562" s="30"/>
    </row>
    <row r="563" ht="15.75" customHeight="1">
      <c r="A563" s="172">
        <v>29.0</v>
      </c>
      <c r="B563" s="173">
        <v>66.0</v>
      </c>
      <c r="C563" s="93">
        <v>1225.0</v>
      </c>
      <c r="D563" s="187">
        <v>46219.0</v>
      </c>
      <c r="E563" s="175">
        <v>1.0</v>
      </c>
      <c r="F563" s="175" t="s">
        <v>74</v>
      </c>
      <c r="G563" s="175" t="s">
        <v>690</v>
      </c>
      <c r="H563" s="175">
        <v>14.0</v>
      </c>
      <c r="I563" s="175" t="s">
        <v>34</v>
      </c>
      <c r="J563" s="175" t="s">
        <v>691</v>
      </c>
      <c r="K563" s="11" t="s">
        <v>36</v>
      </c>
      <c r="L563" s="194"/>
      <c r="M563" s="194"/>
      <c r="N563" s="175" t="s">
        <v>340</v>
      </c>
      <c r="O563" s="175" t="s">
        <v>189</v>
      </c>
      <c r="P563" s="175" t="s">
        <v>546</v>
      </c>
      <c r="Q563" s="195"/>
      <c r="R563" s="162">
        <v>2500.0</v>
      </c>
      <c r="S563" s="163">
        <f>FRESADO!$R563*FRESADO!$E563</f>
        <v>2500</v>
      </c>
      <c r="T563" s="163">
        <f>FRESADO!$S563*16%</f>
        <v>400</v>
      </c>
      <c r="U563" s="163">
        <f>FRESADO!$S563+FRESADO!$T563</f>
        <v>2900</v>
      </c>
      <c r="V563" s="164" t="s">
        <v>504</v>
      </c>
      <c r="W563" s="196"/>
      <c r="X563" s="196"/>
      <c r="Y563" s="189"/>
      <c r="Z563" s="31" t="s">
        <v>77</v>
      </c>
    </row>
    <row r="564" ht="15.75" customHeight="1">
      <c r="A564" s="172">
        <v>29.0</v>
      </c>
      <c r="B564" s="173">
        <v>67.0</v>
      </c>
      <c r="C564" s="93">
        <v>1226.0</v>
      </c>
      <c r="D564" s="187">
        <v>46219.0</v>
      </c>
      <c r="E564" s="175">
        <v>1.0</v>
      </c>
      <c r="F564" s="175" t="s">
        <v>74</v>
      </c>
      <c r="G564" s="175" t="s">
        <v>347</v>
      </c>
      <c r="H564" s="175">
        <v>14.0</v>
      </c>
      <c r="I564" s="175" t="s">
        <v>34</v>
      </c>
      <c r="J564" s="175" t="s">
        <v>70</v>
      </c>
      <c r="K564" s="11" t="s">
        <v>36</v>
      </c>
      <c r="L564" s="194"/>
      <c r="M564" s="194"/>
      <c r="N564" s="175" t="s">
        <v>340</v>
      </c>
      <c r="O564" s="175" t="s">
        <v>189</v>
      </c>
      <c r="P564" s="175" t="s">
        <v>546</v>
      </c>
      <c r="Q564" s="200"/>
      <c r="R564" s="162">
        <v>2500.0</v>
      </c>
      <c r="S564" s="163">
        <f>FRESADO!$R564*FRESADO!$E564</f>
        <v>2500</v>
      </c>
      <c r="T564" s="163">
        <f>FRESADO!$S564*16%</f>
        <v>400</v>
      </c>
      <c r="U564" s="163">
        <f>FRESADO!$S564+FRESADO!$T564</f>
        <v>2900</v>
      </c>
      <c r="V564" s="164" t="s">
        <v>504</v>
      </c>
      <c r="W564" s="196"/>
      <c r="X564" s="196"/>
      <c r="Y564" s="189"/>
      <c r="Z564" s="31" t="s">
        <v>77</v>
      </c>
    </row>
    <row r="565" ht="15.75" customHeight="1">
      <c r="A565" s="172">
        <v>29.0</v>
      </c>
      <c r="B565" s="173">
        <v>68.0</v>
      </c>
      <c r="C565" s="93">
        <v>1228.0</v>
      </c>
      <c r="D565" s="187">
        <v>46219.0</v>
      </c>
      <c r="E565" s="175">
        <v>1.0</v>
      </c>
      <c r="F565" s="175" t="s">
        <v>73</v>
      </c>
      <c r="G565" s="175" t="s">
        <v>887</v>
      </c>
      <c r="H565" s="175">
        <v>20.0</v>
      </c>
      <c r="I565" s="175" t="s">
        <v>34</v>
      </c>
      <c r="J565" s="175" t="s">
        <v>888</v>
      </c>
      <c r="K565" s="11" t="s">
        <v>36</v>
      </c>
      <c r="L565" s="194"/>
      <c r="M565" s="194"/>
      <c r="N565" s="175" t="s">
        <v>340</v>
      </c>
      <c r="O565" s="175" t="s">
        <v>189</v>
      </c>
      <c r="P565" s="175" t="s">
        <v>546</v>
      </c>
      <c r="Q565" s="195"/>
      <c r="R565" s="162">
        <v>4900.0</v>
      </c>
      <c r="S565" s="163">
        <f>FRESADO!$R565*FRESADO!$E565</f>
        <v>4900</v>
      </c>
      <c r="T565" s="163">
        <f>FRESADO!$S565*16%</f>
        <v>784</v>
      </c>
      <c r="U565" s="163">
        <f>FRESADO!$S565+FRESADO!$T565</f>
        <v>5684</v>
      </c>
      <c r="V565" s="164" t="s">
        <v>504</v>
      </c>
      <c r="W565" s="196"/>
      <c r="X565" s="196"/>
      <c r="Y565" s="189"/>
      <c r="Z565" s="206"/>
    </row>
    <row r="566" ht="15.75" customHeight="1">
      <c r="A566" s="34">
        <v>29.0</v>
      </c>
      <c r="B566" s="181">
        <v>69.0</v>
      </c>
      <c r="C566" s="182">
        <v>1227.0</v>
      </c>
      <c r="D566" s="201">
        <v>46219.0</v>
      </c>
      <c r="E566" s="175">
        <v>1.0</v>
      </c>
      <c r="F566" s="149" t="s">
        <v>388</v>
      </c>
      <c r="G566" s="175" t="s">
        <v>583</v>
      </c>
      <c r="H566" s="175">
        <v>7.0</v>
      </c>
      <c r="I566" s="175" t="s">
        <v>34</v>
      </c>
      <c r="J566" s="175" t="s">
        <v>584</v>
      </c>
      <c r="K566" s="34" t="s">
        <v>50</v>
      </c>
      <c r="L566" s="194"/>
      <c r="M566" s="194"/>
      <c r="N566" s="175" t="s">
        <v>340</v>
      </c>
      <c r="O566" s="175" t="s">
        <v>189</v>
      </c>
      <c r="P566" s="175" t="s">
        <v>546</v>
      </c>
      <c r="Q566" s="184" t="s">
        <v>390</v>
      </c>
      <c r="R566" s="152">
        <v>4500.0</v>
      </c>
      <c r="S566" s="17">
        <f>FRESADO!$R566*FRESADO!$E566</f>
        <v>4500</v>
      </c>
      <c r="T566" s="17">
        <f>FRESADO!$S566*16%</f>
        <v>720</v>
      </c>
      <c r="U566" s="17">
        <f>FRESADO!$S566+FRESADO!$T566</f>
        <v>5220</v>
      </c>
      <c r="V566" s="52" t="s">
        <v>545</v>
      </c>
      <c r="W566" s="104"/>
      <c r="X566" s="104"/>
      <c r="Y566" s="30"/>
    </row>
    <row r="567" ht="15.75" customHeight="1">
      <c r="A567" s="172">
        <v>29.0</v>
      </c>
      <c r="B567" s="173">
        <v>70.0</v>
      </c>
      <c r="C567" s="101">
        <v>1229.0</v>
      </c>
      <c r="D567" s="207">
        <v>46220.0</v>
      </c>
      <c r="E567" s="175">
        <v>1.0</v>
      </c>
      <c r="F567" s="177" t="s">
        <v>74</v>
      </c>
      <c r="G567" s="175" t="s">
        <v>198</v>
      </c>
      <c r="H567" s="175">
        <v>14.0</v>
      </c>
      <c r="I567" s="175" t="s">
        <v>34</v>
      </c>
      <c r="J567" s="175" t="s">
        <v>694</v>
      </c>
      <c r="K567" s="11" t="s">
        <v>36</v>
      </c>
      <c r="L567" s="194"/>
      <c r="M567" s="194"/>
      <c r="N567" s="175" t="s">
        <v>398</v>
      </c>
      <c r="O567" s="175" t="s">
        <v>189</v>
      </c>
      <c r="P567" s="175" t="s">
        <v>546</v>
      </c>
      <c r="Q567" s="175" t="s">
        <v>399</v>
      </c>
      <c r="R567" s="162">
        <v>3355.0</v>
      </c>
      <c r="S567" s="163">
        <f>FRESADO!$R567*FRESADO!$E567</f>
        <v>3355</v>
      </c>
      <c r="T567" s="163">
        <f>FRESADO!$S567*16%</f>
        <v>536.8</v>
      </c>
      <c r="U567" s="163">
        <f>FRESADO!$S567+FRESADO!$T567</f>
        <v>3891.8</v>
      </c>
      <c r="V567" s="164" t="s">
        <v>504</v>
      </c>
      <c r="W567" s="196"/>
      <c r="X567" s="196"/>
      <c r="Y567" s="189"/>
      <c r="Z567" s="175" t="s">
        <v>399</v>
      </c>
    </row>
    <row r="568" ht="15.75" customHeight="1">
      <c r="A568" s="172">
        <v>29.0</v>
      </c>
      <c r="B568" s="173">
        <v>71.0</v>
      </c>
      <c r="C568" s="101">
        <v>1230.0</v>
      </c>
      <c r="D568" s="207">
        <v>46220.0</v>
      </c>
      <c r="E568" s="175">
        <v>1.0</v>
      </c>
      <c r="F568" s="177" t="s">
        <v>74</v>
      </c>
      <c r="G568" s="175" t="s">
        <v>374</v>
      </c>
      <c r="H568" s="175">
        <v>14.0</v>
      </c>
      <c r="I568" s="175" t="s">
        <v>34</v>
      </c>
      <c r="J568" s="175" t="s">
        <v>406</v>
      </c>
      <c r="K568" s="11" t="s">
        <v>36</v>
      </c>
      <c r="L568" s="194"/>
      <c r="M568" s="194"/>
      <c r="N568" s="175" t="s">
        <v>398</v>
      </c>
      <c r="O568" s="175" t="s">
        <v>189</v>
      </c>
      <c r="P568" s="175" t="s">
        <v>546</v>
      </c>
      <c r="Q568" s="177" t="s">
        <v>399</v>
      </c>
      <c r="R568" s="162">
        <v>3355.0</v>
      </c>
      <c r="S568" s="163">
        <f>FRESADO!$R568*FRESADO!$E568</f>
        <v>3355</v>
      </c>
      <c r="T568" s="163">
        <f>FRESADO!$S568*16%</f>
        <v>536.8</v>
      </c>
      <c r="U568" s="163">
        <f>FRESADO!$S568+FRESADO!$T568</f>
        <v>3891.8</v>
      </c>
      <c r="V568" s="164" t="s">
        <v>504</v>
      </c>
      <c r="W568" s="196"/>
      <c r="X568" s="196"/>
      <c r="Y568" s="189"/>
      <c r="Z568" s="175" t="s">
        <v>399</v>
      </c>
    </row>
    <row r="569" ht="15.75" customHeight="1">
      <c r="A569" s="172">
        <v>29.0</v>
      </c>
      <c r="B569" s="173">
        <v>72.0</v>
      </c>
      <c r="C569" s="101">
        <v>1231.0</v>
      </c>
      <c r="D569" s="207">
        <v>46220.0</v>
      </c>
      <c r="E569" s="175">
        <v>1.0</v>
      </c>
      <c r="F569" s="177" t="s">
        <v>74</v>
      </c>
      <c r="G569" s="175" t="s">
        <v>405</v>
      </c>
      <c r="H569" s="175">
        <v>14.0</v>
      </c>
      <c r="I569" s="175" t="s">
        <v>34</v>
      </c>
      <c r="J569" s="175" t="s">
        <v>216</v>
      </c>
      <c r="K569" s="11" t="s">
        <v>36</v>
      </c>
      <c r="L569" s="194"/>
      <c r="M569" s="194"/>
      <c r="N569" s="175" t="s">
        <v>398</v>
      </c>
      <c r="O569" s="175" t="s">
        <v>189</v>
      </c>
      <c r="P569" s="175" t="s">
        <v>546</v>
      </c>
      <c r="Q569" s="177" t="s">
        <v>399</v>
      </c>
      <c r="R569" s="162">
        <v>3355.0</v>
      </c>
      <c r="S569" s="163">
        <f>FRESADO!$R569*FRESADO!$E569</f>
        <v>3355</v>
      </c>
      <c r="T569" s="163">
        <f>FRESADO!$S569*16%</f>
        <v>536.8</v>
      </c>
      <c r="U569" s="163">
        <f>FRESADO!$S569+FRESADO!$T569</f>
        <v>3891.8</v>
      </c>
      <c r="V569" s="164" t="s">
        <v>504</v>
      </c>
      <c r="W569" s="196"/>
      <c r="X569" s="196"/>
      <c r="Y569" s="189"/>
      <c r="Z569" s="175" t="s">
        <v>399</v>
      </c>
    </row>
    <row r="570" ht="15.75" customHeight="1">
      <c r="A570" s="172">
        <v>29.0</v>
      </c>
      <c r="B570" s="173">
        <v>73.0</v>
      </c>
      <c r="C570" s="101">
        <v>1232.0</v>
      </c>
      <c r="D570" s="207">
        <v>46220.0</v>
      </c>
      <c r="E570" s="175">
        <v>1.0</v>
      </c>
      <c r="F570" s="177" t="s">
        <v>74</v>
      </c>
      <c r="G570" s="175" t="s">
        <v>162</v>
      </c>
      <c r="H570" s="175">
        <v>14.0</v>
      </c>
      <c r="I570" s="175" t="s">
        <v>34</v>
      </c>
      <c r="J570" s="175" t="s">
        <v>83</v>
      </c>
      <c r="K570" s="11" t="s">
        <v>36</v>
      </c>
      <c r="L570" s="194"/>
      <c r="M570" s="194"/>
      <c r="N570" s="175" t="s">
        <v>398</v>
      </c>
      <c r="O570" s="175" t="s">
        <v>189</v>
      </c>
      <c r="P570" s="175" t="s">
        <v>546</v>
      </c>
      <c r="Q570" s="175" t="s">
        <v>399</v>
      </c>
      <c r="R570" s="162">
        <v>3355.0</v>
      </c>
      <c r="S570" s="163">
        <f>FRESADO!$R570*FRESADO!$E570</f>
        <v>3355</v>
      </c>
      <c r="T570" s="163">
        <f>FRESADO!$S570*16%</f>
        <v>536.8</v>
      </c>
      <c r="U570" s="163">
        <f>FRESADO!$S570+FRESADO!$T570</f>
        <v>3891.8</v>
      </c>
      <c r="V570" s="164" t="s">
        <v>504</v>
      </c>
      <c r="W570" s="196"/>
      <c r="X570" s="196"/>
      <c r="Y570" s="189"/>
      <c r="Z570" s="175" t="s">
        <v>399</v>
      </c>
    </row>
    <row r="571" ht="15.75" customHeight="1">
      <c r="A571" s="172">
        <v>29.0</v>
      </c>
      <c r="B571" s="173">
        <v>74.0</v>
      </c>
      <c r="C571" s="101">
        <v>1233.0</v>
      </c>
      <c r="D571" s="207">
        <v>46220.0</v>
      </c>
      <c r="E571" s="175">
        <v>1.0</v>
      </c>
      <c r="F571" s="177" t="s">
        <v>74</v>
      </c>
      <c r="G571" s="175" t="s">
        <v>192</v>
      </c>
      <c r="H571" s="175">
        <v>14.0</v>
      </c>
      <c r="I571" s="175" t="s">
        <v>34</v>
      </c>
      <c r="J571" s="175" t="s">
        <v>41</v>
      </c>
      <c r="K571" s="11" t="s">
        <v>36</v>
      </c>
      <c r="L571" s="194"/>
      <c r="M571" s="194"/>
      <c r="N571" s="175" t="s">
        <v>340</v>
      </c>
      <c r="O571" s="175" t="s">
        <v>189</v>
      </c>
      <c r="P571" s="175" t="s">
        <v>546</v>
      </c>
      <c r="Q571" s="195"/>
      <c r="R571" s="162">
        <v>2500.0</v>
      </c>
      <c r="S571" s="163">
        <f>FRESADO!$R571*FRESADO!$E571</f>
        <v>2500</v>
      </c>
      <c r="T571" s="163">
        <f>FRESADO!$S571*16%</f>
        <v>400</v>
      </c>
      <c r="U571" s="163">
        <f>FRESADO!$S571+FRESADO!$T571</f>
        <v>2900</v>
      </c>
      <c r="V571" s="164" t="s">
        <v>504</v>
      </c>
      <c r="W571" s="196"/>
      <c r="X571" s="196"/>
      <c r="Y571" s="189"/>
      <c r="Z571" s="31" t="s">
        <v>77</v>
      </c>
    </row>
    <row r="572" ht="15.75" customHeight="1">
      <c r="A572" s="172">
        <v>29.0</v>
      </c>
      <c r="B572" s="173">
        <v>75.0</v>
      </c>
      <c r="C572" s="101">
        <v>1234.0</v>
      </c>
      <c r="D572" s="207">
        <v>46220.0</v>
      </c>
      <c r="E572" s="175">
        <v>1.0</v>
      </c>
      <c r="F572" s="177" t="s">
        <v>74</v>
      </c>
      <c r="G572" s="175" t="s">
        <v>347</v>
      </c>
      <c r="H572" s="175">
        <v>14.0</v>
      </c>
      <c r="I572" s="175" t="s">
        <v>34</v>
      </c>
      <c r="J572" s="175" t="s">
        <v>70</v>
      </c>
      <c r="K572" s="11" t="s">
        <v>36</v>
      </c>
      <c r="L572" s="194"/>
      <c r="M572" s="194"/>
      <c r="N572" s="175" t="s">
        <v>340</v>
      </c>
      <c r="O572" s="175" t="s">
        <v>189</v>
      </c>
      <c r="P572" s="175" t="s">
        <v>546</v>
      </c>
      <c r="Q572" s="200"/>
      <c r="R572" s="162">
        <v>2500.0</v>
      </c>
      <c r="S572" s="163">
        <f>FRESADO!$R572*FRESADO!$E572</f>
        <v>2500</v>
      </c>
      <c r="T572" s="163">
        <f>FRESADO!$S572*16%</f>
        <v>400</v>
      </c>
      <c r="U572" s="163">
        <f>FRESADO!$S572+FRESADO!$T572</f>
        <v>2900</v>
      </c>
      <c r="V572" s="164" t="s">
        <v>504</v>
      </c>
      <c r="W572" s="196"/>
      <c r="X572" s="196"/>
      <c r="Y572" s="189"/>
      <c r="Z572" s="31" t="s">
        <v>77</v>
      </c>
    </row>
    <row r="573" ht="15.75" customHeight="1">
      <c r="A573" s="172">
        <v>29.0</v>
      </c>
      <c r="B573" s="173">
        <v>76.0</v>
      </c>
      <c r="C573" s="101">
        <v>1235.0</v>
      </c>
      <c r="D573" s="207">
        <v>46220.0</v>
      </c>
      <c r="E573" s="175">
        <v>1.0</v>
      </c>
      <c r="F573" s="177" t="s">
        <v>74</v>
      </c>
      <c r="G573" s="175" t="s">
        <v>280</v>
      </c>
      <c r="H573" s="175">
        <v>14.0</v>
      </c>
      <c r="I573" s="175" t="s">
        <v>34</v>
      </c>
      <c r="J573" s="175" t="s">
        <v>272</v>
      </c>
      <c r="K573" s="11" t="s">
        <v>36</v>
      </c>
      <c r="L573" s="194"/>
      <c r="M573" s="194"/>
      <c r="N573" s="175" t="s">
        <v>340</v>
      </c>
      <c r="O573" s="175" t="s">
        <v>189</v>
      </c>
      <c r="P573" s="175" t="s">
        <v>546</v>
      </c>
      <c r="Q573" s="195"/>
      <c r="R573" s="162">
        <v>2500.0</v>
      </c>
      <c r="S573" s="163">
        <f>FRESADO!$R573*FRESADO!$E573</f>
        <v>2500</v>
      </c>
      <c r="T573" s="163">
        <f>FRESADO!$S573*16%</f>
        <v>400</v>
      </c>
      <c r="U573" s="163">
        <f>FRESADO!$S573+FRESADO!$T573</f>
        <v>2900</v>
      </c>
      <c r="V573" s="164" t="s">
        <v>504</v>
      </c>
      <c r="W573" s="196"/>
      <c r="X573" s="196"/>
      <c r="Y573" s="189"/>
      <c r="Z573" s="31" t="s">
        <v>77</v>
      </c>
    </row>
    <row r="574" ht="15.75" customHeight="1">
      <c r="A574" s="172">
        <v>29.0</v>
      </c>
      <c r="B574" s="173">
        <v>77.0</v>
      </c>
      <c r="C574" s="101">
        <v>1236.0</v>
      </c>
      <c r="D574" s="207">
        <v>46220.0</v>
      </c>
      <c r="E574" s="175">
        <v>1.0</v>
      </c>
      <c r="F574" s="177" t="s">
        <v>74</v>
      </c>
      <c r="G574" s="175" t="s">
        <v>192</v>
      </c>
      <c r="H574" s="175">
        <v>14.0</v>
      </c>
      <c r="I574" s="175" t="s">
        <v>34</v>
      </c>
      <c r="J574" s="175" t="s">
        <v>41</v>
      </c>
      <c r="K574" s="11" t="s">
        <v>36</v>
      </c>
      <c r="L574" s="194"/>
      <c r="M574" s="194"/>
      <c r="N574" s="175" t="s">
        <v>340</v>
      </c>
      <c r="O574" s="175" t="s">
        <v>189</v>
      </c>
      <c r="P574" s="175" t="s">
        <v>546</v>
      </c>
      <c r="Q574" s="195"/>
      <c r="R574" s="162">
        <v>2500.0</v>
      </c>
      <c r="S574" s="163">
        <f>FRESADO!$R574*FRESADO!$E574</f>
        <v>2500</v>
      </c>
      <c r="T574" s="163">
        <f>FRESADO!$S574*16%</f>
        <v>400</v>
      </c>
      <c r="U574" s="163">
        <f>FRESADO!$S574+FRESADO!$T574</f>
        <v>2900</v>
      </c>
      <c r="V574" s="164" t="s">
        <v>504</v>
      </c>
      <c r="W574" s="196"/>
      <c r="X574" s="196"/>
      <c r="Y574" s="189"/>
      <c r="Z574" s="31" t="s">
        <v>77</v>
      </c>
    </row>
    <row r="575" ht="15.75" customHeight="1">
      <c r="A575" s="172">
        <v>29.0</v>
      </c>
      <c r="B575" s="173">
        <v>78.0</v>
      </c>
      <c r="C575" s="101">
        <v>1237.0</v>
      </c>
      <c r="D575" s="207">
        <v>46220.0</v>
      </c>
      <c r="E575" s="175">
        <v>1.0</v>
      </c>
      <c r="F575" s="177" t="s">
        <v>74</v>
      </c>
      <c r="G575" s="175" t="s">
        <v>347</v>
      </c>
      <c r="H575" s="175">
        <v>14.0</v>
      </c>
      <c r="I575" s="175" t="s">
        <v>34</v>
      </c>
      <c r="J575" s="175" t="s">
        <v>70</v>
      </c>
      <c r="K575" s="11" t="s">
        <v>36</v>
      </c>
      <c r="L575" s="194"/>
      <c r="M575" s="194"/>
      <c r="N575" s="175" t="s">
        <v>340</v>
      </c>
      <c r="O575" s="175" t="s">
        <v>189</v>
      </c>
      <c r="P575" s="177" t="s">
        <v>546</v>
      </c>
      <c r="Q575" s="208"/>
      <c r="R575" s="162">
        <v>2500.0</v>
      </c>
      <c r="S575" s="163">
        <f>FRESADO!$R575*FRESADO!$E575</f>
        <v>2500</v>
      </c>
      <c r="T575" s="163">
        <f>FRESADO!$S575*16%</f>
        <v>400</v>
      </c>
      <c r="U575" s="163">
        <f>FRESADO!$S575+FRESADO!$T575</f>
        <v>2900</v>
      </c>
      <c r="V575" s="164" t="s">
        <v>504</v>
      </c>
      <c r="W575" s="196"/>
      <c r="X575" s="196"/>
      <c r="Y575" s="189"/>
      <c r="Z575" s="31" t="s">
        <v>77</v>
      </c>
    </row>
    <row r="576" ht="15.75" customHeight="1">
      <c r="A576" s="172">
        <v>29.0</v>
      </c>
      <c r="B576" s="173">
        <v>79.0</v>
      </c>
      <c r="C576" s="101">
        <v>1238.0</v>
      </c>
      <c r="D576" s="207">
        <v>46220.0</v>
      </c>
      <c r="E576" s="175">
        <v>1.0</v>
      </c>
      <c r="F576" s="175" t="s">
        <v>74</v>
      </c>
      <c r="G576" s="175" t="s">
        <v>280</v>
      </c>
      <c r="H576" s="175">
        <v>14.0</v>
      </c>
      <c r="I576" s="175" t="s">
        <v>34</v>
      </c>
      <c r="J576" s="175" t="s">
        <v>272</v>
      </c>
      <c r="K576" s="11" t="s">
        <v>36</v>
      </c>
      <c r="L576" s="194"/>
      <c r="M576" s="194"/>
      <c r="N576" s="175" t="s">
        <v>340</v>
      </c>
      <c r="O576" s="175" t="s">
        <v>189</v>
      </c>
      <c r="P576" s="175" t="s">
        <v>546</v>
      </c>
      <c r="Q576" s="195"/>
      <c r="R576" s="162">
        <v>2500.0</v>
      </c>
      <c r="S576" s="163">
        <f>FRESADO!$R576*FRESADO!$E576</f>
        <v>2500</v>
      </c>
      <c r="T576" s="163">
        <f>FRESADO!$S576*16%</f>
        <v>400</v>
      </c>
      <c r="U576" s="163">
        <f>FRESADO!$S576+FRESADO!$T576</f>
        <v>2900</v>
      </c>
      <c r="V576" s="164" t="s">
        <v>504</v>
      </c>
      <c r="W576" s="196"/>
      <c r="X576" s="196"/>
      <c r="Y576" s="189"/>
      <c r="Z576" s="31" t="s">
        <v>77</v>
      </c>
    </row>
    <row r="577" ht="15.75" customHeight="1">
      <c r="A577" s="34">
        <v>29.0</v>
      </c>
      <c r="B577" s="181">
        <v>80.0</v>
      </c>
      <c r="C577" s="204">
        <v>1239.0</v>
      </c>
      <c r="D577" s="205">
        <v>46220.0</v>
      </c>
      <c r="E577" s="175">
        <v>1.0</v>
      </c>
      <c r="F577" s="198" t="s">
        <v>219</v>
      </c>
      <c r="G577" s="200"/>
      <c r="H577" s="200"/>
      <c r="I577" s="200"/>
      <c r="J577" s="200"/>
      <c r="K577" s="34" t="s">
        <v>50</v>
      </c>
      <c r="L577" s="194"/>
      <c r="M577" s="194"/>
      <c r="N577" s="200"/>
      <c r="O577" s="200"/>
      <c r="P577" s="200"/>
      <c r="Q577" s="198" t="s">
        <v>219</v>
      </c>
      <c r="R577" s="202">
        <v>1450.0</v>
      </c>
      <c r="S577" s="17">
        <f>FRESADO!$R577*FRESADO!$E577</f>
        <v>1450</v>
      </c>
      <c r="T577" s="17">
        <f>FRESADO!$S577*16%</f>
        <v>232</v>
      </c>
      <c r="U577" s="17">
        <f>FRESADO!$S577+FRESADO!$T577</f>
        <v>1682</v>
      </c>
      <c r="V577" s="52" t="s">
        <v>545</v>
      </c>
      <c r="W577" s="104"/>
      <c r="X577" s="104"/>
      <c r="Y577" s="30"/>
    </row>
    <row r="578" ht="15.75" customHeight="1">
      <c r="A578" s="34">
        <v>29.0</v>
      </c>
      <c r="B578" s="181">
        <v>81.0</v>
      </c>
      <c r="C578" s="204">
        <v>1240.0</v>
      </c>
      <c r="D578" s="205">
        <v>46220.0</v>
      </c>
      <c r="E578" s="175">
        <v>1.0</v>
      </c>
      <c r="F578" s="198" t="s">
        <v>219</v>
      </c>
      <c r="G578" s="200"/>
      <c r="H578" s="200"/>
      <c r="I578" s="200"/>
      <c r="J578" s="200"/>
      <c r="K578" s="34" t="s">
        <v>50</v>
      </c>
      <c r="L578" s="194"/>
      <c r="M578" s="194"/>
      <c r="N578" s="200"/>
      <c r="O578" s="200"/>
      <c r="P578" s="200"/>
      <c r="Q578" s="198" t="s">
        <v>219</v>
      </c>
      <c r="R578" s="202">
        <v>1450.0</v>
      </c>
      <c r="S578" s="17">
        <f>FRESADO!$R578*FRESADO!$E578</f>
        <v>1450</v>
      </c>
      <c r="T578" s="17">
        <f>FRESADO!$S578*16%</f>
        <v>232</v>
      </c>
      <c r="U578" s="17">
        <f>FRESADO!$S578+FRESADO!$T578</f>
        <v>1682</v>
      </c>
      <c r="V578" s="52" t="s">
        <v>545</v>
      </c>
      <c r="W578" s="104"/>
      <c r="X578" s="104"/>
      <c r="Y578" s="30"/>
    </row>
    <row r="579" ht="15.75" customHeight="1">
      <c r="A579" s="172">
        <v>29.0</v>
      </c>
      <c r="B579" s="173">
        <v>82.0</v>
      </c>
      <c r="C579" s="93">
        <v>1241.0</v>
      </c>
      <c r="D579" s="207">
        <v>46220.0</v>
      </c>
      <c r="E579" s="175">
        <v>1.0</v>
      </c>
      <c r="F579" s="175" t="s">
        <v>74</v>
      </c>
      <c r="G579" s="175" t="s">
        <v>347</v>
      </c>
      <c r="H579" s="175">
        <v>14.0</v>
      </c>
      <c r="I579" s="175" t="s">
        <v>34</v>
      </c>
      <c r="J579" s="175" t="s">
        <v>70</v>
      </c>
      <c r="K579" s="11" t="s">
        <v>36</v>
      </c>
      <c r="L579" s="194"/>
      <c r="M579" s="194"/>
      <c r="N579" s="175" t="s">
        <v>340</v>
      </c>
      <c r="O579" s="175" t="s">
        <v>189</v>
      </c>
      <c r="P579" s="175" t="s">
        <v>546</v>
      </c>
      <c r="Q579" s="195"/>
      <c r="R579" s="162">
        <v>2500.0</v>
      </c>
      <c r="S579" s="163">
        <f>FRESADO!$R579*FRESADO!$E579</f>
        <v>2500</v>
      </c>
      <c r="T579" s="163">
        <f>FRESADO!$S579*16%</f>
        <v>400</v>
      </c>
      <c r="U579" s="163">
        <f>FRESADO!$S579+FRESADO!$T579</f>
        <v>2900</v>
      </c>
      <c r="V579" s="164" t="s">
        <v>504</v>
      </c>
      <c r="W579" s="196"/>
      <c r="X579" s="196"/>
      <c r="Y579" s="189"/>
      <c r="Z579" s="31" t="s">
        <v>77</v>
      </c>
    </row>
    <row r="580" ht="15.75" customHeight="1">
      <c r="A580" s="172">
        <v>29.0</v>
      </c>
      <c r="B580" s="173">
        <v>83.0</v>
      </c>
      <c r="C580" s="93">
        <v>1242.0</v>
      </c>
      <c r="D580" s="207">
        <v>46220.0</v>
      </c>
      <c r="E580" s="175">
        <v>1.0</v>
      </c>
      <c r="F580" s="175" t="s">
        <v>74</v>
      </c>
      <c r="G580" s="175" t="s">
        <v>280</v>
      </c>
      <c r="H580" s="175">
        <v>14.0</v>
      </c>
      <c r="I580" s="175" t="s">
        <v>34</v>
      </c>
      <c r="J580" s="175" t="s">
        <v>272</v>
      </c>
      <c r="K580" s="11" t="s">
        <v>36</v>
      </c>
      <c r="L580" s="194"/>
      <c r="M580" s="194"/>
      <c r="N580" s="175" t="s">
        <v>340</v>
      </c>
      <c r="O580" s="175" t="s">
        <v>189</v>
      </c>
      <c r="P580" s="175" t="s">
        <v>546</v>
      </c>
      <c r="Q580" s="195"/>
      <c r="R580" s="162">
        <v>2500.0</v>
      </c>
      <c r="S580" s="163">
        <f>FRESADO!$R580*FRESADO!$E580</f>
        <v>2500</v>
      </c>
      <c r="T580" s="163">
        <f>FRESADO!$S580*16%</f>
        <v>400</v>
      </c>
      <c r="U580" s="163">
        <f>FRESADO!$S580+FRESADO!$T580</f>
        <v>2900</v>
      </c>
      <c r="V580" s="164" t="s">
        <v>504</v>
      </c>
      <c r="W580" s="196"/>
      <c r="X580" s="196"/>
      <c r="Y580" s="189"/>
      <c r="Z580" s="31" t="s">
        <v>77</v>
      </c>
    </row>
    <row r="581" ht="15.75" customHeight="1">
      <c r="A581" s="172">
        <v>29.0</v>
      </c>
      <c r="B581" s="173">
        <v>84.0</v>
      </c>
      <c r="C581" s="93">
        <v>1243.0</v>
      </c>
      <c r="D581" s="207">
        <v>46220.0</v>
      </c>
      <c r="E581" s="175">
        <v>1.0</v>
      </c>
      <c r="F581" s="175" t="s">
        <v>74</v>
      </c>
      <c r="G581" s="175" t="s">
        <v>192</v>
      </c>
      <c r="H581" s="175">
        <v>14.0</v>
      </c>
      <c r="I581" s="175" t="s">
        <v>34</v>
      </c>
      <c r="J581" s="175" t="s">
        <v>41</v>
      </c>
      <c r="K581" s="11" t="s">
        <v>36</v>
      </c>
      <c r="L581" s="194"/>
      <c r="M581" s="194"/>
      <c r="N581" s="175" t="s">
        <v>340</v>
      </c>
      <c r="O581" s="175" t="s">
        <v>189</v>
      </c>
      <c r="P581" s="175" t="s">
        <v>546</v>
      </c>
      <c r="Q581" s="200"/>
      <c r="R581" s="162">
        <v>2500.0</v>
      </c>
      <c r="S581" s="163">
        <f>FRESADO!$R581*FRESADO!$E581</f>
        <v>2500</v>
      </c>
      <c r="T581" s="163">
        <f>FRESADO!$S581*16%</f>
        <v>400</v>
      </c>
      <c r="U581" s="163">
        <f>FRESADO!$S581+FRESADO!$T581</f>
        <v>2900</v>
      </c>
      <c r="V581" s="164" t="s">
        <v>504</v>
      </c>
      <c r="W581" s="196"/>
      <c r="X581" s="196"/>
      <c r="Y581" s="189"/>
      <c r="Z581" s="31" t="s">
        <v>77</v>
      </c>
    </row>
    <row r="582" ht="15.75" customHeight="1">
      <c r="A582" s="34">
        <v>29.0</v>
      </c>
      <c r="B582" s="181">
        <v>85.0</v>
      </c>
      <c r="C582" s="182">
        <v>1244.0</v>
      </c>
      <c r="D582" s="209">
        <v>46220.0</v>
      </c>
      <c r="E582" s="175">
        <v>1.0</v>
      </c>
      <c r="F582" s="175" t="s">
        <v>74</v>
      </c>
      <c r="G582" s="175" t="s">
        <v>891</v>
      </c>
      <c r="H582" s="175">
        <v>14.0</v>
      </c>
      <c r="I582" s="175" t="s">
        <v>34</v>
      </c>
      <c r="J582" s="175" t="s">
        <v>242</v>
      </c>
      <c r="K582" s="34" t="s">
        <v>50</v>
      </c>
      <c r="L582" s="194"/>
      <c r="M582" s="194"/>
      <c r="N582" s="175" t="s">
        <v>398</v>
      </c>
      <c r="O582" s="175" t="s">
        <v>189</v>
      </c>
      <c r="P582" s="175" t="s">
        <v>546</v>
      </c>
      <c r="Q582" s="175" t="s">
        <v>399</v>
      </c>
      <c r="R582" s="202">
        <v>2900.0</v>
      </c>
      <c r="S582" s="17">
        <f>FRESADO!$R582*FRESADO!$E582</f>
        <v>2900</v>
      </c>
      <c r="T582" s="17">
        <f>FRESADO!$S582*16%</f>
        <v>464</v>
      </c>
      <c r="U582" s="17">
        <f>FRESADO!$S582+FRESADO!$T582</f>
        <v>3364</v>
      </c>
      <c r="V582" s="52" t="s">
        <v>545</v>
      </c>
      <c r="W582" s="104"/>
      <c r="X582" s="104"/>
      <c r="Y582" s="30"/>
      <c r="Z582" s="89" t="s">
        <v>399</v>
      </c>
    </row>
    <row r="583" ht="15.75" customHeight="1">
      <c r="A583" s="34">
        <v>29.0</v>
      </c>
      <c r="B583" s="210">
        <v>86.0</v>
      </c>
      <c r="C583" s="182">
        <v>1245.0</v>
      </c>
      <c r="D583" s="209">
        <v>46220.0</v>
      </c>
      <c r="E583" s="175">
        <v>1.0</v>
      </c>
      <c r="F583" s="175" t="s">
        <v>74</v>
      </c>
      <c r="G583" s="175" t="s">
        <v>565</v>
      </c>
      <c r="H583" s="175">
        <v>14.0</v>
      </c>
      <c r="I583" s="175" t="s">
        <v>34</v>
      </c>
      <c r="J583" s="175" t="s">
        <v>892</v>
      </c>
      <c r="K583" s="34" t="s">
        <v>50</v>
      </c>
      <c r="L583" s="194"/>
      <c r="M583" s="194"/>
      <c r="N583" s="175" t="s">
        <v>398</v>
      </c>
      <c r="O583" s="175" t="s">
        <v>189</v>
      </c>
      <c r="P583" s="175" t="s">
        <v>546</v>
      </c>
      <c r="Q583" s="175" t="s">
        <v>399</v>
      </c>
      <c r="R583" s="202">
        <v>2900.0</v>
      </c>
      <c r="S583" s="17">
        <f>FRESADO!$R583*FRESADO!$E583</f>
        <v>2900</v>
      </c>
      <c r="T583" s="17">
        <f>FRESADO!$S583*16%</f>
        <v>464</v>
      </c>
      <c r="U583" s="17">
        <f>FRESADO!$S583+FRESADO!$T583</f>
        <v>3364</v>
      </c>
      <c r="V583" s="52" t="s">
        <v>545</v>
      </c>
      <c r="W583" s="104"/>
      <c r="X583" s="104"/>
      <c r="Y583" s="30"/>
      <c r="Z583" s="89" t="s">
        <v>399</v>
      </c>
    </row>
    <row r="584" ht="15.75" customHeight="1">
      <c r="A584" s="34">
        <v>29.0</v>
      </c>
      <c r="B584" s="181">
        <v>87.0</v>
      </c>
      <c r="C584" s="182">
        <v>1246.0</v>
      </c>
      <c r="D584" s="209">
        <v>46220.0</v>
      </c>
      <c r="E584" s="175">
        <v>1.0</v>
      </c>
      <c r="F584" s="175" t="s">
        <v>74</v>
      </c>
      <c r="G584" s="175" t="s">
        <v>674</v>
      </c>
      <c r="H584" s="175">
        <v>14.0</v>
      </c>
      <c r="I584" s="175" t="s">
        <v>34</v>
      </c>
      <c r="J584" s="175" t="s">
        <v>118</v>
      </c>
      <c r="K584" s="34" t="s">
        <v>50</v>
      </c>
      <c r="L584" s="194"/>
      <c r="M584" s="194"/>
      <c r="N584" s="175" t="s">
        <v>398</v>
      </c>
      <c r="O584" s="175" t="s">
        <v>189</v>
      </c>
      <c r="P584" s="175" t="s">
        <v>546</v>
      </c>
      <c r="Q584" s="177" t="s">
        <v>399</v>
      </c>
      <c r="R584" s="202">
        <v>2900.0</v>
      </c>
      <c r="S584" s="17">
        <f>FRESADO!$R584*FRESADO!$E584</f>
        <v>2900</v>
      </c>
      <c r="T584" s="17">
        <f>FRESADO!$S584*16%</f>
        <v>464</v>
      </c>
      <c r="U584" s="17">
        <f>FRESADO!$S584+FRESADO!$T584</f>
        <v>3364</v>
      </c>
      <c r="V584" s="52" t="s">
        <v>545</v>
      </c>
      <c r="W584" s="104"/>
      <c r="X584" s="104"/>
      <c r="Y584" s="30"/>
      <c r="Z584" s="89" t="s">
        <v>399</v>
      </c>
    </row>
    <row r="585" ht="15.75" customHeight="1">
      <c r="A585" s="172">
        <v>29.0</v>
      </c>
      <c r="B585" s="173">
        <v>88.0</v>
      </c>
      <c r="C585" s="93">
        <v>1247.0</v>
      </c>
      <c r="D585" s="207">
        <v>46220.0</v>
      </c>
      <c r="E585" s="175">
        <v>1.0</v>
      </c>
      <c r="F585" s="175" t="s">
        <v>74</v>
      </c>
      <c r="G585" s="175" t="s">
        <v>347</v>
      </c>
      <c r="H585" s="175">
        <v>14.0</v>
      </c>
      <c r="I585" s="175" t="s">
        <v>34</v>
      </c>
      <c r="J585" s="175" t="s">
        <v>70</v>
      </c>
      <c r="K585" s="11" t="s">
        <v>36</v>
      </c>
      <c r="L585" s="194"/>
      <c r="M585" s="194"/>
      <c r="N585" s="175" t="s">
        <v>340</v>
      </c>
      <c r="O585" s="175" t="s">
        <v>189</v>
      </c>
      <c r="P585" s="175" t="s">
        <v>546</v>
      </c>
      <c r="Q585" s="195"/>
      <c r="R585" s="162">
        <v>2500.0</v>
      </c>
      <c r="S585" s="163">
        <f>FRESADO!$R585*FRESADO!$E585</f>
        <v>2500</v>
      </c>
      <c r="T585" s="163">
        <f>FRESADO!$S585*16%</f>
        <v>400</v>
      </c>
      <c r="U585" s="163">
        <f>FRESADO!$S585+FRESADO!$T585</f>
        <v>2900</v>
      </c>
      <c r="V585" s="164" t="s">
        <v>504</v>
      </c>
      <c r="W585" s="196"/>
      <c r="X585" s="196"/>
      <c r="Y585" s="189"/>
      <c r="Z585" s="31" t="s">
        <v>77</v>
      </c>
    </row>
    <row r="586" ht="15.75" customHeight="1">
      <c r="A586" s="172">
        <v>29.0</v>
      </c>
      <c r="B586" s="173">
        <v>89.0</v>
      </c>
      <c r="C586" s="93">
        <v>1248.0</v>
      </c>
      <c r="D586" s="207">
        <v>46220.0</v>
      </c>
      <c r="E586" s="175">
        <v>1.0</v>
      </c>
      <c r="F586" s="175" t="s">
        <v>74</v>
      </c>
      <c r="G586" s="175" t="s">
        <v>280</v>
      </c>
      <c r="H586" s="175">
        <v>14.0</v>
      </c>
      <c r="I586" s="175" t="s">
        <v>34</v>
      </c>
      <c r="J586" s="175" t="s">
        <v>272</v>
      </c>
      <c r="K586" s="11" t="s">
        <v>36</v>
      </c>
      <c r="L586" s="194"/>
      <c r="M586" s="194"/>
      <c r="N586" s="175" t="s">
        <v>340</v>
      </c>
      <c r="O586" s="175" t="s">
        <v>189</v>
      </c>
      <c r="P586" s="175" t="s">
        <v>546</v>
      </c>
      <c r="Q586" s="195"/>
      <c r="R586" s="162">
        <v>2500.0</v>
      </c>
      <c r="S586" s="163">
        <f>FRESADO!$R586*FRESADO!$E586</f>
        <v>2500</v>
      </c>
      <c r="T586" s="163">
        <f>FRESADO!$S586*16%</f>
        <v>400</v>
      </c>
      <c r="U586" s="163">
        <f>FRESADO!$S586+FRESADO!$T586</f>
        <v>2900</v>
      </c>
      <c r="V586" s="164" t="s">
        <v>504</v>
      </c>
      <c r="W586" s="196"/>
      <c r="X586" s="196"/>
      <c r="Y586" s="189"/>
      <c r="Z586" s="31" t="s">
        <v>77</v>
      </c>
    </row>
    <row r="587" ht="15.75" customHeight="1">
      <c r="A587" s="172">
        <v>29.0</v>
      </c>
      <c r="B587" s="173">
        <v>90.0</v>
      </c>
      <c r="C587" s="93">
        <v>1249.0</v>
      </c>
      <c r="D587" s="207">
        <v>46220.0</v>
      </c>
      <c r="E587" s="175">
        <v>1.0</v>
      </c>
      <c r="F587" s="175" t="s">
        <v>74</v>
      </c>
      <c r="G587" s="175" t="s">
        <v>192</v>
      </c>
      <c r="H587" s="175">
        <v>14.0</v>
      </c>
      <c r="I587" s="175" t="s">
        <v>34</v>
      </c>
      <c r="J587" s="175" t="s">
        <v>41</v>
      </c>
      <c r="K587" s="11" t="s">
        <v>36</v>
      </c>
      <c r="L587" s="194"/>
      <c r="M587" s="194"/>
      <c r="N587" s="175" t="s">
        <v>340</v>
      </c>
      <c r="O587" s="175" t="s">
        <v>189</v>
      </c>
      <c r="P587" s="175" t="s">
        <v>546</v>
      </c>
      <c r="Q587" s="211"/>
      <c r="R587" s="162">
        <v>2500.0</v>
      </c>
      <c r="S587" s="163">
        <f>FRESADO!$R587*FRESADO!$E587</f>
        <v>2500</v>
      </c>
      <c r="T587" s="163">
        <f>FRESADO!$S587*16%</f>
        <v>400</v>
      </c>
      <c r="U587" s="163">
        <f>FRESADO!$S587+FRESADO!$T587</f>
        <v>2900</v>
      </c>
      <c r="V587" s="164" t="s">
        <v>504</v>
      </c>
      <c r="W587" s="196"/>
      <c r="X587" s="196"/>
      <c r="Y587" s="189"/>
      <c r="Z587" s="89" t="s">
        <v>399</v>
      </c>
    </row>
    <row r="588" ht="15.75" customHeight="1">
      <c r="A588" s="34">
        <v>29.0</v>
      </c>
      <c r="B588" s="181">
        <v>91.0</v>
      </c>
      <c r="C588" s="204">
        <v>1250.0</v>
      </c>
      <c r="D588" s="209">
        <v>46220.0</v>
      </c>
      <c r="E588" s="175">
        <v>1.0</v>
      </c>
      <c r="F588" s="175" t="s">
        <v>74</v>
      </c>
      <c r="G588" s="175" t="s">
        <v>890</v>
      </c>
      <c r="H588" s="175">
        <v>14.0</v>
      </c>
      <c r="I588" s="175" t="s">
        <v>34</v>
      </c>
      <c r="J588" s="175" t="s">
        <v>195</v>
      </c>
      <c r="K588" s="34" t="s">
        <v>50</v>
      </c>
      <c r="L588" s="194"/>
      <c r="M588" s="194"/>
      <c r="N588" s="175" t="s">
        <v>398</v>
      </c>
      <c r="O588" s="175" t="s">
        <v>189</v>
      </c>
      <c r="P588" s="175" t="s">
        <v>546</v>
      </c>
      <c r="Q588" s="175" t="s">
        <v>399</v>
      </c>
      <c r="R588" s="202">
        <v>2900.0</v>
      </c>
      <c r="S588" s="17">
        <f>FRESADO!$R588*FRESADO!$E588</f>
        <v>2900</v>
      </c>
      <c r="T588" s="17">
        <f>FRESADO!$S588*16%</f>
        <v>464</v>
      </c>
      <c r="U588" s="17">
        <f>FRESADO!$S588+FRESADO!$T588</f>
        <v>3364</v>
      </c>
      <c r="V588" s="52" t="s">
        <v>545</v>
      </c>
      <c r="W588" s="104"/>
      <c r="X588" s="104"/>
      <c r="Y588" s="30"/>
      <c r="Z588" s="89" t="s">
        <v>399</v>
      </c>
    </row>
    <row r="589" ht="15.75" customHeight="1">
      <c r="A589" s="172">
        <v>29.0</v>
      </c>
      <c r="B589" s="173">
        <v>92.0</v>
      </c>
      <c r="C589" s="93">
        <v>1178.0</v>
      </c>
      <c r="D589" s="187">
        <v>46220.0</v>
      </c>
      <c r="E589" s="175">
        <v>1.0</v>
      </c>
      <c r="F589" s="175" t="s">
        <v>73</v>
      </c>
      <c r="G589" s="175" t="s">
        <v>887</v>
      </c>
      <c r="H589" s="175">
        <v>20.0</v>
      </c>
      <c r="I589" s="175" t="s">
        <v>34</v>
      </c>
      <c r="J589" s="175" t="s">
        <v>888</v>
      </c>
      <c r="K589" s="11" t="s">
        <v>36</v>
      </c>
      <c r="L589" s="194"/>
      <c r="M589" s="194"/>
      <c r="N589" s="175" t="s">
        <v>340</v>
      </c>
      <c r="O589" s="175" t="s">
        <v>189</v>
      </c>
      <c r="P589" s="175" t="s">
        <v>546</v>
      </c>
      <c r="Q589" s="195"/>
      <c r="R589" s="162">
        <v>4500.0</v>
      </c>
      <c r="S589" s="163">
        <f>FRESADO!$R589*FRESADO!$E589</f>
        <v>4500</v>
      </c>
      <c r="T589" s="163">
        <f>FRESADO!$S589*16%</f>
        <v>720</v>
      </c>
      <c r="U589" s="163">
        <f>FRESADO!$S589+FRESADO!$T589</f>
        <v>5220</v>
      </c>
      <c r="V589" s="164" t="s">
        <v>504</v>
      </c>
      <c r="W589" s="196"/>
      <c r="X589" s="196"/>
      <c r="Y589" s="189"/>
      <c r="Z589" s="206"/>
    </row>
    <row r="590" ht="15.75" customHeight="1">
      <c r="A590" s="34">
        <v>29.0</v>
      </c>
      <c r="B590" s="181">
        <v>93.0</v>
      </c>
      <c r="C590" s="182">
        <v>1177.0</v>
      </c>
      <c r="D590" s="201">
        <v>46220.0</v>
      </c>
      <c r="E590" s="175">
        <v>1.0</v>
      </c>
      <c r="F590" s="149" t="s">
        <v>388</v>
      </c>
      <c r="G590" s="175" t="s">
        <v>583</v>
      </c>
      <c r="H590" s="175">
        <v>7.0</v>
      </c>
      <c r="I590" s="175" t="s">
        <v>34</v>
      </c>
      <c r="J590" s="175" t="s">
        <v>584</v>
      </c>
      <c r="K590" s="34" t="s">
        <v>50</v>
      </c>
      <c r="L590" s="194"/>
      <c r="M590" s="194"/>
      <c r="N590" s="175" t="s">
        <v>340</v>
      </c>
      <c r="O590" s="175" t="s">
        <v>189</v>
      </c>
      <c r="P590" s="175" t="s">
        <v>546</v>
      </c>
      <c r="Q590" s="184" t="s">
        <v>390</v>
      </c>
      <c r="R590" s="152">
        <v>4500.0</v>
      </c>
      <c r="S590" s="17">
        <f>FRESADO!$R590*FRESADO!$E590</f>
        <v>4500</v>
      </c>
      <c r="T590" s="17">
        <f>FRESADO!$S590*16%</f>
        <v>720</v>
      </c>
      <c r="U590" s="17">
        <f>FRESADO!$S590+FRESADO!$T590</f>
        <v>5220</v>
      </c>
      <c r="V590" s="52" t="s">
        <v>545</v>
      </c>
      <c r="W590" s="104"/>
      <c r="X590" s="104"/>
      <c r="Y590" s="30"/>
    </row>
    <row r="591" ht="15.75" customHeight="1">
      <c r="A591" s="172">
        <v>29.0</v>
      </c>
      <c r="B591" s="173">
        <v>94.0</v>
      </c>
      <c r="C591" s="93">
        <v>1179.0</v>
      </c>
      <c r="D591" s="207">
        <v>46221.0</v>
      </c>
      <c r="E591" s="175">
        <v>1.0</v>
      </c>
      <c r="F591" s="175" t="s">
        <v>74</v>
      </c>
      <c r="G591" s="175" t="s">
        <v>192</v>
      </c>
      <c r="H591" s="175">
        <v>14.0</v>
      </c>
      <c r="I591" s="175" t="s">
        <v>34</v>
      </c>
      <c r="J591" s="175" t="s">
        <v>41</v>
      </c>
      <c r="K591" s="11" t="s">
        <v>36</v>
      </c>
      <c r="L591" s="194"/>
      <c r="M591" s="194"/>
      <c r="N591" s="175" t="s">
        <v>340</v>
      </c>
      <c r="O591" s="175" t="s">
        <v>189</v>
      </c>
      <c r="P591" s="175" t="s">
        <v>546</v>
      </c>
      <c r="Q591" s="195"/>
      <c r="R591" s="162">
        <v>2500.0</v>
      </c>
      <c r="S591" s="163">
        <f>FRESADO!$R591*FRESADO!$E591</f>
        <v>2500</v>
      </c>
      <c r="T591" s="163">
        <f>FRESADO!$S591*16%</f>
        <v>400</v>
      </c>
      <c r="U591" s="163">
        <f>FRESADO!$S591+FRESADO!$T591</f>
        <v>2900</v>
      </c>
      <c r="V591" s="164" t="s">
        <v>504</v>
      </c>
      <c r="W591" s="196"/>
      <c r="X591" s="196"/>
      <c r="Y591" s="189"/>
      <c r="Z591" s="31" t="s">
        <v>77</v>
      </c>
    </row>
    <row r="592" ht="15.75" customHeight="1">
      <c r="A592" s="172">
        <v>29.0</v>
      </c>
      <c r="B592" s="173">
        <v>95.0</v>
      </c>
      <c r="C592" s="93">
        <v>1180.0</v>
      </c>
      <c r="D592" s="207">
        <v>46221.0</v>
      </c>
      <c r="E592" s="175">
        <v>1.0</v>
      </c>
      <c r="F592" s="175" t="s">
        <v>74</v>
      </c>
      <c r="G592" s="175" t="s">
        <v>893</v>
      </c>
      <c r="H592" s="175">
        <v>14.0</v>
      </c>
      <c r="I592" s="175" t="s">
        <v>34</v>
      </c>
      <c r="J592" s="175" t="s">
        <v>894</v>
      </c>
      <c r="K592" s="11" t="s">
        <v>36</v>
      </c>
      <c r="L592" s="194"/>
      <c r="M592" s="194"/>
      <c r="N592" s="175" t="s">
        <v>340</v>
      </c>
      <c r="O592" s="175" t="s">
        <v>189</v>
      </c>
      <c r="P592" s="175" t="s">
        <v>546</v>
      </c>
      <c r="Q592" s="195"/>
      <c r="R592" s="162">
        <v>2500.0</v>
      </c>
      <c r="S592" s="163">
        <f>FRESADO!$R592*FRESADO!$E592</f>
        <v>2500</v>
      </c>
      <c r="T592" s="163">
        <f>FRESADO!$S592*16%</f>
        <v>400</v>
      </c>
      <c r="U592" s="163">
        <f>FRESADO!$S592+FRESADO!$T592</f>
        <v>2900</v>
      </c>
      <c r="V592" s="164" t="s">
        <v>504</v>
      </c>
      <c r="W592" s="196"/>
      <c r="X592" s="196"/>
      <c r="Y592" s="189"/>
      <c r="Z592" s="31" t="s">
        <v>77</v>
      </c>
    </row>
    <row r="593" ht="15.75" customHeight="1">
      <c r="A593" s="172">
        <v>29.0</v>
      </c>
      <c r="B593" s="173">
        <v>96.0</v>
      </c>
      <c r="C593" s="93">
        <v>1181.0</v>
      </c>
      <c r="D593" s="207">
        <v>46221.0</v>
      </c>
      <c r="E593" s="175">
        <v>1.0</v>
      </c>
      <c r="F593" s="175" t="s">
        <v>74</v>
      </c>
      <c r="G593" s="175" t="s">
        <v>690</v>
      </c>
      <c r="H593" s="175">
        <v>14.0</v>
      </c>
      <c r="I593" s="175" t="s">
        <v>34</v>
      </c>
      <c r="J593" s="175" t="s">
        <v>691</v>
      </c>
      <c r="K593" s="11" t="s">
        <v>36</v>
      </c>
      <c r="L593" s="194"/>
      <c r="M593" s="194"/>
      <c r="N593" s="175" t="s">
        <v>340</v>
      </c>
      <c r="O593" s="175" t="s">
        <v>189</v>
      </c>
      <c r="P593" s="175" t="s">
        <v>546</v>
      </c>
      <c r="Q593" s="195"/>
      <c r="R593" s="162">
        <v>2500.0</v>
      </c>
      <c r="S593" s="163">
        <f>FRESADO!$R593*FRESADO!$E593</f>
        <v>2500</v>
      </c>
      <c r="T593" s="163">
        <f>FRESADO!$S593*16%</f>
        <v>400</v>
      </c>
      <c r="U593" s="163">
        <f>FRESADO!$S593+FRESADO!$T593</f>
        <v>2900</v>
      </c>
      <c r="V593" s="164" t="s">
        <v>504</v>
      </c>
      <c r="W593" s="196"/>
      <c r="X593" s="196"/>
      <c r="Y593" s="189"/>
      <c r="Z593" s="31" t="s">
        <v>77</v>
      </c>
    </row>
    <row r="594" ht="15.75" customHeight="1">
      <c r="A594" s="172">
        <v>29.0</v>
      </c>
      <c r="B594" s="173">
        <v>97.0</v>
      </c>
      <c r="C594" s="93">
        <v>1182.0</v>
      </c>
      <c r="D594" s="207">
        <v>46221.0</v>
      </c>
      <c r="E594" s="175">
        <v>1.0</v>
      </c>
      <c r="F594" s="175" t="s">
        <v>74</v>
      </c>
      <c r="G594" s="175" t="s">
        <v>895</v>
      </c>
      <c r="H594" s="175">
        <v>14.0</v>
      </c>
      <c r="I594" s="175" t="s">
        <v>34</v>
      </c>
      <c r="J594" s="175" t="s">
        <v>272</v>
      </c>
      <c r="K594" s="11" t="s">
        <v>36</v>
      </c>
      <c r="L594" s="194"/>
      <c r="M594" s="194"/>
      <c r="N594" s="175" t="s">
        <v>340</v>
      </c>
      <c r="O594" s="175" t="s">
        <v>189</v>
      </c>
      <c r="P594" s="175" t="s">
        <v>546</v>
      </c>
      <c r="Q594" s="195"/>
      <c r="R594" s="162">
        <v>2500.0</v>
      </c>
      <c r="S594" s="163">
        <f>FRESADO!$R594*FRESADO!$E594</f>
        <v>2500</v>
      </c>
      <c r="T594" s="163">
        <f>FRESADO!$S594*16%</f>
        <v>400</v>
      </c>
      <c r="U594" s="163">
        <f>FRESADO!$S594+FRESADO!$T594</f>
        <v>2900</v>
      </c>
      <c r="V594" s="164" t="s">
        <v>504</v>
      </c>
      <c r="W594" s="196"/>
      <c r="X594" s="196"/>
      <c r="Y594" s="189"/>
      <c r="Z594" s="31" t="s">
        <v>77</v>
      </c>
    </row>
    <row r="595" ht="15.75" customHeight="1">
      <c r="A595" s="172">
        <v>29.0</v>
      </c>
      <c r="B595" s="173">
        <v>98.0</v>
      </c>
      <c r="C595" s="93">
        <v>1183.0</v>
      </c>
      <c r="D595" s="207">
        <v>46221.0</v>
      </c>
      <c r="E595" s="175">
        <v>1.0</v>
      </c>
      <c r="F595" s="175" t="s">
        <v>74</v>
      </c>
      <c r="G595" s="175" t="s">
        <v>347</v>
      </c>
      <c r="H595" s="175">
        <v>14.0</v>
      </c>
      <c r="I595" s="175" t="s">
        <v>34</v>
      </c>
      <c r="J595" s="175" t="s">
        <v>70</v>
      </c>
      <c r="K595" s="11" t="s">
        <v>36</v>
      </c>
      <c r="L595" s="194"/>
      <c r="M595" s="194"/>
      <c r="N595" s="175" t="s">
        <v>340</v>
      </c>
      <c r="O595" s="175" t="s">
        <v>189</v>
      </c>
      <c r="P595" s="175" t="s">
        <v>546</v>
      </c>
      <c r="Q595" s="195"/>
      <c r="R595" s="162">
        <v>2500.0</v>
      </c>
      <c r="S595" s="163">
        <f>FRESADO!$R595*FRESADO!$E595</f>
        <v>2500</v>
      </c>
      <c r="T595" s="163">
        <f>FRESADO!$S595*16%</f>
        <v>400</v>
      </c>
      <c r="U595" s="163">
        <f>FRESADO!$S595+FRESADO!$T595</f>
        <v>2900</v>
      </c>
      <c r="V595" s="164" t="s">
        <v>504</v>
      </c>
      <c r="W595" s="196"/>
      <c r="X595" s="196"/>
      <c r="Y595" s="189"/>
      <c r="Z595" s="31" t="s">
        <v>77</v>
      </c>
    </row>
    <row r="596" ht="15.75" customHeight="1">
      <c r="A596" s="172">
        <v>29.0</v>
      </c>
      <c r="B596" s="173">
        <v>99.0</v>
      </c>
      <c r="C596" s="93">
        <v>1184.0</v>
      </c>
      <c r="D596" s="207">
        <v>46221.0</v>
      </c>
      <c r="E596" s="175">
        <v>1.0</v>
      </c>
      <c r="F596" s="175" t="s">
        <v>74</v>
      </c>
      <c r="G596" s="175" t="s">
        <v>896</v>
      </c>
      <c r="H596" s="175">
        <v>14.0</v>
      </c>
      <c r="I596" s="175" t="s">
        <v>34</v>
      </c>
      <c r="J596" s="175" t="s">
        <v>897</v>
      </c>
      <c r="K596" s="11" t="s">
        <v>36</v>
      </c>
      <c r="L596" s="194"/>
      <c r="M596" s="194"/>
      <c r="N596" s="175" t="s">
        <v>398</v>
      </c>
      <c r="O596" s="175" t="s">
        <v>189</v>
      </c>
      <c r="P596" s="175" t="s">
        <v>546</v>
      </c>
      <c r="Q596" s="175" t="s">
        <v>399</v>
      </c>
      <c r="R596" s="212">
        <v>3355.0</v>
      </c>
      <c r="S596" s="163">
        <f>FRESADO!$R596*FRESADO!$E596</f>
        <v>3355</v>
      </c>
      <c r="T596" s="163">
        <f>FRESADO!$S596*16%</f>
        <v>536.8</v>
      </c>
      <c r="U596" s="163">
        <f>FRESADO!$S596+FRESADO!$T596</f>
        <v>3891.8</v>
      </c>
      <c r="V596" s="164" t="s">
        <v>504</v>
      </c>
      <c r="W596" s="196"/>
      <c r="X596" s="196"/>
      <c r="Y596" s="189"/>
      <c r="Z596" s="175" t="s">
        <v>399</v>
      </c>
    </row>
    <row r="597" ht="15.75" customHeight="1">
      <c r="A597" s="172">
        <v>29.0</v>
      </c>
      <c r="B597" s="173">
        <v>100.0</v>
      </c>
      <c r="C597" s="93">
        <v>1185.0</v>
      </c>
      <c r="D597" s="207">
        <v>46221.0</v>
      </c>
      <c r="E597" s="175">
        <v>1.0</v>
      </c>
      <c r="F597" s="175" t="s">
        <v>74</v>
      </c>
      <c r="G597" s="175" t="s">
        <v>192</v>
      </c>
      <c r="H597" s="175">
        <v>14.0</v>
      </c>
      <c r="I597" s="175" t="s">
        <v>34</v>
      </c>
      <c r="J597" s="175" t="s">
        <v>41</v>
      </c>
      <c r="K597" s="11" t="s">
        <v>36</v>
      </c>
      <c r="L597" s="194"/>
      <c r="M597" s="194"/>
      <c r="N597" s="175" t="s">
        <v>398</v>
      </c>
      <c r="O597" s="175" t="s">
        <v>189</v>
      </c>
      <c r="P597" s="175" t="s">
        <v>546</v>
      </c>
      <c r="Q597" s="175" t="s">
        <v>399</v>
      </c>
      <c r="R597" s="212">
        <v>3855.0</v>
      </c>
      <c r="S597" s="163">
        <f>FRESADO!$R597*FRESADO!$E597</f>
        <v>3855</v>
      </c>
      <c r="T597" s="163">
        <f>FRESADO!$S597*16%</f>
        <v>616.8</v>
      </c>
      <c r="U597" s="163">
        <f>FRESADO!$S597+FRESADO!$T597</f>
        <v>4471.8</v>
      </c>
      <c r="V597" s="164" t="s">
        <v>504</v>
      </c>
      <c r="W597" s="196"/>
      <c r="X597" s="196"/>
      <c r="Y597" s="189"/>
      <c r="Z597" s="175" t="s">
        <v>399</v>
      </c>
    </row>
    <row r="598" ht="15.75" customHeight="1">
      <c r="A598" s="172">
        <v>29.0</v>
      </c>
      <c r="B598" s="173">
        <v>101.0</v>
      </c>
      <c r="C598" s="93">
        <v>1186.0</v>
      </c>
      <c r="D598" s="207">
        <v>46221.0</v>
      </c>
      <c r="E598" s="175">
        <v>1.0</v>
      </c>
      <c r="F598" s="175" t="s">
        <v>74</v>
      </c>
      <c r="G598" s="175" t="s">
        <v>690</v>
      </c>
      <c r="H598" s="175">
        <v>14.0</v>
      </c>
      <c r="I598" s="175" t="s">
        <v>34</v>
      </c>
      <c r="J598" s="175" t="s">
        <v>691</v>
      </c>
      <c r="K598" s="11" t="s">
        <v>36</v>
      </c>
      <c r="L598" s="194"/>
      <c r="M598" s="194"/>
      <c r="N598" s="175" t="s">
        <v>398</v>
      </c>
      <c r="O598" s="175" t="s">
        <v>189</v>
      </c>
      <c r="P598" s="175" t="s">
        <v>546</v>
      </c>
      <c r="Q598" s="175" t="s">
        <v>399</v>
      </c>
      <c r="R598" s="212">
        <v>3855.0</v>
      </c>
      <c r="S598" s="163">
        <f>FRESADO!$R598*FRESADO!$E598</f>
        <v>3855</v>
      </c>
      <c r="T598" s="163">
        <f>FRESADO!$S598*16%</f>
        <v>616.8</v>
      </c>
      <c r="U598" s="163">
        <f>FRESADO!$S598+FRESADO!$T598</f>
        <v>4471.8</v>
      </c>
      <c r="V598" s="164" t="s">
        <v>504</v>
      </c>
      <c r="W598" s="196"/>
      <c r="X598" s="196"/>
      <c r="Y598" s="189"/>
      <c r="Z598" s="175" t="s">
        <v>399</v>
      </c>
    </row>
    <row r="599" ht="15.75" customHeight="1">
      <c r="A599" s="172">
        <v>29.0</v>
      </c>
      <c r="B599" s="173">
        <v>102.0</v>
      </c>
      <c r="C599" s="93">
        <v>1187.0</v>
      </c>
      <c r="D599" s="207">
        <v>46221.0</v>
      </c>
      <c r="E599" s="175">
        <v>1.0</v>
      </c>
      <c r="F599" s="175" t="s">
        <v>74</v>
      </c>
      <c r="G599" s="175" t="s">
        <v>895</v>
      </c>
      <c r="H599" s="175">
        <v>14.0</v>
      </c>
      <c r="I599" s="175" t="s">
        <v>34</v>
      </c>
      <c r="J599" s="175" t="s">
        <v>272</v>
      </c>
      <c r="K599" s="11" t="s">
        <v>36</v>
      </c>
      <c r="L599" s="194"/>
      <c r="M599" s="194"/>
      <c r="N599" s="175" t="s">
        <v>340</v>
      </c>
      <c r="O599" s="175" t="s">
        <v>189</v>
      </c>
      <c r="P599" s="175" t="s">
        <v>546</v>
      </c>
      <c r="Q599" s="195"/>
      <c r="R599" s="162">
        <v>2500.0</v>
      </c>
      <c r="S599" s="163">
        <f>FRESADO!$R599*FRESADO!$E599</f>
        <v>2500</v>
      </c>
      <c r="T599" s="163">
        <f>FRESADO!$S599*16%</f>
        <v>400</v>
      </c>
      <c r="U599" s="163">
        <f>FRESADO!$S599+FRESADO!$T599</f>
        <v>2900</v>
      </c>
      <c r="V599" s="164" t="s">
        <v>504</v>
      </c>
      <c r="W599" s="196"/>
      <c r="X599" s="196"/>
      <c r="Y599" s="189"/>
      <c r="Z599" s="31" t="s">
        <v>77</v>
      </c>
    </row>
    <row r="600" ht="15.75" customHeight="1">
      <c r="A600" s="172">
        <v>29.0</v>
      </c>
      <c r="B600" s="173">
        <v>103.0</v>
      </c>
      <c r="C600" s="93">
        <v>1188.0</v>
      </c>
      <c r="D600" s="207">
        <v>46221.0</v>
      </c>
      <c r="E600" s="175">
        <v>1.0</v>
      </c>
      <c r="F600" s="175" t="s">
        <v>74</v>
      </c>
      <c r="G600" s="175" t="s">
        <v>347</v>
      </c>
      <c r="H600" s="175">
        <v>14.0</v>
      </c>
      <c r="I600" s="175" t="s">
        <v>34</v>
      </c>
      <c r="J600" s="175" t="s">
        <v>70</v>
      </c>
      <c r="K600" s="11" t="s">
        <v>36</v>
      </c>
      <c r="L600" s="194"/>
      <c r="M600" s="194"/>
      <c r="N600" s="175" t="s">
        <v>340</v>
      </c>
      <c r="O600" s="175" t="s">
        <v>189</v>
      </c>
      <c r="P600" s="175" t="s">
        <v>546</v>
      </c>
      <c r="Q600" s="195"/>
      <c r="R600" s="162">
        <v>2500.0</v>
      </c>
      <c r="S600" s="163">
        <f>FRESADO!$R600*FRESADO!$E600</f>
        <v>2500</v>
      </c>
      <c r="T600" s="163">
        <f>FRESADO!$S600*16%</f>
        <v>400</v>
      </c>
      <c r="U600" s="163">
        <f>FRESADO!$S600+FRESADO!$T600</f>
        <v>2900</v>
      </c>
      <c r="V600" s="164" t="s">
        <v>504</v>
      </c>
      <c r="W600" s="196"/>
      <c r="X600" s="196"/>
      <c r="Y600" s="189"/>
      <c r="Z600" s="31" t="s">
        <v>77</v>
      </c>
    </row>
    <row r="601" ht="15.75" customHeight="1">
      <c r="A601" s="172">
        <v>29.0</v>
      </c>
      <c r="B601" s="173">
        <v>104.0</v>
      </c>
      <c r="C601" s="93">
        <v>1189.0</v>
      </c>
      <c r="D601" s="207">
        <v>46221.0</v>
      </c>
      <c r="E601" s="175">
        <v>1.0</v>
      </c>
      <c r="F601" s="175" t="s">
        <v>74</v>
      </c>
      <c r="G601" s="175" t="s">
        <v>895</v>
      </c>
      <c r="H601" s="175">
        <v>14.0</v>
      </c>
      <c r="I601" s="175" t="s">
        <v>34</v>
      </c>
      <c r="J601" s="175" t="s">
        <v>272</v>
      </c>
      <c r="K601" s="11" t="s">
        <v>36</v>
      </c>
      <c r="L601" s="194"/>
      <c r="M601" s="194"/>
      <c r="N601" s="175" t="s">
        <v>340</v>
      </c>
      <c r="O601" s="175" t="s">
        <v>189</v>
      </c>
      <c r="P601" s="175" t="s">
        <v>546</v>
      </c>
      <c r="Q601" s="195"/>
      <c r="R601" s="162">
        <v>2500.0</v>
      </c>
      <c r="S601" s="163">
        <f>FRESADO!$R601*FRESADO!$E601</f>
        <v>2500</v>
      </c>
      <c r="T601" s="163">
        <f>FRESADO!$S601*16%</f>
        <v>400</v>
      </c>
      <c r="U601" s="163">
        <f>FRESADO!$S601+FRESADO!$T601</f>
        <v>2900</v>
      </c>
      <c r="V601" s="164" t="s">
        <v>504</v>
      </c>
      <c r="W601" s="196"/>
      <c r="X601" s="196"/>
      <c r="Y601" s="189"/>
      <c r="Z601" s="31" t="s">
        <v>77</v>
      </c>
    </row>
    <row r="602" ht="15.75" customHeight="1">
      <c r="A602" s="172">
        <v>29.0</v>
      </c>
      <c r="B602" s="173">
        <v>105.0</v>
      </c>
      <c r="C602" s="93">
        <v>1190.0</v>
      </c>
      <c r="D602" s="207">
        <v>46221.0</v>
      </c>
      <c r="E602" s="175">
        <v>1.0</v>
      </c>
      <c r="F602" s="175" t="s">
        <v>74</v>
      </c>
      <c r="G602" s="175" t="s">
        <v>347</v>
      </c>
      <c r="H602" s="175">
        <v>14.0</v>
      </c>
      <c r="I602" s="175" t="s">
        <v>34</v>
      </c>
      <c r="J602" s="175" t="s">
        <v>70</v>
      </c>
      <c r="K602" s="11" t="s">
        <v>36</v>
      </c>
      <c r="L602" s="194"/>
      <c r="M602" s="194"/>
      <c r="N602" s="175" t="s">
        <v>340</v>
      </c>
      <c r="O602" s="175" t="s">
        <v>189</v>
      </c>
      <c r="P602" s="175" t="s">
        <v>546</v>
      </c>
      <c r="Q602" s="195"/>
      <c r="R602" s="162">
        <v>2500.0</v>
      </c>
      <c r="S602" s="163">
        <f>FRESADO!$R602*FRESADO!$E602</f>
        <v>2500</v>
      </c>
      <c r="T602" s="163">
        <f>FRESADO!$S602*16%</f>
        <v>400</v>
      </c>
      <c r="U602" s="163">
        <f>FRESADO!$S602+FRESADO!$T602</f>
        <v>2900</v>
      </c>
      <c r="V602" s="164" t="s">
        <v>504</v>
      </c>
      <c r="W602" s="196"/>
      <c r="X602" s="196"/>
      <c r="Y602" s="189"/>
      <c r="Z602" s="31" t="s">
        <v>77</v>
      </c>
    </row>
    <row r="603" ht="15.75" customHeight="1">
      <c r="A603" s="172">
        <v>29.0</v>
      </c>
      <c r="B603" s="173">
        <v>106.0</v>
      </c>
      <c r="C603" s="93">
        <v>1191.0</v>
      </c>
      <c r="D603" s="207">
        <v>46221.0</v>
      </c>
      <c r="E603" s="175">
        <v>1.0</v>
      </c>
      <c r="F603" s="175" t="s">
        <v>74</v>
      </c>
      <c r="G603" s="175" t="s">
        <v>347</v>
      </c>
      <c r="H603" s="175">
        <v>14.0</v>
      </c>
      <c r="I603" s="175" t="s">
        <v>34</v>
      </c>
      <c r="J603" s="175" t="s">
        <v>70</v>
      </c>
      <c r="K603" s="11" t="s">
        <v>36</v>
      </c>
      <c r="L603" s="194"/>
      <c r="M603" s="194"/>
      <c r="N603" s="175" t="s">
        <v>340</v>
      </c>
      <c r="O603" s="175" t="s">
        <v>189</v>
      </c>
      <c r="P603" s="175" t="s">
        <v>546</v>
      </c>
      <c r="Q603" s="195"/>
      <c r="R603" s="162">
        <v>2500.0</v>
      </c>
      <c r="S603" s="163">
        <f>FRESADO!$R603*FRESADO!$E603</f>
        <v>2500</v>
      </c>
      <c r="T603" s="163">
        <f>FRESADO!$S603*16%</f>
        <v>400</v>
      </c>
      <c r="U603" s="163">
        <f>FRESADO!$S603+FRESADO!$T603</f>
        <v>2900</v>
      </c>
      <c r="V603" s="164" t="s">
        <v>504</v>
      </c>
      <c r="W603" s="196"/>
      <c r="X603" s="196"/>
      <c r="Y603" s="189"/>
      <c r="Z603" s="31" t="s">
        <v>77</v>
      </c>
    </row>
    <row r="604" ht="15.75" customHeight="1">
      <c r="A604" s="172">
        <v>29.0</v>
      </c>
      <c r="B604" s="173">
        <v>107.0</v>
      </c>
      <c r="C604" s="93">
        <v>1192.0</v>
      </c>
      <c r="D604" s="187">
        <v>46221.0</v>
      </c>
      <c r="E604" s="175">
        <v>1.0</v>
      </c>
      <c r="F604" s="175" t="s">
        <v>73</v>
      </c>
      <c r="G604" s="175" t="s">
        <v>887</v>
      </c>
      <c r="H604" s="175">
        <v>10.0</v>
      </c>
      <c r="I604" s="175" t="s">
        <v>34</v>
      </c>
      <c r="J604" s="175" t="s">
        <v>888</v>
      </c>
      <c r="K604" s="11" t="s">
        <v>36</v>
      </c>
      <c r="L604" s="194"/>
      <c r="M604" s="194"/>
      <c r="N604" s="175" t="s">
        <v>340</v>
      </c>
      <c r="O604" s="175" t="s">
        <v>189</v>
      </c>
      <c r="P604" s="175" t="s">
        <v>546</v>
      </c>
      <c r="Q604" s="195"/>
      <c r="R604" s="162">
        <v>4500.0</v>
      </c>
      <c r="S604" s="163">
        <f>FRESADO!$R604*FRESADO!$E604</f>
        <v>4500</v>
      </c>
      <c r="T604" s="163">
        <f>FRESADO!$S604*16%</f>
        <v>720</v>
      </c>
      <c r="U604" s="163">
        <f>FRESADO!$S604+FRESADO!$T604</f>
        <v>5220</v>
      </c>
      <c r="V604" s="164" t="s">
        <v>504</v>
      </c>
      <c r="W604" s="196"/>
      <c r="X604" s="196"/>
      <c r="Y604" s="189"/>
      <c r="Z604" s="206"/>
    </row>
    <row r="605" ht="15.75" customHeight="1">
      <c r="A605" s="34">
        <v>29.0</v>
      </c>
      <c r="B605" s="181">
        <v>108.0</v>
      </c>
      <c r="C605" s="182">
        <v>1193.0</v>
      </c>
      <c r="D605" s="201">
        <v>46221.0</v>
      </c>
      <c r="E605" s="175">
        <v>1.0</v>
      </c>
      <c r="F605" s="149" t="s">
        <v>388</v>
      </c>
      <c r="G605" s="175" t="s">
        <v>583</v>
      </c>
      <c r="H605" s="175">
        <v>7.0</v>
      </c>
      <c r="I605" s="175" t="s">
        <v>34</v>
      </c>
      <c r="J605" s="175" t="s">
        <v>584</v>
      </c>
      <c r="K605" s="34" t="s">
        <v>50</v>
      </c>
      <c r="L605" s="194"/>
      <c r="M605" s="194"/>
      <c r="N605" s="175" t="s">
        <v>340</v>
      </c>
      <c r="O605" s="175" t="s">
        <v>189</v>
      </c>
      <c r="P605" s="175" t="s">
        <v>546</v>
      </c>
      <c r="Q605" s="184" t="s">
        <v>390</v>
      </c>
      <c r="R605" s="152">
        <v>4500.0</v>
      </c>
      <c r="S605" s="17">
        <f>FRESADO!$R605*FRESADO!$E605</f>
        <v>4500</v>
      </c>
      <c r="T605" s="17">
        <f>FRESADO!$S605*16%</f>
        <v>720</v>
      </c>
      <c r="U605" s="17">
        <f>FRESADO!$S605+FRESADO!$T605</f>
        <v>5220</v>
      </c>
      <c r="V605" s="52" t="s">
        <v>545</v>
      </c>
      <c r="W605" s="104"/>
      <c r="X605" s="104"/>
      <c r="Y605" s="30"/>
    </row>
    <row r="606" ht="15.75" customHeight="1">
      <c r="A606" s="6">
        <v>30.0</v>
      </c>
      <c r="B606" s="213">
        <v>1.0</v>
      </c>
      <c r="C606" s="214">
        <v>1194.0</v>
      </c>
      <c r="D606" s="215">
        <v>46223.0</v>
      </c>
      <c r="E606" s="216">
        <v>1.0</v>
      </c>
      <c r="F606" s="216" t="s">
        <v>74</v>
      </c>
      <c r="G606" s="216" t="s">
        <v>347</v>
      </c>
      <c r="H606" s="216">
        <v>14.0</v>
      </c>
      <c r="I606" s="216" t="s">
        <v>34</v>
      </c>
      <c r="J606" s="216" t="s">
        <v>70</v>
      </c>
      <c r="K606" s="11" t="s">
        <v>36</v>
      </c>
      <c r="L606" s="217"/>
      <c r="M606" s="217"/>
      <c r="N606" s="216" t="s">
        <v>340</v>
      </c>
      <c r="O606" s="216" t="s">
        <v>189</v>
      </c>
      <c r="P606" s="216" t="s">
        <v>898</v>
      </c>
      <c r="Q606" s="218"/>
      <c r="R606" s="202">
        <v>2500.0</v>
      </c>
      <c r="S606" s="17">
        <f>FRESADO!$R606*FRESADO!$E606</f>
        <v>2500</v>
      </c>
      <c r="T606" s="17">
        <f>FRESADO!$S606*16%</f>
        <v>400</v>
      </c>
      <c r="U606" s="17">
        <f>FRESADO!$S606+FRESADO!$T606</f>
        <v>2900</v>
      </c>
      <c r="V606" s="34" t="s">
        <v>899</v>
      </c>
      <c r="W606" s="104"/>
      <c r="X606" s="104"/>
      <c r="Y606" s="30"/>
      <c r="Z606" s="31" t="s">
        <v>77</v>
      </c>
    </row>
    <row r="607" ht="15.75" customHeight="1">
      <c r="A607" s="6">
        <v>30.0</v>
      </c>
      <c r="B607" s="213">
        <v>2.0</v>
      </c>
      <c r="C607" s="216">
        <v>1195.0</v>
      </c>
      <c r="D607" s="215">
        <v>46223.0</v>
      </c>
      <c r="E607" s="216">
        <v>1.0</v>
      </c>
      <c r="F607" s="216" t="s">
        <v>74</v>
      </c>
      <c r="G607" s="216" t="s">
        <v>280</v>
      </c>
      <c r="H607" s="216">
        <v>14.0</v>
      </c>
      <c r="I607" s="216" t="s">
        <v>34</v>
      </c>
      <c r="J607" s="216" t="s">
        <v>272</v>
      </c>
      <c r="K607" s="11" t="s">
        <v>36</v>
      </c>
      <c r="L607" s="217"/>
      <c r="M607" s="217"/>
      <c r="N607" s="216" t="s">
        <v>398</v>
      </c>
      <c r="O607" s="216" t="s">
        <v>189</v>
      </c>
      <c r="P607" s="216" t="s">
        <v>898</v>
      </c>
      <c r="Q607" s="218" t="s">
        <v>399</v>
      </c>
      <c r="R607" s="202">
        <v>3855.0</v>
      </c>
      <c r="S607" s="17">
        <f>FRESADO!$R607*FRESADO!$E607</f>
        <v>3855</v>
      </c>
      <c r="T607" s="17">
        <f>FRESADO!$S607*16%</f>
        <v>616.8</v>
      </c>
      <c r="U607" s="17">
        <f>FRESADO!$S607+FRESADO!$T607</f>
        <v>4471.8</v>
      </c>
      <c r="V607" s="34" t="s">
        <v>899</v>
      </c>
      <c r="W607" s="104"/>
      <c r="X607" s="104"/>
      <c r="Y607" s="30"/>
      <c r="Z607" s="219" t="s">
        <v>399</v>
      </c>
    </row>
    <row r="608" ht="15.75" customHeight="1">
      <c r="A608" s="6">
        <v>30.0</v>
      </c>
      <c r="B608" s="213">
        <v>3.0</v>
      </c>
      <c r="C608" s="216">
        <v>1196.0</v>
      </c>
      <c r="D608" s="215">
        <v>46223.0</v>
      </c>
      <c r="E608" s="216">
        <v>1.0</v>
      </c>
      <c r="F608" s="216" t="s">
        <v>74</v>
      </c>
      <c r="G608" s="216" t="s">
        <v>192</v>
      </c>
      <c r="H608" s="216">
        <v>14.0</v>
      </c>
      <c r="I608" s="216" t="s">
        <v>34</v>
      </c>
      <c r="J608" s="216" t="s">
        <v>41</v>
      </c>
      <c r="K608" s="11" t="s">
        <v>36</v>
      </c>
      <c r="L608" s="217"/>
      <c r="M608" s="217"/>
      <c r="N608" s="216" t="s">
        <v>398</v>
      </c>
      <c r="O608" s="216" t="s">
        <v>189</v>
      </c>
      <c r="P608" s="216" t="s">
        <v>898</v>
      </c>
      <c r="Q608" s="218" t="s">
        <v>399</v>
      </c>
      <c r="R608" s="202">
        <v>3855.0</v>
      </c>
      <c r="S608" s="17">
        <f>FRESADO!$R608*FRESADO!$E608</f>
        <v>3855</v>
      </c>
      <c r="T608" s="17">
        <f>FRESADO!$S608*16%</f>
        <v>616.8</v>
      </c>
      <c r="U608" s="17">
        <f>FRESADO!$S608+FRESADO!$T608</f>
        <v>4471.8</v>
      </c>
      <c r="V608" s="34" t="s">
        <v>899</v>
      </c>
      <c r="W608" s="104"/>
      <c r="X608" s="104"/>
      <c r="Y608" s="30"/>
      <c r="Z608" s="219" t="s">
        <v>399</v>
      </c>
    </row>
    <row r="609" ht="15.75" customHeight="1">
      <c r="A609" s="6">
        <v>30.0</v>
      </c>
      <c r="B609" s="213">
        <v>4.0</v>
      </c>
      <c r="C609" s="216">
        <v>1197.0</v>
      </c>
      <c r="D609" s="215">
        <v>46223.0</v>
      </c>
      <c r="E609" s="216">
        <v>1.0</v>
      </c>
      <c r="F609" s="216" t="s">
        <v>74</v>
      </c>
      <c r="G609" s="216" t="s">
        <v>900</v>
      </c>
      <c r="H609" s="216">
        <v>14.0</v>
      </c>
      <c r="I609" s="216" t="s">
        <v>34</v>
      </c>
      <c r="J609" s="216" t="s">
        <v>94</v>
      </c>
      <c r="K609" s="11" t="s">
        <v>36</v>
      </c>
      <c r="L609" s="217"/>
      <c r="M609" s="217"/>
      <c r="N609" s="216" t="s">
        <v>398</v>
      </c>
      <c r="O609" s="216" t="s">
        <v>189</v>
      </c>
      <c r="P609" s="216" t="s">
        <v>898</v>
      </c>
      <c r="Q609" s="218" t="s">
        <v>399</v>
      </c>
      <c r="R609" s="202">
        <v>3355.0</v>
      </c>
      <c r="S609" s="17">
        <f>FRESADO!$R609*FRESADO!$E609</f>
        <v>3355</v>
      </c>
      <c r="T609" s="17">
        <f>FRESADO!$S609*16%</f>
        <v>536.8</v>
      </c>
      <c r="U609" s="17">
        <f>FRESADO!$S609+FRESADO!$T609</f>
        <v>3891.8</v>
      </c>
      <c r="V609" s="34" t="s">
        <v>899</v>
      </c>
      <c r="W609" s="104"/>
      <c r="X609" s="104"/>
      <c r="Y609" s="30"/>
      <c r="Z609" s="219" t="s">
        <v>399</v>
      </c>
    </row>
    <row r="610" ht="15.75" customHeight="1">
      <c r="A610" s="6">
        <v>30.0</v>
      </c>
      <c r="B610" s="213">
        <v>5.0</v>
      </c>
      <c r="C610" s="216">
        <v>1198.0</v>
      </c>
      <c r="D610" s="215">
        <v>46223.0</v>
      </c>
      <c r="E610" s="216">
        <v>1.0</v>
      </c>
      <c r="F610" s="216" t="s">
        <v>74</v>
      </c>
      <c r="G610" s="216" t="s">
        <v>692</v>
      </c>
      <c r="H610" s="216">
        <v>14.0</v>
      </c>
      <c r="I610" s="216" t="s">
        <v>34</v>
      </c>
      <c r="J610" s="216" t="s">
        <v>693</v>
      </c>
      <c r="K610" s="11" t="s">
        <v>36</v>
      </c>
      <c r="L610" s="217"/>
      <c r="M610" s="217"/>
      <c r="N610" s="216" t="s">
        <v>398</v>
      </c>
      <c r="O610" s="216" t="s">
        <v>189</v>
      </c>
      <c r="P610" s="216" t="s">
        <v>898</v>
      </c>
      <c r="Q610" s="218" t="s">
        <v>399</v>
      </c>
      <c r="R610" s="202">
        <v>3855.0</v>
      </c>
      <c r="S610" s="17">
        <f>FRESADO!$R610*FRESADO!$E610</f>
        <v>3855</v>
      </c>
      <c r="T610" s="17">
        <f>FRESADO!$S610*16%</f>
        <v>616.8</v>
      </c>
      <c r="U610" s="17">
        <f>FRESADO!$S610+FRESADO!$T610</f>
        <v>4471.8</v>
      </c>
      <c r="V610" s="34" t="s">
        <v>899</v>
      </c>
      <c r="W610" s="104"/>
      <c r="X610" s="104"/>
      <c r="Y610" s="30"/>
      <c r="Z610" s="219" t="s">
        <v>399</v>
      </c>
    </row>
    <row r="611" ht="15.75" customHeight="1">
      <c r="A611" s="6">
        <v>30.0</v>
      </c>
      <c r="B611" s="213">
        <v>6.0</v>
      </c>
      <c r="C611" s="214">
        <v>1199.0</v>
      </c>
      <c r="D611" s="215">
        <v>46223.0</v>
      </c>
      <c r="E611" s="216">
        <v>1.0</v>
      </c>
      <c r="F611" s="216" t="s">
        <v>74</v>
      </c>
      <c r="G611" s="216" t="s">
        <v>690</v>
      </c>
      <c r="H611" s="216">
        <v>14.0</v>
      </c>
      <c r="I611" s="216" t="s">
        <v>34</v>
      </c>
      <c r="J611" s="216" t="s">
        <v>691</v>
      </c>
      <c r="K611" s="11" t="s">
        <v>36</v>
      </c>
      <c r="L611" s="217"/>
      <c r="M611" s="217"/>
      <c r="N611" s="216" t="s">
        <v>340</v>
      </c>
      <c r="O611" s="216" t="s">
        <v>189</v>
      </c>
      <c r="P611" s="216" t="s">
        <v>898</v>
      </c>
      <c r="Q611" s="218"/>
      <c r="R611" s="202">
        <v>2500.0</v>
      </c>
      <c r="S611" s="17">
        <f>FRESADO!$R611*FRESADO!$E611</f>
        <v>2500</v>
      </c>
      <c r="T611" s="17">
        <f>FRESADO!$S611*16%</f>
        <v>400</v>
      </c>
      <c r="U611" s="17">
        <f>FRESADO!$S611+FRESADO!$T611</f>
        <v>2900</v>
      </c>
      <c r="V611" s="34" t="s">
        <v>899</v>
      </c>
      <c r="W611" s="104"/>
      <c r="X611" s="104"/>
      <c r="Y611" s="30"/>
      <c r="Z611" s="31" t="s">
        <v>77</v>
      </c>
    </row>
    <row r="612" ht="15.75" customHeight="1">
      <c r="A612" s="6">
        <v>30.0</v>
      </c>
      <c r="B612" s="213">
        <v>7.0</v>
      </c>
      <c r="C612" s="214">
        <v>1200.0</v>
      </c>
      <c r="D612" s="215">
        <v>46223.0</v>
      </c>
      <c r="E612" s="216">
        <v>1.0</v>
      </c>
      <c r="F612" s="216" t="s">
        <v>74</v>
      </c>
      <c r="G612" s="216" t="s">
        <v>347</v>
      </c>
      <c r="H612" s="216">
        <v>14.0</v>
      </c>
      <c r="I612" s="216" t="s">
        <v>34</v>
      </c>
      <c r="J612" s="216" t="s">
        <v>70</v>
      </c>
      <c r="K612" s="11" t="s">
        <v>36</v>
      </c>
      <c r="L612" s="217"/>
      <c r="M612" s="217"/>
      <c r="N612" s="216" t="s">
        <v>340</v>
      </c>
      <c r="O612" s="216" t="s">
        <v>189</v>
      </c>
      <c r="P612" s="216" t="s">
        <v>898</v>
      </c>
      <c r="Q612" s="218"/>
      <c r="R612" s="202">
        <v>2500.0</v>
      </c>
      <c r="S612" s="17">
        <f>FRESADO!$R612*FRESADO!$E612</f>
        <v>2500</v>
      </c>
      <c r="T612" s="17">
        <f>FRESADO!$S612*16%</f>
        <v>400</v>
      </c>
      <c r="U612" s="17">
        <f>FRESADO!$S612+FRESADO!$T612</f>
        <v>2900</v>
      </c>
      <c r="V612" s="34" t="s">
        <v>899</v>
      </c>
      <c r="W612" s="104"/>
      <c r="X612" s="104"/>
      <c r="Y612" s="30"/>
      <c r="Z612" s="31" t="s">
        <v>77</v>
      </c>
    </row>
    <row r="613" ht="15.75" customHeight="1">
      <c r="A613" s="6">
        <v>30.0</v>
      </c>
      <c r="B613" s="213">
        <v>8.0</v>
      </c>
      <c r="C613" s="214">
        <v>1601.0</v>
      </c>
      <c r="D613" s="215">
        <v>46223.0</v>
      </c>
      <c r="E613" s="216">
        <v>1.0</v>
      </c>
      <c r="F613" s="216" t="s">
        <v>74</v>
      </c>
      <c r="G613" s="216" t="s">
        <v>238</v>
      </c>
      <c r="H613" s="216">
        <v>14.0</v>
      </c>
      <c r="I613" s="216" t="s">
        <v>34</v>
      </c>
      <c r="J613" s="216" t="s">
        <v>89</v>
      </c>
      <c r="K613" s="11" t="s">
        <v>36</v>
      </c>
      <c r="L613" s="217"/>
      <c r="M613" s="217"/>
      <c r="N613" s="216" t="s">
        <v>340</v>
      </c>
      <c r="O613" s="216" t="s">
        <v>189</v>
      </c>
      <c r="P613" s="216" t="s">
        <v>898</v>
      </c>
      <c r="Q613" s="218"/>
      <c r="R613" s="202">
        <v>2500.0</v>
      </c>
      <c r="S613" s="17">
        <f>FRESADO!$R613*FRESADO!$E613</f>
        <v>2500</v>
      </c>
      <c r="T613" s="17">
        <f>FRESADO!$S613*16%</f>
        <v>400</v>
      </c>
      <c r="U613" s="17">
        <f>FRESADO!$S613+FRESADO!$T613</f>
        <v>2900</v>
      </c>
      <c r="V613" s="34" t="s">
        <v>899</v>
      </c>
      <c r="W613" s="104"/>
      <c r="X613" s="104"/>
      <c r="Y613" s="30"/>
      <c r="Z613" s="31" t="s">
        <v>77</v>
      </c>
    </row>
    <row r="614" ht="15.75" customHeight="1">
      <c r="A614" s="6">
        <v>30.0</v>
      </c>
      <c r="B614" s="213">
        <v>9.0</v>
      </c>
      <c r="C614" s="214">
        <v>1602.0</v>
      </c>
      <c r="D614" s="215">
        <v>46223.0</v>
      </c>
      <c r="E614" s="216">
        <v>1.0</v>
      </c>
      <c r="F614" s="216" t="s">
        <v>74</v>
      </c>
      <c r="G614" s="216" t="s">
        <v>690</v>
      </c>
      <c r="H614" s="216">
        <v>14.0</v>
      </c>
      <c r="I614" s="216" t="s">
        <v>34</v>
      </c>
      <c r="J614" s="216" t="s">
        <v>691</v>
      </c>
      <c r="K614" s="11" t="s">
        <v>36</v>
      </c>
      <c r="L614" s="217"/>
      <c r="M614" s="217"/>
      <c r="N614" s="216" t="s">
        <v>340</v>
      </c>
      <c r="O614" s="216" t="s">
        <v>189</v>
      </c>
      <c r="P614" s="216" t="s">
        <v>898</v>
      </c>
      <c r="Q614" s="218"/>
      <c r="R614" s="202">
        <v>2500.0</v>
      </c>
      <c r="S614" s="17">
        <f>FRESADO!$R614*FRESADO!$E614</f>
        <v>2500</v>
      </c>
      <c r="T614" s="17">
        <f>FRESADO!$S614*16%</f>
        <v>400</v>
      </c>
      <c r="U614" s="17">
        <f>FRESADO!$S614+FRESADO!$T614</f>
        <v>2900</v>
      </c>
      <c r="V614" s="34" t="s">
        <v>899</v>
      </c>
      <c r="W614" s="104"/>
      <c r="X614" s="104"/>
      <c r="Y614" s="30"/>
      <c r="Z614" s="31" t="s">
        <v>77</v>
      </c>
    </row>
    <row r="615" ht="15.75" customHeight="1">
      <c r="A615" s="6">
        <v>30.0</v>
      </c>
      <c r="B615" s="213">
        <v>10.0</v>
      </c>
      <c r="C615" s="216">
        <v>1603.0</v>
      </c>
      <c r="D615" s="215">
        <v>46223.0</v>
      </c>
      <c r="E615" s="216">
        <v>1.0</v>
      </c>
      <c r="F615" s="216" t="s">
        <v>74</v>
      </c>
      <c r="G615" s="216" t="s">
        <v>900</v>
      </c>
      <c r="H615" s="216">
        <v>14.0</v>
      </c>
      <c r="I615" s="216" t="s">
        <v>34</v>
      </c>
      <c r="J615" s="216" t="s">
        <v>94</v>
      </c>
      <c r="K615" s="11" t="s">
        <v>36</v>
      </c>
      <c r="L615" s="217"/>
      <c r="M615" s="217"/>
      <c r="N615" s="216" t="s">
        <v>398</v>
      </c>
      <c r="O615" s="216" t="s">
        <v>189</v>
      </c>
      <c r="P615" s="216" t="s">
        <v>898</v>
      </c>
      <c r="Q615" s="218" t="s">
        <v>399</v>
      </c>
      <c r="R615" s="202">
        <v>3355.0</v>
      </c>
      <c r="S615" s="17">
        <f>FRESADO!$R615*FRESADO!$E615</f>
        <v>3355</v>
      </c>
      <c r="T615" s="17">
        <f>FRESADO!$S615*16%</f>
        <v>536.8</v>
      </c>
      <c r="U615" s="17">
        <f>FRESADO!$S615+FRESADO!$T615</f>
        <v>3891.8</v>
      </c>
      <c r="V615" s="34" t="s">
        <v>899</v>
      </c>
      <c r="W615" s="104"/>
      <c r="X615" s="104"/>
      <c r="Y615" s="30"/>
      <c r="Z615" s="219" t="s">
        <v>399</v>
      </c>
    </row>
    <row r="616" ht="15.75" customHeight="1">
      <c r="A616" s="6">
        <v>30.0</v>
      </c>
      <c r="B616" s="213">
        <v>11.0</v>
      </c>
      <c r="C616" s="216">
        <v>1604.0</v>
      </c>
      <c r="D616" s="215">
        <v>46223.0</v>
      </c>
      <c r="E616" s="216">
        <v>1.0</v>
      </c>
      <c r="F616" s="216" t="s">
        <v>74</v>
      </c>
      <c r="G616" s="216" t="s">
        <v>692</v>
      </c>
      <c r="H616" s="216">
        <v>14.0</v>
      </c>
      <c r="I616" s="216" t="s">
        <v>34</v>
      </c>
      <c r="J616" s="216" t="s">
        <v>693</v>
      </c>
      <c r="K616" s="11" t="s">
        <v>36</v>
      </c>
      <c r="L616" s="217"/>
      <c r="M616" s="217"/>
      <c r="N616" s="216" t="s">
        <v>398</v>
      </c>
      <c r="O616" s="216" t="s">
        <v>189</v>
      </c>
      <c r="P616" s="216" t="s">
        <v>898</v>
      </c>
      <c r="Q616" s="218" t="s">
        <v>399</v>
      </c>
      <c r="R616" s="202">
        <v>3855.0</v>
      </c>
      <c r="S616" s="17">
        <f>FRESADO!$R616*FRESADO!$E616</f>
        <v>3855</v>
      </c>
      <c r="T616" s="17">
        <f>FRESADO!$S616*16%</f>
        <v>616.8</v>
      </c>
      <c r="U616" s="17">
        <f>FRESADO!$S616+FRESADO!$T616</f>
        <v>4471.8</v>
      </c>
      <c r="V616" s="34" t="s">
        <v>899</v>
      </c>
      <c r="W616" s="104"/>
      <c r="X616" s="104"/>
      <c r="Y616" s="30"/>
      <c r="Z616" s="219" t="s">
        <v>399</v>
      </c>
    </row>
    <row r="617" ht="15.75" customHeight="1">
      <c r="A617" s="6">
        <v>30.0</v>
      </c>
      <c r="B617" s="213">
        <v>12.0</v>
      </c>
      <c r="C617" s="216">
        <v>1605.0</v>
      </c>
      <c r="D617" s="215">
        <v>46223.0</v>
      </c>
      <c r="E617" s="216">
        <v>1.0</v>
      </c>
      <c r="F617" s="216" t="s">
        <v>74</v>
      </c>
      <c r="G617" s="216" t="s">
        <v>690</v>
      </c>
      <c r="H617" s="216">
        <v>14.0</v>
      </c>
      <c r="I617" s="216" t="s">
        <v>34</v>
      </c>
      <c r="J617" s="216" t="s">
        <v>691</v>
      </c>
      <c r="K617" s="11" t="s">
        <v>36</v>
      </c>
      <c r="L617" s="217"/>
      <c r="M617" s="217"/>
      <c r="N617" s="216" t="s">
        <v>398</v>
      </c>
      <c r="O617" s="216" t="s">
        <v>189</v>
      </c>
      <c r="P617" s="216" t="s">
        <v>898</v>
      </c>
      <c r="Q617" s="218" t="s">
        <v>399</v>
      </c>
      <c r="R617" s="202">
        <v>3855.0</v>
      </c>
      <c r="S617" s="17">
        <f>FRESADO!$R617*FRESADO!$E617</f>
        <v>3855</v>
      </c>
      <c r="T617" s="17">
        <f>FRESADO!$S617*16%</f>
        <v>616.8</v>
      </c>
      <c r="U617" s="17">
        <f>FRESADO!$S617+FRESADO!$T617</f>
        <v>4471.8</v>
      </c>
      <c r="V617" s="34" t="s">
        <v>899</v>
      </c>
      <c r="W617" s="104"/>
      <c r="X617" s="104"/>
      <c r="Y617" s="30"/>
      <c r="Z617" s="219" t="s">
        <v>399</v>
      </c>
    </row>
    <row r="618" ht="15.75" customHeight="1">
      <c r="A618" s="6">
        <v>30.0</v>
      </c>
      <c r="B618" s="213">
        <v>13.0</v>
      </c>
      <c r="C618" s="216">
        <v>1606.0</v>
      </c>
      <c r="D618" s="215">
        <v>46223.0</v>
      </c>
      <c r="E618" s="216">
        <v>1.0</v>
      </c>
      <c r="F618" s="216" t="s">
        <v>74</v>
      </c>
      <c r="G618" s="216" t="s">
        <v>192</v>
      </c>
      <c r="H618" s="216">
        <v>14.0</v>
      </c>
      <c r="I618" s="216" t="s">
        <v>34</v>
      </c>
      <c r="J618" s="216" t="s">
        <v>41</v>
      </c>
      <c r="K618" s="11" t="s">
        <v>36</v>
      </c>
      <c r="L618" s="217"/>
      <c r="M618" s="217"/>
      <c r="N618" s="216" t="s">
        <v>398</v>
      </c>
      <c r="O618" s="216" t="s">
        <v>189</v>
      </c>
      <c r="P618" s="216" t="s">
        <v>898</v>
      </c>
      <c r="Q618" s="218" t="s">
        <v>399</v>
      </c>
      <c r="R618" s="202">
        <v>3855.0</v>
      </c>
      <c r="S618" s="17">
        <f>FRESADO!$R618*FRESADO!$E618</f>
        <v>3855</v>
      </c>
      <c r="T618" s="17">
        <f>FRESADO!$S618*16%</f>
        <v>616.8</v>
      </c>
      <c r="U618" s="17">
        <f>FRESADO!$S618+FRESADO!$T618</f>
        <v>4471.8</v>
      </c>
      <c r="V618" s="34" t="s">
        <v>899</v>
      </c>
      <c r="W618" s="104"/>
      <c r="X618" s="104"/>
      <c r="Y618" s="30"/>
      <c r="Z618" s="219" t="s">
        <v>399</v>
      </c>
    </row>
    <row r="619" ht="15.75" customHeight="1">
      <c r="A619" s="6">
        <v>30.0</v>
      </c>
      <c r="B619" s="213">
        <v>14.0</v>
      </c>
      <c r="C619" s="214">
        <v>1607.0</v>
      </c>
      <c r="D619" s="215">
        <v>46223.0</v>
      </c>
      <c r="E619" s="216">
        <v>1.0</v>
      </c>
      <c r="F619" s="216" t="s">
        <v>74</v>
      </c>
      <c r="G619" s="216" t="s">
        <v>347</v>
      </c>
      <c r="H619" s="216">
        <v>14.0</v>
      </c>
      <c r="I619" s="216" t="s">
        <v>34</v>
      </c>
      <c r="J619" s="216" t="s">
        <v>70</v>
      </c>
      <c r="K619" s="11" t="s">
        <v>36</v>
      </c>
      <c r="L619" s="217"/>
      <c r="M619" s="217"/>
      <c r="N619" s="216" t="s">
        <v>340</v>
      </c>
      <c r="O619" s="216" t="s">
        <v>189</v>
      </c>
      <c r="P619" s="216" t="s">
        <v>898</v>
      </c>
      <c r="Q619" s="218"/>
      <c r="R619" s="202">
        <v>2500.0</v>
      </c>
      <c r="S619" s="17">
        <f>FRESADO!$R619*FRESADO!$E619</f>
        <v>2500</v>
      </c>
      <c r="T619" s="17">
        <f>FRESADO!$S619*16%</f>
        <v>400</v>
      </c>
      <c r="U619" s="17">
        <f>FRESADO!$S619+FRESADO!$T619</f>
        <v>2900</v>
      </c>
      <c r="V619" s="34" t="s">
        <v>899</v>
      </c>
      <c r="W619" s="104"/>
      <c r="X619" s="104"/>
      <c r="Y619" s="30"/>
      <c r="Z619" s="31" t="s">
        <v>77</v>
      </c>
    </row>
    <row r="620" ht="15.75" customHeight="1">
      <c r="A620" s="188">
        <v>30.0</v>
      </c>
      <c r="B620" s="220">
        <v>15.0</v>
      </c>
      <c r="C620" s="216">
        <v>1608.0</v>
      </c>
      <c r="D620" s="221">
        <v>46223.0</v>
      </c>
      <c r="E620" s="195">
        <v>1.0</v>
      </c>
      <c r="F620" s="195" t="s">
        <v>74</v>
      </c>
      <c r="G620" s="195" t="s">
        <v>896</v>
      </c>
      <c r="H620" s="195">
        <v>14.0</v>
      </c>
      <c r="I620" s="195" t="s">
        <v>34</v>
      </c>
      <c r="J620" s="195" t="s">
        <v>901</v>
      </c>
      <c r="K620" s="11" t="s">
        <v>36</v>
      </c>
      <c r="L620" s="194"/>
      <c r="M620" s="194"/>
      <c r="N620" s="195" t="s">
        <v>340</v>
      </c>
      <c r="O620" s="195" t="s">
        <v>189</v>
      </c>
      <c r="P620" s="195" t="s">
        <v>898</v>
      </c>
      <c r="Q620" s="211"/>
      <c r="R620" s="202">
        <v>2500.0</v>
      </c>
      <c r="S620" s="163">
        <f>FRESADO!$R620*FRESADO!$E620</f>
        <v>2500</v>
      </c>
      <c r="T620" s="163">
        <f>FRESADO!$S620*16%</f>
        <v>400</v>
      </c>
      <c r="U620" s="163">
        <f>FRESADO!$S620+FRESADO!$T620</f>
        <v>2900</v>
      </c>
      <c r="V620" s="164" t="s">
        <v>504</v>
      </c>
      <c r="W620" s="196"/>
      <c r="X620" s="196"/>
      <c r="Y620" s="189"/>
      <c r="Z620" s="31" t="s">
        <v>77</v>
      </c>
    </row>
    <row r="621" ht="15.75" customHeight="1">
      <c r="A621" s="6">
        <v>30.0</v>
      </c>
      <c r="B621" s="213">
        <v>16.0</v>
      </c>
      <c r="C621" s="214">
        <v>1609.0</v>
      </c>
      <c r="D621" s="215">
        <v>46223.0</v>
      </c>
      <c r="E621" s="216">
        <v>1.0</v>
      </c>
      <c r="F621" s="216" t="s">
        <v>74</v>
      </c>
      <c r="G621" s="216" t="s">
        <v>238</v>
      </c>
      <c r="H621" s="216">
        <v>14.0</v>
      </c>
      <c r="I621" s="216" t="s">
        <v>34</v>
      </c>
      <c r="J621" s="216" t="s">
        <v>89</v>
      </c>
      <c r="K621" s="11" t="s">
        <v>36</v>
      </c>
      <c r="L621" s="217"/>
      <c r="M621" s="217"/>
      <c r="N621" s="216" t="s">
        <v>340</v>
      </c>
      <c r="O621" s="216" t="s">
        <v>189</v>
      </c>
      <c r="P621" s="216" t="s">
        <v>898</v>
      </c>
      <c r="Q621" s="218"/>
      <c r="R621" s="202">
        <v>2500.0</v>
      </c>
      <c r="S621" s="17">
        <f>FRESADO!$R621*FRESADO!$E621</f>
        <v>2500</v>
      </c>
      <c r="T621" s="17">
        <f>FRESADO!$S621*16%</f>
        <v>400</v>
      </c>
      <c r="U621" s="17">
        <f>FRESADO!$S621+FRESADO!$T621</f>
        <v>2900</v>
      </c>
      <c r="V621" s="34" t="s">
        <v>899</v>
      </c>
      <c r="W621" s="104"/>
      <c r="X621" s="104"/>
      <c r="Y621" s="30"/>
      <c r="Z621" s="31" t="s">
        <v>77</v>
      </c>
    </row>
    <row r="622" ht="15.75" customHeight="1">
      <c r="A622" s="6">
        <v>30.0</v>
      </c>
      <c r="B622" s="213">
        <v>17.0</v>
      </c>
      <c r="C622" s="214">
        <v>1610.0</v>
      </c>
      <c r="D622" s="215">
        <v>46223.0</v>
      </c>
      <c r="E622" s="216">
        <v>1.0</v>
      </c>
      <c r="F622" s="216" t="s">
        <v>74</v>
      </c>
      <c r="G622" s="216" t="s">
        <v>280</v>
      </c>
      <c r="H622" s="216">
        <v>14.0</v>
      </c>
      <c r="I622" s="216" t="s">
        <v>34</v>
      </c>
      <c r="J622" s="216" t="s">
        <v>272</v>
      </c>
      <c r="K622" s="11" t="s">
        <v>36</v>
      </c>
      <c r="L622" s="217"/>
      <c r="M622" s="217"/>
      <c r="N622" s="216" t="s">
        <v>340</v>
      </c>
      <c r="O622" s="216" t="s">
        <v>189</v>
      </c>
      <c r="P622" s="216" t="s">
        <v>898</v>
      </c>
      <c r="Q622" s="218"/>
      <c r="R622" s="202">
        <v>2500.0</v>
      </c>
      <c r="S622" s="17">
        <f>FRESADO!$R622*FRESADO!$E622</f>
        <v>2500</v>
      </c>
      <c r="T622" s="17">
        <f>FRESADO!$S622*16%</f>
        <v>400</v>
      </c>
      <c r="U622" s="17">
        <f>FRESADO!$S622+FRESADO!$T622</f>
        <v>2900</v>
      </c>
      <c r="V622" s="34" t="s">
        <v>899</v>
      </c>
      <c r="W622" s="104"/>
      <c r="X622" s="104"/>
      <c r="Y622" s="30"/>
      <c r="Z622" s="31" t="s">
        <v>77</v>
      </c>
    </row>
    <row r="623" ht="15.75" customHeight="1">
      <c r="A623" s="6">
        <v>30.0</v>
      </c>
      <c r="B623" s="213">
        <v>18.0</v>
      </c>
      <c r="C623" s="214">
        <v>1611.0</v>
      </c>
      <c r="D623" s="215">
        <v>46223.0</v>
      </c>
      <c r="E623" s="216">
        <v>1.0</v>
      </c>
      <c r="F623" s="216" t="s">
        <v>74</v>
      </c>
      <c r="G623" s="216" t="s">
        <v>347</v>
      </c>
      <c r="H623" s="216">
        <v>14.0</v>
      </c>
      <c r="I623" s="216" t="s">
        <v>34</v>
      </c>
      <c r="J623" s="216" t="s">
        <v>70</v>
      </c>
      <c r="K623" s="11" t="s">
        <v>36</v>
      </c>
      <c r="L623" s="217"/>
      <c r="M623" s="217"/>
      <c r="N623" s="216" t="s">
        <v>340</v>
      </c>
      <c r="O623" s="216" t="s">
        <v>189</v>
      </c>
      <c r="P623" s="216" t="s">
        <v>898</v>
      </c>
      <c r="Q623" s="218"/>
      <c r="R623" s="202">
        <v>2500.0</v>
      </c>
      <c r="S623" s="17">
        <f>FRESADO!$R623*FRESADO!$E623</f>
        <v>2500</v>
      </c>
      <c r="T623" s="17">
        <f>FRESADO!$S623*16%</f>
        <v>400</v>
      </c>
      <c r="U623" s="17">
        <f>FRESADO!$S623+FRESADO!$T623</f>
        <v>2900</v>
      </c>
      <c r="V623" s="34" t="s">
        <v>899</v>
      </c>
      <c r="W623" s="104"/>
      <c r="X623" s="104"/>
      <c r="Y623" s="30"/>
      <c r="Z623" s="31" t="s">
        <v>77</v>
      </c>
    </row>
    <row r="624" ht="15.75" customHeight="1">
      <c r="A624" s="6">
        <v>30.0</v>
      </c>
      <c r="B624" s="213">
        <v>19.0</v>
      </c>
      <c r="C624" s="214">
        <v>1612.0</v>
      </c>
      <c r="D624" s="215">
        <v>46223.0</v>
      </c>
      <c r="E624" s="216">
        <v>1.0</v>
      </c>
      <c r="F624" s="216" t="s">
        <v>74</v>
      </c>
      <c r="G624" s="216" t="s">
        <v>238</v>
      </c>
      <c r="H624" s="216">
        <v>14.0</v>
      </c>
      <c r="I624" s="216" t="s">
        <v>34</v>
      </c>
      <c r="J624" s="216" t="s">
        <v>89</v>
      </c>
      <c r="K624" s="11" t="s">
        <v>36</v>
      </c>
      <c r="L624" s="217"/>
      <c r="M624" s="217"/>
      <c r="N624" s="216" t="s">
        <v>340</v>
      </c>
      <c r="O624" s="216" t="s">
        <v>189</v>
      </c>
      <c r="P624" s="216" t="s">
        <v>898</v>
      </c>
      <c r="Q624" s="218"/>
      <c r="R624" s="202">
        <v>2500.0</v>
      </c>
      <c r="S624" s="17">
        <f>FRESADO!$R624*FRESADO!$E624</f>
        <v>2500</v>
      </c>
      <c r="T624" s="17">
        <f>FRESADO!$S624*16%</f>
        <v>400</v>
      </c>
      <c r="U624" s="17">
        <f>FRESADO!$S624+FRESADO!$T624</f>
        <v>2900</v>
      </c>
      <c r="V624" s="34" t="s">
        <v>899</v>
      </c>
      <c r="W624" s="104"/>
      <c r="X624" s="104"/>
      <c r="Y624" s="30"/>
      <c r="Z624" s="31" t="s">
        <v>77</v>
      </c>
    </row>
    <row r="625" ht="15.75" customHeight="1">
      <c r="A625" s="188">
        <v>30.0</v>
      </c>
      <c r="B625" s="220">
        <v>20.0</v>
      </c>
      <c r="C625" s="216">
        <v>1613.0</v>
      </c>
      <c r="D625" s="221">
        <v>46223.0</v>
      </c>
      <c r="E625" s="195">
        <v>1.0</v>
      </c>
      <c r="F625" s="195" t="s">
        <v>74</v>
      </c>
      <c r="G625" s="195" t="s">
        <v>896</v>
      </c>
      <c r="H625" s="195">
        <v>14.0</v>
      </c>
      <c r="I625" s="195" t="s">
        <v>34</v>
      </c>
      <c r="J625" s="195" t="s">
        <v>901</v>
      </c>
      <c r="K625" s="11" t="s">
        <v>36</v>
      </c>
      <c r="L625" s="194"/>
      <c r="M625" s="194"/>
      <c r="N625" s="195" t="s">
        <v>340</v>
      </c>
      <c r="O625" s="195" t="s">
        <v>189</v>
      </c>
      <c r="P625" s="195" t="s">
        <v>898</v>
      </c>
      <c r="Q625" s="211"/>
      <c r="R625" s="202">
        <v>2500.0</v>
      </c>
      <c r="S625" s="163">
        <f>FRESADO!$R625*FRESADO!$E625</f>
        <v>2500</v>
      </c>
      <c r="T625" s="163">
        <f>FRESADO!$S625*16%</f>
        <v>400</v>
      </c>
      <c r="U625" s="163">
        <f>FRESADO!$S625+FRESADO!$T625</f>
        <v>2900</v>
      </c>
      <c r="V625" s="164" t="s">
        <v>504</v>
      </c>
      <c r="W625" s="196"/>
      <c r="X625" s="196"/>
      <c r="Y625" s="189"/>
      <c r="Z625" s="31" t="s">
        <v>77</v>
      </c>
    </row>
    <row r="626" ht="15.75" customHeight="1">
      <c r="A626" s="6">
        <v>30.0</v>
      </c>
      <c r="B626" s="213">
        <v>21.0</v>
      </c>
      <c r="C626" s="214">
        <v>1614.0</v>
      </c>
      <c r="D626" s="215">
        <v>46223.0</v>
      </c>
      <c r="E626" s="216">
        <v>1.0</v>
      </c>
      <c r="F626" s="216" t="s">
        <v>74</v>
      </c>
      <c r="G626" s="216" t="s">
        <v>900</v>
      </c>
      <c r="H626" s="216">
        <v>14.0</v>
      </c>
      <c r="I626" s="216" t="s">
        <v>34</v>
      </c>
      <c r="J626" s="216" t="s">
        <v>94</v>
      </c>
      <c r="K626" s="11" t="s">
        <v>36</v>
      </c>
      <c r="L626" s="217"/>
      <c r="M626" s="217"/>
      <c r="N626" s="216" t="s">
        <v>340</v>
      </c>
      <c r="O626" s="216" t="s">
        <v>189</v>
      </c>
      <c r="P626" s="216" t="s">
        <v>898</v>
      </c>
      <c r="Q626" s="218"/>
      <c r="R626" s="202">
        <v>2500.0</v>
      </c>
      <c r="S626" s="17">
        <f>FRESADO!$R626*FRESADO!$E626</f>
        <v>2500</v>
      </c>
      <c r="T626" s="17">
        <f>FRESADO!$S626*16%</f>
        <v>400</v>
      </c>
      <c r="U626" s="17">
        <f>FRESADO!$S626+FRESADO!$T626</f>
        <v>2900</v>
      </c>
      <c r="V626" s="34" t="s">
        <v>899</v>
      </c>
      <c r="W626" s="104"/>
      <c r="X626" s="104"/>
      <c r="Y626" s="30"/>
      <c r="Z626" s="31" t="s">
        <v>77</v>
      </c>
    </row>
    <row r="627" ht="15.75" customHeight="1">
      <c r="A627" s="6">
        <v>30.0</v>
      </c>
      <c r="B627" s="213">
        <v>22.0</v>
      </c>
      <c r="C627" s="214">
        <v>1615.0</v>
      </c>
      <c r="D627" s="215">
        <v>46223.0</v>
      </c>
      <c r="E627" s="216">
        <v>1.0</v>
      </c>
      <c r="F627" s="216" t="s">
        <v>74</v>
      </c>
      <c r="G627" s="216" t="s">
        <v>692</v>
      </c>
      <c r="H627" s="216">
        <v>14.0</v>
      </c>
      <c r="I627" s="216" t="s">
        <v>34</v>
      </c>
      <c r="J627" s="216" t="s">
        <v>693</v>
      </c>
      <c r="K627" s="11" t="s">
        <v>36</v>
      </c>
      <c r="L627" s="217"/>
      <c r="M627" s="217"/>
      <c r="N627" s="216" t="s">
        <v>340</v>
      </c>
      <c r="O627" s="216" t="s">
        <v>189</v>
      </c>
      <c r="P627" s="216" t="s">
        <v>898</v>
      </c>
      <c r="Q627" s="218"/>
      <c r="R627" s="202">
        <v>2500.0</v>
      </c>
      <c r="S627" s="17">
        <f>FRESADO!$R627*FRESADO!$E627</f>
        <v>2500</v>
      </c>
      <c r="T627" s="17">
        <f>FRESADO!$S627*16%</f>
        <v>400</v>
      </c>
      <c r="U627" s="17">
        <f>FRESADO!$S627+FRESADO!$T627</f>
        <v>2900</v>
      </c>
      <c r="V627" s="34" t="s">
        <v>899</v>
      </c>
      <c r="W627" s="104"/>
      <c r="X627" s="104"/>
      <c r="Y627" s="30"/>
      <c r="Z627" s="31" t="s">
        <v>77</v>
      </c>
    </row>
    <row r="628" ht="15.75" customHeight="1">
      <c r="A628" s="6">
        <v>30.0</v>
      </c>
      <c r="B628" s="213">
        <v>23.0</v>
      </c>
      <c r="C628" s="214">
        <v>1616.0</v>
      </c>
      <c r="D628" s="215">
        <v>46223.0</v>
      </c>
      <c r="E628" s="216">
        <v>1.0</v>
      </c>
      <c r="F628" s="216" t="s">
        <v>74</v>
      </c>
      <c r="G628" s="216" t="s">
        <v>690</v>
      </c>
      <c r="H628" s="216">
        <v>14.0</v>
      </c>
      <c r="I628" s="216" t="s">
        <v>34</v>
      </c>
      <c r="J628" s="216" t="s">
        <v>691</v>
      </c>
      <c r="K628" s="11" t="s">
        <v>36</v>
      </c>
      <c r="L628" s="217"/>
      <c r="M628" s="217"/>
      <c r="N628" s="216" t="s">
        <v>340</v>
      </c>
      <c r="O628" s="216" t="s">
        <v>189</v>
      </c>
      <c r="P628" s="216" t="s">
        <v>898</v>
      </c>
      <c r="Q628" s="218"/>
      <c r="R628" s="202">
        <v>2500.0</v>
      </c>
      <c r="S628" s="17">
        <f>FRESADO!$R628*FRESADO!$E628</f>
        <v>2500</v>
      </c>
      <c r="T628" s="17">
        <f>FRESADO!$S628*16%</f>
        <v>400</v>
      </c>
      <c r="U628" s="17">
        <f>FRESADO!$S628+FRESADO!$T628</f>
        <v>2900</v>
      </c>
      <c r="V628" s="34" t="s">
        <v>899</v>
      </c>
      <c r="W628" s="104"/>
      <c r="X628" s="104"/>
      <c r="Y628" s="30"/>
      <c r="Z628" s="31" t="s">
        <v>77</v>
      </c>
    </row>
    <row r="629" ht="15.75" customHeight="1">
      <c r="A629" s="6">
        <v>30.0</v>
      </c>
      <c r="B629" s="213">
        <v>24.0</v>
      </c>
      <c r="C629" s="214">
        <v>1617.0</v>
      </c>
      <c r="D629" s="215">
        <v>46223.0</v>
      </c>
      <c r="E629" s="216">
        <v>1.0</v>
      </c>
      <c r="F629" s="216" t="s">
        <v>74</v>
      </c>
      <c r="G629" s="216" t="s">
        <v>192</v>
      </c>
      <c r="H629" s="216">
        <v>14.0</v>
      </c>
      <c r="I629" s="216" t="s">
        <v>34</v>
      </c>
      <c r="J629" s="216" t="s">
        <v>41</v>
      </c>
      <c r="K629" s="11" t="s">
        <v>36</v>
      </c>
      <c r="L629" s="217"/>
      <c r="M629" s="217"/>
      <c r="N629" s="216" t="s">
        <v>340</v>
      </c>
      <c r="O629" s="216" t="s">
        <v>189</v>
      </c>
      <c r="P629" s="216" t="s">
        <v>898</v>
      </c>
      <c r="Q629" s="218"/>
      <c r="R629" s="202">
        <v>2500.0</v>
      </c>
      <c r="S629" s="17">
        <f>FRESADO!$R629*FRESADO!$E629</f>
        <v>2500</v>
      </c>
      <c r="T629" s="17">
        <f>FRESADO!$S629*16%</f>
        <v>400</v>
      </c>
      <c r="U629" s="17">
        <f>FRESADO!$S629+FRESADO!$T629</f>
        <v>2900</v>
      </c>
      <c r="V629" s="34" t="s">
        <v>899</v>
      </c>
      <c r="W629" s="104"/>
      <c r="X629" s="104"/>
      <c r="Y629" s="30"/>
      <c r="Z629" s="31" t="s">
        <v>77</v>
      </c>
    </row>
    <row r="630" ht="15.75" customHeight="1">
      <c r="A630" s="6">
        <v>30.0</v>
      </c>
      <c r="B630" s="213">
        <v>25.0</v>
      </c>
      <c r="C630" s="214">
        <v>1618.0</v>
      </c>
      <c r="D630" s="215">
        <v>46223.0</v>
      </c>
      <c r="E630" s="216">
        <v>1.0</v>
      </c>
      <c r="F630" s="216" t="s">
        <v>74</v>
      </c>
      <c r="G630" s="216" t="s">
        <v>347</v>
      </c>
      <c r="H630" s="216">
        <v>14.0</v>
      </c>
      <c r="I630" s="216" t="s">
        <v>34</v>
      </c>
      <c r="J630" s="216" t="s">
        <v>70</v>
      </c>
      <c r="K630" s="11" t="s">
        <v>36</v>
      </c>
      <c r="L630" s="217"/>
      <c r="M630" s="217"/>
      <c r="N630" s="216" t="s">
        <v>340</v>
      </c>
      <c r="O630" s="216" t="s">
        <v>189</v>
      </c>
      <c r="P630" s="216" t="s">
        <v>898</v>
      </c>
      <c r="Q630" s="218"/>
      <c r="R630" s="202">
        <v>2500.0</v>
      </c>
      <c r="S630" s="17">
        <f>FRESADO!$R630*FRESADO!$E630</f>
        <v>2500</v>
      </c>
      <c r="T630" s="17">
        <f>FRESADO!$S630*16%</f>
        <v>400</v>
      </c>
      <c r="U630" s="17">
        <f>FRESADO!$S630+FRESADO!$T630</f>
        <v>2900</v>
      </c>
      <c r="V630" s="34" t="s">
        <v>899</v>
      </c>
      <c r="W630" s="104"/>
      <c r="X630" s="104"/>
      <c r="Y630" s="30"/>
      <c r="Z630" s="31" t="s">
        <v>77</v>
      </c>
    </row>
    <row r="631" ht="15.75" customHeight="1">
      <c r="A631" s="6">
        <v>30.0</v>
      </c>
      <c r="B631" s="213">
        <v>26.0</v>
      </c>
      <c r="C631" s="214">
        <v>1619.0</v>
      </c>
      <c r="D631" s="215">
        <v>46223.0</v>
      </c>
      <c r="E631" s="216">
        <v>1.0</v>
      </c>
      <c r="F631" s="216" t="s">
        <v>74</v>
      </c>
      <c r="G631" s="216" t="s">
        <v>280</v>
      </c>
      <c r="H631" s="216">
        <v>14.0</v>
      </c>
      <c r="I631" s="216" t="s">
        <v>34</v>
      </c>
      <c r="J631" s="216" t="s">
        <v>272</v>
      </c>
      <c r="K631" s="11" t="s">
        <v>36</v>
      </c>
      <c r="L631" s="217"/>
      <c r="M631" s="217"/>
      <c r="N631" s="216" t="s">
        <v>340</v>
      </c>
      <c r="O631" s="216" t="s">
        <v>189</v>
      </c>
      <c r="P631" s="216" t="s">
        <v>898</v>
      </c>
      <c r="Q631" s="218"/>
      <c r="R631" s="202">
        <v>2500.0</v>
      </c>
      <c r="S631" s="17">
        <f>FRESADO!$R631*FRESADO!$E631</f>
        <v>2500</v>
      </c>
      <c r="T631" s="17">
        <f>FRESADO!$S631*16%</f>
        <v>400</v>
      </c>
      <c r="U631" s="17">
        <f>FRESADO!$S631+FRESADO!$T631</f>
        <v>2900</v>
      </c>
      <c r="V631" s="34" t="s">
        <v>899</v>
      </c>
      <c r="W631" s="104"/>
      <c r="X631" s="104"/>
      <c r="Y631" s="30"/>
      <c r="Z631" s="31" t="s">
        <v>77</v>
      </c>
    </row>
    <row r="632" ht="15.75" customHeight="1">
      <c r="A632" s="6">
        <v>30.0</v>
      </c>
      <c r="B632" s="213">
        <v>27.0</v>
      </c>
      <c r="C632" s="214">
        <v>1621.0</v>
      </c>
      <c r="D632" s="215">
        <v>46223.0</v>
      </c>
      <c r="E632" s="216">
        <v>1.0</v>
      </c>
      <c r="F632" s="216" t="s">
        <v>73</v>
      </c>
      <c r="G632" s="216" t="s">
        <v>887</v>
      </c>
      <c r="H632" s="93">
        <v>20.0</v>
      </c>
      <c r="I632" s="216" t="s">
        <v>34</v>
      </c>
      <c r="J632" s="216" t="s">
        <v>888</v>
      </c>
      <c r="K632" s="11" t="s">
        <v>36</v>
      </c>
      <c r="L632" s="217"/>
      <c r="M632" s="217"/>
      <c r="N632" s="216" t="s">
        <v>340</v>
      </c>
      <c r="O632" s="216" t="s">
        <v>189</v>
      </c>
      <c r="P632" s="216" t="s">
        <v>898</v>
      </c>
      <c r="Q632" s="218" t="s">
        <v>902</v>
      </c>
      <c r="R632" s="202">
        <v>9000.0</v>
      </c>
      <c r="S632" s="17">
        <f>FRESADO!$R632*FRESADO!$E632</f>
        <v>9000</v>
      </c>
      <c r="T632" s="17">
        <f>FRESADO!$S632*16%</f>
        <v>1440</v>
      </c>
      <c r="U632" s="17">
        <f>FRESADO!$S632+FRESADO!$T632</f>
        <v>10440</v>
      </c>
      <c r="V632" s="34" t="s">
        <v>899</v>
      </c>
      <c r="W632" s="104"/>
      <c r="X632" s="104"/>
      <c r="Y632" s="30"/>
    </row>
    <row r="633" ht="15.75" customHeight="1">
      <c r="A633" s="6">
        <v>30.0</v>
      </c>
      <c r="B633" s="213">
        <v>28.0</v>
      </c>
      <c r="C633" s="182">
        <v>1620.0</v>
      </c>
      <c r="D633" s="222">
        <v>46223.0</v>
      </c>
      <c r="E633" s="216">
        <v>1.0</v>
      </c>
      <c r="F633" s="149" t="s">
        <v>388</v>
      </c>
      <c r="G633" s="216" t="s">
        <v>583</v>
      </c>
      <c r="H633" s="216">
        <v>0.0</v>
      </c>
      <c r="I633" s="216" t="s">
        <v>34</v>
      </c>
      <c r="J633" s="216" t="s">
        <v>584</v>
      </c>
      <c r="K633" s="34" t="s">
        <v>50</v>
      </c>
      <c r="L633" s="217"/>
      <c r="M633" s="217"/>
      <c r="N633" s="216" t="s">
        <v>340</v>
      </c>
      <c r="O633" s="216" t="s">
        <v>189</v>
      </c>
      <c r="P633" s="216" t="s">
        <v>898</v>
      </c>
      <c r="Q633" s="218" t="s">
        <v>390</v>
      </c>
      <c r="R633" s="202">
        <v>4500.0</v>
      </c>
      <c r="S633" s="17">
        <f>FRESADO!$R633*FRESADO!$E633</f>
        <v>4500</v>
      </c>
      <c r="T633" s="17">
        <f>FRESADO!$S633*16%</f>
        <v>720</v>
      </c>
      <c r="U633" s="17">
        <f>FRESADO!$S633+FRESADO!$T633</f>
        <v>5220</v>
      </c>
      <c r="V633" s="52" t="s">
        <v>545</v>
      </c>
      <c r="W633" s="104"/>
      <c r="X633" s="104"/>
      <c r="Y633" s="30"/>
    </row>
    <row r="634" ht="15.75" customHeight="1">
      <c r="A634" s="6">
        <v>30.0</v>
      </c>
      <c r="B634" s="213">
        <v>29.0</v>
      </c>
      <c r="C634" s="216">
        <v>1622.0</v>
      </c>
      <c r="D634" s="215">
        <v>46224.0</v>
      </c>
      <c r="E634" s="216">
        <v>1.0</v>
      </c>
      <c r="F634" s="216" t="s">
        <v>74</v>
      </c>
      <c r="G634" s="216" t="s">
        <v>900</v>
      </c>
      <c r="H634" s="216">
        <v>14.0</v>
      </c>
      <c r="I634" s="216" t="s">
        <v>34</v>
      </c>
      <c r="J634" s="216" t="s">
        <v>94</v>
      </c>
      <c r="K634" s="11" t="s">
        <v>36</v>
      </c>
      <c r="L634" s="217"/>
      <c r="M634" s="217"/>
      <c r="N634" s="216" t="s">
        <v>398</v>
      </c>
      <c r="O634" s="216" t="s">
        <v>189</v>
      </c>
      <c r="P634" s="216" t="s">
        <v>898</v>
      </c>
      <c r="Q634" s="218" t="s">
        <v>399</v>
      </c>
      <c r="R634" s="202">
        <v>3855.0</v>
      </c>
      <c r="S634" s="17">
        <f>FRESADO!$R634*FRESADO!$E634</f>
        <v>3855</v>
      </c>
      <c r="T634" s="17">
        <f>FRESADO!$S634*16%</f>
        <v>616.8</v>
      </c>
      <c r="U634" s="17">
        <f>FRESADO!$S634+FRESADO!$T634</f>
        <v>4471.8</v>
      </c>
      <c r="V634" s="34" t="s">
        <v>899</v>
      </c>
      <c r="W634" s="104"/>
      <c r="X634" s="104"/>
      <c r="Y634" s="30"/>
      <c r="Z634" s="219" t="s">
        <v>399</v>
      </c>
    </row>
    <row r="635" ht="15.75" customHeight="1">
      <c r="A635" s="6">
        <v>30.0</v>
      </c>
      <c r="B635" s="213">
        <v>30.0</v>
      </c>
      <c r="C635" s="216">
        <v>1623.0</v>
      </c>
      <c r="D635" s="215">
        <v>46224.0</v>
      </c>
      <c r="E635" s="216">
        <v>1.0</v>
      </c>
      <c r="F635" s="216" t="s">
        <v>74</v>
      </c>
      <c r="G635" s="216" t="s">
        <v>690</v>
      </c>
      <c r="H635" s="216">
        <v>14.0</v>
      </c>
      <c r="I635" s="216" t="s">
        <v>34</v>
      </c>
      <c r="J635" s="216" t="s">
        <v>691</v>
      </c>
      <c r="K635" s="11" t="s">
        <v>36</v>
      </c>
      <c r="L635" s="217"/>
      <c r="M635" s="217"/>
      <c r="N635" s="216" t="s">
        <v>398</v>
      </c>
      <c r="O635" s="216" t="s">
        <v>189</v>
      </c>
      <c r="P635" s="216" t="s">
        <v>898</v>
      </c>
      <c r="Q635" s="218" t="s">
        <v>399</v>
      </c>
      <c r="R635" s="202">
        <v>3855.0</v>
      </c>
      <c r="S635" s="17">
        <f>FRESADO!$R635*FRESADO!$E635</f>
        <v>3855</v>
      </c>
      <c r="T635" s="17">
        <f>FRESADO!$S635*16%</f>
        <v>616.8</v>
      </c>
      <c r="U635" s="17">
        <f>FRESADO!$S635+FRESADO!$T635</f>
        <v>4471.8</v>
      </c>
      <c r="V635" s="34" t="s">
        <v>899</v>
      </c>
      <c r="W635" s="104"/>
      <c r="X635" s="104"/>
      <c r="Y635" s="30"/>
      <c r="Z635" s="219" t="s">
        <v>399</v>
      </c>
    </row>
    <row r="636" ht="15.75" customHeight="1">
      <c r="A636" s="6">
        <v>30.0</v>
      </c>
      <c r="B636" s="213">
        <v>31.0</v>
      </c>
      <c r="C636" s="216">
        <v>1624.0</v>
      </c>
      <c r="D636" s="215">
        <v>46224.0</v>
      </c>
      <c r="E636" s="216">
        <v>1.0</v>
      </c>
      <c r="F636" s="216" t="s">
        <v>74</v>
      </c>
      <c r="G636" s="216" t="s">
        <v>192</v>
      </c>
      <c r="H636" s="216">
        <v>14.0</v>
      </c>
      <c r="I636" s="216" t="s">
        <v>34</v>
      </c>
      <c r="J636" s="216" t="s">
        <v>41</v>
      </c>
      <c r="K636" s="11" t="s">
        <v>36</v>
      </c>
      <c r="L636" s="217"/>
      <c r="M636" s="217"/>
      <c r="N636" s="216" t="s">
        <v>398</v>
      </c>
      <c r="O636" s="216" t="s">
        <v>189</v>
      </c>
      <c r="P636" s="216" t="s">
        <v>898</v>
      </c>
      <c r="Q636" s="218" t="s">
        <v>399</v>
      </c>
      <c r="R636" s="202">
        <v>3855.0</v>
      </c>
      <c r="S636" s="17">
        <f>FRESADO!$R636*FRESADO!$E636</f>
        <v>3855</v>
      </c>
      <c r="T636" s="17">
        <f>FRESADO!$S636*16%</f>
        <v>616.8</v>
      </c>
      <c r="U636" s="17">
        <f>FRESADO!$S636+FRESADO!$T636</f>
        <v>4471.8</v>
      </c>
      <c r="V636" s="34" t="s">
        <v>899</v>
      </c>
      <c r="W636" s="104"/>
      <c r="X636" s="104"/>
      <c r="Y636" s="30"/>
      <c r="Z636" s="219" t="s">
        <v>399</v>
      </c>
    </row>
    <row r="637" ht="15.75" customHeight="1">
      <c r="A637" s="6">
        <v>30.0</v>
      </c>
      <c r="B637" s="213">
        <v>32.0</v>
      </c>
      <c r="C637" s="216">
        <v>1625.0</v>
      </c>
      <c r="D637" s="215">
        <v>46224.0</v>
      </c>
      <c r="E637" s="216">
        <v>1.0</v>
      </c>
      <c r="F637" s="216" t="s">
        <v>74</v>
      </c>
      <c r="G637" s="216" t="s">
        <v>238</v>
      </c>
      <c r="H637" s="216">
        <v>14.0</v>
      </c>
      <c r="I637" s="216" t="s">
        <v>34</v>
      </c>
      <c r="J637" s="216" t="s">
        <v>89</v>
      </c>
      <c r="K637" s="11" t="s">
        <v>36</v>
      </c>
      <c r="L637" s="217"/>
      <c r="M637" s="217"/>
      <c r="N637" s="216" t="s">
        <v>398</v>
      </c>
      <c r="O637" s="216" t="s">
        <v>189</v>
      </c>
      <c r="P637" s="216" t="s">
        <v>898</v>
      </c>
      <c r="Q637" s="218" t="s">
        <v>399</v>
      </c>
      <c r="R637" s="202">
        <v>3855.0</v>
      </c>
      <c r="S637" s="17">
        <f>FRESADO!$R637*FRESADO!$E637</f>
        <v>3855</v>
      </c>
      <c r="T637" s="17">
        <f>FRESADO!$S637*16%</f>
        <v>616.8</v>
      </c>
      <c r="U637" s="17">
        <f>FRESADO!$S637+FRESADO!$T637</f>
        <v>4471.8</v>
      </c>
      <c r="V637" s="34" t="s">
        <v>899</v>
      </c>
      <c r="W637" s="104"/>
      <c r="X637" s="104"/>
      <c r="Y637" s="30"/>
      <c r="Z637" s="219" t="s">
        <v>399</v>
      </c>
    </row>
    <row r="638" ht="15.75" customHeight="1">
      <c r="A638" s="6">
        <v>30.0</v>
      </c>
      <c r="B638" s="213">
        <v>33.0</v>
      </c>
      <c r="C638" s="214">
        <v>1626.0</v>
      </c>
      <c r="D638" s="215">
        <v>46224.0</v>
      </c>
      <c r="E638" s="216">
        <v>1.0</v>
      </c>
      <c r="F638" s="216" t="s">
        <v>74</v>
      </c>
      <c r="G638" s="216" t="s">
        <v>900</v>
      </c>
      <c r="H638" s="216">
        <v>14.0</v>
      </c>
      <c r="I638" s="216" t="s">
        <v>34</v>
      </c>
      <c r="J638" s="216" t="s">
        <v>94</v>
      </c>
      <c r="K638" s="11" t="s">
        <v>36</v>
      </c>
      <c r="L638" s="217"/>
      <c r="M638" s="217"/>
      <c r="N638" s="216" t="s">
        <v>340</v>
      </c>
      <c r="O638" s="216" t="s">
        <v>189</v>
      </c>
      <c r="P638" s="216" t="s">
        <v>898</v>
      </c>
      <c r="Q638" s="218"/>
      <c r="R638" s="202">
        <v>2500.0</v>
      </c>
      <c r="S638" s="17">
        <f>FRESADO!$R638*FRESADO!$E638</f>
        <v>2500</v>
      </c>
      <c r="T638" s="17">
        <f>FRESADO!$S638*16%</f>
        <v>400</v>
      </c>
      <c r="U638" s="17">
        <f>FRESADO!$S638+FRESADO!$T638</f>
        <v>2900</v>
      </c>
      <c r="V638" s="34" t="s">
        <v>899</v>
      </c>
      <c r="W638" s="104"/>
      <c r="X638" s="104"/>
      <c r="Y638" s="30"/>
      <c r="Z638" s="31" t="s">
        <v>77</v>
      </c>
    </row>
    <row r="639" ht="15.75" customHeight="1">
      <c r="A639" s="6">
        <v>30.0</v>
      </c>
      <c r="B639" s="213">
        <v>34.0</v>
      </c>
      <c r="C639" s="214">
        <v>1627.0</v>
      </c>
      <c r="D639" s="215">
        <v>46224.0</v>
      </c>
      <c r="E639" s="216">
        <v>1.0</v>
      </c>
      <c r="F639" s="216" t="s">
        <v>74</v>
      </c>
      <c r="G639" s="216" t="s">
        <v>277</v>
      </c>
      <c r="H639" s="216">
        <v>14.0</v>
      </c>
      <c r="I639" s="216" t="s">
        <v>34</v>
      </c>
      <c r="J639" s="216" t="s">
        <v>278</v>
      </c>
      <c r="K639" s="11" t="s">
        <v>36</v>
      </c>
      <c r="L639" s="217"/>
      <c r="M639" s="217"/>
      <c r="N639" s="216" t="s">
        <v>340</v>
      </c>
      <c r="O639" s="216" t="s">
        <v>189</v>
      </c>
      <c r="P639" s="216" t="s">
        <v>898</v>
      </c>
      <c r="Q639" s="218"/>
      <c r="R639" s="202">
        <v>2500.0</v>
      </c>
      <c r="S639" s="17">
        <f>FRESADO!$R639*FRESADO!$E639</f>
        <v>2500</v>
      </c>
      <c r="T639" s="17">
        <f>FRESADO!$S639*16%</f>
        <v>400</v>
      </c>
      <c r="U639" s="17">
        <f>FRESADO!$S639+FRESADO!$T639</f>
        <v>2900</v>
      </c>
      <c r="V639" s="34" t="s">
        <v>899</v>
      </c>
      <c r="W639" s="104"/>
      <c r="X639" s="104"/>
      <c r="Y639" s="30"/>
      <c r="Z639" s="31" t="s">
        <v>77</v>
      </c>
    </row>
    <row r="640" ht="15.75" customHeight="1">
      <c r="A640" s="6">
        <v>30.0</v>
      </c>
      <c r="B640" s="213">
        <v>35.0</v>
      </c>
      <c r="C640" s="214">
        <v>1628.0</v>
      </c>
      <c r="D640" s="215">
        <v>46224.0</v>
      </c>
      <c r="E640" s="216">
        <v>1.0</v>
      </c>
      <c r="F640" s="216" t="s">
        <v>74</v>
      </c>
      <c r="G640" s="216" t="s">
        <v>280</v>
      </c>
      <c r="H640" s="216">
        <v>14.0</v>
      </c>
      <c r="I640" s="216" t="s">
        <v>34</v>
      </c>
      <c r="J640" s="216" t="s">
        <v>272</v>
      </c>
      <c r="K640" s="11" t="s">
        <v>36</v>
      </c>
      <c r="L640" s="217"/>
      <c r="M640" s="217"/>
      <c r="N640" s="216" t="s">
        <v>340</v>
      </c>
      <c r="O640" s="216" t="s">
        <v>189</v>
      </c>
      <c r="P640" s="216" t="s">
        <v>898</v>
      </c>
      <c r="Q640" s="218"/>
      <c r="R640" s="202">
        <v>2500.0</v>
      </c>
      <c r="S640" s="17">
        <f>FRESADO!$R640*FRESADO!$E640</f>
        <v>2500</v>
      </c>
      <c r="T640" s="17">
        <f>FRESADO!$S640*16%</f>
        <v>400</v>
      </c>
      <c r="U640" s="17">
        <f>FRESADO!$S640+FRESADO!$T640</f>
        <v>2900</v>
      </c>
      <c r="V640" s="34" t="s">
        <v>899</v>
      </c>
      <c r="W640" s="104"/>
      <c r="X640" s="104"/>
      <c r="Y640" s="30"/>
      <c r="Z640" s="31" t="s">
        <v>77</v>
      </c>
    </row>
    <row r="641" ht="15.75" customHeight="1">
      <c r="A641" s="6">
        <v>30.0</v>
      </c>
      <c r="B641" s="213">
        <v>36.0</v>
      </c>
      <c r="C641" s="214">
        <v>1629.0</v>
      </c>
      <c r="D641" s="215">
        <v>46224.0</v>
      </c>
      <c r="E641" s="216">
        <v>1.0</v>
      </c>
      <c r="F641" s="216" t="s">
        <v>74</v>
      </c>
      <c r="G641" s="216" t="s">
        <v>347</v>
      </c>
      <c r="H641" s="216">
        <v>14.0</v>
      </c>
      <c r="I641" s="216" t="s">
        <v>34</v>
      </c>
      <c r="J641" s="216" t="s">
        <v>70</v>
      </c>
      <c r="K641" s="11" t="s">
        <v>36</v>
      </c>
      <c r="L641" s="217"/>
      <c r="M641" s="217"/>
      <c r="N641" s="216" t="s">
        <v>340</v>
      </c>
      <c r="O641" s="216" t="s">
        <v>189</v>
      </c>
      <c r="P641" s="216" t="s">
        <v>898</v>
      </c>
      <c r="Q641" s="218"/>
      <c r="R641" s="202">
        <v>2500.0</v>
      </c>
      <c r="S641" s="17">
        <f>FRESADO!$R641*FRESADO!$E641</f>
        <v>2500</v>
      </c>
      <c r="T641" s="17">
        <f>FRESADO!$S641*16%</f>
        <v>400</v>
      </c>
      <c r="U641" s="17">
        <f>FRESADO!$S641+FRESADO!$T641</f>
        <v>2900</v>
      </c>
      <c r="V641" s="34" t="s">
        <v>899</v>
      </c>
      <c r="W641" s="104"/>
      <c r="X641" s="104"/>
      <c r="Y641" s="30"/>
      <c r="Z641" s="31" t="s">
        <v>77</v>
      </c>
    </row>
    <row r="642" ht="15.75" customHeight="1">
      <c r="A642" s="6">
        <v>30.0</v>
      </c>
      <c r="B642" s="213">
        <v>37.0</v>
      </c>
      <c r="C642" s="214">
        <v>1630.0</v>
      </c>
      <c r="D642" s="215">
        <v>46224.0</v>
      </c>
      <c r="E642" s="216">
        <v>1.0</v>
      </c>
      <c r="F642" s="216" t="s">
        <v>74</v>
      </c>
      <c r="G642" s="216" t="s">
        <v>277</v>
      </c>
      <c r="H642" s="216">
        <v>14.0</v>
      </c>
      <c r="I642" s="216" t="s">
        <v>34</v>
      </c>
      <c r="J642" s="216" t="s">
        <v>278</v>
      </c>
      <c r="K642" s="11" t="s">
        <v>36</v>
      </c>
      <c r="L642" s="217"/>
      <c r="M642" s="217"/>
      <c r="N642" s="216" t="s">
        <v>340</v>
      </c>
      <c r="O642" s="216" t="s">
        <v>189</v>
      </c>
      <c r="P642" s="216" t="s">
        <v>898</v>
      </c>
      <c r="Q642" s="218"/>
      <c r="R642" s="202">
        <v>2500.0</v>
      </c>
      <c r="S642" s="17">
        <f>FRESADO!$R642*FRESADO!$E642</f>
        <v>2500</v>
      </c>
      <c r="T642" s="17">
        <f>FRESADO!$S642*16%</f>
        <v>400</v>
      </c>
      <c r="U642" s="17">
        <f>FRESADO!$S642+FRESADO!$T642</f>
        <v>2900</v>
      </c>
      <c r="V642" s="34" t="s">
        <v>899</v>
      </c>
      <c r="W642" s="104"/>
      <c r="X642" s="104"/>
      <c r="Y642" s="30"/>
      <c r="Z642" s="31" t="s">
        <v>77</v>
      </c>
    </row>
    <row r="643" ht="15.75" customHeight="1">
      <c r="A643" s="6">
        <v>30.0</v>
      </c>
      <c r="B643" s="213">
        <v>38.0</v>
      </c>
      <c r="C643" s="214">
        <v>1631.0</v>
      </c>
      <c r="D643" s="215">
        <v>46224.0</v>
      </c>
      <c r="E643" s="216">
        <v>1.0</v>
      </c>
      <c r="F643" s="216" t="s">
        <v>74</v>
      </c>
      <c r="G643" s="216" t="s">
        <v>280</v>
      </c>
      <c r="H643" s="216">
        <v>14.0</v>
      </c>
      <c r="I643" s="216" t="s">
        <v>34</v>
      </c>
      <c r="J643" s="216" t="s">
        <v>272</v>
      </c>
      <c r="K643" s="11" t="s">
        <v>36</v>
      </c>
      <c r="L643" s="217"/>
      <c r="M643" s="217"/>
      <c r="N643" s="216" t="s">
        <v>340</v>
      </c>
      <c r="O643" s="216" t="s">
        <v>189</v>
      </c>
      <c r="P643" s="216" t="s">
        <v>898</v>
      </c>
      <c r="Q643" s="218"/>
      <c r="R643" s="202">
        <v>2500.0</v>
      </c>
      <c r="S643" s="17">
        <f>FRESADO!$R643*FRESADO!$E643</f>
        <v>2500</v>
      </c>
      <c r="T643" s="17">
        <f>FRESADO!$S643*16%</f>
        <v>400</v>
      </c>
      <c r="U643" s="17">
        <f>FRESADO!$S643+FRESADO!$T643</f>
        <v>2900</v>
      </c>
      <c r="V643" s="34" t="s">
        <v>899</v>
      </c>
      <c r="W643" s="104"/>
      <c r="X643" s="104"/>
      <c r="Y643" s="30"/>
      <c r="Z643" s="31" t="s">
        <v>77</v>
      </c>
    </row>
    <row r="644" ht="15.75" customHeight="1">
      <c r="A644" s="6">
        <v>30.0</v>
      </c>
      <c r="B644" s="213">
        <v>39.0</v>
      </c>
      <c r="C644" s="214">
        <v>1632.0</v>
      </c>
      <c r="D644" s="215">
        <v>46224.0</v>
      </c>
      <c r="E644" s="216">
        <v>1.0</v>
      </c>
      <c r="F644" s="216" t="s">
        <v>74</v>
      </c>
      <c r="G644" s="216" t="s">
        <v>690</v>
      </c>
      <c r="H644" s="216">
        <v>14.0</v>
      </c>
      <c r="I644" s="216" t="s">
        <v>34</v>
      </c>
      <c r="J644" s="216" t="s">
        <v>691</v>
      </c>
      <c r="K644" s="11" t="s">
        <v>36</v>
      </c>
      <c r="L644" s="217"/>
      <c r="M644" s="217"/>
      <c r="N644" s="216" t="s">
        <v>340</v>
      </c>
      <c r="O644" s="216" t="s">
        <v>189</v>
      </c>
      <c r="P644" s="216" t="s">
        <v>898</v>
      </c>
      <c r="Q644" s="218"/>
      <c r="R644" s="202">
        <v>2500.0</v>
      </c>
      <c r="S644" s="17">
        <f>FRESADO!$R644*FRESADO!$E644</f>
        <v>2500</v>
      </c>
      <c r="T644" s="17">
        <f>FRESADO!$S644*16%</f>
        <v>400</v>
      </c>
      <c r="U644" s="17">
        <f>FRESADO!$S644+FRESADO!$T644</f>
        <v>2900</v>
      </c>
      <c r="V644" s="34" t="s">
        <v>899</v>
      </c>
      <c r="W644" s="104"/>
      <c r="X644" s="104"/>
      <c r="Y644" s="30"/>
      <c r="Z644" s="31" t="s">
        <v>77</v>
      </c>
    </row>
    <row r="645" ht="15.75" customHeight="1">
      <c r="A645" s="6">
        <v>30.0</v>
      </c>
      <c r="B645" s="213">
        <v>40.0</v>
      </c>
      <c r="C645" s="214">
        <v>1633.0</v>
      </c>
      <c r="D645" s="215">
        <v>46224.0</v>
      </c>
      <c r="E645" s="216">
        <v>1.0</v>
      </c>
      <c r="F645" s="216" t="s">
        <v>74</v>
      </c>
      <c r="G645" s="216" t="s">
        <v>277</v>
      </c>
      <c r="H645" s="216">
        <v>14.0</v>
      </c>
      <c r="I645" s="216" t="s">
        <v>34</v>
      </c>
      <c r="J645" s="216" t="s">
        <v>278</v>
      </c>
      <c r="K645" s="11" t="s">
        <v>36</v>
      </c>
      <c r="L645" s="217"/>
      <c r="M645" s="217"/>
      <c r="N645" s="216" t="s">
        <v>340</v>
      </c>
      <c r="O645" s="216" t="s">
        <v>189</v>
      </c>
      <c r="P645" s="216" t="s">
        <v>898</v>
      </c>
      <c r="Q645" s="218"/>
      <c r="R645" s="202">
        <v>2500.0</v>
      </c>
      <c r="S645" s="17">
        <f>FRESADO!$R645*FRESADO!$E645</f>
        <v>2500</v>
      </c>
      <c r="T645" s="17">
        <f>FRESADO!$S645*16%</f>
        <v>400</v>
      </c>
      <c r="U645" s="17">
        <f>FRESADO!$S645+FRESADO!$T645</f>
        <v>2900</v>
      </c>
      <c r="V645" s="34" t="s">
        <v>899</v>
      </c>
      <c r="W645" s="104"/>
      <c r="X645" s="104"/>
      <c r="Y645" s="30"/>
      <c r="Z645" s="31" t="s">
        <v>77</v>
      </c>
    </row>
    <row r="646" ht="15.75" customHeight="1">
      <c r="A646" s="6">
        <v>30.0</v>
      </c>
      <c r="B646" s="213">
        <v>41.0</v>
      </c>
      <c r="C646" s="214">
        <v>1634.0</v>
      </c>
      <c r="D646" s="215">
        <v>46224.0</v>
      </c>
      <c r="E646" s="216">
        <v>1.0</v>
      </c>
      <c r="F646" s="216" t="s">
        <v>74</v>
      </c>
      <c r="G646" s="216" t="s">
        <v>900</v>
      </c>
      <c r="H646" s="216">
        <v>14.0</v>
      </c>
      <c r="I646" s="216" t="s">
        <v>34</v>
      </c>
      <c r="J646" s="216" t="s">
        <v>94</v>
      </c>
      <c r="K646" s="11" t="s">
        <v>36</v>
      </c>
      <c r="L646" s="217"/>
      <c r="M646" s="217"/>
      <c r="N646" s="216" t="s">
        <v>340</v>
      </c>
      <c r="O646" s="216" t="s">
        <v>189</v>
      </c>
      <c r="P646" s="216" t="s">
        <v>898</v>
      </c>
      <c r="Q646" s="218"/>
      <c r="R646" s="202">
        <v>2500.0</v>
      </c>
      <c r="S646" s="17">
        <f>FRESADO!$R646*FRESADO!$E646</f>
        <v>2500</v>
      </c>
      <c r="T646" s="17">
        <f>FRESADO!$S646*16%</f>
        <v>400</v>
      </c>
      <c r="U646" s="17">
        <f>FRESADO!$S646+FRESADO!$T646</f>
        <v>2900</v>
      </c>
      <c r="V646" s="34" t="s">
        <v>899</v>
      </c>
      <c r="W646" s="104"/>
      <c r="X646" s="104"/>
      <c r="Y646" s="30"/>
      <c r="Z646" s="31" t="s">
        <v>77</v>
      </c>
    </row>
    <row r="647" ht="15.75" customHeight="1">
      <c r="A647" s="6">
        <v>30.0</v>
      </c>
      <c r="B647" s="213">
        <v>42.0</v>
      </c>
      <c r="C647" s="214">
        <v>1635.0</v>
      </c>
      <c r="D647" s="215">
        <v>46224.0</v>
      </c>
      <c r="E647" s="216">
        <v>1.0</v>
      </c>
      <c r="F647" s="216" t="s">
        <v>74</v>
      </c>
      <c r="G647" s="216" t="s">
        <v>238</v>
      </c>
      <c r="H647" s="216">
        <v>14.0</v>
      </c>
      <c r="I647" s="216" t="s">
        <v>34</v>
      </c>
      <c r="J647" s="216" t="s">
        <v>89</v>
      </c>
      <c r="K647" s="11" t="s">
        <v>36</v>
      </c>
      <c r="L647" s="217"/>
      <c r="M647" s="217"/>
      <c r="N647" s="216" t="s">
        <v>340</v>
      </c>
      <c r="O647" s="216" t="s">
        <v>189</v>
      </c>
      <c r="P647" s="216" t="s">
        <v>898</v>
      </c>
      <c r="Q647" s="218"/>
      <c r="R647" s="202">
        <v>2500.0</v>
      </c>
      <c r="S647" s="17">
        <f>FRESADO!$R647*FRESADO!$E647</f>
        <v>2500</v>
      </c>
      <c r="T647" s="17">
        <f>FRESADO!$S647*16%</f>
        <v>400</v>
      </c>
      <c r="U647" s="17">
        <f>FRESADO!$S647+FRESADO!$T647</f>
        <v>2900</v>
      </c>
      <c r="V647" s="34" t="s">
        <v>899</v>
      </c>
      <c r="W647" s="104"/>
      <c r="X647" s="104"/>
      <c r="Y647" s="30"/>
      <c r="Z647" s="31" t="s">
        <v>77</v>
      </c>
    </row>
    <row r="648" ht="15.75" customHeight="1">
      <c r="A648" s="6">
        <v>30.0</v>
      </c>
      <c r="B648" s="213">
        <v>43.0</v>
      </c>
      <c r="C648" s="214">
        <v>1636.0</v>
      </c>
      <c r="D648" s="215">
        <v>46224.0</v>
      </c>
      <c r="E648" s="216">
        <v>1.0</v>
      </c>
      <c r="F648" s="216" t="s">
        <v>74</v>
      </c>
      <c r="G648" s="216" t="s">
        <v>192</v>
      </c>
      <c r="H648" s="216">
        <v>14.0</v>
      </c>
      <c r="I648" s="216" t="s">
        <v>34</v>
      </c>
      <c r="J648" s="216" t="s">
        <v>41</v>
      </c>
      <c r="K648" s="11" t="s">
        <v>36</v>
      </c>
      <c r="L648" s="217"/>
      <c r="M648" s="217"/>
      <c r="N648" s="216" t="s">
        <v>340</v>
      </c>
      <c r="O648" s="216" t="s">
        <v>189</v>
      </c>
      <c r="P648" s="216" t="s">
        <v>898</v>
      </c>
      <c r="Q648" s="218"/>
      <c r="R648" s="202">
        <v>2500.0</v>
      </c>
      <c r="S648" s="17">
        <f>FRESADO!$R648*FRESADO!$E648</f>
        <v>2500</v>
      </c>
      <c r="T648" s="17">
        <f>FRESADO!$S648*16%</f>
        <v>400</v>
      </c>
      <c r="U648" s="17">
        <f>FRESADO!$S648+FRESADO!$T648</f>
        <v>2900</v>
      </c>
      <c r="V648" s="34" t="s">
        <v>899</v>
      </c>
      <c r="W648" s="104"/>
      <c r="X648" s="104"/>
      <c r="Y648" s="30"/>
      <c r="Z648" s="31" t="s">
        <v>77</v>
      </c>
    </row>
    <row r="649" ht="15.75" customHeight="1">
      <c r="A649" s="6">
        <v>30.0</v>
      </c>
      <c r="B649" s="213">
        <v>44.0</v>
      </c>
      <c r="C649" s="214">
        <v>1637.0</v>
      </c>
      <c r="D649" s="215">
        <v>46224.0</v>
      </c>
      <c r="E649" s="216">
        <v>1.0</v>
      </c>
      <c r="F649" s="216" t="s">
        <v>74</v>
      </c>
      <c r="G649" s="216" t="s">
        <v>280</v>
      </c>
      <c r="H649" s="216">
        <v>14.0</v>
      </c>
      <c r="I649" s="216" t="s">
        <v>34</v>
      </c>
      <c r="J649" s="216" t="s">
        <v>272</v>
      </c>
      <c r="K649" s="11" t="s">
        <v>36</v>
      </c>
      <c r="L649" s="217"/>
      <c r="M649" s="217"/>
      <c r="N649" s="216" t="s">
        <v>340</v>
      </c>
      <c r="O649" s="216" t="s">
        <v>189</v>
      </c>
      <c r="P649" s="216" t="s">
        <v>898</v>
      </c>
      <c r="Q649" s="218"/>
      <c r="R649" s="202">
        <v>2500.0</v>
      </c>
      <c r="S649" s="17">
        <f>FRESADO!$R649*FRESADO!$E649</f>
        <v>2500</v>
      </c>
      <c r="T649" s="17">
        <f>FRESADO!$S649*16%</f>
        <v>400</v>
      </c>
      <c r="U649" s="17">
        <f>FRESADO!$S649+FRESADO!$T649</f>
        <v>2900</v>
      </c>
      <c r="V649" s="34" t="s">
        <v>899</v>
      </c>
      <c r="W649" s="104"/>
      <c r="X649" s="104"/>
      <c r="Y649" s="30"/>
      <c r="Z649" s="31" t="s">
        <v>77</v>
      </c>
    </row>
    <row r="650" ht="15.75" customHeight="1">
      <c r="A650" s="6">
        <v>30.0</v>
      </c>
      <c r="B650" s="213">
        <v>45.0</v>
      </c>
      <c r="C650" s="214">
        <v>1638.0</v>
      </c>
      <c r="D650" s="215">
        <v>46224.0</v>
      </c>
      <c r="E650" s="216">
        <v>1.0</v>
      </c>
      <c r="F650" s="216" t="s">
        <v>74</v>
      </c>
      <c r="G650" s="216" t="s">
        <v>347</v>
      </c>
      <c r="H650" s="216">
        <v>14.0</v>
      </c>
      <c r="I650" s="216" t="s">
        <v>34</v>
      </c>
      <c r="J650" s="216" t="s">
        <v>70</v>
      </c>
      <c r="K650" s="11" t="s">
        <v>36</v>
      </c>
      <c r="L650" s="217"/>
      <c r="M650" s="217"/>
      <c r="N650" s="216" t="s">
        <v>340</v>
      </c>
      <c r="O650" s="216" t="s">
        <v>189</v>
      </c>
      <c r="P650" s="216" t="s">
        <v>898</v>
      </c>
      <c r="Q650" s="218"/>
      <c r="R650" s="202">
        <v>2500.0</v>
      </c>
      <c r="S650" s="17">
        <f>FRESADO!$R650*FRESADO!$E650</f>
        <v>2500</v>
      </c>
      <c r="T650" s="17">
        <f>FRESADO!$S650*16%</f>
        <v>400</v>
      </c>
      <c r="U650" s="17">
        <f>FRESADO!$S650+FRESADO!$T650</f>
        <v>2900</v>
      </c>
      <c r="V650" s="34" t="s">
        <v>899</v>
      </c>
      <c r="W650" s="104"/>
      <c r="X650" s="104"/>
      <c r="Y650" s="30"/>
      <c r="Z650" s="31" t="s">
        <v>77</v>
      </c>
    </row>
    <row r="651" ht="15.75" customHeight="1">
      <c r="A651" s="6">
        <v>30.0</v>
      </c>
      <c r="B651" s="213">
        <v>46.0</v>
      </c>
      <c r="C651" s="214">
        <v>1639.0</v>
      </c>
      <c r="D651" s="215">
        <v>46224.0</v>
      </c>
      <c r="E651" s="216">
        <v>1.0</v>
      </c>
      <c r="F651" s="216" t="s">
        <v>74</v>
      </c>
      <c r="G651" s="216" t="s">
        <v>690</v>
      </c>
      <c r="H651" s="216">
        <v>14.0</v>
      </c>
      <c r="I651" s="216" t="s">
        <v>34</v>
      </c>
      <c r="J651" s="216" t="s">
        <v>691</v>
      </c>
      <c r="K651" s="11" t="s">
        <v>36</v>
      </c>
      <c r="L651" s="217"/>
      <c r="M651" s="217"/>
      <c r="N651" s="216" t="s">
        <v>340</v>
      </c>
      <c r="O651" s="216" t="s">
        <v>189</v>
      </c>
      <c r="P651" s="216" t="s">
        <v>898</v>
      </c>
      <c r="Q651" s="218"/>
      <c r="R651" s="202">
        <v>2500.0</v>
      </c>
      <c r="S651" s="17">
        <f>FRESADO!$R651*FRESADO!$E651</f>
        <v>2500</v>
      </c>
      <c r="T651" s="17">
        <f>FRESADO!$S651*16%</f>
        <v>400</v>
      </c>
      <c r="U651" s="17">
        <f>FRESADO!$S651+FRESADO!$T651</f>
        <v>2900</v>
      </c>
      <c r="V651" s="34" t="s">
        <v>899</v>
      </c>
      <c r="W651" s="104"/>
      <c r="X651" s="104"/>
      <c r="Y651" s="30"/>
      <c r="Z651" s="31" t="s">
        <v>77</v>
      </c>
    </row>
    <row r="652" ht="15.75" customHeight="1">
      <c r="A652" s="6">
        <v>30.0</v>
      </c>
      <c r="B652" s="213">
        <v>47.0</v>
      </c>
      <c r="C652" s="214">
        <v>1640.0</v>
      </c>
      <c r="D652" s="215">
        <v>46224.0</v>
      </c>
      <c r="E652" s="216">
        <v>1.0</v>
      </c>
      <c r="F652" s="216" t="s">
        <v>74</v>
      </c>
      <c r="G652" s="216" t="s">
        <v>277</v>
      </c>
      <c r="H652" s="216">
        <v>14.0</v>
      </c>
      <c r="I652" s="216" t="s">
        <v>34</v>
      </c>
      <c r="J652" s="216" t="s">
        <v>278</v>
      </c>
      <c r="K652" s="11" t="s">
        <v>36</v>
      </c>
      <c r="L652" s="217"/>
      <c r="M652" s="217"/>
      <c r="N652" s="216" t="s">
        <v>340</v>
      </c>
      <c r="O652" s="216" t="s">
        <v>189</v>
      </c>
      <c r="P652" s="216" t="s">
        <v>898</v>
      </c>
      <c r="Q652" s="218"/>
      <c r="R652" s="202">
        <v>2500.0</v>
      </c>
      <c r="S652" s="17">
        <f>FRESADO!$R652*FRESADO!$E652</f>
        <v>2500</v>
      </c>
      <c r="T652" s="17">
        <f>FRESADO!$S652*16%</f>
        <v>400</v>
      </c>
      <c r="U652" s="17">
        <f>FRESADO!$S652+FRESADO!$T652</f>
        <v>2900</v>
      </c>
      <c r="V652" s="34" t="s">
        <v>899</v>
      </c>
      <c r="W652" s="104"/>
      <c r="X652" s="104"/>
      <c r="Y652" s="30"/>
      <c r="Z652" s="31" t="s">
        <v>77</v>
      </c>
    </row>
    <row r="653" ht="15.75" customHeight="1">
      <c r="A653" s="6">
        <v>30.0</v>
      </c>
      <c r="B653" s="213">
        <v>48.0</v>
      </c>
      <c r="C653" s="214">
        <v>1641.0</v>
      </c>
      <c r="D653" s="215">
        <v>46224.0</v>
      </c>
      <c r="E653" s="216">
        <v>1.0</v>
      </c>
      <c r="F653" s="216" t="s">
        <v>74</v>
      </c>
      <c r="G653" s="216" t="s">
        <v>900</v>
      </c>
      <c r="H653" s="216">
        <v>14.0</v>
      </c>
      <c r="I653" s="216" t="s">
        <v>34</v>
      </c>
      <c r="J653" s="216" t="s">
        <v>94</v>
      </c>
      <c r="K653" s="11" t="s">
        <v>36</v>
      </c>
      <c r="L653" s="217"/>
      <c r="M653" s="217"/>
      <c r="N653" s="216" t="s">
        <v>340</v>
      </c>
      <c r="O653" s="216" t="s">
        <v>189</v>
      </c>
      <c r="P653" s="216" t="s">
        <v>898</v>
      </c>
      <c r="Q653" s="218"/>
      <c r="R653" s="202">
        <v>2500.0</v>
      </c>
      <c r="S653" s="17">
        <f>FRESADO!$R653*FRESADO!$E653</f>
        <v>2500</v>
      </c>
      <c r="T653" s="17">
        <f>FRESADO!$S653*16%</f>
        <v>400</v>
      </c>
      <c r="U653" s="17">
        <f>FRESADO!$S653+FRESADO!$T653</f>
        <v>2900</v>
      </c>
      <c r="V653" s="34" t="s">
        <v>899</v>
      </c>
      <c r="W653" s="104"/>
      <c r="X653" s="104"/>
      <c r="Y653" s="30"/>
      <c r="Z653" s="31" t="s">
        <v>77</v>
      </c>
    </row>
    <row r="654" ht="15.75" customHeight="1">
      <c r="A654" s="6">
        <v>30.0</v>
      </c>
      <c r="B654" s="213">
        <v>49.0</v>
      </c>
      <c r="C654" s="214">
        <v>1642.0</v>
      </c>
      <c r="D654" s="215">
        <v>46224.0</v>
      </c>
      <c r="E654" s="216">
        <v>1.0</v>
      </c>
      <c r="F654" s="216" t="s">
        <v>74</v>
      </c>
      <c r="G654" s="216" t="s">
        <v>238</v>
      </c>
      <c r="H654" s="216">
        <v>14.0</v>
      </c>
      <c r="I654" s="216" t="s">
        <v>34</v>
      </c>
      <c r="J654" s="216" t="s">
        <v>89</v>
      </c>
      <c r="K654" s="11" t="s">
        <v>36</v>
      </c>
      <c r="L654" s="217"/>
      <c r="M654" s="217"/>
      <c r="N654" s="216" t="s">
        <v>340</v>
      </c>
      <c r="O654" s="216" t="s">
        <v>189</v>
      </c>
      <c r="P654" s="216" t="s">
        <v>898</v>
      </c>
      <c r="Q654" s="218"/>
      <c r="R654" s="202">
        <v>2500.0</v>
      </c>
      <c r="S654" s="17">
        <f>FRESADO!$R654*FRESADO!$E654</f>
        <v>2500</v>
      </c>
      <c r="T654" s="17">
        <f>FRESADO!$S654*16%</f>
        <v>400</v>
      </c>
      <c r="U654" s="17">
        <f>FRESADO!$S654+FRESADO!$T654</f>
        <v>2900</v>
      </c>
      <c r="V654" s="34" t="s">
        <v>899</v>
      </c>
      <c r="W654" s="104"/>
      <c r="X654" s="104"/>
      <c r="Y654" s="30"/>
      <c r="Z654" s="31" t="s">
        <v>77</v>
      </c>
    </row>
    <row r="655" ht="15.75" customHeight="1">
      <c r="A655" s="6">
        <v>30.0</v>
      </c>
      <c r="B655" s="213">
        <v>50.0</v>
      </c>
      <c r="C655" s="214">
        <v>1644.0</v>
      </c>
      <c r="D655" s="215">
        <v>46224.0</v>
      </c>
      <c r="E655" s="216">
        <v>1.0</v>
      </c>
      <c r="F655" s="216" t="s">
        <v>73</v>
      </c>
      <c r="G655" s="216" t="s">
        <v>887</v>
      </c>
      <c r="H655" s="93">
        <v>10.0</v>
      </c>
      <c r="I655" s="216" t="s">
        <v>34</v>
      </c>
      <c r="J655" s="216" t="s">
        <v>888</v>
      </c>
      <c r="K655" s="11" t="s">
        <v>36</v>
      </c>
      <c r="L655" s="217"/>
      <c r="M655" s="217"/>
      <c r="N655" s="216" t="s">
        <v>340</v>
      </c>
      <c r="O655" s="216" t="s">
        <v>189</v>
      </c>
      <c r="P655" s="216" t="s">
        <v>898</v>
      </c>
      <c r="Q655" s="218" t="s">
        <v>902</v>
      </c>
      <c r="R655" s="202">
        <v>4500.0</v>
      </c>
      <c r="S655" s="17">
        <f>FRESADO!$R655*FRESADO!$E655</f>
        <v>4500</v>
      </c>
      <c r="T655" s="17">
        <f>FRESADO!$S655*16%</f>
        <v>720</v>
      </c>
      <c r="U655" s="17">
        <f>FRESADO!$S655+FRESADO!$T655</f>
        <v>5220</v>
      </c>
      <c r="V655" s="34" t="s">
        <v>899</v>
      </c>
      <c r="W655" s="104"/>
      <c r="X655" s="104"/>
      <c r="Y655" s="30"/>
    </row>
    <row r="656" ht="15.75" customHeight="1">
      <c r="A656" s="6">
        <v>30.0</v>
      </c>
      <c r="B656" s="213">
        <v>51.0</v>
      </c>
      <c r="C656" s="182">
        <v>1643.0</v>
      </c>
      <c r="D656" s="222">
        <v>46224.0</v>
      </c>
      <c r="E656" s="216">
        <v>1.0</v>
      </c>
      <c r="F656" s="149" t="s">
        <v>388</v>
      </c>
      <c r="G656" s="216" t="s">
        <v>583</v>
      </c>
      <c r="H656" s="93">
        <v>7.0</v>
      </c>
      <c r="I656" s="216" t="s">
        <v>34</v>
      </c>
      <c r="J656" s="216" t="s">
        <v>584</v>
      </c>
      <c r="K656" s="34" t="s">
        <v>50</v>
      </c>
      <c r="L656" s="217"/>
      <c r="M656" s="217"/>
      <c r="N656" s="216" t="s">
        <v>340</v>
      </c>
      <c r="O656" s="216" t="s">
        <v>189</v>
      </c>
      <c r="P656" s="216" t="s">
        <v>898</v>
      </c>
      <c r="Q656" s="218" t="s">
        <v>390</v>
      </c>
      <c r="R656" s="202">
        <v>4500.0</v>
      </c>
      <c r="S656" s="17">
        <f>FRESADO!$R656*FRESADO!$E656</f>
        <v>4500</v>
      </c>
      <c r="T656" s="17">
        <f>FRESADO!$S656*16%</f>
        <v>720</v>
      </c>
      <c r="U656" s="17">
        <f>FRESADO!$S656+FRESADO!$T656</f>
        <v>5220</v>
      </c>
      <c r="V656" s="52" t="s">
        <v>545</v>
      </c>
      <c r="W656" s="104"/>
      <c r="X656" s="104"/>
      <c r="Y656" s="30"/>
    </row>
    <row r="657" ht="15.75" customHeight="1">
      <c r="A657" s="6">
        <v>30.0</v>
      </c>
      <c r="B657" s="213">
        <v>52.0</v>
      </c>
      <c r="C657" s="216">
        <v>1645.0</v>
      </c>
      <c r="D657" s="215">
        <v>46225.0</v>
      </c>
      <c r="E657" s="216">
        <v>1.0</v>
      </c>
      <c r="F657" s="216" t="s">
        <v>74</v>
      </c>
      <c r="G657" s="216" t="s">
        <v>692</v>
      </c>
      <c r="H657" s="216">
        <v>14.0</v>
      </c>
      <c r="I657" s="216" t="s">
        <v>34</v>
      </c>
      <c r="J657" s="216" t="s">
        <v>693</v>
      </c>
      <c r="K657" s="11" t="s">
        <v>36</v>
      </c>
      <c r="L657" s="217"/>
      <c r="M657" s="217"/>
      <c r="N657" s="216" t="s">
        <v>398</v>
      </c>
      <c r="O657" s="216" t="s">
        <v>189</v>
      </c>
      <c r="P657" s="216" t="s">
        <v>898</v>
      </c>
      <c r="Q657" s="218" t="s">
        <v>399</v>
      </c>
      <c r="R657" s="202">
        <v>3855.0</v>
      </c>
      <c r="S657" s="17">
        <f>FRESADO!$R657*FRESADO!$E657</f>
        <v>3855</v>
      </c>
      <c r="T657" s="17">
        <f>FRESADO!$S657*16%</f>
        <v>616.8</v>
      </c>
      <c r="U657" s="17">
        <f>FRESADO!$S657+FRESADO!$T657</f>
        <v>4471.8</v>
      </c>
      <c r="V657" s="34" t="s">
        <v>899</v>
      </c>
      <c r="W657" s="104"/>
      <c r="X657" s="104"/>
      <c r="Y657" s="30"/>
      <c r="Z657" s="219" t="s">
        <v>399</v>
      </c>
    </row>
    <row r="658" ht="15.75" customHeight="1">
      <c r="A658" s="6">
        <v>30.0</v>
      </c>
      <c r="B658" s="213">
        <v>53.0</v>
      </c>
      <c r="C658" s="216">
        <v>1646.0</v>
      </c>
      <c r="D658" s="215">
        <v>46225.0</v>
      </c>
      <c r="E658" s="216">
        <v>1.0</v>
      </c>
      <c r="F658" s="216" t="s">
        <v>74</v>
      </c>
      <c r="G658" s="216" t="s">
        <v>280</v>
      </c>
      <c r="H658" s="216">
        <v>14.0</v>
      </c>
      <c r="I658" s="216" t="s">
        <v>34</v>
      </c>
      <c r="J658" s="216" t="s">
        <v>272</v>
      </c>
      <c r="K658" s="11" t="s">
        <v>36</v>
      </c>
      <c r="L658" s="217"/>
      <c r="M658" s="217"/>
      <c r="N658" s="216" t="s">
        <v>398</v>
      </c>
      <c r="O658" s="216" t="s">
        <v>189</v>
      </c>
      <c r="P658" s="216" t="s">
        <v>898</v>
      </c>
      <c r="Q658" s="218" t="s">
        <v>399</v>
      </c>
      <c r="R658" s="202">
        <v>3855.0</v>
      </c>
      <c r="S658" s="17">
        <f>FRESADO!$R658*FRESADO!$E658</f>
        <v>3855</v>
      </c>
      <c r="T658" s="17">
        <f>FRESADO!$S658*16%</f>
        <v>616.8</v>
      </c>
      <c r="U658" s="17">
        <f>FRESADO!$S658+FRESADO!$T658</f>
        <v>4471.8</v>
      </c>
      <c r="V658" s="34" t="s">
        <v>899</v>
      </c>
      <c r="W658" s="104"/>
      <c r="X658" s="104"/>
      <c r="Y658" s="30"/>
      <c r="Z658" s="219" t="s">
        <v>399</v>
      </c>
    </row>
    <row r="659" ht="15.75" customHeight="1">
      <c r="A659" s="6">
        <v>30.0</v>
      </c>
      <c r="B659" s="213">
        <v>54.0</v>
      </c>
      <c r="C659" s="216">
        <v>1647.0</v>
      </c>
      <c r="D659" s="215">
        <v>46225.0</v>
      </c>
      <c r="E659" s="216">
        <v>1.0</v>
      </c>
      <c r="F659" s="216" t="s">
        <v>74</v>
      </c>
      <c r="G659" s="216" t="s">
        <v>192</v>
      </c>
      <c r="H659" s="216">
        <v>14.0</v>
      </c>
      <c r="I659" s="216" t="s">
        <v>34</v>
      </c>
      <c r="J659" s="216" t="s">
        <v>41</v>
      </c>
      <c r="K659" s="11" t="s">
        <v>36</v>
      </c>
      <c r="L659" s="217"/>
      <c r="M659" s="217"/>
      <c r="N659" s="216" t="s">
        <v>398</v>
      </c>
      <c r="O659" s="216" t="s">
        <v>189</v>
      </c>
      <c r="P659" s="216" t="s">
        <v>898</v>
      </c>
      <c r="Q659" s="218" t="s">
        <v>399</v>
      </c>
      <c r="R659" s="202">
        <v>3855.0</v>
      </c>
      <c r="S659" s="17">
        <f>FRESADO!$R659*FRESADO!$E659</f>
        <v>3855</v>
      </c>
      <c r="T659" s="17">
        <f>FRESADO!$S659*16%</f>
        <v>616.8</v>
      </c>
      <c r="U659" s="17">
        <f>FRESADO!$S659+FRESADO!$T659</f>
        <v>4471.8</v>
      </c>
      <c r="V659" s="34" t="s">
        <v>899</v>
      </c>
      <c r="W659" s="104"/>
      <c r="X659" s="104"/>
      <c r="Y659" s="30"/>
      <c r="Z659" s="219" t="s">
        <v>399</v>
      </c>
    </row>
    <row r="660" ht="15.75" customHeight="1">
      <c r="A660" s="6">
        <v>30.0</v>
      </c>
      <c r="B660" s="213">
        <v>55.0</v>
      </c>
      <c r="C660" s="214">
        <v>1648.0</v>
      </c>
      <c r="D660" s="215">
        <v>46225.0</v>
      </c>
      <c r="E660" s="216">
        <v>1.0</v>
      </c>
      <c r="F660" s="216" t="s">
        <v>74</v>
      </c>
      <c r="G660" s="216" t="s">
        <v>347</v>
      </c>
      <c r="H660" s="216">
        <v>14.0</v>
      </c>
      <c r="I660" s="216" t="s">
        <v>34</v>
      </c>
      <c r="J660" s="216" t="s">
        <v>70</v>
      </c>
      <c r="K660" s="11" t="s">
        <v>36</v>
      </c>
      <c r="L660" s="217"/>
      <c r="M660" s="217"/>
      <c r="N660" s="216" t="s">
        <v>340</v>
      </c>
      <c r="O660" s="216" t="s">
        <v>189</v>
      </c>
      <c r="P660" s="216" t="s">
        <v>898</v>
      </c>
      <c r="Q660" s="218"/>
      <c r="R660" s="202">
        <v>2500.0</v>
      </c>
      <c r="S660" s="17">
        <f>FRESADO!$R660*FRESADO!$E660</f>
        <v>2500</v>
      </c>
      <c r="T660" s="17">
        <f>FRESADO!$S660*16%</f>
        <v>400</v>
      </c>
      <c r="U660" s="17">
        <f>FRESADO!$S660+FRESADO!$T660</f>
        <v>2900</v>
      </c>
      <c r="V660" s="34" t="s">
        <v>899</v>
      </c>
      <c r="W660" s="104"/>
      <c r="X660" s="104"/>
      <c r="Y660" s="30"/>
      <c r="Z660" s="31" t="s">
        <v>77</v>
      </c>
    </row>
    <row r="661" ht="15.75" customHeight="1">
      <c r="A661" s="6">
        <v>30.0</v>
      </c>
      <c r="B661" s="213">
        <v>56.0</v>
      </c>
      <c r="C661" s="214">
        <v>1649.0</v>
      </c>
      <c r="D661" s="215">
        <v>46225.0</v>
      </c>
      <c r="E661" s="216">
        <v>1.0</v>
      </c>
      <c r="F661" s="216" t="s">
        <v>74</v>
      </c>
      <c r="G661" s="216" t="s">
        <v>690</v>
      </c>
      <c r="H661" s="216">
        <v>14.0</v>
      </c>
      <c r="I661" s="216" t="s">
        <v>34</v>
      </c>
      <c r="J661" s="216" t="s">
        <v>691</v>
      </c>
      <c r="K661" s="11" t="s">
        <v>36</v>
      </c>
      <c r="L661" s="217"/>
      <c r="M661" s="217"/>
      <c r="N661" s="216" t="s">
        <v>340</v>
      </c>
      <c r="O661" s="216" t="s">
        <v>189</v>
      </c>
      <c r="P661" s="216" t="s">
        <v>898</v>
      </c>
      <c r="Q661" s="218"/>
      <c r="R661" s="202">
        <v>2500.0</v>
      </c>
      <c r="S661" s="17">
        <f>FRESADO!$R661*FRESADO!$E661</f>
        <v>2500</v>
      </c>
      <c r="T661" s="17">
        <f>FRESADO!$S661*16%</f>
        <v>400</v>
      </c>
      <c r="U661" s="17">
        <f>FRESADO!$S661+FRESADO!$T661</f>
        <v>2900</v>
      </c>
      <c r="V661" s="34" t="s">
        <v>899</v>
      </c>
      <c r="W661" s="104"/>
      <c r="X661" s="104"/>
      <c r="Y661" s="30"/>
      <c r="Z661" s="31" t="s">
        <v>77</v>
      </c>
    </row>
    <row r="662" ht="15.75" customHeight="1">
      <c r="A662" s="6">
        <v>30.0</v>
      </c>
      <c r="B662" s="213">
        <v>57.0</v>
      </c>
      <c r="C662" s="216">
        <v>1650.0</v>
      </c>
      <c r="D662" s="215">
        <v>46225.0</v>
      </c>
      <c r="E662" s="216">
        <v>1.0</v>
      </c>
      <c r="F662" s="216" t="s">
        <v>74</v>
      </c>
      <c r="G662" s="216" t="s">
        <v>900</v>
      </c>
      <c r="H662" s="216">
        <v>14.0</v>
      </c>
      <c r="I662" s="216" t="s">
        <v>34</v>
      </c>
      <c r="J662" s="216" t="s">
        <v>94</v>
      </c>
      <c r="K662" s="11" t="s">
        <v>36</v>
      </c>
      <c r="L662" s="217"/>
      <c r="M662" s="217"/>
      <c r="N662" s="216" t="s">
        <v>398</v>
      </c>
      <c r="O662" s="216" t="s">
        <v>189</v>
      </c>
      <c r="P662" s="216" t="s">
        <v>898</v>
      </c>
      <c r="Q662" s="218" t="s">
        <v>399</v>
      </c>
      <c r="R662" s="202">
        <v>3355.0</v>
      </c>
      <c r="S662" s="17">
        <f>FRESADO!$R662*FRESADO!$E662</f>
        <v>3355</v>
      </c>
      <c r="T662" s="17">
        <f>FRESADO!$S662*16%</f>
        <v>536.8</v>
      </c>
      <c r="U662" s="17">
        <f>FRESADO!$S662+FRESADO!$T662</f>
        <v>3891.8</v>
      </c>
      <c r="V662" s="34" t="s">
        <v>899</v>
      </c>
      <c r="W662" s="104"/>
      <c r="X662" s="104"/>
      <c r="Y662" s="30"/>
      <c r="Z662" s="219" t="s">
        <v>399</v>
      </c>
    </row>
    <row r="663" ht="15.75" customHeight="1">
      <c r="A663" s="6">
        <v>30.0</v>
      </c>
      <c r="B663" s="213">
        <v>58.0</v>
      </c>
      <c r="C663" s="216">
        <v>1701.0</v>
      </c>
      <c r="D663" s="215">
        <v>46225.0</v>
      </c>
      <c r="E663" s="216">
        <v>1.0</v>
      </c>
      <c r="F663" s="216" t="s">
        <v>74</v>
      </c>
      <c r="G663" s="216" t="s">
        <v>238</v>
      </c>
      <c r="H663" s="216">
        <v>14.0</v>
      </c>
      <c r="I663" s="216" t="s">
        <v>34</v>
      </c>
      <c r="J663" s="216" t="s">
        <v>89</v>
      </c>
      <c r="K663" s="11" t="s">
        <v>36</v>
      </c>
      <c r="L663" s="217"/>
      <c r="M663" s="217"/>
      <c r="N663" s="216" t="s">
        <v>398</v>
      </c>
      <c r="O663" s="216" t="s">
        <v>189</v>
      </c>
      <c r="P663" s="216" t="s">
        <v>898</v>
      </c>
      <c r="Q663" s="218" t="s">
        <v>399</v>
      </c>
      <c r="R663" s="202">
        <v>3855.0</v>
      </c>
      <c r="S663" s="17">
        <f>FRESADO!$R663*FRESADO!$E663</f>
        <v>3855</v>
      </c>
      <c r="T663" s="17">
        <f>FRESADO!$S663*16%</f>
        <v>616.8</v>
      </c>
      <c r="U663" s="17">
        <f>FRESADO!$S663+FRESADO!$T663</f>
        <v>4471.8</v>
      </c>
      <c r="V663" s="34" t="s">
        <v>899</v>
      </c>
      <c r="W663" s="104"/>
      <c r="X663" s="104"/>
      <c r="Y663" s="30"/>
      <c r="Z663" s="219" t="s">
        <v>399</v>
      </c>
    </row>
    <row r="664" ht="15.75" customHeight="1">
      <c r="A664" s="6">
        <v>30.0</v>
      </c>
      <c r="B664" s="213">
        <v>59.0</v>
      </c>
      <c r="C664" s="214">
        <v>1702.0</v>
      </c>
      <c r="D664" s="215">
        <v>46225.0</v>
      </c>
      <c r="E664" s="216">
        <v>1.0</v>
      </c>
      <c r="F664" s="216" t="s">
        <v>74</v>
      </c>
      <c r="G664" s="216" t="s">
        <v>347</v>
      </c>
      <c r="H664" s="216">
        <v>14.0</v>
      </c>
      <c r="I664" s="216" t="s">
        <v>34</v>
      </c>
      <c r="J664" s="216" t="s">
        <v>70</v>
      </c>
      <c r="K664" s="11" t="s">
        <v>36</v>
      </c>
      <c r="L664" s="217"/>
      <c r="M664" s="217"/>
      <c r="N664" s="216" t="s">
        <v>340</v>
      </c>
      <c r="O664" s="216" t="s">
        <v>189</v>
      </c>
      <c r="P664" s="216" t="s">
        <v>898</v>
      </c>
      <c r="Q664" s="218"/>
      <c r="R664" s="202">
        <v>2500.0</v>
      </c>
      <c r="S664" s="17">
        <f>FRESADO!$R664*FRESADO!$E664</f>
        <v>2500</v>
      </c>
      <c r="T664" s="17">
        <f>FRESADO!$S664*16%</f>
        <v>400</v>
      </c>
      <c r="U664" s="17">
        <f>FRESADO!$S664+FRESADO!$T664</f>
        <v>2900</v>
      </c>
      <c r="V664" s="34" t="s">
        <v>899</v>
      </c>
      <c r="W664" s="104"/>
      <c r="X664" s="104"/>
      <c r="Y664" s="30"/>
      <c r="Z664" s="31" t="s">
        <v>77</v>
      </c>
    </row>
    <row r="665" ht="15.75" customHeight="1">
      <c r="A665" s="6">
        <v>30.0</v>
      </c>
      <c r="B665" s="213">
        <v>60.0</v>
      </c>
      <c r="C665" s="214">
        <v>1703.0</v>
      </c>
      <c r="D665" s="215">
        <v>46225.0</v>
      </c>
      <c r="E665" s="216">
        <v>1.0</v>
      </c>
      <c r="F665" s="216" t="s">
        <v>74</v>
      </c>
      <c r="G665" s="216" t="s">
        <v>690</v>
      </c>
      <c r="H665" s="216">
        <v>14.0</v>
      </c>
      <c r="I665" s="216" t="s">
        <v>34</v>
      </c>
      <c r="J665" s="216" t="s">
        <v>691</v>
      </c>
      <c r="K665" s="11" t="s">
        <v>36</v>
      </c>
      <c r="L665" s="217"/>
      <c r="M665" s="217"/>
      <c r="N665" s="216" t="s">
        <v>340</v>
      </c>
      <c r="O665" s="216" t="s">
        <v>189</v>
      </c>
      <c r="P665" s="216" t="s">
        <v>898</v>
      </c>
      <c r="Q665" s="218"/>
      <c r="R665" s="202">
        <v>2500.0</v>
      </c>
      <c r="S665" s="17">
        <f>FRESADO!$R665*FRESADO!$E665</f>
        <v>2500</v>
      </c>
      <c r="T665" s="17">
        <f>FRESADO!$S665*16%</f>
        <v>400</v>
      </c>
      <c r="U665" s="17">
        <f>FRESADO!$S665+FRESADO!$T665</f>
        <v>2900</v>
      </c>
      <c r="V665" s="34" t="s">
        <v>899</v>
      </c>
      <c r="W665" s="104"/>
      <c r="X665" s="104"/>
      <c r="Y665" s="30"/>
      <c r="Z665" s="31" t="s">
        <v>77</v>
      </c>
    </row>
    <row r="666" ht="15.75" customHeight="1">
      <c r="A666" s="6">
        <v>30.0</v>
      </c>
      <c r="B666" s="213">
        <v>61.0</v>
      </c>
      <c r="C666" s="214">
        <v>1704.0</v>
      </c>
      <c r="D666" s="215">
        <v>46225.0</v>
      </c>
      <c r="E666" s="216">
        <v>1.0</v>
      </c>
      <c r="F666" s="216" t="s">
        <v>74</v>
      </c>
      <c r="G666" s="216" t="s">
        <v>692</v>
      </c>
      <c r="H666" s="216">
        <v>14.0</v>
      </c>
      <c r="I666" s="216" t="s">
        <v>34</v>
      </c>
      <c r="J666" s="216" t="s">
        <v>693</v>
      </c>
      <c r="K666" s="11" t="s">
        <v>36</v>
      </c>
      <c r="L666" s="217"/>
      <c r="M666" s="217"/>
      <c r="N666" s="216" t="s">
        <v>340</v>
      </c>
      <c r="O666" s="216" t="s">
        <v>189</v>
      </c>
      <c r="P666" s="216" t="s">
        <v>898</v>
      </c>
      <c r="Q666" s="218"/>
      <c r="R666" s="202">
        <v>2500.0</v>
      </c>
      <c r="S666" s="17">
        <f>FRESADO!$R666*FRESADO!$E666</f>
        <v>2500</v>
      </c>
      <c r="T666" s="17">
        <f>FRESADO!$S666*16%</f>
        <v>400</v>
      </c>
      <c r="U666" s="17">
        <f>FRESADO!$S666+FRESADO!$T666</f>
        <v>2900</v>
      </c>
      <c r="V666" s="34" t="s">
        <v>899</v>
      </c>
      <c r="W666" s="104"/>
      <c r="X666" s="104"/>
      <c r="Y666" s="30"/>
      <c r="Z666" s="31" t="s">
        <v>77</v>
      </c>
    </row>
    <row r="667" ht="15.75" customHeight="1">
      <c r="A667" s="6">
        <v>30.0</v>
      </c>
      <c r="B667" s="213">
        <v>62.0</v>
      </c>
      <c r="C667" s="214">
        <v>1705.0</v>
      </c>
      <c r="D667" s="215">
        <v>46225.0</v>
      </c>
      <c r="E667" s="216">
        <v>1.0</v>
      </c>
      <c r="F667" s="216" t="s">
        <v>74</v>
      </c>
      <c r="G667" s="216" t="s">
        <v>347</v>
      </c>
      <c r="H667" s="216">
        <v>14.0</v>
      </c>
      <c r="I667" s="216" t="s">
        <v>34</v>
      </c>
      <c r="J667" s="216" t="s">
        <v>70</v>
      </c>
      <c r="K667" s="11" t="s">
        <v>36</v>
      </c>
      <c r="L667" s="217"/>
      <c r="M667" s="217"/>
      <c r="N667" s="216" t="s">
        <v>340</v>
      </c>
      <c r="O667" s="216" t="s">
        <v>189</v>
      </c>
      <c r="P667" s="216" t="s">
        <v>898</v>
      </c>
      <c r="Q667" s="218"/>
      <c r="R667" s="202">
        <v>2500.0</v>
      </c>
      <c r="S667" s="17">
        <f>FRESADO!$R667*FRESADO!$E667</f>
        <v>2500</v>
      </c>
      <c r="T667" s="17">
        <f>FRESADO!$S667*16%</f>
        <v>400</v>
      </c>
      <c r="U667" s="17">
        <f>FRESADO!$S667+FRESADO!$T667</f>
        <v>2900</v>
      </c>
      <c r="V667" s="34" t="s">
        <v>899</v>
      </c>
      <c r="W667" s="104"/>
      <c r="X667" s="104"/>
      <c r="Y667" s="30"/>
      <c r="Z667" s="31" t="s">
        <v>77</v>
      </c>
    </row>
    <row r="668" ht="15.75" customHeight="1">
      <c r="A668" s="6">
        <v>30.0</v>
      </c>
      <c r="B668" s="213">
        <v>63.0</v>
      </c>
      <c r="C668" s="214">
        <v>1706.0</v>
      </c>
      <c r="D668" s="215">
        <v>46225.0</v>
      </c>
      <c r="E668" s="216">
        <v>1.0</v>
      </c>
      <c r="F668" s="216" t="s">
        <v>74</v>
      </c>
      <c r="G668" s="216" t="s">
        <v>690</v>
      </c>
      <c r="H668" s="216">
        <v>14.0</v>
      </c>
      <c r="I668" s="216" t="s">
        <v>34</v>
      </c>
      <c r="J668" s="216" t="s">
        <v>691</v>
      </c>
      <c r="K668" s="11" t="s">
        <v>36</v>
      </c>
      <c r="L668" s="217"/>
      <c r="M668" s="217"/>
      <c r="N668" s="216" t="s">
        <v>340</v>
      </c>
      <c r="O668" s="216" t="s">
        <v>189</v>
      </c>
      <c r="P668" s="216" t="s">
        <v>898</v>
      </c>
      <c r="Q668" s="218"/>
      <c r="R668" s="202">
        <v>2500.0</v>
      </c>
      <c r="S668" s="17">
        <f>FRESADO!$R668*FRESADO!$E668</f>
        <v>2500</v>
      </c>
      <c r="T668" s="17">
        <f>FRESADO!$S668*16%</f>
        <v>400</v>
      </c>
      <c r="U668" s="17">
        <f>FRESADO!$S668+FRESADO!$T668</f>
        <v>2900</v>
      </c>
      <c r="V668" s="34" t="s">
        <v>899</v>
      </c>
      <c r="W668" s="104"/>
      <c r="X668" s="104"/>
      <c r="Y668" s="30"/>
      <c r="Z668" s="31" t="s">
        <v>77</v>
      </c>
    </row>
    <row r="669" ht="15.75" customHeight="1">
      <c r="A669" s="6">
        <v>30.0</v>
      </c>
      <c r="B669" s="213">
        <v>64.0</v>
      </c>
      <c r="C669" s="214">
        <v>1707.0</v>
      </c>
      <c r="D669" s="215">
        <v>46225.0</v>
      </c>
      <c r="E669" s="216">
        <v>1.0</v>
      </c>
      <c r="F669" s="216" t="s">
        <v>74</v>
      </c>
      <c r="G669" s="216" t="s">
        <v>900</v>
      </c>
      <c r="H669" s="216">
        <v>14.0</v>
      </c>
      <c r="I669" s="216" t="s">
        <v>34</v>
      </c>
      <c r="J669" s="216" t="s">
        <v>94</v>
      </c>
      <c r="K669" s="11" t="s">
        <v>36</v>
      </c>
      <c r="L669" s="217"/>
      <c r="M669" s="217"/>
      <c r="N669" s="216" t="s">
        <v>340</v>
      </c>
      <c r="O669" s="216" t="s">
        <v>189</v>
      </c>
      <c r="P669" s="216" t="s">
        <v>898</v>
      </c>
      <c r="Q669" s="218"/>
      <c r="R669" s="202">
        <v>2500.0</v>
      </c>
      <c r="S669" s="17">
        <f>FRESADO!$R669*FRESADO!$E669</f>
        <v>2500</v>
      </c>
      <c r="T669" s="17">
        <f>FRESADO!$S669*16%</f>
        <v>400</v>
      </c>
      <c r="U669" s="17">
        <f>FRESADO!$S669+FRESADO!$T669</f>
        <v>2900</v>
      </c>
      <c r="V669" s="34" t="s">
        <v>899</v>
      </c>
      <c r="W669" s="104"/>
      <c r="X669" s="104"/>
      <c r="Y669" s="30"/>
      <c r="Z669" s="31" t="s">
        <v>77</v>
      </c>
    </row>
    <row r="670" ht="15.75" customHeight="1">
      <c r="A670" s="6">
        <v>30.0</v>
      </c>
      <c r="B670" s="213">
        <v>65.0</v>
      </c>
      <c r="C670" s="214">
        <v>1708.0</v>
      </c>
      <c r="D670" s="215">
        <v>46225.0</v>
      </c>
      <c r="E670" s="216">
        <v>1.0</v>
      </c>
      <c r="F670" s="216" t="s">
        <v>74</v>
      </c>
      <c r="G670" s="216" t="s">
        <v>280</v>
      </c>
      <c r="H670" s="216">
        <v>14.0</v>
      </c>
      <c r="I670" s="216" t="s">
        <v>34</v>
      </c>
      <c r="J670" s="216" t="s">
        <v>272</v>
      </c>
      <c r="K670" s="11" t="s">
        <v>36</v>
      </c>
      <c r="L670" s="217"/>
      <c r="M670" s="217"/>
      <c r="N670" s="216" t="s">
        <v>340</v>
      </c>
      <c r="O670" s="216" t="s">
        <v>189</v>
      </c>
      <c r="P670" s="216" t="s">
        <v>898</v>
      </c>
      <c r="Q670" s="218"/>
      <c r="R670" s="202">
        <v>2500.0</v>
      </c>
      <c r="S670" s="17">
        <f>FRESADO!$R670*FRESADO!$E670</f>
        <v>2500</v>
      </c>
      <c r="T670" s="17">
        <f>FRESADO!$S670*16%</f>
        <v>400</v>
      </c>
      <c r="U670" s="17">
        <f>FRESADO!$S670+FRESADO!$T670</f>
        <v>2900</v>
      </c>
      <c r="V670" s="34" t="s">
        <v>899</v>
      </c>
      <c r="W670" s="104"/>
      <c r="X670" s="104"/>
      <c r="Y670" s="30"/>
      <c r="Z670" s="31" t="s">
        <v>77</v>
      </c>
    </row>
    <row r="671" ht="15.75" customHeight="1">
      <c r="A671" s="6">
        <v>30.0</v>
      </c>
      <c r="B671" s="213">
        <v>66.0</v>
      </c>
      <c r="C671" s="214">
        <v>1709.0</v>
      </c>
      <c r="D671" s="215">
        <v>46225.0</v>
      </c>
      <c r="E671" s="216">
        <v>1.0</v>
      </c>
      <c r="F671" s="216" t="s">
        <v>74</v>
      </c>
      <c r="G671" s="216" t="s">
        <v>192</v>
      </c>
      <c r="H671" s="216">
        <v>14.0</v>
      </c>
      <c r="I671" s="216" t="s">
        <v>34</v>
      </c>
      <c r="J671" s="216" t="s">
        <v>41</v>
      </c>
      <c r="K671" s="11" t="s">
        <v>36</v>
      </c>
      <c r="L671" s="217"/>
      <c r="M671" s="217"/>
      <c r="N671" s="216" t="s">
        <v>340</v>
      </c>
      <c r="O671" s="216" t="s">
        <v>189</v>
      </c>
      <c r="P671" s="216" t="s">
        <v>898</v>
      </c>
      <c r="Q671" s="218"/>
      <c r="R671" s="202">
        <v>2500.0</v>
      </c>
      <c r="S671" s="17">
        <f>FRESADO!$R671*FRESADO!$E671</f>
        <v>2500</v>
      </c>
      <c r="T671" s="17">
        <f>FRESADO!$S671*16%</f>
        <v>400</v>
      </c>
      <c r="U671" s="17">
        <f>FRESADO!$S671+FRESADO!$T671</f>
        <v>2900</v>
      </c>
      <c r="V671" s="34" t="s">
        <v>899</v>
      </c>
      <c r="W671" s="104"/>
      <c r="X671" s="104"/>
      <c r="Y671" s="30"/>
      <c r="Z671" s="31" t="s">
        <v>77</v>
      </c>
    </row>
    <row r="672" ht="15.75" customHeight="1">
      <c r="A672" s="6">
        <v>30.0</v>
      </c>
      <c r="B672" s="213">
        <v>67.0</v>
      </c>
      <c r="C672" s="214">
        <v>1710.0</v>
      </c>
      <c r="D672" s="215">
        <v>46225.0</v>
      </c>
      <c r="E672" s="216">
        <v>1.0</v>
      </c>
      <c r="F672" s="216" t="s">
        <v>74</v>
      </c>
      <c r="G672" s="216" t="s">
        <v>692</v>
      </c>
      <c r="H672" s="216">
        <v>14.0</v>
      </c>
      <c r="I672" s="216" t="s">
        <v>34</v>
      </c>
      <c r="J672" s="216" t="s">
        <v>693</v>
      </c>
      <c r="K672" s="11" t="s">
        <v>36</v>
      </c>
      <c r="L672" s="217"/>
      <c r="M672" s="217"/>
      <c r="N672" s="216" t="s">
        <v>340</v>
      </c>
      <c r="O672" s="216" t="s">
        <v>189</v>
      </c>
      <c r="P672" s="216" t="s">
        <v>898</v>
      </c>
      <c r="Q672" s="218"/>
      <c r="R672" s="202">
        <v>2500.0</v>
      </c>
      <c r="S672" s="17">
        <f>FRESADO!$R672*FRESADO!$E672</f>
        <v>2500</v>
      </c>
      <c r="T672" s="17">
        <f>FRESADO!$S672*16%</f>
        <v>400</v>
      </c>
      <c r="U672" s="17">
        <f>FRESADO!$S672+FRESADO!$T672</f>
        <v>2900</v>
      </c>
      <c r="V672" s="34" t="s">
        <v>899</v>
      </c>
      <c r="W672" s="104"/>
      <c r="X672" s="104"/>
      <c r="Y672" s="30"/>
      <c r="Z672" s="31" t="s">
        <v>77</v>
      </c>
    </row>
    <row r="673" ht="15.75" customHeight="1">
      <c r="A673" s="6">
        <v>30.0</v>
      </c>
      <c r="B673" s="213">
        <v>68.0</v>
      </c>
      <c r="C673" s="214">
        <v>1711.0</v>
      </c>
      <c r="D673" s="215">
        <v>46225.0</v>
      </c>
      <c r="E673" s="216">
        <v>1.0</v>
      </c>
      <c r="F673" s="216" t="s">
        <v>74</v>
      </c>
      <c r="G673" s="216" t="s">
        <v>238</v>
      </c>
      <c r="H673" s="216">
        <v>14.0</v>
      </c>
      <c r="I673" s="216" t="s">
        <v>34</v>
      </c>
      <c r="J673" s="216" t="s">
        <v>89</v>
      </c>
      <c r="K673" s="11" t="s">
        <v>36</v>
      </c>
      <c r="L673" s="217"/>
      <c r="M673" s="217"/>
      <c r="N673" s="216" t="s">
        <v>340</v>
      </c>
      <c r="O673" s="216" t="s">
        <v>189</v>
      </c>
      <c r="P673" s="216" t="s">
        <v>898</v>
      </c>
      <c r="Q673" s="218"/>
      <c r="R673" s="202">
        <v>2500.0</v>
      </c>
      <c r="S673" s="17">
        <f>FRESADO!$R673*FRESADO!$E673</f>
        <v>2500</v>
      </c>
      <c r="T673" s="17">
        <f>FRESADO!$S673*16%</f>
        <v>400</v>
      </c>
      <c r="U673" s="17">
        <f>FRESADO!$S673+FRESADO!$T673</f>
        <v>2900</v>
      </c>
      <c r="V673" s="34" t="s">
        <v>899</v>
      </c>
      <c r="W673" s="104"/>
      <c r="X673" s="104"/>
      <c r="Y673" s="30"/>
      <c r="Z673" s="31" t="s">
        <v>77</v>
      </c>
    </row>
    <row r="674" ht="15.75" customHeight="1">
      <c r="A674" s="6">
        <v>30.0</v>
      </c>
      <c r="B674" s="213">
        <v>69.0</v>
      </c>
      <c r="C674" s="214">
        <v>1712.0</v>
      </c>
      <c r="D674" s="215">
        <v>46225.0</v>
      </c>
      <c r="E674" s="216">
        <v>1.0</v>
      </c>
      <c r="F674" s="216" t="s">
        <v>74</v>
      </c>
      <c r="G674" s="216" t="s">
        <v>690</v>
      </c>
      <c r="H674" s="216">
        <v>14.0</v>
      </c>
      <c r="I674" s="216" t="s">
        <v>34</v>
      </c>
      <c r="J674" s="216" t="s">
        <v>691</v>
      </c>
      <c r="K674" s="11" t="s">
        <v>36</v>
      </c>
      <c r="L674" s="217"/>
      <c r="M674" s="217"/>
      <c r="N674" s="216" t="s">
        <v>340</v>
      </c>
      <c r="O674" s="216" t="s">
        <v>189</v>
      </c>
      <c r="P674" s="216" t="s">
        <v>898</v>
      </c>
      <c r="Q674" s="218"/>
      <c r="R674" s="202">
        <v>2500.0</v>
      </c>
      <c r="S674" s="17">
        <f>FRESADO!$R674*FRESADO!$E674</f>
        <v>2500</v>
      </c>
      <c r="T674" s="17">
        <f>FRESADO!$S674*16%</f>
        <v>400</v>
      </c>
      <c r="U674" s="17">
        <f>FRESADO!$S674+FRESADO!$T674</f>
        <v>2900</v>
      </c>
      <c r="V674" s="34" t="s">
        <v>899</v>
      </c>
      <c r="W674" s="104"/>
      <c r="X674" s="104"/>
      <c r="Y674" s="30"/>
      <c r="Z674" s="31" t="s">
        <v>77</v>
      </c>
    </row>
    <row r="675" ht="15.75" customHeight="1">
      <c r="A675" s="6">
        <v>30.0</v>
      </c>
      <c r="B675" s="213">
        <v>70.0</v>
      </c>
      <c r="C675" s="214">
        <v>1713.0</v>
      </c>
      <c r="D675" s="215">
        <v>46225.0</v>
      </c>
      <c r="E675" s="216">
        <v>1.0</v>
      </c>
      <c r="F675" s="216" t="s">
        <v>74</v>
      </c>
      <c r="G675" s="216" t="s">
        <v>347</v>
      </c>
      <c r="H675" s="216">
        <v>14.0</v>
      </c>
      <c r="I675" s="216" t="s">
        <v>34</v>
      </c>
      <c r="J675" s="216" t="s">
        <v>70</v>
      </c>
      <c r="K675" s="11" t="s">
        <v>36</v>
      </c>
      <c r="L675" s="217"/>
      <c r="M675" s="217"/>
      <c r="N675" s="216" t="s">
        <v>340</v>
      </c>
      <c r="O675" s="216" t="s">
        <v>189</v>
      </c>
      <c r="P675" s="216" t="s">
        <v>898</v>
      </c>
      <c r="Q675" s="218"/>
      <c r="R675" s="202">
        <v>2500.0</v>
      </c>
      <c r="S675" s="17">
        <f>FRESADO!$R675*FRESADO!$E675</f>
        <v>2500</v>
      </c>
      <c r="T675" s="17">
        <f>FRESADO!$S675*16%</f>
        <v>400</v>
      </c>
      <c r="U675" s="17">
        <f>FRESADO!$S675+FRESADO!$T675</f>
        <v>2900</v>
      </c>
      <c r="V675" s="34" t="s">
        <v>899</v>
      </c>
      <c r="W675" s="104"/>
      <c r="X675" s="104"/>
      <c r="Y675" s="30"/>
      <c r="Z675" s="31" t="s">
        <v>77</v>
      </c>
    </row>
    <row r="676" ht="15.75" customHeight="1">
      <c r="A676" s="6">
        <v>30.0</v>
      </c>
      <c r="B676" s="213">
        <v>71.0</v>
      </c>
      <c r="C676" s="214">
        <v>1714.0</v>
      </c>
      <c r="D676" s="215">
        <v>46225.0</v>
      </c>
      <c r="E676" s="216">
        <v>1.0</v>
      </c>
      <c r="F676" s="216" t="s">
        <v>74</v>
      </c>
      <c r="G676" s="216" t="s">
        <v>900</v>
      </c>
      <c r="H676" s="216">
        <v>14.0</v>
      </c>
      <c r="I676" s="216" t="s">
        <v>34</v>
      </c>
      <c r="J676" s="216" t="s">
        <v>94</v>
      </c>
      <c r="K676" s="11" t="s">
        <v>36</v>
      </c>
      <c r="L676" s="217"/>
      <c r="M676" s="217"/>
      <c r="N676" s="216" t="s">
        <v>340</v>
      </c>
      <c r="O676" s="216" t="s">
        <v>189</v>
      </c>
      <c r="P676" s="216" t="s">
        <v>898</v>
      </c>
      <c r="Q676" s="218"/>
      <c r="R676" s="202">
        <v>2500.0</v>
      </c>
      <c r="S676" s="17">
        <f>FRESADO!$R676*FRESADO!$E676</f>
        <v>2500</v>
      </c>
      <c r="T676" s="17">
        <f>FRESADO!$S676*16%</f>
        <v>400</v>
      </c>
      <c r="U676" s="17">
        <f>FRESADO!$S676+FRESADO!$T676</f>
        <v>2900</v>
      </c>
      <c r="V676" s="34" t="s">
        <v>899</v>
      </c>
      <c r="W676" s="104"/>
      <c r="X676" s="104"/>
      <c r="Y676" s="30"/>
      <c r="Z676" s="31" t="s">
        <v>77</v>
      </c>
    </row>
    <row r="677" ht="15.75" customHeight="1">
      <c r="A677" s="6">
        <v>30.0</v>
      </c>
      <c r="B677" s="213">
        <v>72.0</v>
      </c>
      <c r="C677" s="214">
        <v>1715.0</v>
      </c>
      <c r="D677" s="215">
        <v>46225.0</v>
      </c>
      <c r="E677" s="216">
        <v>1.0</v>
      </c>
      <c r="F677" s="216" t="s">
        <v>74</v>
      </c>
      <c r="G677" s="216" t="s">
        <v>692</v>
      </c>
      <c r="H677" s="216">
        <v>14.0</v>
      </c>
      <c r="I677" s="216" t="s">
        <v>34</v>
      </c>
      <c r="J677" s="216" t="s">
        <v>693</v>
      </c>
      <c r="K677" s="11" t="s">
        <v>36</v>
      </c>
      <c r="L677" s="217"/>
      <c r="M677" s="217"/>
      <c r="N677" s="216" t="s">
        <v>340</v>
      </c>
      <c r="O677" s="216" t="s">
        <v>189</v>
      </c>
      <c r="P677" s="216" t="s">
        <v>898</v>
      </c>
      <c r="Q677" s="218"/>
      <c r="R677" s="202">
        <v>2500.0</v>
      </c>
      <c r="S677" s="17">
        <f>FRESADO!$R677*FRESADO!$E677</f>
        <v>2500</v>
      </c>
      <c r="T677" s="17">
        <f>FRESADO!$S677*16%</f>
        <v>400</v>
      </c>
      <c r="U677" s="17">
        <f>FRESADO!$S677+FRESADO!$T677</f>
        <v>2900</v>
      </c>
      <c r="V677" s="34" t="s">
        <v>899</v>
      </c>
      <c r="W677" s="104"/>
      <c r="X677" s="104"/>
      <c r="Y677" s="30"/>
      <c r="Z677" s="31" t="s">
        <v>77</v>
      </c>
    </row>
    <row r="678" ht="15.75" customHeight="1">
      <c r="A678" s="6">
        <v>30.0</v>
      </c>
      <c r="B678" s="213">
        <v>73.0</v>
      </c>
      <c r="C678" s="214">
        <v>1716.0</v>
      </c>
      <c r="D678" s="215">
        <v>46225.0</v>
      </c>
      <c r="E678" s="216">
        <v>1.0</v>
      </c>
      <c r="F678" s="216" t="s">
        <v>74</v>
      </c>
      <c r="G678" s="216" t="s">
        <v>280</v>
      </c>
      <c r="H678" s="216">
        <v>14.0</v>
      </c>
      <c r="I678" s="216" t="s">
        <v>34</v>
      </c>
      <c r="J678" s="216" t="s">
        <v>272</v>
      </c>
      <c r="K678" s="11" t="s">
        <v>36</v>
      </c>
      <c r="L678" s="217"/>
      <c r="M678" s="217"/>
      <c r="N678" s="216" t="s">
        <v>340</v>
      </c>
      <c r="O678" s="216" t="s">
        <v>189</v>
      </c>
      <c r="P678" s="216" t="s">
        <v>898</v>
      </c>
      <c r="Q678" s="218"/>
      <c r="R678" s="202">
        <v>2500.0</v>
      </c>
      <c r="S678" s="17">
        <f>FRESADO!$R678*FRESADO!$E678</f>
        <v>2500</v>
      </c>
      <c r="T678" s="17">
        <f>FRESADO!$S678*16%</f>
        <v>400</v>
      </c>
      <c r="U678" s="17">
        <f>FRESADO!$S678+FRESADO!$T678</f>
        <v>2900</v>
      </c>
      <c r="V678" s="34" t="s">
        <v>899</v>
      </c>
      <c r="W678" s="104"/>
      <c r="X678" s="104"/>
      <c r="Y678" s="30"/>
      <c r="Z678" s="31" t="s">
        <v>77</v>
      </c>
    </row>
    <row r="679" ht="15.75" customHeight="1">
      <c r="A679" s="6">
        <v>30.0</v>
      </c>
      <c r="B679" s="213">
        <v>74.0</v>
      </c>
      <c r="C679" s="214">
        <v>1717.0</v>
      </c>
      <c r="D679" s="215">
        <v>46225.0</v>
      </c>
      <c r="E679" s="216">
        <v>1.0</v>
      </c>
      <c r="F679" s="216" t="s">
        <v>74</v>
      </c>
      <c r="G679" s="216" t="s">
        <v>192</v>
      </c>
      <c r="H679" s="216">
        <v>14.0</v>
      </c>
      <c r="I679" s="216" t="s">
        <v>34</v>
      </c>
      <c r="J679" s="216" t="s">
        <v>41</v>
      </c>
      <c r="K679" s="11" t="s">
        <v>36</v>
      </c>
      <c r="L679" s="217"/>
      <c r="M679" s="217"/>
      <c r="N679" s="216" t="s">
        <v>340</v>
      </c>
      <c r="O679" s="216" t="s">
        <v>189</v>
      </c>
      <c r="P679" s="216" t="s">
        <v>898</v>
      </c>
      <c r="Q679" s="218"/>
      <c r="R679" s="202">
        <v>2500.0</v>
      </c>
      <c r="S679" s="17">
        <f>FRESADO!$R679*FRESADO!$E679</f>
        <v>2500</v>
      </c>
      <c r="T679" s="17">
        <f>FRESADO!$S679*16%</f>
        <v>400</v>
      </c>
      <c r="U679" s="17">
        <f>FRESADO!$S679+FRESADO!$T679</f>
        <v>2900</v>
      </c>
      <c r="V679" s="34" t="s">
        <v>899</v>
      </c>
      <c r="W679" s="104"/>
      <c r="X679" s="104"/>
      <c r="Y679" s="30"/>
      <c r="Z679" s="31" t="s">
        <v>77</v>
      </c>
    </row>
    <row r="680" ht="15.75" customHeight="1">
      <c r="A680" s="6">
        <v>30.0</v>
      </c>
      <c r="B680" s="213">
        <v>75.0</v>
      </c>
      <c r="C680" s="214">
        <v>1718.0</v>
      </c>
      <c r="D680" s="215">
        <v>46225.0</v>
      </c>
      <c r="E680" s="216">
        <v>1.0</v>
      </c>
      <c r="F680" s="216" t="s">
        <v>74</v>
      </c>
      <c r="G680" s="216" t="s">
        <v>238</v>
      </c>
      <c r="H680" s="216">
        <v>14.0</v>
      </c>
      <c r="I680" s="216" t="s">
        <v>34</v>
      </c>
      <c r="J680" s="216" t="s">
        <v>89</v>
      </c>
      <c r="K680" s="11" t="s">
        <v>36</v>
      </c>
      <c r="L680" s="217"/>
      <c r="M680" s="217"/>
      <c r="N680" s="216" t="s">
        <v>340</v>
      </c>
      <c r="O680" s="216" t="s">
        <v>189</v>
      </c>
      <c r="P680" s="216" t="s">
        <v>898</v>
      </c>
      <c r="Q680" s="218"/>
      <c r="R680" s="202">
        <v>2500.0</v>
      </c>
      <c r="S680" s="17">
        <f>FRESADO!$R680*FRESADO!$E680</f>
        <v>2500</v>
      </c>
      <c r="T680" s="17">
        <f>FRESADO!$S680*16%</f>
        <v>400</v>
      </c>
      <c r="U680" s="17">
        <f>FRESADO!$S680+FRESADO!$T680</f>
        <v>2900</v>
      </c>
      <c r="V680" s="34" t="s">
        <v>899</v>
      </c>
      <c r="W680" s="104"/>
      <c r="X680" s="104"/>
      <c r="Y680" s="30"/>
      <c r="Z680" s="31" t="s">
        <v>77</v>
      </c>
    </row>
    <row r="681" ht="15.75" customHeight="1">
      <c r="A681" s="6">
        <v>30.0</v>
      </c>
      <c r="B681" s="213">
        <v>76.0</v>
      </c>
      <c r="C681" s="214">
        <v>1719.0</v>
      </c>
      <c r="D681" s="215">
        <v>46225.0</v>
      </c>
      <c r="E681" s="216">
        <v>1.0</v>
      </c>
      <c r="F681" s="216" t="s">
        <v>74</v>
      </c>
      <c r="G681" s="216" t="s">
        <v>690</v>
      </c>
      <c r="H681" s="216">
        <v>14.0</v>
      </c>
      <c r="I681" s="216" t="s">
        <v>34</v>
      </c>
      <c r="J681" s="216" t="s">
        <v>691</v>
      </c>
      <c r="K681" s="11" t="s">
        <v>36</v>
      </c>
      <c r="L681" s="217"/>
      <c r="M681" s="217"/>
      <c r="N681" s="216" t="s">
        <v>340</v>
      </c>
      <c r="O681" s="216" t="s">
        <v>189</v>
      </c>
      <c r="P681" s="216" t="s">
        <v>898</v>
      </c>
      <c r="Q681" s="218"/>
      <c r="R681" s="202">
        <v>2500.0</v>
      </c>
      <c r="S681" s="17">
        <f>FRESADO!$R681*FRESADO!$E681</f>
        <v>2500</v>
      </c>
      <c r="T681" s="17">
        <f>FRESADO!$S681*16%</f>
        <v>400</v>
      </c>
      <c r="U681" s="17">
        <f>FRESADO!$S681+FRESADO!$T681</f>
        <v>2900</v>
      </c>
      <c r="V681" s="34" t="s">
        <v>899</v>
      </c>
      <c r="W681" s="104"/>
      <c r="X681" s="104"/>
      <c r="Y681" s="30"/>
      <c r="Z681" s="31" t="s">
        <v>77</v>
      </c>
    </row>
    <row r="682" ht="15.75" customHeight="1">
      <c r="A682" s="6">
        <v>30.0</v>
      </c>
      <c r="B682" s="213">
        <v>77.0</v>
      </c>
      <c r="C682" s="214">
        <v>1720.0</v>
      </c>
      <c r="D682" s="215">
        <v>46225.0</v>
      </c>
      <c r="E682" s="216">
        <v>1.0</v>
      </c>
      <c r="F682" s="216" t="s">
        <v>74</v>
      </c>
      <c r="G682" s="216" t="s">
        <v>900</v>
      </c>
      <c r="H682" s="216">
        <v>14.0</v>
      </c>
      <c r="I682" s="216" t="s">
        <v>34</v>
      </c>
      <c r="J682" s="216" t="s">
        <v>94</v>
      </c>
      <c r="K682" s="11" t="s">
        <v>36</v>
      </c>
      <c r="L682" s="217"/>
      <c r="M682" s="217"/>
      <c r="N682" s="216" t="s">
        <v>340</v>
      </c>
      <c r="O682" s="216" t="s">
        <v>189</v>
      </c>
      <c r="P682" s="216" t="s">
        <v>898</v>
      </c>
      <c r="Q682" s="218"/>
      <c r="R682" s="202">
        <v>2500.0</v>
      </c>
      <c r="S682" s="17">
        <f>FRESADO!$R682*FRESADO!$E682</f>
        <v>2500</v>
      </c>
      <c r="T682" s="17">
        <f>FRESADO!$S682*16%</f>
        <v>400</v>
      </c>
      <c r="U682" s="17">
        <f>FRESADO!$S682+FRESADO!$T682</f>
        <v>2900</v>
      </c>
      <c r="V682" s="34" t="s">
        <v>899</v>
      </c>
      <c r="W682" s="104"/>
      <c r="X682" s="104"/>
      <c r="Y682" s="30"/>
      <c r="Z682" s="31" t="s">
        <v>77</v>
      </c>
    </row>
    <row r="683" ht="15.75" customHeight="1">
      <c r="A683" s="6">
        <v>30.0</v>
      </c>
      <c r="B683" s="213">
        <v>78.0</v>
      </c>
      <c r="C683" s="214">
        <v>1721.0</v>
      </c>
      <c r="D683" s="215">
        <v>46225.0</v>
      </c>
      <c r="E683" s="216">
        <v>1.0</v>
      </c>
      <c r="F683" s="216" t="s">
        <v>74</v>
      </c>
      <c r="G683" s="216" t="s">
        <v>347</v>
      </c>
      <c r="H683" s="216">
        <v>14.0</v>
      </c>
      <c r="I683" s="216" t="s">
        <v>34</v>
      </c>
      <c r="J683" s="216" t="s">
        <v>70</v>
      </c>
      <c r="K683" s="11" t="s">
        <v>36</v>
      </c>
      <c r="L683" s="217"/>
      <c r="M683" s="217"/>
      <c r="N683" s="216" t="s">
        <v>340</v>
      </c>
      <c r="O683" s="216" t="s">
        <v>189</v>
      </c>
      <c r="P683" s="216" t="s">
        <v>898</v>
      </c>
      <c r="Q683" s="218"/>
      <c r="R683" s="202">
        <v>2500.0</v>
      </c>
      <c r="S683" s="17">
        <f>FRESADO!$R683*FRESADO!$E683</f>
        <v>2500</v>
      </c>
      <c r="T683" s="17">
        <f>FRESADO!$S683*16%</f>
        <v>400</v>
      </c>
      <c r="U683" s="17">
        <f>FRESADO!$S683+FRESADO!$T683</f>
        <v>2900</v>
      </c>
      <c r="V683" s="34" t="s">
        <v>899</v>
      </c>
      <c r="W683" s="104"/>
      <c r="X683" s="104"/>
      <c r="Y683" s="30"/>
      <c r="Z683" s="31" t="s">
        <v>77</v>
      </c>
    </row>
    <row r="684" ht="15.75" customHeight="1">
      <c r="A684" s="6">
        <v>30.0</v>
      </c>
      <c r="B684" s="213">
        <v>79.0</v>
      </c>
      <c r="C684" s="214">
        <v>1722.0</v>
      </c>
      <c r="D684" s="215">
        <v>46225.0</v>
      </c>
      <c r="E684" s="216">
        <v>1.0</v>
      </c>
      <c r="F684" s="216" t="s">
        <v>74</v>
      </c>
      <c r="G684" s="216" t="s">
        <v>692</v>
      </c>
      <c r="H684" s="216">
        <v>14.0</v>
      </c>
      <c r="I684" s="216" t="s">
        <v>34</v>
      </c>
      <c r="J684" s="216" t="s">
        <v>693</v>
      </c>
      <c r="K684" s="11" t="s">
        <v>36</v>
      </c>
      <c r="L684" s="217"/>
      <c r="M684" s="217"/>
      <c r="N684" s="216" t="s">
        <v>340</v>
      </c>
      <c r="O684" s="216" t="s">
        <v>189</v>
      </c>
      <c r="P684" s="216" t="s">
        <v>898</v>
      </c>
      <c r="Q684" s="218"/>
      <c r="R684" s="202">
        <v>2500.0</v>
      </c>
      <c r="S684" s="17">
        <f>FRESADO!$R684*FRESADO!$E684</f>
        <v>2500</v>
      </c>
      <c r="T684" s="17">
        <f>FRESADO!$S684*16%</f>
        <v>400</v>
      </c>
      <c r="U684" s="17">
        <f>FRESADO!$S684+FRESADO!$T684</f>
        <v>2900</v>
      </c>
      <c r="V684" s="34" t="s">
        <v>899</v>
      </c>
      <c r="W684" s="104"/>
      <c r="X684" s="104"/>
      <c r="Y684" s="30"/>
      <c r="Z684" s="31" t="s">
        <v>77</v>
      </c>
    </row>
    <row r="685" ht="15.75" customHeight="1">
      <c r="A685" s="6">
        <v>30.0</v>
      </c>
      <c r="B685" s="213">
        <v>80.0</v>
      </c>
      <c r="C685" s="223">
        <v>1724.0</v>
      </c>
      <c r="D685" s="215">
        <v>46225.0</v>
      </c>
      <c r="E685" s="216">
        <v>1.0</v>
      </c>
      <c r="F685" s="216" t="s">
        <v>74</v>
      </c>
      <c r="G685" s="216" t="s">
        <v>674</v>
      </c>
      <c r="H685" s="216">
        <v>14.0</v>
      </c>
      <c r="I685" s="216" t="s">
        <v>34</v>
      </c>
      <c r="J685" s="216" t="s">
        <v>118</v>
      </c>
      <c r="K685" s="34" t="s">
        <v>50</v>
      </c>
      <c r="L685" s="217"/>
      <c r="M685" s="217"/>
      <c r="N685" s="216" t="s">
        <v>340</v>
      </c>
      <c r="O685" s="216" t="s">
        <v>189</v>
      </c>
      <c r="P685" s="216" t="s">
        <v>898</v>
      </c>
      <c r="Q685" s="218"/>
      <c r="R685" s="202">
        <v>2900.0</v>
      </c>
      <c r="S685" s="17">
        <f>FRESADO!$R685*FRESADO!$E685</f>
        <v>2900</v>
      </c>
      <c r="T685" s="17">
        <f>FRESADO!$S685*16%</f>
        <v>464</v>
      </c>
      <c r="U685" s="17">
        <f>FRESADO!$S685+FRESADO!$T685</f>
        <v>3364</v>
      </c>
      <c r="V685" s="19" t="s">
        <v>696</v>
      </c>
      <c r="W685" s="104"/>
      <c r="X685" s="104"/>
      <c r="Y685" s="30"/>
    </row>
    <row r="686" ht="15.75" customHeight="1">
      <c r="A686" s="6">
        <v>30.0</v>
      </c>
      <c r="B686" s="213">
        <v>81.0</v>
      </c>
      <c r="C686" s="214">
        <v>1725.0</v>
      </c>
      <c r="D686" s="215">
        <v>46225.0</v>
      </c>
      <c r="E686" s="216">
        <v>1.0</v>
      </c>
      <c r="F686" s="216" t="s">
        <v>73</v>
      </c>
      <c r="G686" s="216" t="s">
        <v>887</v>
      </c>
      <c r="H686" s="93">
        <v>20.0</v>
      </c>
      <c r="I686" s="216" t="s">
        <v>34</v>
      </c>
      <c r="J686" s="216" t="s">
        <v>888</v>
      </c>
      <c r="K686" s="11" t="s">
        <v>36</v>
      </c>
      <c r="L686" s="217"/>
      <c r="M686" s="217"/>
      <c r="N686" s="216" t="s">
        <v>340</v>
      </c>
      <c r="O686" s="216" t="s">
        <v>189</v>
      </c>
      <c r="P686" s="216" t="s">
        <v>898</v>
      </c>
      <c r="Q686" s="218" t="s">
        <v>902</v>
      </c>
      <c r="R686" s="202">
        <v>9400.0</v>
      </c>
      <c r="S686" s="17">
        <f>FRESADO!$R686*FRESADO!$E686</f>
        <v>9400</v>
      </c>
      <c r="T686" s="17">
        <f>FRESADO!$S686*16%</f>
        <v>1504</v>
      </c>
      <c r="U686" s="17">
        <f>FRESADO!$S686+FRESADO!$T686</f>
        <v>10904</v>
      </c>
      <c r="V686" s="34" t="s">
        <v>899</v>
      </c>
      <c r="W686" s="104"/>
      <c r="X686" s="104"/>
      <c r="Y686" s="30"/>
    </row>
    <row r="687" ht="15.75" customHeight="1">
      <c r="A687" s="6">
        <v>30.0</v>
      </c>
      <c r="B687" s="213">
        <v>82.0</v>
      </c>
      <c r="C687" s="182">
        <v>1723.0</v>
      </c>
      <c r="D687" s="222">
        <v>46225.0</v>
      </c>
      <c r="E687" s="216">
        <v>1.0</v>
      </c>
      <c r="F687" s="149" t="s">
        <v>388</v>
      </c>
      <c r="G687" s="216" t="s">
        <v>583</v>
      </c>
      <c r="H687" s="93">
        <v>7.0</v>
      </c>
      <c r="I687" s="216" t="s">
        <v>34</v>
      </c>
      <c r="J687" s="216" t="s">
        <v>584</v>
      </c>
      <c r="K687" s="34" t="s">
        <v>50</v>
      </c>
      <c r="L687" s="217"/>
      <c r="M687" s="217"/>
      <c r="N687" s="216" t="s">
        <v>340</v>
      </c>
      <c r="O687" s="216" t="s">
        <v>189</v>
      </c>
      <c r="P687" s="216" t="s">
        <v>898</v>
      </c>
      <c r="Q687" s="218" t="s">
        <v>390</v>
      </c>
      <c r="R687" s="202">
        <v>4500.0</v>
      </c>
      <c r="S687" s="17">
        <f>FRESADO!$R687*FRESADO!$E687</f>
        <v>4500</v>
      </c>
      <c r="T687" s="17">
        <f>FRESADO!$S687*16%</f>
        <v>720</v>
      </c>
      <c r="U687" s="17">
        <f>FRESADO!$S687+FRESADO!$T687</f>
        <v>5220</v>
      </c>
      <c r="V687" s="52" t="s">
        <v>545</v>
      </c>
      <c r="W687" s="104"/>
      <c r="X687" s="104"/>
      <c r="Y687" s="30"/>
    </row>
    <row r="688" ht="15.75" customHeight="1">
      <c r="A688" s="6">
        <v>30.0</v>
      </c>
      <c r="B688" s="213">
        <v>83.0</v>
      </c>
      <c r="C688" s="216">
        <v>1726.0</v>
      </c>
      <c r="D688" s="215">
        <v>46226.0</v>
      </c>
      <c r="E688" s="216">
        <v>1.0</v>
      </c>
      <c r="F688" s="216" t="s">
        <v>74</v>
      </c>
      <c r="G688" s="216" t="s">
        <v>192</v>
      </c>
      <c r="H688" s="216">
        <v>14.0</v>
      </c>
      <c r="I688" s="216" t="s">
        <v>34</v>
      </c>
      <c r="J688" s="216" t="s">
        <v>41</v>
      </c>
      <c r="K688" s="11" t="s">
        <v>36</v>
      </c>
      <c r="L688" s="217"/>
      <c r="M688" s="217"/>
      <c r="N688" s="216" t="s">
        <v>398</v>
      </c>
      <c r="O688" s="216" t="s">
        <v>189</v>
      </c>
      <c r="P688" s="216" t="s">
        <v>898</v>
      </c>
      <c r="Q688" s="218" t="s">
        <v>399</v>
      </c>
      <c r="R688" s="202">
        <v>3855.0</v>
      </c>
      <c r="S688" s="17">
        <f>FRESADO!$R688*FRESADO!$E688</f>
        <v>3855</v>
      </c>
      <c r="T688" s="17">
        <f>FRESADO!$S688*16%</f>
        <v>616.8</v>
      </c>
      <c r="U688" s="17">
        <f>FRESADO!$S688+FRESADO!$T688</f>
        <v>4471.8</v>
      </c>
      <c r="V688" s="34" t="s">
        <v>899</v>
      </c>
      <c r="W688" s="104"/>
      <c r="X688" s="104"/>
      <c r="Y688" s="30"/>
      <c r="Z688" s="219" t="s">
        <v>399</v>
      </c>
    </row>
    <row r="689" ht="15.75" customHeight="1">
      <c r="A689" s="6">
        <v>30.0</v>
      </c>
      <c r="B689" s="213">
        <v>84.0</v>
      </c>
      <c r="C689" s="216">
        <v>1727.0</v>
      </c>
      <c r="D689" s="215">
        <v>46226.0</v>
      </c>
      <c r="E689" s="216">
        <v>1.0</v>
      </c>
      <c r="F689" s="216" t="s">
        <v>74</v>
      </c>
      <c r="G689" s="216" t="s">
        <v>692</v>
      </c>
      <c r="H689" s="216">
        <v>14.0</v>
      </c>
      <c r="I689" s="216" t="s">
        <v>34</v>
      </c>
      <c r="J689" s="216" t="s">
        <v>693</v>
      </c>
      <c r="K689" s="11" t="s">
        <v>36</v>
      </c>
      <c r="L689" s="217"/>
      <c r="M689" s="217"/>
      <c r="N689" s="216" t="s">
        <v>398</v>
      </c>
      <c r="O689" s="216" t="s">
        <v>189</v>
      </c>
      <c r="P689" s="216" t="s">
        <v>898</v>
      </c>
      <c r="Q689" s="218" t="s">
        <v>399</v>
      </c>
      <c r="R689" s="202">
        <v>3855.0</v>
      </c>
      <c r="S689" s="17">
        <f>FRESADO!$R689*FRESADO!$E689</f>
        <v>3855</v>
      </c>
      <c r="T689" s="17">
        <f>FRESADO!$S689*16%</f>
        <v>616.8</v>
      </c>
      <c r="U689" s="17">
        <f>FRESADO!$S689+FRESADO!$T689</f>
        <v>4471.8</v>
      </c>
      <c r="V689" s="34" t="s">
        <v>899</v>
      </c>
      <c r="W689" s="104"/>
      <c r="X689" s="104"/>
      <c r="Y689" s="30"/>
      <c r="Z689" s="219" t="s">
        <v>399</v>
      </c>
    </row>
    <row r="690" ht="15.75" customHeight="1">
      <c r="A690" s="6">
        <v>30.0</v>
      </c>
      <c r="B690" s="213">
        <v>85.0</v>
      </c>
      <c r="C690" s="216">
        <v>1728.0</v>
      </c>
      <c r="D690" s="215">
        <v>46226.0</v>
      </c>
      <c r="E690" s="216">
        <v>1.0</v>
      </c>
      <c r="F690" s="216" t="s">
        <v>74</v>
      </c>
      <c r="G690" s="216" t="s">
        <v>900</v>
      </c>
      <c r="H690" s="216">
        <v>14.0</v>
      </c>
      <c r="I690" s="216" t="s">
        <v>34</v>
      </c>
      <c r="J690" s="216" t="s">
        <v>94</v>
      </c>
      <c r="K690" s="11" t="s">
        <v>36</v>
      </c>
      <c r="L690" s="217"/>
      <c r="M690" s="217"/>
      <c r="N690" s="216" t="s">
        <v>398</v>
      </c>
      <c r="O690" s="216" t="s">
        <v>189</v>
      </c>
      <c r="P690" s="216" t="s">
        <v>898</v>
      </c>
      <c r="Q690" s="218" t="s">
        <v>399</v>
      </c>
      <c r="R690" s="202">
        <v>3355.0</v>
      </c>
      <c r="S690" s="17">
        <f>FRESADO!$R690*FRESADO!$E690</f>
        <v>3355</v>
      </c>
      <c r="T690" s="17">
        <f>FRESADO!$S690*16%</f>
        <v>536.8</v>
      </c>
      <c r="U690" s="17">
        <f>FRESADO!$S690+FRESADO!$T690</f>
        <v>3891.8</v>
      </c>
      <c r="V690" s="34" t="s">
        <v>899</v>
      </c>
      <c r="W690" s="104"/>
      <c r="X690" s="104"/>
      <c r="Y690" s="30"/>
      <c r="Z690" s="219" t="s">
        <v>399</v>
      </c>
    </row>
    <row r="691" ht="15.75" customHeight="1">
      <c r="A691" s="6">
        <v>30.0</v>
      </c>
      <c r="B691" s="213">
        <v>86.0</v>
      </c>
      <c r="C691" s="214">
        <v>1729.0</v>
      </c>
      <c r="D691" s="215">
        <v>46226.0</v>
      </c>
      <c r="E691" s="216">
        <v>1.0</v>
      </c>
      <c r="F691" s="216" t="s">
        <v>74</v>
      </c>
      <c r="G691" s="216" t="s">
        <v>690</v>
      </c>
      <c r="H691" s="216">
        <v>14.0</v>
      </c>
      <c r="I691" s="216" t="s">
        <v>34</v>
      </c>
      <c r="J691" s="216" t="s">
        <v>691</v>
      </c>
      <c r="K691" s="11" t="s">
        <v>36</v>
      </c>
      <c r="L691" s="217"/>
      <c r="M691" s="217"/>
      <c r="N691" s="216" t="s">
        <v>340</v>
      </c>
      <c r="O691" s="216" t="s">
        <v>189</v>
      </c>
      <c r="P691" s="216" t="s">
        <v>898</v>
      </c>
      <c r="Q691" s="218"/>
      <c r="R691" s="202">
        <v>2500.0</v>
      </c>
      <c r="S691" s="17">
        <f>FRESADO!$R691*FRESADO!$E691</f>
        <v>2500</v>
      </c>
      <c r="T691" s="17">
        <f>FRESADO!$S691*16%</f>
        <v>400</v>
      </c>
      <c r="U691" s="17">
        <f>FRESADO!$S691+FRESADO!$T691</f>
        <v>2900</v>
      </c>
      <c r="V691" s="34" t="s">
        <v>899</v>
      </c>
      <c r="W691" s="104"/>
      <c r="X691" s="104"/>
      <c r="Y691" s="30"/>
      <c r="Z691" s="31" t="s">
        <v>77</v>
      </c>
    </row>
    <row r="692" ht="15.75" customHeight="1">
      <c r="A692" s="6">
        <v>30.0</v>
      </c>
      <c r="B692" s="213">
        <v>87.0</v>
      </c>
      <c r="C692" s="214">
        <v>1730.0</v>
      </c>
      <c r="D692" s="215">
        <v>46226.0</v>
      </c>
      <c r="E692" s="216">
        <v>1.0</v>
      </c>
      <c r="F692" s="216" t="s">
        <v>74</v>
      </c>
      <c r="G692" s="216" t="s">
        <v>277</v>
      </c>
      <c r="H692" s="216">
        <v>14.0</v>
      </c>
      <c r="I692" s="216" t="s">
        <v>34</v>
      </c>
      <c r="J692" s="216" t="s">
        <v>278</v>
      </c>
      <c r="K692" s="11" t="s">
        <v>36</v>
      </c>
      <c r="L692" s="217"/>
      <c r="M692" s="217"/>
      <c r="N692" s="216" t="s">
        <v>340</v>
      </c>
      <c r="O692" s="216" t="s">
        <v>189</v>
      </c>
      <c r="P692" s="216" t="s">
        <v>898</v>
      </c>
      <c r="Q692" s="218"/>
      <c r="R692" s="202">
        <v>2500.0</v>
      </c>
      <c r="S692" s="17">
        <f>FRESADO!$R692*FRESADO!$E692</f>
        <v>2500</v>
      </c>
      <c r="T692" s="17">
        <f>FRESADO!$S692*16%</f>
        <v>400</v>
      </c>
      <c r="U692" s="17">
        <f>FRESADO!$S692+FRESADO!$T692</f>
        <v>2900</v>
      </c>
      <c r="V692" s="34" t="s">
        <v>899</v>
      </c>
      <c r="W692" s="104"/>
      <c r="X692" s="104"/>
      <c r="Y692" s="30"/>
      <c r="Z692" s="31" t="s">
        <v>77</v>
      </c>
    </row>
    <row r="693" ht="15.75" customHeight="1">
      <c r="A693" s="6">
        <v>30.0</v>
      </c>
      <c r="B693" s="213">
        <v>88.0</v>
      </c>
      <c r="C693" s="214">
        <v>1731.0</v>
      </c>
      <c r="D693" s="215">
        <v>46226.0</v>
      </c>
      <c r="E693" s="216">
        <v>1.0</v>
      </c>
      <c r="F693" s="216" t="s">
        <v>74</v>
      </c>
      <c r="G693" s="216" t="s">
        <v>347</v>
      </c>
      <c r="H693" s="216">
        <v>14.0</v>
      </c>
      <c r="I693" s="216" t="s">
        <v>34</v>
      </c>
      <c r="J693" s="216" t="s">
        <v>70</v>
      </c>
      <c r="K693" s="11" t="s">
        <v>36</v>
      </c>
      <c r="L693" s="217"/>
      <c r="M693" s="217"/>
      <c r="N693" s="216" t="s">
        <v>340</v>
      </c>
      <c r="O693" s="216" t="s">
        <v>189</v>
      </c>
      <c r="P693" s="216" t="s">
        <v>898</v>
      </c>
      <c r="Q693" s="218"/>
      <c r="R693" s="202">
        <v>2500.0</v>
      </c>
      <c r="S693" s="17">
        <f>FRESADO!$R693*FRESADO!$E693</f>
        <v>2500</v>
      </c>
      <c r="T693" s="17">
        <f>FRESADO!$S693*16%</f>
        <v>400</v>
      </c>
      <c r="U693" s="17">
        <f>FRESADO!$S693+FRESADO!$T693</f>
        <v>2900</v>
      </c>
      <c r="V693" s="34" t="s">
        <v>899</v>
      </c>
      <c r="W693" s="104"/>
      <c r="X693" s="104"/>
      <c r="Y693" s="30"/>
      <c r="Z693" s="31" t="s">
        <v>77</v>
      </c>
    </row>
    <row r="694" ht="15.75" customHeight="1">
      <c r="A694" s="6">
        <v>30.0</v>
      </c>
      <c r="B694" s="213">
        <v>89.0</v>
      </c>
      <c r="C694" s="214">
        <v>1732.0</v>
      </c>
      <c r="D694" s="215">
        <v>46226.0</v>
      </c>
      <c r="E694" s="216">
        <v>1.0</v>
      </c>
      <c r="F694" s="216" t="s">
        <v>74</v>
      </c>
      <c r="G694" s="216" t="s">
        <v>690</v>
      </c>
      <c r="H694" s="216">
        <v>14.0</v>
      </c>
      <c r="I694" s="216" t="s">
        <v>34</v>
      </c>
      <c r="J694" s="216" t="s">
        <v>691</v>
      </c>
      <c r="K694" s="11" t="s">
        <v>36</v>
      </c>
      <c r="L694" s="217"/>
      <c r="M694" s="217"/>
      <c r="N694" s="216" t="s">
        <v>340</v>
      </c>
      <c r="O694" s="216" t="s">
        <v>189</v>
      </c>
      <c r="P694" s="216" t="s">
        <v>898</v>
      </c>
      <c r="Q694" s="218"/>
      <c r="R694" s="202">
        <v>2500.0</v>
      </c>
      <c r="S694" s="17">
        <f>FRESADO!$R694*FRESADO!$E694</f>
        <v>2500</v>
      </c>
      <c r="T694" s="17">
        <f>FRESADO!$S694*16%</f>
        <v>400</v>
      </c>
      <c r="U694" s="17">
        <f>FRESADO!$S694+FRESADO!$T694</f>
        <v>2900</v>
      </c>
      <c r="V694" s="34" t="s">
        <v>899</v>
      </c>
      <c r="W694" s="104"/>
      <c r="X694" s="104"/>
      <c r="Y694" s="30"/>
      <c r="Z694" s="31" t="s">
        <v>77</v>
      </c>
    </row>
    <row r="695" ht="15.75" customHeight="1">
      <c r="A695" s="6">
        <v>30.0</v>
      </c>
      <c r="B695" s="213">
        <v>90.0</v>
      </c>
      <c r="C695" s="214">
        <v>1733.0</v>
      </c>
      <c r="D695" s="215">
        <v>46226.0</v>
      </c>
      <c r="E695" s="216">
        <v>1.0</v>
      </c>
      <c r="F695" s="216" t="s">
        <v>74</v>
      </c>
      <c r="G695" s="216" t="s">
        <v>692</v>
      </c>
      <c r="H695" s="216">
        <v>14.0</v>
      </c>
      <c r="I695" s="216" t="s">
        <v>34</v>
      </c>
      <c r="J695" s="216" t="s">
        <v>693</v>
      </c>
      <c r="K695" s="11" t="s">
        <v>36</v>
      </c>
      <c r="L695" s="217"/>
      <c r="M695" s="217"/>
      <c r="N695" s="216" t="s">
        <v>340</v>
      </c>
      <c r="O695" s="216" t="s">
        <v>189</v>
      </c>
      <c r="P695" s="216" t="s">
        <v>898</v>
      </c>
      <c r="Q695" s="218"/>
      <c r="R695" s="202">
        <v>2500.0</v>
      </c>
      <c r="S695" s="17">
        <f>FRESADO!$R695*FRESADO!$E695</f>
        <v>2500</v>
      </c>
      <c r="T695" s="17">
        <f>FRESADO!$S695*16%</f>
        <v>400</v>
      </c>
      <c r="U695" s="17">
        <f>FRESADO!$S695+FRESADO!$T695</f>
        <v>2900</v>
      </c>
      <c r="V695" s="34" t="s">
        <v>899</v>
      </c>
      <c r="W695" s="104"/>
      <c r="X695" s="104"/>
      <c r="Y695" s="30"/>
      <c r="Z695" s="31" t="s">
        <v>77</v>
      </c>
    </row>
    <row r="696" ht="15.75" customHeight="1">
      <c r="A696" s="6">
        <v>30.0</v>
      </c>
      <c r="B696" s="213">
        <v>91.0</v>
      </c>
      <c r="C696" s="214">
        <v>1734.0</v>
      </c>
      <c r="D696" s="215">
        <v>46226.0</v>
      </c>
      <c r="E696" s="216">
        <v>1.0</v>
      </c>
      <c r="F696" s="216" t="s">
        <v>74</v>
      </c>
      <c r="G696" s="216" t="s">
        <v>900</v>
      </c>
      <c r="H696" s="216">
        <v>14.0</v>
      </c>
      <c r="I696" s="216" t="s">
        <v>34</v>
      </c>
      <c r="J696" s="216" t="s">
        <v>94</v>
      </c>
      <c r="K696" s="11" t="s">
        <v>36</v>
      </c>
      <c r="L696" s="217"/>
      <c r="M696" s="217"/>
      <c r="N696" s="216" t="s">
        <v>340</v>
      </c>
      <c r="O696" s="216" t="s">
        <v>189</v>
      </c>
      <c r="P696" s="216" t="s">
        <v>898</v>
      </c>
      <c r="Q696" s="218"/>
      <c r="R696" s="202">
        <v>2500.0</v>
      </c>
      <c r="S696" s="17">
        <f>FRESADO!$R696*FRESADO!$E696</f>
        <v>2500</v>
      </c>
      <c r="T696" s="17">
        <f>FRESADO!$S696*16%</f>
        <v>400</v>
      </c>
      <c r="U696" s="17">
        <f>FRESADO!$S696+FRESADO!$T696</f>
        <v>2900</v>
      </c>
      <c r="V696" s="34" t="s">
        <v>899</v>
      </c>
      <c r="W696" s="104"/>
      <c r="X696" s="104"/>
      <c r="Y696" s="30"/>
      <c r="Z696" s="31" t="s">
        <v>77</v>
      </c>
    </row>
    <row r="697" ht="15.75" customHeight="1">
      <c r="A697" s="6">
        <v>30.0</v>
      </c>
      <c r="B697" s="213">
        <v>92.0</v>
      </c>
      <c r="C697" s="214">
        <v>1735.0</v>
      </c>
      <c r="D697" s="215">
        <v>46226.0</v>
      </c>
      <c r="E697" s="216">
        <v>1.0</v>
      </c>
      <c r="F697" s="216" t="s">
        <v>74</v>
      </c>
      <c r="G697" s="216" t="s">
        <v>277</v>
      </c>
      <c r="H697" s="216">
        <v>14.0</v>
      </c>
      <c r="I697" s="216" t="s">
        <v>34</v>
      </c>
      <c r="J697" s="216" t="s">
        <v>278</v>
      </c>
      <c r="K697" s="11" t="s">
        <v>36</v>
      </c>
      <c r="L697" s="217"/>
      <c r="M697" s="217"/>
      <c r="N697" s="216" t="s">
        <v>340</v>
      </c>
      <c r="O697" s="216" t="s">
        <v>189</v>
      </c>
      <c r="P697" s="216" t="s">
        <v>898</v>
      </c>
      <c r="Q697" s="218"/>
      <c r="R697" s="202">
        <v>2500.0</v>
      </c>
      <c r="S697" s="17">
        <f>FRESADO!$R697*FRESADO!$E697</f>
        <v>2500</v>
      </c>
      <c r="T697" s="17">
        <f>FRESADO!$S697*16%</f>
        <v>400</v>
      </c>
      <c r="U697" s="17">
        <f>FRESADO!$S697+FRESADO!$T697</f>
        <v>2900</v>
      </c>
      <c r="V697" s="34" t="s">
        <v>899</v>
      </c>
      <c r="W697" s="104"/>
      <c r="X697" s="104"/>
      <c r="Y697" s="30"/>
      <c r="Z697" s="31" t="s">
        <v>77</v>
      </c>
    </row>
    <row r="698" ht="15.75" customHeight="1">
      <c r="A698" s="6">
        <v>30.0</v>
      </c>
      <c r="B698" s="213">
        <v>93.0</v>
      </c>
      <c r="C698" s="214">
        <v>1736.0</v>
      </c>
      <c r="D698" s="215">
        <v>46226.0</v>
      </c>
      <c r="E698" s="216">
        <v>1.0</v>
      </c>
      <c r="F698" s="216" t="s">
        <v>74</v>
      </c>
      <c r="G698" s="216" t="s">
        <v>192</v>
      </c>
      <c r="H698" s="216">
        <v>14.0</v>
      </c>
      <c r="I698" s="216" t="s">
        <v>34</v>
      </c>
      <c r="J698" s="216" t="s">
        <v>41</v>
      </c>
      <c r="K698" s="11" t="s">
        <v>36</v>
      </c>
      <c r="L698" s="217"/>
      <c r="M698" s="217"/>
      <c r="N698" s="216" t="s">
        <v>340</v>
      </c>
      <c r="O698" s="216" t="s">
        <v>189</v>
      </c>
      <c r="P698" s="216" t="s">
        <v>898</v>
      </c>
      <c r="Q698" s="218"/>
      <c r="R698" s="202">
        <v>2500.0</v>
      </c>
      <c r="S698" s="17">
        <f>FRESADO!$R698*FRESADO!$E698</f>
        <v>2500</v>
      </c>
      <c r="T698" s="17">
        <f>FRESADO!$S698*16%</f>
        <v>400</v>
      </c>
      <c r="U698" s="17">
        <f>FRESADO!$S698+FRESADO!$T698</f>
        <v>2900</v>
      </c>
      <c r="V698" s="34" t="s">
        <v>899</v>
      </c>
      <c r="W698" s="104"/>
      <c r="X698" s="104"/>
      <c r="Y698" s="30"/>
      <c r="Z698" s="31" t="s">
        <v>77</v>
      </c>
    </row>
    <row r="699" ht="15.75" customHeight="1">
      <c r="A699" s="6">
        <v>30.0</v>
      </c>
      <c r="B699" s="213">
        <v>94.0</v>
      </c>
      <c r="C699" s="214">
        <v>1737.0</v>
      </c>
      <c r="D699" s="215">
        <v>46226.0</v>
      </c>
      <c r="E699" s="216">
        <v>1.0</v>
      </c>
      <c r="F699" s="216" t="s">
        <v>74</v>
      </c>
      <c r="G699" s="216" t="s">
        <v>347</v>
      </c>
      <c r="H699" s="216">
        <v>14.0</v>
      </c>
      <c r="I699" s="216" t="s">
        <v>34</v>
      </c>
      <c r="J699" s="216" t="s">
        <v>70</v>
      </c>
      <c r="K699" s="11" t="s">
        <v>36</v>
      </c>
      <c r="L699" s="217"/>
      <c r="M699" s="217"/>
      <c r="N699" s="216" t="s">
        <v>340</v>
      </c>
      <c r="O699" s="216" t="s">
        <v>189</v>
      </c>
      <c r="P699" s="216" t="s">
        <v>898</v>
      </c>
      <c r="Q699" s="218"/>
      <c r="R699" s="202">
        <v>2500.0</v>
      </c>
      <c r="S699" s="17">
        <f>FRESADO!$R699*FRESADO!$E699</f>
        <v>2500</v>
      </c>
      <c r="T699" s="17">
        <f>FRESADO!$S699*16%</f>
        <v>400</v>
      </c>
      <c r="U699" s="17">
        <f>FRESADO!$S699+FRESADO!$T699</f>
        <v>2900</v>
      </c>
      <c r="V699" s="34" t="s">
        <v>899</v>
      </c>
      <c r="W699" s="104"/>
      <c r="X699" s="104"/>
      <c r="Y699" s="30"/>
      <c r="Z699" s="31" t="s">
        <v>77</v>
      </c>
    </row>
    <row r="700" ht="15.75" customHeight="1">
      <c r="A700" s="6">
        <v>30.0</v>
      </c>
      <c r="B700" s="213">
        <v>95.0</v>
      </c>
      <c r="C700" s="214">
        <v>1738.0</v>
      </c>
      <c r="D700" s="215">
        <v>46226.0</v>
      </c>
      <c r="E700" s="216">
        <v>1.0</v>
      </c>
      <c r="F700" s="216" t="s">
        <v>74</v>
      </c>
      <c r="G700" s="216" t="s">
        <v>690</v>
      </c>
      <c r="H700" s="216">
        <v>14.0</v>
      </c>
      <c r="I700" s="216" t="s">
        <v>34</v>
      </c>
      <c r="J700" s="216" t="s">
        <v>691</v>
      </c>
      <c r="K700" s="11" t="s">
        <v>36</v>
      </c>
      <c r="L700" s="217"/>
      <c r="M700" s="217"/>
      <c r="N700" s="216" t="s">
        <v>340</v>
      </c>
      <c r="O700" s="216" t="s">
        <v>189</v>
      </c>
      <c r="P700" s="216" t="s">
        <v>898</v>
      </c>
      <c r="Q700" s="218"/>
      <c r="R700" s="202">
        <v>2500.0</v>
      </c>
      <c r="S700" s="17">
        <f>FRESADO!$R700*FRESADO!$E700</f>
        <v>2500</v>
      </c>
      <c r="T700" s="17">
        <f>FRESADO!$S700*16%</f>
        <v>400</v>
      </c>
      <c r="U700" s="17">
        <f>FRESADO!$S700+FRESADO!$T700</f>
        <v>2900</v>
      </c>
      <c r="V700" s="34" t="s">
        <v>899</v>
      </c>
      <c r="W700" s="104"/>
      <c r="X700" s="104"/>
      <c r="Y700" s="30"/>
      <c r="Z700" s="31" t="s">
        <v>77</v>
      </c>
    </row>
    <row r="701" ht="15.75" customHeight="1">
      <c r="A701" s="6">
        <v>30.0</v>
      </c>
      <c r="B701" s="213">
        <v>96.0</v>
      </c>
      <c r="C701" s="214">
        <v>1739.0</v>
      </c>
      <c r="D701" s="215">
        <v>46226.0</v>
      </c>
      <c r="E701" s="216">
        <v>1.0</v>
      </c>
      <c r="F701" s="216" t="s">
        <v>74</v>
      </c>
      <c r="G701" s="216" t="s">
        <v>692</v>
      </c>
      <c r="H701" s="216">
        <v>14.0</v>
      </c>
      <c r="I701" s="216" t="s">
        <v>34</v>
      </c>
      <c r="J701" s="216" t="s">
        <v>693</v>
      </c>
      <c r="K701" s="11" t="s">
        <v>36</v>
      </c>
      <c r="L701" s="217"/>
      <c r="M701" s="217"/>
      <c r="N701" s="216" t="s">
        <v>340</v>
      </c>
      <c r="O701" s="216" t="s">
        <v>189</v>
      </c>
      <c r="P701" s="216" t="s">
        <v>898</v>
      </c>
      <c r="Q701" s="218"/>
      <c r="R701" s="202">
        <v>2500.0</v>
      </c>
      <c r="S701" s="17">
        <f>FRESADO!$R701*FRESADO!$E701</f>
        <v>2500</v>
      </c>
      <c r="T701" s="17">
        <f>FRESADO!$S701*16%</f>
        <v>400</v>
      </c>
      <c r="U701" s="17">
        <f>FRESADO!$S701+FRESADO!$T701</f>
        <v>2900</v>
      </c>
      <c r="V701" s="34" t="s">
        <v>899</v>
      </c>
      <c r="W701" s="104"/>
      <c r="X701" s="104"/>
      <c r="Y701" s="30"/>
      <c r="Z701" s="31" t="s">
        <v>77</v>
      </c>
    </row>
    <row r="702" ht="15.75" customHeight="1">
      <c r="A702" s="6">
        <v>30.0</v>
      </c>
      <c r="B702" s="213">
        <v>97.0</v>
      </c>
      <c r="C702" s="214">
        <v>1740.0</v>
      </c>
      <c r="D702" s="215">
        <v>46226.0</v>
      </c>
      <c r="E702" s="216">
        <v>1.0</v>
      </c>
      <c r="F702" s="216" t="s">
        <v>74</v>
      </c>
      <c r="G702" s="216" t="s">
        <v>900</v>
      </c>
      <c r="H702" s="216">
        <v>14.0</v>
      </c>
      <c r="I702" s="216" t="s">
        <v>34</v>
      </c>
      <c r="J702" s="216" t="s">
        <v>94</v>
      </c>
      <c r="K702" s="11" t="s">
        <v>36</v>
      </c>
      <c r="L702" s="217"/>
      <c r="M702" s="217"/>
      <c r="N702" s="216" t="s">
        <v>340</v>
      </c>
      <c r="O702" s="216" t="s">
        <v>189</v>
      </c>
      <c r="P702" s="216" t="s">
        <v>898</v>
      </c>
      <c r="Q702" s="218"/>
      <c r="R702" s="202">
        <v>2500.0</v>
      </c>
      <c r="S702" s="17">
        <f>FRESADO!$R702*FRESADO!$E702</f>
        <v>2500</v>
      </c>
      <c r="T702" s="17">
        <f>FRESADO!$S702*16%</f>
        <v>400</v>
      </c>
      <c r="U702" s="17">
        <f>FRESADO!$S702+FRESADO!$T702</f>
        <v>2900</v>
      </c>
      <c r="V702" s="34" t="s">
        <v>899</v>
      </c>
      <c r="W702" s="104"/>
      <c r="X702" s="104"/>
      <c r="Y702" s="30"/>
      <c r="Z702" s="31" t="s">
        <v>77</v>
      </c>
    </row>
    <row r="703" ht="15.75" customHeight="1">
      <c r="A703" s="6">
        <v>30.0</v>
      </c>
      <c r="B703" s="213">
        <v>98.0</v>
      </c>
      <c r="C703" s="214">
        <v>1741.0</v>
      </c>
      <c r="D703" s="215">
        <v>46226.0</v>
      </c>
      <c r="E703" s="216">
        <v>1.0</v>
      </c>
      <c r="F703" s="216" t="s">
        <v>74</v>
      </c>
      <c r="G703" s="216" t="s">
        <v>277</v>
      </c>
      <c r="H703" s="216">
        <v>14.0</v>
      </c>
      <c r="I703" s="216" t="s">
        <v>34</v>
      </c>
      <c r="J703" s="216" t="s">
        <v>278</v>
      </c>
      <c r="K703" s="11" t="s">
        <v>36</v>
      </c>
      <c r="L703" s="217"/>
      <c r="M703" s="217"/>
      <c r="N703" s="216" t="s">
        <v>340</v>
      </c>
      <c r="O703" s="216" t="s">
        <v>189</v>
      </c>
      <c r="P703" s="216" t="s">
        <v>898</v>
      </c>
      <c r="Q703" s="218"/>
      <c r="R703" s="202">
        <v>2500.0</v>
      </c>
      <c r="S703" s="17">
        <f>FRESADO!$R703*FRESADO!$E703</f>
        <v>2500</v>
      </c>
      <c r="T703" s="17">
        <f>FRESADO!$S703*16%</f>
        <v>400</v>
      </c>
      <c r="U703" s="17">
        <f>FRESADO!$S703+FRESADO!$T703</f>
        <v>2900</v>
      </c>
      <c r="V703" s="34" t="s">
        <v>899</v>
      </c>
      <c r="W703" s="104"/>
      <c r="X703" s="104"/>
      <c r="Y703" s="30"/>
      <c r="Z703" s="31" t="s">
        <v>77</v>
      </c>
    </row>
    <row r="704" ht="15.75" customHeight="1">
      <c r="A704" s="6">
        <v>30.0</v>
      </c>
      <c r="B704" s="213">
        <v>99.0</v>
      </c>
      <c r="C704" s="214">
        <v>1742.0</v>
      </c>
      <c r="D704" s="215">
        <v>46226.0</v>
      </c>
      <c r="E704" s="216">
        <v>1.0</v>
      </c>
      <c r="F704" s="216" t="s">
        <v>74</v>
      </c>
      <c r="G704" s="216" t="s">
        <v>347</v>
      </c>
      <c r="H704" s="216">
        <v>14.0</v>
      </c>
      <c r="I704" s="216" t="s">
        <v>34</v>
      </c>
      <c r="J704" s="216" t="s">
        <v>70</v>
      </c>
      <c r="K704" s="11" t="s">
        <v>36</v>
      </c>
      <c r="L704" s="217"/>
      <c r="M704" s="217"/>
      <c r="N704" s="216" t="s">
        <v>340</v>
      </c>
      <c r="O704" s="216" t="s">
        <v>189</v>
      </c>
      <c r="P704" s="216" t="s">
        <v>898</v>
      </c>
      <c r="Q704" s="218"/>
      <c r="R704" s="202">
        <v>2500.0</v>
      </c>
      <c r="S704" s="17">
        <f>FRESADO!$R704*FRESADO!$E704</f>
        <v>2500</v>
      </c>
      <c r="T704" s="17">
        <f>FRESADO!$S704*16%</f>
        <v>400</v>
      </c>
      <c r="U704" s="17">
        <f>FRESADO!$S704+FRESADO!$T704</f>
        <v>2900</v>
      </c>
      <c r="V704" s="34" t="s">
        <v>899</v>
      </c>
      <c r="W704" s="104"/>
      <c r="X704" s="104"/>
      <c r="Y704" s="30"/>
      <c r="Z704" s="31" t="s">
        <v>77</v>
      </c>
    </row>
    <row r="705" ht="15.75" customHeight="1">
      <c r="A705" s="6">
        <v>30.0</v>
      </c>
      <c r="B705" s="213">
        <v>100.0</v>
      </c>
      <c r="C705" s="214">
        <v>1743.0</v>
      </c>
      <c r="D705" s="215">
        <v>46226.0</v>
      </c>
      <c r="E705" s="216">
        <v>1.0</v>
      </c>
      <c r="F705" s="216" t="s">
        <v>74</v>
      </c>
      <c r="G705" s="216" t="s">
        <v>690</v>
      </c>
      <c r="H705" s="216">
        <v>14.0</v>
      </c>
      <c r="I705" s="216" t="s">
        <v>34</v>
      </c>
      <c r="J705" s="216" t="s">
        <v>691</v>
      </c>
      <c r="K705" s="11" t="s">
        <v>36</v>
      </c>
      <c r="L705" s="217"/>
      <c r="M705" s="217"/>
      <c r="N705" s="216" t="s">
        <v>340</v>
      </c>
      <c r="O705" s="216" t="s">
        <v>189</v>
      </c>
      <c r="P705" s="216" t="s">
        <v>898</v>
      </c>
      <c r="Q705" s="218"/>
      <c r="R705" s="202">
        <v>2500.0</v>
      </c>
      <c r="S705" s="17">
        <f>FRESADO!$R705*FRESADO!$E705</f>
        <v>2500</v>
      </c>
      <c r="T705" s="17">
        <f>FRESADO!$S705*16%</f>
        <v>400</v>
      </c>
      <c r="U705" s="17">
        <f>FRESADO!$S705+FRESADO!$T705</f>
        <v>2900</v>
      </c>
      <c r="V705" s="34" t="s">
        <v>899</v>
      </c>
      <c r="W705" s="104"/>
      <c r="X705" s="104"/>
      <c r="Y705" s="30"/>
      <c r="Z705" s="31" t="s">
        <v>77</v>
      </c>
    </row>
    <row r="706" ht="15.75" customHeight="1">
      <c r="A706" s="6">
        <v>30.0</v>
      </c>
      <c r="B706" s="213">
        <v>101.0</v>
      </c>
      <c r="C706" s="214">
        <v>1744.0</v>
      </c>
      <c r="D706" s="215">
        <v>46226.0</v>
      </c>
      <c r="E706" s="216">
        <v>1.0</v>
      </c>
      <c r="F706" s="216" t="s">
        <v>74</v>
      </c>
      <c r="G706" s="216" t="s">
        <v>192</v>
      </c>
      <c r="H706" s="216">
        <v>14.0</v>
      </c>
      <c r="I706" s="216" t="s">
        <v>34</v>
      </c>
      <c r="J706" s="216" t="s">
        <v>41</v>
      </c>
      <c r="K706" s="11" t="s">
        <v>36</v>
      </c>
      <c r="L706" s="217"/>
      <c r="M706" s="217"/>
      <c r="N706" s="216" t="s">
        <v>340</v>
      </c>
      <c r="O706" s="216" t="s">
        <v>189</v>
      </c>
      <c r="P706" s="216" t="s">
        <v>898</v>
      </c>
      <c r="Q706" s="218"/>
      <c r="R706" s="202">
        <v>2500.0</v>
      </c>
      <c r="S706" s="17">
        <f>FRESADO!$R706*FRESADO!$E706</f>
        <v>2500</v>
      </c>
      <c r="T706" s="17">
        <f>FRESADO!$S706*16%</f>
        <v>400</v>
      </c>
      <c r="U706" s="17">
        <f>FRESADO!$S706+FRESADO!$T706</f>
        <v>2900</v>
      </c>
      <c r="V706" s="34" t="s">
        <v>899</v>
      </c>
      <c r="W706" s="104"/>
      <c r="X706" s="104"/>
      <c r="Y706" s="30"/>
      <c r="Z706" s="31" t="s">
        <v>77</v>
      </c>
    </row>
    <row r="707" ht="15.75" customHeight="1">
      <c r="A707" s="6">
        <v>30.0</v>
      </c>
      <c r="B707" s="213">
        <v>102.0</v>
      </c>
      <c r="C707" s="214">
        <v>1745.0</v>
      </c>
      <c r="D707" s="215">
        <v>46226.0</v>
      </c>
      <c r="E707" s="216">
        <v>1.0</v>
      </c>
      <c r="F707" s="216" t="s">
        <v>74</v>
      </c>
      <c r="G707" s="216" t="s">
        <v>692</v>
      </c>
      <c r="H707" s="216">
        <v>14.0</v>
      </c>
      <c r="I707" s="216" t="s">
        <v>34</v>
      </c>
      <c r="J707" s="216" t="s">
        <v>693</v>
      </c>
      <c r="K707" s="11" t="s">
        <v>36</v>
      </c>
      <c r="L707" s="217"/>
      <c r="M707" s="217"/>
      <c r="N707" s="216" t="s">
        <v>340</v>
      </c>
      <c r="O707" s="216" t="s">
        <v>189</v>
      </c>
      <c r="P707" s="216" t="s">
        <v>898</v>
      </c>
      <c r="Q707" s="218"/>
      <c r="R707" s="202">
        <v>2500.0</v>
      </c>
      <c r="S707" s="17">
        <f>FRESADO!$R707*FRESADO!$E707</f>
        <v>2500</v>
      </c>
      <c r="T707" s="17">
        <f>FRESADO!$S707*16%</f>
        <v>400</v>
      </c>
      <c r="U707" s="17">
        <f>FRESADO!$S707+FRESADO!$T707</f>
        <v>2900</v>
      </c>
      <c r="V707" s="34" t="s">
        <v>899</v>
      </c>
      <c r="W707" s="104"/>
      <c r="X707" s="104"/>
      <c r="Y707" s="30"/>
      <c r="Z707" s="31" t="s">
        <v>77</v>
      </c>
    </row>
    <row r="708" ht="15.75" customHeight="1">
      <c r="A708" s="6">
        <v>30.0</v>
      </c>
      <c r="B708" s="213">
        <v>103.0</v>
      </c>
      <c r="C708" s="214">
        <v>1746.0</v>
      </c>
      <c r="D708" s="215">
        <v>46226.0</v>
      </c>
      <c r="E708" s="216">
        <v>1.0</v>
      </c>
      <c r="F708" s="216" t="s">
        <v>73</v>
      </c>
      <c r="G708" s="216" t="s">
        <v>887</v>
      </c>
      <c r="H708" s="93">
        <v>10.0</v>
      </c>
      <c r="I708" s="216" t="s">
        <v>34</v>
      </c>
      <c r="J708" s="216" t="s">
        <v>888</v>
      </c>
      <c r="K708" s="11" t="s">
        <v>36</v>
      </c>
      <c r="L708" s="217"/>
      <c r="M708" s="217"/>
      <c r="N708" s="216" t="s">
        <v>340</v>
      </c>
      <c r="O708" s="216" t="s">
        <v>189</v>
      </c>
      <c r="P708" s="216" t="s">
        <v>898</v>
      </c>
      <c r="Q708" s="218" t="s">
        <v>902</v>
      </c>
      <c r="R708" s="202">
        <v>4500.0</v>
      </c>
      <c r="S708" s="17">
        <f>FRESADO!$R708*FRESADO!$E708</f>
        <v>4500</v>
      </c>
      <c r="T708" s="17">
        <f>FRESADO!$S708*16%</f>
        <v>720</v>
      </c>
      <c r="U708" s="17">
        <f>FRESADO!$S708+FRESADO!$T708</f>
        <v>5220</v>
      </c>
      <c r="V708" s="34" t="s">
        <v>899</v>
      </c>
      <c r="W708" s="104"/>
      <c r="X708" s="104"/>
      <c r="Y708" s="30"/>
    </row>
    <row r="709" ht="15.75" customHeight="1">
      <c r="A709" s="6">
        <v>30.0</v>
      </c>
      <c r="B709" s="213">
        <v>104.0</v>
      </c>
      <c r="C709" s="224">
        <v>1747.0</v>
      </c>
      <c r="D709" s="215">
        <v>46226.0</v>
      </c>
      <c r="E709" s="216">
        <v>1.0</v>
      </c>
      <c r="F709" s="216" t="s">
        <v>388</v>
      </c>
      <c r="G709" s="216" t="s">
        <v>583</v>
      </c>
      <c r="H709" s="93">
        <v>7.0</v>
      </c>
      <c r="I709" s="216" t="s">
        <v>34</v>
      </c>
      <c r="J709" s="216" t="s">
        <v>584</v>
      </c>
      <c r="K709" s="34" t="s">
        <v>50</v>
      </c>
      <c r="L709" s="217"/>
      <c r="M709" s="217"/>
      <c r="N709" s="216" t="s">
        <v>340</v>
      </c>
      <c r="O709" s="216" t="s">
        <v>189</v>
      </c>
      <c r="P709" s="216" t="s">
        <v>898</v>
      </c>
      <c r="Q709" s="218" t="s">
        <v>390</v>
      </c>
      <c r="R709" s="202">
        <v>4500.0</v>
      </c>
      <c r="S709" s="17">
        <f>FRESADO!$R709*FRESADO!$E709</f>
        <v>4500</v>
      </c>
      <c r="T709" s="17">
        <f>FRESADO!$S709*16%</f>
        <v>720</v>
      </c>
      <c r="U709" s="17">
        <f>FRESADO!$S709+FRESADO!$T709</f>
        <v>5220</v>
      </c>
      <c r="V709" s="34" t="s">
        <v>697</v>
      </c>
      <c r="W709" s="104"/>
      <c r="X709" s="104"/>
      <c r="Y709" s="30"/>
    </row>
    <row r="710" ht="15.75" customHeight="1">
      <c r="A710" s="6">
        <v>30.0</v>
      </c>
      <c r="B710" s="213">
        <v>105.0</v>
      </c>
      <c r="C710" s="216">
        <v>1748.0</v>
      </c>
      <c r="D710" s="215">
        <v>46227.0</v>
      </c>
      <c r="E710" s="216">
        <v>1.0</v>
      </c>
      <c r="F710" s="216" t="s">
        <v>74</v>
      </c>
      <c r="G710" s="216" t="s">
        <v>900</v>
      </c>
      <c r="H710" s="216">
        <v>14.0</v>
      </c>
      <c r="I710" s="216" t="s">
        <v>34</v>
      </c>
      <c r="J710" s="216" t="s">
        <v>94</v>
      </c>
      <c r="K710" s="11" t="s">
        <v>36</v>
      </c>
      <c r="L710" s="217"/>
      <c r="M710" s="217"/>
      <c r="N710" s="216" t="s">
        <v>398</v>
      </c>
      <c r="O710" s="216" t="s">
        <v>189</v>
      </c>
      <c r="P710" s="216" t="s">
        <v>898</v>
      </c>
      <c r="Q710" s="218" t="s">
        <v>399</v>
      </c>
      <c r="R710" s="202">
        <v>3355.0</v>
      </c>
      <c r="S710" s="17">
        <f>FRESADO!$R710*FRESADO!$E710</f>
        <v>3355</v>
      </c>
      <c r="T710" s="17">
        <f>FRESADO!$S710*16%</f>
        <v>536.8</v>
      </c>
      <c r="U710" s="17">
        <f>FRESADO!$S710+FRESADO!$T710</f>
        <v>3891.8</v>
      </c>
      <c r="V710" s="34" t="s">
        <v>899</v>
      </c>
      <c r="W710" s="104"/>
      <c r="X710" s="104"/>
      <c r="Y710" s="30"/>
      <c r="Z710" s="219" t="s">
        <v>399</v>
      </c>
    </row>
    <row r="711" ht="15.75" customHeight="1">
      <c r="A711" s="6">
        <v>30.0</v>
      </c>
      <c r="B711" s="213">
        <v>106.0</v>
      </c>
      <c r="C711" s="216">
        <v>1749.0</v>
      </c>
      <c r="D711" s="215">
        <v>46227.0</v>
      </c>
      <c r="E711" s="216">
        <v>1.0</v>
      </c>
      <c r="F711" s="216" t="s">
        <v>74</v>
      </c>
      <c r="G711" s="216" t="s">
        <v>692</v>
      </c>
      <c r="H711" s="216">
        <v>14.0</v>
      </c>
      <c r="I711" s="216" t="s">
        <v>34</v>
      </c>
      <c r="J711" s="216" t="s">
        <v>693</v>
      </c>
      <c r="K711" s="11" t="s">
        <v>36</v>
      </c>
      <c r="L711" s="217"/>
      <c r="M711" s="217"/>
      <c r="N711" s="216" t="s">
        <v>398</v>
      </c>
      <c r="O711" s="216" t="s">
        <v>189</v>
      </c>
      <c r="P711" s="216" t="s">
        <v>898</v>
      </c>
      <c r="Q711" s="218" t="s">
        <v>399</v>
      </c>
      <c r="R711" s="202">
        <v>3855.0</v>
      </c>
      <c r="S711" s="17">
        <f>FRESADO!$R711*FRESADO!$E711</f>
        <v>3855</v>
      </c>
      <c r="T711" s="17">
        <f>FRESADO!$S711*16%</f>
        <v>616.8</v>
      </c>
      <c r="U711" s="17">
        <f>FRESADO!$S711+FRESADO!$T711</f>
        <v>4471.8</v>
      </c>
      <c r="V711" s="34" t="s">
        <v>899</v>
      </c>
      <c r="W711" s="104"/>
      <c r="X711" s="104"/>
      <c r="Y711" s="30"/>
      <c r="Z711" s="219" t="s">
        <v>399</v>
      </c>
    </row>
    <row r="712" ht="15.75" customHeight="1">
      <c r="A712" s="6">
        <v>30.0</v>
      </c>
      <c r="B712" s="213">
        <v>107.0</v>
      </c>
      <c r="C712" s="216">
        <v>1750.0</v>
      </c>
      <c r="D712" s="215">
        <v>46227.0</v>
      </c>
      <c r="E712" s="216">
        <v>1.0</v>
      </c>
      <c r="F712" s="216" t="s">
        <v>74</v>
      </c>
      <c r="G712" s="216" t="s">
        <v>690</v>
      </c>
      <c r="H712" s="216">
        <v>14.0</v>
      </c>
      <c r="I712" s="216" t="s">
        <v>34</v>
      </c>
      <c r="J712" s="216" t="s">
        <v>691</v>
      </c>
      <c r="K712" s="11" t="s">
        <v>36</v>
      </c>
      <c r="L712" s="217"/>
      <c r="M712" s="217"/>
      <c r="N712" s="216" t="s">
        <v>398</v>
      </c>
      <c r="O712" s="216" t="s">
        <v>189</v>
      </c>
      <c r="P712" s="216" t="s">
        <v>898</v>
      </c>
      <c r="Q712" s="218" t="s">
        <v>399</v>
      </c>
      <c r="R712" s="202">
        <v>3855.0</v>
      </c>
      <c r="S712" s="17">
        <f>FRESADO!$R712*FRESADO!$E712</f>
        <v>3855</v>
      </c>
      <c r="T712" s="17">
        <f>FRESADO!$S712*16%</f>
        <v>616.8</v>
      </c>
      <c r="U712" s="17">
        <f>FRESADO!$S712+FRESADO!$T712</f>
        <v>4471.8</v>
      </c>
      <c r="V712" s="34" t="s">
        <v>899</v>
      </c>
      <c r="W712" s="104"/>
      <c r="X712" s="104"/>
      <c r="Y712" s="30"/>
      <c r="Z712" s="219" t="s">
        <v>399</v>
      </c>
    </row>
    <row r="713" ht="15.75" customHeight="1">
      <c r="A713" s="6">
        <v>30.0</v>
      </c>
      <c r="B713" s="213">
        <v>108.0</v>
      </c>
      <c r="C713" s="101">
        <v>1858.0</v>
      </c>
      <c r="D713" s="215">
        <v>46227.0</v>
      </c>
      <c r="E713" s="216">
        <v>1.0</v>
      </c>
      <c r="F713" s="225" t="s">
        <v>74</v>
      </c>
      <c r="G713" s="216" t="s">
        <v>903</v>
      </c>
      <c r="H713" s="216">
        <v>14.0</v>
      </c>
      <c r="I713" s="216" t="s">
        <v>34</v>
      </c>
      <c r="J713" s="216" t="s">
        <v>278</v>
      </c>
      <c r="K713" s="11" t="s">
        <v>36</v>
      </c>
      <c r="L713" s="217"/>
      <c r="M713" s="217"/>
      <c r="N713" s="216" t="s">
        <v>340</v>
      </c>
      <c r="O713" s="216" t="s">
        <v>189</v>
      </c>
      <c r="P713" s="216" t="s">
        <v>898</v>
      </c>
      <c r="Q713" s="218"/>
      <c r="R713" s="202">
        <v>2500.0</v>
      </c>
      <c r="S713" s="17">
        <f>FRESADO!$R713*FRESADO!$E713</f>
        <v>2500</v>
      </c>
      <c r="T713" s="17">
        <f>FRESADO!$S713*16%</f>
        <v>400</v>
      </c>
      <c r="U713" s="17">
        <f>FRESADO!$S713+FRESADO!$T713</f>
        <v>2900</v>
      </c>
      <c r="V713" s="34" t="s">
        <v>899</v>
      </c>
      <c r="W713" s="104"/>
      <c r="X713" s="104"/>
      <c r="Y713" s="30"/>
      <c r="Z713" s="31" t="s">
        <v>77</v>
      </c>
    </row>
    <row r="714" ht="15.75" customHeight="1">
      <c r="A714" s="6">
        <v>30.0</v>
      </c>
      <c r="B714" s="213">
        <v>109.0</v>
      </c>
      <c r="C714" s="214">
        <v>1859.0</v>
      </c>
      <c r="D714" s="215">
        <v>46227.0</v>
      </c>
      <c r="E714" s="216">
        <v>1.0</v>
      </c>
      <c r="F714" s="216" t="s">
        <v>74</v>
      </c>
      <c r="G714" s="216" t="s">
        <v>280</v>
      </c>
      <c r="H714" s="216">
        <v>14.0</v>
      </c>
      <c r="I714" s="216" t="s">
        <v>34</v>
      </c>
      <c r="J714" s="216" t="s">
        <v>272</v>
      </c>
      <c r="K714" s="11" t="s">
        <v>36</v>
      </c>
      <c r="L714" s="217"/>
      <c r="M714" s="217"/>
      <c r="N714" s="216" t="s">
        <v>340</v>
      </c>
      <c r="O714" s="216" t="s">
        <v>189</v>
      </c>
      <c r="P714" s="216" t="s">
        <v>898</v>
      </c>
      <c r="Q714" s="218"/>
      <c r="R714" s="202">
        <v>2500.0</v>
      </c>
      <c r="S714" s="17">
        <f>FRESADO!$R714*FRESADO!$E714</f>
        <v>2500</v>
      </c>
      <c r="T714" s="17">
        <f>FRESADO!$S714*16%</f>
        <v>400</v>
      </c>
      <c r="U714" s="17">
        <f>FRESADO!$S714+FRESADO!$T714</f>
        <v>2900</v>
      </c>
      <c r="V714" s="34" t="s">
        <v>899</v>
      </c>
      <c r="W714" s="104"/>
      <c r="X714" s="104"/>
      <c r="Y714" s="30"/>
      <c r="Z714" s="31" t="s">
        <v>77</v>
      </c>
    </row>
    <row r="715" ht="15.75" customHeight="1">
      <c r="A715" s="6">
        <v>30.0</v>
      </c>
      <c r="B715" s="213">
        <v>110.0</v>
      </c>
      <c r="C715" s="214">
        <v>1860.0</v>
      </c>
      <c r="D715" s="215">
        <v>46227.0</v>
      </c>
      <c r="E715" s="216">
        <v>1.0</v>
      </c>
      <c r="F715" s="216" t="s">
        <v>74</v>
      </c>
      <c r="G715" s="216" t="s">
        <v>347</v>
      </c>
      <c r="H715" s="216">
        <v>14.0</v>
      </c>
      <c r="I715" s="216" t="s">
        <v>34</v>
      </c>
      <c r="J715" s="216" t="s">
        <v>70</v>
      </c>
      <c r="K715" s="11" t="s">
        <v>36</v>
      </c>
      <c r="L715" s="217"/>
      <c r="M715" s="217"/>
      <c r="N715" s="216" t="s">
        <v>340</v>
      </c>
      <c r="O715" s="216" t="s">
        <v>189</v>
      </c>
      <c r="P715" s="216" t="s">
        <v>898</v>
      </c>
      <c r="Q715" s="218"/>
      <c r="R715" s="202">
        <v>2500.0</v>
      </c>
      <c r="S715" s="17">
        <f>FRESADO!$R715*FRESADO!$E715</f>
        <v>2500</v>
      </c>
      <c r="T715" s="17">
        <f>FRESADO!$S715*16%</f>
        <v>400</v>
      </c>
      <c r="U715" s="17">
        <f>FRESADO!$S715+FRESADO!$T715</f>
        <v>2900</v>
      </c>
      <c r="V715" s="34" t="s">
        <v>899</v>
      </c>
      <c r="W715" s="104"/>
      <c r="X715" s="104"/>
      <c r="Y715" s="30"/>
      <c r="Z715" s="31" t="s">
        <v>77</v>
      </c>
    </row>
    <row r="716" ht="15.75" customHeight="1">
      <c r="A716" s="6">
        <v>30.0</v>
      </c>
      <c r="B716" s="213">
        <v>111.0</v>
      </c>
      <c r="C716" s="214">
        <v>1861.0</v>
      </c>
      <c r="D716" s="215">
        <v>46227.0</v>
      </c>
      <c r="E716" s="216">
        <v>1.0</v>
      </c>
      <c r="F716" s="216" t="s">
        <v>74</v>
      </c>
      <c r="G716" s="216" t="s">
        <v>192</v>
      </c>
      <c r="H716" s="216">
        <v>14.0</v>
      </c>
      <c r="I716" s="216" t="s">
        <v>34</v>
      </c>
      <c r="J716" s="216" t="s">
        <v>41</v>
      </c>
      <c r="K716" s="11" t="s">
        <v>36</v>
      </c>
      <c r="L716" s="217"/>
      <c r="M716" s="217"/>
      <c r="N716" s="216" t="s">
        <v>340</v>
      </c>
      <c r="O716" s="216" t="s">
        <v>189</v>
      </c>
      <c r="P716" s="216" t="s">
        <v>898</v>
      </c>
      <c r="Q716" s="218"/>
      <c r="R716" s="202">
        <v>2500.0</v>
      </c>
      <c r="S716" s="17">
        <f>FRESADO!$R716*FRESADO!$E716</f>
        <v>2500</v>
      </c>
      <c r="T716" s="17">
        <f>FRESADO!$S716*16%</f>
        <v>400</v>
      </c>
      <c r="U716" s="17">
        <f>FRESADO!$S716+FRESADO!$T716</f>
        <v>2900</v>
      </c>
      <c r="V716" s="34" t="s">
        <v>899</v>
      </c>
      <c r="W716" s="104"/>
      <c r="X716" s="104"/>
      <c r="Y716" s="30"/>
      <c r="Z716" s="31" t="s">
        <v>77</v>
      </c>
    </row>
    <row r="717" ht="15.75" customHeight="1">
      <c r="A717" s="6">
        <v>30.0</v>
      </c>
      <c r="B717" s="213">
        <v>112.0</v>
      </c>
      <c r="C717" s="214">
        <v>1862.0</v>
      </c>
      <c r="D717" s="215">
        <v>46227.0</v>
      </c>
      <c r="E717" s="216">
        <v>1.0</v>
      </c>
      <c r="F717" s="216" t="s">
        <v>74</v>
      </c>
      <c r="G717" s="216" t="s">
        <v>280</v>
      </c>
      <c r="H717" s="216">
        <v>14.0</v>
      </c>
      <c r="I717" s="216" t="s">
        <v>34</v>
      </c>
      <c r="J717" s="216" t="s">
        <v>272</v>
      </c>
      <c r="K717" s="11" t="s">
        <v>36</v>
      </c>
      <c r="L717" s="217"/>
      <c r="M717" s="217"/>
      <c r="N717" s="216" t="s">
        <v>340</v>
      </c>
      <c r="O717" s="216" t="s">
        <v>189</v>
      </c>
      <c r="P717" s="216" t="s">
        <v>898</v>
      </c>
      <c r="Q717" s="218"/>
      <c r="R717" s="202">
        <v>2500.0</v>
      </c>
      <c r="S717" s="17">
        <f>FRESADO!$R717*FRESADO!$E717</f>
        <v>2500</v>
      </c>
      <c r="T717" s="17">
        <f>FRESADO!$S717*16%</f>
        <v>400</v>
      </c>
      <c r="U717" s="17">
        <f>FRESADO!$S717+FRESADO!$T717</f>
        <v>2900</v>
      </c>
      <c r="V717" s="34" t="s">
        <v>899</v>
      </c>
      <c r="W717" s="104"/>
      <c r="X717" s="104"/>
      <c r="Y717" s="30"/>
      <c r="Z717" s="31" t="s">
        <v>77</v>
      </c>
    </row>
    <row r="718" ht="15.75" customHeight="1">
      <c r="A718" s="6">
        <v>30.0</v>
      </c>
      <c r="B718" s="213">
        <v>113.0</v>
      </c>
      <c r="C718" s="214">
        <v>1863.0</v>
      </c>
      <c r="D718" s="215">
        <v>46227.0</v>
      </c>
      <c r="E718" s="216">
        <v>1.0</v>
      </c>
      <c r="F718" s="216" t="s">
        <v>74</v>
      </c>
      <c r="G718" s="216" t="s">
        <v>277</v>
      </c>
      <c r="H718" s="216">
        <v>14.0</v>
      </c>
      <c r="I718" s="216" t="s">
        <v>34</v>
      </c>
      <c r="J718" s="216" t="s">
        <v>278</v>
      </c>
      <c r="K718" s="11" t="s">
        <v>36</v>
      </c>
      <c r="L718" s="217"/>
      <c r="M718" s="217"/>
      <c r="N718" s="216" t="s">
        <v>340</v>
      </c>
      <c r="O718" s="216" t="s">
        <v>189</v>
      </c>
      <c r="P718" s="216" t="s">
        <v>898</v>
      </c>
      <c r="Q718" s="218"/>
      <c r="R718" s="202">
        <v>2500.0</v>
      </c>
      <c r="S718" s="17">
        <f>FRESADO!$R718*FRESADO!$E718</f>
        <v>2500</v>
      </c>
      <c r="T718" s="17">
        <f>FRESADO!$S718*16%</f>
        <v>400</v>
      </c>
      <c r="U718" s="17">
        <f>FRESADO!$S718+FRESADO!$T718</f>
        <v>2900</v>
      </c>
      <c r="V718" s="34" t="s">
        <v>899</v>
      </c>
      <c r="W718" s="104"/>
      <c r="X718" s="104"/>
      <c r="Y718" s="30"/>
      <c r="Z718" s="31" t="s">
        <v>77</v>
      </c>
    </row>
    <row r="719" ht="15.75" customHeight="1">
      <c r="A719" s="6">
        <v>30.0</v>
      </c>
      <c r="B719" s="213">
        <v>114.0</v>
      </c>
      <c r="C719" s="214">
        <v>1864.0</v>
      </c>
      <c r="D719" s="215">
        <v>46227.0</v>
      </c>
      <c r="E719" s="216">
        <v>1.0</v>
      </c>
      <c r="F719" s="216" t="s">
        <v>74</v>
      </c>
      <c r="G719" s="216" t="s">
        <v>900</v>
      </c>
      <c r="H719" s="216">
        <v>14.0</v>
      </c>
      <c r="I719" s="216" t="s">
        <v>34</v>
      </c>
      <c r="J719" s="216" t="s">
        <v>94</v>
      </c>
      <c r="K719" s="11" t="s">
        <v>36</v>
      </c>
      <c r="L719" s="217"/>
      <c r="M719" s="217"/>
      <c r="N719" s="216" t="s">
        <v>340</v>
      </c>
      <c r="O719" s="216" t="s">
        <v>189</v>
      </c>
      <c r="P719" s="216" t="s">
        <v>898</v>
      </c>
      <c r="Q719" s="218"/>
      <c r="R719" s="202">
        <v>2500.0</v>
      </c>
      <c r="S719" s="17">
        <f>FRESADO!$R719*FRESADO!$E719</f>
        <v>2500</v>
      </c>
      <c r="T719" s="17">
        <f>FRESADO!$S719*16%</f>
        <v>400</v>
      </c>
      <c r="U719" s="17">
        <f>FRESADO!$S719+FRESADO!$T719</f>
        <v>2900</v>
      </c>
      <c r="V719" s="34" t="s">
        <v>899</v>
      </c>
      <c r="W719" s="104"/>
      <c r="X719" s="104"/>
      <c r="Y719" s="30"/>
      <c r="Z719" s="31" t="s">
        <v>77</v>
      </c>
    </row>
    <row r="720" ht="15.75" customHeight="1">
      <c r="A720" s="6">
        <v>30.0</v>
      </c>
      <c r="B720" s="213">
        <v>115.0</v>
      </c>
      <c r="C720" s="214">
        <v>1865.0</v>
      </c>
      <c r="D720" s="215">
        <v>46227.0</v>
      </c>
      <c r="E720" s="216">
        <v>1.0</v>
      </c>
      <c r="F720" s="216" t="s">
        <v>74</v>
      </c>
      <c r="G720" s="216" t="s">
        <v>692</v>
      </c>
      <c r="H720" s="216">
        <v>14.0</v>
      </c>
      <c r="I720" s="216" t="s">
        <v>34</v>
      </c>
      <c r="J720" s="216" t="s">
        <v>693</v>
      </c>
      <c r="K720" s="11" t="s">
        <v>36</v>
      </c>
      <c r="L720" s="217"/>
      <c r="M720" s="217"/>
      <c r="N720" s="216" t="s">
        <v>340</v>
      </c>
      <c r="O720" s="216" t="s">
        <v>189</v>
      </c>
      <c r="P720" s="216" t="s">
        <v>898</v>
      </c>
      <c r="Q720" s="218"/>
      <c r="R720" s="202">
        <v>2500.0</v>
      </c>
      <c r="S720" s="17">
        <f>FRESADO!$R720*FRESADO!$E720</f>
        <v>2500</v>
      </c>
      <c r="T720" s="17">
        <f>FRESADO!$S720*16%</f>
        <v>400</v>
      </c>
      <c r="U720" s="17">
        <f>FRESADO!$S720+FRESADO!$T720</f>
        <v>2900</v>
      </c>
      <c r="V720" s="34" t="s">
        <v>899</v>
      </c>
      <c r="W720" s="104"/>
      <c r="X720" s="104"/>
      <c r="Y720" s="30"/>
      <c r="Z720" s="31" t="s">
        <v>77</v>
      </c>
    </row>
    <row r="721" ht="15.75" customHeight="1">
      <c r="A721" s="6">
        <v>30.0</v>
      </c>
      <c r="B721" s="213">
        <v>116.0</v>
      </c>
      <c r="C721" s="214">
        <v>1866.0</v>
      </c>
      <c r="D721" s="215">
        <v>46227.0</v>
      </c>
      <c r="E721" s="216">
        <v>1.0</v>
      </c>
      <c r="F721" s="216" t="s">
        <v>74</v>
      </c>
      <c r="G721" s="216" t="s">
        <v>347</v>
      </c>
      <c r="H721" s="216">
        <v>14.0</v>
      </c>
      <c r="I721" s="216" t="s">
        <v>34</v>
      </c>
      <c r="J721" s="216" t="s">
        <v>70</v>
      </c>
      <c r="K721" s="11" t="s">
        <v>36</v>
      </c>
      <c r="L721" s="217"/>
      <c r="M721" s="217"/>
      <c r="N721" s="216" t="s">
        <v>340</v>
      </c>
      <c r="O721" s="216" t="s">
        <v>189</v>
      </c>
      <c r="P721" s="216" t="s">
        <v>898</v>
      </c>
      <c r="Q721" s="218"/>
      <c r="R721" s="202">
        <v>2500.0</v>
      </c>
      <c r="S721" s="17">
        <f>FRESADO!$R721*FRESADO!$E721</f>
        <v>2500</v>
      </c>
      <c r="T721" s="17">
        <f>FRESADO!$S721*16%</f>
        <v>400</v>
      </c>
      <c r="U721" s="17">
        <f>FRESADO!$S721+FRESADO!$T721</f>
        <v>2900</v>
      </c>
      <c r="V721" s="34" t="s">
        <v>899</v>
      </c>
      <c r="W721" s="104"/>
      <c r="X721" s="104"/>
      <c r="Y721" s="30"/>
      <c r="Z721" s="31" t="s">
        <v>77</v>
      </c>
    </row>
    <row r="722" ht="15.75" customHeight="1">
      <c r="A722" s="6">
        <v>30.0</v>
      </c>
      <c r="B722" s="213">
        <v>117.0</v>
      </c>
      <c r="C722" s="214">
        <v>1867.0</v>
      </c>
      <c r="D722" s="215">
        <v>46227.0</v>
      </c>
      <c r="E722" s="216">
        <v>1.0</v>
      </c>
      <c r="F722" s="216" t="s">
        <v>74</v>
      </c>
      <c r="G722" s="216" t="s">
        <v>192</v>
      </c>
      <c r="H722" s="216">
        <v>14.0</v>
      </c>
      <c r="I722" s="216" t="s">
        <v>34</v>
      </c>
      <c r="J722" s="216" t="s">
        <v>41</v>
      </c>
      <c r="K722" s="11" t="s">
        <v>36</v>
      </c>
      <c r="L722" s="217"/>
      <c r="M722" s="217"/>
      <c r="N722" s="216" t="s">
        <v>340</v>
      </c>
      <c r="O722" s="216" t="s">
        <v>189</v>
      </c>
      <c r="P722" s="216" t="s">
        <v>898</v>
      </c>
      <c r="Q722" s="218"/>
      <c r="R722" s="202">
        <v>2500.0</v>
      </c>
      <c r="S722" s="17">
        <f>FRESADO!$R722*FRESADO!$E722</f>
        <v>2500</v>
      </c>
      <c r="T722" s="17">
        <f>FRESADO!$S722*16%</f>
        <v>400</v>
      </c>
      <c r="U722" s="17">
        <f>FRESADO!$S722+FRESADO!$T722</f>
        <v>2900</v>
      </c>
      <c r="V722" s="34" t="s">
        <v>899</v>
      </c>
      <c r="W722" s="104"/>
      <c r="X722" s="104"/>
      <c r="Y722" s="30"/>
      <c r="Z722" s="31" t="s">
        <v>77</v>
      </c>
    </row>
    <row r="723" ht="15.75" customHeight="1">
      <c r="A723" s="6">
        <v>30.0</v>
      </c>
      <c r="B723" s="213">
        <v>118.0</v>
      </c>
      <c r="C723" s="214">
        <v>1869.0</v>
      </c>
      <c r="D723" s="215">
        <v>46227.0</v>
      </c>
      <c r="E723" s="216">
        <v>1.0</v>
      </c>
      <c r="F723" s="216" t="s">
        <v>74</v>
      </c>
      <c r="G723" s="216" t="s">
        <v>280</v>
      </c>
      <c r="H723" s="216">
        <v>14.0</v>
      </c>
      <c r="I723" s="216" t="s">
        <v>34</v>
      </c>
      <c r="J723" s="216" t="s">
        <v>272</v>
      </c>
      <c r="K723" s="11" t="s">
        <v>36</v>
      </c>
      <c r="L723" s="217"/>
      <c r="M723" s="217"/>
      <c r="N723" s="216" t="s">
        <v>340</v>
      </c>
      <c r="O723" s="216" t="s">
        <v>189</v>
      </c>
      <c r="P723" s="216" t="s">
        <v>898</v>
      </c>
      <c r="Q723" s="218"/>
      <c r="R723" s="202">
        <v>2500.0</v>
      </c>
      <c r="S723" s="17">
        <f>FRESADO!$R723*FRESADO!$E723</f>
        <v>2500</v>
      </c>
      <c r="T723" s="17">
        <f>FRESADO!$S723*16%</f>
        <v>400</v>
      </c>
      <c r="U723" s="17">
        <f>FRESADO!$S723+FRESADO!$T723</f>
        <v>2900</v>
      </c>
      <c r="V723" s="34" t="s">
        <v>899</v>
      </c>
      <c r="W723" s="104"/>
      <c r="X723" s="104"/>
      <c r="Y723" s="30"/>
      <c r="Z723" s="31" t="s">
        <v>77</v>
      </c>
    </row>
    <row r="724" ht="15.75" customHeight="1">
      <c r="A724" s="6">
        <v>30.0</v>
      </c>
      <c r="B724" s="213">
        <v>119.0</v>
      </c>
      <c r="C724" s="214">
        <v>1868.0</v>
      </c>
      <c r="D724" s="215">
        <v>46227.0</v>
      </c>
      <c r="E724" s="216">
        <v>1.0</v>
      </c>
      <c r="F724" s="216" t="s">
        <v>74</v>
      </c>
      <c r="G724" s="216" t="s">
        <v>690</v>
      </c>
      <c r="H724" s="216">
        <v>14.0</v>
      </c>
      <c r="I724" s="216" t="s">
        <v>34</v>
      </c>
      <c r="J724" s="216" t="s">
        <v>691</v>
      </c>
      <c r="K724" s="11" t="s">
        <v>36</v>
      </c>
      <c r="L724" s="217"/>
      <c r="M724" s="217"/>
      <c r="N724" s="216" t="s">
        <v>340</v>
      </c>
      <c r="O724" s="216" t="s">
        <v>189</v>
      </c>
      <c r="P724" s="216" t="s">
        <v>898</v>
      </c>
      <c r="Q724" s="218"/>
      <c r="R724" s="202">
        <v>2500.0</v>
      </c>
      <c r="S724" s="17">
        <f>FRESADO!$R724*FRESADO!$E724</f>
        <v>2500</v>
      </c>
      <c r="T724" s="17">
        <f>FRESADO!$S724*16%</f>
        <v>400</v>
      </c>
      <c r="U724" s="17">
        <f>FRESADO!$S724+FRESADO!$T724</f>
        <v>2900</v>
      </c>
      <c r="V724" s="34" t="s">
        <v>899</v>
      </c>
      <c r="W724" s="104"/>
      <c r="X724" s="104"/>
      <c r="Y724" s="30"/>
      <c r="Z724" s="31" t="s">
        <v>77</v>
      </c>
    </row>
    <row r="725" ht="15.75" customHeight="1">
      <c r="A725" s="6">
        <v>30.0</v>
      </c>
      <c r="B725" s="213">
        <v>120.0</v>
      </c>
      <c r="C725" s="214">
        <v>1870.0</v>
      </c>
      <c r="D725" s="215">
        <v>46227.0</v>
      </c>
      <c r="E725" s="216">
        <v>1.0</v>
      </c>
      <c r="F725" s="216" t="s">
        <v>74</v>
      </c>
      <c r="G725" s="216" t="s">
        <v>277</v>
      </c>
      <c r="H725" s="216">
        <v>14.0</v>
      </c>
      <c r="I725" s="216" t="s">
        <v>34</v>
      </c>
      <c r="J725" s="216" t="s">
        <v>278</v>
      </c>
      <c r="K725" s="11" t="s">
        <v>36</v>
      </c>
      <c r="L725" s="217"/>
      <c r="M725" s="217"/>
      <c r="N725" s="216" t="s">
        <v>340</v>
      </c>
      <c r="O725" s="216" t="s">
        <v>189</v>
      </c>
      <c r="P725" s="216" t="s">
        <v>898</v>
      </c>
      <c r="Q725" s="218"/>
      <c r="R725" s="202">
        <v>2500.0</v>
      </c>
      <c r="S725" s="17">
        <f>FRESADO!$R725*FRESADO!$E725</f>
        <v>2500</v>
      </c>
      <c r="T725" s="17">
        <f>FRESADO!$S725*16%</f>
        <v>400</v>
      </c>
      <c r="U725" s="17">
        <f>FRESADO!$S725+FRESADO!$T725</f>
        <v>2900</v>
      </c>
      <c r="V725" s="34" t="s">
        <v>899</v>
      </c>
      <c r="W725" s="104"/>
      <c r="X725" s="104"/>
      <c r="Y725" s="30"/>
      <c r="Z725" s="31" t="s">
        <v>77</v>
      </c>
    </row>
    <row r="726" ht="15.75" customHeight="1">
      <c r="A726" s="6">
        <v>30.0</v>
      </c>
      <c r="B726" s="213">
        <v>121.0</v>
      </c>
      <c r="C726" s="214">
        <v>1871.0</v>
      </c>
      <c r="D726" s="215">
        <v>46227.0</v>
      </c>
      <c r="E726" s="216">
        <v>1.0</v>
      </c>
      <c r="F726" s="216" t="s">
        <v>74</v>
      </c>
      <c r="G726" s="216" t="s">
        <v>900</v>
      </c>
      <c r="H726" s="216">
        <v>14.0</v>
      </c>
      <c r="I726" s="216" t="s">
        <v>34</v>
      </c>
      <c r="J726" s="216" t="s">
        <v>94</v>
      </c>
      <c r="K726" s="11" t="s">
        <v>36</v>
      </c>
      <c r="L726" s="217"/>
      <c r="M726" s="217"/>
      <c r="N726" s="216" t="s">
        <v>340</v>
      </c>
      <c r="O726" s="216" t="s">
        <v>189</v>
      </c>
      <c r="P726" s="216" t="s">
        <v>898</v>
      </c>
      <c r="Q726" s="218"/>
      <c r="R726" s="202">
        <v>2500.0</v>
      </c>
      <c r="S726" s="17">
        <f>FRESADO!$R726*FRESADO!$E726</f>
        <v>2500</v>
      </c>
      <c r="T726" s="17">
        <f>FRESADO!$S726*16%</f>
        <v>400</v>
      </c>
      <c r="U726" s="17">
        <f>FRESADO!$S726+FRESADO!$T726</f>
        <v>2900</v>
      </c>
      <c r="V726" s="34" t="s">
        <v>899</v>
      </c>
      <c r="W726" s="104"/>
      <c r="X726" s="104"/>
      <c r="Y726" s="30"/>
      <c r="Z726" s="31" t="s">
        <v>77</v>
      </c>
    </row>
    <row r="727" ht="15.75" customHeight="1">
      <c r="A727" s="6">
        <v>30.0</v>
      </c>
      <c r="B727" s="213">
        <v>122.0</v>
      </c>
      <c r="C727" s="214">
        <v>1872.0</v>
      </c>
      <c r="D727" s="215">
        <v>46227.0</v>
      </c>
      <c r="E727" s="216">
        <v>1.0</v>
      </c>
      <c r="F727" s="216" t="s">
        <v>74</v>
      </c>
      <c r="G727" s="216" t="s">
        <v>692</v>
      </c>
      <c r="H727" s="216">
        <v>14.0</v>
      </c>
      <c r="I727" s="216" t="s">
        <v>34</v>
      </c>
      <c r="J727" s="216" t="s">
        <v>693</v>
      </c>
      <c r="K727" s="11" t="s">
        <v>36</v>
      </c>
      <c r="L727" s="217"/>
      <c r="M727" s="217"/>
      <c r="N727" s="216" t="s">
        <v>340</v>
      </c>
      <c r="O727" s="216" t="s">
        <v>189</v>
      </c>
      <c r="P727" s="216" t="s">
        <v>898</v>
      </c>
      <c r="Q727" s="218"/>
      <c r="R727" s="202">
        <v>2500.0</v>
      </c>
      <c r="S727" s="17">
        <f>FRESADO!$R727*FRESADO!$E727</f>
        <v>2500</v>
      </c>
      <c r="T727" s="17">
        <f>FRESADO!$S727*16%</f>
        <v>400</v>
      </c>
      <c r="U727" s="17">
        <f>FRESADO!$S727+FRESADO!$T727</f>
        <v>2900</v>
      </c>
      <c r="V727" s="34" t="s">
        <v>899</v>
      </c>
      <c r="W727" s="104"/>
      <c r="X727" s="104"/>
      <c r="Y727" s="30"/>
      <c r="Z727" s="31" t="s">
        <v>77</v>
      </c>
    </row>
    <row r="728" ht="15.75" customHeight="1">
      <c r="A728" s="6">
        <v>30.0</v>
      </c>
      <c r="B728" s="213">
        <v>123.0</v>
      </c>
      <c r="C728" s="214">
        <v>1873.0</v>
      </c>
      <c r="D728" s="215">
        <v>46227.0</v>
      </c>
      <c r="E728" s="216">
        <v>1.0</v>
      </c>
      <c r="F728" s="216" t="s">
        <v>74</v>
      </c>
      <c r="G728" s="216" t="s">
        <v>347</v>
      </c>
      <c r="H728" s="216">
        <v>14.0</v>
      </c>
      <c r="I728" s="216" t="s">
        <v>34</v>
      </c>
      <c r="J728" s="216" t="s">
        <v>70</v>
      </c>
      <c r="K728" s="11" t="s">
        <v>36</v>
      </c>
      <c r="L728" s="217"/>
      <c r="M728" s="217"/>
      <c r="N728" s="216" t="s">
        <v>340</v>
      </c>
      <c r="O728" s="216" t="s">
        <v>189</v>
      </c>
      <c r="P728" s="216" t="s">
        <v>898</v>
      </c>
      <c r="Q728" s="218"/>
      <c r="R728" s="202">
        <v>2500.0</v>
      </c>
      <c r="S728" s="17">
        <f>FRESADO!$R728*FRESADO!$E728</f>
        <v>2500</v>
      </c>
      <c r="T728" s="17">
        <f>FRESADO!$S728*16%</f>
        <v>400</v>
      </c>
      <c r="U728" s="17">
        <f>FRESADO!$S728+FRESADO!$T728</f>
        <v>2900</v>
      </c>
      <c r="V728" s="34" t="s">
        <v>899</v>
      </c>
      <c r="W728" s="104"/>
      <c r="X728" s="104"/>
      <c r="Y728" s="30"/>
      <c r="Z728" s="31" t="s">
        <v>77</v>
      </c>
    </row>
    <row r="729" ht="15.75" customHeight="1">
      <c r="A729" s="6">
        <v>30.0</v>
      </c>
      <c r="B729" s="213">
        <v>124.0</v>
      </c>
      <c r="C729" s="214">
        <v>1874.0</v>
      </c>
      <c r="D729" s="215">
        <v>46227.0</v>
      </c>
      <c r="E729" s="216">
        <v>1.0</v>
      </c>
      <c r="F729" s="216" t="s">
        <v>74</v>
      </c>
      <c r="G729" s="216" t="s">
        <v>192</v>
      </c>
      <c r="H729" s="216">
        <v>14.0</v>
      </c>
      <c r="I729" s="216" t="s">
        <v>34</v>
      </c>
      <c r="J729" s="216" t="s">
        <v>41</v>
      </c>
      <c r="K729" s="11" t="s">
        <v>36</v>
      </c>
      <c r="L729" s="217"/>
      <c r="M729" s="217"/>
      <c r="N729" s="216" t="s">
        <v>340</v>
      </c>
      <c r="O729" s="216" t="s">
        <v>189</v>
      </c>
      <c r="P729" s="216" t="s">
        <v>898</v>
      </c>
      <c r="Q729" s="218"/>
      <c r="R729" s="202">
        <v>2500.0</v>
      </c>
      <c r="S729" s="17">
        <f>FRESADO!$R729*FRESADO!$E729</f>
        <v>2500</v>
      </c>
      <c r="T729" s="17">
        <f>FRESADO!$S729*16%</f>
        <v>400</v>
      </c>
      <c r="U729" s="17">
        <f>FRESADO!$S729+FRESADO!$T729</f>
        <v>2900</v>
      </c>
      <c r="V729" s="34" t="s">
        <v>899</v>
      </c>
      <c r="W729" s="104"/>
      <c r="X729" s="104"/>
      <c r="Y729" s="30"/>
      <c r="Z729" s="31" t="s">
        <v>77</v>
      </c>
    </row>
    <row r="730" ht="15.75" customHeight="1">
      <c r="A730" s="6">
        <v>30.0</v>
      </c>
      <c r="B730" s="213">
        <v>125.0</v>
      </c>
      <c r="C730" s="214">
        <v>1875.0</v>
      </c>
      <c r="D730" s="215">
        <v>46227.0</v>
      </c>
      <c r="E730" s="216">
        <v>1.0</v>
      </c>
      <c r="F730" s="216" t="s">
        <v>74</v>
      </c>
      <c r="G730" s="216" t="s">
        <v>690</v>
      </c>
      <c r="H730" s="216">
        <v>14.0</v>
      </c>
      <c r="I730" s="216" t="s">
        <v>34</v>
      </c>
      <c r="J730" s="216" t="s">
        <v>691</v>
      </c>
      <c r="K730" s="11" t="s">
        <v>36</v>
      </c>
      <c r="L730" s="217"/>
      <c r="M730" s="217"/>
      <c r="N730" s="216" t="s">
        <v>340</v>
      </c>
      <c r="O730" s="216" t="s">
        <v>189</v>
      </c>
      <c r="P730" s="216" t="s">
        <v>898</v>
      </c>
      <c r="Q730" s="218"/>
      <c r="R730" s="202">
        <v>2500.0</v>
      </c>
      <c r="S730" s="17">
        <f>FRESADO!$R730*FRESADO!$E730</f>
        <v>2500</v>
      </c>
      <c r="T730" s="17">
        <f>FRESADO!$S730*16%</f>
        <v>400</v>
      </c>
      <c r="U730" s="17">
        <f>FRESADO!$S730+FRESADO!$T730</f>
        <v>2900</v>
      </c>
      <c r="V730" s="34" t="s">
        <v>899</v>
      </c>
      <c r="W730" s="104"/>
      <c r="X730" s="104"/>
      <c r="Y730" s="30"/>
      <c r="Z730" s="31" t="s">
        <v>77</v>
      </c>
    </row>
    <row r="731" ht="15.75" customHeight="1">
      <c r="A731" s="6">
        <v>30.0</v>
      </c>
      <c r="B731" s="213">
        <v>126.0</v>
      </c>
      <c r="C731" s="214">
        <v>1877.0</v>
      </c>
      <c r="D731" s="215">
        <v>46227.0</v>
      </c>
      <c r="E731" s="216">
        <v>1.0</v>
      </c>
      <c r="F731" s="216" t="s">
        <v>74</v>
      </c>
      <c r="G731" s="216" t="s">
        <v>280</v>
      </c>
      <c r="H731" s="216">
        <v>14.0</v>
      </c>
      <c r="I731" s="216" t="s">
        <v>34</v>
      </c>
      <c r="J731" s="216" t="s">
        <v>272</v>
      </c>
      <c r="K731" s="11" t="s">
        <v>36</v>
      </c>
      <c r="L731" s="217"/>
      <c r="M731" s="217"/>
      <c r="N731" s="216" t="s">
        <v>340</v>
      </c>
      <c r="O731" s="216" t="s">
        <v>189</v>
      </c>
      <c r="P731" s="216" t="s">
        <v>898</v>
      </c>
      <c r="Q731" s="218"/>
      <c r="R731" s="202">
        <v>2500.0</v>
      </c>
      <c r="S731" s="17">
        <f>FRESADO!$R731*FRESADO!$E731</f>
        <v>2500</v>
      </c>
      <c r="T731" s="17">
        <f>FRESADO!$S731*16%</f>
        <v>400</v>
      </c>
      <c r="U731" s="17">
        <f>FRESADO!$S731+FRESADO!$T731</f>
        <v>2900</v>
      </c>
      <c r="V731" s="34" t="s">
        <v>899</v>
      </c>
      <c r="W731" s="104"/>
      <c r="X731" s="104"/>
      <c r="Y731" s="30"/>
      <c r="Z731" s="31" t="s">
        <v>77</v>
      </c>
    </row>
    <row r="732" ht="15.75" customHeight="1">
      <c r="A732" s="6">
        <v>30.0</v>
      </c>
      <c r="B732" s="213">
        <v>127.0</v>
      </c>
      <c r="C732" s="214">
        <v>1878.0</v>
      </c>
      <c r="D732" s="215">
        <v>46227.0</v>
      </c>
      <c r="E732" s="216">
        <v>1.0</v>
      </c>
      <c r="F732" s="216" t="s">
        <v>74</v>
      </c>
      <c r="G732" s="216" t="s">
        <v>347</v>
      </c>
      <c r="H732" s="216">
        <v>14.0</v>
      </c>
      <c r="I732" s="216" t="s">
        <v>34</v>
      </c>
      <c r="J732" s="216" t="s">
        <v>70</v>
      </c>
      <c r="K732" s="11" t="s">
        <v>36</v>
      </c>
      <c r="L732" s="217"/>
      <c r="M732" s="217"/>
      <c r="N732" s="216" t="s">
        <v>340</v>
      </c>
      <c r="O732" s="216" t="s">
        <v>189</v>
      </c>
      <c r="P732" s="216" t="s">
        <v>898</v>
      </c>
      <c r="Q732" s="218"/>
      <c r="R732" s="202">
        <v>2500.0</v>
      </c>
      <c r="S732" s="17">
        <f>FRESADO!$R732*FRESADO!$E732</f>
        <v>2500</v>
      </c>
      <c r="T732" s="17">
        <f>FRESADO!$S732*16%</f>
        <v>400</v>
      </c>
      <c r="U732" s="17">
        <f>FRESADO!$S732+FRESADO!$T732</f>
        <v>2900</v>
      </c>
      <c r="V732" s="34" t="s">
        <v>899</v>
      </c>
      <c r="W732" s="104"/>
      <c r="X732" s="104"/>
      <c r="Y732" s="30"/>
      <c r="Z732" s="31" t="s">
        <v>77</v>
      </c>
    </row>
    <row r="733" ht="15.75" customHeight="1">
      <c r="A733" s="6">
        <v>30.0</v>
      </c>
      <c r="B733" s="213">
        <v>128.0</v>
      </c>
      <c r="C733" s="214">
        <v>1879.0</v>
      </c>
      <c r="D733" s="215">
        <v>46227.0</v>
      </c>
      <c r="E733" s="216">
        <v>1.0</v>
      </c>
      <c r="F733" s="216" t="s">
        <v>74</v>
      </c>
      <c r="G733" s="216" t="s">
        <v>277</v>
      </c>
      <c r="H733" s="216">
        <v>14.0</v>
      </c>
      <c r="I733" s="216" t="s">
        <v>34</v>
      </c>
      <c r="J733" s="216" t="s">
        <v>278</v>
      </c>
      <c r="K733" s="11" t="s">
        <v>36</v>
      </c>
      <c r="L733" s="217"/>
      <c r="M733" s="217"/>
      <c r="N733" s="216" t="s">
        <v>340</v>
      </c>
      <c r="O733" s="216" t="s">
        <v>189</v>
      </c>
      <c r="P733" s="216" t="s">
        <v>898</v>
      </c>
      <c r="Q733" s="218"/>
      <c r="R733" s="202">
        <v>2500.0</v>
      </c>
      <c r="S733" s="17">
        <f>FRESADO!$R733*FRESADO!$E733</f>
        <v>2500</v>
      </c>
      <c r="T733" s="17">
        <f>FRESADO!$S733*16%</f>
        <v>400</v>
      </c>
      <c r="U733" s="17">
        <f>FRESADO!$S733+FRESADO!$T733</f>
        <v>2900</v>
      </c>
      <c r="V733" s="34" t="s">
        <v>899</v>
      </c>
      <c r="W733" s="104"/>
      <c r="X733" s="104"/>
      <c r="Y733" s="30"/>
      <c r="Z733" s="31" t="s">
        <v>77</v>
      </c>
    </row>
    <row r="734" ht="15.75" customHeight="1">
      <c r="A734" s="6">
        <v>30.0</v>
      </c>
      <c r="B734" s="213">
        <v>129.0</v>
      </c>
      <c r="C734" s="214">
        <v>1876.0</v>
      </c>
      <c r="D734" s="215">
        <v>46227.0</v>
      </c>
      <c r="E734" s="216">
        <v>1.0</v>
      </c>
      <c r="F734" s="216" t="s">
        <v>73</v>
      </c>
      <c r="G734" s="216" t="s">
        <v>887</v>
      </c>
      <c r="H734" s="93">
        <v>10.0</v>
      </c>
      <c r="I734" s="216" t="s">
        <v>34</v>
      </c>
      <c r="J734" s="216" t="s">
        <v>888</v>
      </c>
      <c r="K734" s="11" t="s">
        <v>36</v>
      </c>
      <c r="L734" s="217"/>
      <c r="M734" s="217"/>
      <c r="N734" s="216" t="s">
        <v>340</v>
      </c>
      <c r="O734" s="216" t="s">
        <v>189</v>
      </c>
      <c r="P734" s="216" t="s">
        <v>898</v>
      </c>
      <c r="Q734" s="218" t="s">
        <v>902</v>
      </c>
      <c r="R734" s="202">
        <v>4500.0</v>
      </c>
      <c r="S734" s="17">
        <f>FRESADO!$R734*FRESADO!$E734</f>
        <v>4500</v>
      </c>
      <c r="T734" s="17">
        <f>FRESADO!$S734*16%</f>
        <v>720</v>
      </c>
      <c r="U734" s="17">
        <f>FRESADO!$S734+FRESADO!$T734</f>
        <v>5220</v>
      </c>
      <c r="V734" s="34" t="s">
        <v>899</v>
      </c>
      <c r="W734" s="104"/>
      <c r="X734" s="104"/>
      <c r="Y734" s="30"/>
    </row>
    <row r="735" ht="15.75" customHeight="1">
      <c r="A735" s="6">
        <v>30.0</v>
      </c>
      <c r="B735" s="213">
        <v>130.0</v>
      </c>
      <c r="C735" s="224">
        <v>1880.0</v>
      </c>
      <c r="D735" s="215">
        <v>46227.0</v>
      </c>
      <c r="E735" s="216">
        <v>1.0</v>
      </c>
      <c r="F735" s="216" t="s">
        <v>388</v>
      </c>
      <c r="G735" s="216" t="s">
        <v>583</v>
      </c>
      <c r="H735" s="93">
        <v>7.0</v>
      </c>
      <c r="I735" s="216" t="s">
        <v>34</v>
      </c>
      <c r="J735" s="216" t="s">
        <v>584</v>
      </c>
      <c r="K735" s="34" t="s">
        <v>50</v>
      </c>
      <c r="L735" s="217"/>
      <c r="M735" s="217"/>
      <c r="N735" s="216" t="s">
        <v>340</v>
      </c>
      <c r="O735" s="216" t="s">
        <v>189</v>
      </c>
      <c r="P735" s="216" t="s">
        <v>898</v>
      </c>
      <c r="Q735" s="218" t="s">
        <v>390</v>
      </c>
      <c r="R735" s="202">
        <v>4500.0</v>
      </c>
      <c r="S735" s="17">
        <f>FRESADO!$R735*FRESADO!$E735</f>
        <v>4500</v>
      </c>
      <c r="T735" s="17">
        <f>FRESADO!$S735*16%</f>
        <v>720</v>
      </c>
      <c r="U735" s="17">
        <f>FRESADO!$S735+FRESADO!$T735</f>
        <v>5220</v>
      </c>
      <c r="V735" s="34" t="s">
        <v>697</v>
      </c>
      <c r="W735" s="104"/>
      <c r="X735" s="104"/>
      <c r="Y735" s="30"/>
    </row>
    <row r="736" ht="15.75" customHeight="1">
      <c r="A736" s="6">
        <v>30.0</v>
      </c>
      <c r="B736" s="213">
        <v>131.0</v>
      </c>
      <c r="C736" s="216">
        <v>1881.0</v>
      </c>
      <c r="D736" s="215">
        <v>46228.0</v>
      </c>
      <c r="E736" s="216">
        <v>1.0</v>
      </c>
      <c r="F736" s="216" t="s">
        <v>74</v>
      </c>
      <c r="G736" s="216" t="s">
        <v>900</v>
      </c>
      <c r="H736" s="216">
        <v>14.0</v>
      </c>
      <c r="I736" s="216" t="s">
        <v>34</v>
      </c>
      <c r="J736" s="216" t="s">
        <v>94</v>
      </c>
      <c r="K736" s="11" t="s">
        <v>36</v>
      </c>
      <c r="L736" s="217"/>
      <c r="M736" s="217"/>
      <c r="N736" s="216" t="s">
        <v>398</v>
      </c>
      <c r="O736" s="216" t="s">
        <v>189</v>
      </c>
      <c r="P736" s="216" t="s">
        <v>898</v>
      </c>
      <c r="Q736" s="218" t="s">
        <v>399</v>
      </c>
      <c r="R736" s="202">
        <v>3855.0</v>
      </c>
      <c r="S736" s="17">
        <f>FRESADO!$R736*FRESADO!$E736</f>
        <v>3855</v>
      </c>
      <c r="T736" s="17">
        <f>FRESADO!$S736*16%</f>
        <v>616.8</v>
      </c>
      <c r="U736" s="17">
        <f>FRESADO!$S736+FRESADO!$T736</f>
        <v>4471.8</v>
      </c>
      <c r="V736" s="34" t="s">
        <v>899</v>
      </c>
      <c r="W736" s="104"/>
      <c r="X736" s="104"/>
      <c r="Y736" s="30"/>
      <c r="Z736" s="219" t="s">
        <v>399</v>
      </c>
    </row>
    <row r="737" ht="15.75" customHeight="1">
      <c r="A737" s="6">
        <v>30.0</v>
      </c>
      <c r="B737" s="213">
        <v>132.0</v>
      </c>
      <c r="C737" s="216">
        <v>1882.0</v>
      </c>
      <c r="D737" s="215">
        <v>46228.0</v>
      </c>
      <c r="E737" s="216">
        <v>1.0</v>
      </c>
      <c r="F737" s="216" t="s">
        <v>74</v>
      </c>
      <c r="G737" s="216" t="s">
        <v>692</v>
      </c>
      <c r="H737" s="216">
        <v>14.0</v>
      </c>
      <c r="I737" s="216" t="s">
        <v>34</v>
      </c>
      <c r="J737" s="216" t="s">
        <v>693</v>
      </c>
      <c r="K737" s="11" t="s">
        <v>36</v>
      </c>
      <c r="L737" s="217"/>
      <c r="M737" s="217"/>
      <c r="N737" s="216" t="s">
        <v>398</v>
      </c>
      <c r="O737" s="216" t="s">
        <v>189</v>
      </c>
      <c r="P737" s="216" t="s">
        <v>898</v>
      </c>
      <c r="Q737" s="218" t="s">
        <v>399</v>
      </c>
      <c r="R737" s="202">
        <v>3855.0</v>
      </c>
      <c r="S737" s="17">
        <f>FRESADO!$R737*FRESADO!$E737</f>
        <v>3855</v>
      </c>
      <c r="T737" s="17">
        <f>FRESADO!$S737*16%</f>
        <v>616.8</v>
      </c>
      <c r="U737" s="17">
        <f>FRESADO!$S737+FRESADO!$T737</f>
        <v>4471.8</v>
      </c>
      <c r="V737" s="34" t="s">
        <v>899</v>
      </c>
      <c r="W737" s="104"/>
      <c r="X737" s="104"/>
      <c r="Y737" s="30"/>
      <c r="Z737" s="219" t="s">
        <v>399</v>
      </c>
    </row>
    <row r="738" ht="15.75" customHeight="1">
      <c r="A738" s="6">
        <v>30.0</v>
      </c>
      <c r="B738" s="213">
        <v>133.0</v>
      </c>
      <c r="C738" s="216">
        <v>1883.0</v>
      </c>
      <c r="D738" s="215">
        <v>46228.0</v>
      </c>
      <c r="E738" s="216">
        <v>1.0</v>
      </c>
      <c r="F738" s="216" t="s">
        <v>74</v>
      </c>
      <c r="G738" s="216" t="s">
        <v>690</v>
      </c>
      <c r="H738" s="216">
        <v>14.0</v>
      </c>
      <c r="I738" s="216" t="s">
        <v>34</v>
      </c>
      <c r="J738" s="216" t="s">
        <v>691</v>
      </c>
      <c r="K738" s="11" t="s">
        <v>36</v>
      </c>
      <c r="L738" s="217"/>
      <c r="M738" s="217"/>
      <c r="N738" s="216" t="s">
        <v>398</v>
      </c>
      <c r="O738" s="216" t="s">
        <v>189</v>
      </c>
      <c r="P738" s="216" t="s">
        <v>898</v>
      </c>
      <c r="Q738" s="218" t="s">
        <v>399</v>
      </c>
      <c r="R738" s="202">
        <v>3855.0</v>
      </c>
      <c r="S738" s="17">
        <f>FRESADO!$R738*FRESADO!$E738</f>
        <v>3855</v>
      </c>
      <c r="T738" s="17">
        <f>FRESADO!$S738*16%</f>
        <v>616.8</v>
      </c>
      <c r="U738" s="17">
        <f>FRESADO!$S738+FRESADO!$T738</f>
        <v>4471.8</v>
      </c>
      <c r="V738" s="34" t="s">
        <v>899</v>
      </c>
      <c r="W738" s="104"/>
      <c r="X738" s="104"/>
      <c r="Y738" s="30"/>
      <c r="Z738" s="219" t="s">
        <v>399</v>
      </c>
    </row>
    <row r="739" ht="15.75" customHeight="1">
      <c r="A739" s="6">
        <v>30.0</v>
      </c>
      <c r="B739" s="213">
        <v>134.0</v>
      </c>
      <c r="C739" s="214">
        <v>1884.0</v>
      </c>
      <c r="D739" s="215">
        <v>46228.0</v>
      </c>
      <c r="E739" s="216">
        <v>1.0</v>
      </c>
      <c r="F739" s="216" t="s">
        <v>74</v>
      </c>
      <c r="G739" s="216" t="s">
        <v>277</v>
      </c>
      <c r="H739" s="216">
        <v>14.0</v>
      </c>
      <c r="I739" s="216" t="s">
        <v>34</v>
      </c>
      <c r="J739" s="216" t="s">
        <v>278</v>
      </c>
      <c r="K739" s="11" t="s">
        <v>36</v>
      </c>
      <c r="L739" s="217"/>
      <c r="M739" s="217"/>
      <c r="N739" s="216" t="s">
        <v>340</v>
      </c>
      <c r="O739" s="216" t="s">
        <v>189</v>
      </c>
      <c r="P739" s="216" t="s">
        <v>898</v>
      </c>
      <c r="Q739" s="218"/>
      <c r="R739" s="202">
        <v>2500.0</v>
      </c>
      <c r="S739" s="17">
        <f>FRESADO!$R739*FRESADO!$E739</f>
        <v>2500</v>
      </c>
      <c r="T739" s="17">
        <f>FRESADO!$S739*16%</f>
        <v>400</v>
      </c>
      <c r="U739" s="17">
        <f>FRESADO!$S739+FRESADO!$T739</f>
        <v>2900</v>
      </c>
      <c r="V739" s="34" t="s">
        <v>899</v>
      </c>
      <c r="W739" s="104"/>
      <c r="X739" s="104"/>
      <c r="Y739" s="30"/>
      <c r="Z739" s="31" t="s">
        <v>77</v>
      </c>
    </row>
    <row r="740" ht="15.75" customHeight="1">
      <c r="A740" s="6">
        <v>30.0</v>
      </c>
      <c r="B740" s="213">
        <v>135.0</v>
      </c>
      <c r="C740" s="214">
        <v>1885.0</v>
      </c>
      <c r="D740" s="215">
        <v>46228.0</v>
      </c>
      <c r="E740" s="216">
        <v>1.0</v>
      </c>
      <c r="F740" s="216" t="s">
        <v>74</v>
      </c>
      <c r="G740" s="216" t="s">
        <v>280</v>
      </c>
      <c r="H740" s="216">
        <v>14.0</v>
      </c>
      <c r="I740" s="216" t="s">
        <v>34</v>
      </c>
      <c r="J740" s="216" t="s">
        <v>272</v>
      </c>
      <c r="K740" s="11" t="s">
        <v>36</v>
      </c>
      <c r="L740" s="217"/>
      <c r="M740" s="217"/>
      <c r="N740" s="216" t="s">
        <v>340</v>
      </c>
      <c r="O740" s="216" t="s">
        <v>189</v>
      </c>
      <c r="P740" s="216" t="s">
        <v>898</v>
      </c>
      <c r="Q740" s="218"/>
      <c r="R740" s="202">
        <v>2500.0</v>
      </c>
      <c r="S740" s="17">
        <f>FRESADO!$R740*FRESADO!$E740</f>
        <v>2500</v>
      </c>
      <c r="T740" s="17">
        <f>FRESADO!$S740*16%</f>
        <v>400</v>
      </c>
      <c r="U740" s="17">
        <f>FRESADO!$S740+FRESADO!$T740</f>
        <v>2900</v>
      </c>
      <c r="V740" s="34" t="s">
        <v>899</v>
      </c>
      <c r="W740" s="104"/>
      <c r="X740" s="104"/>
      <c r="Y740" s="30"/>
      <c r="Z740" s="31" t="s">
        <v>77</v>
      </c>
    </row>
    <row r="741" ht="15.75" customHeight="1">
      <c r="A741" s="6">
        <v>30.0</v>
      </c>
      <c r="B741" s="213">
        <v>136.0</v>
      </c>
      <c r="C741" s="214">
        <v>1886.0</v>
      </c>
      <c r="D741" s="215">
        <v>46228.0</v>
      </c>
      <c r="E741" s="216">
        <v>1.0</v>
      </c>
      <c r="F741" s="216" t="s">
        <v>74</v>
      </c>
      <c r="G741" s="216" t="s">
        <v>347</v>
      </c>
      <c r="H741" s="216">
        <v>14.0</v>
      </c>
      <c r="I741" s="216" t="s">
        <v>34</v>
      </c>
      <c r="J741" s="216" t="s">
        <v>70</v>
      </c>
      <c r="K741" s="11" t="s">
        <v>36</v>
      </c>
      <c r="L741" s="217"/>
      <c r="M741" s="217"/>
      <c r="N741" s="216" t="s">
        <v>340</v>
      </c>
      <c r="O741" s="216" t="s">
        <v>189</v>
      </c>
      <c r="P741" s="216" t="s">
        <v>898</v>
      </c>
      <c r="Q741" s="218"/>
      <c r="R741" s="202">
        <v>2500.0</v>
      </c>
      <c r="S741" s="17">
        <f>FRESADO!$R741*FRESADO!$E741</f>
        <v>2500</v>
      </c>
      <c r="T741" s="17">
        <f>FRESADO!$S741*16%</f>
        <v>400</v>
      </c>
      <c r="U741" s="17">
        <f>FRESADO!$S741+FRESADO!$T741</f>
        <v>2900</v>
      </c>
      <c r="V741" s="34" t="s">
        <v>899</v>
      </c>
      <c r="W741" s="104"/>
      <c r="X741" s="104"/>
      <c r="Y741" s="30"/>
      <c r="Z741" s="31" t="s">
        <v>77</v>
      </c>
    </row>
    <row r="742" ht="15.75" customHeight="1">
      <c r="A742" s="6">
        <v>30.0</v>
      </c>
      <c r="B742" s="213">
        <v>137.0</v>
      </c>
      <c r="C742" s="214">
        <v>1888.0</v>
      </c>
      <c r="D742" s="215">
        <v>46228.0</v>
      </c>
      <c r="E742" s="216">
        <v>1.0</v>
      </c>
      <c r="F742" s="216" t="s">
        <v>74</v>
      </c>
      <c r="G742" s="216" t="s">
        <v>896</v>
      </c>
      <c r="H742" s="216">
        <v>14.0</v>
      </c>
      <c r="I742" s="216" t="s">
        <v>34</v>
      </c>
      <c r="J742" s="216" t="s">
        <v>904</v>
      </c>
      <c r="K742" s="11" t="s">
        <v>36</v>
      </c>
      <c r="L742" s="217"/>
      <c r="M742" s="217"/>
      <c r="N742" s="216" t="s">
        <v>340</v>
      </c>
      <c r="O742" s="216" t="s">
        <v>189</v>
      </c>
      <c r="P742" s="216" t="s">
        <v>898</v>
      </c>
      <c r="Q742" s="218"/>
      <c r="R742" s="202">
        <v>2500.0</v>
      </c>
      <c r="S742" s="17">
        <f>FRESADO!$R742*FRESADO!$E742</f>
        <v>2500</v>
      </c>
      <c r="T742" s="17">
        <f>FRESADO!$S742*16%</f>
        <v>400</v>
      </c>
      <c r="U742" s="17">
        <f>FRESADO!$S742+FRESADO!$T742</f>
        <v>2900</v>
      </c>
      <c r="V742" s="34" t="s">
        <v>899</v>
      </c>
      <c r="W742" s="104"/>
      <c r="X742" s="104"/>
      <c r="Y742" s="30"/>
      <c r="Z742" s="31" t="s">
        <v>77</v>
      </c>
    </row>
    <row r="743" ht="15.75" customHeight="1">
      <c r="A743" s="6">
        <v>30.0</v>
      </c>
      <c r="B743" s="213">
        <v>138.0</v>
      </c>
      <c r="C743" s="214">
        <v>1889.0</v>
      </c>
      <c r="D743" s="215">
        <v>46228.0</v>
      </c>
      <c r="E743" s="216">
        <v>1.0</v>
      </c>
      <c r="F743" s="216" t="s">
        <v>74</v>
      </c>
      <c r="G743" s="216" t="s">
        <v>900</v>
      </c>
      <c r="H743" s="216">
        <v>14.0</v>
      </c>
      <c r="I743" s="216" t="s">
        <v>34</v>
      </c>
      <c r="J743" s="216" t="s">
        <v>94</v>
      </c>
      <c r="K743" s="11" t="s">
        <v>36</v>
      </c>
      <c r="L743" s="217"/>
      <c r="M743" s="217"/>
      <c r="N743" s="216" t="s">
        <v>340</v>
      </c>
      <c r="O743" s="216" t="s">
        <v>189</v>
      </c>
      <c r="P743" s="216" t="s">
        <v>898</v>
      </c>
      <c r="Q743" s="218"/>
      <c r="R743" s="202">
        <v>2500.0</v>
      </c>
      <c r="S743" s="17">
        <f>FRESADO!$R743*FRESADO!$E743</f>
        <v>2500</v>
      </c>
      <c r="T743" s="17">
        <f>FRESADO!$S743*16%</f>
        <v>400</v>
      </c>
      <c r="U743" s="17">
        <f>FRESADO!$S743+FRESADO!$T743</f>
        <v>2900</v>
      </c>
      <c r="V743" s="34" t="s">
        <v>899</v>
      </c>
      <c r="W743" s="104"/>
      <c r="X743" s="104"/>
      <c r="Y743" s="30"/>
      <c r="Z743" s="31" t="s">
        <v>77</v>
      </c>
    </row>
    <row r="744" ht="15.75" customHeight="1">
      <c r="A744" s="6">
        <v>30.0</v>
      </c>
      <c r="B744" s="213">
        <v>139.0</v>
      </c>
      <c r="C744" s="214">
        <v>1890.0</v>
      </c>
      <c r="D744" s="215">
        <v>46228.0</v>
      </c>
      <c r="E744" s="216">
        <v>1.0</v>
      </c>
      <c r="F744" s="216" t="s">
        <v>74</v>
      </c>
      <c r="G744" s="216" t="s">
        <v>277</v>
      </c>
      <c r="H744" s="216">
        <v>14.0</v>
      </c>
      <c r="I744" s="216" t="s">
        <v>34</v>
      </c>
      <c r="J744" s="216" t="s">
        <v>278</v>
      </c>
      <c r="K744" s="11" t="s">
        <v>36</v>
      </c>
      <c r="L744" s="217"/>
      <c r="M744" s="217"/>
      <c r="N744" s="216" t="s">
        <v>340</v>
      </c>
      <c r="O744" s="216" t="s">
        <v>189</v>
      </c>
      <c r="P744" s="216" t="s">
        <v>898</v>
      </c>
      <c r="Q744" s="218"/>
      <c r="R744" s="202">
        <v>2500.0</v>
      </c>
      <c r="S744" s="17">
        <f>FRESADO!$R744*FRESADO!$E744</f>
        <v>2500</v>
      </c>
      <c r="T744" s="17">
        <f>FRESADO!$S744*16%</f>
        <v>400</v>
      </c>
      <c r="U744" s="17">
        <f>FRESADO!$S744+FRESADO!$T744</f>
        <v>2900</v>
      </c>
      <c r="V744" s="34" t="s">
        <v>899</v>
      </c>
      <c r="W744" s="104"/>
      <c r="X744" s="104"/>
      <c r="Y744" s="30"/>
      <c r="Z744" s="31" t="s">
        <v>77</v>
      </c>
    </row>
    <row r="745" ht="15.75" customHeight="1">
      <c r="A745" s="6">
        <v>30.0</v>
      </c>
      <c r="B745" s="213">
        <v>140.0</v>
      </c>
      <c r="C745" s="214">
        <v>1891.0</v>
      </c>
      <c r="D745" s="215">
        <v>46228.0</v>
      </c>
      <c r="E745" s="216">
        <v>1.0</v>
      </c>
      <c r="F745" s="216" t="s">
        <v>74</v>
      </c>
      <c r="G745" s="216" t="s">
        <v>692</v>
      </c>
      <c r="H745" s="216">
        <v>14.0</v>
      </c>
      <c r="I745" s="216" t="s">
        <v>34</v>
      </c>
      <c r="J745" s="216" t="s">
        <v>693</v>
      </c>
      <c r="K745" s="11" t="s">
        <v>36</v>
      </c>
      <c r="L745" s="217"/>
      <c r="M745" s="217"/>
      <c r="N745" s="216" t="s">
        <v>340</v>
      </c>
      <c r="O745" s="216" t="s">
        <v>189</v>
      </c>
      <c r="P745" s="216" t="s">
        <v>898</v>
      </c>
      <c r="Q745" s="218"/>
      <c r="R745" s="202">
        <v>2500.0</v>
      </c>
      <c r="S745" s="17">
        <f>FRESADO!$R745*FRESADO!$E745</f>
        <v>2500</v>
      </c>
      <c r="T745" s="17">
        <f>FRESADO!$S745*16%</f>
        <v>400</v>
      </c>
      <c r="U745" s="17">
        <f>FRESADO!$S745+FRESADO!$T745</f>
        <v>2900</v>
      </c>
      <c r="V745" s="34" t="s">
        <v>899</v>
      </c>
      <c r="W745" s="104"/>
      <c r="X745" s="104"/>
      <c r="Y745" s="30"/>
      <c r="Z745" s="31" t="s">
        <v>77</v>
      </c>
    </row>
    <row r="746" ht="15.75" customHeight="1">
      <c r="A746" s="6">
        <v>30.0</v>
      </c>
      <c r="B746" s="213">
        <v>141.0</v>
      </c>
      <c r="C746" s="214">
        <v>1892.0</v>
      </c>
      <c r="D746" s="215">
        <v>46228.0</v>
      </c>
      <c r="E746" s="216">
        <v>1.0</v>
      </c>
      <c r="F746" s="216" t="s">
        <v>74</v>
      </c>
      <c r="G746" s="216" t="s">
        <v>280</v>
      </c>
      <c r="H746" s="216">
        <v>14.0</v>
      </c>
      <c r="I746" s="216" t="s">
        <v>34</v>
      </c>
      <c r="J746" s="216" t="s">
        <v>272</v>
      </c>
      <c r="K746" s="11" t="s">
        <v>36</v>
      </c>
      <c r="L746" s="217"/>
      <c r="M746" s="217"/>
      <c r="N746" s="216" t="s">
        <v>340</v>
      </c>
      <c r="O746" s="216" t="s">
        <v>189</v>
      </c>
      <c r="P746" s="216" t="s">
        <v>898</v>
      </c>
      <c r="Q746" s="218"/>
      <c r="R746" s="202">
        <v>2500.0</v>
      </c>
      <c r="S746" s="17">
        <f>FRESADO!$R746*FRESADO!$E746</f>
        <v>2500</v>
      </c>
      <c r="T746" s="17">
        <f>FRESADO!$S746*16%</f>
        <v>400</v>
      </c>
      <c r="U746" s="17">
        <f>FRESADO!$S746+FRESADO!$T746</f>
        <v>2900</v>
      </c>
      <c r="V746" s="34" t="s">
        <v>899</v>
      </c>
      <c r="W746" s="104"/>
      <c r="X746" s="104"/>
      <c r="Y746" s="30"/>
      <c r="Z746" s="31" t="s">
        <v>77</v>
      </c>
    </row>
    <row r="747" ht="15.75" customHeight="1">
      <c r="A747" s="6">
        <v>30.0</v>
      </c>
      <c r="B747" s="213">
        <v>142.0</v>
      </c>
      <c r="C747" s="214">
        <v>1893.0</v>
      </c>
      <c r="D747" s="215">
        <v>46228.0</v>
      </c>
      <c r="E747" s="216">
        <v>1.0</v>
      </c>
      <c r="F747" s="216" t="s">
        <v>74</v>
      </c>
      <c r="G747" s="216" t="s">
        <v>690</v>
      </c>
      <c r="H747" s="216">
        <v>14.0</v>
      </c>
      <c r="I747" s="216" t="s">
        <v>34</v>
      </c>
      <c r="J747" s="216" t="s">
        <v>691</v>
      </c>
      <c r="K747" s="11" t="s">
        <v>36</v>
      </c>
      <c r="L747" s="217"/>
      <c r="M747" s="217"/>
      <c r="N747" s="216" t="s">
        <v>340</v>
      </c>
      <c r="O747" s="216" t="s">
        <v>189</v>
      </c>
      <c r="P747" s="216" t="s">
        <v>898</v>
      </c>
      <c r="Q747" s="218"/>
      <c r="R747" s="202">
        <v>2500.0</v>
      </c>
      <c r="S747" s="17">
        <f>FRESADO!$R747*FRESADO!$E747</f>
        <v>2500</v>
      </c>
      <c r="T747" s="17">
        <f>FRESADO!$S747*16%</f>
        <v>400</v>
      </c>
      <c r="U747" s="17">
        <f>FRESADO!$S747+FRESADO!$T747</f>
        <v>2900</v>
      </c>
      <c r="V747" s="34" t="s">
        <v>899</v>
      </c>
      <c r="W747" s="104"/>
      <c r="X747" s="104"/>
      <c r="Y747" s="30"/>
      <c r="Z747" s="31" t="s">
        <v>77</v>
      </c>
    </row>
    <row r="748" ht="15.75" customHeight="1">
      <c r="A748" s="6">
        <v>30.0</v>
      </c>
      <c r="B748" s="213">
        <v>143.0</v>
      </c>
      <c r="C748" s="214">
        <v>1894.0</v>
      </c>
      <c r="D748" s="215">
        <v>46228.0</v>
      </c>
      <c r="E748" s="216">
        <v>1.0</v>
      </c>
      <c r="F748" s="216" t="s">
        <v>219</v>
      </c>
      <c r="G748" s="216" t="s">
        <v>347</v>
      </c>
      <c r="H748" s="93">
        <v>0.0</v>
      </c>
      <c r="I748" s="216" t="s">
        <v>34</v>
      </c>
      <c r="J748" s="216" t="s">
        <v>70</v>
      </c>
      <c r="K748" s="11" t="s">
        <v>36</v>
      </c>
      <c r="L748" s="217"/>
      <c r="M748" s="217"/>
      <c r="N748" s="216" t="s">
        <v>340</v>
      </c>
      <c r="O748" s="216" t="s">
        <v>189</v>
      </c>
      <c r="P748" s="216" t="s">
        <v>898</v>
      </c>
      <c r="Q748" s="184" t="s">
        <v>219</v>
      </c>
      <c r="R748" s="202">
        <v>1000.0</v>
      </c>
      <c r="S748" s="17">
        <f>FRESADO!$R748*FRESADO!$E748</f>
        <v>1000</v>
      </c>
      <c r="T748" s="17">
        <f>FRESADO!$S748*16%</f>
        <v>160</v>
      </c>
      <c r="U748" s="17">
        <f>FRESADO!$S748+FRESADO!$T748</f>
        <v>1160</v>
      </c>
      <c r="V748" s="34" t="s">
        <v>899</v>
      </c>
      <c r="W748" s="104"/>
      <c r="X748" s="104"/>
      <c r="Y748" s="30"/>
    </row>
    <row r="749" ht="15.75" customHeight="1">
      <c r="A749" s="6">
        <v>30.0</v>
      </c>
      <c r="B749" s="213">
        <v>144.0</v>
      </c>
      <c r="C749" s="214">
        <v>1895.0</v>
      </c>
      <c r="D749" s="215">
        <v>46228.0</v>
      </c>
      <c r="E749" s="216">
        <v>1.0</v>
      </c>
      <c r="F749" s="216" t="s">
        <v>219</v>
      </c>
      <c r="G749" s="216"/>
      <c r="H749" s="216">
        <v>0.0</v>
      </c>
      <c r="I749" s="216"/>
      <c r="J749" s="216"/>
      <c r="K749" s="11" t="s">
        <v>36</v>
      </c>
      <c r="L749" s="217"/>
      <c r="M749" s="217"/>
      <c r="N749" s="216"/>
      <c r="O749" s="216"/>
      <c r="P749" s="216"/>
      <c r="Q749" s="218" t="s">
        <v>219</v>
      </c>
      <c r="R749" s="202">
        <v>1000.0</v>
      </c>
      <c r="S749" s="17">
        <f>FRESADO!$R749*FRESADO!$E749</f>
        <v>1000</v>
      </c>
      <c r="T749" s="17">
        <f>FRESADO!$S749*16%</f>
        <v>160</v>
      </c>
      <c r="U749" s="17">
        <f>FRESADO!$S749+FRESADO!$T749</f>
        <v>1160</v>
      </c>
      <c r="V749" s="34" t="s">
        <v>899</v>
      </c>
      <c r="W749" s="104"/>
      <c r="X749" s="104"/>
      <c r="Y749" s="30"/>
    </row>
    <row r="750" ht="15.75" customHeight="1">
      <c r="A750" s="6">
        <v>30.0</v>
      </c>
      <c r="B750" s="213">
        <v>145.0</v>
      </c>
      <c r="C750" s="214">
        <v>1897.0</v>
      </c>
      <c r="D750" s="215">
        <v>46228.0</v>
      </c>
      <c r="E750" s="216">
        <v>1.0</v>
      </c>
      <c r="F750" s="216" t="s">
        <v>388</v>
      </c>
      <c r="G750" s="216" t="s">
        <v>905</v>
      </c>
      <c r="H750" s="93">
        <v>7.0</v>
      </c>
      <c r="I750" s="216" t="s">
        <v>34</v>
      </c>
      <c r="J750" s="216" t="s">
        <v>906</v>
      </c>
      <c r="K750" s="11" t="s">
        <v>36</v>
      </c>
      <c r="L750" s="217"/>
      <c r="M750" s="217"/>
      <c r="N750" s="216" t="s">
        <v>340</v>
      </c>
      <c r="O750" s="216" t="s">
        <v>189</v>
      </c>
      <c r="P750" s="216" t="s">
        <v>898</v>
      </c>
      <c r="Q750" s="218" t="s">
        <v>390</v>
      </c>
      <c r="R750" s="202">
        <v>3200.0</v>
      </c>
      <c r="S750" s="17">
        <f>FRESADO!$R750*FRESADO!$E750</f>
        <v>3200</v>
      </c>
      <c r="T750" s="17">
        <f>FRESADO!$S750*16%</f>
        <v>512</v>
      </c>
      <c r="U750" s="17">
        <f>FRESADO!$S750+FRESADO!$T750</f>
        <v>3712</v>
      </c>
      <c r="V750" s="34" t="s">
        <v>899</v>
      </c>
      <c r="W750" s="104"/>
      <c r="X750" s="104"/>
      <c r="Y750" s="30"/>
    </row>
    <row r="751" ht="15.75" customHeight="1">
      <c r="A751" s="6" t="s">
        <v>907</v>
      </c>
      <c r="B751" s="213" t="s">
        <v>908</v>
      </c>
      <c r="C751" s="224" t="s">
        <v>909</v>
      </c>
      <c r="D751" s="215" t="s">
        <v>910</v>
      </c>
      <c r="E751" s="216" t="s">
        <v>574</v>
      </c>
      <c r="F751" s="216" t="s">
        <v>388</v>
      </c>
      <c r="G751" s="216" t="s">
        <v>583</v>
      </c>
      <c r="H751" s="216" t="s">
        <v>911</v>
      </c>
      <c r="I751" s="216" t="s">
        <v>34</v>
      </c>
      <c r="J751" s="216" t="s">
        <v>584</v>
      </c>
      <c r="K751" s="34" t="s">
        <v>50</v>
      </c>
      <c r="L751" s="217"/>
      <c r="M751" s="217"/>
      <c r="N751" s="216" t="s">
        <v>340</v>
      </c>
      <c r="O751" s="216" t="s">
        <v>189</v>
      </c>
      <c r="P751" s="216" t="s">
        <v>898</v>
      </c>
      <c r="Q751" s="218" t="s">
        <v>390</v>
      </c>
      <c r="R751" s="202" t="s">
        <v>912</v>
      </c>
      <c r="S751" s="17">
        <f>FRESADO!$R751*FRESADO!$E751</f>
        <v>4500</v>
      </c>
      <c r="T751" s="17">
        <f>FRESADO!$S751*16%</f>
        <v>720</v>
      </c>
      <c r="U751" s="17">
        <f>FRESADO!$S751+FRESADO!$T751</f>
        <v>5220</v>
      </c>
      <c r="V751" s="34" t="s">
        <v>697</v>
      </c>
      <c r="W751" s="104"/>
      <c r="X751" s="104"/>
      <c r="Y751" s="30"/>
    </row>
    <row r="752" ht="15.75" customHeight="1">
      <c r="A752" s="138">
        <v>31.0</v>
      </c>
      <c r="B752" s="138">
        <v>1.0</v>
      </c>
      <c r="C752" s="138">
        <v>1898.0</v>
      </c>
      <c r="D752" s="226">
        <v>46230.0</v>
      </c>
      <c r="E752" s="138">
        <v>1.0</v>
      </c>
      <c r="F752" s="138" t="s">
        <v>74</v>
      </c>
      <c r="G752" s="138" t="s">
        <v>692</v>
      </c>
      <c r="H752" s="138">
        <v>14.0</v>
      </c>
      <c r="I752" s="138" t="s">
        <v>34</v>
      </c>
      <c r="J752" s="138" t="s">
        <v>693</v>
      </c>
      <c r="K752" s="227" t="s">
        <v>36</v>
      </c>
      <c r="L752" s="228"/>
      <c r="M752" s="228"/>
      <c r="N752" s="138" t="s">
        <v>398</v>
      </c>
      <c r="O752" s="138" t="s">
        <v>189</v>
      </c>
      <c r="P752" s="138" t="s">
        <v>898</v>
      </c>
      <c r="Q752" s="219" t="s">
        <v>399</v>
      </c>
      <c r="R752" s="229">
        <v>3855.0</v>
      </c>
      <c r="S752" s="230">
        <f>FRESADO!$R752*FRESADO!$E752</f>
        <v>3855</v>
      </c>
      <c r="T752" s="230">
        <f>FRESADO!$S752*16%</f>
        <v>616.8</v>
      </c>
      <c r="U752" s="230">
        <f>FRESADO!$S752+FRESADO!$T752</f>
        <v>4471.8</v>
      </c>
      <c r="V752" s="129" t="s">
        <v>899</v>
      </c>
      <c r="W752" s="206"/>
      <c r="X752" s="206"/>
      <c r="Y752" s="189"/>
      <c r="Z752" s="219" t="s">
        <v>399</v>
      </c>
    </row>
    <row r="753" ht="15.75" customHeight="1">
      <c r="A753" s="138">
        <v>31.0</v>
      </c>
      <c r="B753" s="138">
        <v>2.0</v>
      </c>
      <c r="C753" s="138">
        <v>1899.0</v>
      </c>
      <c r="D753" s="226">
        <v>46230.0</v>
      </c>
      <c r="E753" s="138">
        <v>1.0</v>
      </c>
      <c r="F753" s="138" t="s">
        <v>74</v>
      </c>
      <c r="G753" s="138" t="s">
        <v>900</v>
      </c>
      <c r="H753" s="138">
        <v>14.0</v>
      </c>
      <c r="I753" s="138" t="s">
        <v>34</v>
      </c>
      <c r="J753" s="138" t="s">
        <v>272</v>
      </c>
      <c r="K753" s="227" t="s">
        <v>36</v>
      </c>
      <c r="L753" s="228"/>
      <c r="M753" s="228"/>
      <c r="N753" s="138" t="s">
        <v>398</v>
      </c>
      <c r="O753" s="138" t="s">
        <v>189</v>
      </c>
      <c r="P753" s="138" t="s">
        <v>898</v>
      </c>
      <c r="Q753" s="219" t="s">
        <v>399</v>
      </c>
      <c r="R753" s="229">
        <v>3855.0</v>
      </c>
      <c r="S753" s="230">
        <f>FRESADO!$R753*FRESADO!$E753</f>
        <v>3855</v>
      </c>
      <c r="T753" s="230">
        <f>FRESADO!$S753*16%</f>
        <v>616.8</v>
      </c>
      <c r="U753" s="230">
        <f>FRESADO!$S753+FRESADO!$T753</f>
        <v>4471.8</v>
      </c>
      <c r="V753" s="129" t="s">
        <v>899</v>
      </c>
      <c r="Y753" s="30"/>
      <c r="Z753" s="219" t="s">
        <v>399</v>
      </c>
    </row>
    <row r="754" ht="15.75" customHeight="1">
      <c r="A754" s="138">
        <v>31.0</v>
      </c>
      <c r="B754" s="138">
        <v>3.0</v>
      </c>
      <c r="C754" s="138">
        <v>1900.0</v>
      </c>
      <c r="D754" s="226">
        <v>46230.0</v>
      </c>
      <c r="E754" s="138">
        <v>1.0</v>
      </c>
      <c r="F754" s="138" t="s">
        <v>74</v>
      </c>
      <c r="G754" s="138" t="s">
        <v>690</v>
      </c>
      <c r="H754" s="138">
        <v>14.0</v>
      </c>
      <c r="I754" s="138" t="s">
        <v>34</v>
      </c>
      <c r="J754" s="138" t="s">
        <v>691</v>
      </c>
      <c r="K754" s="227" t="s">
        <v>36</v>
      </c>
      <c r="L754" s="228"/>
      <c r="M754" s="228"/>
      <c r="N754" s="138" t="s">
        <v>398</v>
      </c>
      <c r="O754" s="138" t="s">
        <v>189</v>
      </c>
      <c r="P754" s="138" t="s">
        <v>898</v>
      </c>
      <c r="Q754" s="219" t="s">
        <v>399</v>
      </c>
      <c r="R754" s="229">
        <v>3855.0</v>
      </c>
      <c r="S754" s="230">
        <f>FRESADO!$R754*FRESADO!$E754</f>
        <v>3855</v>
      </c>
      <c r="T754" s="230">
        <f>FRESADO!$S754*16%</f>
        <v>616.8</v>
      </c>
      <c r="U754" s="230">
        <f>FRESADO!$S754+FRESADO!$T754</f>
        <v>4471.8</v>
      </c>
      <c r="V754" s="129" t="s">
        <v>899</v>
      </c>
      <c r="Y754" s="30"/>
      <c r="Z754" s="219" t="s">
        <v>399</v>
      </c>
    </row>
    <row r="755" ht="15.75" customHeight="1">
      <c r="A755" s="138">
        <v>31.0</v>
      </c>
      <c r="B755" s="138">
        <v>4.0</v>
      </c>
      <c r="C755" s="138">
        <v>51.0</v>
      </c>
      <c r="D755" s="226">
        <v>46230.0</v>
      </c>
      <c r="E755" s="138">
        <v>1.0</v>
      </c>
      <c r="F755" s="138" t="s">
        <v>74</v>
      </c>
      <c r="G755" s="138" t="s">
        <v>192</v>
      </c>
      <c r="H755" s="138">
        <v>14.0</v>
      </c>
      <c r="I755" s="138" t="s">
        <v>34</v>
      </c>
      <c r="J755" s="138" t="s">
        <v>41</v>
      </c>
      <c r="K755" s="227" t="s">
        <v>36</v>
      </c>
      <c r="L755" s="228"/>
      <c r="M755" s="228"/>
      <c r="N755" s="138" t="s">
        <v>398</v>
      </c>
      <c r="O755" s="138" t="s">
        <v>189</v>
      </c>
      <c r="P755" s="138" t="s">
        <v>898</v>
      </c>
      <c r="Q755" s="219" t="s">
        <v>399</v>
      </c>
      <c r="R755" s="229">
        <v>3855.0</v>
      </c>
      <c r="S755" s="230">
        <f>FRESADO!$R755*FRESADO!$E755</f>
        <v>3855</v>
      </c>
      <c r="T755" s="230">
        <f>FRESADO!$S755*16%</f>
        <v>616.8</v>
      </c>
      <c r="U755" s="230">
        <f>FRESADO!$S755+FRESADO!$T755</f>
        <v>4471.8</v>
      </c>
      <c r="V755" s="129" t="s">
        <v>899</v>
      </c>
      <c r="Y755" s="30"/>
      <c r="Z755" s="219" t="s">
        <v>399</v>
      </c>
    </row>
    <row r="756" ht="15.75" customHeight="1">
      <c r="A756" s="138">
        <v>31.0</v>
      </c>
      <c r="B756" s="138">
        <v>5.0</v>
      </c>
      <c r="C756" s="142">
        <v>52.0</v>
      </c>
      <c r="D756" s="226">
        <v>46230.0</v>
      </c>
      <c r="E756" s="138">
        <v>1.0</v>
      </c>
      <c r="F756" s="138" t="s">
        <v>74</v>
      </c>
      <c r="G756" s="138" t="s">
        <v>280</v>
      </c>
      <c r="H756" s="138">
        <v>14.0</v>
      </c>
      <c r="I756" s="138" t="s">
        <v>34</v>
      </c>
      <c r="J756" s="138" t="s">
        <v>272</v>
      </c>
      <c r="K756" s="227" t="s">
        <v>36</v>
      </c>
      <c r="L756" s="228"/>
      <c r="M756" s="228"/>
      <c r="N756" s="138" t="s">
        <v>340</v>
      </c>
      <c r="O756" s="138" t="s">
        <v>189</v>
      </c>
      <c r="P756" s="138" t="s">
        <v>898</v>
      </c>
      <c r="Q756" s="231"/>
      <c r="R756" s="229">
        <v>2500.0</v>
      </c>
      <c r="S756" s="230">
        <f>FRESADO!$R756*FRESADO!$E756</f>
        <v>2500</v>
      </c>
      <c r="T756" s="230">
        <f>FRESADO!$S756*16%</f>
        <v>400</v>
      </c>
      <c r="U756" s="230">
        <f>FRESADO!$S756+FRESADO!$T756</f>
        <v>2900</v>
      </c>
      <c r="V756" s="129" t="s">
        <v>899</v>
      </c>
      <c r="Y756" s="30"/>
      <c r="Z756" s="31" t="s">
        <v>77</v>
      </c>
    </row>
    <row r="757" ht="15.75" customHeight="1">
      <c r="A757" s="138">
        <v>31.0</v>
      </c>
      <c r="B757" s="232">
        <v>6.0</v>
      </c>
      <c r="C757" s="142">
        <v>53.0</v>
      </c>
      <c r="D757" s="226">
        <v>46230.0</v>
      </c>
      <c r="E757" s="233">
        <v>1.0</v>
      </c>
      <c r="F757" s="232" t="s">
        <v>74</v>
      </c>
      <c r="G757" s="138" t="s">
        <v>277</v>
      </c>
      <c r="H757" s="138">
        <v>14.0</v>
      </c>
      <c r="I757" s="138" t="s">
        <v>34</v>
      </c>
      <c r="J757" s="138" t="s">
        <v>278</v>
      </c>
      <c r="K757" s="227" t="s">
        <v>36</v>
      </c>
      <c r="L757" s="228"/>
      <c r="M757" s="228"/>
      <c r="N757" s="138" t="s">
        <v>340</v>
      </c>
      <c r="O757" s="138" t="s">
        <v>189</v>
      </c>
      <c r="P757" s="138" t="s">
        <v>898</v>
      </c>
      <c r="Q757" s="231"/>
      <c r="R757" s="229">
        <v>2500.0</v>
      </c>
      <c r="S757" s="230">
        <f>FRESADO!$R757*FRESADO!$E757</f>
        <v>2500</v>
      </c>
      <c r="T757" s="230">
        <f>FRESADO!$S757*16%</f>
        <v>400</v>
      </c>
      <c r="U757" s="230">
        <f>FRESADO!$S757+FRESADO!$T757</f>
        <v>2900</v>
      </c>
      <c r="V757" s="129" t="s">
        <v>899</v>
      </c>
      <c r="Y757" s="30"/>
      <c r="Z757" s="31" t="s">
        <v>77</v>
      </c>
    </row>
    <row r="758" ht="15.75" customHeight="1">
      <c r="A758" s="138">
        <v>31.0</v>
      </c>
      <c r="B758" s="232">
        <v>7.0</v>
      </c>
      <c r="C758" s="142">
        <v>54.0</v>
      </c>
      <c r="D758" s="226">
        <v>46230.0</v>
      </c>
      <c r="E758" s="233">
        <v>1.0</v>
      </c>
      <c r="F758" s="232" t="s">
        <v>74</v>
      </c>
      <c r="G758" s="138" t="s">
        <v>347</v>
      </c>
      <c r="H758" s="138">
        <v>14.0</v>
      </c>
      <c r="I758" s="138" t="s">
        <v>34</v>
      </c>
      <c r="J758" s="138" t="s">
        <v>70</v>
      </c>
      <c r="K758" s="227" t="s">
        <v>36</v>
      </c>
      <c r="L758" s="228"/>
      <c r="M758" s="228"/>
      <c r="N758" s="138" t="s">
        <v>340</v>
      </c>
      <c r="O758" s="138" t="s">
        <v>189</v>
      </c>
      <c r="P758" s="138" t="s">
        <v>898</v>
      </c>
      <c r="Q758" s="231"/>
      <c r="R758" s="229">
        <v>2500.0</v>
      </c>
      <c r="S758" s="230">
        <f>FRESADO!$R758*FRESADO!$E758</f>
        <v>2500</v>
      </c>
      <c r="T758" s="230">
        <f>FRESADO!$S758*16%</f>
        <v>400</v>
      </c>
      <c r="U758" s="230">
        <f>FRESADO!$S758+FRESADO!$T758</f>
        <v>2900</v>
      </c>
      <c r="V758" s="129" t="s">
        <v>899</v>
      </c>
      <c r="Y758" s="30"/>
      <c r="Z758" s="31" t="s">
        <v>77</v>
      </c>
    </row>
    <row r="759" ht="15.75" customHeight="1">
      <c r="A759" s="138">
        <v>31.0</v>
      </c>
      <c r="B759" s="232">
        <v>8.0</v>
      </c>
      <c r="C759" s="142">
        <v>55.0</v>
      </c>
      <c r="D759" s="226">
        <v>46230.0</v>
      </c>
      <c r="E759" s="233">
        <v>1.0</v>
      </c>
      <c r="F759" s="232" t="s">
        <v>74</v>
      </c>
      <c r="G759" s="138" t="s">
        <v>238</v>
      </c>
      <c r="H759" s="138">
        <v>14.0</v>
      </c>
      <c r="I759" s="138" t="s">
        <v>34</v>
      </c>
      <c r="J759" s="138" t="s">
        <v>89</v>
      </c>
      <c r="K759" s="227" t="s">
        <v>36</v>
      </c>
      <c r="L759" s="228"/>
      <c r="M759" s="228"/>
      <c r="N759" s="138" t="s">
        <v>340</v>
      </c>
      <c r="O759" s="138" t="s">
        <v>189</v>
      </c>
      <c r="P759" s="138" t="s">
        <v>898</v>
      </c>
      <c r="Q759" s="231"/>
      <c r="R759" s="229">
        <v>2500.0</v>
      </c>
      <c r="S759" s="230">
        <f>FRESADO!$R759*FRESADO!$E759</f>
        <v>2500</v>
      </c>
      <c r="T759" s="230">
        <f>FRESADO!$S759*16%</f>
        <v>400</v>
      </c>
      <c r="U759" s="230">
        <f>FRESADO!$S759+FRESADO!$T759</f>
        <v>2900</v>
      </c>
      <c r="V759" s="129" t="s">
        <v>899</v>
      </c>
      <c r="Y759" s="30"/>
      <c r="Z759" s="31" t="s">
        <v>77</v>
      </c>
    </row>
    <row r="760" ht="15.75" customHeight="1">
      <c r="A760" s="138">
        <v>31.0</v>
      </c>
      <c r="B760" s="232">
        <v>9.0</v>
      </c>
      <c r="C760" s="142">
        <v>56.0</v>
      </c>
      <c r="D760" s="226">
        <v>46230.0</v>
      </c>
      <c r="E760" s="232">
        <v>1.0</v>
      </c>
      <c r="F760" s="232" t="s">
        <v>74</v>
      </c>
      <c r="G760" s="138" t="s">
        <v>692</v>
      </c>
      <c r="H760" s="138">
        <v>14.0</v>
      </c>
      <c r="I760" s="138" t="s">
        <v>34</v>
      </c>
      <c r="J760" s="138" t="s">
        <v>693</v>
      </c>
      <c r="K760" s="227" t="s">
        <v>36</v>
      </c>
      <c r="L760" s="228"/>
      <c r="M760" s="228"/>
      <c r="N760" s="138" t="s">
        <v>340</v>
      </c>
      <c r="O760" s="138" t="s">
        <v>189</v>
      </c>
      <c r="P760" s="138" t="s">
        <v>898</v>
      </c>
      <c r="Q760" s="231"/>
      <c r="R760" s="229">
        <v>2500.0</v>
      </c>
      <c r="S760" s="230">
        <f>FRESADO!$R760*FRESADO!$E760</f>
        <v>2500</v>
      </c>
      <c r="T760" s="230">
        <f>FRESADO!$S760*16%</f>
        <v>400</v>
      </c>
      <c r="U760" s="230">
        <f>FRESADO!$S760+FRESADO!$T760</f>
        <v>2900</v>
      </c>
      <c r="V760" s="129" t="s">
        <v>899</v>
      </c>
      <c r="Y760" s="30"/>
      <c r="Z760" s="31" t="s">
        <v>77</v>
      </c>
    </row>
    <row r="761" ht="15.75" customHeight="1">
      <c r="A761" s="138">
        <v>31.0</v>
      </c>
      <c r="B761" s="138">
        <v>10.0</v>
      </c>
      <c r="C761" s="142">
        <v>57.0</v>
      </c>
      <c r="D761" s="226">
        <v>46230.0</v>
      </c>
      <c r="E761" s="138">
        <v>1.0</v>
      </c>
      <c r="F761" s="138" t="s">
        <v>74</v>
      </c>
      <c r="G761" s="138" t="s">
        <v>900</v>
      </c>
      <c r="H761" s="138">
        <v>14.0</v>
      </c>
      <c r="I761" s="138" t="s">
        <v>34</v>
      </c>
      <c r="J761" s="138" t="s">
        <v>94</v>
      </c>
      <c r="K761" s="227" t="s">
        <v>36</v>
      </c>
      <c r="L761" s="228"/>
      <c r="M761" s="228"/>
      <c r="N761" s="138" t="s">
        <v>340</v>
      </c>
      <c r="O761" s="138" t="s">
        <v>189</v>
      </c>
      <c r="P761" s="138" t="s">
        <v>898</v>
      </c>
      <c r="Q761" s="231"/>
      <c r="R761" s="229">
        <v>2500.0</v>
      </c>
      <c r="S761" s="230">
        <f>FRESADO!$R761*FRESADO!$E761</f>
        <v>2500</v>
      </c>
      <c r="T761" s="230">
        <f>FRESADO!$S761*16%</f>
        <v>400</v>
      </c>
      <c r="U761" s="230">
        <f>FRESADO!$S761+FRESADO!$T761</f>
        <v>2900</v>
      </c>
      <c r="V761" s="129" t="s">
        <v>899</v>
      </c>
      <c r="Y761" s="30"/>
      <c r="Z761" s="31" t="s">
        <v>77</v>
      </c>
    </row>
    <row r="762" ht="15.75" customHeight="1">
      <c r="A762" s="138">
        <v>31.0</v>
      </c>
      <c r="B762" s="232">
        <v>11.0</v>
      </c>
      <c r="C762" s="142">
        <v>58.0</v>
      </c>
      <c r="D762" s="226">
        <v>46230.0</v>
      </c>
      <c r="E762" s="232">
        <v>1.0</v>
      </c>
      <c r="F762" s="232" t="s">
        <v>74</v>
      </c>
      <c r="G762" s="232" t="s">
        <v>277</v>
      </c>
      <c r="H762" s="232">
        <v>14.0</v>
      </c>
      <c r="I762" s="232" t="s">
        <v>34</v>
      </c>
      <c r="J762" s="232" t="s">
        <v>278</v>
      </c>
      <c r="K762" s="227" t="s">
        <v>36</v>
      </c>
      <c r="L762" s="234"/>
      <c r="M762" s="234"/>
      <c r="N762" s="232" t="s">
        <v>340</v>
      </c>
      <c r="O762" s="232" t="s">
        <v>189</v>
      </c>
      <c r="P762" s="232" t="s">
        <v>898</v>
      </c>
      <c r="Q762" s="235"/>
      <c r="R762" s="229">
        <v>2500.0</v>
      </c>
      <c r="S762" s="230">
        <f>FRESADO!$R762*FRESADO!$E762</f>
        <v>2500</v>
      </c>
      <c r="T762" s="230">
        <f>FRESADO!$S762*16%</f>
        <v>400</v>
      </c>
      <c r="U762" s="230">
        <f>FRESADO!$S762+FRESADO!$T762</f>
        <v>2900</v>
      </c>
      <c r="V762" s="129" t="s">
        <v>899</v>
      </c>
      <c r="Y762" s="30"/>
      <c r="Z762" s="31" t="s">
        <v>77</v>
      </c>
    </row>
    <row r="763" ht="15.75" customHeight="1">
      <c r="A763" s="138">
        <v>31.0</v>
      </c>
      <c r="B763" s="233">
        <v>12.0</v>
      </c>
      <c r="C763" s="142">
        <v>59.0</v>
      </c>
      <c r="D763" s="226">
        <v>46230.0</v>
      </c>
      <c r="E763" s="233">
        <v>1.0</v>
      </c>
      <c r="F763" s="233" t="s">
        <v>74</v>
      </c>
      <c r="G763" s="138" t="s">
        <v>280</v>
      </c>
      <c r="H763" s="138">
        <v>14.0</v>
      </c>
      <c r="I763" s="138" t="s">
        <v>34</v>
      </c>
      <c r="J763" s="138" t="s">
        <v>272</v>
      </c>
      <c r="K763" s="227" t="s">
        <v>36</v>
      </c>
      <c r="L763" s="228"/>
      <c r="M763" s="228"/>
      <c r="N763" s="138" t="s">
        <v>340</v>
      </c>
      <c r="O763" s="138" t="s">
        <v>189</v>
      </c>
      <c r="P763" s="138" t="s">
        <v>898</v>
      </c>
      <c r="Q763" s="231"/>
      <c r="R763" s="229">
        <v>2500.0</v>
      </c>
      <c r="S763" s="230">
        <f>FRESADO!$R763*FRESADO!$E763</f>
        <v>2500</v>
      </c>
      <c r="T763" s="230">
        <f>FRESADO!$S763*16%</f>
        <v>400</v>
      </c>
      <c r="U763" s="230">
        <f>FRESADO!$S763+FRESADO!$T763</f>
        <v>2900</v>
      </c>
      <c r="V763" s="129" t="s">
        <v>899</v>
      </c>
      <c r="Y763" s="30"/>
      <c r="Z763" s="31" t="s">
        <v>77</v>
      </c>
    </row>
    <row r="764" ht="15.75" customHeight="1">
      <c r="A764" s="138">
        <v>31.0</v>
      </c>
      <c r="B764" s="138">
        <v>13.0</v>
      </c>
      <c r="C764" s="142">
        <v>60.0</v>
      </c>
      <c r="D764" s="226">
        <v>46230.0</v>
      </c>
      <c r="E764" s="138">
        <v>1.0</v>
      </c>
      <c r="F764" s="138" t="s">
        <v>74</v>
      </c>
      <c r="G764" s="138" t="s">
        <v>690</v>
      </c>
      <c r="H764" s="138">
        <v>14.0</v>
      </c>
      <c r="I764" s="138" t="s">
        <v>34</v>
      </c>
      <c r="J764" s="138" t="s">
        <v>691</v>
      </c>
      <c r="K764" s="227" t="s">
        <v>36</v>
      </c>
      <c r="L764" s="228"/>
      <c r="M764" s="228"/>
      <c r="N764" s="138" t="s">
        <v>340</v>
      </c>
      <c r="O764" s="138" t="s">
        <v>189</v>
      </c>
      <c r="P764" s="138" t="s">
        <v>898</v>
      </c>
      <c r="Q764" s="231"/>
      <c r="R764" s="229">
        <v>2500.0</v>
      </c>
      <c r="S764" s="230">
        <f>FRESADO!$R764*FRESADO!$E764</f>
        <v>2500</v>
      </c>
      <c r="T764" s="230">
        <f>FRESADO!$S764*16%</f>
        <v>400</v>
      </c>
      <c r="U764" s="230">
        <f>FRESADO!$S764+FRESADO!$T764</f>
        <v>2900</v>
      </c>
      <c r="V764" s="129" t="s">
        <v>899</v>
      </c>
      <c r="Y764" s="30"/>
      <c r="Z764" s="31" t="s">
        <v>77</v>
      </c>
    </row>
    <row r="765" ht="15.75" customHeight="1">
      <c r="A765" s="138">
        <v>31.0</v>
      </c>
      <c r="B765" s="138">
        <v>14.0</v>
      </c>
      <c r="C765" s="142">
        <v>61.0</v>
      </c>
      <c r="D765" s="226">
        <v>46230.0</v>
      </c>
      <c r="E765" s="138">
        <v>1.0</v>
      </c>
      <c r="F765" s="138" t="s">
        <v>74</v>
      </c>
      <c r="G765" s="138" t="s">
        <v>192</v>
      </c>
      <c r="H765" s="138">
        <v>14.0</v>
      </c>
      <c r="I765" s="138" t="s">
        <v>34</v>
      </c>
      <c r="J765" s="138" t="s">
        <v>41</v>
      </c>
      <c r="K765" s="227" t="s">
        <v>36</v>
      </c>
      <c r="L765" s="228"/>
      <c r="M765" s="228"/>
      <c r="N765" s="138" t="s">
        <v>340</v>
      </c>
      <c r="O765" s="138" t="s">
        <v>189</v>
      </c>
      <c r="P765" s="138" t="s">
        <v>898</v>
      </c>
      <c r="Q765" s="231"/>
      <c r="R765" s="229">
        <v>2500.0</v>
      </c>
      <c r="S765" s="230">
        <f>FRESADO!$R765*FRESADO!$E765</f>
        <v>2500</v>
      </c>
      <c r="T765" s="230">
        <f>FRESADO!$S765*16%</f>
        <v>400</v>
      </c>
      <c r="U765" s="230">
        <f>FRESADO!$S765+FRESADO!$T765</f>
        <v>2900</v>
      </c>
      <c r="V765" s="129" t="s">
        <v>899</v>
      </c>
      <c r="Y765" s="30"/>
      <c r="Z765" s="31" t="s">
        <v>77</v>
      </c>
    </row>
    <row r="766" ht="15.75" customHeight="1">
      <c r="A766" s="138">
        <v>31.0</v>
      </c>
      <c r="B766" s="233">
        <v>15.0</v>
      </c>
      <c r="C766" s="142">
        <v>62.0</v>
      </c>
      <c r="D766" s="226">
        <v>46230.0</v>
      </c>
      <c r="E766" s="233">
        <v>1.0</v>
      </c>
      <c r="F766" s="233" t="s">
        <v>74</v>
      </c>
      <c r="G766" s="138" t="s">
        <v>347</v>
      </c>
      <c r="H766" s="138">
        <v>14.0</v>
      </c>
      <c r="I766" s="138" t="s">
        <v>34</v>
      </c>
      <c r="J766" s="138" t="s">
        <v>70</v>
      </c>
      <c r="K766" s="227" t="s">
        <v>36</v>
      </c>
      <c r="L766" s="228"/>
      <c r="M766" s="228"/>
      <c r="N766" s="138" t="s">
        <v>340</v>
      </c>
      <c r="O766" s="138" t="s">
        <v>189</v>
      </c>
      <c r="P766" s="138" t="s">
        <v>898</v>
      </c>
      <c r="Q766" s="231"/>
      <c r="R766" s="229">
        <v>2500.0</v>
      </c>
      <c r="S766" s="230">
        <f>FRESADO!$R766*FRESADO!$E766</f>
        <v>2500</v>
      </c>
      <c r="T766" s="230">
        <f>FRESADO!$S766*16%</f>
        <v>400</v>
      </c>
      <c r="U766" s="230">
        <f>FRESADO!$S766+FRESADO!$T766</f>
        <v>2900</v>
      </c>
      <c r="V766" s="129" t="s">
        <v>899</v>
      </c>
      <c r="Y766" s="30"/>
      <c r="Z766" s="31" t="s">
        <v>77</v>
      </c>
    </row>
    <row r="767" ht="15.75" customHeight="1">
      <c r="A767" s="138">
        <v>31.0</v>
      </c>
      <c r="B767" s="138">
        <v>16.0</v>
      </c>
      <c r="C767" s="142">
        <v>63.0</v>
      </c>
      <c r="D767" s="226">
        <v>46230.0</v>
      </c>
      <c r="E767" s="138">
        <v>1.0</v>
      </c>
      <c r="F767" s="138" t="s">
        <v>74</v>
      </c>
      <c r="G767" s="138" t="s">
        <v>238</v>
      </c>
      <c r="H767" s="138">
        <v>14.0</v>
      </c>
      <c r="I767" s="138" t="s">
        <v>34</v>
      </c>
      <c r="J767" s="138" t="s">
        <v>89</v>
      </c>
      <c r="K767" s="227" t="s">
        <v>36</v>
      </c>
      <c r="L767" s="228"/>
      <c r="M767" s="228"/>
      <c r="N767" s="138" t="s">
        <v>340</v>
      </c>
      <c r="O767" s="138" t="s">
        <v>189</v>
      </c>
      <c r="P767" s="138" t="s">
        <v>898</v>
      </c>
      <c r="Q767" s="231"/>
      <c r="R767" s="229">
        <v>2500.0</v>
      </c>
      <c r="S767" s="230">
        <f>FRESADO!$R767*FRESADO!$E767</f>
        <v>2500</v>
      </c>
      <c r="T767" s="230">
        <f>FRESADO!$S767*16%</f>
        <v>400</v>
      </c>
      <c r="U767" s="230">
        <f>FRESADO!$S767+FRESADO!$T767</f>
        <v>2900</v>
      </c>
      <c r="V767" s="129" t="s">
        <v>899</v>
      </c>
      <c r="Y767" s="148"/>
      <c r="Z767" s="31" t="s">
        <v>77</v>
      </c>
    </row>
    <row r="768" ht="15.75" customHeight="1">
      <c r="A768" s="138">
        <v>31.0</v>
      </c>
      <c r="B768" s="138">
        <v>17.0</v>
      </c>
      <c r="C768" s="142">
        <v>64.0</v>
      </c>
      <c r="D768" s="226">
        <v>46230.0</v>
      </c>
      <c r="E768" s="138">
        <v>1.0</v>
      </c>
      <c r="F768" s="138" t="s">
        <v>74</v>
      </c>
      <c r="G768" s="138" t="s">
        <v>692</v>
      </c>
      <c r="H768" s="138">
        <v>14.0</v>
      </c>
      <c r="I768" s="138" t="s">
        <v>34</v>
      </c>
      <c r="J768" s="138" t="s">
        <v>693</v>
      </c>
      <c r="K768" s="227" t="s">
        <v>36</v>
      </c>
      <c r="L768" s="228"/>
      <c r="M768" s="228"/>
      <c r="N768" s="138" t="s">
        <v>340</v>
      </c>
      <c r="O768" s="138" t="s">
        <v>189</v>
      </c>
      <c r="P768" s="138" t="s">
        <v>898</v>
      </c>
      <c r="Q768" s="231"/>
      <c r="R768" s="229">
        <v>2500.0</v>
      </c>
      <c r="S768" s="230">
        <f>FRESADO!$R768*FRESADO!$E768</f>
        <v>2500</v>
      </c>
      <c r="T768" s="230">
        <f>FRESADO!$S768*16%</f>
        <v>400</v>
      </c>
      <c r="U768" s="230">
        <f>FRESADO!$S768+FRESADO!$T768</f>
        <v>2900</v>
      </c>
      <c r="V768" s="129" t="s">
        <v>899</v>
      </c>
      <c r="Y768" s="148"/>
      <c r="Z768" s="31" t="s">
        <v>77</v>
      </c>
    </row>
    <row r="769" ht="15.75" customHeight="1">
      <c r="A769" s="138">
        <v>31.0</v>
      </c>
      <c r="B769" s="138">
        <v>18.0</v>
      </c>
      <c r="C769" s="142">
        <v>65.0</v>
      </c>
      <c r="D769" s="226">
        <v>46230.0</v>
      </c>
      <c r="E769" s="138">
        <v>1.0</v>
      </c>
      <c r="F769" s="138" t="s">
        <v>74</v>
      </c>
      <c r="G769" s="138" t="s">
        <v>900</v>
      </c>
      <c r="H769" s="138">
        <v>14.0</v>
      </c>
      <c r="I769" s="138" t="s">
        <v>34</v>
      </c>
      <c r="J769" s="138" t="s">
        <v>94</v>
      </c>
      <c r="K769" s="227" t="s">
        <v>36</v>
      </c>
      <c r="L769" s="228"/>
      <c r="M769" s="228"/>
      <c r="N769" s="138" t="s">
        <v>340</v>
      </c>
      <c r="O769" s="138" t="s">
        <v>189</v>
      </c>
      <c r="P769" s="138" t="s">
        <v>898</v>
      </c>
      <c r="Q769" s="231"/>
      <c r="R769" s="229">
        <v>2500.0</v>
      </c>
      <c r="S769" s="230">
        <f>FRESADO!$R769*FRESADO!$E769</f>
        <v>2500</v>
      </c>
      <c r="T769" s="230">
        <f>FRESADO!$S769*16%</f>
        <v>400</v>
      </c>
      <c r="U769" s="230">
        <f>FRESADO!$S769+FRESADO!$T769</f>
        <v>2900</v>
      </c>
      <c r="V769" s="129" t="s">
        <v>899</v>
      </c>
      <c r="Y769" s="148"/>
      <c r="Z769" s="31" t="s">
        <v>77</v>
      </c>
    </row>
    <row r="770" ht="15.75" customHeight="1">
      <c r="A770" s="138">
        <v>31.0</v>
      </c>
      <c r="B770" s="138">
        <v>19.0</v>
      </c>
      <c r="C770" s="142">
        <v>66.0</v>
      </c>
      <c r="D770" s="226">
        <v>46230.0</v>
      </c>
      <c r="E770" s="138">
        <v>1.0</v>
      </c>
      <c r="F770" s="138" t="s">
        <v>74</v>
      </c>
      <c r="G770" s="138" t="s">
        <v>277</v>
      </c>
      <c r="H770" s="138">
        <v>14.0</v>
      </c>
      <c r="I770" s="138" t="s">
        <v>34</v>
      </c>
      <c r="J770" s="138" t="s">
        <v>278</v>
      </c>
      <c r="K770" s="227" t="s">
        <v>36</v>
      </c>
      <c r="L770" s="228"/>
      <c r="M770" s="228"/>
      <c r="N770" s="138" t="s">
        <v>340</v>
      </c>
      <c r="O770" s="138" t="s">
        <v>189</v>
      </c>
      <c r="P770" s="138" t="s">
        <v>898</v>
      </c>
      <c r="Q770" s="231"/>
      <c r="R770" s="229">
        <v>2500.0</v>
      </c>
      <c r="S770" s="230">
        <f>FRESADO!$R770*FRESADO!$E770</f>
        <v>2500</v>
      </c>
      <c r="T770" s="230">
        <f>FRESADO!$S770*16%</f>
        <v>400</v>
      </c>
      <c r="U770" s="230">
        <f>FRESADO!$S770+FRESADO!$T770</f>
        <v>2900</v>
      </c>
      <c r="V770" s="129" t="s">
        <v>899</v>
      </c>
      <c r="Y770" s="148"/>
      <c r="Z770" s="31" t="s">
        <v>77</v>
      </c>
    </row>
    <row r="771" ht="15.75" customHeight="1">
      <c r="A771" s="138">
        <v>31.0</v>
      </c>
      <c r="B771" s="138">
        <v>20.0</v>
      </c>
      <c r="C771" s="142">
        <v>67.0</v>
      </c>
      <c r="D771" s="226">
        <v>46230.0</v>
      </c>
      <c r="E771" s="138">
        <v>1.0</v>
      </c>
      <c r="F771" s="138" t="s">
        <v>74</v>
      </c>
      <c r="G771" s="138" t="s">
        <v>690</v>
      </c>
      <c r="H771" s="138">
        <v>14.0</v>
      </c>
      <c r="I771" s="138" t="s">
        <v>34</v>
      </c>
      <c r="J771" s="138" t="s">
        <v>691</v>
      </c>
      <c r="K771" s="227" t="s">
        <v>36</v>
      </c>
      <c r="L771" s="228"/>
      <c r="M771" s="228"/>
      <c r="N771" s="138" t="s">
        <v>340</v>
      </c>
      <c r="O771" s="138" t="s">
        <v>189</v>
      </c>
      <c r="P771" s="138" t="s">
        <v>898</v>
      </c>
      <c r="Q771" s="231"/>
      <c r="R771" s="229">
        <v>2500.0</v>
      </c>
      <c r="S771" s="230">
        <f>FRESADO!$R771*FRESADO!$E771</f>
        <v>2500</v>
      </c>
      <c r="T771" s="230">
        <f>FRESADO!$S771*16%</f>
        <v>400</v>
      </c>
      <c r="U771" s="230">
        <f>FRESADO!$S771+FRESADO!$T771</f>
        <v>2900</v>
      </c>
      <c r="V771" s="129" t="s">
        <v>899</v>
      </c>
      <c r="Y771" s="148"/>
      <c r="Z771" s="31" t="s">
        <v>77</v>
      </c>
    </row>
    <row r="772" ht="15.75" customHeight="1">
      <c r="A772" s="138">
        <v>31.0</v>
      </c>
      <c r="B772" s="138">
        <v>21.0</v>
      </c>
      <c r="C772" s="142">
        <v>68.0</v>
      </c>
      <c r="D772" s="226">
        <v>46230.0</v>
      </c>
      <c r="E772" s="138">
        <v>1.0</v>
      </c>
      <c r="F772" s="138" t="s">
        <v>74</v>
      </c>
      <c r="G772" s="138" t="s">
        <v>192</v>
      </c>
      <c r="H772" s="138">
        <v>14.0</v>
      </c>
      <c r="I772" s="138" t="s">
        <v>34</v>
      </c>
      <c r="J772" s="138" t="s">
        <v>41</v>
      </c>
      <c r="K772" s="227" t="s">
        <v>36</v>
      </c>
      <c r="L772" s="228"/>
      <c r="M772" s="228"/>
      <c r="N772" s="138" t="s">
        <v>340</v>
      </c>
      <c r="O772" s="138" t="s">
        <v>189</v>
      </c>
      <c r="P772" s="138" t="s">
        <v>898</v>
      </c>
      <c r="Q772" s="231"/>
      <c r="R772" s="229">
        <v>2500.0</v>
      </c>
      <c r="S772" s="230">
        <f>FRESADO!$R772*FRESADO!$E772</f>
        <v>2500</v>
      </c>
      <c r="T772" s="230">
        <f>FRESADO!$S772*16%</f>
        <v>400</v>
      </c>
      <c r="U772" s="230">
        <f>FRESADO!$S772+FRESADO!$T772</f>
        <v>2900</v>
      </c>
      <c r="V772" s="129" t="s">
        <v>899</v>
      </c>
      <c r="Y772" s="148"/>
      <c r="Z772" s="31" t="s">
        <v>77</v>
      </c>
    </row>
    <row r="773" ht="15.75" customHeight="1">
      <c r="A773" s="138">
        <v>31.0</v>
      </c>
      <c r="B773" s="138">
        <v>22.0</v>
      </c>
      <c r="C773" s="142">
        <v>69.0</v>
      </c>
      <c r="D773" s="226">
        <v>46230.0</v>
      </c>
      <c r="E773" s="138">
        <v>1.0</v>
      </c>
      <c r="F773" s="138" t="s">
        <v>74</v>
      </c>
      <c r="G773" s="138" t="s">
        <v>347</v>
      </c>
      <c r="H773" s="138">
        <v>14.0</v>
      </c>
      <c r="I773" s="138" t="s">
        <v>34</v>
      </c>
      <c r="J773" s="138" t="s">
        <v>70</v>
      </c>
      <c r="K773" s="227" t="s">
        <v>36</v>
      </c>
      <c r="L773" s="228"/>
      <c r="M773" s="228"/>
      <c r="N773" s="138" t="s">
        <v>340</v>
      </c>
      <c r="O773" s="138" t="s">
        <v>189</v>
      </c>
      <c r="P773" s="138" t="s">
        <v>898</v>
      </c>
      <c r="Q773" s="231"/>
      <c r="R773" s="229">
        <v>2500.0</v>
      </c>
      <c r="S773" s="230">
        <f>FRESADO!$R773*FRESADO!$E773</f>
        <v>2500</v>
      </c>
      <c r="T773" s="230">
        <f>FRESADO!$S773*16%</f>
        <v>400</v>
      </c>
      <c r="U773" s="230">
        <f>FRESADO!$S773+FRESADO!$T773</f>
        <v>2900</v>
      </c>
      <c r="V773" s="129" t="s">
        <v>899</v>
      </c>
      <c r="Y773" s="148"/>
      <c r="Z773" s="31" t="s">
        <v>77</v>
      </c>
    </row>
    <row r="774" ht="15.75" customHeight="1">
      <c r="A774" s="138">
        <v>31.0</v>
      </c>
      <c r="B774" s="138">
        <v>23.0</v>
      </c>
      <c r="C774" s="142">
        <v>70.0</v>
      </c>
      <c r="D774" s="226">
        <v>46230.0</v>
      </c>
      <c r="E774" s="138">
        <v>1.0</v>
      </c>
      <c r="F774" s="138" t="s">
        <v>74</v>
      </c>
      <c r="G774" s="138" t="s">
        <v>238</v>
      </c>
      <c r="H774" s="138">
        <v>14.0</v>
      </c>
      <c r="I774" s="138" t="s">
        <v>34</v>
      </c>
      <c r="J774" s="138" t="s">
        <v>89</v>
      </c>
      <c r="K774" s="227" t="s">
        <v>36</v>
      </c>
      <c r="L774" s="228"/>
      <c r="M774" s="228"/>
      <c r="N774" s="138" t="s">
        <v>340</v>
      </c>
      <c r="O774" s="138" t="s">
        <v>189</v>
      </c>
      <c r="P774" s="138" t="s">
        <v>898</v>
      </c>
      <c r="Q774" s="231"/>
      <c r="R774" s="229">
        <v>2500.0</v>
      </c>
      <c r="S774" s="230">
        <f>FRESADO!$R774*FRESADO!$E774</f>
        <v>2500</v>
      </c>
      <c r="T774" s="230">
        <f>FRESADO!$S774*16%</f>
        <v>400</v>
      </c>
      <c r="U774" s="230">
        <f>FRESADO!$S774+FRESADO!$T774</f>
        <v>2900</v>
      </c>
      <c r="V774" s="129" t="s">
        <v>899</v>
      </c>
      <c r="Y774" s="148"/>
      <c r="Z774" s="31" t="s">
        <v>77</v>
      </c>
    </row>
    <row r="775" ht="15.75" customHeight="1">
      <c r="A775" s="138">
        <v>31.0</v>
      </c>
      <c r="B775" s="138">
        <v>24.0</v>
      </c>
      <c r="C775" s="142">
        <v>71.0</v>
      </c>
      <c r="D775" s="226">
        <v>46230.0</v>
      </c>
      <c r="E775" s="138">
        <v>1.0</v>
      </c>
      <c r="F775" s="138" t="s">
        <v>74</v>
      </c>
      <c r="G775" s="138" t="s">
        <v>900</v>
      </c>
      <c r="H775" s="138">
        <v>14.0</v>
      </c>
      <c r="I775" s="138" t="s">
        <v>34</v>
      </c>
      <c r="J775" s="138" t="s">
        <v>94</v>
      </c>
      <c r="K775" s="227" t="s">
        <v>36</v>
      </c>
      <c r="L775" s="228"/>
      <c r="M775" s="228"/>
      <c r="N775" s="138" t="s">
        <v>340</v>
      </c>
      <c r="O775" s="138" t="s">
        <v>189</v>
      </c>
      <c r="P775" s="138" t="s">
        <v>898</v>
      </c>
      <c r="Q775" s="231"/>
      <c r="R775" s="229">
        <v>2500.0</v>
      </c>
      <c r="S775" s="230">
        <f>FRESADO!$R775*FRESADO!$E775</f>
        <v>2500</v>
      </c>
      <c r="T775" s="230">
        <f>FRESADO!$S775*16%</f>
        <v>400</v>
      </c>
      <c r="U775" s="230">
        <f>FRESADO!$S775+FRESADO!$T775</f>
        <v>2900</v>
      </c>
      <c r="V775" s="129" t="s">
        <v>899</v>
      </c>
      <c r="Y775" s="148"/>
      <c r="Z775" s="31" t="s">
        <v>77</v>
      </c>
    </row>
    <row r="776" ht="15.75" customHeight="1">
      <c r="A776" s="138">
        <v>31.0</v>
      </c>
      <c r="B776" s="138">
        <v>25.0</v>
      </c>
      <c r="C776" s="236">
        <v>72.0</v>
      </c>
      <c r="D776" s="226">
        <v>46230.0</v>
      </c>
      <c r="E776" s="138">
        <v>1.0</v>
      </c>
      <c r="F776" s="138" t="s">
        <v>388</v>
      </c>
      <c r="G776" s="138" t="s">
        <v>583</v>
      </c>
      <c r="H776" s="138">
        <v>7.0</v>
      </c>
      <c r="I776" s="138" t="s">
        <v>34</v>
      </c>
      <c r="J776" s="138" t="s">
        <v>584</v>
      </c>
      <c r="K776" s="129" t="s">
        <v>50</v>
      </c>
      <c r="L776" s="228"/>
      <c r="M776" s="228"/>
      <c r="N776" s="138" t="s">
        <v>340</v>
      </c>
      <c r="O776" s="138" t="s">
        <v>189</v>
      </c>
      <c r="P776" s="138" t="s">
        <v>898</v>
      </c>
      <c r="Q776" s="237" t="s">
        <v>390</v>
      </c>
      <c r="R776" s="229">
        <v>4500.0</v>
      </c>
      <c r="S776" s="230">
        <f>FRESADO!$R776*FRESADO!$E776</f>
        <v>4500</v>
      </c>
      <c r="T776" s="230">
        <f>FRESADO!$S776*16%</f>
        <v>720</v>
      </c>
      <c r="U776" s="230">
        <f>FRESADO!$S776+FRESADO!$T776</f>
        <v>5220</v>
      </c>
      <c r="V776" s="129" t="s">
        <v>697</v>
      </c>
      <c r="Y776" s="148"/>
    </row>
    <row r="777" ht="15.75" customHeight="1">
      <c r="A777" s="138">
        <v>31.0</v>
      </c>
      <c r="B777" s="138">
        <v>26.0</v>
      </c>
      <c r="C777" s="138">
        <v>73.0</v>
      </c>
      <c r="D777" s="226">
        <v>46231.0</v>
      </c>
      <c r="E777" s="138">
        <v>1.0</v>
      </c>
      <c r="F777" s="138" t="s">
        <v>74</v>
      </c>
      <c r="G777" s="138" t="s">
        <v>900</v>
      </c>
      <c r="H777" s="138">
        <v>14.0</v>
      </c>
      <c r="I777" s="138" t="s">
        <v>34</v>
      </c>
      <c r="J777" s="138" t="s">
        <v>94</v>
      </c>
      <c r="K777" s="227" t="s">
        <v>36</v>
      </c>
      <c r="L777" s="228"/>
      <c r="M777" s="228"/>
      <c r="N777" s="138" t="s">
        <v>398</v>
      </c>
      <c r="O777" s="138" t="s">
        <v>189</v>
      </c>
      <c r="P777" s="138" t="s">
        <v>898</v>
      </c>
      <c r="Q777" s="219" t="s">
        <v>399</v>
      </c>
      <c r="R777" s="229">
        <v>3855.0</v>
      </c>
      <c r="S777" s="230">
        <f>FRESADO!$R777*FRESADO!$E777</f>
        <v>3855</v>
      </c>
      <c r="T777" s="230">
        <f>FRESADO!$S777*16%</f>
        <v>616.8</v>
      </c>
      <c r="U777" s="230">
        <f>FRESADO!$S777+FRESADO!$T777</f>
        <v>4471.8</v>
      </c>
      <c r="V777" s="129" t="s">
        <v>899</v>
      </c>
      <c r="Y777" s="148"/>
      <c r="Z777" s="219" t="s">
        <v>399</v>
      </c>
    </row>
    <row r="778" ht="15.75" customHeight="1">
      <c r="A778" s="138">
        <v>31.0</v>
      </c>
      <c r="B778" s="138">
        <v>27.0</v>
      </c>
      <c r="C778" s="138">
        <v>74.0</v>
      </c>
      <c r="D778" s="226">
        <v>46231.0</v>
      </c>
      <c r="E778" s="138">
        <v>1.0</v>
      </c>
      <c r="F778" s="138" t="s">
        <v>74</v>
      </c>
      <c r="G778" s="138" t="s">
        <v>692</v>
      </c>
      <c r="H778" s="138">
        <v>14.0</v>
      </c>
      <c r="I778" s="138" t="s">
        <v>34</v>
      </c>
      <c r="J778" s="138" t="s">
        <v>693</v>
      </c>
      <c r="K778" s="227" t="s">
        <v>36</v>
      </c>
      <c r="L778" s="228"/>
      <c r="M778" s="228"/>
      <c r="N778" s="138" t="s">
        <v>398</v>
      </c>
      <c r="O778" s="138" t="s">
        <v>189</v>
      </c>
      <c r="P778" s="138" t="s">
        <v>898</v>
      </c>
      <c r="Q778" s="219" t="s">
        <v>399</v>
      </c>
      <c r="R778" s="229">
        <v>3855.0</v>
      </c>
      <c r="S778" s="230">
        <f>FRESADO!$R778*FRESADO!$E778</f>
        <v>3855</v>
      </c>
      <c r="T778" s="230">
        <f>FRESADO!$S778*16%</f>
        <v>616.8</v>
      </c>
      <c r="U778" s="230">
        <f>FRESADO!$S778+FRESADO!$T778</f>
        <v>4471.8</v>
      </c>
      <c r="V778" s="129" t="s">
        <v>899</v>
      </c>
      <c r="Y778" s="148"/>
      <c r="Z778" s="219" t="s">
        <v>399</v>
      </c>
    </row>
    <row r="779" ht="15.75" customHeight="1">
      <c r="A779" s="138">
        <v>31.0</v>
      </c>
      <c r="B779" s="138">
        <v>28.0</v>
      </c>
      <c r="C779" s="138">
        <v>76.0</v>
      </c>
      <c r="D779" s="226">
        <v>46231.0</v>
      </c>
      <c r="E779" s="138">
        <v>1.0</v>
      </c>
      <c r="F779" s="138" t="s">
        <v>74</v>
      </c>
      <c r="G779" s="138" t="s">
        <v>192</v>
      </c>
      <c r="H779" s="138">
        <v>14.0</v>
      </c>
      <c r="I779" s="138" t="s">
        <v>34</v>
      </c>
      <c r="J779" s="138" t="s">
        <v>41</v>
      </c>
      <c r="K779" s="227" t="s">
        <v>36</v>
      </c>
      <c r="L779" s="228"/>
      <c r="M779" s="228"/>
      <c r="N779" s="138" t="s">
        <v>398</v>
      </c>
      <c r="O779" s="138" t="s">
        <v>189</v>
      </c>
      <c r="P779" s="138" t="s">
        <v>898</v>
      </c>
      <c r="Q779" s="219" t="s">
        <v>399</v>
      </c>
      <c r="R779" s="229">
        <v>3855.0</v>
      </c>
      <c r="S779" s="230">
        <f>FRESADO!$R779*FRESADO!$E779</f>
        <v>3855</v>
      </c>
      <c r="T779" s="230">
        <f>FRESADO!$S779*16%</f>
        <v>616.8</v>
      </c>
      <c r="U779" s="230">
        <f>FRESADO!$S779+FRESADO!$T779</f>
        <v>4471.8</v>
      </c>
      <c r="V779" s="129" t="s">
        <v>899</v>
      </c>
      <c r="Y779" s="148"/>
      <c r="Z779" s="219" t="s">
        <v>399</v>
      </c>
    </row>
    <row r="780" ht="15.75" customHeight="1">
      <c r="A780" s="138">
        <v>31.0</v>
      </c>
      <c r="B780" s="138">
        <v>29.0</v>
      </c>
      <c r="C780" s="138">
        <v>77.0</v>
      </c>
      <c r="D780" s="226">
        <v>46231.0</v>
      </c>
      <c r="E780" s="138">
        <v>1.0</v>
      </c>
      <c r="F780" s="138" t="s">
        <v>74</v>
      </c>
      <c r="G780" s="138" t="s">
        <v>238</v>
      </c>
      <c r="H780" s="138">
        <v>14.0</v>
      </c>
      <c r="I780" s="138" t="s">
        <v>34</v>
      </c>
      <c r="J780" s="138" t="s">
        <v>89</v>
      </c>
      <c r="K780" s="227" t="s">
        <v>36</v>
      </c>
      <c r="L780" s="228"/>
      <c r="M780" s="228"/>
      <c r="N780" s="138" t="s">
        <v>398</v>
      </c>
      <c r="O780" s="138" t="s">
        <v>189</v>
      </c>
      <c r="P780" s="138" t="s">
        <v>898</v>
      </c>
      <c r="Q780" s="219" t="s">
        <v>399</v>
      </c>
      <c r="R780" s="229">
        <v>3855.0</v>
      </c>
      <c r="S780" s="230">
        <f>FRESADO!$R780*FRESADO!$E780</f>
        <v>3855</v>
      </c>
      <c r="T780" s="230">
        <f>FRESADO!$S780*16%</f>
        <v>616.8</v>
      </c>
      <c r="U780" s="230">
        <f>FRESADO!$S780+FRESADO!$T780</f>
        <v>4471.8</v>
      </c>
      <c r="V780" s="129" t="s">
        <v>899</v>
      </c>
      <c r="Y780" s="148"/>
      <c r="Z780" s="219" t="s">
        <v>399</v>
      </c>
    </row>
    <row r="781" ht="15.75" customHeight="1">
      <c r="A781" s="138">
        <v>31.0</v>
      </c>
      <c r="B781" s="138">
        <v>30.0</v>
      </c>
      <c r="C781" s="142">
        <v>78.0</v>
      </c>
      <c r="D781" s="226">
        <v>46231.0</v>
      </c>
      <c r="E781" s="138">
        <v>1.0</v>
      </c>
      <c r="F781" s="138" t="s">
        <v>74</v>
      </c>
      <c r="G781" s="138" t="s">
        <v>280</v>
      </c>
      <c r="H781" s="138">
        <v>14.0</v>
      </c>
      <c r="I781" s="138" t="s">
        <v>34</v>
      </c>
      <c r="J781" s="138" t="s">
        <v>272</v>
      </c>
      <c r="K781" s="227" t="s">
        <v>36</v>
      </c>
      <c r="L781" s="228"/>
      <c r="M781" s="228"/>
      <c r="N781" s="138" t="s">
        <v>340</v>
      </c>
      <c r="O781" s="138" t="s">
        <v>189</v>
      </c>
      <c r="P781" s="138" t="s">
        <v>898</v>
      </c>
      <c r="Q781" s="231"/>
      <c r="R781" s="229">
        <v>2500.0</v>
      </c>
      <c r="S781" s="230">
        <f>FRESADO!$R781*FRESADO!$E781</f>
        <v>2500</v>
      </c>
      <c r="T781" s="230">
        <f>FRESADO!$S781*16%</f>
        <v>400</v>
      </c>
      <c r="U781" s="230">
        <f>FRESADO!$S781+FRESADO!$T781</f>
        <v>2900</v>
      </c>
      <c r="V781" s="129" t="s">
        <v>899</v>
      </c>
      <c r="Y781" s="30"/>
      <c r="Z781" s="31" t="s">
        <v>77</v>
      </c>
    </row>
    <row r="782" ht="15.75" customHeight="1">
      <c r="A782" s="138">
        <v>31.0</v>
      </c>
      <c r="B782" s="138">
        <v>31.0</v>
      </c>
      <c r="C782" s="138">
        <v>79.0</v>
      </c>
      <c r="D782" s="226">
        <v>46231.0</v>
      </c>
      <c r="E782" s="138">
        <v>1.0</v>
      </c>
      <c r="F782" s="138" t="s">
        <v>74</v>
      </c>
      <c r="G782" s="138" t="s">
        <v>690</v>
      </c>
      <c r="H782" s="138">
        <v>14.0</v>
      </c>
      <c r="I782" s="138" t="s">
        <v>34</v>
      </c>
      <c r="J782" s="138" t="s">
        <v>691</v>
      </c>
      <c r="K782" s="227" t="s">
        <v>36</v>
      </c>
      <c r="L782" s="228"/>
      <c r="M782" s="228"/>
      <c r="N782" s="138" t="s">
        <v>398</v>
      </c>
      <c r="O782" s="138" t="s">
        <v>189</v>
      </c>
      <c r="P782" s="138" t="s">
        <v>898</v>
      </c>
      <c r="Q782" s="219" t="s">
        <v>399</v>
      </c>
      <c r="R782" s="229">
        <v>3855.0</v>
      </c>
      <c r="S782" s="230">
        <f>FRESADO!$R782*FRESADO!$E782</f>
        <v>3855</v>
      </c>
      <c r="T782" s="230">
        <f>FRESADO!$S782*16%</f>
        <v>616.8</v>
      </c>
      <c r="U782" s="230">
        <f>FRESADO!$S782+FRESADO!$T782</f>
        <v>4471.8</v>
      </c>
      <c r="V782" s="129" t="s">
        <v>899</v>
      </c>
      <c r="Y782" s="30"/>
      <c r="Z782" s="219" t="s">
        <v>399</v>
      </c>
    </row>
    <row r="783" ht="15.75" customHeight="1">
      <c r="A783" s="138">
        <v>31.0</v>
      </c>
      <c r="B783" s="233">
        <v>32.0</v>
      </c>
      <c r="C783" s="142">
        <v>80.0</v>
      </c>
      <c r="D783" s="226">
        <v>46231.0</v>
      </c>
      <c r="E783" s="233">
        <v>1.0</v>
      </c>
      <c r="F783" s="233" t="s">
        <v>74</v>
      </c>
      <c r="G783" s="233" t="s">
        <v>347</v>
      </c>
      <c r="H783" s="233">
        <v>14.0</v>
      </c>
      <c r="I783" s="233" t="s">
        <v>34</v>
      </c>
      <c r="J783" s="233" t="s">
        <v>70</v>
      </c>
      <c r="K783" s="227" t="s">
        <v>36</v>
      </c>
      <c r="L783" s="238"/>
      <c r="M783" s="238"/>
      <c r="N783" s="233" t="s">
        <v>340</v>
      </c>
      <c r="O783" s="233" t="s">
        <v>189</v>
      </c>
      <c r="P783" s="233" t="s">
        <v>898</v>
      </c>
      <c r="Q783" s="239"/>
      <c r="R783" s="229">
        <v>2500.0</v>
      </c>
      <c r="S783" s="230">
        <f>FRESADO!$R783*FRESADO!$E783</f>
        <v>2500</v>
      </c>
      <c r="T783" s="230">
        <f>FRESADO!$S783*16%</f>
        <v>400</v>
      </c>
      <c r="U783" s="230">
        <f>FRESADO!$S783+FRESADO!$T783</f>
        <v>2900</v>
      </c>
      <c r="V783" s="129" t="s">
        <v>899</v>
      </c>
      <c r="Y783" s="30"/>
      <c r="Z783" s="31" t="s">
        <v>77</v>
      </c>
    </row>
    <row r="784" ht="15.75" customHeight="1">
      <c r="A784" s="138">
        <v>31.0</v>
      </c>
      <c r="B784" s="233">
        <v>33.0</v>
      </c>
      <c r="C784" s="142">
        <v>81.0</v>
      </c>
      <c r="D784" s="226">
        <v>46231.0</v>
      </c>
      <c r="E784" s="233">
        <v>1.0</v>
      </c>
      <c r="F784" s="233" t="s">
        <v>74</v>
      </c>
      <c r="G784" s="233" t="s">
        <v>277</v>
      </c>
      <c r="H784" s="233">
        <v>14.0</v>
      </c>
      <c r="I784" s="233" t="s">
        <v>34</v>
      </c>
      <c r="J784" s="233" t="s">
        <v>278</v>
      </c>
      <c r="K784" s="227" t="s">
        <v>36</v>
      </c>
      <c r="L784" s="238"/>
      <c r="M784" s="238"/>
      <c r="N784" s="233" t="s">
        <v>340</v>
      </c>
      <c r="O784" s="233" t="s">
        <v>189</v>
      </c>
      <c r="P784" s="233" t="s">
        <v>898</v>
      </c>
      <c r="Q784" s="240"/>
      <c r="R784" s="229">
        <v>2500.0</v>
      </c>
      <c r="S784" s="230">
        <f>FRESADO!$R784*FRESADO!$E784</f>
        <v>2500</v>
      </c>
      <c r="T784" s="230">
        <f>FRESADO!$S784*16%</f>
        <v>400</v>
      </c>
      <c r="U784" s="230">
        <f>FRESADO!$S784+FRESADO!$T784</f>
        <v>2900</v>
      </c>
      <c r="V784" s="129" t="s">
        <v>899</v>
      </c>
      <c r="Y784" s="30"/>
      <c r="Z784" s="31" t="s">
        <v>77</v>
      </c>
    </row>
    <row r="785" ht="15.75" customHeight="1">
      <c r="A785" s="138">
        <v>31.0</v>
      </c>
      <c r="B785" s="138">
        <v>34.0</v>
      </c>
      <c r="C785" s="142">
        <v>82.0</v>
      </c>
      <c r="D785" s="226">
        <v>46231.0</v>
      </c>
      <c r="E785" s="138">
        <v>1.0</v>
      </c>
      <c r="F785" s="138" t="s">
        <v>74</v>
      </c>
      <c r="G785" s="233" t="s">
        <v>692</v>
      </c>
      <c r="H785" s="233">
        <v>14.0</v>
      </c>
      <c r="I785" s="233" t="s">
        <v>34</v>
      </c>
      <c r="J785" s="233" t="s">
        <v>693</v>
      </c>
      <c r="K785" s="227" t="s">
        <v>36</v>
      </c>
      <c r="L785" s="238"/>
      <c r="M785" s="238"/>
      <c r="N785" s="233" t="s">
        <v>340</v>
      </c>
      <c r="O785" s="233" t="s">
        <v>189</v>
      </c>
      <c r="P785" s="233" t="s">
        <v>898</v>
      </c>
      <c r="Q785" s="231"/>
      <c r="R785" s="229">
        <v>2500.0</v>
      </c>
      <c r="S785" s="230">
        <f>FRESADO!$R785*FRESADO!$E785</f>
        <v>2500</v>
      </c>
      <c r="T785" s="230">
        <f>FRESADO!$S785*16%</f>
        <v>400</v>
      </c>
      <c r="U785" s="230">
        <f>FRESADO!$S785+FRESADO!$T785</f>
        <v>2900</v>
      </c>
      <c r="V785" s="129" t="s">
        <v>899</v>
      </c>
      <c r="Y785" s="30"/>
      <c r="Z785" s="31" t="s">
        <v>77</v>
      </c>
    </row>
    <row r="786" ht="15.75" customHeight="1">
      <c r="A786" s="138">
        <v>31.0</v>
      </c>
      <c r="B786" s="138">
        <v>35.0</v>
      </c>
      <c r="C786" s="142">
        <v>83.0</v>
      </c>
      <c r="D786" s="226">
        <v>46231.0</v>
      </c>
      <c r="E786" s="138">
        <v>1.0</v>
      </c>
      <c r="F786" s="138" t="s">
        <v>74</v>
      </c>
      <c r="G786" s="138" t="s">
        <v>900</v>
      </c>
      <c r="H786" s="138">
        <v>14.0</v>
      </c>
      <c r="I786" s="138" t="s">
        <v>34</v>
      </c>
      <c r="J786" s="138" t="s">
        <v>94</v>
      </c>
      <c r="K786" s="227" t="s">
        <v>36</v>
      </c>
      <c r="L786" s="228"/>
      <c r="M786" s="228"/>
      <c r="N786" s="138" t="s">
        <v>340</v>
      </c>
      <c r="O786" s="138" t="s">
        <v>189</v>
      </c>
      <c r="P786" s="138" t="s">
        <v>898</v>
      </c>
      <c r="Q786" s="231"/>
      <c r="R786" s="229">
        <v>2500.0</v>
      </c>
      <c r="S786" s="230">
        <f>FRESADO!$R786*FRESADO!$E786</f>
        <v>2500</v>
      </c>
      <c r="T786" s="230">
        <f>FRESADO!$S786*16%</f>
        <v>400</v>
      </c>
      <c r="U786" s="230">
        <f>FRESADO!$S786+FRESADO!$T786</f>
        <v>2900</v>
      </c>
      <c r="V786" s="129" t="s">
        <v>899</v>
      </c>
      <c r="Y786" s="30"/>
      <c r="Z786" s="31" t="s">
        <v>77</v>
      </c>
    </row>
    <row r="787" ht="15.75" customHeight="1">
      <c r="A787" s="138">
        <v>31.0</v>
      </c>
      <c r="B787" s="138">
        <v>36.0</v>
      </c>
      <c r="C787" s="142">
        <v>84.0</v>
      </c>
      <c r="D787" s="226">
        <v>46231.0</v>
      </c>
      <c r="E787" s="138">
        <v>1.0</v>
      </c>
      <c r="F787" s="138" t="s">
        <v>74</v>
      </c>
      <c r="G787" s="138" t="s">
        <v>192</v>
      </c>
      <c r="H787" s="138">
        <v>14.0</v>
      </c>
      <c r="I787" s="138" t="s">
        <v>34</v>
      </c>
      <c r="J787" s="138" t="s">
        <v>41</v>
      </c>
      <c r="K787" s="227" t="s">
        <v>36</v>
      </c>
      <c r="L787" s="228"/>
      <c r="M787" s="228"/>
      <c r="N787" s="138" t="s">
        <v>340</v>
      </c>
      <c r="O787" s="138" t="s">
        <v>189</v>
      </c>
      <c r="P787" s="138" t="s">
        <v>898</v>
      </c>
      <c r="Q787" s="231"/>
      <c r="R787" s="229">
        <v>2500.0</v>
      </c>
      <c r="S787" s="230">
        <f>FRESADO!$R787*FRESADO!$E787</f>
        <v>2500</v>
      </c>
      <c r="T787" s="230">
        <f>FRESADO!$S787*16%</f>
        <v>400</v>
      </c>
      <c r="U787" s="230">
        <f>FRESADO!$S787+FRESADO!$T787</f>
        <v>2900</v>
      </c>
      <c r="V787" s="129" t="s">
        <v>899</v>
      </c>
      <c r="Y787" s="30"/>
      <c r="Z787" s="31" t="s">
        <v>77</v>
      </c>
    </row>
    <row r="788" ht="15.75" customHeight="1">
      <c r="A788" s="138">
        <v>31.0</v>
      </c>
      <c r="B788" s="138">
        <v>37.0</v>
      </c>
      <c r="C788" s="142">
        <v>85.0</v>
      </c>
      <c r="D788" s="226">
        <v>46231.0</v>
      </c>
      <c r="E788" s="138">
        <v>1.0</v>
      </c>
      <c r="F788" s="138" t="s">
        <v>74</v>
      </c>
      <c r="G788" s="138" t="s">
        <v>280</v>
      </c>
      <c r="H788" s="138">
        <v>14.0</v>
      </c>
      <c r="I788" s="138" t="s">
        <v>34</v>
      </c>
      <c r="J788" s="138" t="s">
        <v>272</v>
      </c>
      <c r="K788" s="227" t="s">
        <v>36</v>
      </c>
      <c r="L788" s="228"/>
      <c r="M788" s="228"/>
      <c r="N788" s="138" t="s">
        <v>340</v>
      </c>
      <c r="O788" s="138" t="s">
        <v>189</v>
      </c>
      <c r="P788" s="138" t="s">
        <v>898</v>
      </c>
      <c r="Q788" s="231"/>
      <c r="R788" s="229">
        <v>2500.0</v>
      </c>
      <c r="S788" s="230">
        <f>FRESADO!$R788*FRESADO!$E788</f>
        <v>2500</v>
      </c>
      <c r="T788" s="230">
        <f>FRESADO!$S788*16%</f>
        <v>400</v>
      </c>
      <c r="U788" s="230">
        <f>FRESADO!$S788+FRESADO!$T788</f>
        <v>2900</v>
      </c>
      <c r="V788" s="129" t="s">
        <v>899</v>
      </c>
      <c r="Y788" s="30"/>
      <c r="Z788" s="31" t="s">
        <v>77</v>
      </c>
    </row>
    <row r="789" ht="15.75" customHeight="1">
      <c r="A789" s="138">
        <v>31.0</v>
      </c>
      <c r="B789" s="138">
        <v>38.0</v>
      </c>
      <c r="C789" s="142">
        <v>86.0</v>
      </c>
      <c r="D789" s="226">
        <v>46231.0</v>
      </c>
      <c r="E789" s="138">
        <v>1.0</v>
      </c>
      <c r="F789" s="138" t="s">
        <v>74</v>
      </c>
      <c r="G789" s="138" t="s">
        <v>238</v>
      </c>
      <c r="H789" s="138">
        <v>14.0</v>
      </c>
      <c r="I789" s="138" t="s">
        <v>34</v>
      </c>
      <c r="J789" s="138" t="s">
        <v>89</v>
      </c>
      <c r="K789" s="227" t="s">
        <v>36</v>
      </c>
      <c r="L789" s="228"/>
      <c r="M789" s="228"/>
      <c r="N789" s="138" t="s">
        <v>340</v>
      </c>
      <c r="O789" s="138" t="s">
        <v>189</v>
      </c>
      <c r="P789" s="138" t="s">
        <v>898</v>
      </c>
      <c r="Q789" s="231"/>
      <c r="R789" s="229">
        <v>2500.0</v>
      </c>
      <c r="S789" s="230">
        <f>FRESADO!$R789*FRESADO!$E789</f>
        <v>2500</v>
      </c>
      <c r="T789" s="230">
        <f>FRESADO!$S789*16%</f>
        <v>400</v>
      </c>
      <c r="U789" s="230">
        <f>FRESADO!$S789+FRESADO!$T789</f>
        <v>2900</v>
      </c>
      <c r="V789" s="129" t="s">
        <v>899</v>
      </c>
      <c r="Y789" s="30"/>
      <c r="Z789" s="31" t="s">
        <v>77</v>
      </c>
    </row>
    <row r="790" ht="15.75" customHeight="1">
      <c r="A790" s="138">
        <v>31.0</v>
      </c>
      <c r="B790" s="138">
        <v>39.0</v>
      </c>
      <c r="C790" s="142">
        <v>87.0</v>
      </c>
      <c r="D790" s="226">
        <v>46231.0</v>
      </c>
      <c r="E790" s="138">
        <v>1.0</v>
      </c>
      <c r="F790" s="138" t="s">
        <v>74</v>
      </c>
      <c r="G790" s="233" t="s">
        <v>347</v>
      </c>
      <c r="H790" s="233">
        <v>14.0</v>
      </c>
      <c r="I790" s="233" t="s">
        <v>34</v>
      </c>
      <c r="J790" s="233" t="s">
        <v>70</v>
      </c>
      <c r="K790" s="227" t="s">
        <v>36</v>
      </c>
      <c r="L790" s="238"/>
      <c r="M790" s="238"/>
      <c r="N790" s="233" t="s">
        <v>340</v>
      </c>
      <c r="O790" s="233" t="s">
        <v>189</v>
      </c>
      <c r="P790" s="233" t="s">
        <v>898</v>
      </c>
      <c r="Q790" s="231"/>
      <c r="R790" s="229">
        <v>2500.0</v>
      </c>
      <c r="S790" s="230">
        <f>FRESADO!$R790*FRESADO!$E790</f>
        <v>2500</v>
      </c>
      <c r="T790" s="230">
        <f>FRESADO!$S790*16%</f>
        <v>400</v>
      </c>
      <c r="U790" s="230">
        <f>FRESADO!$S790+FRESADO!$T790</f>
        <v>2900</v>
      </c>
      <c r="V790" s="129" t="s">
        <v>899</v>
      </c>
      <c r="Y790" s="30"/>
      <c r="Z790" s="31" t="s">
        <v>77</v>
      </c>
    </row>
    <row r="791" ht="15.75" customHeight="1">
      <c r="A791" s="138">
        <v>31.0</v>
      </c>
      <c r="B791" s="233">
        <v>40.0</v>
      </c>
      <c r="C791" s="142">
        <v>88.0</v>
      </c>
      <c r="D791" s="226">
        <v>46231.0</v>
      </c>
      <c r="E791" s="233">
        <v>1.0</v>
      </c>
      <c r="F791" s="233" t="s">
        <v>74</v>
      </c>
      <c r="G791" s="138" t="s">
        <v>692</v>
      </c>
      <c r="H791" s="138">
        <v>14.0</v>
      </c>
      <c r="I791" s="138" t="s">
        <v>34</v>
      </c>
      <c r="J791" s="138" t="s">
        <v>693</v>
      </c>
      <c r="K791" s="227" t="s">
        <v>36</v>
      </c>
      <c r="L791" s="228"/>
      <c r="M791" s="228"/>
      <c r="N791" s="138" t="s">
        <v>340</v>
      </c>
      <c r="O791" s="138" t="s">
        <v>189</v>
      </c>
      <c r="P791" s="138" t="s">
        <v>898</v>
      </c>
      <c r="Q791" s="231"/>
      <c r="R791" s="229">
        <v>2500.0</v>
      </c>
      <c r="S791" s="230">
        <f>FRESADO!$R791*FRESADO!$E791</f>
        <v>2500</v>
      </c>
      <c r="T791" s="230">
        <f>FRESADO!$S791*16%</f>
        <v>400</v>
      </c>
      <c r="U791" s="230">
        <f>FRESADO!$S791+FRESADO!$T791</f>
        <v>2900</v>
      </c>
      <c r="V791" s="129" t="s">
        <v>899</v>
      </c>
      <c r="Y791" s="30"/>
      <c r="Z791" s="31" t="s">
        <v>77</v>
      </c>
    </row>
    <row r="792" ht="15.75" customHeight="1">
      <c r="A792" s="138">
        <v>31.0</v>
      </c>
      <c r="B792" s="138">
        <v>41.0</v>
      </c>
      <c r="C792" s="142">
        <v>89.0</v>
      </c>
      <c r="D792" s="226">
        <v>46231.0</v>
      </c>
      <c r="E792" s="138">
        <v>1.0</v>
      </c>
      <c r="F792" s="138" t="s">
        <v>74</v>
      </c>
      <c r="G792" s="138" t="s">
        <v>690</v>
      </c>
      <c r="H792" s="138">
        <v>14.0</v>
      </c>
      <c r="I792" s="138" t="s">
        <v>34</v>
      </c>
      <c r="J792" s="138" t="s">
        <v>691</v>
      </c>
      <c r="K792" s="227" t="s">
        <v>36</v>
      </c>
      <c r="L792" s="228"/>
      <c r="M792" s="228"/>
      <c r="N792" s="138" t="s">
        <v>340</v>
      </c>
      <c r="O792" s="138" t="s">
        <v>189</v>
      </c>
      <c r="P792" s="138" t="s">
        <v>898</v>
      </c>
      <c r="Q792" s="231"/>
      <c r="R792" s="229">
        <v>2500.0</v>
      </c>
      <c r="S792" s="230">
        <f>FRESADO!$R792*FRESADO!$E792</f>
        <v>2500</v>
      </c>
      <c r="T792" s="230">
        <f>FRESADO!$S792*16%</f>
        <v>400</v>
      </c>
      <c r="U792" s="230">
        <f>FRESADO!$S792+FRESADO!$T792</f>
        <v>2900</v>
      </c>
      <c r="V792" s="129" t="s">
        <v>899</v>
      </c>
      <c r="Y792" s="30"/>
      <c r="Z792" s="31" t="s">
        <v>77</v>
      </c>
    </row>
    <row r="793" ht="15.75" customHeight="1">
      <c r="A793" s="138">
        <v>31.0</v>
      </c>
      <c r="B793" s="138">
        <v>42.0</v>
      </c>
      <c r="C793" s="142">
        <v>90.0</v>
      </c>
      <c r="D793" s="226">
        <v>46231.0</v>
      </c>
      <c r="E793" s="138">
        <v>1.0</v>
      </c>
      <c r="F793" s="138" t="s">
        <v>74</v>
      </c>
      <c r="G793" s="138" t="s">
        <v>692</v>
      </c>
      <c r="H793" s="138">
        <v>14.0</v>
      </c>
      <c r="I793" s="138" t="s">
        <v>34</v>
      </c>
      <c r="J793" s="138" t="s">
        <v>693</v>
      </c>
      <c r="K793" s="227" t="s">
        <v>36</v>
      </c>
      <c r="L793" s="228"/>
      <c r="M793" s="228"/>
      <c r="N793" s="138" t="s">
        <v>340</v>
      </c>
      <c r="O793" s="138" t="s">
        <v>189</v>
      </c>
      <c r="P793" s="138" t="s">
        <v>898</v>
      </c>
      <c r="Q793" s="231"/>
      <c r="R793" s="229">
        <v>2500.0</v>
      </c>
      <c r="S793" s="230">
        <f>FRESADO!$R793*FRESADO!$E793</f>
        <v>2500</v>
      </c>
      <c r="T793" s="230">
        <f>FRESADO!$S793*16%</f>
        <v>400</v>
      </c>
      <c r="U793" s="230">
        <f>FRESADO!$S793+FRESADO!$T793</f>
        <v>2900</v>
      </c>
      <c r="V793" s="129" t="s">
        <v>899</v>
      </c>
      <c r="Y793" s="30"/>
      <c r="Z793" s="31" t="s">
        <v>77</v>
      </c>
    </row>
    <row r="794" ht="15.75" customHeight="1">
      <c r="A794" s="138">
        <v>31.0</v>
      </c>
      <c r="B794" s="138">
        <v>43.0</v>
      </c>
      <c r="C794" s="142">
        <v>91.0</v>
      </c>
      <c r="D794" s="226">
        <v>46231.0</v>
      </c>
      <c r="E794" s="138">
        <v>1.0</v>
      </c>
      <c r="F794" s="138" t="s">
        <v>74</v>
      </c>
      <c r="G794" s="138" t="s">
        <v>192</v>
      </c>
      <c r="H794" s="138">
        <v>14.0</v>
      </c>
      <c r="I794" s="138" t="s">
        <v>34</v>
      </c>
      <c r="J794" s="138" t="s">
        <v>41</v>
      </c>
      <c r="K794" s="227" t="s">
        <v>36</v>
      </c>
      <c r="L794" s="228"/>
      <c r="M794" s="228"/>
      <c r="N794" s="138" t="s">
        <v>340</v>
      </c>
      <c r="O794" s="138" t="s">
        <v>189</v>
      </c>
      <c r="P794" s="138" t="s">
        <v>898</v>
      </c>
      <c r="Q794" s="231"/>
      <c r="R794" s="229">
        <v>2500.0</v>
      </c>
      <c r="S794" s="230">
        <f>FRESADO!$R794*FRESADO!$E794</f>
        <v>2500</v>
      </c>
      <c r="T794" s="230">
        <f>FRESADO!$S794*16%</f>
        <v>400</v>
      </c>
      <c r="U794" s="230">
        <f>FRESADO!$S794+FRESADO!$T794</f>
        <v>2900</v>
      </c>
      <c r="V794" s="129" t="s">
        <v>899</v>
      </c>
      <c r="Y794" s="148"/>
      <c r="Z794" s="31" t="s">
        <v>77</v>
      </c>
    </row>
    <row r="795" ht="15.75" customHeight="1">
      <c r="A795" s="241">
        <v>31.0</v>
      </c>
      <c r="B795" s="241">
        <v>44.0</v>
      </c>
      <c r="C795" s="241">
        <v>92.0</v>
      </c>
      <c r="D795" s="242">
        <v>46231.0</v>
      </c>
      <c r="E795" s="241">
        <v>0.0</v>
      </c>
      <c r="F795" s="243" t="s">
        <v>182</v>
      </c>
      <c r="G795" s="244">
        <v>0.0</v>
      </c>
      <c r="H795" s="244">
        <v>0.0</v>
      </c>
      <c r="I795" s="244" t="s">
        <v>40</v>
      </c>
      <c r="J795" s="244" t="s">
        <v>183</v>
      </c>
      <c r="K795" s="243" t="s">
        <v>49</v>
      </c>
      <c r="L795" s="245"/>
      <c r="M795" s="245"/>
      <c r="N795" s="245"/>
      <c r="O795" s="245"/>
      <c r="P795" s="245"/>
      <c r="Q795" s="243" t="s">
        <v>182</v>
      </c>
      <c r="R795" s="246">
        <v>0.0</v>
      </c>
      <c r="S795" s="247">
        <f>FRESADO!$R795*FRESADO!$E795</f>
        <v>0</v>
      </c>
      <c r="T795" s="247">
        <f>FRESADO!$S795*16%</f>
        <v>0</v>
      </c>
      <c r="U795" s="247">
        <f>FRESADO!$S795+FRESADO!$T795</f>
        <v>0</v>
      </c>
      <c r="V795" s="243" t="s">
        <v>182</v>
      </c>
      <c r="Y795" s="148"/>
    </row>
    <row r="796" ht="15.75" customHeight="1">
      <c r="A796" s="138">
        <v>31.0</v>
      </c>
      <c r="B796" s="138">
        <v>45.0</v>
      </c>
      <c r="C796" s="142">
        <v>93.0</v>
      </c>
      <c r="D796" s="226">
        <v>46231.0</v>
      </c>
      <c r="E796" s="138">
        <v>1.0</v>
      </c>
      <c r="F796" s="138" t="s">
        <v>74</v>
      </c>
      <c r="G796" s="138" t="s">
        <v>277</v>
      </c>
      <c r="H796" s="138">
        <v>14.0</v>
      </c>
      <c r="I796" s="138" t="s">
        <v>34</v>
      </c>
      <c r="J796" s="138" t="s">
        <v>278</v>
      </c>
      <c r="K796" s="227" t="s">
        <v>36</v>
      </c>
      <c r="L796" s="228"/>
      <c r="M796" s="228"/>
      <c r="N796" s="138" t="s">
        <v>340</v>
      </c>
      <c r="O796" s="138" t="s">
        <v>189</v>
      </c>
      <c r="P796" s="138" t="s">
        <v>898</v>
      </c>
      <c r="Q796" s="231"/>
      <c r="R796" s="229">
        <v>2500.0</v>
      </c>
      <c r="S796" s="230">
        <f>FRESADO!$R796*FRESADO!$E796</f>
        <v>2500</v>
      </c>
      <c r="T796" s="230">
        <f>FRESADO!$S796*16%</f>
        <v>400</v>
      </c>
      <c r="U796" s="230">
        <f>FRESADO!$S796+FRESADO!$T796</f>
        <v>2900</v>
      </c>
      <c r="V796" s="129" t="s">
        <v>899</v>
      </c>
      <c r="Y796" s="148"/>
      <c r="Z796" s="31" t="s">
        <v>77</v>
      </c>
    </row>
    <row r="797" ht="15.75" customHeight="1">
      <c r="A797" s="138">
        <v>31.0</v>
      </c>
      <c r="B797" s="138">
        <v>46.0</v>
      </c>
      <c r="C797" s="142">
        <v>94.0</v>
      </c>
      <c r="D797" s="226">
        <v>46231.0</v>
      </c>
      <c r="E797" s="138">
        <v>1.0</v>
      </c>
      <c r="F797" s="138" t="s">
        <v>74</v>
      </c>
      <c r="G797" s="138" t="s">
        <v>900</v>
      </c>
      <c r="H797" s="138">
        <v>14.0</v>
      </c>
      <c r="I797" s="138" t="s">
        <v>34</v>
      </c>
      <c r="J797" s="138" t="s">
        <v>94</v>
      </c>
      <c r="K797" s="227" t="s">
        <v>36</v>
      </c>
      <c r="L797" s="228"/>
      <c r="M797" s="228"/>
      <c r="N797" s="138" t="s">
        <v>340</v>
      </c>
      <c r="O797" s="138" t="s">
        <v>189</v>
      </c>
      <c r="P797" s="138" t="s">
        <v>898</v>
      </c>
      <c r="Q797" s="231"/>
      <c r="R797" s="229">
        <v>2500.0</v>
      </c>
      <c r="S797" s="230">
        <f>FRESADO!$R797*FRESADO!$E797</f>
        <v>2500</v>
      </c>
      <c r="T797" s="230">
        <f>FRESADO!$S797*16%</f>
        <v>400</v>
      </c>
      <c r="U797" s="230">
        <f>FRESADO!$S797+FRESADO!$T797</f>
        <v>2900</v>
      </c>
      <c r="V797" s="129" t="s">
        <v>899</v>
      </c>
      <c r="Y797" s="148"/>
      <c r="Z797" s="31" t="s">
        <v>77</v>
      </c>
    </row>
    <row r="798" ht="15.75" customHeight="1">
      <c r="A798" s="138">
        <v>31.0</v>
      </c>
      <c r="B798" s="138">
        <v>47.0</v>
      </c>
      <c r="C798" s="142">
        <v>95.0</v>
      </c>
      <c r="D798" s="226">
        <v>46231.0</v>
      </c>
      <c r="E798" s="138">
        <v>1.0</v>
      </c>
      <c r="F798" s="138" t="s">
        <v>74</v>
      </c>
      <c r="G798" s="138" t="s">
        <v>277</v>
      </c>
      <c r="H798" s="138">
        <v>14.0</v>
      </c>
      <c r="I798" s="138" t="s">
        <v>34</v>
      </c>
      <c r="J798" s="138" t="s">
        <v>278</v>
      </c>
      <c r="K798" s="227" t="s">
        <v>36</v>
      </c>
      <c r="L798" s="228"/>
      <c r="M798" s="228"/>
      <c r="N798" s="138" t="s">
        <v>340</v>
      </c>
      <c r="O798" s="138" t="s">
        <v>189</v>
      </c>
      <c r="P798" s="138" t="s">
        <v>898</v>
      </c>
      <c r="Q798" s="231"/>
      <c r="R798" s="229">
        <v>2500.0</v>
      </c>
      <c r="S798" s="230">
        <f>FRESADO!$R798*FRESADO!$E798</f>
        <v>2500</v>
      </c>
      <c r="T798" s="230">
        <f>FRESADO!$S798*16%</f>
        <v>400</v>
      </c>
      <c r="U798" s="230">
        <f>FRESADO!$S798+FRESADO!$T798</f>
        <v>2900</v>
      </c>
      <c r="V798" s="129" t="s">
        <v>899</v>
      </c>
      <c r="Y798" s="148"/>
      <c r="Z798" s="31" t="s">
        <v>77</v>
      </c>
    </row>
    <row r="799" ht="15.75" customHeight="1">
      <c r="A799" s="138">
        <v>31.0</v>
      </c>
      <c r="B799" s="138">
        <v>48.0</v>
      </c>
      <c r="C799" s="142">
        <v>96.0</v>
      </c>
      <c r="D799" s="226">
        <v>46231.0</v>
      </c>
      <c r="E799" s="138">
        <v>1.0</v>
      </c>
      <c r="F799" s="138" t="s">
        <v>74</v>
      </c>
      <c r="G799" s="138" t="s">
        <v>347</v>
      </c>
      <c r="H799" s="138">
        <v>14.0</v>
      </c>
      <c r="I799" s="138" t="s">
        <v>34</v>
      </c>
      <c r="J799" s="138" t="s">
        <v>70</v>
      </c>
      <c r="K799" s="227" t="s">
        <v>36</v>
      </c>
      <c r="L799" s="228"/>
      <c r="M799" s="228"/>
      <c r="N799" s="138" t="s">
        <v>340</v>
      </c>
      <c r="O799" s="138" t="s">
        <v>189</v>
      </c>
      <c r="P799" s="138" t="s">
        <v>898</v>
      </c>
      <c r="Q799" s="231"/>
      <c r="R799" s="229">
        <v>2500.0</v>
      </c>
      <c r="S799" s="230">
        <f>FRESADO!$R799*FRESADO!$E799</f>
        <v>2500</v>
      </c>
      <c r="T799" s="230">
        <f>FRESADO!$S799*16%</f>
        <v>400</v>
      </c>
      <c r="U799" s="230">
        <f>FRESADO!$S799+FRESADO!$T799</f>
        <v>2900</v>
      </c>
      <c r="V799" s="129" t="s">
        <v>899</v>
      </c>
      <c r="Y799" s="148"/>
      <c r="Z799" s="31" t="s">
        <v>77</v>
      </c>
    </row>
    <row r="800" ht="15.75" customHeight="1">
      <c r="A800" s="138">
        <v>31.0</v>
      </c>
      <c r="B800" s="138">
        <v>49.0</v>
      </c>
      <c r="C800" s="142">
        <v>97.0</v>
      </c>
      <c r="D800" s="226">
        <v>46231.0</v>
      </c>
      <c r="E800" s="138">
        <v>1.0</v>
      </c>
      <c r="F800" s="138" t="s">
        <v>74</v>
      </c>
      <c r="G800" s="138" t="s">
        <v>280</v>
      </c>
      <c r="H800" s="138">
        <v>14.0</v>
      </c>
      <c r="I800" s="138" t="s">
        <v>34</v>
      </c>
      <c r="J800" s="138" t="s">
        <v>272</v>
      </c>
      <c r="K800" s="227" t="s">
        <v>36</v>
      </c>
      <c r="L800" s="228"/>
      <c r="M800" s="228"/>
      <c r="N800" s="138" t="s">
        <v>340</v>
      </c>
      <c r="O800" s="138" t="s">
        <v>189</v>
      </c>
      <c r="P800" s="138" t="s">
        <v>898</v>
      </c>
      <c r="Q800" s="231"/>
      <c r="R800" s="229">
        <v>2500.0</v>
      </c>
      <c r="S800" s="230">
        <f>FRESADO!$R800*FRESADO!$E800</f>
        <v>2500</v>
      </c>
      <c r="T800" s="230">
        <f>FRESADO!$S800*16%</f>
        <v>400</v>
      </c>
      <c r="U800" s="230">
        <f>FRESADO!$S800+FRESADO!$T800</f>
        <v>2900</v>
      </c>
      <c r="V800" s="129" t="s">
        <v>899</v>
      </c>
      <c r="Y800" s="148"/>
      <c r="Z800" s="31" t="s">
        <v>77</v>
      </c>
    </row>
    <row r="801" ht="15.75" customHeight="1">
      <c r="A801" s="138">
        <v>31.0</v>
      </c>
      <c r="B801" s="138">
        <v>50.0</v>
      </c>
      <c r="C801" s="142">
        <v>98.0</v>
      </c>
      <c r="D801" s="226">
        <v>46231.0</v>
      </c>
      <c r="E801" s="138">
        <v>1.0</v>
      </c>
      <c r="F801" s="138" t="s">
        <v>74</v>
      </c>
      <c r="G801" s="138" t="s">
        <v>238</v>
      </c>
      <c r="H801" s="138">
        <v>14.0</v>
      </c>
      <c r="I801" s="138" t="s">
        <v>34</v>
      </c>
      <c r="J801" s="138" t="s">
        <v>89</v>
      </c>
      <c r="K801" s="227" t="s">
        <v>36</v>
      </c>
      <c r="L801" s="228"/>
      <c r="M801" s="228"/>
      <c r="N801" s="138" t="s">
        <v>340</v>
      </c>
      <c r="O801" s="138" t="s">
        <v>189</v>
      </c>
      <c r="P801" s="138" t="s">
        <v>898</v>
      </c>
      <c r="Q801" s="231"/>
      <c r="R801" s="229">
        <v>2500.0</v>
      </c>
      <c r="S801" s="230">
        <f>FRESADO!$R801*FRESADO!$E801</f>
        <v>2500</v>
      </c>
      <c r="T801" s="230">
        <f>FRESADO!$S801*16%</f>
        <v>400</v>
      </c>
      <c r="U801" s="230">
        <f>FRESADO!$S801+FRESADO!$T801</f>
        <v>2900</v>
      </c>
      <c r="V801" s="129" t="s">
        <v>899</v>
      </c>
      <c r="Y801" s="148"/>
      <c r="Z801" s="31" t="s">
        <v>77</v>
      </c>
    </row>
    <row r="802" ht="15.75" customHeight="1">
      <c r="A802" s="138">
        <v>31.0</v>
      </c>
      <c r="B802" s="138">
        <v>51.0</v>
      </c>
      <c r="C802" s="236">
        <v>99.0</v>
      </c>
      <c r="D802" s="248">
        <v>46231.0</v>
      </c>
      <c r="E802" s="138">
        <v>1.0</v>
      </c>
      <c r="F802" s="138" t="s">
        <v>388</v>
      </c>
      <c r="G802" s="138" t="s">
        <v>583</v>
      </c>
      <c r="H802" s="138">
        <v>7.0</v>
      </c>
      <c r="I802" s="138" t="s">
        <v>34</v>
      </c>
      <c r="J802" s="138" t="s">
        <v>584</v>
      </c>
      <c r="K802" s="129" t="s">
        <v>50</v>
      </c>
      <c r="L802" s="228"/>
      <c r="M802" s="228"/>
      <c r="N802" s="138" t="s">
        <v>340</v>
      </c>
      <c r="O802" s="138" t="s">
        <v>189</v>
      </c>
      <c r="P802" s="138" t="s">
        <v>898</v>
      </c>
      <c r="Q802" s="237" t="s">
        <v>390</v>
      </c>
      <c r="R802" s="229">
        <v>4500.0</v>
      </c>
      <c r="S802" s="230">
        <f>FRESADO!$R802*FRESADO!$E802</f>
        <v>4500</v>
      </c>
      <c r="T802" s="230">
        <f>FRESADO!$S802*16%</f>
        <v>720</v>
      </c>
      <c r="U802" s="230">
        <f>FRESADO!$S802+FRESADO!$T802</f>
        <v>5220</v>
      </c>
      <c r="V802" s="129" t="s">
        <v>697</v>
      </c>
      <c r="Y802" s="148"/>
    </row>
    <row r="803" ht="15.75" customHeight="1">
      <c r="A803" s="138">
        <v>31.0</v>
      </c>
      <c r="B803" s="138">
        <v>52.0</v>
      </c>
      <c r="C803" s="138">
        <v>101.0</v>
      </c>
      <c r="D803" s="248">
        <v>46232.0</v>
      </c>
      <c r="E803" s="138">
        <v>1.0</v>
      </c>
      <c r="F803" s="138" t="s">
        <v>74</v>
      </c>
      <c r="G803" s="138" t="s">
        <v>347</v>
      </c>
      <c r="H803" s="138">
        <v>14.0</v>
      </c>
      <c r="I803" s="138" t="s">
        <v>34</v>
      </c>
      <c r="J803" s="138" t="s">
        <v>70</v>
      </c>
      <c r="K803" s="227" t="s">
        <v>36</v>
      </c>
      <c r="L803" s="228"/>
      <c r="M803" s="228"/>
      <c r="N803" s="138" t="s">
        <v>398</v>
      </c>
      <c r="O803" s="138" t="s">
        <v>189</v>
      </c>
      <c r="P803" s="138" t="s">
        <v>898</v>
      </c>
      <c r="Q803" s="219" t="s">
        <v>399</v>
      </c>
      <c r="R803" s="229">
        <v>3855.0</v>
      </c>
      <c r="S803" s="230">
        <f>FRESADO!$R803*FRESADO!$E803</f>
        <v>3855</v>
      </c>
      <c r="T803" s="230">
        <f>FRESADO!$S803*16%</f>
        <v>616.8</v>
      </c>
      <c r="U803" s="230">
        <f>FRESADO!$S803+FRESADO!$T803</f>
        <v>4471.8</v>
      </c>
      <c r="V803" s="129" t="s">
        <v>899</v>
      </c>
      <c r="Y803" s="148"/>
      <c r="Z803" s="219" t="s">
        <v>399</v>
      </c>
    </row>
    <row r="804" ht="15.75" customHeight="1">
      <c r="A804" s="138">
        <v>31.0</v>
      </c>
      <c r="B804" s="138">
        <v>53.0</v>
      </c>
      <c r="C804" s="138">
        <v>102.0</v>
      </c>
      <c r="D804" s="248">
        <v>46232.0</v>
      </c>
      <c r="E804" s="138">
        <v>1.0</v>
      </c>
      <c r="F804" s="138" t="s">
        <v>74</v>
      </c>
      <c r="G804" s="138" t="s">
        <v>280</v>
      </c>
      <c r="H804" s="138">
        <v>14.0</v>
      </c>
      <c r="I804" s="138" t="s">
        <v>34</v>
      </c>
      <c r="J804" s="138" t="s">
        <v>272</v>
      </c>
      <c r="K804" s="227" t="s">
        <v>36</v>
      </c>
      <c r="L804" s="228"/>
      <c r="M804" s="228"/>
      <c r="N804" s="138" t="s">
        <v>398</v>
      </c>
      <c r="O804" s="138" t="s">
        <v>189</v>
      </c>
      <c r="P804" s="138" t="s">
        <v>898</v>
      </c>
      <c r="Q804" s="219" t="s">
        <v>399</v>
      </c>
      <c r="R804" s="229">
        <v>3855.0</v>
      </c>
      <c r="S804" s="230">
        <f>FRESADO!$R804*FRESADO!$E804</f>
        <v>3855</v>
      </c>
      <c r="T804" s="230">
        <f>FRESADO!$S804*16%</f>
        <v>616.8</v>
      </c>
      <c r="U804" s="230">
        <f>FRESADO!$S804+FRESADO!$T804</f>
        <v>4471.8</v>
      </c>
      <c r="V804" s="129" t="s">
        <v>899</v>
      </c>
      <c r="Y804" s="148"/>
      <c r="Z804" s="219" t="s">
        <v>399</v>
      </c>
    </row>
    <row r="805" ht="15.75" customHeight="1">
      <c r="A805" s="138">
        <v>31.0</v>
      </c>
      <c r="B805" s="138">
        <v>54.0</v>
      </c>
      <c r="C805" s="138">
        <v>103.0</v>
      </c>
      <c r="D805" s="248">
        <v>46232.0</v>
      </c>
      <c r="E805" s="138">
        <v>1.0</v>
      </c>
      <c r="F805" s="138" t="s">
        <v>74</v>
      </c>
      <c r="G805" s="138" t="s">
        <v>192</v>
      </c>
      <c r="H805" s="138">
        <v>14.0</v>
      </c>
      <c r="I805" s="138" t="s">
        <v>34</v>
      </c>
      <c r="J805" s="138" t="s">
        <v>41</v>
      </c>
      <c r="K805" s="227" t="s">
        <v>36</v>
      </c>
      <c r="L805" s="228"/>
      <c r="M805" s="228"/>
      <c r="N805" s="138" t="s">
        <v>398</v>
      </c>
      <c r="O805" s="138" t="s">
        <v>189</v>
      </c>
      <c r="P805" s="138" t="s">
        <v>898</v>
      </c>
      <c r="Q805" s="219" t="s">
        <v>399</v>
      </c>
      <c r="R805" s="229">
        <v>3855.0</v>
      </c>
      <c r="S805" s="230">
        <f>FRESADO!$R805*FRESADO!$E805</f>
        <v>3855</v>
      </c>
      <c r="T805" s="230">
        <f>FRESADO!$S805*16%</f>
        <v>616.8</v>
      </c>
      <c r="U805" s="230">
        <f>FRESADO!$S805+FRESADO!$T805</f>
        <v>4471.8</v>
      </c>
      <c r="V805" s="129" t="s">
        <v>899</v>
      </c>
      <c r="Y805" s="148"/>
      <c r="Z805" s="219" t="s">
        <v>399</v>
      </c>
    </row>
    <row r="806" ht="15.75" customHeight="1">
      <c r="A806" s="138">
        <v>31.0</v>
      </c>
      <c r="B806" s="138">
        <v>55.0</v>
      </c>
      <c r="C806" s="138">
        <v>104.0</v>
      </c>
      <c r="D806" s="248">
        <v>46232.0</v>
      </c>
      <c r="E806" s="138">
        <v>1.0</v>
      </c>
      <c r="F806" s="138" t="s">
        <v>74</v>
      </c>
      <c r="G806" s="138" t="s">
        <v>690</v>
      </c>
      <c r="H806" s="138">
        <v>14.0</v>
      </c>
      <c r="I806" s="138" t="s">
        <v>34</v>
      </c>
      <c r="J806" s="138" t="s">
        <v>691</v>
      </c>
      <c r="K806" s="227" t="s">
        <v>36</v>
      </c>
      <c r="L806" s="228"/>
      <c r="M806" s="228"/>
      <c r="N806" s="138" t="s">
        <v>398</v>
      </c>
      <c r="O806" s="138" t="s">
        <v>189</v>
      </c>
      <c r="P806" s="138" t="s">
        <v>898</v>
      </c>
      <c r="Q806" s="219" t="s">
        <v>399</v>
      </c>
      <c r="R806" s="229">
        <v>3855.0</v>
      </c>
      <c r="S806" s="230">
        <f>FRESADO!$R806*FRESADO!$E806</f>
        <v>3855</v>
      </c>
      <c r="T806" s="230">
        <f>FRESADO!$S806*16%</f>
        <v>616.8</v>
      </c>
      <c r="U806" s="230">
        <f>FRESADO!$S806+FRESADO!$T806</f>
        <v>4471.8</v>
      </c>
      <c r="V806" s="129" t="s">
        <v>899</v>
      </c>
      <c r="Y806" s="148"/>
      <c r="Z806" s="219" t="s">
        <v>399</v>
      </c>
    </row>
    <row r="807" ht="15.75" customHeight="1">
      <c r="A807" s="138">
        <v>31.0</v>
      </c>
      <c r="B807" s="138">
        <v>56.0</v>
      </c>
      <c r="C807" s="138">
        <v>105.0</v>
      </c>
      <c r="D807" s="248">
        <v>46232.0</v>
      </c>
      <c r="E807" s="138">
        <v>1.0</v>
      </c>
      <c r="F807" s="138" t="s">
        <v>74</v>
      </c>
      <c r="G807" s="138" t="s">
        <v>280</v>
      </c>
      <c r="H807" s="138">
        <v>14.0</v>
      </c>
      <c r="I807" s="138" t="s">
        <v>34</v>
      </c>
      <c r="J807" s="138" t="s">
        <v>272</v>
      </c>
      <c r="K807" s="227" t="s">
        <v>36</v>
      </c>
      <c r="L807" s="228"/>
      <c r="M807" s="228"/>
      <c r="N807" s="138" t="s">
        <v>398</v>
      </c>
      <c r="O807" s="138" t="s">
        <v>189</v>
      </c>
      <c r="P807" s="138" t="s">
        <v>898</v>
      </c>
      <c r="Q807" s="219" t="s">
        <v>399</v>
      </c>
      <c r="R807" s="229">
        <v>3855.0</v>
      </c>
      <c r="S807" s="230">
        <f>FRESADO!$R807*FRESADO!$E807</f>
        <v>3855</v>
      </c>
      <c r="T807" s="230">
        <f>FRESADO!$S807*16%</f>
        <v>616.8</v>
      </c>
      <c r="U807" s="230">
        <f>FRESADO!$S807+FRESADO!$T807</f>
        <v>4471.8</v>
      </c>
      <c r="V807" s="129" t="s">
        <v>899</v>
      </c>
      <c r="Y807" s="148"/>
      <c r="Z807" s="219" t="s">
        <v>399</v>
      </c>
    </row>
    <row r="808" ht="15.75" customHeight="1">
      <c r="A808" s="138">
        <v>31.0</v>
      </c>
      <c r="B808" s="138">
        <v>57.0</v>
      </c>
      <c r="C808" s="138">
        <v>106.0</v>
      </c>
      <c r="D808" s="248">
        <v>46232.0</v>
      </c>
      <c r="E808" s="138">
        <v>1.0</v>
      </c>
      <c r="F808" s="138" t="s">
        <v>74</v>
      </c>
      <c r="G808" s="138" t="s">
        <v>347</v>
      </c>
      <c r="H808" s="138">
        <v>14.0</v>
      </c>
      <c r="I808" s="138" t="s">
        <v>34</v>
      </c>
      <c r="J808" s="138" t="s">
        <v>70</v>
      </c>
      <c r="K808" s="227" t="s">
        <v>36</v>
      </c>
      <c r="L808" s="228"/>
      <c r="M808" s="228"/>
      <c r="N808" s="138" t="s">
        <v>398</v>
      </c>
      <c r="O808" s="138" t="s">
        <v>189</v>
      </c>
      <c r="P808" s="138" t="s">
        <v>898</v>
      </c>
      <c r="Q808" s="219" t="s">
        <v>399</v>
      </c>
      <c r="R808" s="229">
        <v>3855.0</v>
      </c>
      <c r="S808" s="230">
        <f>FRESADO!$R808*FRESADO!$E808</f>
        <v>3855</v>
      </c>
      <c r="T808" s="230">
        <f>FRESADO!$S808*16%</f>
        <v>616.8</v>
      </c>
      <c r="U808" s="230">
        <f>FRESADO!$S808+FRESADO!$T808</f>
        <v>4471.8</v>
      </c>
      <c r="V808" s="129" t="s">
        <v>899</v>
      </c>
      <c r="Y808" s="148"/>
      <c r="Z808" s="219" t="s">
        <v>399</v>
      </c>
    </row>
    <row r="809" ht="15.75" customHeight="1">
      <c r="A809" s="138">
        <v>31.0</v>
      </c>
      <c r="B809" s="138">
        <v>58.0</v>
      </c>
      <c r="C809" s="138">
        <v>107.0</v>
      </c>
      <c r="D809" s="248">
        <v>46232.0</v>
      </c>
      <c r="E809" s="138">
        <v>1.0</v>
      </c>
      <c r="F809" s="138" t="s">
        <v>74</v>
      </c>
      <c r="G809" s="138" t="s">
        <v>192</v>
      </c>
      <c r="H809" s="138">
        <v>14.0</v>
      </c>
      <c r="I809" s="138" t="s">
        <v>34</v>
      </c>
      <c r="J809" s="138" t="s">
        <v>41</v>
      </c>
      <c r="K809" s="227" t="s">
        <v>36</v>
      </c>
      <c r="L809" s="228"/>
      <c r="M809" s="228"/>
      <c r="N809" s="138" t="s">
        <v>398</v>
      </c>
      <c r="O809" s="138" t="s">
        <v>189</v>
      </c>
      <c r="P809" s="138" t="s">
        <v>898</v>
      </c>
      <c r="Q809" s="219" t="s">
        <v>399</v>
      </c>
      <c r="R809" s="229">
        <v>3855.0</v>
      </c>
      <c r="S809" s="230">
        <f>FRESADO!$R809*FRESADO!$E809</f>
        <v>3855</v>
      </c>
      <c r="T809" s="230">
        <f>FRESADO!$S809*16%</f>
        <v>616.8</v>
      </c>
      <c r="U809" s="230">
        <f>FRESADO!$S809+FRESADO!$T809</f>
        <v>4471.8</v>
      </c>
      <c r="V809" s="129" t="s">
        <v>899</v>
      </c>
      <c r="Y809" s="148"/>
      <c r="Z809" s="219" t="s">
        <v>399</v>
      </c>
    </row>
    <row r="810" ht="15.75" customHeight="1">
      <c r="A810" s="138">
        <v>31.0</v>
      </c>
      <c r="B810" s="138">
        <v>59.0</v>
      </c>
      <c r="C810" s="138">
        <v>108.0</v>
      </c>
      <c r="D810" s="248">
        <v>46232.0</v>
      </c>
      <c r="E810" s="138">
        <v>1.0</v>
      </c>
      <c r="F810" s="142" t="s">
        <v>74</v>
      </c>
      <c r="G810" s="142" t="s">
        <v>690</v>
      </c>
      <c r="H810" s="142">
        <v>14.0</v>
      </c>
      <c r="I810" s="142" t="s">
        <v>34</v>
      </c>
      <c r="J810" s="142" t="s">
        <v>691</v>
      </c>
      <c r="K810" s="227" t="s">
        <v>36</v>
      </c>
      <c r="L810" s="249"/>
      <c r="M810" s="249"/>
      <c r="N810" s="142" t="s">
        <v>398</v>
      </c>
      <c r="O810" s="142" t="s">
        <v>189</v>
      </c>
      <c r="P810" s="138" t="s">
        <v>898</v>
      </c>
      <c r="Q810" s="219" t="s">
        <v>399</v>
      </c>
      <c r="R810" s="229">
        <v>3855.0</v>
      </c>
      <c r="S810" s="230">
        <f>FRESADO!$R810*FRESADO!$E810</f>
        <v>3855</v>
      </c>
      <c r="T810" s="230">
        <f>FRESADO!$S810*16%</f>
        <v>616.8</v>
      </c>
      <c r="U810" s="230">
        <f>FRESADO!$S810+FRESADO!$T810</f>
        <v>4471.8</v>
      </c>
      <c r="V810" s="129" t="s">
        <v>899</v>
      </c>
      <c r="Y810" s="148"/>
      <c r="Z810" s="219" t="s">
        <v>399</v>
      </c>
    </row>
    <row r="811" ht="15.75" customHeight="1">
      <c r="A811" s="138">
        <v>31.0</v>
      </c>
      <c r="B811" s="138">
        <v>60.0</v>
      </c>
      <c r="C811" s="138">
        <v>109.0</v>
      </c>
      <c r="D811" s="248">
        <v>46232.0</v>
      </c>
      <c r="E811" s="138">
        <v>1.0</v>
      </c>
      <c r="F811" s="142" t="s">
        <v>74</v>
      </c>
      <c r="G811" s="142" t="s">
        <v>692</v>
      </c>
      <c r="H811" s="142">
        <v>14.0</v>
      </c>
      <c r="I811" s="142" t="s">
        <v>34</v>
      </c>
      <c r="J811" s="142" t="s">
        <v>693</v>
      </c>
      <c r="K811" s="227" t="s">
        <v>36</v>
      </c>
      <c r="L811" s="249"/>
      <c r="M811" s="249"/>
      <c r="N811" s="142" t="s">
        <v>398</v>
      </c>
      <c r="O811" s="142" t="s">
        <v>189</v>
      </c>
      <c r="P811" s="138" t="s">
        <v>898</v>
      </c>
      <c r="Q811" s="219" t="s">
        <v>399</v>
      </c>
      <c r="R811" s="229">
        <v>3855.0</v>
      </c>
      <c r="S811" s="230">
        <f>FRESADO!$R811*FRESADO!$E811</f>
        <v>3855</v>
      </c>
      <c r="T811" s="230">
        <f>FRESADO!$S811*16%</f>
        <v>616.8</v>
      </c>
      <c r="U811" s="230">
        <f>FRESADO!$S811+FRESADO!$T811</f>
        <v>4471.8</v>
      </c>
      <c r="V811" s="129" t="s">
        <v>899</v>
      </c>
      <c r="Y811" s="148"/>
      <c r="Z811" s="219" t="s">
        <v>399</v>
      </c>
    </row>
    <row r="812" ht="15.75" customHeight="1">
      <c r="A812" s="138">
        <v>31.0</v>
      </c>
      <c r="B812" s="142">
        <v>61.0</v>
      </c>
      <c r="C812" s="142">
        <v>110.0</v>
      </c>
      <c r="D812" s="248">
        <v>46232.0</v>
      </c>
      <c r="E812" s="138">
        <v>1.0</v>
      </c>
      <c r="F812" s="142" t="s">
        <v>74</v>
      </c>
      <c r="G812" s="142" t="s">
        <v>277</v>
      </c>
      <c r="H812" s="142">
        <v>14.0</v>
      </c>
      <c r="I812" s="142" t="s">
        <v>34</v>
      </c>
      <c r="J812" s="142" t="s">
        <v>278</v>
      </c>
      <c r="K812" s="227" t="s">
        <v>36</v>
      </c>
      <c r="L812" s="249"/>
      <c r="M812" s="249"/>
      <c r="N812" s="142" t="s">
        <v>398</v>
      </c>
      <c r="O812" s="142" t="s">
        <v>189</v>
      </c>
      <c r="P812" s="138" t="s">
        <v>898</v>
      </c>
      <c r="Q812" s="219" t="s">
        <v>399</v>
      </c>
      <c r="R812" s="229">
        <v>3855.0</v>
      </c>
      <c r="S812" s="230">
        <f>FRESADO!$R812*FRESADO!$E812</f>
        <v>3855</v>
      </c>
      <c r="T812" s="230">
        <f>FRESADO!$S812*16%</f>
        <v>616.8</v>
      </c>
      <c r="U812" s="230">
        <f>FRESADO!$S812+FRESADO!$T812</f>
        <v>4471.8</v>
      </c>
      <c r="V812" s="129" t="s">
        <v>899</v>
      </c>
      <c r="Y812" s="148"/>
      <c r="Z812" s="219" t="s">
        <v>399</v>
      </c>
    </row>
    <row r="813" ht="15.75" customHeight="1">
      <c r="A813" s="138">
        <v>31.0</v>
      </c>
      <c r="B813" s="142">
        <v>62.0</v>
      </c>
      <c r="C813" s="142">
        <v>111.0</v>
      </c>
      <c r="D813" s="248">
        <v>46232.0</v>
      </c>
      <c r="E813" s="138">
        <v>1.0</v>
      </c>
      <c r="F813" s="142" t="s">
        <v>74</v>
      </c>
      <c r="G813" s="142" t="s">
        <v>900</v>
      </c>
      <c r="H813" s="142">
        <v>14.0</v>
      </c>
      <c r="I813" s="142" t="s">
        <v>34</v>
      </c>
      <c r="J813" s="142" t="s">
        <v>94</v>
      </c>
      <c r="K813" s="227" t="s">
        <v>36</v>
      </c>
      <c r="L813" s="249"/>
      <c r="M813" s="249"/>
      <c r="N813" s="142" t="s">
        <v>398</v>
      </c>
      <c r="O813" s="142" t="s">
        <v>189</v>
      </c>
      <c r="P813" s="138" t="s">
        <v>898</v>
      </c>
      <c r="Q813" s="219" t="s">
        <v>399</v>
      </c>
      <c r="R813" s="229">
        <v>3855.0</v>
      </c>
      <c r="S813" s="230">
        <f>FRESADO!$R813*FRESADO!$E813</f>
        <v>3855</v>
      </c>
      <c r="T813" s="230">
        <f>FRESADO!$S813*16%</f>
        <v>616.8</v>
      </c>
      <c r="U813" s="230">
        <f>FRESADO!$S813+FRESADO!$T813</f>
        <v>4471.8</v>
      </c>
      <c r="V813" s="129" t="s">
        <v>899</v>
      </c>
      <c r="Y813" s="148"/>
      <c r="Z813" s="219" t="s">
        <v>399</v>
      </c>
    </row>
    <row r="814" ht="15.75" customHeight="1">
      <c r="A814" s="138">
        <v>31.0</v>
      </c>
      <c r="B814" s="138">
        <v>63.0</v>
      </c>
      <c r="C814" s="236">
        <v>112.0</v>
      </c>
      <c r="D814" s="248">
        <v>46232.0</v>
      </c>
      <c r="E814" s="138">
        <v>1.0</v>
      </c>
      <c r="F814" s="138" t="s">
        <v>388</v>
      </c>
      <c r="G814" s="138" t="s">
        <v>913</v>
      </c>
      <c r="H814" s="138">
        <v>7.0</v>
      </c>
      <c r="I814" s="138" t="s">
        <v>34</v>
      </c>
      <c r="J814" s="138" t="s">
        <v>914</v>
      </c>
      <c r="K814" s="129" t="s">
        <v>50</v>
      </c>
      <c r="L814" s="228"/>
      <c r="M814" s="228"/>
      <c r="N814" s="138" t="s">
        <v>340</v>
      </c>
      <c r="O814" s="138" t="s">
        <v>189</v>
      </c>
      <c r="P814" s="138" t="s">
        <v>898</v>
      </c>
      <c r="Q814" s="237" t="s">
        <v>390</v>
      </c>
      <c r="R814" s="229">
        <v>4500.0</v>
      </c>
      <c r="S814" s="230">
        <f>FRESADO!$R814*FRESADO!$E814</f>
        <v>4500</v>
      </c>
      <c r="T814" s="230">
        <f>FRESADO!$S814*16%</f>
        <v>720</v>
      </c>
      <c r="U814" s="230">
        <f>FRESADO!$S814+FRESADO!$T814</f>
        <v>5220</v>
      </c>
      <c r="V814" s="129" t="s">
        <v>697</v>
      </c>
      <c r="Y814" s="148"/>
    </row>
    <row r="815" ht="15.75" customHeight="1">
      <c r="A815" s="138">
        <v>31.0</v>
      </c>
      <c r="B815" s="138">
        <v>64.0</v>
      </c>
      <c r="C815" s="138">
        <v>113.0</v>
      </c>
      <c r="D815" s="248">
        <v>46233.0</v>
      </c>
      <c r="E815" s="138">
        <v>1.0</v>
      </c>
      <c r="F815" s="138" t="s">
        <v>74</v>
      </c>
      <c r="G815" s="138" t="s">
        <v>238</v>
      </c>
      <c r="H815" s="138">
        <v>14.0</v>
      </c>
      <c r="I815" s="138" t="s">
        <v>34</v>
      </c>
      <c r="J815" s="138" t="s">
        <v>89</v>
      </c>
      <c r="K815" s="227" t="s">
        <v>36</v>
      </c>
      <c r="L815" s="228"/>
      <c r="M815" s="228"/>
      <c r="N815" s="138" t="s">
        <v>398</v>
      </c>
      <c r="O815" s="138" t="s">
        <v>189</v>
      </c>
      <c r="P815" s="138" t="s">
        <v>898</v>
      </c>
      <c r="Q815" s="219" t="s">
        <v>399</v>
      </c>
      <c r="R815" s="229">
        <v>3855.0</v>
      </c>
      <c r="S815" s="230">
        <f>FRESADO!$R815*FRESADO!$E815</f>
        <v>3855</v>
      </c>
      <c r="T815" s="230">
        <f>FRESADO!$S815*16%</f>
        <v>616.8</v>
      </c>
      <c r="U815" s="230">
        <f>FRESADO!$S815+FRESADO!$T815</f>
        <v>4471.8</v>
      </c>
      <c r="V815" s="129" t="s">
        <v>899</v>
      </c>
      <c r="Y815" s="148"/>
      <c r="Z815" s="219" t="s">
        <v>399</v>
      </c>
    </row>
    <row r="816" ht="15.75" customHeight="1">
      <c r="A816" s="138">
        <v>31.0</v>
      </c>
      <c r="B816" s="138">
        <v>65.0</v>
      </c>
      <c r="C816" s="138">
        <v>114.0</v>
      </c>
      <c r="D816" s="248">
        <v>46233.0</v>
      </c>
      <c r="E816" s="138">
        <v>1.0</v>
      </c>
      <c r="F816" s="138" t="s">
        <v>74</v>
      </c>
      <c r="G816" s="138" t="s">
        <v>692</v>
      </c>
      <c r="H816" s="138">
        <v>14.0</v>
      </c>
      <c r="I816" s="138" t="s">
        <v>34</v>
      </c>
      <c r="J816" s="138" t="s">
        <v>693</v>
      </c>
      <c r="K816" s="227" t="s">
        <v>36</v>
      </c>
      <c r="L816" s="228"/>
      <c r="M816" s="228"/>
      <c r="N816" s="138" t="s">
        <v>398</v>
      </c>
      <c r="O816" s="138" t="s">
        <v>189</v>
      </c>
      <c r="P816" s="138" t="s">
        <v>898</v>
      </c>
      <c r="Q816" s="219" t="s">
        <v>399</v>
      </c>
      <c r="R816" s="229">
        <v>3855.0</v>
      </c>
      <c r="S816" s="230">
        <f>FRESADO!$R816*FRESADO!$E816</f>
        <v>3855</v>
      </c>
      <c r="T816" s="230">
        <f>FRESADO!$S816*16%</f>
        <v>616.8</v>
      </c>
      <c r="U816" s="230">
        <f>FRESADO!$S816+FRESADO!$T816</f>
        <v>4471.8</v>
      </c>
      <c r="V816" s="129" t="s">
        <v>899</v>
      </c>
      <c r="Y816" s="148"/>
      <c r="Z816" s="219" t="s">
        <v>399</v>
      </c>
    </row>
    <row r="817" ht="15.75" customHeight="1">
      <c r="A817" s="138">
        <v>31.0</v>
      </c>
      <c r="B817" s="138">
        <v>66.0</v>
      </c>
      <c r="C817" s="138">
        <v>115.0</v>
      </c>
      <c r="D817" s="248">
        <v>46233.0</v>
      </c>
      <c r="E817" s="138">
        <v>1.0</v>
      </c>
      <c r="F817" s="138" t="s">
        <v>74</v>
      </c>
      <c r="G817" s="138" t="s">
        <v>900</v>
      </c>
      <c r="H817" s="138">
        <v>14.0</v>
      </c>
      <c r="I817" s="138" t="s">
        <v>34</v>
      </c>
      <c r="J817" s="138" t="s">
        <v>94</v>
      </c>
      <c r="K817" s="227" t="s">
        <v>36</v>
      </c>
      <c r="L817" s="228"/>
      <c r="M817" s="228"/>
      <c r="N817" s="138" t="s">
        <v>398</v>
      </c>
      <c r="O817" s="138" t="s">
        <v>189</v>
      </c>
      <c r="P817" s="138" t="s">
        <v>898</v>
      </c>
      <c r="Q817" s="219" t="s">
        <v>399</v>
      </c>
      <c r="R817" s="229">
        <v>3855.0</v>
      </c>
      <c r="S817" s="230">
        <f>FRESADO!$R817*FRESADO!$E817</f>
        <v>3855</v>
      </c>
      <c r="T817" s="230">
        <f>FRESADO!$S817*16%</f>
        <v>616.8</v>
      </c>
      <c r="U817" s="230">
        <f>FRESADO!$S817+FRESADO!$T817</f>
        <v>4471.8</v>
      </c>
      <c r="V817" s="129" t="s">
        <v>899</v>
      </c>
      <c r="Y817" s="148"/>
      <c r="Z817" s="219" t="s">
        <v>399</v>
      </c>
    </row>
    <row r="818" ht="15.75" customHeight="1">
      <c r="A818" s="138">
        <v>31.0</v>
      </c>
      <c r="B818" s="138">
        <v>67.0</v>
      </c>
      <c r="C818" s="138">
        <v>116.0</v>
      </c>
      <c r="D818" s="248">
        <v>46233.0</v>
      </c>
      <c r="E818" s="138">
        <v>1.0</v>
      </c>
      <c r="F818" s="138" t="s">
        <v>74</v>
      </c>
      <c r="G818" s="138" t="s">
        <v>690</v>
      </c>
      <c r="H818" s="138">
        <v>14.0</v>
      </c>
      <c r="I818" s="138" t="s">
        <v>34</v>
      </c>
      <c r="J818" s="138" t="s">
        <v>691</v>
      </c>
      <c r="K818" s="227" t="s">
        <v>36</v>
      </c>
      <c r="L818" s="228"/>
      <c r="M818" s="228"/>
      <c r="N818" s="138" t="s">
        <v>398</v>
      </c>
      <c r="O818" s="138" t="s">
        <v>189</v>
      </c>
      <c r="P818" s="138" t="s">
        <v>898</v>
      </c>
      <c r="Q818" s="219" t="s">
        <v>399</v>
      </c>
      <c r="R818" s="229">
        <v>3855.0</v>
      </c>
      <c r="S818" s="230">
        <f>FRESADO!$R818*FRESADO!$E818</f>
        <v>3855</v>
      </c>
      <c r="T818" s="230">
        <f>FRESADO!$S818*16%</f>
        <v>616.8</v>
      </c>
      <c r="U818" s="230">
        <f>FRESADO!$S818+FRESADO!$T818</f>
        <v>4471.8</v>
      </c>
      <c r="V818" s="129" t="s">
        <v>899</v>
      </c>
      <c r="Y818" s="148"/>
      <c r="Z818" s="219" t="s">
        <v>399</v>
      </c>
    </row>
    <row r="819" ht="15.75" customHeight="1">
      <c r="A819" s="138">
        <v>31.0</v>
      </c>
      <c r="B819" s="138">
        <v>68.0</v>
      </c>
      <c r="C819" s="142">
        <v>117.0</v>
      </c>
      <c r="D819" s="248">
        <v>46233.0</v>
      </c>
      <c r="E819" s="138">
        <v>1.0</v>
      </c>
      <c r="F819" s="138" t="s">
        <v>74</v>
      </c>
      <c r="G819" s="138" t="s">
        <v>280</v>
      </c>
      <c r="H819" s="138">
        <v>14.0</v>
      </c>
      <c r="I819" s="138" t="s">
        <v>34</v>
      </c>
      <c r="J819" s="138" t="s">
        <v>272</v>
      </c>
      <c r="K819" s="227" t="s">
        <v>36</v>
      </c>
      <c r="L819" s="228"/>
      <c r="M819" s="228"/>
      <c r="N819" s="138" t="s">
        <v>340</v>
      </c>
      <c r="O819" s="138" t="s">
        <v>189</v>
      </c>
      <c r="P819" s="138" t="s">
        <v>898</v>
      </c>
      <c r="Q819" s="250"/>
      <c r="R819" s="229">
        <v>2500.0</v>
      </c>
      <c r="S819" s="230">
        <f>FRESADO!$R819*FRESADO!$E819</f>
        <v>2500</v>
      </c>
      <c r="T819" s="230">
        <f>FRESADO!$S819*16%</f>
        <v>400</v>
      </c>
      <c r="U819" s="230">
        <f>FRESADO!$S819+FRESADO!$T819</f>
        <v>2900</v>
      </c>
      <c r="V819" s="129" t="s">
        <v>899</v>
      </c>
      <c r="Y819" s="148"/>
      <c r="Z819" s="31" t="s">
        <v>77</v>
      </c>
    </row>
    <row r="820" ht="15.75" customHeight="1">
      <c r="A820" s="138">
        <v>31.0</v>
      </c>
      <c r="B820" s="138">
        <v>69.0</v>
      </c>
      <c r="C820" s="142">
        <v>118.0</v>
      </c>
      <c r="D820" s="248">
        <v>46233.0</v>
      </c>
      <c r="E820" s="138">
        <v>1.0</v>
      </c>
      <c r="F820" s="138" t="s">
        <v>74</v>
      </c>
      <c r="G820" s="138" t="s">
        <v>347</v>
      </c>
      <c r="H820" s="138">
        <v>14.0</v>
      </c>
      <c r="I820" s="138" t="s">
        <v>34</v>
      </c>
      <c r="J820" s="138" t="s">
        <v>70</v>
      </c>
      <c r="K820" s="227" t="s">
        <v>36</v>
      </c>
      <c r="L820" s="228"/>
      <c r="M820" s="228"/>
      <c r="N820" s="138" t="s">
        <v>340</v>
      </c>
      <c r="O820" s="138" t="s">
        <v>189</v>
      </c>
      <c r="P820" s="138" t="s">
        <v>898</v>
      </c>
      <c r="Q820" s="231"/>
      <c r="R820" s="229">
        <v>2500.0</v>
      </c>
      <c r="S820" s="230">
        <f>FRESADO!$R820*FRESADO!$E820</f>
        <v>2500</v>
      </c>
      <c r="T820" s="230">
        <f>FRESADO!$S820*16%</f>
        <v>400</v>
      </c>
      <c r="U820" s="230">
        <f>FRESADO!$S820+FRESADO!$T820</f>
        <v>2900</v>
      </c>
      <c r="V820" s="129" t="s">
        <v>899</v>
      </c>
      <c r="Y820" s="148"/>
      <c r="Z820" s="31" t="s">
        <v>77</v>
      </c>
    </row>
    <row r="821" ht="15.75" customHeight="1">
      <c r="A821" s="138">
        <v>31.0</v>
      </c>
      <c r="B821" s="138">
        <v>70.0</v>
      </c>
      <c r="C821" s="142">
        <v>119.0</v>
      </c>
      <c r="D821" s="248">
        <v>46233.0</v>
      </c>
      <c r="E821" s="138">
        <v>1.0</v>
      </c>
      <c r="F821" s="138" t="s">
        <v>74</v>
      </c>
      <c r="G821" s="138" t="s">
        <v>277</v>
      </c>
      <c r="H821" s="138">
        <v>14.0</v>
      </c>
      <c r="I821" s="138" t="s">
        <v>34</v>
      </c>
      <c r="J821" s="138" t="s">
        <v>278</v>
      </c>
      <c r="K821" s="227" t="s">
        <v>36</v>
      </c>
      <c r="L821" s="228"/>
      <c r="M821" s="228"/>
      <c r="N821" s="138" t="s">
        <v>340</v>
      </c>
      <c r="O821" s="138" t="s">
        <v>189</v>
      </c>
      <c r="P821" s="138" t="s">
        <v>898</v>
      </c>
      <c r="Q821" s="251"/>
      <c r="R821" s="229">
        <v>2500.0</v>
      </c>
      <c r="S821" s="230">
        <f>FRESADO!$R821*FRESADO!$E821</f>
        <v>2500</v>
      </c>
      <c r="T821" s="230">
        <f>FRESADO!$S821*16%</f>
        <v>400</v>
      </c>
      <c r="U821" s="230">
        <f>FRESADO!$S821+FRESADO!$T821</f>
        <v>2900</v>
      </c>
      <c r="V821" s="129" t="s">
        <v>899</v>
      </c>
      <c r="Y821" s="148"/>
      <c r="Z821" s="31" t="s">
        <v>77</v>
      </c>
    </row>
    <row r="822" ht="15.75" customHeight="1">
      <c r="A822" s="138">
        <v>31.0</v>
      </c>
      <c r="B822" s="138">
        <v>71.0</v>
      </c>
      <c r="C822" s="236">
        <v>120.0</v>
      </c>
      <c r="D822" s="248">
        <v>46233.0</v>
      </c>
      <c r="E822" s="138">
        <v>1.0</v>
      </c>
      <c r="F822" s="138" t="s">
        <v>388</v>
      </c>
      <c r="G822" s="138" t="s">
        <v>583</v>
      </c>
      <c r="H822" s="138">
        <v>7.0</v>
      </c>
      <c r="I822" s="138" t="s">
        <v>34</v>
      </c>
      <c r="J822" s="138" t="s">
        <v>584</v>
      </c>
      <c r="K822" s="129" t="s">
        <v>50</v>
      </c>
      <c r="L822" s="228"/>
      <c r="M822" s="228"/>
      <c r="N822" s="138" t="s">
        <v>340</v>
      </c>
      <c r="O822" s="138" t="s">
        <v>189</v>
      </c>
      <c r="P822" s="138" t="s">
        <v>898</v>
      </c>
      <c r="Q822" s="237" t="s">
        <v>390</v>
      </c>
      <c r="R822" s="229">
        <v>4500.0</v>
      </c>
      <c r="S822" s="230">
        <f>FRESADO!$R822*FRESADO!$E822</f>
        <v>4500</v>
      </c>
      <c r="T822" s="230">
        <f>FRESADO!$S822*16%</f>
        <v>720</v>
      </c>
      <c r="U822" s="230">
        <f>FRESADO!$S822+FRESADO!$T822</f>
        <v>5220</v>
      </c>
      <c r="V822" s="129" t="s">
        <v>697</v>
      </c>
      <c r="Y822" s="148"/>
    </row>
    <row r="823" ht="15.75" customHeight="1">
      <c r="A823" s="138">
        <v>31.0</v>
      </c>
      <c r="B823" s="142">
        <v>72.0</v>
      </c>
      <c r="C823" s="142">
        <v>151.0</v>
      </c>
      <c r="D823" s="248">
        <v>46234.0</v>
      </c>
      <c r="E823" s="138">
        <v>1.0</v>
      </c>
      <c r="F823" s="142" t="s">
        <v>74</v>
      </c>
      <c r="G823" s="138" t="s">
        <v>900</v>
      </c>
      <c r="H823" s="138">
        <v>14.0</v>
      </c>
      <c r="I823" s="138" t="s">
        <v>34</v>
      </c>
      <c r="J823" s="138" t="s">
        <v>94</v>
      </c>
      <c r="K823" s="227" t="s">
        <v>36</v>
      </c>
      <c r="L823" s="228"/>
      <c r="M823" s="228"/>
      <c r="N823" s="138" t="s">
        <v>398</v>
      </c>
      <c r="O823" s="138" t="s">
        <v>189</v>
      </c>
      <c r="P823" s="138" t="s">
        <v>898</v>
      </c>
      <c r="Q823" s="219" t="s">
        <v>399</v>
      </c>
      <c r="R823" s="229">
        <v>3855.0</v>
      </c>
      <c r="S823" s="230">
        <f>FRESADO!$R823*FRESADO!$E823</f>
        <v>3855</v>
      </c>
      <c r="T823" s="230">
        <f>FRESADO!$S823*16%</f>
        <v>616.8</v>
      </c>
      <c r="U823" s="230">
        <f>FRESADO!$S823+FRESADO!$T823</f>
        <v>4471.8</v>
      </c>
      <c r="V823" s="129" t="s">
        <v>899</v>
      </c>
      <c r="Y823" s="148"/>
      <c r="Z823" s="219" t="s">
        <v>399</v>
      </c>
    </row>
    <row r="824" ht="15.75" customHeight="1">
      <c r="A824" s="138">
        <v>31.0</v>
      </c>
      <c r="B824" s="142">
        <v>73.0</v>
      </c>
      <c r="C824" s="142">
        <v>152.0</v>
      </c>
      <c r="D824" s="248">
        <v>46234.0</v>
      </c>
      <c r="E824" s="138">
        <v>1.0</v>
      </c>
      <c r="F824" s="142" t="s">
        <v>74</v>
      </c>
      <c r="G824" s="138" t="s">
        <v>692</v>
      </c>
      <c r="H824" s="138">
        <v>14.0</v>
      </c>
      <c r="I824" s="138" t="s">
        <v>34</v>
      </c>
      <c r="J824" s="138" t="s">
        <v>693</v>
      </c>
      <c r="K824" s="227" t="s">
        <v>36</v>
      </c>
      <c r="L824" s="228"/>
      <c r="M824" s="228"/>
      <c r="N824" s="138" t="s">
        <v>398</v>
      </c>
      <c r="O824" s="138" t="s">
        <v>189</v>
      </c>
      <c r="P824" s="138" t="s">
        <v>898</v>
      </c>
      <c r="Q824" s="219" t="s">
        <v>399</v>
      </c>
      <c r="R824" s="229">
        <v>3855.0</v>
      </c>
      <c r="S824" s="230">
        <f>FRESADO!$R824*FRESADO!$E824</f>
        <v>3855</v>
      </c>
      <c r="T824" s="230">
        <f>FRESADO!$S824*16%</f>
        <v>616.8</v>
      </c>
      <c r="U824" s="230">
        <f>FRESADO!$S824+FRESADO!$T824</f>
        <v>4471.8</v>
      </c>
      <c r="V824" s="129" t="s">
        <v>899</v>
      </c>
      <c r="Y824" s="148"/>
      <c r="Z824" s="219" t="s">
        <v>399</v>
      </c>
    </row>
    <row r="825" ht="15.75" customHeight="1">
      <c r="A825" s="138">
        <v>31.0</v>
      </c>
      <c r="B825" s="142">
        <v>74.0</v>
      </c>
      <c r="C825" s="142">
        <v>153.0</v>
      </c>
      <c r="D825" s="248">
        <v>46234.0</v>
      </c>
      <c r="E825" s="138">
        <v>1.0</v>
      </c>
      <c r="F825" s="142" t="s">
        <v>74</v>
      </c>
      <c r="G825" s="138" t="s">
        <v>347</v>
      </c>
      <c r="H825" s="138">
        <v>14.0</v>
      </c>
      <c r="I825" s="138" t="s">
        <v>34</v>
      </c>
      <c r="J825" s="138" t="s">
        <v>70</v>
      </c>
      <c r="K825" s="227" t="s">
        <v>36</v>
      </c>
      <c r="L825" s="228"/>
      <c r="M825" s="228"/>
      <c r="N825" s="138" t="s">
        <v>398</v>
      </c>
      <c r="O825" s="138" t="s">
        <v>189</v>
      </c>
      <c r="P825" s="138" t="s">
        <v>898</v>
      </c>
      <c r="Q825" s="219" t="s">
        <v>399</v>
      </c>
      <c r="R825" s="229">
        <v>3855.0</v>
      </c>
      <c r="S825" s="230">
        <f>FRESADO!$R825*FRESADO!$E825</f>
        <v>3855</v>
      </c>
      <c r="T825" s="230">
        <f>FRESADO!$S825*16%</f>
        <v>616.8</v>
      </c>
      <c r="U825" s="230">
        <f>FRESADO!$S825+FRESADO!$T825</f>
        <v>4471.8</v>
      </c>
      <c r="V825" s="129" t="s">
        <v>899</v>
      </c>
      <c r="Y825" s="148"/>
      <c r="Z825" s="219" t="s">
        <v>399</v>
      </c>
    </row>
    <row r="826" ht="15.75" customHeight="1">
      <c r="A826" s="138">
        <v>31.0</v>
      </c>
      <c r="B826" s="142">
        <v>75.0</v>
      </c>
      <c r="C826" s="142">
        <v>154.0</v>
      </c>
      <c r="D826" s="248">
        <v>46234.0</v>
      </c>
      <c r="E826" s="138">
        <v>1.0</v>
      </c>
      <c r="F826" s="142" t="s">
        <v>74</v>
      </c>
      <c r="G826" s="138" t="s">
        <v>238</v>
      </c>
      <c r="H826" s="138">
        <v>14.0</v>
      </c>
      <c r="I826" s="138" t="s">
        <v>34</v>
      </c>
      <c r="J826" s="138" t="s">
        <v>89</v>
      </c>
      <c r="K826" s="227" t="s">
        <v>36</v>
      </c>
      <c r="L826" s="228"/>
      <c r="M826" s="228"/>
      <c r="N826" s="138" t="s">
        <v>398</v>
      </c>
      <c r="O826" s="138" t="s">
        <v>189</v>
      </c>
      <c r="P826" s="138" t="s">
        <v>898</v>
      </c>
      <c r="Q826" s="219" t="s">
        <v>399</v>
      </c>
      <c r="R826" s="229">
        <v>3855.0</v>
      </c>
      <c r="S826" s="230">
        <f>FRESADO!$R826*FRESADO!$E826</f>
        <v>3855</v>
      </c>
      <c r="T826" s="230">
        <f>FRESADO!$S826*16%</f>
        <v>616.8</v>
      </c>
      <c r="U826" s="230">
        <f>FRESADO!$S826+FRESADO!$T826</f>
        <v>4471.8</v>
      </c>
      <c r="V826" s="129" t="s">
        <v>899</v>
      </c>
      <c r="Y826" s="148"/>
      <c r="Z826" s="219" t="s">
        <v>399</v>
      </c>
    </row>
    <row r="827" ht="15.75" customHeight="1">
      <c r="A827" s="138">
        <v>31.0</v>
      </c>
      <c r="B827" s="142">
        <v>76.0</v>
      </c>
      <c r="C827" s="142">
        <v>155.0</v>
      </c>
      <c r="D827" s="248">
        <v>46234.0</v>
      </c>
      <c r="E827" s="138">
        <v>1.0</v>
      </c>
      <c r="F827" s="142" t="s">
        <v>74</v>
      </c>
      <c r="G827" s="138" t="s">
        <v>192</v>
      </c>
      <c r="H827" s="138">
        <v>14.0</v>
      </c>
      <c r="I827" s="138" t="s">
        <v>34</v>
      </c>
      <c r="J827" s="138" t="s">
        <v>41</v>
      </c>
      <c r="K827" s="227" t="s">
        <v>36</v>
      </c>
      <c r="L827" s="228"/>
      <c r="M827" s="228"/>
      <c r="N827" s="138" t="s">
        <v>398</v>
      </c>
      <c r="O827" s="138" t="s">
        <v>189</v>
      </c>
      <c r="P827" s="138" t="s">
        <v>898</v>
      </c>
      <c r="Q827" s="219" t="s">
        <v>399</v>
      </c>
      <c r="R827" s="229">
        <v>3855.0</v>
      </c>
      <c r="S827" s="230">
        <f>FRESADO!$R827*FRESADO!$E827</f>
        <v>3855</v>
      </c>
      <c r="T827" s="230">
        <f>FRESADO!$S827*16%</f>
        <v>616.8</v>
      </c>
      <c r="U827" s="230">
        <f>FRESADO!$S827+FRESADO!$T827</f>
        <v>4471.8</v>
      </c>
      <c r="V827" s="129" t="s">
        <v>899</v>
      </c>
      <c r="Y827" s="148"/>
      <c r="Z827" s="219" t="s">
        <v>399</v>
      </c>
    </row>
    <row r="828" ht="15.75" customHeight="1">
      <c r="A828" s="138">
        <v>31.0</v>
      </c>
      <c r="B828" s="138">
        <v>77.0</v>
      </c>
      <c r="C828" s="138">
        <v>156.0</v>
      </c>
      <c r="D828" s="248">
        <v>46234.0</v>
      </c>
      <c r="E828" s="138">
        <v>1.0</v>
      </c>
      <c r="F828" s="138" t="s">
        <v>388</v>
      </c>
      <c r="G828" s="138" t="s">
        <v>583</v>
      </c>
      <c r="H828" s="138">
        <v>7.0</v>
      </c>
      <c r="I828" s="138" t="s">
        <v>34</v>
      </c>
      <c r="J828" s="138" t="s">
        <v>584</v>
      </c>
      <c r="K828" s="129" t="s">
        <v>50</v>
      </c>
      <c r="L828" s="228"/>
      <c r="M828" s="228"/>
      <c r="N828" s="138" t="s">
        <v>340</v>
      </c>
      <c r="O828" s="138" t="s">
        <v>189</v>
      </c>
      <c r="P828" s="138" t="s">
        <v>898</v>
      </c>
      <c r="Q828" s="237" t="s">
        <v>390</v>
      </c>
      <c r="R828" s="229">
        <v>4500.0</v>
      </c>
      <c r="S828" s="230">
        <f>FRESADO!$R828*FRESADO!$E828</f>
        <v>4500</v>
      </c>
      <c r="T828" s="230">
        <f>FRESADO!$S828*16%</f>
        <v>720</v>
      </c>
      <c r="U828" s="230">
        <f>FRESADO!$S828+FRESADO!$T828</f>
        <v>5220</v>
      </c>
      <c r="V828" s="252" t="s">
        <v>915</v>
      </c>
      <c r="Y828" s="148"/>
    </row>
    <row r="829" ht="15.75" customHeight="1">
      <c r="A829" s="138">
        <v>31.0</v>
      </c>
      <c r="B829" s="142">
        <v>78.0</v>
      </c>
      <c r="C829" s="142">
        <v>157.0</v>
      </c>
      <c r="D829" s="248">
        <v>46235.0</v>
      </c>
      <c r="E829" s="138">
        <v>1.0</v>
      </c>
      <c r="F829" s="142" t="s">
        <v>74</v>
      </c>
      <c r="G829" s="138" t="s">
        <v>692</v>
      </c>
      <c r="H829" s="138">
        <v>14.0</v>
      </c>
      <c r="I829" s="138" t="s">
        <v>34</v>
      </c>
      <c r="J829" s="138" t="s">
        <v>693</v>
      </c>
      <c r="K829" s="227" t="s">
        <v>36</v>
      </c>
      <c r="L829" s="228"/>
      <c r="M829" s="228"/>
      <c r="N829" s="138" t="s">
        <v>398</v>
      </c>
      <c r="O829" s="138" t="s">
        <v>189</v>
      </c>
      <c r="P829" s="142" t="s">
        <v>898</v>
      </c>
      <c r="Q829" s="219" t="s">
        <v>399</v>
      </c>
      <c r="R829" s="229">
        <v>3855.0</v>
      </c>
      <c r="S829" s="230">
        <f>FRESADO!$R829*FRESADO!$E829</f>
        <v>3855</v>
      </c>
      <c r="T829" s="230">
        <f>FRESADO!$S829*16%</f>
        <v>616.8</v>
      </c>
      <c r="U829" s="230">
        <f>FRESADO!$S829+FRESADO!$T829</f>
        <v>4471.8</v>
      </c>
      <c r="V829" s="129" t="s">
        <v>899</v>
      </c>
      <c r="Y829" s="148"/>
      <c r="Z829" s="219" t="s">
        <v>399</v>
      </c>
    </row>
    <row r="830" ht="15.75" customHeight="1">
      <c r="A830" s="241">
        <v>31.0</v>
      </c>
      <c r="B830" s="241">
        <v>79.0</v>
      </c>
      <c r="C830" s="241">
        <v>158.0</v>
      </c>
      <c r="D830" s="242">
        <v>46235.0</v>
      </c>
      <c r="E830" s="241">
        <v>0.0</v>
      </c>
      <c r="F830" s="243" t="s">
        <v>182</v>
      </c>
      <c r="G830" s="244">
        <v>0.0</v>
      </c>
      <c r="H830" s="244">
        <v>0.0</v>
      </c>
      <c r="I830" s="244" t="s">
        <v>40</v>
      </c>
      <c r="J830" s="244" t="s">
        <v>183</v>
      </c>
      <c r="K830" s="243" t="s">
        <v>49</v>
      </c>
      <c r="L830" s="245"/>
      <c r="M830" s="245"/>
      <c r="N830" s="245"/>
      <c r="O830" s="245"/>
      <c r="P830" s="245"/>
      <c r="Q830" s="243" t="s">
        <v>182</v>
      </c>
      <c r="R830" s="246">
        <v>0.0</v>
      </c>
      <c r="S830" s="247">
        <f>FRESADO!$R830*FRESADO!$E830</f>
        <v>0</v>
      </c>
      <c r="T830" s="247">
        <f>FRESADO!$S830*16%</f>
        <v>0</v>
      </c>
      <c r="U830" s="247">
        <f>FRESADO!$S830+FRESADO!$T830</f>
        <v>0</v>
      </c>
      <c r="V830" s="243" t="s">
        <v>182</v>
      </c>
      <c r="Y830" s="148"/>
    </row>
    <row r="831" ht="15.75" customHeight="1">
      <c r="A831" s="138">
        <v>31.0</v>
      </c>
      <c r="B831" s="138">
        <v>80.0</v>
      </c>
      <c r="C831" s="138">
        <v>159.0</v>
      </c>
      <c r="D831" s="248">
        <v>46235.0</v>
      </c>
      <c r="E831" s="138">
        <v>1.0</v>
      </c>
      <c r="F831" s="138" t="s">
        <v>74</v>
      </c>
      <c r="G831" s="138" t="s">
        <v>690</v>
      </c>
      <c r="H831" s="138">
        <v>14.0</v>
      </c>
      <c r="I831" s="138" t="s">
        <v>34</v>
      </c>
      <c r="J831" s="138" t="s">
        <v>691</v>
      </c>
      <c r="K831" s="227" t="s">
        <v>36</v>
      </c>
      <c r="L831" s="228"/>
      <c r="M831" s="228"/>
      <c r="N831" s="138" t="s">
        <v>398</v>
      </c>
      <c r="O831" s="138" t="s">
        <v>189</v>
      </c>
      <c r="P831" s="138" t="s">
        <v>898</v>
      </c>
      <c r="Q831" s="219" t="s">
        <v>399</v>
      </c>
      <c r="R831" s="229">
        <v>3855.0</v>
      </c>
      <c r="S831" s="230">
        <f>FRESADO!$R831*FRESADO!$E831</f>
        <v>3855</v>
      </c>
      <c r="T831" s="230">
        <f>FRESADO!$S831*16%</f>
        <v>616.8</v>
      </c>
      <c r="U831" s="230">
        <f>FRESADO!$S831+FRESADO!$T831</f>
        <v>4471.8</v>
      </c>
      <c r="V831" s="129" t="s">
        <v>899</v>
      </c>
      <c r="Y831" s="148"/>
      <c r="Z831" s="219" t="s">
        <v>399</v>
      </c>
    </row>
    <row r="832" ht="15.75" customHeight="1">
      <c r="A832" s="138">
        <v>31.0</v>
      </c>
      <c r="B832" s="138">
        <v>81.0</v>
      </c>
      <c r="C832" s="142">
        <v>160.0</v>
      </c>
      <c r="D832" s="248">
        <v>46235.0</v>
      </c>
      <c r="E832" s="138">
        <v>1.0</v>
      </c>
      <c r="F832" s="138" t="s">
        <v>74</v>
      </c>
      <c r="G832" s="138" t="s">
        <v>192</v>
      </c>
      <c r="H832" s="138">
        <v>14.0</v>
      </c>
      <c r="I832" s="138" t="s">
        <v>34</v>
      </c>
      <c r="J832" s="138" t="s">
        <v>41</v>
      </c>
      <c r="K832" s="227" t="s">
        <v>36</v>
      </c>
      <c r="L832" s="228"/>
      <c r="M832" s="228"/>
      <c r="N832" s="138" t="s">
        <v>340</v>
      </c>
      <c r="O832" s="138" t="s">
        <v>189</v>
      </c>
      <c r="P832" s="138" t="s">
        <v>898</v>
      </c>
      <c r="Q832" s="251"/>
      <c r="R832" s="229">
        <v>2500.0</v>
      </c>
      <c r="S832" s="230">
        <f>FRESADO!$R832*FRESADO!$E832</f>
        <v>2500</v>
      </c>
      <c r="T832" s="230">
        <f>FRESADO!$S832*16%</f>
        <v>400</v>
      </c>
      <c r="U832" s="230">
        <f>FRESADO!$S832+FRESADO!$T832</f>
        <v>2900</v>
      </c>
      <c r="V832" s="129" t="s">
        <v>899</v>
      </c>
      <c r="Y832" s="148"/>
      <c r="Z832" s="31" t="s">
        <v>77</v>
      </c>
    </row>
    <row r="833" ht="15.75" customHeight="1">
      <c r="A833" s="138">
        <v>31.0</v>
      </c>
      <c r="B833" s="138">
        <v>82.0</v>
      </c>
      <c r="C833" s="142">
        <v>161.0</v>
      </c>
      <c r="D833" s="248">
        <v>46235.0</v>
      </c>
      <c r="E833" s="138">
        <v>1.0</v>
      </c>
      <c r="F833" s="138" t="s">
        <v>74</v>
      </c>
      <c r="G833" s="138" t="s">
        <v>347</v>
      </c>
      <c r="H833" s="138">
        <v>14.0</v>
      </c>
      <c r="I833" s="138" t="s">
        <v>34</v>
      </c>
      <c r="J833" s="138" t="s">
        <v>70</v>
      </c>
      <c r="K833" s="227" t="s">
        <v>36</v>
      </c>
      <c r="L833" s="228"/>
      <c r="M833" s="228"/>
      <c r="N833" s="138" t="s">
        <v>340</v>
      </c>
      <c r="O833" s="138" t="s">
        <v>189</v>
      </c>
      <c r="P833" s="138" t="s">
        <v>898</v>
      </c>
      <c r="Q833" s="231"/>
      <c r="R833" s="229">
        <v>2500.0</v>
      </c>
      <c r="S833" s="230">
        <f>FRESADO!$R833*FRESADO!$E833</f>
        <v>2500</v>
      </c>
      <c r="T833" s="230">
        <f>FRESADO!$S833*16%</f>
        <v>400</v>
      </c>
      <c r="U833" s="230">
        <f>FRESADO!$S833+FRESADO!$T833</f>
        <v>2900</v>
      </c>
      <c r="V833" s="129" t="s">
        <v>899</v>
      </c>
      <c r="Y833" s="148"/>
      <c r="Z833" s="31" t="s">
        <v>77</v>
      </c>
    </row>
    <row r="834" ht="15.75" customHeight="1">
      <c r="A834" s="138">
        <v>31.0</v>
      </c>
      <c r="B834" s="138">
        <v>83.0</v>
      </c>
      <c r="C834" s="142">
        <v>162.0</v>
      </c>
      <c r="D834" s="248">
        <v>46235.0</v>
      </c>
      <c r="E834" s="138">
        <v>1.0</v>
      </c>
      <c r="F834" s="138" t="s">
        <v>74</v>
      </c>
      <c r="G834" s="138" t="s">
        <v>900</v>
      </c>
      <c r="H834" s="138">
        <v>14.0</v>
      </c>
      <c r="I834" s="138" t="s">
        <v>34</v>
      </c>
      <c r="J834" s="138" t="s">
        <v>94</v>
      </c>
      <c r="K834" s="227" t="s">
        <v>36</v>
      </c>
      <c r="L834" s="228"/>
      <c r="M834" s="228"/>
      <c r="N834" s="138" t="s">
        <v>340</v>
      </c>
      <c r="O834" s="138" t="s">
        <v>189</v>
      </c>
      <c r="P834" s="138" t="s">
        <v>898</v>
      </c>
      <c r="Q834" s="231"/>
      <c r="R834" s="229">
        <v>2500.0</v>
      </c>
      <c r="S834" s="230">
        <f>FRESADO!$R834*FRESADO!$E834</f>
        <v>2500</v>
      </c>
      <c r="T834" s="230">
        <f>FRESADO!$S834*16%</f>
        <v>400</v>
      </c>
      <c r="U834" s="230">
        <f>FRESADO!$S834+FRESADO!$T834</f>
        <v>2900</v>
      </c>
      <c r="V834" s="129" t="s">
        <v>899</v>
      </c>
      <c r="Y834" s="148"/>
      <c r="Z834" s="31" t="s">
        <v>77</v>
      </c>
    </row>
    <row r="835" ht="15.75" customHeight="1">
      <c r="A835" s="138">
        <v>31.0</v>
      </c>
      <c r="B835" s="138">
        <v>84.0</v>
      </c>
      <c r="C835" s="142">
        <v>163.0</v>
      </c>
      <c r="D835" s="248">
        <v>46235.0</v>
      </c>
      <c r="E835" s="138">
        <v>1.0</v>
      </c>
      <c r="F835" s="138" t="s">
        <v>74</v>
      </c>
      <c r="G835" s="138" t="s">
        <v>192</v>
      </c>
      <c r="H835" s="138">
        <v>14.0</v>
      </c>
      <c r="I835" s="138" t="s">
        <v>34</v>
      </c>
      <c r="J835" s="138" t="s">
        <v>41</v>
      </c>
      <c r="K835" s="227" t="s">
        <v>36</v>
      </c>
      <c r="L835" s="228"/>
      <c r="M835" s="228"/>
      <c r="N835" s="138" t="s">
        <v>340</v>
      </c>
      <c r="O835" s="138" t="s">
        <v>189</v>
      </c>
      <c r="P835" s="138" t="s">
        <v>898</v>
      </c>
      <c r="Q835" s="253"/>
      <c r="R835" s="229">
        <v>2500.0</v>
      </c>
      <c r="S835" s="230">
        <f>FRESADO!$R835*FRESADO!$E835</f>
        <v>2500</v>
      </c>
      <c r="T835" s="230">
        <f>FRESADO!$S835*16%</f>
        <v>400</v>
      </c>
      <c r="U835" s="230">
        <f>FRESADO!$S835+FRESADO!$T835</f>
        <v>2900</v>
      </c>
      <c r="V835" s="129" t="s">
        <v>899</v>
      </c>
      <c r="Y835" s="148"/>
      <c r="Z835" s="31" t="s">
        <v>77</v>
      </c>
    </row>
    <row r="836" ht="15.75" customHeight="1">
      <c r="A836" s="138">
        <v>31.0</v>
      </c>
      <c r="B836" s="138">
        <v>85.0</v>
      </c>
      <c r="C836" s="142">
        <v>164.0</v>
      </c>
      <c r="D836" s="248">
        <v>46235.0</v>
      </c>
      <c r="E836" s="138">
        <v>1.0</v>
      </c>
      <c r="F836" s="138" t="s">
        <v>74</v>
      </c>
      <c r="G836" s="138" t="s">
        <v>690</v>
      </c>
      <c r="H836" s="138">
        <v>14.0</v>
      </c>
      <c r="I836" s="138" t="s">
        <v>34</v>
      </c>
      <c r="J836" s="138" t="s">
        <v>691</v>
      </c>
      <c r="K836" s="227" t="s">
        <v>36</v>
      </c>
      <c r="L836" s="228"/>
      <c r="M836" s="228"/>
      <c r="N836" s="138" t="s">
        <v>340</v>
      </c>
      <c r="O836" s="138" t="s">
        <v>189</v>
      </c>
      <c r="P836" s="138" t="s">
        <v>898</v>
      </c>
      <c r="Q836" s="231"/>
      <c r="R836" s="229">
        <v>2500.0</v>
      </c>
      <c r="S836" s="230">
        <f>FRESADO!$R836*FRESADO!$E836</f>
        <v>2500</v>
      </c>
      <c r="T836" s="230">
        <f>FRESADO!$S836*16%</f>
        <v>400</v>
      </c>
      <c r="U836" s="230">
        <f>FRESADO!$S836+FRESADO!$T836</f>
        <v>2900</v>
      </c>
      <c r="V836" s="129" t="s">
        <v>899</v>
      </c>
      <c r="Y836" s="148"/>
      <c r="Z836" s="31" t="s">
        <v>77</v>
      </c>
    </row>
    <row r="837" ht="15.75" customHeight="1">
      <c r="A837" s="138">
        <v>31.0</v>
      </c>
      <c r="B837" s="138">
        <v>86.0</v>
      </c>
      <c r="C837" s="142">
        <v>165.0</v>
      </c>
      <c r="D837" s="248">
        <v>46235.0</v>
      </c>
      <c r="E837" s="138">
        <v>1.0</v>
      </c>
      <c r="F837" s="138" t="s">
        <v>74</v>
      </c>
      <c r="G837" s="138" t="s">
        <v>900</v>
      </c>
      <c r="H837" s="138">
        <v>14.0</v>
      </c>
      <c r="I837" s="138" t="s">
        <v>34</v>
      </c>
      <c r="J837" s="138" t="s">
        <v>94</v>
      </c>
      <c r="K837" s="227" t="s">
        <v>36</v>
      </c>
      <c r="L837" s="228"/>
      <c r="M837" s="228"/>
      <c r="N837" s="138" t="s">
        <v>340</v>
      </c>
      <c r="O837" s="138" t="s">
        <v>189</v>
      </c>
      <c r="P837" s="138" t="s">
        <v>898</v>
      </c>
      <c r="Q837" s="231"/>
      <c r="R837" s="229">
        <v>2500.0</v>
      </c>
      <c r="S837" s="230">
        <f>FRESADO!$R837*FRESADO!$E837</f>
        <v>2500</v>
      </c>
      <c r="T837" s="230">
        <f>FRESADO!$S837*16%</f>
        <v>400</v>
      </c>
      <c r="U837" s="230">
        <f>FRESADO!$S837+FRESADO!$T837</f>
        <v>2900</v>
      </c>
      <c r="V837" s="129" t="s">
        <v>899</v>
      </c>
      <c r="Y837" s="148"/>
      <c r="Z837" s="31" t="s">
        <v>77</v>
      </c>
    </row>
    <row r="838" ht="15.75" customHeight="1">
      <c r="A838" s="138">
        <v>31.0</v>
      </c>
      <c r="B838" s="138">
        <v>87.0</v>
      </c>
      <c r="C838" s="142">
        <v>166.0</v>
      </c>
      <c r="D838" s="248">
        <v>46235.0</v>
      </c>
      <c r="E838" s="138">
        <v>1.0</v>
      </c>
      <c r="F838" s="138" t="s">
        <v>74</v>
      </c>
      <c r="G838" s="138" t="s">
        <v>692</v>
      </c>
      <c r="H838" s="138">
        <v>14.0</v>
      </c>
      <c r="I838" s="138" t="s">
        <v>34</v>
      </c>
      <c r="J838" s="138" t="s">
        <v>693</v>
      </c>
      <c r="K838" s="227" t="s">
        <v>36</v>
      </c>
      <c r="L838" s="228"/>
      <c r="M838" s="228"/>
      <c r="N838" s="138" t="s">
        <v>340</v>
      </c>
      <c r="O838" s="138" t="s">
        <v>189</v>
      </c>
      <c r="P838" s="138" t="s">
        <v>898</v>
      </c>
      <c r="Q838" s="253"/>
      <c r="R838" s="229">
        <v>2500.0</v>
      </c>
      <c r="S838" s="230">
        <f>FRESADO!$R838*FRESADO!$E838</f>
        <v>2500</v>
      </c>
      <c r="T838" s="230">
        <f>FRESADO!$S838*16%</f>
        <v>400</v>
      </c>
      <c r="U838" s="230">
        <f>FRESADO!$S838+FRESADO!$T838</f>
        <v>2900</v>
      </c>
      <c r="V838" s="129" t="s">
        <v>899</v>
      </c>
      <c r="Y838" s="148"/>
      <c r="Z838" s="31" t="s">
        <v>77</v>
      </c>
    </row>
    <row r="839" ht="15.75" customHeight="1">
      <c r="A839" s="138">
        <v>31.0</v>
      </c>
      <c r="B839" s="138">
        <v>88.0</v>
      </c>
      <c r="C839" s="142">
        <v>167.0</v>
      </c>
      <c r="D839" s="248">
        <v>46235.0</v>
      </c>
      <c r="E839" s="138">
        <v>1.0</v>
      </c>
      <c r="F839" s="138" t="s">
        <v>74</v>
      </c>
      <c r="G839" s="138" t="s">
        <v>347</v>
      </c>
      <c r="H839" s="138">
        <v>14.0</v>
      </c>
      <c r="I839" s="138" t="s">
        <v>34</v>
      </c>
      <c r="J839" s="138" t="s">
        <v>70</v>
      </c>
      <c r="K839" s="227" t="s">
        <v>36</v>
      </c>
      <c r="L839" s="228"/>
      <c r="M839" s="228"/>
      <c r="N839" s="138" t="s">
        <v>340</v>
      </c>
      <c r="O839" s="138" t="s">
        <v>189</v>
      </c>
      <c r="P839" s="138" t="s">
        <v>898</v>
      </c>
      <c r="Q839" s="231"/>
      <c r="R839" s="229">
        <v>2500.0</v>
      </c>
      <c r="S839" s="230">
        <f>FRESADO!$R839*FRESADO!$E839</f>
        <v>2500</v>
      </c>
      <c r="T839" s="230">
        <f>FRESADO!$S839*16%</f>
        <v>400</v>
      </c>
      <c r="U839" s="230">
        <f>FRESADO!$S839+FRESADO!$T839</f>
        <v>2900</v>
      </c>
      <c r="V839" s="129" t="s">
        <v>899</v>
      </c>
      <c r="Y839" s="148"/>
      <c r="Z839" s="31" t="s">
        <v>77</v>
      </c>
    </row>
    <row r="840" ht="15.75" customHeight="1">
      <c r="A840" s="138">
        <v>31.0</v>
      </c>
      <c r="B840" s="138">
        <v>89.0</v>
      </c>
      <c r="C840" s="142">
        <v>168.0</v>
      </c>
      <c r="D840" s="248">
        <v>46235.0</v>
      </c>
      <c r="E840" s="138">
        <v>1.0</v>
      </c>
      <c r="F840" s="138" t="s">
        <v>74</v>
      </c>
      <c r="G840" s="138" t="s">
        <v>692</v>
      </c>
      <c r="H840" s="138">
        <v>14.0</v>
      </c>
      <c r="I840" s="138" t="s">
        <v>34</v>
      </c>
      <c r="J840" s="138" t="s">
        <v>693</v>
      </c>
      <c r="K840" s="227" t="s">
        <v>36</v>
      </c>
      <c r="L840" s="228"/>
      <c r="M840" s="228"/>
      <c r="N840" s="138" t="s">
        <v>340</v>
      </c>
      <c r="O840" s="138" t="s">
        <v>189</v>
      </c>
      <c r="P840" s="138" t="s">
        <v>898</v>
      </c>
      <c r="Q840" s="231"/>
      <c r="R840" s="229">
        <v>2500.0</v>
      </c>
      <c r="S840" s="230">
        <f>FRESADO!$R840*FRESADO!$E840</f>
        <v>2500</v>
      </c>
      <c r="T840" s="230">
        <f>FRESADO!$S840*16%</f>
        <v>400</v>
      </c>
      <c r="U840" s="230">
        <f>FRESADO!$S840+FRESADO!$T840</f>
        <v>2900</v>
      </c>
      <c r="V840" s="129" t="s">
        <v>899</v>
      </c>
      <c r="Y840" s="148"/>
      <c r="Z840" s="31" t="s">
        <v>77</v>
      </c>
    </row>
    <row r="841" ht="15.75" customHeight="1">
      <c r="A841" s="138">
        <v>31.0</v>
      </c>
      <c r="B841" s="138">
        <v>90.0</v>
      </c>
      <c r="C841" s="142">
        <v>169.0</v>
      </c>
      <c r="D841" s="248">
        <v>46235.0</v>
      </c>
      <c r="E841" s="138">
        <v>1.0</v>
      </c>
      <c r="F841" s="138" t="s">
        <v>74</v>
      </c>
      <c r="G841" s="138" t="s">
        <v>347</v>
      </c>
      <c r="H841" s="138">
        <v>14.0</v>
      </c>
      <c r="I841" s="138" t="s">
        <v>34</v>
      </c>
      <c r="J841" s="138" t="s">
        <v>70</v>
      </c>
      <c r="K841" s="227" t="s">
        <v>36</v>
      </c>
      <c r="L841" s="228"/>
      <c r="M841" s="228"/>
      <c r="N841" s="138" t="s">
        <v>340</v>
      </c>
      <c r="O841" s="138" t="s">
        <v>189</v>
      </c>
      <c r="P841" s="138" t="s">
        <v>898</v>
      </c>
      <c r="Q841" s="251"/>
      <c r="R841" s="229">
        <v>2500.0</v>
      </c>
      <c r="S841" s="230">
        <f>FRESADO!$R841*FRESADO!$E841</f>
        <v>2500</v>
      </c>
      <c r="T841" s="230">
        <f>FRESADO!$S841*16%</f>
        <v>400</v>
      </c>
      <c r="U841" s="230">
        <f>FRESADO!$S841+FRESADO!$T841</f>
        <v>2900</v>
      </c>
      <c r="V841" s="129" t="s">
        <v>899</v>
      </c>
      <c r="Y841" s="148"/>
      <c r="Z841" s="31" t="s">
        <v>77</v>
      </c>
    </row>
    <row r="842" ht="15.75" customHeight="1">
      <c r="A842" s="138">
        <v>31.0</v>
      </c>
      <c r="B842" s="138">
        <v>91.0</v>
      </c>
      <c r="C842" s="142">
        <v>170.0</v>
      </c>
      <c r="D842" s="248">
        <v>46235.0</v>
      </c>
      <c r="E842" s="138">
        <v>1.0</v>
      </c>
      <c r="F842" s="138" t="s">
        <v>74</v>
      </c>
      <c r="G842" s="138" t="s">
        <v>192</v>
      </c>
      <c r="H842" s="138">
        <v>14.0</v>
      </c>
      <c r="I842" s="138" t="s">
        <v>34</v>
      </c>
      <c r="J842" s="138" t="s">
        <v>41</v>
      </c>
      <c r="K842" s="227" t="s">
        <v>36</v>
      </c>
      <c r="L842" s="228"/>
      <c r="M842" s="228"/>
      <c r="N842" s="138" t="s">
        <v>340</v>
      </c>
      <c r="O842" s="138" t="s">
        <v>189</v>
      </c>
      <c r="P842" s="138" t="s">
        <v>898</v>
      </c>
      <c r="Q842" s="231"/>
      <c r="R842" s="229">
        <v>2500.0</v>
      </c>
      <c r="S842" s="230">
        <f>FRESADO!$R842*FRESADO!$E842</f>
        <v>2500</v>
      </c>
      <c r="T842" s="230">
        <f>FRESADO!$S842*16%</f>
        <v>400</v>
      </c>
      <c r="U842" s="230">
        <f>FRESADO!$S842+FRESADO!$T842</f>
        <v>2900</v>
      </c>
      <c r="V842" s="129" t="s">
        <v>899</v>
      </c>
      <c r="Y842" s="148"/>
      <c r="Z842" s="31" t="s">
        <v>77</v>
      </c>
    </row>
    <row r="843" ht="15.75" customHeight="1">
      <c r="A843" s="138">
        <v>31.0</v>
      </c>
      <c r="B843" s="138">
        <v>92.0</v>
      </c>
      <c r="C843" s="142">
        <v>171.0</v>
      </c>
      <c r="D843" s="248">
        <v>46235.0</v>
      </c>
      <c r="E843" s="138">
        <v>1.0</v>
      </c>
      <c r="F843" s="138" t="s">
        <v>74</v>
      </c>
      <c r="G843" s="138" t="s">
        <v>690</v>
      </c>
      <c r="H843" s="138">
        <v>14.0</v>
      </c>
      <c r="I843" s="138" t="s">
        <v>34</v>
      </c>
      <c r="J843" s="138" t="s">
        <v>691</v>
      </c>
      <c r="K843" s="227" t="s">
        <v>36</v>
      </c>
      <c r="L843" s="228"/>
      <c r="M843" s="228"/>
      <c r="N843" s="138" t="s">
        <v>340</v>
      </c>
      <c r="O843" s="138" t="s">
        <v>189</v>
      </c>
      <c r="P843" s="138" t="s">
        <v>898</v>
      </c>
      <c r="Q843" s="231"/>
      <c r="R843" s="229">
        <v>2500.0</v>
      </c>
      <c r="S843" s="230">
        <f>FRESADO!$R843*FRESADO!$E843</f>
        <v>2500</v>
      </c>
      <c r="T843" s="230">
        <f>FRESADO!$S843*16%</f>
        <v>400</v>
      </c>
      <c r="U843" s="230">
        <f>FRESADO!$S843+FRESADO!$T843</f>
        <v>2900</v>
      </c>
      <c r="V843" s="129" t="s">
        <v>899</v>
      </c>
      <c r="Y843" s="148"/>
      <c r="Z843" s="31" t="s">
        <v>77</v>
      </c>
    </row>
    <row r="844" ht="15.75" customHeight="1">
      <c r="A844" s="138">
        <v>31.0</v>
      </c>
      <c r="B844" s="138">
        <v>93.0</v>
      </c>
      <c r="C844" s="142">
        <v>172.0</v>
      </c>
      <c r="D844" s="248">
        <v>46235.0</v>
      </c>
      <c r="E844" s="138">
        <v>1.0</v>
      </c>
      <c r="F844" s="138" t="s">
        <v>74</v>
      </c>
      <c r="G844" s="138" t="s">
        <v>900</v>
      </c>
      <c r="H844" s="138">
        <v>14.0</v>
      </c>
      <c r="I844" s="138" t="s">
        <v>34</v>
      </c>
      <c r="J844" s="138" t="s">
        <v>94</v>
      </c>
      <c r="K844" s="227" t="s">
        <v>36</v>
      </c>
      <c r="L844" s="228"/>
      <c r="M844" s="228"/>
      <c r="N844" s="138" t="s">
        <v>340</v>
      </c>
      <c r="O844" s="138" t="s">
        <v>189</v>
      </c>
      <c r="P844" s="138" t="s">
        <v>898</v>
      </c>
      <c r="Q844" s="251"/>
      <c r="R844" s="229">
        <v>2500.0</v>
      </c>
      <c r="S844" s="230">
        <f>FRESADO!$R844*FRESADO!$E844</f>
        <v>2500</v>
      </c>
      <c r="T844" s="230">
        <f>FRESADO!$S844*16%</f>
        <v>400</v>
      </c>
      <c r="U844" s="230">
        <f>FRESADO!$S844+FRESADO!$T844</f>
        <v>2900</v>
      </c>
      <c r="V844" s="129" t="s">
        <v>899</v>
      </c>
      <c r="Y844" s="148"/>
      <c r="Z844" s="31" t="s">
        <v>77</v>
      </c>
    </row>
    <row r="845" ht="15.75" customHeight="1">
      <c r="A845" s="138">
        <v>31.0</v>
      </c>
      <c r="B845" s="138">
        <v>94.0</v>
      </c>
      <c r="C845" s="142">
        <v>173.0</v>
      </c>
      <c r="D845" s="248">
        <v>46235.0</v>
      </c>
      <c r="E845" s="138">
        <v>1.0</v>
      </c>
      <c r="F845" s="138" t="s">
        <v>74</v>
      </c>
      <c r="G845" s="138" t="s">
        <v>900</v>
      </c>
      <c r="H845" s="138">
        <v>14.0</v>
      </c>
      <c r="I845" s="138" t="s">
        <v>34</v>
      </c>
      <c r="J845" s="138" t="s">
        <v>94</v>
      </c>
      <c r="K845" s="227" t="s">
        <v>36</v>
      </c>
      <c r="L845" s="228"/>
      <c r="M845" s="228"/>
      <c r="N845" s="138" t="s">
        <v>340</v>
      </c>
      <c r="O845" s="138" t="s">
        <v>189</v>
      </c>
      <c r="P845" s="138" t="s">
        <v>898</v>
      </c>
      <c r="Q845" s="231"/>
      <c r="R845" s="229">
        <v>2500.0</v>
      </c>
      <c r="S845" s="230">
        <f>FRESADO!$R845*FRESADO!$E845</f>
        <v>2500</v>
      </c>
      <c r="T845" s="230">
        <f>FRESADO!$S845*16%</f>
        <v>400</v>
      </c>
      <c r="U845" s="230">
        <f>FRESADO!$S845+FRESADO!$T845</f>
        <v>2900</v>
      </c>
      <c r="V845" s="129" t="s">
        <v>899</v>
      </c>
      <c r="Y845" s="148"/>
      <c r="Z845" s="31" t="s">
        <v>77</v>
      </c>
    </row>
    <row r="846" ht="15.75" customHeight="1">
      <c r="A846" s="138">
        <v>31.0</v>
      </c>
      <c r="B846" s="138">
        <v>95.0</v>
      </c>
      <c r="C846" s="142">
        <v>174.0</v>
      </c>
      <c r="D846" s="248">
        <v>46235.0</v>
      </c>
      <c r="E846" s="138">
        <v>1.0</v>
      </c>
      <c r="F846" s="138" t="s">
        <v>74</v>
      </c>
      <c r="G846" s="138" t="s">
        <v>690</v>
      </c>
      <c r="H846" s="138">
        <v>14.0</v>
      </c>
      <c r="I846" s="138" t="s">
        <v>34</v>
      </c>
      <c r="J846" s="138" t="s">
        <v>691</v>
      </c>
      <c r="K846" s="227" t="s">
        <v>36</v>
      </c>
      <c r="L846" s="228"/>
      <c r="M846" s="228"/>
      <c r="N846" s="138" t="s">
        <v>340</v>
      </c>
      <c r="O846" s="138" t="s">
        <v>189</v>
      </c>
      <c r="P846" s="138" t="s">
        <v>898</v>
      </c>
      <c r="Q846" s="231"/>
      <c r="R846" s="229">
        <v>2500.0</v>
      </c>
      <c r="S846" s="230">
        <f>FRESADO!$R846*FRESADO!$E846</f>
        <v>2500</v>
      </c>
      <c r="T846" s="230">
        <f>FRESADO!$S846*16%</f>
        <v>400</v>
      </c>
      <c r="U846" s="230">
        <f>FRESADO!$S846+FRESADO!$T846</f>
        <v>2900</v>
      </c>
      <c r="V846" s="129" t="s">
        <v>899</v>
      </c>
      <c r="Y846" s="148"/>
      <c r="Z846" s="31" t="s">
        <v>77</v>
      </c>
    </row>
    <row r="847" ht="15.75" customHeight="1">
      <c r="A847" s="138">
        <v>31.0</v>
      </c>
      <c r="B847" s="138">
        <v>96.0</v>
      </c>
      <c r="C847" s="142">
        <v>175.0</v>
      </c>
      <c r="D847" s="248">
        <v>46235.0</v>
      </c>
      <c r="E847" s="138">
        <v>1.0</v>
      </c>
      <c r="F847" s="138" t="s">
        <v>74</v>
      </c>
      <c r="G847" s="138" t="s">
        <v>900</v>
      </c>
      <c r="H847" s="138">
        <v>14.0</v>
      </c>
      <c r="I847" s="138" t="s">
        <v>34</v>
      </c>
      <c r="J847" s="138" t="s">
        <v>94</v>
      </c>
      <c r="K847" s="227" t="s">
        <v>36</v>
      </c>
      <c r="L847" s="228"/>
      <c r="M847" s="228"/>
      <c r="N847" s="138" t="s">
        <v>340</v>
      </c>
      <c r="O847" s="138" t="s">
        <v>189</v>
      </c>
      <c r="P847" s="138" t="s">
        <v>898</v>
      </c>
      <c r="Q847" s="231"/>
      <c r="R847" s="229">
        <v>2500.0</v>
      </c>
      <c r="S847" s="230">
        <f>FRESADO!$R847*FRESADO!$E847</f>
        <v>2500</v>
      </c>
      <c r="T847" s="230">
        <f>FRESADO!$S847*16%</f>
        <v>400</v>
      </c>
      <c r="U847" s="230">
        <f>FRESADO!$S847+FRESADO!$T847</f>
        <v>2900</v>
      </c>
      <c r="V847" s="129" t="s">
        <v>899</v>
      </c>
      <c r="Y847" s="148"/>
      <c r="Z847" s="31" t="s">
        <v>77</v>
      </c>
    </row>
    <row r="848" ht="15.75" customHeight="1">
      <c r="A848" s="138">
        <v>31.0</v>
      </c>
      <c r="B848" s="138">
        <v>97.0</v>
      </c>
      <c r="C848" s="236">
        <v>176.0</v>
      </c>
      <c r="D848" s="248">
        <v>46235.0</v>
      </c>
      <c r="E848" s="138">
        <v>1.0</v>
      </c>
      <c r="F848" s="138" t="s">
        <v>388</v>
      </c>
      <c r="G848" s="138" t="s">
        <v>583</v>
      </c>
      <c r="H848" s="138">
        <v>7.0</v>
      </c>
      <c r="I848" s="138" t="s">
        <v>34</v>
      </c>
      <c r="J848" s="138" t="s">
        <v>584</v>
      </c>
      <c r="K848" s="129" t="s">
        <v>50</v>
      </c>
      <c r="L848" s="228"/>
      <c r="M848" s="228"/>
      <c r="N848" s="138" t="s">
        <v>340</v>
      </c>
      <c r="O848" s="138" t="s">
        <v>189</v>
      </c>
      <c r="P848" s="138" t="s">
        <v>898</v>
      </c>
      <c r="Q848" s="237" t="s">
        <v>390</v>
      </c>
      <c r="R848" s="229">
        <v>4500.0</v>
      </c>
      <c r="S848" s="230">
        <f>FRESADO!$R848*FRESADO!$E848</f>
        <v>4500</v>
      </c>
      <c r="T848" s="230">
        <f>FRESADO!$S848*16%</f>
        <v>720</v>
      </c>
      <c r="U848" s="230">
        <f>FRESADO!$S848+FRESADO!$T848</f>
        <v>5220</v>
      </c>
      <c r="V848" s="129" t="s">
        <v>697</v>
      </c>
      <c r="Y848" s="148"/>
    </row>
    <row r="849" ht="15.75" customHeight="1">
      <c r="A849" s="108">
        <v>32.0</v>
      </c>
      <c r="B849" s="108">
        <v>1.0</v>
      </c>
      <c r="C849" s="31">
        <v>121.0</v>
      </c>
      <c r="D849" s="118">
        <v>46237.0</v>
      </c>
      <c r="E849" s="31">
        <v>1.0</v>
      </c>
      <c r="F849" s="31" t="s">
        <v>74</v>
      </c>
      <c r="G849" s="31" t="s">
        <v>192</v>
      </c>
      <c r="H849" s="31">
        <v>14.0</v>
      </c>
      <c r="I849" s="31" t="s">
        <v>34</v>
      </c>
      <c r="J849" s="31" t="s">
        <v>41</v>
      </c>
      <c r="K849" s="31" t="s">
        <v>36</v>
      </c>
      <c r="L849" s="18"/>
      <c r="M849" s="18"/>
      <c r="N849" s="31" t="s">
        <v>398</v>
      </c>
      <c r="O849" s="31" t="s">
        <v>189</v>
      </c>
      <c r="P849" s="31" t="s">
        <v>898</v>
      </c>
      <c r="Q849" s="31" t="s">
        <v>399</v>
      </c>
      <c r="R849" s="229">
        <v>3855.0</v>
      </c>
      <c r="S849" s="230">
        <f>FRESADO!$R849*FRESADO!$E849</f>
        <v>3855</v>
      </c>
      <c r="T849" s="230">
        <f>FRESADO!$S849*16%</f>
        <v>616.8</v>
      </c>
      <c r="U849" s="230">
        <f>FRESADO!$S849+FRESADO!$T849</f>
        <v>4471.8</v>
      </c>
      <c r="V849" s="31" t="s">
        <v>916</v>
      </c>
      <c r="W849" s="18"/>
      <c r="X849" s="18"/>
      <c r="Y849" s="254"/>
      <c r="Z849" s="18"/>
    </row>
    <row r="850" ht="15.75" customHeight="1">
      <c r="A850" s="108">
        <v>32.0</v>
      </c>
      <c r="B850" s="108">
        <v>2.0</v>
      </c>
      <c r="C850" s="31">
        <v>122.0</v>
      </c>
      <c r="D850" s="118">
        <v>46237.0</v>
      </c>
      <c r="E850" s="31">
        <v>1.0</v>
      </c>
      <c r="F850" s="31" t="s">
        <v>74</v>
      </c>
      <c r="G850" s="31" t="s">
        <v>690</v>
      </c>
      <c r="H850" s="31">
        <v>14.0</v>
      </c>
      <c r="I850" s="31" t="s">
        <v>34</v>
      </c>
      <c r="J850" s="31" t="s">
        <v>691</v>
      </c>
      <c r="K850" s="31" t="s">
        <v>36</v>
      </c>
      <c r="L850" s="18"/>
      <c r="M850" s="18"/>
      <c r="N850" s="31" t="s">
        <v>398</v>
      </c>
      <c r="O850" s="31" t="s">
        <v>189</v>
      </c>
      <c r="P850" s="31" t="s">
        <v>898</v>
      </c>
      <c r="Q850" s="31" t="s">
        <v>399</v>
      </c>
      <c r="R850" s="229">
        <v>3855.0</v>
      </c>
      <c r="S850" s="230">
        <f>FRESADO!$R850*FRESADO!$E850</f>
        <v>3855</v>
      </c>
      <c r="T850" s="230">
        <f>FRESADO!$S850*16%</f>
        <v>616.8</v>
      </c>
      <c r="U850" s="230">
        <f>FRESADO!$S850+FRESADO!$T850</f>
        <v>4471.8</v>
      </c>
      <c r="V850" s="31" t="s">
        <v>916</v>
      </c>
      <c r="W850" s="18"/>
      <c r="X850" s="18"/>
      <c r="Y850" s="254"/>
      <c r="Z850" s="18"/>
    </row>
    <row r="851" ht="15.75" customHeight="1">
      <c r="A851" s="108">
        <v>32.0</v>
      </c>
      <c r="B851" s="108">
        <v>3.0</v>
      </c>
      <c r="C851" s="31">
        <v>123.0</v>
      </c>
      <c r="D851" s="118">
        <v>46237.0</v>
      </c>
      <c r="E851" s="31">
        <v>1.0</v>
      </c>
      <c r="F851" s="31" t="s">
        <v>74</v>
      </c>
      <c r="G851" s="31" t="s">
        <v>917</v>
      </c>
      <c r="H851" s="31">
        <v>14.0</v>
      </c>
      <c r="I851" s="31" t="s">
        <v>34</v>
      </c>
      <c r="J851" s="31" t="s">
        <v>918</v>
      </c>
      <c r="K851" s="31" t="s">
        <v>36</v>
      </c>
      <c r="L851" s="18"/>
      <c r="M851" s="18"/>
      <c r="N851" s="31" t="s">
        <v>398</v>
      </c>
      <c r="O851" s="31" t="s">
        <v>189</v>
      </c>
      <c r="P851" s="31" t="s">
        <v>898</v>
      </c>
      <c r="Q851" s="31" t="s">
        <v>399</v>
      </c>
      <c r="R851" s="229">
        <v>3855.0</v>
      </c>
      <c r="S851" s="230">
        <f>FRESADO!$R851*FRESADO!$E851</f>
        <v>3855</v>
      </c>
      <c r="T851" s="230">
        <f>FRESADO!$S851*16%</f>
        <v>616.8</v>
      </c>
      <c r="U851" s="230">
        <f>FRESADO!$S851+FRESADO!$T851</f>
        <v>4471.8</v>
      </c>
      <c r="V851" s="31" t="s">
        <v>916</v>
      </c>
      <c r="W851" s="18"/>
      <c r="X851" s="18"/>
      <c r="Y851" s="254"/>
      <c r="Z851" s="18"/>
    </row>
    <row r="852" ht="15.75" customHeight="1">
      <c r="A852" s="108">
        <v>32.0</v>
      </c>
      <c r="B852" s="108">
        <v>4.0</v>
      </c>
      <c r="C852" s="31">
        <v>124.0</v>
      </c>
      <c r="D852" s="118">
        <v>46237.0</v>
      </c>
      <c r="E852" s="31">
        <v>1.0</v>
      </c>
      <c r="F852" s="31" t="s">
        <v>74</v>
      </c>
      <c r="G852" s="31" t="s">
        <v>692</v>
      </c>
      <c r="H852" s="31">
        <v>14.0</v>
      </c>
      <c r="I852" s="31" t="s">
        <v>34</v>
      </c>
      <c r="J852" s="31" t="s">
        <v>693</v>
      </c>
      <c r="K852" s="31" t="s">
        <v>36</v>
      </c>
      <c r="L852" s="18"/>
      <c r="M852" s="18"/>
      <c r="N852" s="31" t="s">
        <v>398</v>
      </c>
      <c r="O852" s="31" t="s">
        <v>189</v>
      </c>
      <c r="P852" s="31" t="s">
        <v>898</v>
      </c>
      <c r="Q852" s="31" t="s">
        <v>399</v>
      </c>
      <c r="R852" s="229">
        <v>3855.0</v>
      </c>
      <c r="S852" s="230">
        <f>FRESADO!$R852*FRESADO!$E852</f>
        <v>3855</v>
      </c>
      <c r="T852" s="230">
        <f>FRESADO!$S852*16%</f>
        <v>616.8</v>
      </c>
      <c r="U852" s="230">
        <f>FRESADO!$S852+FRESADO!$T852</f>
        <v>4471.8</v>
      </c>
      <c r="V852" s="31" t="s">
        <v>916</v>
      </c>
      <c r="W852" s="18"/>
      <c r="X852" s="18"/>
      <c r="Y852" s="254"/>
      <c r="Z852" s="18"/>
    </row>
    <row r="853" ht="15.75" customHeight="1">
      <c r="A853" s="108">
        <v>32.0</v>
      </c>
      <c r="B853" s="108">
        <v>5.0</v>
      </c>
      <c r="C853" s="31">
        <v>125.0</v>
      </c>
      <c r="D853" s="118">
        <v>46237.0</v>
      </c>
      <c r="E853" s="31">
        <v>1.0</v>
      </c>
      <c r="F853" s="31" t="s">
        <v>74</v>
      </c>
      <c r="G853" s="31" t="s">
        <v>280</v>
      </c>
      <c r="H853" s="31">
        <v>14.0</v>
      </c>
      <c r="I853" s="31" t="s">
        <v>34</v>
      </c>
      <c r="J853" s="31" t="s">
        <v>272</v>
      </c>
      <c r="K853" s="31" t="s">
        <v>36</v>
      </c>
      <c r="L853" s="18"/>
      <c r="M853" s="18"/>
      <c r="N853" s="31" t="s">
        <v>340</v>
      </c>
      <c r="O853" s="31" t="s">
        <v>189</v>
      </c>
      <c r="P853" s="31" t="s">
        <v>898</v>
      </c>
      <c r="Q853" s="18"/>
      <c r="R853" s="229">
        <v>2500.0</v>
      </c>
      <c r="S853" s="230">
        <f>FRESADO!$R853*FRESADO!$E853</f>
        <v>2500</v>
      </c>
      <c r="T853" s="230">
        <f>FRESADO!$S853*16%</f>
        <v>400</v>
      </c>
      <c r="U853" s="230">
        <f>FRESADO!$S853+FRESADO!$T853</f>
        <v>2900</v>
      </c>
      <c r="V853" s="31" t="s">
        <v>916</v>
      </c>
      <c r="W853" s="18"/>
      <c r="X853" s="18"/>
      <c r="Y853" s="254"/>
      <c r="Z853" s="18"/>
    </row>
    <row r="854" ht="15.75" customHeight="1">
      <c r="A854" s="108">
        <v>32.0</v>
      </c>
      <c r="B854" s="108">
        <v>6.0</v>
      </c>
      <c r="C854" s="31">
        <v>126.0</v>
      </c>
      <c r="D854" s="118">
        <v>46237.0</v>
      </c>
      <c r="E854" s="31">
        <v>1.0</v>
      </c>
      <c r="F854" s="31" t="s">
        <v>74</v>
      </c>
      <c r="G854" s="31" t="s">
        <v>347</v>
      </c>
      <c r="H854" s="31">
        <v>14.0</v>
      </c>
      <c r="I854" s="31" t="s">
        <v>34</v>
      </c>
      <c r="J854" s="31" t="s">
        <v>70</v>
      </c>
      <c r="K854" s="31" t="s">
        <v>36</v>
      </c>
      <c r="L854" s="18"/>
      <c r="M854" s="18"/>
      <c r="N854" s="31" t="s">
        <v>340</v>
      </c>
      <c r="O854" s="31" t="s">
        <v>189</v>
      </c>
      <c r="P854" s="31" t="s">
        <v>898</v>
      </c>
      <c r="Q854" s="18"/>
      <c r="R854" s="229">
        <v>2500.0</v>
      </c>
      <c r="S854" s="230">
        <f>FRESADO!$R854*FRESADO!$E854</f>
        <v>2500</v>
      </c>
      <c r="T854" s="230">
        <f>FRESADO!$S854*16%</f>
        <v>400</v>
      </c>
      <c r="U854" s="230">
        <f>FRESADO!$S854+FRESADO!$T854</f>
        <v>2900</v>
      </c>
      <c r="V854" s="31" t="s">
        <v>916</v>
      </c>
      <c r="W854" s="18"/>
      <c r="X854" s="18"/>
      <c r="Y854" s="254"/>
      <c r="Z854" s="18"/>
    </row>
    <row r="855" ht="15.75" customHeight="1">
      <c r="A855" s="108">
        <v>32.0</v>
      </c>
      <c r="B855" s="108">
        <v>7.0</v>
      </c>
      <c r="C855" s="31">
        <v>127.0</v>
      </c>
      <c r="D855" s="118">
        <v>46237.0</v>
      </c>
      <c r="E855" s="31">
        <v>1.0</v>
      </c>
      <c r="F855" s="31" t="s">
        <v>74</v>
      </c>
      <c r="G855" s="31" t="s">
        <v>238</v>
      </c>
      <c r="H855" s="31">
        <v>14.0</v>
      </c>
      <c r="I855" s="31" t="s">
        <v>34</v>
      </c>
      <c r="J855" s="31" t="s">
        <v>89</v>
      </c>
      <c r="K855" s="31" t="s">
        <v>36</v>
      </c>
      <c r="L855" s="18"/>
      <c r="M855" s="18"/>
      <c r="N855" s="31" t="s">
        <v>340</v>
      </c>
      <c r="O855" s="31" t="s">
        <v>189</v>
      </c>
      <c r="P855" s="31" t="s">
        <v>898</v>
      </c>
      <c r="Q855" s="18"/>
      <c r="R855" s="229">
        <v>2500.0</v>
      </c>
      <c r="S855" s="230">
        <f>FRESADO!$R855*FRESADO!$E855</f>
        <v>2500</v>
      </c>
      <c r="T855" s="230">
        <f>FRESADO!$S855*16%</f>
        <v>400</v>
      </c>
      <c r="U855" s="230">
        <f>FRESADO!$S855+FRESADO!$T855</f>
        <v>2900</v>
      </c>
      <c r="V855" s="31" t="s">
        <v>916</v>
      </c>
      <c r="W855" s="18"/>
      <c r="X855" s="18"/>
      <c r="Y855" s="254"/>
      <c r="Z855" s="18"/>
    </row>
    <row r="856" ht="15.75" customHeight="1">
      <c r="A856" s="108">
        <v>32.0</v>
      </c>
      <c r="B856" s="108">
        <v>8.0</v>
      </c>
      <c r="C856" s="31">
        <v>128.0</v>
      </c>
      <c r="D856" s="118">
        <v>46237.0</v>
      </c>
      <c r="E856" s="31">
        <v>1.0</v>
      </c>
      <c r="F856" s="31" t="s">
        <v>74</v>
      </c>
      <c r="G856" s="31" t="s">
        <v>277</v>
      </c>
      <c r="H856" s="31">
        <v>14.0</v>
      </c>
      <c r="I856" s="31" t="s">
        <v>34</v>
      </c>
      <c r="J856" s="31" t="s">
        <v>278</v>
      </c>
      <c r="K856" s="31" t="s">
        <v>36</v>
      </c>
      <c r="L856" s="18"/>
      <c r="M856" s="18"/>
      <c r="N856" s="31" t="s">
        <v>340</v>
      </c>
      <c r="O856" s="31" t="s">
        <v>189</v>
      </c>
      <c r="P856" s="31" t="s">
        <v>898</v>
      </c>
      <c r="Q856" s="18"/>
      <c r="R856" s="229">
        <v>2500.0</v>
      </c>
      <c r="S856" s="230">
        <f>FRESADO!$R856*FRESADO!$E856</f>
        <v>2500</v>
      </c>
      <c r="T856" s="230">
        <f>FRESADO!$S856*16%</f>
        <v>400</v>
      </c>
      <c r="U856" s="230">
        <f>FRESADO!$S856+FRESADO!$T856</f>
        <v>2900</v>
      </c>
      <c r="V856" s="31" t="s">
        <v>916</v>
      </c>
      <c r="W856" s="18"/>
      <c r="X856" s="18"/>
      <c r="Y856" s="254"/>
      <c r="Z856" s="18"/>
    </row>
    <row r="857" ht="15.75" customHeight="1">
      <c r="A857" s="108">
        <v>32.0</v>
      </c>
      <c r="B857" s="108">
        <v>9.0</v>
      </c>
      <c r="C857" s="31">
        <v>129.0</v>
      </c>
      <c r="D857" s="118">
        <v>46237.0</v>
      </c>
      <c r="E857" s="31">
        <v>1.0</v>
      </c>
      <c r="F857" s="31" t="s">
        <v>74</v>
      </c>
      <c r="G857" s="31" t="s">
        <v>277</v>
      </c>
      <c r="H857" s="31">
        <v>14.0</v>
      </c>
      <c r="I857" s="31" t="s">
        <v>34</v>
      </c>
      <c r="J857" s="31" t="s">
        <v>278</v>
      </c>
      <c r="K857" s="31" t="s">
        <v>36</v>
      </c>
      <c r="L857" s="18"/>
      <c r="M857" s="18"/>
      <c r="N857" s="31" t="s">
        <v>398</v>
      </c>
      <c r="O857" s="31" t="s">
        <v>189</v>
      </c>
      <c r="P857" s="31" t="s">
        <v>898</v>
      </c>
      <c r="Q857" s="31" t="s">
        <v>399</v>
      </c>
      <c r="R857" s="229">
        <v>3855.0</v>
      </c>
      <c r="S857" s="230">
        <f>FRESADO!$R857*FRESADO!$E857</f>
        <v>3855</v>
      </c>
      <c r="T857" s="230">
        <f>FRESADO!$S857*16%</f>
        <v>616.8</v>
      </c>
      <c r="U857" s="230">
        <f>FRESADO!$S857+FRESADO!$T857</f>
        <v>4471.8</v>
      </c>
      <c r="V857" s="31" t="s">
        <v>916</v>
      </c>
      <c r="W857" s="18"/>
      <c r="X857" s="18"/>
      <c r="Y857" s="254"/>
      <c r="Z857" s="18"/>
    </row>
    <row r="858" ht="15.75" customHeight="1">
      <c r="A858" s="108">
        <v>32.0</v>
      </c>
      <c r="B858" s="108">
        <v>10.0</v>
      </c>
      <c r="C858" s="31">
        <v>130.0</v>
      </c>
      <c r="D858" s="118">
        <v>46237.0</v>
      </c>
      <c r="E858" s="31">
        <v>1.0</v>
      </c>
      <c r="F858" s="31" t="s">
        <v>74</v>
      </c>
      <c r="G858" s="31" t="s">
        <v>280</v>
      </c>
      <c r="H858" s="31">
        <v>14.0</v>
      </c>
      <c r="I858" s="31" t="s">
        <v>34</v>
      </c>
      <c r="J858" s="31" t="s">
        <v>272</v>
      </c>
      <c r="K858" s="31" t="s">
        <v>36</v>
      </c>
      <c r="L858" s="18"/>
      <c r="M858" s="18"/>
      <c r="N858" s="31" t="s">
        <v>398</v>
      </c>
      <c r="O858" s="31" t="s">
        <v>189</v>
      </c>
      <c r="P858" s="31" t="s">
        <v>898</v>
      </c>
      <c r="Q858" s="31" t="s">
        <v>399</v>
      </c>
      <c r="R858" s="229">
        <v>3855.0</v>
      </c>
      <c r="S858" s="230">
        <f>FRESADO!$R858*FRESADO!$E858</f>
        <v>3855</v>
      </c>
      <c r="T858" s="230">
        <f>FRESADO!$S858*16%</f>
        <v>616.8</v>
      </c>
      <c r="U858" s="230">
        <f>FRESADO!$S858+FRESADO!$T858</f>
        <v>4471.8</v>
      </c>
      <c r="V858" s="31" t="s">
        <v>916</v>
      </c>
      <c r="W858" s="18"/>
      <c r="X858" s="18"/>
      <c r="Y858" s="254"/>
      <c r="Z858" s="18"/>
    </row>
    <row r="859" ht="15.75" customHeight="1">
      <c r="A859" s="108">
        <v>32.0</v>
      </c>
      <c r="B859" s="108">
        <v>11.0</v>
      </c>
      <c r="C859" s="31">
        <v>131.0</v>
      </c>
      <c r="D859" s="118">
        <v>46237.0</v>
      </c>
      <c r="E859" s="31">
        <v>1.0</v>
      </c>
      <c r="F859" s="31" t="s">
        <v>74</v>
      </c>
      <c r="G859" s="31" t="s">
        <v>690</v>
      </c>
      <c r="H859" s="31">
        <v>14.0</v>
      </c>
      <c r="I859" s="31" t="s">
        <v>34</v>
      </c>
      <c r="J859" s="31" t="s">
        <v>691</v>
      </c>
      <c r="K859" s="31" t="s">
        <v>36</v>
      </c>
      <c r="L859" s="18"/>
      <c r="M859" s="18"/>
      <c r="N859" s="31" t="s">
        <v>398</v>
      </c>
      <c r="O859" s="31" t="s">
        <v>189</v>
      </c>
      <c r="P859" s="31" t="s">
        <v>898</v>
      </c>
      <c r="Q859" s="31" t="s">
        <v>399</v>
      </c>
      <c r="R859" s="229">
        <v>3855.0</v>
      </c>
      <c r="S859" s="230">
        <f>FRESADO!$R859*FRESADO!$E859</f>
        <v>3855</v>
      </c>
      <c r="T859" s="230">
        <f>FRESADO!$S859*16%</f>
        <v>616.8</v>
      </c>
      <c r="U859" s="230">
        <f>FRESADO!$S859+FRESADO!$T859</f>
        <v>4471.8</v>
      </c>
      <c r="V859" s="31" t="s">
        <v>916</v>
      </c>
      <c r="W859" s="18"/>
      <c r="X859" s="18"/>
      <c r="Y859" s="254"/>
      <c r="Z859" s="18"/>
    </row>
    <row r="860" ht="15.75" customHeight="1">
      <c r="A860" s="108">
        <v>32.0</v>
      </c>
      <c r="B860" s="108">
        <v>12.0</v>
      </c>
      <c r="C860" s="31">
        <v>132.0</v>
      </c>
      <c r="D860" s="118">
        <v>46237.0</v>
      </c>
      <c r="E860" s="31">
        <v>1.0</v>
      </c>
      <c r="F860" s="31" t="s">
        <v>74</v>
      </c>
      <c r="G860" s="31" t="s">
        <v>347</v>
      </c>
      <c r="H860" s="31">
        <v>14.0</v>
      </c>
      <c r="I860" s="31" t="s">
        <v>34</v>
      </c>
      <c r="J860" s="31" t="s">
        <v>70</v>
      </c>
      <c r="K860" s="31" t="s">
        <v>36</v>
      </c>
      <c r="L860" s="18"/>
      <c r="M860" s="18"/>
      <c r="N860" s="31" t="s">
        <v>398</v>
      </c>
      <c r="O860" s="31" t="s">
        <v>189</v>
      </c>
      <c r="P860" s="31" t="s">
        <v>898</v>
      </c>
      <c r="Q860" s="31" t="s">
        <v>399</v>
      </c>
      <c r="R860" s="229">
        <v>3855.0</v>
      </c>
      <c r="S860" s="230">
        <f>FRESADO!$R860*FRESADO!$E860</f>
        <v>3855</v>
      </c>
      <c r="T860" s="230">
        <f>FRESADO!$S860*16%</f>
        <v>616.8</v>
      </c>
      <c r="U860" s="230">
        <f>FRESADO!$S860+FRESADO!$T860</f>
        <v>4471.8</v>
      </c>
      <c r="V860" s="31" t="s">
        <v>916</v>
      </c>
      <c r="W860" s="18"/>
      <c r="X860" s="18"/>
      <c r="Y860" s="254"/>
      <c r="Z860" s="18"/>
    </row>
    <row r="861" ht="15.75" customHeight="1">
      <c r="A861" s="108">
        <v>32.0</v>
      </c>
      <c r="B861" s="108">
        <v>13.0</v>
      </c>
      <c r="C861" s="31">
        <v>133.0</v>
      </c>
      <c r="D861" s="118">
        <v>46237.0</v>
      </c>
      <c r="E861" s="31">
        <v>1.0</v>
      </c>
      <c r="F861" s="31" t="s">
        <v>74</v>
      </c>
      <c r="G861" s="31" t="s">
        <v>192</v>
      </c>
      <c r="H861" s="31">
        <v>14.0</v>
      </c>
      <c r="I861" s="31" t="s">
        <v>34</v>
      </c>
      <c r="J861" s="31" t="s">
        <v>41</v>
      </c>
      <c r="K861" s="31" t="s">
        <v>36</v>
      </c>
      <c r="L861" s="18"/>
      <c r="M861" s="18"/>
      <c r="N861" s="31" t="s">
        <v>398</v>
      </c>
      <c r="O861" s="31" t="s">
        <v>189</v>
      </c>
      <c r="P861" s="31" t="s">
        <v>898</v>
      </c>
      <c r="Q861" s="31" t="s">
        <v>399</v>
      </c>
      <c r="R861" s="229">
        <v>3855.0</v>
      </c>
      <c r="S861" s="230">
        <f>FRESADO!$R861*FRESADO!$E861</f>
        <v>3855</v>
      </c>
      <c r="T861" s="230">
        <f>FRESADO!$S861*16%</f>
        <v>616.8</v>
      </c>
      <c r="U861" s="230">
        <f>FRESADO!$S861+FRESADO!$T861</f>
        <v>4471.8</v>
      </c>
      <c r="V861" s="31" t="s">
        <v>916</v>
      </c>
      <c r="W861" s="18"/>
      <c r="X861" s="18"/>
      <c r="Y861" s="254"/>
      <c r="Z861" s="18"/>
    </row>
    <row r="862" ht="15.75" customHeight="1">
      <c r="A862" s="108">
        <v>32.0</v>
      </c>
      <c r="B862" s="108">
        <v>14.0</v>
      </c>
      <c r="C862" s="31">
        <v>134.0</v>
      </c>
      <c r="D862" s="118">
        <v>46237.0</v>
      </c>
      <c r="E862" s="31">
        <v>1.0</v>
      </c>
      <c r="F862" s="31" t="s">
        <v>74</v>
      </c>
      <c r="G862" s="31" t="s">
        <v>238</v>
      </c>
      <c r="H862" s="31">
        <v>14.0</v>
      </c>
      <c r="I862" s="31" t="s">
        <v>34</v>
      </c>
      <c r="J862" s="31" t="s">
        <v>89</v>
      </c>
      <c r="K862" s="31" t="s">
        <v>36</v>
      </c>
      <c r="L862" s="18"/>
      <c r="M862" s="18"/>
      <c r="N862" s="31" t="s">
        <v>398</v>
      </c>
      <c r="O862" s="31" t="s">
        <v>189</v>
      </c>
      <c r="P862" s="31" t="s">
        <v>898</v>
      </c>
      <c r="Q862" s="31" t="s">
        <v>399</v>
      </c>
      <c r="R862" s="229">
        <v>3855.0</v>
      </c>
      <c r="S862" s="230">
        <f>FRESADO!$R862*FRESADO!$E862</f>
        <v>3855</v>
      </c>
      <c r="T862" s="230">
        <f>FRESADO!$S862*16%</f>
        <v>616.8</v>
      </c>
      <c r="U862" s="230">
        <f>FRESADO!$S862+FRESADO!$T862</f>
        <v>4471.8</v>
      </c>
      <c r="V862" s="31" t="s">
        <v>916</v>
      </c>
      <c r="W862" s="18"/>
      <c r="X862" s="18"/>
      <c r="Y862" s="254"/>
      <c r="Z862" s="18"/>
    </row>
    <row r="863" ht="15.75" customHeight="1">
      <c r="A863" s="108">
        <v>32.0</v>
      </c>
      <c r="B863" s="108">
        <v>15.0</v>
      </c>
      <c r="C863" s="31">
        <v>135.0</v>
      </c>
      <c r="D863" s="118">
        <v>46237.0</v>
      </c>
      <c r="E863" s="31">
        <v>1.0</v>
      </c>
      <c r="F863" s="31" t="s">
        <v>74</v>
      </c>
      <c r="G863" s="31" t="s">
        <v>917</v>
      </c>
      <c r="H863" s="31">
        <v>14.0</v>
      </c>
      <c r="I863" s="31" t="s">
        <v>34</v>
      </c>
      <c r="J863" s="31" t="s">
        <v>918</v>
      </c>
      <c r="K863" s="31" t="s">
        <v>36</v>
      </c>
      <c r="L863" s="18"/>
      <c r="M863" s="18"/>
      <c r="N863" s="31" t="s">
        <v>398</v>
      </c>
      <c r="O863" s="31" t="s">
        <v>189</v>
      </c>
      <c r="P863" s="31" t="s">
        <v>898</v>
      </c>
      <c r="Q863" s="31" t="s">
        <v>399</v>
      </c>
      <c r="R863" s="229">
        <v>3855.0</v>
      </c>
      <c r="S863" s="230">
        <f>FRESADO!$R863*FRESADO!$E863</f>
        <v>3855</v>
      </c>
      <c r="T863" s="230">
        <f>FRESADO!$S863*16%</f>
        <v>616.8</v>
      </c>
      <c r="U863" s="230">
        <f>FRESADO!$S863+FRESADO!$T863</f>
        <v>4471.8</v>
      </c>
      <c r="V863" s="31" t="s">
        <v>916</v>
      </c>
      <c r="W863" s="18"/>
      <c r="X863" s="18"/>
      <c r="Y863" s="254"/>
      <c r="Z863" s="18"/>
    </row>
    <row r="864" ht="15.75" customHeight="1">
      <c r="A864" s="108">
        <v>32.0</v>
      </c>
      <c r="B864" s="108">
        <v>16.0</v>
      </c>
      <c r="C864" s="31">
        <v>136.0</v>
      </c>
      <c r="D864" s="118">
        <v>46237.0</v>
      </c>
      <c r="E864" s="31">
        <v>1.0</v>
      </c>
      <c r="F864" s="31" t="s">
        <v>74</v>
      </c>
      <c r="G864" s="31" t="s">
        <v>692</v>
      </c>
      <c r="H864" s="31">
        <v>14.0</v>
      </c>
      <c r="I864" s="31" t="s">
        <v>34</v>
      </c>
      <c r="J864" s="31" t="s">
        <v>693</v>
      </c>
      <c r="K864" s="31" t="s">
        <v>36</v>
      </c>
      <c r="L864" s="18"/>
      <c r="M864" s="18"/>
      <c r="N864" s="31" t="s">
        <v>398</v>
      </c>
      <c r="O864" s="31" t="s">
        <v>189</v>
      </c>
      <c r="P864" s="31" t="s">
        <v>898</v>
      </c>
      <c r="Q864" s="31" t="s">
        <v>399</v>
      </c>
      <c r="R864" s="229">
        <v>3855.0</v>
      </c>
      <c r="S864" s="230">
        <f>FRESADO!$R864*FRESADO!$E864</f>
        <v>3855</v>
      </c>
      <c r="T864" s="230">
        <f>FRESADO!$S864*16%</f>
        <v>616.8</v>
      </c>
      <c r="U864" s="230">
        <f>FRESADO!$S864+FRESADO!$T864</f>
        <v>4471.8</v>
      </c>
      <c r="V864" s="31" t="s">
        <v>916</v>
      </c>
      <c r="W864" s="18"/>
      <c r="X864" s="18"/>
      <c r="Y864" s="254"/>
      <c r="Z864" s="18"/>
    </row>
    <row r="865" ht="15.75" customHeight="1">
      <c r="A865" s="108">
        <v>32.0</v>
      </c>
      <c r="B865" s="108">
        <v>17.0</v>
      </c>
      <c r="C865" s="137">
        <v>137.0</v>
      </c>
      <c r="D865" s="118">
        <v>46237.0</v>
      </c>
      <c r="E865" s="31">
        <v>1.0</v>
      </c>
      <c r="F865" s="31" t="s">
        <v>388</v>
      </c>
      <c r="G865" s="31" t="s">
        <v>583</v>
      </c>
      <c r="H865" s="31">
        <v>7.0</v>
      </c>
      <c r="I865" s="31" t="s">
        <v>34</v>
      </c>
      <c r="J865" s="31" t="s">
        <v>584</v>
      </c>
      <c r="K865" s="129" t="s">
        <v>50</v>
      </c>
      <c r="L865" s="18"/>
      <c r="M865" s="18"/>
      <c r="N865" s="31" t="s">
        <v>340</v>
      </c>
      <c r="O865" s="31" t="s">
        <v>189</v>
      </c>
      <c r="P865" s="31" t="s">
        <v>898</v>
      </c>
      <c r="Q865" s="31" t="s">
        <v>390</v>
      </c>
      <c r="R865" s="229">
        <v>4500.0</v>
      </c>
      <c r="S865" s="230">
        <f>FRESADO!$R865*FRESADO!$E865</f>
        <v>4500</v>
      </c>
      <c r="T865" s="230">
        <f>FRESADO!$S865*16%</f>
        <v>720</v>
      </c>
      <c r="U865" s="230">
        <f>FRESADO!$S865+FRESADO!$T865</f>
        <v>5220</v>
      </c>
      <c r="V865" s="129" t="s">
        <v>697</v>
      </c>
      <c r="W865" s="18"/>
      <c r="X865" s="18"/>
      <c r="Y865" s="254"/>
      <c r="Z865" s="18"/>
    </row>
    <row r="866" ht="15.75" customHeight="1">
      <c r="A866" s="108">
        <v>32.0</v>
      </c>
      <c r="B866" s="108">
        <v>18.0</v>
      </c>
      <c r="C866" s="31">
        <v>138.0</v>
      </c>
      <c r="D866" s="118">
        <v>46238.0</v>
      </c>
      <c r="E866" s="31">
        <v>1.0</v>
      </c>
      <c r="F866" s="31" t="s">
        <v>74</v>
      </c>
      <c r="G866" s="31" t="s">
        <v>692</v>
      </c>
      <c r="H866" s="31">
        <v>14.0</v>
      </c>
      <c r="I866" s="31" t="s">
        <v>34</v>
      </c>
      <c r="J866" s="31" t="s">
        <v>693</v>
      </c>
      <c r="K866" s="31" t="s">
        <v>36</v>
      </c>
      <c r="L866" s="18"/>
      <c r="M866" s="18"/>
      <c r="N866" s="31" t="s">
        <v>398</v>
      </c>
      <c r="O866" s="31" t="s">
        <v>189</v>
      </c>
      <c r="P866" s="31" t="s">
        <v>898</v>
      </c>
      <c r="Q866" s="31" t="s">
        <v>399</v>
      </c>
      <c r="R866" s="229">
        <v>3855.0</v>
      </c>
      <c r="S866" s="230">
        <f>FRESADO!$R866*FRESADO!$E866</f>
        <v>3855</v>
      </c>
      <c r="T866" s="230">
        <f>FRESADO!$S866*16%</f>
        <v>616.8</v>
      </c>
      <c r="U866" s="230">
        <f>FRESADO!$S866+FRESADO!$T866</f>
        <v>4471.8</v>
      </c>
      <c r="V866" s="31" t="s">
        <v>916</v>
      </c>
      <c r="W866" s="18"/>
      <c r="X866" s="18"/>
      <c r="Y866" s="254"/>
      <c r="Z866" s="18"/>
    </row>
    <row r="867" ht="15.75" customHeight="1">
      <c r="A867" s="108">
        <v>32.0</v>
      </c>
      <c r="B867" s="108">
        <v>19.0</v>
      </c>
      <c r="C867" s="31">
        <v>139.0</v>
      </c>
      <c r="D867" s="118">
        <v>46238.0</v>
      </c>
      <c r="E867" s="31">
        <v>1.0</v>
      </c>
      <c r="F867" s="31" t="s">
        <v>74</v>
      </c>
      <c r="G867" s="31" t="s">
        <v>900</v>
      </c>
      <c r="H867" s="31">
        <v>14.0</v>
      </c>
      <c r="I867" s="31" t="s">
        <v>34</v>
      </c>
      <c r="J867" s="31" t="s">
        <v>94</v>
      </c>
      <c r="K867" s="31" t="s">
        <v>36</v>
      </c>
      <c r="L867" s="18"/>
      <c r="M867" s="18"/>
      <c r="N867" s="31" t="s">
        <v>398</v>
      </c>
      <c r="O867" s="31" t="s">
        <v>189</v>
      </c>
      <c r="P867" s="31" t="s">
        <v>898</v>
      </c>
      <c r="Q867" s="31" t="s">
        <v>399</v>
      </c>
      <c r="R867" s="229">
        <v>3855.0</v>
      </c>
      <c r="S867" s="230">
        <f>FRESADO!$R867*FRESADO!$E867</f>
        <v>3855</v>
      </c>
      <c r="T867" s="230">
        <f>FRESADO!$S867*16%</f>
        <v>616.8</v>
      </c>
      <c r="U867" s="230">
        <f>FRESADO!$S867+FRESADO!$T867</f>
        <v>4471.8</v>
      </c>
      <c r="V867" s="31" t="s">
        <v>916</v>
      </c>
      <c r="W867" s="18"/>
      <c r="X867" s="18"/>
      <c r="Y867" s="254"/>
      <c r="Z867" s="18"/>
    </row>
    <row r="868" ht="15.75" customHeight="1">
      <c r="A868" s="108">
        <v>32.0</v>
      </c>
      <c r="B868" s="108">
        <v>20.0</v>
      </c>
      <c r="C868" s="31">
        <v>140.0</v>
      </c>
      <c r="D868" s="118">
        <v>46238.0</v>
      </c>
      <c r="E868" s="31">
        <v>1.0</v>
      </c>
      <c r="F868" s="31" t="s">
        <v>74</v>
      </c>
      <c r="G868" s="31" t="s">
        <v>238</v>
      </c>
      <c r="H868" s="31">
        <v>14.0</v>
      </c>
      <c r="I868" s="31" t="s">
        <v>34</v>
      </c>
      <c r="J868" s="31" t="s">
        <v>89</v>
      </c>
      <c r="K868" s="31" t="s">
        <v>36</v>
      </c>
      <c r="L868" s="18"/>
      <c r="M868" s="18"/>
      <c r="N868" s="31" t="s">
        <v>398</v>
      </c>
      <c r="O868" s="31" t="s">
        <v>189</v>
      </c>
      <c r="P868" s="31" t="s">
        <v>898</v>
      </c>
      <c r="Q868" s="31" t="s">
        <v>399</v>
      </c>
      <c r="R868" s="229">
        <v>3855.0</v>
      </c>
      <c r="S868" s="230">
        <f>FRESADO!$R868*FRESADO!$E868</f>
        <v>3855</v>
      </c>
      <c r="T868" s="230">
        <f>FRESADO!$S868*16%</f>
        <v>616.8</v>
      </c>
      <c r="U868" s="230">
        <f>FRESADO!$S868+FRESADO!$T868</f>
        <v>4471.8</v>
      </c>
      <c r="V868" s="31" t="s">
        <v>916</v>
      </c>
      <c r="W868" s="18"/>
      <c r="X868" s="18"/>
      <c r="Y868" s="254"/>
      <c r="Z868" s="18"/>
    </row>
    <row r="869" ht="15.75" customHeight="1">
      <c r="A869" s="108">
        <v>32.0</v>
      </c>
      <c r="B869" s="108">
        <v>21.0</v>
      </c>
      <c r="C869" s="31">
        <v>141.0</v>
      </c>
      <c r="D869" s="118">
        <v>46238.0</v>
      </c>
      <c r="E869" s="31">
        <v>1.0</v>
      </c>
      <c r="F869" s="31" t="s">
        <v>74</v>
      </c>
      <c r="G869" s="31" t="s">
        <v>690</v>
      </c>
      <c r="H869" s="31">
        <v>14.0</v>
      </c>
      <c r="I869" s="31" t="s">
        <v>34</v>
      </c>
      <c r="J869" s="31" t="s">
        <v>691</v>
      </c>
      <c r="K869" s="31" t="s">
        <v>36</v>
      </c>
      <c r="L869" s="18"/>
      <c r="M869" s="18"/>
      <c r="N869" s="31" t="s">
        <v>398</v>
      </c>
      <c r="O869" s="31" t="s">
        <v>189</v>
      </c>
      <c r="P869" s="31" t="s">
        <v>898</v>
      </c>
      <c r="Q869" s="31" t="s">
        <v>399</v>
      </c>
      <c r="R869" s="229">
        <v>3855.0</v>
      </c>
      <c r="S869" s="230">
        <f>FRESADO!$R869*FRESADO!$E869</f>
        <v>3855</v>
      </c>
      <c r="T869" s="230">
        <f>FRESADO!$S869*16%</f>
        <v>616.8</v>
      </c>
      <c r="U869" s="230">
        <f>FRESADO!$S869+FRESADO!$T869</f>
        <v>4471.8</v>
      </c>
      <c r="V869" s="31" t="s">
        <v>916</v>
      </c>
      <c r="W869" s="18"/>
      <c r="X869" s="18"/>
      <c r="Y869" s="22"/>
      <c r="Z869" s="18"/>
    </row>
    <row r="870" ht="15.75" customHeight="1">
      <c r="A870" s="108">
        <v>32.0</v>
      </c>
      <c r="B870" s="108">
        <v>22.0</v>
      </c>
      <c r="C870" s="31">
        <v>142.0</v>
      </c>
      <c r="D870" s="118">
        <v>46238.0</v>
      </c>
      <c r="E870" s="31">
        <v>1.0</v>
      </c>
      <c r="F870" s="31" t="s">
        <v>74</v>
      </c>
      <c r="G870" s="31" t="s">
        <v>917</v>
      </c>
      <c r="H870" s="31">
        <v>14.0</v>
      </c>
      <c r="I870" s="31" t="s">
        <v>34</v>
      </c>
      <c r="J870" s="31" t="s">
        <v>918</v>
      </c>
      <c r="K870" s="31" t="s">
        <v>36</v>
      </c>
      <c r="L870" s="18"/>
      <c r="M870" s="18"/>
      <c r="N870" s="31" t="s">
        <v>398</v>
      </c>
      <c r="O870" s="31" t="s">
        <v>189</v>
      </c>
      <c r="P870" s="31" t="s">
        <v>898</v>
      </c>
      <c r="Q870" s="31" t="s">
        <v>399</v>
      </c>
      <c r="R870" s="229">
        <v>3855.0</v>
      </c>
      <c r="S870" s="230">
        <f>FRESADO!$R870*FRESADO!$E870</f>
        <v>3855</v>
      </c>
      <c r="T870" s="230">
        <f>FRESADO!$S870*16%</f>
        <v>616.8</v>
      </c>
      <c r="U870" s="230">
        <f>FRESADO!$S870+FRESADO!$T870</f>
        <v>4471.8</v>
      </c>
      <c r="V870" s="31" t="s">
        <v>916</v>
      </c>
      <c r="W870" s="18"/>
      <c r="X870" s="18"/>
      <c r="Y870" s="22"/>
      <c r="Z870" s="18"/>
    </row>
    <row r="871" ht="15.75" customHeight="1">
      <c r="A871" s="108">
        <v>32.0</v>
      </c>
      <c r="B871" s="108">
        <v>23.0</v>
      </c>
      <c r="C871" s="31">
        <v>143.0</v>
      </c>
      <c r="D871" s="118">
        <v>46238.0</v>
      </c>
      <c r="E871" s="31">
        <v>1.0</v>
      </c>
      <c r="F871" s="31" t="s">
        <v>74</v>
      </c>
      <c r="G871" s="31" t="s">
        <v>280</v>
      </c>
      <c r="H871" s="31">
        <v>14.0</v>
      </c>
      <c r="I871" s="31" t="s">
        <v>34</v>
      </c>
      <c r="J871" s="31" t="s">
        <v>272</v>
      </c>
      <c r="K871" s="31" t="s">
        <v>36</v>
      </c>
      <c r="L871" s="18"/>
      <c r="M871" s="18"/>
      <c r="N871" s="31" t="s">
        <v>398</v>
      </c>
      <c r="O871" s="31" t="s">
        <v>189</v>
      </c>
      <c r="P871" s="31" t="s">
        <v>898</v>
      </c>
      <c r="Q871" s="31" t="s">
        <v>399</v>
      </c>
      <c r="R871" s="229">
        <v>3855.0</v>
      </c>
      <c r="S871" s="230">
        <f>FRESADO!$R871*FRESADO!$E871</f>
        <v>3855</v>
      </c>
      <c r="T871" s="230">
        <f>FRESADO!$S871*16%</f>
        <v>616.8</v>
      </c>
      <c r="U871" s="230">
        <f>FRESADO!$S871+FRESADO!$T871</f>
        <v>4471.8</v>
      </c>
      <c r="V871" s="31" t="s">
        <v>916</v>
      </c>
      <c r="W871" s="18"/>
      <c r="X871" s="18"/>
      <c r="Y871" s="22"/>
      <c r="Z871" s="18"/>
    </row>
    <row r="872" ht="15.75" customHeight="1">
      <c r="A872" s="108">
        <v>32.0</v>
      </c>
      <c r="B872" s="108">
        <v>24.0</v>
      </c>
      <c r="C872" s="31">
        <v>144.0</v>
      </c>
      <c r="D872" s="118">
        <v>46238.0</v>
      </c>
      <c r="E872" s="31">
        <v>1.0</v>
      </c>
      <c r="F872" s="31" t="s">
        <v>74</v>
      </c>
      <c r="G872" s="31" t="s">
        <v>347</v>
      </c>
      <c r="H872" s="31">
        <v>0.0</v>
      </c>
      <c r="I872" s="31" t="s">
        <v>34</v>
      </c>
      <c r="J872" s="31" t="s">
        <v>70</v>
      </c>
      <c r="K872" s="31" t="s">
        <v>36</v>
      </c>
      <c r="L872" s="18"/>
      <c r="M872" s="18"/>
      <c r="N872" s="31" t="s">
        <v>398</v>
      </c>
      <c r="O872" s="31" t="s">
        <v>189</v>
      </c>
      <c r="P872" s="31" t="s">
        <v>898</v>
      </c>
      <c r="Q872" s="31" t="s">
        <v>399</v>
      </c>
      <c r="R872" s="229">
        <v>3855.0</v>
      </c>
      <c r="S872" s="230">
        <f>FRESADO!$R872*FRESADO!$E872</f>
        <v>3855</v>
      </c>
      <c r="T872" s="230">
        <f>FRESADO!$S872*16%</f>
        <v>616.8</v>
      </c>
      <c r="U872" s="230">
        <f>FRESADO!$S872+FRESADO!$T872</f>
        <v>4471.8</v>
      </c>
      <c r="V872" s="31" t="s">
        <v>916</v>
      </c>
      <c r="W872" s="18"/>
      <c r="X872" s="18"/>
      <c r="Y872" s="22"/>
      <c r="Z872" s="18"/>
    </row>
    <row r="873" ht="15.75" customHeight="1">
      <c r="A873" s="108">
        <v>32.0</v>
      </c>
      <c r="B873" s="108">
        <v>25.0</v>
      </c>
      <c r="C873" s="31">
        <v>145.0</v>
      </c>
      <c r="D873" s="118">
        <v>46238.0</v>
      </c>
      <c r="E873" s="31">
        <v>1.0</v>
      </c>
      <c r="F873" s="31" t="s">
        <v>74</v>
      </c>
      <c r="G873" s="31" t="s">
        <v>692</v>
      </c>
      <c r="H873" s="31">
        <v>14.0</v>
      </c>
      <c r="I873" s="31" t="s">
        <v>34</v>
      </c>
      <c r="J873" s="31" t="s">
        <v>693</v>
      </c>
      <c r="K873" s="31" t="s">
        <v>36</v>
      </c>
      <c r="L873" s="18"/>
      <c r="M873" s="18"/>
      <c r="N873" s="31" t="s">
        <v>340</v>
      </c>
      <c r="O873" s="31" t="s">
        <v>189</v>
      </c>
      <c r="P873" s="31" t="s">
        <v>898</v>
      </c>
      <c r="Q873" s="18"/>
      <c r="R873" s="229">
        <v>2500.0</v>
      </c>
      <c r="S873" s="230">
        <f>FRESADO!$R873*FRESADO!$E873</f>
        <v>2500</v>
      </c>
      <c r="T873" s="230">
        <f>FRESADO!$S873*16%</f>
        <v>400</v>
      </c>
      <c r="U873" s="230">
        <f>FRESADO!$S873+FRESADO!$T873</f>
        <v>2900</v>
      </c>
      <c r="V873" s="31" t="s">
        <v>916</v>
      </c>
      <c r="W873" s="18"/>
      <c r="X873" s="18"/>
      <c r="Y873" s="22"/>
      <c r="Z873" s="18"/>
    </row>
    <row r="874" ht="15.75" customHeight="1">
      <c r="A874" s="108">
        <v>32.0</v>
      </c>
      <c r="B874" s="108">
        <v>26.0</v>
      </c>
      <c r="C874" s="31">
        <v>146.0</v>
      </c>
      <c r="D874" s="118">
        <v>46238.0</v>
      </c>
      <c r="E874" s="31">
        <v>1.0</v>
      </c>
      <c r="F874" s="31" t="s">
        <v>74</v>
      </c>
      <c r="G874" s="31" t="s">
        <v>692</v>
      </c>
      <c r="H874" s="31">
        <v>14.0</v>
      </c>
      <c r="I874" s="31" t="s">
        <v>34</v>
      </c>
      <c r="J874" s="31" t="s">
        <v>693</v>
      </c>
      <c r="K874" s="31" t="s">
        <v>36</v>
      </c>
      <c r="L874" s="18"/>
      <c r="M874" s="18"/>
      <c r="N874" s="31" t="s">
        <v>340</v>
      </c>
      <c r="O874" s="31" t="s">
        <v>189</v>
      </c>
      <c r="P874" s="31" t="s">
        <v>898</v>
      </c>
      <c r="Q874" s="18"/>
      <c r="R874" s="229">
        <v>2500.0</v>
      </c>
      <c r="S874" s="230">
        <f>FRESADO!$R874*FRESADO!$E874</f>
        <v>2500</v>
      </c>
      <c r="T874" s="230">
        <f>FRESADO!$S874*16%</f>
        <v>400</v>
      </c>
      <c r="U874" s="230">
        <f>FRESADO!$S874+FRESADO!$T874</f>
        <v>2900</v>
      </c>
      <c r="V874" s="31" t="s">
        <v>916</v>
      </c>
      <c r="W874" s="18"/>
      <c r="X874" s="18"/>
      <c r="Y874" s="22"/>
      <c r="Z874" s="18"/>
    </row>
    <row r="875" ht="15.75" customHeight="1">
      <c r="A875" s="108">
        <v>32.0</v>
      </c>
      <c r="B875" s="108">
        <v>27.0</v>
      </c>
      <c r="C875" s="31">
        <v>147.0</v>
      </c>
      <c r="D875" s="118">
        <v>46238.0</v>
      </c>
      <c r="E875" s="31">
        <v>1.0</v>
      </c>
      <c r="F875" s="31" t="s">
        <v>74</v>
      </c>
      <c r="G875" s="31" t="s">
        <v>900</v>
      </c>
      <c r="H875" s="31">
        <v>14.0</v>
      </c>
      <c r="I875" s="31" t="s">
        <v>34</v>
      </c>
      <c r="J875" s="31" t="s">
        <v>94</v>
      </c>
      <c r="K875" s="31" t="s">
        <v>36</v>
      </c>
      <c r="L875" s="18"/>
      <c r="M875" s="18"/>
      <c r="N875" s="31" t="s">
        <v>340</v>
      </c>
      <c r="O875" s="31" t="s">
        <v>189</v>
      </c>
      <c r="P875" s="31" t="s">
        <v>898</v>
      </c>
      <c r="Q875" s="18"/>
      <c r="R875" s="229">
        <v>2500.0</v>
      </c>
      <c r="S875" s="230">
        <f>FRESADO!$R875*FRESADO!$E875</f>
        <v>2500</v>
      </c>
      <c r="T875" s="230">
        <f>FRESADO!$S875*16%</f>
        <v>400</v>
      </c>
      <c r="U875" s="230">
        <f>FRESADO!$S875+FRESADO!$T875</f>
        <v>2900</v>
      </c>
      <c r="V875" s="31" t="s">
        <v>916</v>
      </c>
      <c r="W875" s="18"/>
      <c r="X875" s="18"/>
      <c r="Y875" s="22"/>
      <c r="Z875" s="18"/>
    </row>
    <row r="876" ht="15.75" customHeight="1">
      <c r="A876" s="108">
        <v>32.0</v>
      </c>
      <c r="B876" s="108">
        <v>28.0</v>
      </c>
      <c r="C876" s="31">
        <v>148.0</v>
      </c>
      <c r="D876" s="118">
        <v>46238.0</v>
      </c>
      <c r="E876" s="31">
        <v>1.0</v>
      </c>
      <c r="F876" s="31" t="s">
        <v>74</v>
      </c>
      <c r="G876" s="31" t="s">
        <v>238</v>
      </c>
      <c r="H876" s="31">
        <v>14.0</v>
      </c>
      <c r="I876" s="31" t="s">
        <v>34</v>
      </c>
      <c r="J876" s="31" t="s">
        <v>89</v>
      </c>
      <c r="K876" s="31" t="s">
        <v>36</v>
      </c>
      <c r="L876" s="18"/>
      <c r="M876" s="18"/>
      <c r="N876" s="31" t="s">
        <v>340</v>
      </c>
      <c r="O876" s="31" t="s">
        <v>189</v>
      </c>
      <c r="P876" s="31" t="s">
        <v>898</v>
      </c>
      <c r="Q876" s="18"/>
      <c r="R876" s="229">
        <v>2500.0</v>
      </c>
      <c r="S876" s="230">
        <f>FRESADO!$R876*FRESADO!$E876</f>
        <v>2500</v>
      </c>
      <c r="T876" s="230">
        <f>FRESADO!$S876*16%</f>
        <v>400</v>
      </c>
      <c r="U876" s="230">
        <f>FRESADO!$S876+FRESADO!$T876</f>
        <v>2900</v>
      </c>
      <c r="V876" s="31" t="s">
        <v>916</v>
      </c>
      <c r="W876" s="18"/>
      <c r="X876" s="18"/>
      <c r="Y876" s="22"/>
      <c r="Z876" s="18"/>
    </row>
    <row r="877" ht="15.75" customHeight="1">
      <c r="A877" s="108">
        <v>32.0</v>
      </c>
      <c r="B877" s="108">
        <v>29.0</v>
      </c>
      <c r="C877" s="31">
        <v>149.0</v>
      </c>
      <c r="D877" s="118">
        <v>46238.0</v>
      </c>
      <c r="E877" s="31">
        <v>1.0</v>
      </c>
      <c r="F877" s="31" t="s">
        <v>74</v>
      </c>
      <c r="G877" s="31" t="s">
        <v>690</v>
      </c>
      <c r="H877" s="31">
        <v>14.0</v>
      </c>
      <c r="I877" s="31" t="s">
        <v>34</v>
      </c>
      <c r="J877" s="31" t="s">
        <v>691</v>
      </c>
      <c r="K877" s="31" t="s">
        <v>36</v>
      </c>
      <c r="L877" s="18"/>
      <c r="M877" s="18"/>
      <c r="N877" s="31" t="s">
        <v>340</v>
      </c>
      <c r="O877" s="31" t="s">
        <v>189</v>
      </c>
      <c r="P877" s="31" t="s">
        <v>898</v>
      </c>
      <c r="Q877" s="18"/>
      <c r="R877" s="229">
        <v>2500.0</v>
      </c>
      <c r="S877" s="230">
        <f>FRESADO!$R877*FRESADO!$E877</f>
        <v>2500</v>
      </c>
      <c r="T877" s="230">
        <f>FRESADO!$S877*16%</f>
        <v>400</v>
      </c>
      <c r="U877" s="230">
        <f>FRESADO!$S877+FRESADO!$T877</f>
        <v>2900</v>
      </c>
      <c r="V877" s="31" t="s">
        <v>916</v>
      </c>
      <c r="W877" s="18"/>
      <c r="X877" s="18"/>
      <c r="Y877" s="22"/>
      <c r="Z877" s="18"/>
    </row>
    <row r="878" ht="15.75" customHeight="1">
      <c r="A878" s="108">
        <v>32.0</v>
      </c>
      <c r="B878" s="108">
        <v>30.0</v>
      </c>
      <c r="C878" s="31">
        <v>150.0</v>
      </c>
      <c r="D878" s="118">
        <v>46238.0</v>
      </c>
      <c r="E878" s="31">
        <v>1.0</v>
      </c>
      <c r="F878" s="31" t="s">
        <v>74</v>
      </c>
      <c r="G878" s="31" t="s">
        <v>280</v>
      </c>
      <c r="H878" s="31">
        <v>14.0</v>
      </c>
      <c r="I878" s="31" t="s">
        <v>34</v>
      </c>
      <c r="J878" s="31" t="s">
        <v>272</v>
      </c>
      <c r="K878" s="31" t="s">
        <v>36</v>
      </c>
      <c r="L878" s="18"/>
      <c r="M878" s="18"/>
      <c r="N878" s="31" t="s">
        <v>340</v>
      </c>
      <c r="O878" s="31" t="s">
        <v>189</v>
      </c>
      <c r="P878" s="31" t="s">
        <v>898</v>
      </c>
      <c r="Q878" s="18"/>
      <c r="R878" s="229">
        <v>2500.0</v>
      </c>
      <c r="S878" s="230">
        <f>FRESADO!$R878*FRESADO!$E878</f>
        <v>2500</v>
      </c>
      <c r="T878" s="230">
        <f>FRESADO!$S878*16%</f>
        <v>400</v>
      </c>
      <c r="U878" s="230">
        <f>FRESADO!$S878+FRESADO!$T878</f>
        <v>2900</v>
      </c>
      <c r="V878" s="31" t="s">
        <v>916</v>
      </c>
      <c r="W878" s="18"/>
      <c r="X878" s="18"/>
      <c r="Y878" s="22"/>
      <c r="Z878" s="18"/>
    </row>
    <row r="879" ht="15.75" customHeight="1">
      <c r="A879" s="108">
        <v>32.0</v>
      </c>
      <c r="B879" s="108">
        <v>31.0</v>
      </c>
      <c r="C879" s="31">
        <v>177.0</v>
      </c>
      <c r="D879" s="118">
        <v>46238.0</v>
      </c>
      <c r="E879" s="31">
        <v>1.0</v>
      </c>
      <c r="F879" s="31" t="s">
        <v>74</v>
      </c>
      <c r="G879" s="31" t="s">
        <v>917</v>
      </c>
      <c r="H879" s="31">
        <v>14.0</v>
      </c>
      <c r="I879" s="31" t="s">
        <v>34</v>
      </c>
      <c r="J879" s="31" t="s">
        <v>918</v>
      </c>
      <c r="K879" s="31" t="s">
        <v>36</v>
      </c>
      <c r="L879" s="18"/>
      <c r="M879" s="18"/>
      <c r="N879" s="31" t="s">
        <v>340</v>
      </c>
      <c r="O879" s="31" t="s">
        <v>189</v>
      </c>
      <c r="P879" s="31" t="s">
        <v>898</v>
      </c>
      <c r="Q879" s="18"/>
      <c r="R879" s="229">
        <v>2500.0</v>
      </c>
      <c r="S879" s="230">
        <f>FRESADO!$R879*FRESADO!$E879</f>
        <v>2500</v>
      </c>
      <c r="T879" s="230">
        <f>FRESADO!$S879*16%</f>
        <v>400</v>
      </c>
      <c r="U879" s="230">
        <f>FRESADO!$S879+FRESADO!$T879</f>
        <v>2900</v>
      </c>
      <c r="V879" s="31" t="s">
        <v>916</v>
      </c>
      <c r="W879" s="18"/>
      <c r="X879" s="18"/>
      <c r="Y879" s="22"/>
      <c r="Z879" s="18"/>
    </row>
    <row r="880" ht="15.75" customHeight="1">
      <c r="A880" s="108">
        <v>32.0</v>
      </c>
      <c r="B880" s="108">
        <v>32.0</v>
      </c>
      <c r="C880" s="31">
        <v>178.0</v>
      </c>
      <c r="D880" s="118">
        <v>46238.0</v>
      </c>
      <c r="E880" s="31">
        <v>1.0</v>
      </c>
      <c r="F880" s="31" t="s">
        <v>74</v>
      </c>
      <c r="G880" s="31" t="s">
        <v>347</v>
      </c>
      <c r="H880" s="31">
        <v>14.0</v>
      </c>
      <c r="I880" s="31" t="s">
        <v>34</v>
      </c>
      <c r="J880" s="31" t="s">
        <v>70</v>
      </c>
      <c r="K880" s="31" t="s">
        <v>36</v>
      </c>
      <c r="L880" s="18"/>
      <c r="M880" s="18"/>
      <c r="N880" s="31" t="s">
        <v>340</v>
      </c>
      <c r="O880" s="31" t="s">
        <v>189</v>
      </c>
      <c r="P880" s="31" t="s">
        <v>898</v>
      </c>
      <c r="Q880" s="18"/>
      <c r="R880" s="229">
        <v>2500.0</v>
      </c>
      <c r="S880" s="230">
        <f>FRESADO!$R880*FRESADO!$E880</f>
        <v>2500</v>
      </c>
      <c r="T880" s="230">
        <f>FRESADO!$S880*16%</f>
        <v>400</v>
      </c>
      <c r="U880" s="230">
        <f>FRESADO!$S880+FRESADO!$T880</f>
        <v>2900</v>
      </c>
      <c r="V880" s="31" t="s">
        <v>916</v>
      </c>
      <c r="W880" s="18"/>
      <c r="X880" s="18"/>
      <c r="Y880" s="22"/>
      <c r="Z880" s="18"/>
    </row>
    <row r="881" ht="15.75" customHeight="1">
      <c r="A881" s="108">
        <v>32.0</v>
      </c>
      <c r="B881" s="108">
        <v>33.0</v>
      </c>
      <c r="C881" s="31">
        <v>179.0</v>
      </c>
      <c r="D881" s="118">
        <v>46238.0</v>
      </c>
      <c r="E881" s="31">
        <v>1.0</v>
      </c>
      <c r="F881" s="31" t="s">
        <v>74</v>
      </c>
      <c r="G881" s="31" t="s">
        <v>692</v>
      </c>
      <c r="H881" s="31">
        <v>14.0</v>
      </c>
      <c r="I881" s="31" t="s">
        <v>34</v>
      </c>
      <c r="J881" s="31" t="s">
        <v>693</v>
      </c>
      <c r="K881" s="31" t="s">
        <v>36</v>
      </c>
      <c r="L881" s="18"/>
      <c r="M881" s="18"/>
      <c r="N881" s="31" t="s">
        <v>340</v>
      </c>
      <c r="O881" s="31" t="s">
        <v>189</v>
      </c>
      <c r="P881" s="31" t="s">
        <v>898</v>
      </c>
      <c r="Q881" s="18"/>
      <c r="R881" s="229">
        <v>2500.0</v>
      </c>
      <c r="S881" s="230">
        <f>FRESADO!$R881*FRESADO!$E881</f>
        <v>2500</v>
      </c>
      <c r="T881" s="230">
        <f>FRESADO!$S881*16%</f>
        <v>400</v>
      </c>
      <c r="U881" s="230">
        <f>FRESADO!$S881+FRESADO!$T881</f>
        <v>2900</v>
      </c>
      <c r="V881" s="31" t="s">
        <v>916</v>
      </c>
      <c r="W881" s="18"/>
      <c r="X881" s="18"/>
      <c r="Y881" s="22"/>
      <c r="Z881" s="18"/>
    </row>
    <row r="882" ht="15.75" customHeight="1">
      <c r="A882" s="108">
        <v>32.0</v>
      </c>
      <c r="B882" s="108">
        <v>34.0</v>
      </c>
      <c r="C882" s="31">
        <v>180.0</v>
      </c>
      <c r="D882" s="118">
        <v>46238.0</v>
      </c>
      <c r="E882" s="31">
        <v>1.0</v>
      </c>
      <c r="F882" s="31" t="s">
        <v>74</v>
      </c>
      <c r="G882" s="31" t="s">
        <v>900</v>
      </c>
      <c r="H882" s="31">
        <v>14.0</v>
      </c>
      <c r="I882" s="31" t="s">
        <v>34</v>
      </c>
      <c r="J882" s="31" t="s">
        <v>94</v>
      </c>
      <c r="K882" s="31" t="s">
        <v>36</v>
      </c>
      <c r="L882" s="18"/>
      <c r="M882" s="18"/>
      <c r="N882" s="31" t="s">
        <v>340</v>
      </c>
      <c r="O882" s="31" t="s">
        <v>189</v>
      </c>
      <c r="P882" s="31" t="s">
        <v>898</v>
      </c>
      <c r="Q882" s="18"/>
      <c r="R882" s="229">
        <v>2500.0</v>
      </c>
      <c r="S882" s="230">
        <f>FRESADO!$R882*FRESADO!$E882</f>
        <v>2500</v>
      </c>
      <c r="T882" s="230">
        <f>FRESADO!$S882*16%</f>
        <v>400</v>
      </c>
      <c r="U882" s="230">
        <f>FRESADO!$S882+FRESADO!$T882</f>
        <v>2900</v>
      </c>
      <c r="V882" s="31" t="s">
        <v>916</v>
      </c>
      <c r="W882" s="18"/>
      <c r="X882" s="18"/>
      <c r="Y882" s="22"/>
      <c r="Z882" s="18"/>
    </row>
    <row r="883" ht="15.75" customHeight="1">
      <c r="A883" s="108">
        <v>32.0</v>
      </c>
      <c r="B883" s="108">
        <v>35.0</v>
      </c>
      <c r="C883" s="31">
        <v>181.0</v>
      </c>
      <c r="D883" s="118">
        <v>46238.0</v>
      </c>
      <c r="E883" s="31">
        <v>1.0</v>
      </c>
      <c r="F883" s="31" t="s">
        <v>74</v>
      </c>
      <c r="G883" s="31" t="s">
        <v>238</v>
      </c>
      <c r="H883" s="31">
        <v>14.0</v>
      </c>
      <c r="I883" s="31" t="s">
        <v>34</v>
      </c>
      <c r="J883" s="31" t="s">
        <v>89</v>
      </c>
      <c r="K883" s="31" t="s">
        <v>36</v>
      </c>
      <c r="L883" s="18"/>
      <c r="M883" s="18"/>
      <c r="N883" s="31" t="s">
        <v>340</v>
      </c>
      <c r="O883" s="31" t="s">
        <v>189</v>
      </c>
      <c r="P883" s="31" t="s">
        <v>898</v>
      </c>
      <c r="Q883" s="18"/>
      <c r="R883" s="229">
        <v>2500.0</v>
      </c>
      <c r="S883" s="230">
        <f>FRESADO!$R883*FRESADO!$E883</f>
        <v>2500</v>
      </c>
      <c r="T883" s="230">
        <f>FRESADO!$S883*16%</f>
        <v>400</v>
      </c>
      <c r="U883" s="230">
        <f>FRESADO!$S883+FRESADO!$T883</f>
        <v>2900</v>
      </c>
      <c r="V883" s="31" t="s">
        <v>916</v>
      </c>
      <c r="W883" s="18"/>
      <c r="X883" s="18"/>
      <c r="Y883" s="22"/>
      <c r="Z883" s="18"/>
    </row>
    <row r="884" ht="15.75" customHeight="1">
      <c r="A884" s="108">
        <v>32.0</v>
      </c>
      <c r="B884" s="108">
        <v>36.0</v>
      </c>
      <c r="C884" s="31">
        <v>182.0</v>
      </c>
      <c r="D884" s="118">
        <v>46238.0</v>
      </c>
      <c r="E884" s="31">
        <v>1.0</v>
      </c>
      <c r="F884" s="31" t="s">
        <v>74</v>
      </c>
      <c r="G884" s="31" t="s">
        <v>280</v>
      </c>
      <c r="H884" s="31">
        <v>14.0</v>
      </c>
      <c r="I884" s="31" t="s">
        <v>34</v>
      </c>
      <c r="J884" s="31" t="s">
        <v>272</v>
      </c>
      <c r="K884" s="31" t="s">
        <v>36</v>
      </c>
      <c r="L884" s="18"/>
      <c r="M884" s="18"/>
      <c r="N884" s="31" t="s">
        <v>340</v>
      </c>
      <c r="O884" s="31" t="s">
        <v>189</v>
      </c>
      <c r="P884" s="31" t="s">
        <v>898</v>
      </c>
      <c r="Q884" s="18"/>
      <c r="R884" s="229">
        <v>2500.0</v>
      </c>
      <c r="S884" s="230">
        <f>FRESADO!$R884*FRESADO!$E884</f>
        <v>2500</v>
      </c>
      <c r="T884" s="230">
        <f>FRESADO!$S884*16%</f>
        <v>400</v>
      </c>
      <c r="U884" s="230">
        <f>FRESADO!$S884+FRESADO!$T884</f>
        <v>2900</v>
      </c>
      <c r="V884" s="31" t="s">
        <v>916</v>
      </c>
      <c r="W884" s="18"/>
      <c r="X884" s="18"/>
      <c r="Y884" s="22"/>
      <c r="Z884" s="18"/>
    </row>
    <row r="885" ht="15.75" customHeight="1">
      <c r="A885" s="108">
        <v>32.0</v>
      </c>
      <c r="B885" s="108">
        <v>37.0</v>
      </c>
      <c r="C885" s="31">
        <v>183.0</v>
      </c>
      <c r="D885" s="118">
        <v>46238.0</v>
      </c>
      <c r="E885" s="31">
        <v>1.0</v>
      </c>
      <c r="F885" s="31" t="s">
        <v>74</v>
      </c>
      <c r="G885" s="31" t="s">
        <v>917</v>
      </c>
      <c r="H885" s="31">
        <v>14.0</v>
      </c>
      <c r="I885" s="31" t="s">
        <v>34</v>
      </c>
      <c r="J885" s="31" t="s">
        <v>918</v>
      </c>
      <c r="K885" s="31" t="s">
        <v>36</v>
      </c>
      <c r="L885" s="18"/>
      <c r="M885" s="18"/>
      <c r="N885" s="31" t="s">
        <v>340</v>
      </c>
      <c r="O885" s="31" t="s">
        <v>189</v>
      </c>
      <c r="P885" s="31" t="s">
        <v>898</v>
      </c>
      <c r="Q885" s="18"/>
      <c r="R885" s="229">
        <v>2500.0</v>
      </c>
      <c r="S885" s="230">
        <f>FRESADO!$R885*FRESADO!$E885</f>
        <v>2500</v>
      </c>
      <c r="T885" s="230">
        <f>FRESADO!$S885*16%</f>
        <v>400</v>
      </c>
      <c r="U885" s="230">
        <f>FRESADO!$S885+FRESADO!$T885</f>
        <v>2900</v>
      </c>
      <c r="V885" s="31" t="s">
        <v>916</v>
      </c>
      <c r="W885" s="18"/>
      <c r="X885" s="18"/>
      <c r="Y885" s="22"/>
      <c r="Z885" s="18"/>
    </row>
    <row r="886" ht="15.75" customHeight="1">
      <c r="A886" s="108">
        <v>32.0</v>
      </c>
      <c r="B886" s="108">
        <v>38.0</v>
      </c>
      <c r="C886" s="31">
        <v>184.0</v>
      </c>
      <c r="D886" s="118">
        <v>46238.0</v>
      </c>
      <c r="E886" s="31">
        <v>1.0</v>
      </c>
      <c r="F886" s="31" t="s">
        <v>74</v>
      </c>
      <c r="G886" s="31" t="s">
        <v>347</v>
      </c>
      <c r="H886" s="31">
        <v>14.0</v>
      </c>
      <c r="I886" s="31" t="s">
        <v>34</v>
      </c>
      <c r="J886" s="31" t="s">
        <v>70</v>
      </c>
      <c r="K886" s="31" t="s">
        <v>36</v>
      </c>
      <c r="L886" s="18"/>
      <c r="M886" s="18"/>
      <c r="N886" s="31" t="s">
        <v>340</v>
      </c>
      <c r="O886" s="31" t="s">
        <v>189</v>
      </c>
      <c r="P886" s="31" t="s">
        <v>898</v>
      </c>
      <c r="Q886" s="18"/>
      <c r="R886" s="229">
        <v>2500.0</v>
      </c>
      <c r="S886" s="230">
        <f>FRESADO!$R886*FRESADO!$E886</f>
        <v>2500</v>
      </c>
      <c r="T886" s="230">
        <f>FRESADO!$S886*16%</f>
        <v>400</v>
      </c>
      <c r="U886" s="230">
        <f>FRESADO!$S886+FRESADO!$T886</f>
        <v>2900</v>
      </c>
      <c r="V886" s="31" t="s">
        <v>916</v>
      </c>
      <c r="W886" s="18"/>
      <c r="X886" s="18"/>
      <c r="Y886" s="22"/>
      <c r="Z886" s="18"/>
    </row>
    <row r="887" ht="15.75" customHeight="1">
      <c r="A887" s="108">
        <v>32.0</v>
      </c>
      <c r="B887" s="120"/>
      <c r="C887" s="31">
        <v>185.0</v>
      </c>
      <c r="D887" s="118">
        <v>46238.0</v>
      </c>
      <c r="E887" s="31">
        <v>1.0</v>
      </c>
      <c r="F887" s="31" t="s">
        <v>74</v>
      </c>
      <c r="G887" s="31" t="s">
        <v>690</v>
      </c>
      <c r="H887" s="31">
        <v>14.0</v>
      </c>
      <c r="I887" s="31" t="s">
        <v>34</v>
      </c>
      <c r="J887" s="31" t="s">
        <v>691</v>
      </c>
      <c r="K887" s="31" t="s">
        <v>36</v>
      </c>
      <c r="L887" s="18"/>
      <c r="M887" s="18"/>
      <c r="N887" s="31" t="s">
        <v>340</v>
      </c>
      <c r="O887" s="31" t="s">
        <v>189</v>
      </c>
      <c r="P887" s="31" t="s">
        <v>898</v>
      </c>
      <c r="Q887" s="18"/>
      <c r="R887" s="229">
        <v>2500.0</v>
      </c>
      <c r="S887" s="230">
        <f>FRESADO!$R887*FRESADO!$E887</f>
        <v>2500</v>
      </c>
      <c r="T887" s="230">
        <f>FRESADO!$S887*16%</f>
        <v>400</v>
      </c>
      <c r="U887" s="230">
        <f>FRESADO!$S887+FRESADO!$T887</f>
        <v>2900</v>
      </c>
      <c r="V887" s="31" t="s">
        <v>916</v>
      </c>
      <c r="W887" s="18"/>
      <c r="X887" s="18"/>
      <c r="Y887" s="22"/>
      <c r="Z887" s="18"/>
    </row>
    <row r="888" ht="15.75" customHeight="1">
      <c r="A888" s="108">
        <v>32.0</v>
      </c>
      <c r="B888" s="108">
        <v>39.0</v>
      </c>
      <c r="C888" s="31">
        <v>191.0</v>
      </c>
      <c r="D888" s="118">
        <v>46238.0</v>
      </c>
      <c r="E888" s="31">
        <v>1.0</v>
      </c>
      <c r="F888" s="31" t="s">
        <v>74</v>
      </c>
      <c r="G888" s="31" t="s">
        <v>690</v>
      </c>
      <c r="H888" s="31">
        <v>14.0</v>
      </c>
      <c r="I888" s="31" t="s">
        <v>34</v>
      </c>
      <c r="J888" s="31" t="s">
        <v>691</v>
      </c>
      <c r="K888" s="31" t="s">
        <v>36</v>
      </c>
      <c r="L888" s="18"/>
      <c r="M888" s="18"/>
      <c r="N888" s="31" t="s">
        <v>340</v>
      </c>
      <c r="O888" s="31" t="s">
        <v>189</v>
      </c>
      <c r="P888" s="31" t="s">
        <v>898</v>
      </c>
      <c r="Q888" s="18"/>
      <c r="R888" s="229">
        <v>2500.0</v>
      </c>
      <c r="S888" s="230">
        <f>FRESADO!$R888*FRESADO!$E888</f>
        <v>2500</v>
      </c>
      <c r="T888" s="230">
        <f>FRESADO!$S888*16%</f>
        <v>400</v>
      </c>
      <c r="U888" s="230">
        <f>FRESADO!$S888+FRESADO!$T888</f>
        <v>2900</v>
      </c>
      <c r="V888" s="31" t="s">
        <v>916</v>
      </c>
      <c r="W888" s="18"/>
      <c r="X888" s="18"/>
      <c r="Y888" s="22"/>
      <c r="Z888" s="18"/>
    </row>
    <row r="889" ht="15.75" customHeight="1">
      <c r="A889" s="108">
        <v>32.0</v>
      </c>
      <c r="B889" s="108">
        <v>40.0</v>
      </c>
      <c r="C889" s="31">
        <v>186.0</v>
      </c>
      <c r="D889" s="118">
        <v>46238.0</v>
      </c>
      <c r="E889" s="31">
        <v>1.0</v>
      </c>
      <c r="F889" s="31" t="s">
        <v>388</v>
      </c>
      <c r="G889" s="31" t="s">
        <v>583</v>
      </c>
      <c r="H889" s="31">
        <v>7.0</v>
      </c>
      <c r="I889" s="31" t="s">
        <v>34</v>
      </c>
      <c r="J889" s="31" t="s">
        <v>584</v>
      </c>
      <c r="K889" s="129" t="s">
        <v>50</v>
      </c>
      <c r="L889" s="18"/>
      <c r="M889" s="18"/>
      <c r="N889" s="31" t="s">
        <v>340</v>
      </c>
      <c r="O889" s="31" t="s">
        <v>189</v>
      </c>
      <c r="P889" s="31" t="s">
        <v>898</v>
      </c>
      <c r="Q889" s="31" t="s">
        <v>390</v>
      </c>
      <c r="R889" s="229">
        <v>4500.0</v>
      </c>
      <c r="S889" s="230">
        <f>FRESADO!$R889*FRESADO!$E889</f>
        <v>4500</v>
      </c>
      <c r="T889" s="230">
        <f>FRESADO!$S889*16%</f>
        <v>720</v>
      </c>
      <c r="U889" s="230">
        <f>FRESADO!$S889+FRESADO!$T889</f>
        <v>5220</v>
      </c>
      <c r="V889" s="252" t="s">
        <v>915</v>
      </c>
      <c r="W889" s="18"/>
      <c r="X889" s="18"/>
      <c r="Y889" s="22"/>
      <c r="Z889" s="18"/>
    </row>
    <row r="890" ht="15.75" customHeight="1">
      <c r="A890" s="108">
        <v>32.0</v>
      </c>
      <c r="B890" s="108">
        <v>41.0</v>
      </c>
      <c r="C890" s="31">
        <v>187.0</v>
      </c>
      <c r="D890" s="118">
        <v>46239.0</v>
      </c>
      <c r="E890" s="31">
        <v>1.0</v>
      </c>
      <c r="F890" s="31" t="s">
        <v>74</v>
      </c>
      <c r="G890" s="31" t="s">
        <v>280</v>
      </c>
      <c r="H890" s="31">
        <v>14.0</v>
      </c>
      <c r="I890" s="31" t="s">
        <v>34</v>
      </c>
      <c r="J890" s="31" t="s">
        <v>272</v>
      </c>
      <c r="K890" s="31" t="s">
        <v>36</v>
      </c>
      <c r="L890" s="18"/>
      <c r="M890" s="18"/>
      <c r="N890" s="31" t="s">
        <v>398</v>
      </c>
      <c r="O890" s="31" t="s">
        <v>189</v>
      </c>
      <c r="P890" s="31" t="s">
        <v>898</v>
      </c>
      <c r="Q890" s="31" t="s">
        <v>399</v>
      </c>
      <c r="R890" s="229">
        <v>3855.0</v>
      </c>
      <c r="S890" s="230">
        <f>FRESADO!$R890*FRESADO!$E890</f>
        <v>3855</v>
      </c>
      <c r="T890" s="230">
        <f>FRESADO!$S890*16%</f>
        <v>616.8</v>
      </c>
      <c r="U890" s="230">
        <f>FRESADO!$S890+FRESADO!$T890</f>
        <v>4471.8</v>
      </c>
      <c r="V890" s="31" t="s">
        <v>916</v>
      </c>
      <c r="W890" s="18"/>
      <c r="X890" s="18"/>
      <c r="Y890" s="22"/>
      <c r="Z890" s="18"/>
    </row>
    <row r="891" ht="15.75" customHeight="1">
      <c r="A891" s="108">
        <v>32.0</v>
      </c>
      <c r="B891" s="108">
        <v>42.0</v>
      </c>
      <c r="C891" s="31">
        <v>188.0</v>
      </c>
      <c r="D891" s="118">
        <v>46239.0</v>
      </c>
      <c r="E891" s="31">
        <v>1.0</v>
      </c>
      <c r="F891" s="31" t="s">
        <v>74</v>
      </c>
      <c r="G891" s="31" t="s">
        <v>347</v>
      </c>
      <c r="H891" s="31">
        <v>14.0</v>
      </c>
      <c r="I891" s="31" t="s">
        <v>34</v>
      </c>
      <c r="J891" s="31" t="s">
        <v>70</v>
      </c>
      <c r="K891" s="31" t="s">
        <v>36</v>
      </c>
      <c r="L891" s="18"/>
      <c r="M891" s="18"/>
      <c r="N891" s="31" t="s">
        <v>398</v>
      </c>
      <c r="O891" s="31" t="s">
        <v>189</v>
      </c>
      <c r="P891" s="31" t="s">
        <v>898</v>
      </c>
      <c r="Q891" s="31" t="s">
        <v>399</v>
      </c>
      <c r="R891" s="229">
        <v>3855.0</v>
      </c>
      <c r="S891" s="230">
        <f>FRESADO!$R891*FRESADO!$E891</f>
        <v>3855</v>
      </c>
      <c r="T891" s="230">
        <f>FRESADO!$S891*16%</f>
        <v>616.8</v>
      </c>
      <c r="U891" s="230">
        <f>FRESADO!$S891+FRESADO!$T891</f>
        <v>4471.8</v>
      </c>
      <c r="V891" s="31" t="s">
        <v>916</v>
      </c>
      <c r="W891" s="18"/>
      <c r="X891" s="18"/>
      <c r="Y891" s="22"/>
      <c r="Z891" s="18"/>
    </row>
    <row r="892" ht="15.75" customHeight="1">
      <c r="A892" s="108">
        <v>32.0</v>
      </c>
      <c r="B892" s="108">
        <v>43.0</v>
      </c>
      <c r="C892" s="31">
        <v>189.0</v>
      </c>
      <c r="D892" s="118">
        <v>46239.0</v>
      </c>
      <c r="E892" s="31">
        <v>1.0</v>
      </c>
      <c r="F892" s="31" t="s">
        <v>74</v>
      </c>
      <c r="G892" s="31" t="s">
        <v>690</v>
      </c>
      <c r="H892" s="31">
        <v>14.0</v>
      </c>
      <c r="I892" s="31" t="s">
        <v>34</v>
      </c>
      <c r="J892" s="31" t="s">
        <v>691</v>
      </c>
      <c r="K892" s="31" t="s">
        <v>36</v>
      </c>
      <c r="L892" s="18"/>
      <c r="M892" s="18"/>
      <c r="N892" s="31" t="s">
        <v>398</v>
      </c>
      <c r="O892" s="31" t="s">
        <v>189</v>
      </c>
      <c r="P892" s="31" t="s">
        <v>898</v>
      </c>
      <c r="Q892" s="31" t="s">
        <v>399</v>
      </c>
      <c r="R892" s="229">
        <v>3855.0</v>
      </c>
      <c r="S892" s="230">
        <f>FRESADO!$R892*FRESADO!$E892</f>
        <v>3855</v>
      </c>
      <c r="T892" s="230">
        <f>FRESADO!$S892*16%</f>
        <v>616.8</v>
      </c>
      <c r="U892" s="230">
        <f>FRESADO!$S892+FRESADO!$T892</f>
        <v>4471.8</v>
      </c>
      <c r="V892" s="31" t="s">
        <v>916</v>
      </c>
      <c r="W892" s="18"/>
      <c r="X892" s="18"/>
      <c r="Y892" s="22"/>
      <c r="Z892" s="18"/>
    </row>
    <row r="893" ht="15.75" customHeight="1">
      <c r="A893" s="108">
        <v>32.0</v>
      </c>
      <c r="B893" s="108">
        <v>44.0</v>
      </c>
      <c r="C893" s="31">
        <v>190.0</v>
      </c>
      <c r="D893" s="118">
        <v>46239.0</v>
      </c>
      <c r="E893" s="31">
        <v>1.0</v>
      </c>
      <c r="F893" s="31" t="s">
        <v>74</v>
      </c>
      <c r="G893" s="31" t="s">
        <v>238</v>
      </c>
      <c r="H893" s="31">
        <v>14.0</v>
      </c>
      <c r="I893" s="31" t="s">
        <v>34</v>
      </c>
      <c r="J893" s="31" t="s">
        <v>89</v>
      </c>
      <c r="K893" s="31" t="s">
        <v>36</v>
      </c>
      <c r="L893" s="18"/>
      <c r="M893" s="18"/>
      <c r="N893" s="31" t="s">
        <v>398</v>
      </c>
      <c r="O893" s="31" t="s">
        <v>189</v>
      </c>
      <c r="P893" s="31" t="s">
        <v>898</v>
      </c>
      <c r="Q893" s="31" t="s">
        <v>399</v>
      </c>
      <c r="R893" s="229">
        <v>3855.0</v>
      </c>
      <c r="S893" s="230">
        <f>FRESADO!$R893*FRESADO!$E893</f>
        <v>3855</v>
      </c>
      <c r="T893" s="230">
        <f>FRESADO!$S893*16%</f>
        <v>616.8</v>
      </c>
      <c r="U893" s="230">
        <f>FRESADO!$S893+FRESADO!$T893</f>
        <v>4471.8</v>
      </c>
      <c r="V893" s="31" t="s">
        <v>916</v>
      </c>
      <c r="W893" s="18"/>
      <c r="X893" s="18"/>
      <c r="Y893" s="22"/>
      <c r="Z893" s="18"/>
    </row>
    <row r="894" ht="15.75" customHeight="1">
      <c r="A894" s="108">
        <v>32.0</v>
      </c>
      <c r="B894" s="108">
        <v>45.0</v>
      </c>
      <c r="C894" s="31">
        <v>11.0</v>
      </c>
      <c r="D894" s="118">
        <v>46239.0</v>
      </c>
      <c r="E894" s="31">
        <v>1.0</v>
      </c>
      <c r="F894" s="31" t="s">
        <v>388</v>
      </c>
      <c r="G894" s="31" t="s">
        <v>583</v>
      </c>
      <c r="H894" s="31">
        <v>7.0</v>
      </c>
      <c r="I894" s="31" t="s">
        <v>34</v>
      </c>
      <c r="J894" s="31" t="s">
        <v>584</v>
      </c>
      <c r="K894" s="129" t="s">
        <v>50</v>
      </c>
      <c r="L894" s="18"/>
      <c r="M894" s="18"/>
      <c r="N894" s="31" t="s">
        <v>340</v>
      </c>
      <c r="O894" s="31" t="s">
        <v>189</v>
      </c>
      <c r="P894" s="31" t="s">
        <v>898</v>
      </c>
      <c r="Q894" s="31" t="s">
        <v>390</v>
      </c>
      <c r="R894" s="229">
        <v>4500.0</v>
      </c>
      <c r="S894" s="230">
        <f>FRESADO!$R894*FRESADO!$E894</f>
        <v>4500</v>
      </c>
      <c r="T894" s="230">
        <f>FRESADO!$S894*16%</f>
        <v>720</v>
      </c>
      <c r="U894" s="230">
        <f>FRESADO!$S894+FRESADO!$T894</f>
        <v>5220</v>
      </c>
      <c r="V894" s="252" t="s">
        <v>915</v>
      </c>
      <c r="W894" s="18"/>
      <c r="X894" s="18"/>
      <c r="Y894" s="22"/>
      <c r="Z894" s="18"/>
    </row>
    <row r="895" ht="15.75" customHeight="1">
      <c r="A895" s="108">
        <v>32.0</v>
      </c>
      <c r="B895" s="108">
        <v>46.0</v>
      </c>
      <c r="C895" s="31">
        <v>22.0</v>
      </c>
      <c r="D895" s="118">
        <v>46240.0</v>
      </c>
      <c r="E895" s="31">
        <v>1.0</v>
      </c>
      <c r="F895" s="31" t="s">
        <v>74</v>
      </c>
      <c r="G895" s="31" t="s">
        <v>692</v>
      </c>
      <c r="H895" s="31">
        <v>14.0</v>
      </c>
      <c r="I895" s="31" t="s">
        <v>34</v>
      </c>
      <c r="J895" s="31" t="s">
        <v>693</v>
      </c>
      <c r="K895" s="31" t="s">
        <v>36</v>
      </c>
      <c r="L895" s="18"/>
      <c r="M895" s="18"/>
      <c r="N895" s="31" t="s">
        <v>340</v>
      </c>
      <c r="O895" s="31" t="s">
        <v>189</v>
      </c>
      <c r="P895" s="31" t="s">
        <v>898</v>
      </c>
      <c r="Q895" s="18"/>
      <c r="R895" s="229">
        <v>2500.0</v>
      </c>
      <c r="S895" s="230">
        <f>FRESADO!$R895*FRESADO!$E895</f>
        <v>2500</v>
      </c>
      <c r="T895" s="230">
        <f>FRESADO!$S895*16%</f>
        <v>400</v>
      </c>
      <c r="U895" s="230">
        <f>FRESADO!$S895+FRESADO!$T895</f>
        <v>2900</v>
      </c>
      <c r="V895" s="31" t="s">
        <v>916</v>
      </c>
      <c r="W895" s="18"/>
      <c r="X895" s="18"/>
      <c r="Y895" s="22"/>
      <c r="Z895" s="18"/>
    </row>
    <row r="896" ht="15.75" customHeight="1">
      <c r="A896" s="108">
        <v>32.0</v>
      </c>
      <c r="B896" s="108">
        <v>47.0</v>
      </c>
      <c r="C896" s="31">
        <v>23.0</v>
      </c>
      <c r="D896" s="118">
        <v>46240.0</v>
      </c>
      <c r="E896" s="31">
        <v>1.0</v>
      </c>
      <c r="F896" s="31" t="s">
        <v>74</v>
      </c>
      <c r="G896" s="31" t="s">
        <v>900</v>
      </c>
      <c r="H896" s="31">
        <v>14.0</v>
      </c>
      <c r="I896" s="31" t="s">
        <v>34</v>
      </c>
      <c r="J896" s="31" t="s">
        <v>94</v>
      </c>
      <c r="K896" s="31" t="s">
        <v>36</v>
      </c>
      <c r="L896" s="18"/>
      <c r="M896" s="18"/>
      <c r="N896" s="31" t="s">
        <v>340</v>
      </c>
      <c r="O896" s="31" t="s">
        <v>189</v>
      </c>
      <c r="P896" s="31" t="s">
        <v>898</v>
      </c>
      <c r="Q896" s="18"/>
      <c r="R896" s="229">
        <v>2500.0</v>
      </c>
      <c r="S896" s="230">
        <f>FRESADO!$R896*FRESADO!$E896</f>
        <v>2500</v>
      </c>
      <c r="T896" s="230">
        <f>FRESADO!$S896*16%</f>
        <v>400</v>
      </c>
      <c r="U896" s="230">
        <f>FRESADO!$S896+FRESADO!$T896</f>
        <v>2900</v>
      </c>
      <c r="V896" s="31" t="s">
        <v>916</v>
      </c>
      <c r="W896" s="18"/>
      <c r="X896" s="18"/>
      <c r="Y896" s="22"/>
      <c r="Z896" s="18"/>
    </row>
    <row r="897" ht="15.75" customHeight="1">
      <c r="A897" s="108">
        <v>32.0</v>
      </c>
      <c r="B897" s="108">
        <v>48.0</v>
      </c>
      <c r="C897" s="31">
        <v>24.0</v>
      </c>
      <c r="D897" s="118">
        <v>46240.0</v>
      </c>
      <c r="E897" s="31">
        <v>1.0</v>
      </c>
      <c r="F897" s="31" t="s">
        <v>74</v>
      </c>
      <c r="G897" s="31" t="s">
        <v>690</v>
      </c>
      <c r="H897" s="31">
        <v>14.0</v>
      </c>
      <c r="I897" s="31" t="s">
        <v>34</v>
      </c>
      <c r="J897" s="31" t="s">
        <v>691</v>
      </c>
      <c r="K897" s="31" t="s">
        <v>36</v>
      </c>
      <c r="L897" s="18"/>
      <c r="M897" s="18"/>
      <c r="N897" s="31" t="s">
        <v>340</v>
      </c>
      <c r="O897" s="31" t="s">
        <v>189</v>
      </c>
      <c r="P897" s="31" t="s">
        <v>898</v>
      </c>
      <c r="Q897" s="18"/>
      <c r="R897" s="229">
        <v>2500.0</v>
      </c>
      <c r="S897" s="230">
        <f>FRESADO!$R897*FRESADO!$E897</f>
        <v>2500</v>
      </c>
      <c r="T897" s="230">
        <f>FRESADO!$S897*16%</f>
        <v>400</v>
      </c>
      <c r="U897" s="230">
        <f>FRESADO!$S897+FRESADO!$T897</f>
        <v>2900</v>
      </c>
      <c r="V897" s="31" t="s">
        <v>916</v>
      </c>
      <c r="W897" s="18"/>
      <c r="X897" s="18"/>
      <c r="Y897" s="22"/>
      <c r="Z897" s="18"/>
    </row>
    <row r="898" ht="15.75" customHeight="1">
      <c r="A898" s="108">
        <v>32.0</v>
      </c>
      <c r="B898" s="108">
        <v>49.0</v>
      </c>
      <c r="C898" s="31">
        <v>25.0</v>
      </c>
      <c r="D898" s="118">
        <v>46240.0</v>
      </c>
      <c r="E898" s="31">
        <v>1.0</v>
      </c>
      <c r="F898" s="31" t="s">
        <v>74</v>
      </c>
      <c r="G898" s="31" t="s">
        <v>192</v>
      </c>
      <c r="H898" s="31">
        <v>14.0</v>
      </c>
      <c r="I898" s="31" t="s">
        <v>34</v>
      </c>
      <c r="J898" s="31" t="s">
        <v>41</v>
      </c>
      <c r="K898" s="31" t="s">
        <v>36</v>
      </c>
      <c r="L898" s="18"/>
      <c r="M898" s="18"/>
      <c r="N898" s="31" t="s">
        <v>340</v>
      </c>
      <c r="O898" s="31" t="s">
        <v>189</v>
      </c>
      <c r="P898" s="31" t="s">
        <v>898</v>
      </c>
      <c r="Q898" s="18"/>
      <c r="R898" s="229">
        <v>2500.0</v>
      </c>
      <c r="S898" s="230">
        <f>FRESADO!$R898*FRESADO!$E898</f>
        <v>2500</v>
      </c>
      <c r="T898" s="230">
        <f>FRESADO!$S898*16%</f>
        <v>400</v>
      </c>
      <c r="U898" s="230">
        <f>FRESADO!$S898+FRESADO!$T898</f>
        <v>2900</v>
      </c>
      <c r="V898" s="31" t="s">
        <v>916</v>
      </c>
      <c r="W898" s="18"/>
      <c r="X898" s="18"/>
      <c r="Y898" s="22"/>
      <c r="Z898" s="18"/>
    </row>
    <row r="899" ht="15.75" customHeight="1">
      <c r="A899" s="108">
        <v>32.0</v>
      </c>
      <c r="B899" s="108">
        <v>50.0</v>
      </c>
      <c r="C899" s="31">
        <v>26.0</v>
      </c>
      <c r="D899" s="118">
        <v>46240.0</v>
      </c>
      <c r="E899" s="31">
        <v>1.0</v>
      </c>
      <c r="F899" s="31" t="s">
        <v>74</v>
      </c>
      <c r="G899" s="31" t="s">
        <v>238</v>
      </c>
      <c r="H899" s="31">
        <v>14.0</v>
      </c>
      <c r="I899" s="31" t="s">
        <v>34</v>
      </c>
      <c r="J899" s="31" t="s">
        <v>89</v>
      </c>
      <c r="K899" s="31" t="s">
        <v>36</v>
      </c>
      <c r="L899" s="18"/>
      <c r="M899" s="18"/>
      <c r="N899" s="31" t="s">
        <v>340</v>
      </c>
      <c r="O899" s="31" t="s">
        <v>189</v>
      </c>
      <c r="P899" s="31" t="s">
        <v>898</v>
      </c>
      <c r="Q899" s="18"/>
      <c r="R899" s="229">
        <v>2500.0</v>
      </c>
      <c r="S899" s="230">
        <f>FRESADO!$R899*FRESADO!$E899</f>
        <v>2500</v>
      </c>
      <c r="T899" s="230">
        <f>FRESADO!$S899*16%</f>
        <v>400</v>
      </c>
      <c r="U899" s="230">
        <f>FRESADO!$S899+FRESADO!$T899</f>
        <v>2900</v>
      </c>
      <c r="V899" s="31" t="s">
        <v>916</v>
      </c>
      <c r="W899" s="18"/>
      <c r="X899" s="18"/>
      <c r="Y899" s="22"/>
      <c r="Z899" s="18"/>
    </row>
    <row r="900" ht="15.75" customHeight="1">
      <c r="A900" s="108">
        <v>32.0</v>
      </c>
      <c r="B900" s="108">
        <v>51.0</v>
      </c>
      <c r="C900" s="31">
        <v>27.0</v>
      </c>
      <c r="D900" s="118">
        <v>46240.0</v>
      </c>
      <c r="E900" s="31">
        <v>1.0</v>
      </c>
      <c r="F900" s="31" t="s">
        <v>74</v>
      </c>
      <c r="G900" s="31" t="s">
        <v>917</v>
      </c>
      <c r="H900" s="31">
        <v>14.0</v>
      </c>
      <c r="I900" s="31" t="s">
        <v>34</v>
      </c>
      <c r="J900" s="31" t="s">
        <v>918</v>
      </c>
      <c r="K900" s="31" t="s">
        <v>36</v>
      </c>
      <c r="L900" s="18"/>
      <c r="M900" s="18"/>
      <c r="N900" s="31" t="s">
        <v>340</v>
      </c>
      <c r="O900" s="31" t="s">
        <v>189</v>
      </c>
      <c r="P900" s="31" t="s">
        <v>898</v>
      </c>
      <c r="Q900" s="18"/>
      <c r="R900" s="229">
        <v>2500.0</v>
      </c>
      <c r="S900" s="230">
        <f>FRESADO!$R900*FRESADO!$E900</f>
        <v>2500</v>
      </c>
      <c r="T900" s="230">
        <f>FRESADO!$S900*16%</f>
        <v>400</v>
      </c>
      <c r="U900" s="230">
        <f>FRESADO!$S900+FRESADO!$T900</f>
        <v>2900</v>
      </c>
      <c r="V900" s="31" t="s">
        <v>916</v>
      </c>
      <c r="W900" s="18"/>
      <c r="X900" s="18"/>
      <c r="Y900" s="22"/>
      <c r="Z900" s="18"/>
    </row>
    <row r="901" ht="15.75" customHeight="1">
      <c r="A901" s="108">
        <v>32.0</v>
      </c>
      <c r="B901" s="108">
        <v>52.0</v>
      </c>
      <c r="C901" s="31">
        <v>28.0</v>
      </c>
      <c r="D901" s="118">
        <v>46240.0</v>
      </c>
      <c r="E901" s="31">
        <v>1.0</v>
      </c>
      <c r="F901" s="31" t="s">
        <v>74</v>
      </c>
      <c r="G901" s="31" t="s">
        <v>692</v>
      </c>
      <c r="H901" s="31">
        <v>14.0</v>
      </c>
      <c r="I901" s="31" t="s">
        <v>34</v>
      </c>
      <c r="J901" s="31" t="s">
        <v>693</v>
      </c>
      <c r="K901" s="31" t="s">
        <v>36</v>
      </c>
      <c r="L901" s="18"/>
      <c r="M901" s="18"/>
      <c r="N901" s="31" t="s">
        <v>340</v>
      </c>
      <c r="O901" s="31" t="s">
        <v>189</v>
      </c>
      <c r="P901" s="31" t="s">
        <v>898</v>
      </c>
      <c r="Q901" s="18"/>
      <c r="R901" s="229">
        <v>2500.0</v>
      </c>
      <c r="S901" s="230">
        <f>FRESADO!$R901*FRESADO!$E901</f>
        <v>2500</v>
      </c>
      <c r="T901" s="230">
        <f>FRESADO!$S901*16%</f>
        <v>400</v>
      </c>
      <c r="U901" s="230">
        <f>FRESADO!$S901+FRESADO!$T901</f>
        <v>2900</v>
      </c>
      <c r="V901" s="31" t="s">
        <v>916</v>
      </c>
      <c r="W901" s="18"/>
      <c r="X901" s="18"/>
      <c r="Y901" s="22"/>
      <c r="Z901" s="18"/>
    </row>
    <row r="902" ht="15.75" customHeight="1">
      <c r="A902" s="108">
        <v>32.0</v>
      </c>
      <c r="B902" s="108">
        <v>53.0</v>
      </c>
      <c r="C902" s="31">
        <v>29.0</v>
      </c>
      <c r="D902" s="118">
        <v>46240.0</v>
      </c>
      <c r="E902" s="31">
        <v>1.0</v>
      </c>
      <c r="F902" s="31" t="s">
        <v>74</v>
      </c>
      <c r="G902" s="31" t="s">
        <v>900</v>
      </c>
      <c r="H902" s="31">
        <v>14.0</v>
      </c>
      <c r="I902" s="31" t="s">
        <v>34</v>
      </c>
      <c r="J902" s="31" t="s">
        <v>94</v>
      </c>
      <c r="K902" s="31" t="s">
        <v>36</v>
      </c>
      <c r="L902" s="18"/>
      <c r="M902" s="18"/>
      <c r="N902" s="31" t="s">
        <v>340</v>
      </c>
      <c r="O902" s="31" t="s">
        <v>189</v>
      </c>
      <c r="P902" s="31" t="s">
        <v>898</v>
      </c>
      <c r="Q902" s="18"/>
      <c r="R902" s="229">
        <v>2500.0</v>
      </c>
      <c r="S902" s="230">
        <f>FRESADO!$R902*FRESADO!$E902</f>
        <v>2500</v>
      </c>
      <c r="T902" s="230">
        <f>FRESADO!$S902*16%</f>
        <v>400</v>
      </c>
      <c r="U902" s="230">
        <f>FRESADO!$S902+FRESADO!$T902</f>
        <v>2900</v>
      </c>
      <c r="V902" s="31" t="s">
        <v>916</v>
      </c>
      <c r="W902" s="18"/>
      <c r="X902" s="18"/>
      <c r="Y902" s="22"/>
      <c r="Z902" s="18"/>
    </row>
    <row r="903" ht="15.75" customHeight="1">
      <c r="A903" s="108">
        <v>32.0</v>
      </c>
      <c r="B903" s="108">
        <v>54.0</v>
      </c>
      <c r="C903" s="31">
        <v>30.0</v>
      </c>
      <c r="D903" s="118">
        <v>46240.0</v>
      </c>
      <c r="E903" s="31">
        <v>1.0</v>
      </c>
      <c r="F903" s="31" t="s">
        <v>74</v>
      </c>
      <c r="G903" s="31" t="s">
        <v>690</v>
      </c>
      <c r="H903" s="31">
        <v>14.0</v>
      </c>
      <c r="I903" s="31" t="s">
        <v>34</v>
      </c>
      <c r="J903" s="31" t="s">
        <v>691</v>
      </c>
      <c r="K903" s="31" t="s">
        <v>36</v>
      </c>
      <c r="L903" s="18"/>
      <c r="M903" s="18"/>
      <c r="N903" s="31" t="s">
        <v>340</v>
      </c>
      <c r="O903" s="31" t="s">
        <v>189</v>
      </c>
      <c r="P903" s="31" t="s">
        <v>898</v>
      </c>
      <c r="Q903" s="18"/>
      <c r="R903" s="229">
        <v>2500.0</v>
      </c>
      <c r="S903" s="230">
        <f>FRESADO!$R903*FRESADO!$E903</f>
        <v>2500</v>
      </c>
      <c r="T903" s="230">
        <f>FRESADO!$S903*16%</f>
        <v>400</v>
      </c>
      <c r="U903" s="230">
        <f>FRESADO!$S903+FRESADO!$T903</f>
        <v>2900</v>
      </c>
      <c r="V903" s="31" t="s">
        <v>916</v>
      </c>
      <c r="W903" s="18"/>
      <c r="X903" s="18"/>
      <c r="Y903" s="22"/>
      <c r="Z903" s="18"/>
    </row>
    <row r="904" ht="15.75" customHeight="1">
      <c r="A904" s="108">
        <v>32.0</v>
      </c>
      <c r="B904" s="108">
        <v>55.0</v>
      </c>
      <c r="C904" s="31">
        <v>31.0</v>
      </c>
      <c r="D904" s="118">
        <v>46240.0</v>
      </c>
      <c r="E904" s="31">
        <v>1.0</v>
      </c>
      <c r="F904" s="31" t="s">
        <v>74</v>
      </c>
      <c r="G904" s="31" t="s">
        <v>192</v>
      </c>
      <c r="H904" s="31">
        <v>14.0</v>
      </c>
      <c r="I904" s="31" t="s">
        <v>34</v>
      </c>
      <c r="J904" s="31" t="s">
        <v>41</v>
      </c>
      <c r="K904" s="31" t="s">
        <v>36</v>
      </c>
      <c r="L904" s="18"/>
      <c r="M904" s="18"/>
      <c r="N904" s="31" t="s">
        <v>340</v>
      </c>
      <c r="O904" s="31" t="s">
        <v>189</v>
      </c>
      <c r="P904" s="31" t="s">
        <v>898</v>
      </c>
      <c r="Q904" s="18"/>
      <c r="R904" s="229">
        <v>2500.0</v>
      </c>
      <c r="S904" s="230">
        <f>FRESADO!$R904*FRESADO!$E904</f>
        <v>2500</v>
      </c>
      <c r="T904" s="230">
        <f>FRESADO!$S904*16%</f>
        <v>400</v>
      </c>
      <c r="U904" s="230">
        <f>FRESADO!$S904+FRESADO!$T904</f>
        <v>2900</v>
      </c>
      <c r="V904" s="31" t="s">
        <v>916</v>
      </c>
      <c r="W904" s="18"/>
      <c r="X904" s="18"/>
      <c r="Y904" s="22"/>
      <c r="Z904" s="18"/>
    </row>
    <row r="905" ht="15.75" customHeight="1">
      <c r="A905" s="108">
        <v>32.0</v>
      </c>
      <c r="B905" s="108">
        <v>64.0</v>
      </c>
      <c r="C905" s="31">
        <v>32.0</v>
      </c>
      <c r="D905" s="118">
        <v>46240.0</v>
      </c>
      <c r="E905" s="31">
        <v>1.0</v>
      </c>
      <c r="F905" s="31" t="s">
        <v>74</v>
      </c>
      <c r="G905" s="31" t="s">
        <v>917</v>
      </c>
      <c r="H905" s="31">
        <v>14.0</v>
      </c>
      <c r="I905" s="31" t="s">
        <v>34</v>
      </c>
      <c r="J905" s="31" t="s">
        <v>918</v>
      </c>
      <c r="K905" s="31" t="s">
        <v>36</v>
      </c>
      <c r="L905" s="18"/>
      <c r="M905" s="18"/>
      <c r="N905" s="31" t="s">
        <v>340</v>
      </c>
      <c r="O905" s="31" t="s">
        <v>189</v>
      </c>
      <c r="P905" s="31" t="s">
        <v>898</v>
      </c>
      <c r="Q905" s="18"/>
      <c r="R905" s="229">
        <v>2500.0</v>
      </c>
      <c r="S905" s="230">
        <f>FRESADO!$R905*FRESADO!$E905</f>
        <v>2500</v>
      </c>
      <c r="T905" s="230">
        <f>FRESADO!$S905*16%</f>
        <v>400</v>
      </c>
      <c r="U905" s="230">
        <f>FRESADO!$S905+FRESADO!$T905</f>
        <v>2900</v>
      </c>
      <c r="V905" s="31" t="s">
        <v>916</v>
      </c>
      <c r="W905" s="18"/>
      <c r="X905" s="18"/>
      <c r="Y905" s="22"/>
      <c r="Z905" s="18"/>
    </row>
    <row r="906" ht="15.75" customHeight="1">
      <c r="A906" s="108">
        <v>32.0</v>
      </c>
      <c r="B906" s="108">
        <v>65.0</v>
      </c>
      <c r="C906" s="31">
        <v>33.0</v>
      </c>
      <c r="D906" s="118">
        <v>46240.0</v>
      </c>
      <c r="E906" s="31">
        <v>1.0</v>
      </c>
      <c r="F906" s="31" t="s">
        <v>74</v>
      </c>
      <c r="G906" s="31" t="s">
        <v>900</v>
      </c>
      <c r="H906" s="31">
        <v>14.0</v>
      </c>
      <c r="I906" s="31" t="s">
        <v>34</v>
      </c>
      <c r="J906" s="31" t="s">
        <v>94</v>
      </c>
      <c r="K906" s="31" t="s">
        <v>36</v>
      </c>
      <c r="L906" s="18"/>
      <c r="M906" s="18"/>
      <c r="N906" s="31" t="s">
        <v>340</v>
      </c>
      <c r="O906" s="31" t="s">
        <v>189</v>
      </c>
      <c r="P906" s="31" t="s">
        <v>898</v>
      </c>
      <c r="Q906" s="18"/>
      <c r="R906" s="229">
        <v>2500.0</v>
      </c>
      <c r="S906" s="230">
        <f>FRESADO!$R906*FRESADO!$E906</f>
        <v>2500</v>
      </c>
      <c r="T906" s="230">
        <f>FRESADO!$S906*16%</f>
        <v>400</v>
      </c>
      <c r="U906" s="230">
        <f>FRESADO!$S906+FRESADO!$T906</f>
        <v>2900</v>
      </c>
      <c r="V906" s="31" t="s">
        <v>916</v>
      </c>
      <c r="W906" s="18"/>
      <c r="X906" s="18"/>
      <c r="Y906" s="22"/>
      <c r="Z906" s="18"/>
    </row>
    <row r="907" ht="15.75" customHeight="1">
      <c r="A907" s="108">
        <v>32.0</v>
      </c>
      <c r="B907" s="108">
        <v>66.0</v>
      </c>
      <c r="C907" s="31">
        <v>34.0</v>
      </c>
      <c r="D907" s="118">
        <v>46240.0</v>
      </c>
      <c r="E907" s="31">
        <v>1.0</v>
      </c>
      <c r="F907" s="31" t="s">
        <v>74</v>
      </c>
      <c r="G907" s="31" t="s">
        <v>280</v>
      </c>
      <c r="H907" s="31">
        <v>14.0</v>
      </c>
      <c r="I907" s="31" t="s">
        <v>34</v>
      </c>
      <c r="J907" s="31" t="s">
        <v>272</v>
      </c>
      <c r="K907" s="31" t="s">
        <v>36</v>
      </c>
      <c r="L907" s="18"/>
      <c r="M907" s="18"/>
      <c r="N907" s="31" t="s">
        <v>340</v>
      </c>
      <c r="O907" s="31" t="s">
        <v>189</v>
      </c>
      <c r="P907" s="31" t="s">
        <v>898</v>
      </c>
      <c r="Q907" s="18"/>
      <c r="R907" s="229">
        <v>2500.0</v>
      </c>
      <c r="S907" s="230">
        <f>FRESADO!$R907*FRESADO!$E907</f>
        <v>2500</v>
      </c>
      <c r="T907" s="230">
        <f>FRESADO!$S907*16%</f>
        <v>400</v>
      </c>
      <c r="U907" s="230">
        <f>FRESADO!$S907+FRESADO!$T907</f>
        <v>2900</v>
      </c>
      <c r="V907" s="31" t="s">
        <v>916</v>
      </c>
      <c r="W907" s="18"/>
      <c r="X907" s="18"/>
      <c r="Y907" s="22"/>
      <c r="Z907" s="18"/>
    </row>
    <row r="908" ht="15.75" customHeight="1">
      <c r="A908" s="108">
        <v>32.0</v>
      </c>
      <c r="B908" s="108">
        <v>67.0</v>
      </c>
      <c r="C908" s="31">
        <v>35.0</v>
      </c>
      <c r="D908" s="118">
        <v>46240.0</v>
      </c>
      <c r="E908" s="31">
        <v>1.0</v>
      </c>
      <c r="F908" s="31" t="s">
        <v>74</v>
      </c>
      <c r="G908" s="31" t="s">
        <v>347</v>
      </c>
      <c r="H908" s="31">
        <v>14.0</v>
      </c>
      <c r="I908" s="31" t="s">
        <v>34</v>
      </c>
      <c r="J908" s="31" t="s">
        <v>70</v>
      </c>
      <c r="K908" s="31" t="s">
        <v>36</v>
      </c>
      <c r="L908" s="18"/>
      <c r="M908" s="18"/>
      <c r="N908" s="31" t="s">
        <v>340</v>
      </c>
      <c r="O908" s="31" t="s">
        <v>189</v>
      </c>
      <c r="P908" s="31" t="s">
        <v>898</v>
      </c>
      <c r="Q908" s="18"/>
      <c r="R908" s="229">
        <v>2500.0</v>
      </c>
      <c r="S908" s="230">
        <f>FRESADO!$R908*FRESADO!$E908</f>
        <v>2500</v>
      </c>
      <c r="T908" s="230">
        <f>FRESADO!$S908*16%</f>
        <v>400</v>
      </c>
      <c r="U908" s="230">
        <f>FRESADO!$S908+FRESADO!$T908</f>
        <v>2900</v>
      </c>
      <c r="V908" s="31" t="s">
        <v>916</v>
      </c>
      <c r="W908" s="18"/>
      <c r="X908" s="18"/>
      <c r="Y908" s="22"/>
      <c r="Z908" s="18"/>
    </row>
    <row r="909" ht="15.75" customHeight="1">
      <c r="A909" s="108">
        <v>32.0</v>
      </c>
      <c r="B909" s="108">
        <v>68.0</v>
      </c>
      <c r="C909" s="31">
        <v>36.0</v>
      </c>
      <c r="D909" s="118">
        <v>46240.0</v>
      </c>
      <c r="E909" s="31">
        <v>1.0</v>
      </c>
      <c r="F909" s="31" t="s">
        <v>74</v>
      </c>
      <c r="G909" s="31" t="s">
        <v>690</v>
      </c>
      <c r="H909" s="31">
        <v>14.0</v>
      </c>
      <c r="I909" s="31" t="s">
        <v>34</v>
      </c>
      <c r="J909" s="31" t="s">
        <v>691</v>
      </c>
      <c r="K909" s="31" t="s">
        <v>36</v>
      </c>
      <c r="L909" s="18"/>
      <c r="M909" s="18"/>
      <c r="N909" s="31" t="s">
        <v>340</v>
      </c>
      <c r="O909" s="31" t="s">
        <v>189</v>
      </c>
      <c r="P909" s="31" t="s">
        <v>898</v>
      </c>
      <c r="Q909" s="18"/>
      <c r="R909" s="229">
        <v>2500.0</v>
      </c>
      <c r="S909" s="230">
        <f>FRESADO!$R909*FRESADO!$E909</f>
        <v>2500</v>
      </c>
      <c r="T909" s="230">
        <f>FRESADO!$S909*16%</f>
        <v>400</v>
      </c>
      <c r="U909" s="230">
        <f>FRESADO!$S909+FRESADO!$T909</f>
        <v>2900</v>
      </c>
      <c r="V909" s="31" t="s">
        <v>916</v>
      </c>
      <c r="W909" s="18"/>
      <c r="X909" s="18"/>
      <c r="Y909" s="22"/>
      <c r="Z909" s="18"/>
    </row>
    <row r="910" ht="15.75" customHeight="1">
      <c r="A910" s="108">
        <v>32.0</v>
      </c>
      <c r="B910" s="108">
        <v>69.0</v>
      </c>
      <c r="C910" s="31">
        <v>37.0</v>
      </c>
      <c r="D910" s="118">
        <v>46240.0</v>
      </c>
      <c r="E910" s="31">
        <v>1.0</v>
      </c>
      <c r="F910" s="31" t="s">
        <v>74</v>
      </c>
      <c r="G910" s="31" t="s">
        <v>692</v>
      </c>
      <c r="H910" s="31">
        <v>14.0</v>
      </c>
      <c r="I910" s="31" t="s">
        <v>34</v>
      </c>
      <c r="J910" s="31" t="s">
        <v>693</v>
      </c>
      <c r="K910" s="31" t="s">
        <v>36</v>
      </c>
      <c r="L910" s="18"/>
      <c r="M910" s="18"/>
      <c r="N910" s="31" t="s">
        <v>340</v>
      </c>
      <c r="O910" s="31" t="s">
        <v>189</v>
      </c>
      <c r="P910" s="31" t="s">
        <v>898</v>
      </c>
      <c r="Q910" s="18"/>
      <c r="R910" s="229">
        <v>2500.0</v>
      </c>
      <c r="S910" s="230">
        <f>FRESADO!$R910*FRESADO!$E910</f>
        <v>2500</v>
      </c>
      <c r="T910" s="230">
        <f>FRESADO!$S910*16%</f>
        <v>400</v>
      </c>
      <c r="U910" s="230">
        <f>FRESADO!$S910+FRESADO!$T910</f>
        <v>2900</v>
      </c>
      <c r="V910" s="31" t="s">
        <v>916</v>
      </c>
      <c r="W910" s="18"/>
      <c r="X910" s="18"/>
      <c r="Y910" s="22"/>
      <c r="Z910" s="18"/>
    </row>
    <row r="911" ht="15.75" customHeight="1">
      <c r="A911" s="108">
        <v>32.0</v>
      </c>
      <c r="B911" s="108">
        <v>70.0</v>
      </c>
      <c r="C911" s="31">
        <v>38.0</v>
      </c>
      <c r="D911" s="118">
        <v>46240.0</v>
      </c>
      <c r="E911" s="31">
        <v>1.0</v>
      </c>
      <c r="F911" s="31" t="s">
        <v>74</v>
      </c>
      <c r="G911" s="31" t="s">
        <v>192</v>
      </c>
      <c r="H911" s="31">
        <v>14.0</v>
      </c>
      <c r="I911" s="31" t="s">
        <v>34</v>
      </c>
      <c r="J911" s="31" t="s">
        <v>41</v>
      </c>
      <c r="K911" s="31" t="s">
        <v>36</v>
      </c>
      <c r="L911" s="18"/>
      <c r="M911" s="18"/>
      <c r="N911" s="31" t="s">
        <v>340</v>
      </c>
      <c r="O911" s="31" t="s">
        <v>189</v>
      </c>
      <c r="P911" s="31" t="s">
        <v>898</v>
      </c>
      <c r="Q911" s="18"/>
      <c r="R911" s="229">
        <v>2500.0</v>
      </c>
      <c r="S911" s="230">
        <f>FRESADO!$R911*FRESADO!$E911</f>
        <v>2500</v>
      </c>
      <c r="T911" s="230">
        <f>FRESADO!$S911*16%</f>
        <v>400</v>
      </c>
      <c r="U911" s="230">
        <f>FRESADO!$S911+FRESADO!$T911</f>
        <v>2900</v>
      </c>
      <c r="V911" s="31" t="s">
        <v>916</v>
      </c>
      <c r="W911" s="18"/>
      <c r="X911" s="18"/>
      <c r="Y911" s="22"/>
      <c r="Z911" s="18"/>
    </row>
    <row r="912" ht="15.75" customHeight="1">
      <c r="A912" s="108">
        <v>32.0</v>
      </c>
      <c r="B912" s="108">
        <v>71.0</v>
      </c>
      <c r="C912" s="31">
        <v>39.0</v>
      </c>
      <c r="D912" s="118">
        <v>46241.0</v>
      </c>
      <c r="E912" s="31">
        <v>1.0</v>
      </c>
      <c r="F912" s="31" t="s">
        <v>74</v>
      </c>
      <c r="G912" s="31" t="s">
        <v>900</v>
      </c>
      <c r="H912" s="31">
        <v>14.0</v>
      </c>
      <c r="I912" s="31" t="s">
        <v>34</v>
      </c>
      <c r="J912" s="31" t="s">
        <v>94</v>
      </c>
      <c r="K912" s="31" t="s">
        <v>36</v>
      </c>
      <c r="L912" s="18"/>
      <c r="M912" s="18"/>
      <c r="N912" s="31" t="s">
        <v>340</v>
      </c>
      <c r="O912" s="31" t="s">
        <v>189</v>
      </c>
      <c r="P912" s="31" t="s">
        <v>898</v>
      </c>
      <c r="Q912" s="18"/>
      <c r="R912" s="229">
        <v>2500.0</v>
      </c>
      <c r="S912" s="230">
        <f>FRESADO!$R912*FRESADO!$E912</f>
        <v>2500</v>
      </c>
      <c r="T912" s="230">
        <f>FRESADO!$S912*16%</f>
        <v>400</v>
      </c>
      <c r="U912" s="230">
        <f>FRESADO!$S912+FRESADO!$T912</f>
        <v>2900</v>
      </c>
      <c r="V912" s="31" t="s">
        <v>916</v>
      </c>
      <c r="W912" s="18"/>
      <c r="X912" s="18"/>
      <c r="Y912" s="22"/>
      <c r="Z912" s="18"/>
    </row>
    <row r="913" ht="15.75" customHeight="1">
      <c r="A913" s="108">
        <v>32.0</v>
      </c>
      <c r="B913" s="108">
        <v>72.0</v>
      </c>
      <c r="C913" s="31">
        <v>40.0</v>
      </c>
      <c r="D913" s="118">
        <v>46241.0</v>
      </c>
      <c r="E913" s="31">
        <v>1.0</v>
      </c>
      <c r="F913" s="31" t="s">
        <v>74</v>
      </c>
      <c r="G913" s="31" t="s">
        <v>692</v>
      </c>
      <c r="H913" s="31">
        <v>14.0</v>
      </c>
      <c r="I913" s="31" t="s">
        <v>34</v>
      </c>
      <c r="J913" s="31" t="s">
        <v>693</v>
      </c>
      <c r="K913" s="31" t="s">
        <v>36</v>
      </c>
      <c r="L913" s="18"/>
      <c r="M913" s="18"/>
      <c r="N913" s="31" t="s">
        <v>340</v>
      </c>
      <c r="O913" s="31" t="s">
        <v>189</v>
      </c>
      <c r="P913" s="31" t="s">
        <v>898</v>
      </c>
      <c r="Q913" s="18"/>
      <c r="R913" s="229">
        <v>2500.0</v>
      </c>
      <c r="S913" s="230">
        <f>FRESADO!$R913*FRESADO!$E913</f>
        <v>2500</v>
      </c>
      <c r="T913" s="230">
        <f>FRESADO!$S913*16%</f>
        <v>400</v>
      </c>
      <c r="U913" s="230">
        <f>FRESADO!$S913+FRESADO!$T913</f>
        <v>2900</v>
      </c>
      <c r="V913" s="31" t="s">
        <v>916</v>
      </c>
      <c r="W913" s="18"/>
      <c r="X913" s="18"/>
      <c r="Y913" s="22"/>
      <c r="Z913" s="18"/>
    </row>
    <row r="914" ht="15.75" customHeight="1">
      <c r="A914" s="108">
        <v>32.0</v>
      </c>
      <c r="B914" s="108">
        <v>73.0</v>
      </c>
      <c r="C914" s="31">
        <v>41.0</v>
      </c>
      <c r="D914" s="118">
        <v>46241.0</v>
      </c>
      <c r="E914" s="31">
        <v>1.0</v>
      </c>
      <c r="F914" s="31" t="s">
        <v>74</v>
      </c>
      <c r="G914" s="31" t="s">
        <v>280</v>
      </c>
      <c r="H914" s="31">
        <v>14.0</v>
      </c>
      <c r="I914" s="31" t="s">
        <v>34</v>
      </c>
      <c r="J914" s="31" t="s">
        <v>272</v>
      </c>
      <c r="K914" s="31" t="s">
        <v>36</v>
      </c>
      <c r="L914" s="18"/>
      <c r="M914" s="18"/>
      <c r="N914" s="31" t="s">
        <v>340</v>
      </c>
      <c r="O914" s="31" t="s">
        <v>189</v>
      </c>
      <c r="P914" s="31" t="s">
        <v>898</v>
      </c>
      <c r="Q914" s="18"/>
      <c r="R914" s="229">
        <v>2500.0</v>
      </c>
      <c r="S914" s="230">
        <f>FRESADO!$R914*FRESADO!$E914</f>
        <v>2500</v>
      </c>
      <c r="T914" s="230">
        <f>FRESADO!$S914*16%</f>
        <v>400</v>
      </c>
      <c r="U914" s="230">
        <f>FRESADO!$S914+FRESADO!$T914</f>
        <v>2900</v>
      </c>
      <c r="V914" s="31" t="s">
        <v>916</v>
      </c>
      <c r="W914" s="18"/>
      <c r="X914" s="18"/>
      <c r="Y914" s="22"/>
      <c r="Z914" s="18"/>
    </row>
    <row r="915" ht="15.75" customHeight="1">
      <c r="A915" s="108">
        <v>32.0</v>
      </c>
      <c r="B915" s="108">
        <v>74.0</v>
      </c>
      <c r="C915" s="31">
        <v>42.0</v>
      </c>
      <c r="D915" s="118">
        <v>46241.0</v>
      </c>
      <c r="E915" s="31">
        <v>1.0</v>
      </c>
      <c r="F915" s="31" t="s">
        <v>74</v>
      </c>
      <c r="G915" s="31" t="s">
        <v>347</v>
      </c>
      <c r="H915" s="31">
        <v>14.0</v>
      </c>
      <c r="I915" s="31" t="s">
        <v>34</v>
      </c>
      <c r="J915" s="31" t="s">
        <v>70</v>
      </c>
      <c r="K915" s="31" t="s">
        <v>36</v>
      </c>
      <c r="L915" s="18"/>
      <c r="M915" s="18"/>
      <c r="N915" s="31" t="s">
        <v>340</v>
      </c>
      <c r="O915" s="31" t="s">
        <v>189</v>
      </c>
      <c r="P915" s="31" t="s">
        <v>898</v>
      </c>
      <c r="Q915" s="18"/>
      <c r="R915" s="229">
        <v>2500.0</v>
      </c>
      <c r="S915" s="230">
        <f>FRESADO!$R915*FRESADO!$E915</f>
        <v>2500</v>
      </c>
      <c r="T915" s="230">
        <f>FRESADO!$S915*16%</f>
        <v>400</v>
      </c>
      <c r="U915" s="230">
        <f>FRESADO!$S915+FRESADO!$T915</f>
        <v>2900</v>
      </c>
      <c r="V915" s="31" t="s">
        <v>916</v>
      </c>
      <c r="W915" s="18"/>
      <c r="X915" s="18"/>
      <c r="Y915" s="22"/>
      <c r="Z915" s="18"/>
    </row>
    <row r="916" ht="15.75" customHeight="1">
      <c r="A916" s="108">
        <v>32.0</v>
      </c>
      <c r="B916" s="108">
        <v>75.0</v>
      </c>
      <c r="C916" s="31">
        <v>43.0</v>
      </c>
      <c r="D916" s="118">
        <v>46241.0</v>
      </c>
      <c r="E916" s="31">
        <v>1.0</v>
      </c>
      <c r="F916" s="31" t="s">
        <v>74</v>
      </c>
      <c r="G916" s="31" t="s">
        <v>917</v>
      </c>
      <c r="H916" s="31">
        <v>14.0</v>
      </c>
      <c r="I916" s="31" t="s">
        <v>34</v>
      </c>
      <c r="J916" s="31" t="s">
        <v>918</v>
      </c>
      <c r="K916" s="31" t="s">
        <v>36</v>
      </c>
      <c r="L916" s="18"/>
      <c r="M916" s="18"/>
      <c r="N916" s="31" t="s">
        <v>340</v>
      </c>
      <c r="O916" s="31" t="s">
        <v>189</v>
      </c>
      <c r="P916" s="31" t="s">
        <v>898</v>
      </c>
      <c r="Q916" s="18"/>
      <c r="R916" s="229">
        <v>2500.0</v>
      </c>
      <c r="S916" s="230">
        <f>FRESADO!$R916*FRESADO!$E916</f>
        <v>2500</v>
      </c>
      <c r="T916" s="230">
        <f>FRESADO!$S916*16%</f>
        <v>400</v>
      </c>
      <c r="U916" s="230">
        <f>FRESADO!$S916+FRESADO!$T916</f>
        <v>2900</v>
      </c>
      <c r="V916" s="31" t="s">
        <v>916</v>
      </c>
      <c r="W916" s="18"/>
      <c r="X916" s="18"/>
      <c r="Y916" s="22"/>
      <c r="Z916" s="18"/>
    </row>
    <row r="917" ht="15.75" customHeight="1">
      <c r="A917" s="108">
        <v>32.0</v>
      </c>
      <c r="B917" s="108">
        <v>76.0</v>
      </c>
      <c r="C917" s="31">
        <v>44.0</v>
      </c>
      <c r="D917" s="118">
        <v>46241.0</v>
      </c>
      <c r="E917" s="31">
        <v>1.0</v>
      </c>
      <c r="F917" s="31" t="s">
        <v>74</v>
      </c>
      <c r="G917" s="31" t="s">
        <v>900</v>
      </c>
      <c r="H917" s="31">
        <v>14.0</v>
      </c>
      <c r="I917" s="31" t="s">
        <v>34</v>
      </c>
      <c r="J917" s="31" t="s">
        <v>94</v>
      </c>
      <c r="K917" s="31" t="s">
        <v>36</v>
      </c>
      <c r="L917" s="18"/>
      <c r="M917" s="18"/>
      <c r="N917" s="31" t="s">
        <v>340</v>
      </c>
      <c r="O917" s="31" t="s">
        <v>189</v>
      </c>
      <c r="P917" s="31" t="s">
        <v>898</v>
      </c>
      <c r="Q917" s="18"/>
      <c r="R917" s="229">
        <v>2500.0</v>
      </c>
      <c r="S917" s="230">
        <f>FRESADO!$R917*FRESADO!$E917</f>
        <v>2500</v>
      </c>
      <c r="T917" s="230">
        <f>FRESADO!$S917*16%</f>
        <v>400</v>
      </c>
      <c r="U917" s="230">
        <f>FRESADO!$S917+FRESADO!$T917</f>
        <v>2900</v>
      </c>
      <c r="V917" s="31" t="s">
        <v>916</v>
      </c>
      <c r="W917" s="18"/>
      <c r="X917" s="18"/>
      <c r="Y917" s="22"/>
      <c r="Z917" s="18"/>
    </row>
    <row r="918" ht="15.75" customHeight="1">
      <c r="A918" s="108">
        <v>32.0</v>
      </c>
      <c r="B918" s="108">
        <v>77.0</v>
      </c>
      <c r="C918" s="31">
        <v>45.0</v>
      </c>
      <c r="D918" s="118">
        <v>46241.0</v>
      </c>
      <c r="E918" s="31">
        <v>1.0</v>
      </c>
      <c r="F918" s="31" t="s">
        <v>74</v>
      </c>
      <c r="G918" s="31" t="s">
        <v>280</v>
      </c>
      <c r="H918" s="31">
        <v>14.0</v>
      </c>
      <c r="I918" s="31" t="s">
        <v>34</v>
      </c>
      <c r="J918" s="31" t="s">
        <v>272</v>
      </c>
      <c r="K918" s="31" t="s">
        <v>36</v>
      </c>
      <c r="L918" s="18"/>
      <c r="M918" s="18"/>
      <c r="N918" s="31" t="s">
        <v>340</v>
      </c>
      <c r="O918" s="31" t="s">
        <v>189</v>
      </c>
      <c r="P918" s="31" t="s">
        <v>898</v>
      </c>
      <c r="Q918" s="18"/>
      <c r="R918" s="229">
        <v>2500.0</v>
      </c>
      <c r="S918" s="230">
        <f>FRESADO!$R918*FRESADO!$E918</f>
        <v>2500</v>
      </c>
      <c r="T918" s="230">
        <f>FRESADO!$S918*16%</f>
        <v>400</v>
      </c>
      <c r="U918" s="230">
        <f>FRESADO!$S918+FRESADO!$T918</f>
        <v>2900</v>
      </c>
      <c r="V918" s="31" t="s">
        <v>916</v>
      </c>
      <c r="W918" s="18"/>
      <c r="X918" s="18"/>
      <c r="Y918" s="22"/>
      <c r="Z918" s="18"/>
    </row>
    <row r="919" ht="15.75" customHeight="1">
      <c r="A919" s="108">
        <v>32.0</v>
      </c>
      <c r="B919" s="108">
        <v>78.0</v>
      </c>
      <c r="C919" s="31">
        <v>46.0</v>
      </c>
      <c r="D919" s="118">
        <v>46241.0</v>
      </c>
      <c r="E919" s="31">
        <v>1.0</v>
      </c>
      <c r="F919" s="31" t="s">
        <v>74</v>
      </c>
      <c r="G919" s="31" t="s">
        <v>347</v>
      </c>
      <c r="H919" s="31">
        <v>14.0</v>
      </c>
      <c r="I919" s="31" t="s">
        <v>34</v>
      </c>
      <c r="J919" s="31" t="s">
        <v>70</v>
      </c>
      <c r="K919" s="31" t="s">
        <v>36</v>
      </c>
      <c r="L919" s="18"/>
      <c r="M919" s="18"/>
      <c r="N919" s="31" t="s">
        <v>340</v>
      </c>
      <c r="O919" s="31" t="s">
        <v>189</v>
      </c>
      <c r="P919" s="31" t="s">
        <v>898</v>
      </c>
      <c r="Q919" s="18"/>
      <c r="R919" s="229">
        <v>2500.0</v>
      </c>
      <c r="S919" s="230">
        <f>FRESADO!$R919*FRESADO!$E919</f>
        <v>2500</v>
      </c>
      <c r="T919" s="230">
        <f>FRESADO!$S919*16%</f>
        <v>400</v>
      </c>
      <c r="U919" s="230">
        <f>FRESADO!$S919+FRESADO!$T919</f>
        <v>2900</v>
      </c>
      <c r="V919" s="31" t="s">
        <v>916</v>
      </c>
      <c r="W919" s="18"/>
      <c r="X919" s="18"/>
      <c r="Y919" s="22"/>
      <c r="Z919" s="18"/>
    </row>
    <row r="920" ht="15.75" customHeight="1">
      <c r="A920" s="108">
        <v>32.0</v>
      </c>
      <c r="B920" s="108">
        <v>79.0</v>
      </c>
      <c r="C920" s="31">
        <v>47.0</v>
      </c>
      <c r="D920" s="118">
        <v>46241.0</v>
      </c>
      <c r="E920" s="31">
        <v>1.0</v>
      </c>
      <c r="F920" s="31" t="s">
        <v>74</v>
      </c>
      <c r="G920" s="31" t="s">
        <v>917</v>
      </c>
      <c r="H920" s="31">
        <v>14.0</v>
      </c>
      <c r="I920" s="31" t="s">
        <v>34</v>
      </c>
      <c r="J920" s="31" t="s">
        <v>918</v>
      </c>
      <c r="K920" s="31" t="s">
        <v>36</v>
      </c>
      <c r="L920" s="18"/>
      <c r="M920" s="18"/>
      <c r="N920" s="31" t="s">
        <v>340</v>
      </c>
      <c r="O920" s="31" t="s">
        <v>189</v>
      </c>
      <c r="P920" s="31" t="s">
        <v>898</v>
      </c>
      <c r="Q920" s="18"/>
      <c r="R920" s="229">
        <v>2500.0</v>
      </c>
      <c r="S920" s="230">
        <f>FRESADO!$R920*FRESADO!$E920</f>
        <v>2500</v>
      </c>
      <c r="T920" s="230">
        <f>FRESADO!$S920*16%</f>
        <v>400</v>
      </c>
      <c r="U920" s="230">
        <f>FRESADO!$S920+FRESADO!$T920</f>
        <v>2900</v>
      </c>
      <c r="V920" s="31" t="s">
        <v>916</v>
      </c>
      <c r="W920" s="18"/>
      <c r="X920" s="18"/>
      <c r="Y920" s="22"/>
      <c r="Z920" s="18"/>
    </row>
    <row r="921" ht="15.75" customHeight="1">
      <c r="A921" s="108">
        <v>32.0</v>
      </c>
      <c r="B921" s="108">
        <v>80.0</v>
      </c>
      <c r="C921" s="31">
        <v>48.0</v>
      </c>
      <c r="D921" s="118">
        <v>46241.0</v>
      </c>
      <c r="E921" s="31">
        <v>1.0</v>
      </c>
      <c r="F921" s="31" t="s">
        <v>74</v>
      </c>
      <c r="G921" s="31" t="s">
        <v>692</v>
      </c>
      <c r="H921" s="31">
        <v>14.0</v>
      </c>
      <c r="I921" s="31" t="s">
        <v>34</v>
      </c>
      <c r="J921" s="31" t="s">
        <v>693</v>
      </c>
      <c r="K921" s="31" t="s">
        <v>36</v>
      </c>
      <c r="L921" s="18"/>
      <c r="M921" s="18"/>
      <c r="N921" s="31" t="s">
        <v>340</v>
      </c>
      <c r="O921" s="31" t="s">
        <v>189</v>
      </c>
      <c r="P921" s="31" t="s">
        <v>898</v>
      </c>
      <c r="Q921" s="18"/>
      <c r="R921" s="229">
        <v>2500.0</v>
      </c>
      <c r="S921" s="230">
        <f>FRESADO!$R921*FRESADO!$E921</f>
        <v>2500</v>
      </c>
      <c r="T921" s="230">
        <f>FRESADO!$S921*16%</f>
        <v>400</v>
      </c>
      <c r="U921" s="230">
        <f>FRESADO!$S921+FRESADO!$T921</f>
        <v>2900</v>
      </c>
      <c r="V921" s="31" t="s">
        <v>916</v>
      </c>
      <c r="W921" s="18"/>
      <c r="X921" s="18"/>
      <c r="Y921" s="22"/>
      <c r="Z921" s="18"/>
    </row>
    <row r="922" ht="15.75" customHeight="1">
      <c r="A922" s="108">
        <v>32.0</v>
      </c>
      <c r="B922" s="108">
        <v>81.0</v>
      </c>
      <c r="C922" s="31">
        <v>49.0</v>
      </c>
      <c r="D922" s="118">
        <v>46241.0</v>
      </c>
      <c r="E922" s="31">
        <v>1.0</v>
      </c>
      <c r="F922" s="31" t="s">
        <v>74</v>
      </c>
      <c r="G922" s="31" t="s">
        <v>692</v>
      </c>
      <c r="H922" s="31">
        <v>14.0</v>
      </c>
      <c r="I922" s="31" t="s">
        <v>34</v>
      </c>
      <c r="J922" s="31" t="s">
        <v>693</v>
      </c>
      <c r="K922" s="31" t="s">
        <v>36</v>
      </c>
      <c r="L922" s="18"/>
      <c r="M922" s="18"/>
      <c r="N922" s="31" t="s">
        <v>340</v>
      </c>
      <c r="O922" s="31" t="s">
        <v>189</v>
      </c>
      <c r="P922" s="31" t="s">
        <v>898</v>
      </c>
      <c r="Q922" s="18"/>
      <c r="R922" s="229">
        <v>2500.0</v>
      </c>
      <c r="S922" s="230">
        <f>FRESADO!$R922*FRESADO!$E922</f>
        <v>2500</v>
      </c>
      <c r="T922" s="230">
        <f>FRESADO!$S922*16%</f>
        <v>400</v>
      </c>
      <c r="U922" s="230">
        <f>FRESADO!$S922+FRESADO!$T922</f>
        <v>2900</v>
      </c>
      <c r="V922" s="31" t="s">
        <v>916</v>
      </c>
      <c r="W922" s="18"/>
      <c r="X922" s="18"/>
      <c r="Y922" s="22"/>
      <c r="Z922" s="18"/>
    </row>
    <row r="923" ht="15.75" customHeight="1">
      <c r="A923" s="108">
        <v>32.0</v>
      </c>
      <c r="B923" s="108">
        <v>82.0</v>
      </c>
      <c r="C923" s="31">
        <v>50.0</v>
      </c>
      <c r="D923" s="118">
        <v>46241.0</v>
      </c>
      <c r="E923" s="31">
        <v>1.0</v>
      </c>
      <c r="F923" s="31" t="s">
        <v>74</v>
      </c>
      <c r="G923" s="31" t="s">
        <v>900</v>
      </c>
      <c r="H923" s="31">
        <v>14.0</v>
      </c>
      <c r="I923" s="31" t="s">
        <v>34</v>
      </c>
      <c r="J923" s="31" t="s">
        <v>94</v>
      </c>
      <c r="K923" s="31" t="s">
        <v>36</v>
      </c>
      <c r="L923" s="18"/>
      <c r="M923" s="18"/>
      <c r="N923" s="31" t="s">
        <v>340</v>
      </c>
      <c r="O923" s="31" t="s">
        <v>189</v>
      </c>
      <c r="P923" s="31" t="s">
        <v>898</v>
      </c>
      <c r="Q923" s="18"/>
      <c r="R923" s="229">
        <v>2500.0</v>
      </c>
      <c r="S923" s="230">
        <f>FRESADO!$R923*FRESADO!$E923</f>
        <v>2500</v>
      </c>
      <c r="T923" s="230">
        <f>FRESADO!$S923*16%</f>
        <v>400</v>
      </c>
      <c r="U923" s="230">
        <f>FRESADO!$S923+FRESADO!$T923</f>
        <v>2900</v>
      </c>
      <c r="V923" s="31" t="s">
        <v>916</v>
      </c>
      <c r="W923" s="18"/>
      <c r="X923" s="18"/>
      <c r="Y923" s="22"/>
      <c r="Z923" s="18"/>
    </row>
    <row r="924" ht="15.75" customHeight="1">
      <c r="A924" s="108">
        <v>32.0</v>
      </c>
      <c r="B924" s="108">
        <v>83.0</v>
      </c>
      <c r="C924" s="31">
        <v>1501.0</v>
      </c>
      <c r="D924" s="118">
        <v>46241.0</v>
      </c>
      <c r="E924" s="31">
        <v>1.0</v>
      </c>
      <c r="F924" s="31" t="s">
        <v>74</v>
      </c>
      <c r="G924" s="31" t="s">
        <v>917</v>
      </c>
      <c r="H924" s="31">
        <v>14.0</v>
      </c>
      <c r="I924" s="31" t="s">
        <v>34</v>
      </c>
      <c r="J924" s="31" t="s">
        <v>918</v>
      </c>
      <c r="K924" s="31" t="s">
        <v>36</v>
      </c>
      <c r="L924" s="18"/>
      <c r="M924" s="18"/>
      <c r="N924" s="31" t="s">
        <v>340</v>
      </c>
      <c r="O924" s="31" t="s">
        <v>189</v>
      </c>
      <c r="P924" s="31" t="s">
        <v>898</v>
      </c>
      <c r="Q924" s="18"/>
      <c r="R924" s="229">
        <v>2500.0</v>
      </c>
      <c r="S924" s="230">
        <f>FRESADO!$R924*FRESADO!$E924</f>
        <v>2500</v>
      </c>
      <c r="T924" s="230">
        <f>FRESADO!$S924*16%</f>
        <v>400</v>
      </c>
      <c r="U924" s="230">
        <f>FRESADO!$S924+FRESADO!$T924</f>
        <v>2900</v>
      </c>
      <c r="V924" s="31" t="s">
        <v>916</v>
      </c>
      <c r="W924" s="18"/>
      <c r="X924" s="18"/>
      <c r="Y924" s="22"/>
      <c r="Z924" s="18"/>
    </row>
    <row r="925" ht="15.75" customHeight="1">
      <c r="A925" s="108">
        <v>32.0</v>
      </c>
      <c r="B925" s="108">
        <v>84.0</v>
      </c>
      <c r="C925" s="31">
        <v>1502.0</v>
      </c>
      <c r="D925" s="118">
        <v>46241.0</v>
      </c>
      <c r="E925" s="31">
        <v>1.0</v>
      </c>
      <c r="F925" s="31" t="s">
        <v>74</v>
      </c>
      <c r="G925" s="31" t="s">
        <v>692</v>
      </c>
      <c r="H925" s="31">
        <v>14.0</v>
      </c>
      <c r="I925" s="31" t="s">
        <v>34</v>
      </c>
      <c r="J925" s="31" t="s">
        <v>693</v>
      </c>
      <c r="K925" s="31" t="s">
        <v>36</v>
      </c>
      <c r="L925" s="18"/>
      <c r="M925" s="18"/>
      <c r="N925" s="31" t="s">
        <v>340</v>
      </c>
      <c r="O925" s="31" t="s">
        <v>189</v>
      </c>
      <c r="P925" s="31" t="s">
        <v>898</v>
      </c>
      <c r="Q925" s="18"/>
      <c r="R925" s="229">
        <v>2500.0</v>
      </c>
      <c r="S925" s="230">
        <f>FRESADO!$R925*FRESADO!$E925</f>
        <v>2500</v>
      </c>
      <c r="T925" s="230">
        <f>FRESADO!$S925*16%</f>
        <v>400</v>
      </c>
      <c r="U925" s="230">
        <f>FRESADO!$S925+FRESADO!$T925</f>
        <v>2900</v>
      </c>
      <c r="V925" s="31" t="s">
        <v>916</v>
      </c>
      <c r="W925" s="18"/>
      <c r="X925" s="18"/>
      <c r="Y925" s="22"/>
      <c r="Z925" s="18"/>
    </row>
    <row r="926" ht="15.75" customHeight="1">
      <c r="A926" s="108">
        <v>32.0</v>
      </c>
      <c r="B926" s="108">
        <v>85.0</v>
      </c>
      <c r="C926" s="31">
        <v>1503.0</v>
      </c>
      <c r="D926" s="118">
        <v>46241.0</v>
      </c>
      <c r="E926" s="31">
        <v>1.0</v>
      </c>
      <c r="F926" s="31" t="s">
        <v>74</v>
      </c>
      <c r="G926" s="31" t="s">
        <v>347</v>
      </c>
      <c r="H926" s="31">
        <v>14.0</v>
      </c>
      <c r="I926" s="31" t="s">
        <v>34</v>
      </c>
      <c r="J926" s="31" t="s">
        <v>70</v>
      </c>
      <c r="K926" s="31" t="s">
        <v>36</v>
      </c>
      <c r="L926" s="18"/>
      <c r="M926" s="18"/>
      <c r="N926" s="31" t="s">
        <v>340</v>
      </c>
      <c r="O926" s="31" t="s">
        <v>189</v>
      </c>
      <c r="P926" s="31" t="s">
        <v>898</v>
      </c>
      <c r="Q926" s="18"/>
      <c r="R926" s="229">
        <v>2500.0</v>
      </c>
      <c r="S926" s="230">
        <f>FRESADO!$R926*FRESADO!$E926</f>
        <v>2500</v>
      </c>
      <c r="T926" s="230">
        <f>FRESADO!$S926*16%</f>
        <v>400</v>
      </c>
      <c r="U926" s="230">
        <f>FRESADO!$S926+FRESADO!$T926</f>
        <v>2900</v>
      </c>
      <c r="V926" s="31" t="s">
        <v>916</v>
      </c>
      <c r="W926" s="18"/>
      <c r="X926" s="18"/>
      <c r="Y926" s="22"/>
      <c r="Z926" s="18"/>
    </row>
    <row r="927" ht="15.75" customHeight="1">
      <c r="A927" s="108">
        <v>32.0</v>
      </c>
      <c r="B927" s="108">
        <v>86.0</v>
      </c>
      <c r="C927" s="31">
        <v>1504.0</v>
      </c>
      <c r="D927" s="118">
        <v>46241.0</v>
      </c>
      <c r="E927" s="31">
        <v>1.0</v>
      </c>
      <c r="F927" s="31" t="s">
        <v>74</v>
      </c>
      <c r="G927" s="31" t="s">
        <v>900</v>
      </c>
      <c r="H927" s="31">
        <v>14.0</v>
      </c>
      <c r="I927" s="31" t="s">
        <v>34</v>
      </c>
      <c r="J927" s="31" t="s">
        <v>94</v>
      </c>
      <c r="K927" s="31" t="s">
        <v>36</v>
      </c>
      <c r="L927" s="18"/>
      <c r="M927" s="18"/>
      <c r="N927" s="31" t="s">
        <v>340</v>
      </c>
      <c r="O927" s="31" t="s">
        <v>189</v>
      </c>
      <c r="P927" s="31" t="s">
        <v>898</v>
      </c>
      <c r="Q927" s="18"/>
      <c r="R927" s="229">
        <v>2500.0</v>
      </c>
      <c r="S927" s="230">
        <f>FRESADO!$R927*FRESADO!$E927</f>
        <v>2500</v>
      </c>
      <c r="T927" s="230">
        <f>FRESADO!$S927*16%</f>
        <v>400</v>
      </c>
      <c r="U927" s="230">
        <f>FRESADO!$S927+FRESADO!$T927</f>
        <v>2900</v>
      </c>
      <c r="V927" s="31" t="s">
        <v>916</v>
      </c>
      <c r="W927" s="18"/>
      <c r="X927" s="18"/>
      <c r="Y927" s="22"/>
      <c r="Z927" s="18"/>
    </row>
    <row r="928" ht="15.75" customHeight="1">
      <c r="A928" s="108">
        <v>32.0</v>
      </c>
      <c r="B928" s="108">
        <v>87.0</v>
      </c>
      <c r="C928" s="31">
        <v>1505.0</v>
      </c>
      <c r="D928" s="118">
        <v>46241.0</v>
      </c>
      <c r="E928" s="31">
        <v>1.0</v>
      </c>
      <c r="F928" s="31" t="s">
        <v>74</v>
      </c>
      <c r="G928" s="31" t="s">
        <v>280</v>
      </c>
      <c r="H928" s="31">
        <v>14.0</v>
      </c>
      <c r="I928" s="31" t="s">
        <v>34</v>
      </c>
      <c r="J928" s="31" t="s">
        <v>272</v>
      </c>
      <c r="K928" s="31" t="s">
        <v>36</v>
      </c>
      <c r="L928" s="18"/>
      <c r="M928" s="18"/>
      <c r="N928" s="31" t="s">
        <v>340</v>
      </c>
      <c r="O928" s="31" t="s">
        <v>189</v>
      </c>
      <c r="P928" s="31" t="s">
        <v>898</v>
      </c>
      <c r="Q928" s="18"/>
      <c r="R928" s="229">
        <v>2500.0</v>
      </c>
      <c r="S928" s="230">
        <f>FRESADO!$R928*FRESADO!$E928</f>
        <v>2500</v>
      </c>
      <c r="T928" s="230">
        <f>FRESADO!$S928*16%</f>
        <v>400</v>
      </c>
      <c r="U928" s="230">
        <f>FRESADO!$S928+FRESADO!$T928</f>
        <v>2900</v>
      </c>
      <c r="V928" s="31" t="s">
        <v>916</v>
      </c>
      <c r="W928" s="18"/>
      <c r="X928" s="18"/>
      <c r="Y928" s="22"/>
      <c r="Z928" s="18"/>
    </row>
    <row r="929" ht="15.75" customHeight="1">
      <c r="A929" s="108">
        <v>32.0</v>
      </c>
      <c r="B929" s="108">
        <v>88.0</v>
      </c>
      <c r="C929" s="31">
        <v>1506.0</v>
      </c>
      <c r="D929" s="118">
        <v>46241.0</v>
      </c>
      <c r="E929" s="31">
        <v>1.0</v>
      </c>
      <c r="F929" s="31" t="s">
        <v>74</v>
      </c>
      <c r="G929" s="31" t="s">
        <v>347</v>
      </c>
      <c r="H929" s="31">
        <v>14.0</v>
      </c>
      <c r="I929" s="31" t="s">
        <v>34</v>
      </c>
      <c r="J929" s="31" t="s">
        <v>70</v>
      </c>
      <c r="K929" s="31" t="s">
        <v>36</v>
      </c>
      <c r="L929" s="18"/>
      <c r="M929" s="18"/>
      <c r="N929" s="31" t="s">
        <v>340</v>
      </c>
      <c r="O929" s="31" t="s">
        <v>189</v>
      </c>
      <c r="P929" s="31" t="s">
        <v>898</v>
      </c>
      <c r="Q929" s="18"/>
      <c r="R929" s="229">
        <v>2500.0</v>
      </c>
      <c r="S929" s="230">
        <f>FRESADO!$R929*FRESADO!$E929</f>
        <v>2500</v>
      </c>
      <c r="T929" s="230">
        <f>FRESADO!$S929*16%</f>
        <v>400</v>
      </c>
      <c r="U929" s="230">
        <f>FRESADO!$S929+FRESADO!$T929</f>
        <v>2900</v>
      </c>
      <c r="V929" s="31" t="s">
        <v>916</v>
      </c>
      <c r="W929" s="18"/>
      <c r="X929" s="18"/>
      <c r="Y929" s="22"/>
      <c r="Z929" s="18"/>
    </row>
    <row r="930" ht="15.75" customHeight="1">
      <c r="A930" s="108">
        <v>32.0</v>
      </c>
      <c r="B930" s="108">
        <v>89.0</v>
      </c>
      <c r="C930" s="31">
        <v>1507.0</v>
      </c>
      <c r="D930" s="118">
        <v>46241.0</v>
      </c>
      <c r="E930" s="31">
        <v>1.0</v>
      </c>
      <c r="F930" s="31" t="s">
        <v>74</v>
      </c>
      <c r="G930" s="31" t="s">
        <v>692</v>
      </c>
      <c r="H930" s="31">
        <v>14.0</v>
      </c>
      <c r="I930" s="31" t="s">
        <v>34</v>
      </c>
      <c r="J930" s="31" t="s">
        <v>693</v>
      </c>
      <c r="K930" s="31" t="s">
        <v>36</v>
      </c>
      <c r="L930" s="18"/>
      <c r="M930" s="18"/>
      <c r="N930" s="31" t="s">
        <v>340</v>
      </c>
      <c r="O930" s="31" t="s">
        <v>189</v>
      </c>
      <c r="P930" s="31" t="s">
        <v>898</v>
      </c>
      <c r="Q930" s="18"/>
      <c r="R930" s="229">
        <v>2500.0</v>
      </c>
      <c r="S930" s="230">
        <f>FRESADO!$R930*FRESADO!$E930</f>
        <v>2500</v>
      </c>
      <c r="T930" s="230">
        <f>FRESADO!$S930*16%</f>
        <v>400</v>
      </c>
      <c r="U930" s="230">
        <f>FRESADO!$S930+FRESADO!$T930</f>
        <v>2900</v>
      </c>
      <c r="V930" s="31" t="s">
        <v>916</v>
      </c>
      <c r="W930" s="18"/>
      <c r="X930" s="18"/>
      <c r="Y930" s="22"/>
      <c r="Z930" s="18"/>
    </row>
    <row r="931" ht="15.75" customHeight="1">
      <c r="A931" s="108">
        <v>32.0</v>
      </c>
      <c r="B931" s="108">
        <v>90.0</v>
      </c>
      <c r="C931" s="31">
        <v>1508.0</v>
      </c>
      <c r="D931" s="118">
        <v>46241.0</v>
      </c>
      <c r="E931" s="31">
        <v>1.0</v>
      </c>
      <c r="F931" s="31" t="s">
        <v>74</v>
      </c>
      <c r="G931" s="31" t="s">
        <v>917</v>
      </c>
      <c r="H931" s="31">
        <v>14.0</v>
      </c>
      <c r="I931" s="31" t="s">
        <v>34</v>
      </c>
      <c r="J931" s="31" t="s">
        <v>918</v>
      </c>
      <c r="K931" s="31" t="s">
        <v>36</v>
      </c>
      <c r="L931" s="18"/>
      <c r="M931" s="18"/>
      <c r="N931" s="31" t="s">
        <v>340</v>
      </c>
      <c r="O931" s="31" t="s">
        <v>189</v>
      </c>
      <c r="P931" s="31" t="s">
        <v>898</v>
      </c>
      <c r="Q931" s="18"/>
      <c r="R931" s="229">
        <v>2500.0</v>
      </c>
      <c r="S931" s="230">
        <f>FRESADO!$R931*FRESADO!$E931</f>
        <v>2500</v>
      </c>
      <c r="T931" s="230">
        <f>FRESADO!$S931*16%</f>
        <v>400</v>
      </c>
      <c r="U931" s="230">
        <f>FRESADO!$S931+FRESADO!$T931</f>
        <v>2900</v>
      </c>
      <c r="V931" s="31" t="s">
        <v>916</v>
      </c>
      <c r="W931" s="18"/>
      <c r="X931" s="18"/>
      <c r="Y931" s="22"/>
      <c r="Z931" s="18"/>
    </row>
    <row r="932" ht="15.75" customHeight="1">
      <c r="A932" s="108">
        <v>32.0</v>
      </c>
      <c r="B932" s="108">
        <v>91.0</v>
      </c>
      <c r="C932" s="31">
        <v>1509.0</v>
      </c>
      <c r="D932" s="118">
        <v>46241.0</v>
      </c>
      <c r="E932" s="31">
        <v>1.0</v>
      </c>
      <c r="F932" s="31" t="s">
        <v>74</v>
      </c>
      <c r="G932" s="31" t="s">
        <v>900</v>
      </c>
      <c r="H932" s="31">
        <v>14.0</v>
      </c>
      <c r="I932" s="31" t="s">
        <v>34</v>
      </c>
      <c r="J932" s="31" t="s">
        <v>94</v>
      </c>
      <c r="K932" s="31" t="s">
        <v>36</v>
      </c>
      <c r="L932" s="18"/>
      <c r="M932" s="18"/>
      <c r="N932" s="31" t="s">
        <v>340</v>
      </c>
      <c r="O932" s="31" t="s">
        <v>189</v>
      </c>
      <c r="P932" s="31" t="s">
        <v>898</v>
      </c>
      <c r="Q932" s="18"/>
      <c r="R932" s="229">
        <v>2500.0</v>
      </c>
      <c r="S932" s="230">
        <f>FRESADO!$R932*FRESADO!$E932</f>
        <v>2500</v>
      </c>
      <c r="T932" s="230">
        <f>FRESADO!$S932*16%</f>
        <v>400</v>
      </c>
      <c r="U932" s="230">
        <f>FRESADO!$S932+FRESADO!$T932</f>
        <v>2900</v>
      </c>
      <c r="V932" s="31" t="s">
        <v>916</v>
      </c>
      <c r="W932" s="18"/>
      <c r="X932" s="18"/>
      <c r="Y932" s="22"/>
      <c r="Z932" s="18"/>
    </row>
    <row r="933" ht="15.75" customHeight="1">
      <c r="A933" s="108">
        <v>32.0</v>
      </c>
      <c r="B933" s="108">
        <v>92.0</v>
      </c>
      <c r="C933" s="31">
        <v>1510.0</v>
      </c>
      <c r="D933" s="118">
        <v>46241.0</v>
      </c>
      <c r="E933" s="31">
        <v>1.0</v>
      </c>
      <c r="F933" s="31" t="s">
        <v>74</v>
      </c>
      <c r="G933" s="31" t="s">
        <v>919</v>
      </c>
      <c r="H933" s="31">
        <v>14.0</v>
      </c>
      <c r="I933" s="31" t="s">
        <v>34</v>
      </c>
      <c r="J933" s="31" t="s">
        <v>762</v>
      </c>
      <c r="K933" s="31" t="s">
        <v>36</v>
      </c>
      <c r="L933" s="18"/>
      <c r="M933" s="18"/>
      <c r="N933" s="31" t="s">
        <v>398</v>
      </c>
      <c r="O933" s="31" t="s">
        <v>189</v>
      </c>
      <c r="P933" s="31" t="s">
        <v>898</v>
      </c>
      <c r="Q933" s="31" t="s">
        <v>399</v>
      </c>
      <c r="R933" s="229">
        <v>3855.0</v>
      </c>
      <c r="S933" s="230">
        <f>FRESADO!$R933*FRESADO!$E933</f>
        <v>3855</v>
      </c>
      <c r="T933" s="230">
        <f>FRESADO!$S933*16%</f>
        <v>616.8</v>
      </c>
      <c r="U933" s="230">
        <f>FRESADO!$S933+FRESADO!$T933</f>
        <v>4471.8</v>
      </c>
      <c r="V933" s="255" t="s">
        <v>915</v>
      </c>
      <c r="W933" s="18"/>
      <c r="X933" s="18"/>
      <c r="Y933" s="22"/>
      <c r="Z933" s="18"/>
    </row>
    <row r="934" ht="15.75" customHeight="1">
      <c r="A934" s="108">
        <v>32.0</v>
      </c>
      <c r="B934" s="108">
        <v>93.0</v>
      </c>
      <c r="C934" s="31">
        <v>1511.0</v>
      </c>
      <c r="D934" s="118">
        <v>46241.0</v>
      </c>
      <c r="E934" s="31">
        <v>1.0</v>
      </c>
      <c r="F934" s="31" t="s">
        <v>74</v>
      </c>
      <c r="G934" s="31" t="s">
        <v>280</v>
      </c>
      <c r="H934" s="31">
        <v>14.0</v>
      </c>
      <c r="I934" s="31" t="s">
        <v>34</v>
      </c>
      <c r="J934" s="31" t="s">
        <v>272</v>
      </c>
      <c r="K934" s="31" t="s">
        <v>36</v>
      </c>
      <c r="L934" s="18"/>
      <c r="M934" s="18"/>
      <c r="N934" s="31" t="s">
        <v>340</v>
      </c>
      <c r="O934" s="31" t="s">
        <v>189</v>
      </c>
      <c r="P934" s="31" t="s">
        <v>898</v>
      </c>
      <c r="Q934" s="18"/>
      <c r="R934" s="229">
        <v>2500.0</v>
      </c>
      <c r="S934" s="230">
        <f>FRESADO!$R934*FRESADO!$E934</f>
        <v>2500</v>
      </c>
      <c r="T934" s="230">
        <f>FRESADO!$S934*16%</f>
        <v>400</v>
      </c>
      <c r="U934" s="230">
        <f>FRESADO!$S934+FRESADO!$T934</f>
        <v>2900</v>
      </c>
      <c r="V934" s="31" t="s">
        <v>916</v>
      </c>
      <c r="W934" s="18"/>
      <c r="X934" s="18"/>
      <c r="Y934" s="22"/>
      <c r="Z934" s="18"/>
    </row>
    <row r="935" ht="15.75" customHeight="1">
      <c r="A935" s="108">
        <v>32.0</v>
      </c>
      <c r="B935" s="108">
        <v>94.0</v>
      </c>
      <c r="C935" s="31">
        <v>1512.0</v>
      </c>
      <c r="D935" s="118">
        <v>46241.0</v>
      </c>
      <c r="E935" s="31">
        <v>1.0</v>
      </c>
      <c r="F935" s="31" t="s">
        <v>74</v>
      </c>
      <c r="G935" s="31" t="s">
        <v>480</v>
      </c>
      <c r="H935" s="31">
        <v>14.0</v>
      </c>
      <c r="I935" s="31" t="s">
        <v>34</v>
      </c>
      <c r="J935" s="31" t="s">
        <v>284</v>
      </c>
      <c r="K935" s="31" t="s">
        <v>36</v>
      </c>
      <c r="L935" s="18"/>
      <c r="M935" s="18"/>
      <c r="N935" s="31" t="s">
        <v>398</v>
      </c>
      <c r="O935" s="31" t="s">
        <v>189</v>
      </c>
      <c r="P935" s="31" t="s">
        <v>898</v>
      </c>
      <c r="Q935" s="31" t="s">
        <v>399</v>
      </c>
      <c r="R935" s="229">
        <v>3855.0</v>
      </c>
      <c r="S935" s="230">
        <f>FRESADO!$R935*FRESADO!$E935</f>
        <v>3855</v>
      </c>
      <c r="T935" s="230">
        <f>FRESADO!$S935*16%</f>
        <v>616.8</v>
      </c>
      <c r="U935" s="230">
        <f>FRESADO!$S935+FRESADO!$T935</f>
        <v>4471.8</v>
      </c>
      <c r="V935" s="255" t="s">
        <v>915</v>
      </c>
      <c r="W935" s="18"/>
      <c r="X935" s="18"/>
      <c r="Y935" s="22"/>
      <c r="Z935" s="18"/>
    </row>
    <row r="936" ht="15.75" customHeight="1">
      <c r="A936" s="108">
        <v>32.0</v>
      </c>
      <c r="B936" s="108">
        <v>95.0</v>
      </c>
      <c r="C936" s="31">
        <v>1513.0</v>
      </c>
      <c r="D936" s="118">
        <v>46241.0</v>
      </c>
      <c r="E936" s="31">
        <v>1.0</v>
      </c>
      <c r="F936" s="31" t="s">
        <v>74</v>
      </c>
      <c r="G936" s="31" t="s">
        <v>920</v>
      </c>
      <c r="H936" s="31">
        <v>14.0</v>
      </c>
      <c r="I936" s="31" t="s">
        <v>34</v>
      </c>
      <c r="J936" s="31" t="s">
        <v>242</v>
      </c>
      <c r="K936" s="31" t="s">
        <v>36</v>
      </c>
      <c r="L936" s="18"/>
      <c r="M936" s="18"/>
      <c r="N936" s="31" t="s">
        <v>398</v>
      </c>
      <c r="O936" s="31" t="s">
        <v>189</v>
      </c>
      <c r="P936" s="31" t="s">
        <v>898</v>
      </c>
      <c r="Q936" s="31" t="s">
        <v>399</v>
      </c>
      <c r="R936" s="229">
        <v>3855.0</v>
      </c>
      <c r="S936" s="230">
        <f>FRESADO!$R936*FRESADO!$E936</f>
        <v>3855</v>
      </c>
      <c r="T936" s="230">
        <f>FRESADO!$S936*16%</f>
        <v>616.8</v>
      </c>
      <c r="U936" s="230">
        <f>FRESADO!$S936+FRESADO!$T936</f>
        <v>4471.8</v>
      </c>
      <c r="V936" s="255" t="s">
        <v>915</v>
      </c>
      <c r="W936" s="18"/>
      <c r="X936" s="18"/>
      <c r="Y936" s="22"/>
      <c r="Z936" s="18"/>
    </row>
    <row r="937" ht="15.75" customHeight="1">
      <c r="A937" s="108">
        <v>32.0</v>
      </c>
      <c r="B937" s="108">
        <v>96.0</v>
      </c>
      <c r="C937" s="31">
        <v>1514.0</v>
      </c>
      <c r="D937" s="118">
        <v>46241.0</v>
      </c>
      <c r="E937" s="31">
        <v>1.0</v>
      </c>
      <c r="F937" s="31" t="s">
        <v>74</v>
      </c>
      <c r="G937" s="31" t="s">
        <v>692</v>
      </c>
      <c r="H937" s="31">
        <v>14.0</v>
      </c>
      <c r="I937" s="31" t="s">
        <v>34</v>
      </c>
      <c r="J937" s="31" t="s">
        <v>693</v>
      </c>
      <c r="K937" s="31" t="s">
        <v>36</v>
      </c>
      <c r="L937" s="18"/>
      <c r="M937" s="18"/>
      <c r="N937" s="31" t="s">
        <v>340</v>
      </c>
      <c r="O937" s="31" t="s">
        <v>189</v>
      </c>
      <c r="P937" s="31" t="s">
        <v>898</v>
      </c>
      <c r="Q937" s="18"/>
      <c r="R937" s="229">
        <v>2500.0</v>
      </c>
      <c r="S937" s="230">
        <f>FRESADO!$R937*FRESADO!$E937</f>
        <v>2500</v>
      </c>
      <c r="T937" s="230">
        <f>FRESADO!$S937*16%</f>
        <v>400</v>
      </c>
      <c r="U937" s="230">
        <f>FRESADO!$S937+FRESADO!$T937</f>
        <v>2900</v>
      </c>
      <c r="V937" s="31" t="s">
        <v>916</v>
      </c>
      <c r="W937" s="18"/>
      <c r="X937" s="18"/>
      <c r="Y937" s="22"/>
      <c r="Z937" s="18"/>
    </row>
    <row r="938" ht="15.75" customHeight="1">
      <c r="A938" s="108">
        <v>32.0</v>
      </c>
      <c r="B938" s="108">
        <v>97.0</v>
      </c>
      <c r="C938" s="31">
        <v>1515.0</v>
      </c>
      <c r="D938" s="118">
        <v>46241.0</v>
      </c>
      <c r="E938" s="31">
        <v>1.0</v>
      </c>
      <c r="F938" s="31" t="s">
        <v>388</v>
      </c>
      <c r="G938" s="31" t="s">
        <v>583</v>
      </c>
      <c r="H938" s="31">
        <v>7.0</v>
      </c>
      <c r="I938" s="31" t="s">
        <v>34</v>
      </c>
      <c r="J938" s="31" t="s">
        <v>584</v>
      </c>
      <c r="K938" s="129" t="s">
        <v>50</v>
      </c>
      <c r="L938" s="18"/>
      <c r="M938" s="18"/>
      <c r="N938" s="31" t="s">
        <v>340</v>
      </c>
      <c r="O938" s="31" t="s">
        <v>189</v>
      </c>
      <c r="P938" s="31" t="s">
        <v>898</v>
      </c>
      <c r="Q938" s="31" t="s">
        <v>390</v>
      </c>
      <c r="R938" s="229">
        <v>4500.0</v>
      </c>
      <c r="S938" s="230">
        <f>FRESADO!$R938*FRESADO!$E938</f>
        <v>4500</v>
      </c>
      <c r="T938" s="230">
        <f>FRESADO!$S938*16%</f>
        <v>720</v>
      </c>
      <c r="U938" s="230">
        <f>FRESADO!$S938+FRESADO!$T938</f>
        <v>5220</v>
      </c>
      <c r="V938" s="252" t="s">
        <v>915</v>
      </c>
      <c r="W938" s="18"/>
      <c r="X938" s="18"/>
      <c r="Y938" s="22"/>
      <c r="Z938" s="18"/>
    </row>
    <row r="939" ht="15.75" customHeight="1">
      <c r="A939" s="108">
        <v>32.0</v>
      </c>
      <c r="B939" s="108">
        <v>98.0</v>
      </c>
      <c r="C939" s="31">
        <v>1516.0</v>
      </c>
      <c r="D939" s="118">
        <v>46242.0</v>
      </c>
      <c r="E939" s="31">
        <v>1.0</v>
      </c>
      <c r="F939" s="31" t="s">
        <v>74</v>
      </c>
      <c r="G939" s="31" t="s">
        <v>192</v>
      </c>
      <c r="H939" s="31">
        <v>14.0</v>
      </c>
      <c r="I939" s="31" t="s">
        <v>34</v>
      </c>
      <c r="J939" s="31" t="s">
        <v>41</v>
      </c>
      <c r="K939" s="31" t="s">
        <v>36</v>
      </c>
      <c r="L939" s="18"/>
      <c r="M939" s="18"/>
      <c r="N939" s="31" t="s">
        <v>340</v>
      </c>
      <c r="O939" s="31" t="s">
        <v>189</v>
      </c>
      <c r="P939" s="31" t="s">
        <v>898</v>
      </c>
      <c r="Q939" s="18"/>
      <c r="R939" s="229">
        <v>2500.0</v>
      </c>
      <c r="S939" s="230">
        <f>FRESADO!$R939*FRESADO!$E939</f>
        <v>2500</v>
      </c>
      <c r="T939" s="230">
        <f>FRESADO!$S939*16%</f>
        <v>400</v>
      </c>
      <c r="U939" s="230">
        <f>FRESADO!$S939+FRESADO!$T939</f>
        <v>2900</v>
      </c>
      <c r="V939" s="31" t="s">
        <v>916</v>
      </c>
      <c r="W939" s="18"/>
      <c r="X939" s="18"/>
      <c r="Y939" s="22"/>
      <c r="Z939" s="18"/>
    </row>
    <row r="940" ht="15.75" customHeight="1">
      <c r="A940" s="108">
        <v>32.0</v>
      </c>
      <c r="B940" s="108">
        <v>99.0</v>
      </c>
      <c r="C940" s="31">
        <v>1517.0</v>
      </c>
      <c r="D940" s="118">
        <v>46242.0</v>
      </c>
      <c r="E940" s="31">
        <v>1.0</v>
      </c>
      <c r="F940" s="31" t="s">
        <v>74</v>
      </c>
      <c r="G940" s="31" t="s">
        <v>280</v>
      </c>
      <c r="H940" s="31">
        <v>14.0</v>
      </c>
      <c r="I940" s="31" t="s">
        <v>34</v>
      </c>
      <c r="J940" s="31" t="s">
        <v>272</v>
      </c>
      <c r="K940" s="31" t="s">
        <v>36</v>
      </c>
      <c r="L940" s="18"/>
      <c r="M940" s="18"/>
      <c r="N940" s="31" t="s">
        <v>340</v>
      </c>
      <c r="O940" s="31" t="s">
        <v>189</v>
      </c>
      <c r="P940" s="31" t="s">
        <v>898</v>
      </c>
      <c r="Q940" s="18"/>
      <c r="R940" s="229">
        <v>2500.0</v>
      </c>
      <c r="S940" s="230">
        <f>FRESADO!$R940*FRESADO!$E940</f>
        <v>2500</v>
      </c>
      <c r="T940" s="230">
        <f>FRESADO!$S940*16%</f>
        <v>400</v>
      </c>
      <c r="U940" s="230">
        <f>FRESADO!$S940+FRESADO!$T940</f>
        <v>2900</v>
      </c>
      <c r="V940" s="31" t="s">
        <v>916</v>
      </c>
      <c r="W940" s="18"/>
      <c r="X940" s="18"/>
      <c r="Y940" s="22"/>
      <c r="Z940" s="18"/>
    </row>
    <row r="941" ht="15.75" customHeight="1">
      <c r="A941" s="108">
        <v>32.0</v>
      </c>
      <c r="B941" s="108">
        <v>100.0</v>
      </c>
      <c r="C941" s="31">
        <v>1518.0</v>
      </c>
      <c r="D941" s="118">
        <v>46242.0</v>
      </c>
      <c r="E941" s="31">
        <v>1.0</v>
      </c>
      <c r="F941" s="31" t="s">
        <v>74</v>
      </c>
      <c r="G941" s="31" t="s">
        <v>347</v>
      </c>
      <c r="H941" s="31">
        <v>14.0</v>
      </c>
      <c r="I941" s="31" t="s">
        <v>34</v>
      </c>
      <c r="J941" s="31" t="s">
        <v>70</v>
      </c>
      <c r="K941" s="31" t="s">
        <v>36</v>
      </c>
      <c r="L941" s="18"/>
      <c r="M941" s="18"/>
      <c r="N941" s="31" t="s">
        <v>340</v>
      </c>
      <c r="O941" s="31" t="s">
        <v>189</v>
      </c>
      <c r="P941" s="31" t="s">
        <v>898</v>
      </c>
      <c r="Q941" s="18"/>
      <c r="R941" s="229">
        <v>2500.0</v>
      </c>
      <c r="S941" s="230">
        <f>FRESADO!$R941*FRESADO!$E941</f>
        <v>2500</v>
      </c>
      <c r="T941" s="230">
        <f>FRESADO!$S941*16%</f>
        <v>400</v>
      </c>
      <c r="U941" s="230">
        <f>FRESADO!$S941+FRESADO!$T941</f>
        <v>2900</v>
      </c>
      <c r="V941" s="31" t="s">
        <v>916</v>
      </c>
      <c r="W941" s="18"/>
      <c r="X941" s="18"/>
      <c r="Y941" s="22"/>
      <c r="Z941" s="18"/>
    </row>
    <row r="942" ht="15.75" customHeight="1">
      <c r="A942" s="108">
        <v>32.0</v>
      </c>
      <c r="B942" s="108">
        <v>101.0</v>
      </c>
      <c r="C942" s="31">
        <v>1519.0</v>
      </c>
      <c r="D942" s="118">
        <v>46242.0</v>
      </c>
      <c r="E942" s="31">
        <v>1.0</v>
      </c>
      <c r="F942" s="31" t="s">
        <v>74</v>
      </c>
      <c r="G942" s="31" t="s">
        <v>690</v>
      </c>
      <c r="H942" s="31">
        <v>14.0</v>
      </c>
      <c r="I942" s="31" t="s">
        <v>34</v>
      </c>
      <c r="J942" s="31" t="s">
        <v>691</v>
      </c>
      <c r="K942" s="31" t="s">
        <v>36</v>
      </c>
      <c r="L942" s="18"/>
      <c r="M942" s="18"/>
      <c r="N942" s="31" t="s">
        <v>340</v>
      </c>
      <c r="O942" s="31" t="s">
        <v>189</v>
      </c>
      <c r="P942" s="31" t="s">
        <v>898</v>
      </c>
      <c r="Q942" s="18"/>
      <c r="R942" s="229">
        <v>2500.0</v>
      </c>
      <c r="S942" s="230">
        <f>FRESADO!$R942*FRESADO!$E942</f>
        <v>2500</v>
      </c>
      <c r="T942" s="230">
        <f>FRESADO!$S942*16%</f>
        <v>400</v>
      </c>
      <c r="U942" s="230">
        <f>FRESADO!$S942+FRESADO!$T942</f>
        <v>2900</v>
      </c>
      <c r="V942" s="31" t="s">
        <v>916</v>
      </c>
      <c r="W942" s="18"/>
      <c r="X942" s="18"/>
      <c r="Y942" s="22"/>
      <c r="Z942" s="18"/>
    </row>
    <row r="943" ht="15.75" customHeight="1">
      <c r="A943" s="108">
        <v>32.0</v>
      </c>
      <c r="B943" s="108">
        <v>102.0</v>
      </c>
      <c r="C943" s="31">
        <v>1520.0</v>
      </c>
      <c r="D943" s="118">
        <v>46242.0</v>
      </c>
      <c r="E943" s="31">
        <v>1.0</v>
      </c>
      <c r="F943" s="31" t="s">
        <v>74</v>
      </c>
      <c r="G943" s="31" t="s">
        <v>280</v>
      </c>
      <c r="H943" s="31">
        <v>14.0</v>
      </c>
      <c r="I943" s="31" t="s">
        <v>34</v>
      </c>
      <c r="J943" s="31" t="s">
        <v>272</v>
      </c>
      <c r="K943" s="31" t="s">
        <v>36</v>
      </c>
      <c r="L943" s="18"/>
      <c r="M943" s="18"/>
      <c r="N943" s="31" t="s">
        <v>340</v>
      </c>
      <c r="O943" s="31" t="s">
        <v>189</v>
      </c>
      <c r="P943" s="31" t="s">
        <v>898</v>
      </c>
      <c r="Q943" s="18"/>
      <c r="R943" s="229">
        <v>2500.0</v>
      </c>
      <c r="S943" s="230">
        <f>FRESADO!$R943*FRESADO!$E943</f>
        <v>2500</v>
      </c>
      <c r="T943" s="230">
        <f>FRESADO!$S943*16%</f>
        <v>400</v>
      </c>
      <c r="U943" s="230">
        <f>FRESADO!$S943+FRESADO!$T943</f>
        <v>2900</v>
      </c>
      <c r="V943" s="31" t="s">
        <v>916</v>
      </c>
      <c r="W943" s="18"/>
      <c r="X943" s="18"/>
      <c r="Y943" s="22"/>
      <c r="Z943" s="18"/>
    </row>
    <row r="944" ht="15.75" customHeight="1">
      <c r="A944" s="108">
        <v>32.0</v>
      </c>
      <c r="B944" s="108">
        <v>103.0</v>
      </c>
      <c r="C944" s="31">
        <v>1521.0</v>
      </c>
      <c r="D944" s="118">
        <v>46242.0</v>
      </c>
      <c r="E944" s="31">
        <v>1.0</v>
      </c>
      <c r="F944" s="31" t="s">
        <v>74</v>
      </c>
      <c r="G944" s="31" t="s">
        <v>192</v>
      </c>
      <c r="H944" s="31">
        <v>14.0</v>
      </c>
      <c r="I944" s="31" t="s">
        <v>34</v>
      </c>
      <c r="J944" s="31" t="s">
        <v>41</v>
      </c>
      <c r="K944" s="31" t="s">
        <v>36</v>
      </c>
      <c r="L944" s="18"/>
      <c r="M944" s="18"/>
      <c r="N944" s="31" t="s">
        <v>340</v>
      </c>
      <c r="O944" s="31" t="s">
        <v>189</v>
      </c>
      <c r="P944" s="31" t="s">
        <v>898</v>
      </c>
      <c r="Q944" s="18"/>
      <c r="R944" s="229">
        <v>2500.0</v>
      </c>
      <c r="S944" s="230">
        <f>FRESADO!$R944*FRESADO!$E944</f>
        <v>2500</v>
      </c>
      <c r="T944" s="230">
        <f>FRESADO!$S944*16%</f>
        <v>400</v>
      </c>
      <c r="U944" s="230">
        <f>FRESADO!$S944+FRESADO!$T944</f>
        <v>2900</v>
      </c>
      <c r="V944" s="31" t="s">
        <v>916</v>
      </c>
      <c r="W944" s="18"/>
      <c r="X944" s="18"/>
      <c r="Y944" s="22"/>
      <c r="Z944" s="18"/>
    </row>
    <row r="945" ht="15.75" customHeight="1">
      <c r="A945" s="108">
        <v>32.0</v>
      </c>
      <c r="B945" s="108">
        <v>104.0</v>
      </c>
      <c r="C945" s="31">
        <v>1522.0</v>
      </c>
      <c r="D945" s="118">
        <v>46242.0</v>
      </c>
      <c r="E945" s="31">
        <v>1.0</v>
      </c>
      <c r="F945" s="31" t="s">
        <v>74</v>
      </c>
      <c r="G945" s="31" t="s">
        <v>347</v>
      </c>
      <c r="H945" s="31">
        <v>14.0</v>
      </c>
      <c r="I945" s="31" t="s">
        <v>34</v>
      </c>
      <c r="J945" s="31" t="s">
        <v>70</v>
      </c>
      <c r="K945" s="31" t="s">
        <v>36</v>
      </c>
      <c r="L945" s="18"/>
      <c r="M945" s="18"/>
      <c r="N945" s="31" t="s">
        <v>340</v>
      </c>
      <c r="O945" s="31" t="s">
        <v>189</v>
      </c>
      <c r="P945" s="31" t="s">
        <v>898</v>
      </c>
      <c r="Q945" s="18"/>
      <c r="R945" s="229">
        <v>2500.0</v>
      </c>
      <c r="S945" s="230">
        <f>FRESADO!$R945*FRESADO!$E945</f>
        <v>2500</v>
      </c>
      <c r="T945" s="230">
        <f>FRESADO!$S945*16%</f>
        <v>400</v>
      </c>
      <c r="U945" s="230">
        <f>FRESADO!$S945+FRESADO!$T945</f>
        <v>2900</v>
      </c>
      <c r="V945" s="31" t="s">
        <v>916</v>
      </c>
      <c r="W945" s="18"/>
      <c r="X945" s="18"/>
      <c r="Y945" s="22"/>
      <c r="Z945" s="18"/>
    </row>
    <row r="946" ht="15.75" customHeight="1">
      <c r="A946" s="108">
        <v>32.0</v>
      </c>
      <c r="B946" s="108">
        <v>105.0</v>
      </c>
      <c r="C946" s="31">
        <v>1523.0</v>
      </c>
      <c r="D946" s="118">
        <v>46242.0</v>
      </c>
      <c r="E946" s="31">
        <v>1.0</v>
      </c>
      <c r="F946" s="31" t="s">
        <v>74</v>
      </c>
      <c r="G946" s="31" t="s">
        <v>690</v>
      </c>
      <c r="H946" s="31">
        <v>14.0</v>
      </c>
      <c r="I946" s="31" t="s">
        <v>34</v>
      </c>
      <c r="J946" s="31" t="s">
        <v>691</v>
      </c>
      <c r="K946" s="31" t="s">
        <v>36</v>
      </c>
      <c r="L946" s="18"/>
      <c r="M946" s="18"/>
      <c r="N946" s="31" t="s">
        <v>340</v>
      </c>
      <c r="O946" s="31" t="s">
        <v>189</v>
      </c>
      <c r="P946" s="31" t="s">
        <v>898</v>
      </c>
      <c r="Q946" s="18"/>
      <c r="R946" s="229">
        <v>2500.0</v>
      </c>
      <c r="S946" s="230">
        <f>FRESADO!$R946*FRESADO!$E946</f>
        <v>2500</v>
      </c>
      <c r="T946" s="230">
        <f>FRESADO!$S946*16%</f>
        <v>400</v>
      </c>
      <c r="U946" s="230">
        <f>FRESADO!$S946+FRESADO!$T946</f>
        <v>2900</v>
      </c>
      <c r="V946" s="31" t="s">
        <v>916</v>
      </c>
      <c r="W946" s="18"/>
      <c r="X946" s="18"/>
      <c r="Y946" s="22"/>
      <c r="Z946" s="18"/>
    </row>
    <row r="947" ht="15.75" customHeight="1">
      <c r="A947" s="108">
        <v>32.0</v>
      </c>
      <c r="B947" s="108">
        <v>106.0</v>
      </c>
      <c r="C947" s="31">
        <v>1524.0</v>
      </c>
      <c r="D947" s="118">
        <v>46242.0</v>
      </c>
      <c r="E947" s="31">
        <v>1.0</v>
      </c>
      <c r="F947" s="31" t="s">
        <v>74</v>
      </c>
      <c r="G947" s="31" t="s">
        <v>280</v>
      </c>
      <c r="H947" s="31">
        <v>14.0</v>
      </c>
      <c r="I947" s="31" t="s">
        <v>34</v>
      </c>
      <c r="J947" s="31" t="s">
        <v>272</v>
      </c>
      <c r="K947" s="31" t="s">
        <v>36</v>
      </c>
      <c r="L947" s="18"/>
      <c r="M947" s="18"/>
      <c r="N947" s="31" t="s">
        <v>340</v>
      </c>
      <c r="O947" s="31" t="s">
        <v>189</v>
      </c>
      <c r="P947" s="31" t="s">
        <v>898</v>
      </c>
      <c r="Q947" s="18"/>
      <c r="R947" s="229">
        <v>2500.0</v>
      </c>
      <c r="S947" s="230">
        <f>FRESADO!$R947*FRESADO!$E947</f>
        <v>2500</v>
      </c>
      <c r="T947" s="230">
        <f>FRESADO!$S947*16%</f>
        <v>400</v>
      </c>
      <c r="U947" s="230">
        <f>FRESADO!$S947+FRESADO!$T947</f>
        <v>2900</v>
      </c>
      <c r="V947" s="31" t="s">
        <v>916</v>
      </c>
      <c r="W947" s="18"/>
      <c r="X947" s="18"/>
      <c r="Y947" s="22"/>
      <c r="Z947" s="18"/>
    </row>
    <row r="948" ht="15.75" customHeight="1">
      <c r="A948" s="108">
        <v>32.0</v>
      </c>
      <c r="B948" s="108">
        <v>107.0</v>
      </c>
      <c r="C948" s="31">
        <v>1525.0</v>
      </c>
      <c r="D948" s="118">
        <v>46242.0</v>
      </c>
      <c r="E948" s="31">
        <v>1.0</v>
      </c>
      <c r="F948" s="31" t="s">
        <v>74</v>
      </c>
      <c r="G948" s="31" t="s">
        <v>192</v>
      </c>
      <c r="H948" s="31">
        <v>14.0</v>
      </c>
      <c r="I948" s="31" t="s">
        <v>34</v>
      </c>
      <c r="J948" s="31" t="s">
        <v>41</v>
      </c>
      <c r="K948" s="31" t="s">
        <v>36</v>
      </c>
      <c r="L948" s="18"/>
      <c r="M948" s="18"/>
      <c r="N948" s="31" t="s">
        <v>340</v>
      </c>
      <c r="O948" s="31" t="s">
        <v>189</v>
      </c>
      <c r="P948" s="31" t="s">
        <v>898</v>
      </c>
      <c r="Q948" s="18"/>
      <c r="R948" s="229">
        <v>2500.0</v>
      </c>
      <c r="S948" s="230">
        <f>FRESADO!$R948*FRESADO!$E948</f>
        <v>2500</v>
      </c>
      <c r="T948" s="230">
        <f>FRESADO!$S948*16%</f>
        <v>400</v>
      </c>
      <c r="U948" s="230">
        <f>FRESADO!$S948+FRESADO!$T948</f>
        <v>2900</v>
      </c>
      <c r="V948" s="31" t="s">
        <v>916</v>
      </c>
      <c r="W948" s="18"/>
      <c r="X948" s="18"/>
      <c r="Y948" s="22"/>
      <c r="Z948" s="18"/>
    </row>
    <row r="949" ht="15.75" customHeight="1">
      <c r="A949" s="108">
        <v>32.0</v>
      </c>
      <c r="B949" s="108">
        <v>108.0</v>
      </c>
      <c r="C949" s="31">
        <v>1526.0</v>
      </c>
      <c r="D949" s="118">
        <v>46242.0</v>
      </c>
      <c r="E949" s="31">
        <v>1.0</v>
      </c>
      <c r="F949" s="31" t="s">
        <v>74</v>
      </c>
      <c r="G949" s="31" t="s">
        <v>347</v>
      </c>
      <c r="H949" s="31">
        <v>14.0</v>
      </c>
      <c r="I949" s="31" t="s">
        <v>34</v>
      </c>
      <c r="J949" s="31" t="s">
        <v>70</v>
      </c>
      <c r="K949" s="31" t="s">
        <v>36</v>
      </c>
      <c r="L949" s="18"/>
      <c r="M949" s="18"/>
      <c r="N949" s="31" t="s">
        <v>340</v>
      </c>
      <c r="O949" s="31" t="s">
        <v>189</v>
      </c>
      <c r="P949" s="31" t="s">
        <v>898</v>
      </c>
      <c r="Q949" s="18"/>
      <c r="R949" s="229">
        <v>2500.0</v>
      </c>
      <c r="S949" s="230">
        <f>FRESADO!$R949*FRESADO!$E949</f>
        <v>2500</v>
      </c>
      <c r="T949" s="230">
        <f>FRESADO!$S949*16%</f>
        <v>400</v>
      </c>
      <c r="U949" s="230">
        <f>FRESADO!$S949+FRESADO!$T949</f>
        <v>2900</v>
      </c>
      <c r="V949" s="31" t="s">
        <v>916</v>
      </c>
      <c r="W949" s="18"/>
      <c r="X949" s="18"/>
      <c r="Y949" s="22"/>
      <c r="Z949" s="18"/>
    </row>
    <row r="950" ht="15.75" customHeight="1">
      <c r="A950" s="108">
        <v>32.0</v>
      </c>
      <c r="B950" s="108">
        <v>109.0</v>
      </c>
      <c r="C950" s="31">
        <v>1527.0</v>
      </c>
      <c r="D950" s="118">
        <v>46242.0</v>
      </c>
      <c r="E950" s="31">
        <v>1.0</v>
      </c>
      <c r="F950" s="31" t="s">
        <v>74</v>
      </c>
      <c r="G950" s="31" t="s">
        <v>690</v>
      </c>
      <c r="H950" s="31">
        <v>14.0</v>
      </c>
      <c r="I950" s="31" t="s">
        <v>34</v>
      </c>
      <c r="J950" s="31" t="s">
        <v>691</v>
      </c>
      <c r="K950" s="31" t="s">
        <v>36</v>
      </c>
      <c r="L950" s="18"/>
      <c r="M950" s="18"/>
      <c r="N950" s="31" t="s">
        <v>340</v>
      </c>
      <c r="O950" s="31" t="s">
        <v>189</v>
      </c>
      <c r="P950" s="31" t="s">
        <v>898</v>
      </c>
      <c r="Q950" s="18"/>
      <c r="R950" s="229">
        <v>2500.0</v>
      </c>
      <c r="S950" s="230">
        <f>FRESADO!$R950*FRESADO!$E950</f>
        <v>2500</v>
      </c>
      <c r="T950" s="230">
        <f>FRESADO!$S950*16%</f>
        <v>400</v>
      </c>
      <c r="U950" s="230">
        <f>FRESADO!$S950+FRESADO!$T950</f>
        <v>2900</v>
      </c>
      <c r="V950" s="31" t="s">
        <v>916</v>
      </c>
      <c r="W950" s="18"/>
      <c r="X950" s="18"/>
      <c r="Y950" s="22"/>
      <c r="Z950" s="18"/>
    </row>
    <row r="951" ht="15.75" customHeight="1">
      <c r="A951" s="108">
        <v>32.0</v>
      </c>
      <c r="B951" s="108">
        <v>110.0</v>
      </c>
      <c r="C951" s="31">
        <v>1528.0</v>
      </c>
      <c r="D951" s="118">
        <v>46242.0</v>
      </c>
      <c r="E951" s="31">
        <v>1.0</v>
      </c>
      <c r="F951" s="31" t="s">
        <v>74</v>
      </c>
      <c r="G951" s="31" t="s">
        <v>353</v>
      </c>
      <c r="H951" s="31">
        <v>14.0</v>
      </c>
      <c r="I951" s="31" t="s">
        <v>34</v>
      </c>
      <c r="J951" s="31" t="s">
        <v>872</v>
      </c>
      <c r="K951" s="31" t="s">
        <v>36</v>
      </c>
      <c r="L951" s="18"/>
      <c r="M951" s="18"/>
      <c r="N951" s="31" t="s">
        <v>398</v>
      </c>
      <c r="O951" s="31" t="s">
        <v>189</v>
      </c>
      <c r="P951" s="31" t="s">
        <v>898</v>
      </c>
      <c r="Q951" s="31" t="s">
        <v>399</v>
      </c>
      <c r="R951" s="229">
        <v>3855.0</v>
      </c>
      <c r="S951" s="230">
        <f>FRESADO!$R951*FRESADO!$E951</f>
        <v>3855</v>
      </c>
      <c r="T951" s="230">
        <f>FRESADO!$S951*16%</f>
        <v>616.8</v>
      </c>
      <c r="U951" s="230">
        <f>FRESADO!$S951+FRESADO!$T951</f>
        <v>4471.8</v>
      </c>
      <c r="V951" s="255" t="s">
        <v>915</v>
      </c>
      <c r="W951" s="18"/>
      <c r="X951" s="18"/>
      <c r="Y951" s="22"/>
      <c r="Z951" s="18"/>
    </row>
    <row r="952" ht="15.75" customHeight="1">
      <c r="A952" s="108">
        <v>32.0</v>
      </c>
      <c r="B952" s="108">
        <v>111.0</v>
      </c>
      <c r="C952" s="31">
        <v>1529.0</v>
      </c>
      <c r="D952" s="118">
        <v>46242.0</v>
      </c>
      <c r="E952" s="31">
        <v>1.0</v>
      </c>
      <c r="F952" s="31" t="s">
        <v>74</v>
      </c>
      <c r="G952" s="31" t="s">
        <v>280</v>
      </c>
      <c r="H952" s="31">
        <v>14.0</v>
      </c>
      <c r="I952" s="31" t="s">
        <v>34</v>
      </c>
      <c r="J952" s="31" t="s">
        <v>272</v>
      </c>
      <c r="K952" s="31" t="s">
        <v>36</v>
      </c>
      <c r="L952" s="18"/>
      <c r="M952" s="18"/>
      <c r="N952" s="31" t="s">
        <v>340</v>
      </c>
      <c r="O952" s="31" t="s">
        <v>189</v>
      </c>
      <c r="P952" s="31" t="s">
        <v>898</v>
      </c>
      <c r="Q952" s="18"/>
      <c r="R952" s="229">
        <v>2500.0</v>
      </c>
      <c r="S952" s="230">
        <f>FRESADO!$R952*FRESADO!$E952</f>
        <v>2500</v>
      </c>
      <c r="T952" s="230">
        <f>FRESADO!$S952*16%</f>
        <v>400</v>
      </c>
      <c r="U952" s="230">
        <f>FRESADO!$S952+FRESADO!$T952</f>
        <v>2900</v>
      </c>
      <c r="V952" s="31" t="s">
        <v>916</v>
      </c>
      <c r="W952" s="18"/>
      <c r="X952" s="18"/>
      <c r="Y952" s="22"/>
      <c r="Z952" s="18"/>
    </row>
    <row r="953" ht="15.75" customHeight="1">
      <c r="A953" s="108">
        <v>32.0</v>
      </c>
      <c r="B953" s="108">
        <v>112.0</v>
      </c>
      <c r="C953" s="31">
        <v>1530.0</v>
      </c>
      <c r="D953" s="118">
        <v>46242.0</v>
      </c>
      <c r="E953" s="31">
        <v>1.0</v>
      </c>
      <c r="F953" s="31" t="s">
        <v>74</v>
      </c>
      <c r="G953" s="31" t="s">
        <v>690</v>
      </c>
      <c r="H953" s="31">
        <v>14.0</v>
      </c>
      <c r="I953" s="31" t="s">
        <v>34</v>
      </c>
      <c r="J953" s="31" t="s">
        <v>691</v>
      </c>
      <c r="K953" s="31" t="s">
        <v>36</v>
      </c>
      <c r="L953" s="18"/>
      <c r="M953" s="18"/>
      <c r="N953" s="31" t="s">
        <v>340</v>
      </c>
      <c r="O953" s="31" t="s">
        <v>189</v>
      </c>
      <c r="P953" s="31" t="s">
        <v>898</v>
      </c>
      <c r="Q953" s="18"/>
      <c r="R953" s="229">
        <v>2500.0</v>
      </c>
      <c r="S953" s="230">
        <f>FRESADO!$R953*FRESADO!$E953</f>
        <v>2500</v>
      </c>
      <c r="T953" s="230">
        <f>FRESADO!$S953*16%</f>
        <v>400</v>
      </c>
      <c r="U953" s="230">
        <f>FRESADO!$S953+FRESADO!$T953</f>
        <v>2900</v>
      </c>
      <c r="V953" s="31" t="s">
        <v>916</v>
      </c>
      <c r="W953" s="18"/>
      <c r="X953" s="18"/>
      <c r="Y953" s="22"/>
      <c r="Z953" s="18"/>
    </row>
    <row r="954" ht="15.75" customHeight="1">
      <c r="A954" s="108">
        <v>32.0</v>
      </c>
      <c r="B954" s="108">
        <v>113.0</v>
      </c>
      <c r="C954" s="31">
        <v>1531.0</v>
      </c>
      <c r="D954" s="118">
        <v>46242.0</v>
      </c>
      <c r="E954" s="31">
        <v>1.0</v>
      </c>
      <c r="F954" s="31" t="s">
        <v>74</v>
      </c>
      <c r="G954" s="31" t="s">
        <v>625</v>
      </c>
      <c r="H954" s="31">
        <v>14.0</v>
      </c>
      <c r="I954" s="31" t="s">
        <v>34</v>
      </c>
      <c r="J954" s="31" t="s">
        <v>200</v>
      </c>
      <c r="K954" s="31" t="s">
        <v>36</v>
      </c>
      <c r="L954" s="18"/>
      <c r="M954" s="18"/>
      <c r="N954" s="31" t="s">
        <v>398</v>
      </c>
      <c r="O954" s="31" t="s">
        <v>189</v>
      </c>
      <c r="P954" s="31" t="s">
        <v>898</v>
      </c>
      <c r="Q954" s="18"/>
      <c r="R954" s="229">
        <v>2500.0</v>
      </c>
      <c r="S954" s="230">
        <f>FRESADO!$R954*FRESADO!$E954</f>
        <v>2500</v>
      </c>
      <c r="T954" s="230">
        <f>FRESADO!$S954*16%</f>
        <v>400</v>
      </c>
      <c r="U954" s="230">
        <f>FRESADO!$S954+FRESADO!$T954</f>
        <v>2900</v>
      </c>
      <c r="V954" s="255" t="s">
        <v>915</v>
      </c>
      <c r="W954" s="18"/>
      <c r="X954" s="18"/>
      <c r="Y954" s="22"/>
      <c r="Z954" s="18"/>
    </row>
    <row r="955" ht="15.75" customHeight="1">
      <c r="A955" s="108">
        <v>32.0</v>
      </c>
      <c r="B955" s="108">
        <v>114.0</v>
      </c>
      <c r="C955" s="31">
        <v>1532.0</v>
      </c>
      <c r="D955" s="118">
        <v>46242.0</v>
      </c>
      <c r="E955" s="31">
        <v>1.0</v>
      </c>
      <c r="F955" s="31" t="s">
        <v>74</v>
      </c>
      <c r="G955" s="31" t="s">
        <v>300</v>
      </c>
      <c r="H955" s="31">
        <v>14.0</v>
      </c>
      <c r="I955" s="31" t="s">
        <v>34</v>
      </c>
      <c r="J955" s="31" t="s">
        <v>114</v>
      </c>
      <c r="K955" s="31" t="s">
        <v>36</v>
      </c>
      <c r="L955" s="18"/>
      <c r="M955" s="18"/>
      <c r="N955" s="31" t="s">
        <v>398</v>
      </c>
      <c r="O955" s="31" t="s">
        <v>189</v>
      </c>
      <c r="P955" s="31" t="s">
        <v>898</v>
      </c>
      <c r="Q955" s="31" t="s">
        <v>399</v>
      </c>
      <c r="R955" s="229">
        <v>3855.0</v>
      </c>
      <c r="S955" s="230">
        <f>FRESADO!$R955*FRESADO!$E955</f>
        <v>3855</v>
      </c>
      <c r="T955" s="230">
        <f>FRESADO!$S955*16%</f>
        <v>616.8</v>
      </c>
      <c r="U955" s="230">
        <f>FRESADO!$S955+FRESADO!$T955</f>
        <v>4471.8</v>
      </c>
      <c r="V955" s="255" t="s">
        <v>915</v>
      </c>
      <c r="W955" s="18"/>
      <c r="X955" s="18"/>
      <c r="Y955" s="22"/>
      <c r="Z955" s="18"/>
    </row>
    <row r="956" ht="15.75" customHeight="1">
      <c r="A956" s="108">
        <v>32.0</v>
      </c>
      <c r="B956" s="108">
        <v>115.0</v>
      </c>
      <c r="C956" s="31">
        <v>1533.0</v>
      </c>
      <c r="D956" s="118">
        <v>46242.0</v>
      </c>
      <c r="E956" s="31">
        <v>1.0</v>
      </c>
      <c r="F956" s="31" t="s">
        <v>74</v>
      </c>
      <c r="G956" s="31" t="s">
        <v>347</v>
      </c>
      <c r="H956" s="31">
        <v>14.0</v>
      </c>
      <c r="I956" s="31" t="s">
        <v>34</v>
      </c>
      <c r="J956" s="31" t="s">
        <v>70</v>
      </c>
      <c r="K956" s="31" t="s">
        <v>36</v>
      </c>
      <c r="L956" s="18"/>
      <c r="M956" s="18"/>
      <c r="N956" s="31" t="s">
        <v>340</v>
      </c>
      <c r="O956" s="31" t="s">
        <v>189</v>
      </c>
      <c r="P956" s="31" t="s">
        <v>898</v>
      </c>
      <c r="Q956" s="18"/>
      <c r="R956" s="229">
        <v>2500.0</v>
      </c>
      <c r="S956" s="230">
        <f>FRESADO!$R956*FRESADO!$E956</f>
        <v>2500</v>
      </c>
      <c r="T956" s="230">
        <f>FRESADO!$S956*16%</f>
        <v>400</v>
      </c>
      <c r="U956" s="230">
        <f>FRESADO!$S956+FRESADO!$T956</f>
        <v>2900</v>
      </c>
      <c r="V956" s="31" t="s">
        <v>916</v>
      </c>
      <c r="W956" s="18"/>
      <c r="X956" s="18"/>
      <c r="Y956" s="22"/>
      <c r="Z956" s="18"/>
    </row>
    <row r="957" ht="15.75" customHeight="1">
      <c r="A957" s="108">
        <v>32.0</v>
      </c>
      <c r="B957" s="108">
        <v>116.0</v>
      </c>
      <c r="C957" s="31">
        <v>1534.0</v>
      </c>
      <c r="D957" s="118">
        <v>46242.0</v>
      </c>
      <c r="E957" s="31">
        <v>1.0</v>
      </c>
      <c r="F957" s="31" t="s">
        <v>74</v>
      </c>
      <c r="G957" s="31" t="s">
        <v>890</v>
      </c>
      <c r="H957" s="31">
        <v>14.0</v>
      </c>
      <c r="I957" s="31" t="s">
        <v>34</v>
      </c>
      <c r="J957" s="31" t="s">
        <v>195</v>
      </c>
      <c r="K957" s="31" t="s">
        <v>36</v>
      </c>
      <c r="L957" s="18"/>
      <c r="M957" s="18"/>
      <c r="N957" s="31" t="s">
        <v>398</v>
      </c>
      <c r="O957" s="31" t="s">
        <v>189</v>
      </c>
      <c r="P957" s="31" t="s">
        <v>898</v>
      </c>
      <c r="Q957" s="31" t="s">
        <v>399</v>
      </c>
      <c r="R957" s="229">
        <v>3855.0</v>
      </c>
      <c r="S957" s="230">
        <f>FRESADO!$R957*FRESADO!$E957</f>
        <v>3855</v>
      </c>
      <c r="T957" s="230">
        <f>FRESADO!$S957*16%</f>
        <v>616.8</v>
      </c>
      <c r="U957" s="230">
        <f>FRESADO!$S957+FRESADO!$T957</f>
        <v>4471.8</v>
      </c>
      <c r="V957" s="255" t="s">
        <v>915</v>
      </c>
      <c r="W957" s="18"/>
      <c r="X957" s="18"/>
      <c r="Y957" s="22"/>
      <c r="Z957" s="18"/>
    </row>
    <row r="958" ht="15.75" customHeight="1">
      <c r="A958" s="256">
        <v>32.0</v>
      </c>
      <c r="B958" s="256">
        <v>117.0</v>
      </c>
      <c r="C958" s="255">
        <v>1535.0</v>
      </c>
      <c r="D958" s="257">
        <v>46242.0</v>
      </c>
      <c r="E958" s="255">
        <v>0.0</v>
      </c>
      <c r="F958" s="255" t="s">
        <v>182</v>
      </c>
      <c r="G958" s="244">
        <v>0.0</v>
      </c>
      <c r="H958" s="244">
        <v>0.0</v>
      </c>
      <c r="I958" s="244" t="s">
        <v>40</v>
      </c>
      <c r="J958" s="244" t="s">
        <v>183</v>
      </c>
      <c r="K958" s="255" t="s">
        <v>49</v>
      </c>
      <c r="L958" s="18"/>
      <c r="M958" s="18"/>
      <c r="N958" s="18"/>
      <c r="O958" s="18"/>
      <c r="P958" s="18"/>
      <c r="Q958" s="255" t="s">
        <v>182</v>
      </c>
      <c r="R958" s="258">
        <v>0.0</v>
      </c>
      <c r="S958" s="247">
        <f>FRESADO!$R958*FRESADO!$E958</f>
        <v>0</v>
      </c>
      <c r="T958" s="247">
        <f>FRESADO!$S958*16%</f>
        <v>0</v>
      </c>
      <c r="U958" s="247">
        <f>FRESADO!$S958+FRESADO!$T958</f>
        <v>0</v>
      </c>
      <c r="V958" s="255" t="s">
        <v>182</v>
      </c>
      <c r="W958" s="18"/>
      <c r="X958" s="18"/>
      <c r="Y958" s="22"/>
      <c r="Z958" s="18"/>
    </row>
    <row r="959" ht="15.75" customHeight="1">
      <c r="A959" s="108">
        <v>32.0</v>
      </c>
      <c r="B959" s="108">
        <v>118.0</v>
      </c>
      <c r="C959" s="31">
        <v>1536.0</v>
      </c>
      <c r="D959" s="118">
        <v>46242.0</v>
      </c>
      <c r="E959" s="31">
        <v>1.0</v>
      </c>
      <c r="F959" s="31" t="s">
        <v>74</v>
      </c>
      <c r="G959" s="31" t="s">
        <v>192</v>
      </c>
      <c r="H959" s="31">
        <v>14.0</v>
      </c>
      <c r="I959" s="31" t="s">
        <v>34</v>
      </c>
      <c r="J959" s="31" t="s">
        <v>41</v>
      </c>
      <c r="K959" s="31" t="s">
        <v>36</v>
      </c>
      <c r="L959" s="18"/>
      <c r="M959" s="18"/>
      <c r="N959" s="31" t="s">
        <v>340</v>
      </c>
      <c r="O959" s="31" t="s">
        <v>189</v>
      </c>
      <c r="P959" s="31" t="s">
        <v>898</v>
      </c>
      <c r="Q959" s="18"/>
      <c r="R959" s="229">
        <v>2500.0</v>
      </c>
      <c r="S959" s="230">
        <f>FRESADO!$R959*FRESADO!$E959</f>
        <v>2500</v>
      </c>
      <c r="T959" s="230">
        <f>FRESADO!$S959*16%</f>
        <v>400</v>
      </c>
      <c r="U959" s="230">
        <f>FRESADO!$S959+FRESADO!$T959</f>
        <v>2900</v>
      </c>
      <c r="V959" s="31" t="s">
        <v>916</v>
      </c>
      <c r="W959" s="18"/>
      <c r="X959" s="18"/>
      <c r="Y959" s="22"/>
      <c r="Z959" s="18"/>
    </row>
    <row r="960" ht="15.75" customHeight="1">
      <c r="A960" s="108">
        <v>32.0</v>
      </c>
      <c r="B960" s="108">
        <v>119.0</v>
      </c>
      <c r="C960" s="31">
        <v>1537.0</v>
      </c>
      <c r="D960" s="118">
        <v>46242.0</v>
      </c>
      <c r="E960" s="31">
        <v>1.0</v>
      </c>
      <c r="F960" s="31" t="s">
        <v>74</v>
      </c>
      <c r="G960" s="31" t="s">
        <v>347</v>
      </c>
      <c r="H960" s="31">
        <v>14.0</v>
      </c>
      <c r="I960" s="31" t="s">
        <v>34</v>
      </c>
      <c r="J960" s="31" t="s">
        <v>70</v>
      </c>
      <c r="K960" s="31" t="s">
        <v>36</v>
      </c>
      <c r="L960" s="18"/>
      <c r="M960" s="18"/>
      <c r="N960" s="31" t="s">
        <v>340</v>
      </c>
      <c r="O960" s="31" t="s">
        <v>189</v>
      </c>
      <c r="P960" s="31" t="s">
        <v>898</v>
      </c>
      <c r="Q960" s="18"/>
      <c r="R960" s="229">
        <v>2500.0</v>
      </c>
      <c r="S960" s="230">
        <f>FRESADO!$R960*FRESADO!$E960</f>
        <v>2500</v>
      </c>
      <c r="T960" s="230">
        <f>FRESADO!$S960*16%</f>
        <v>400</v>
      </c>
      <c r="U960" s="230">
        <f>FRESADO!$S960+FRESADO!$T960</f>
        <v>2900</v>
      </c>
      <c r="V960" s="31" t="s">
        <v>916</v>
      </c>
      <c r="W960" s="18"/>
      <c r="X960" s="18"/>
      <c r="Y960" s="22"/>
      <c r="Z960" s="18"/>
    </row>
    <row r="961" ht="15.75" customHeight="1">
      <c r="A961" s="108">
        <v>32.0</v>
      </c>
      <c r="B961" s="108">
        <v>120.0</v>
      </c>
      <c r="C961" s="31">
        <v>1538.0</v>
      </c>
      <c r="D961" s="118">
        <v>46242.0</v>
      </c>
      <c r="E961" s="31">
        <v>1.0</v>
      </c>
      <c r="F961" s="31" t="s">
        <v>74</v>
      </c>
      <c r="G961" s="31" t="s">
        <v>357</v>
      </c>
      <c r="H961" s="31">
        <v>14.0</v>
      </c>
      <c r="I961" s="31" t="s">
        <v>34</v>
      </c>
      <c r="J961" s="31" t="s">
        <v>41</v>
      </c>
      <c r="K961" s="31" t="s">
        <v>36</v>
      </c>
      <c r="L961" s="18"/>
      <c r="M961" s="18"/>
      <c r="N961" s="31" t="s">
        <v>340</v>
      </c>
      <c r="O961" s="31" t="s">
        <v>189</v>
      </c>
      <c r="P961" s="31" t="s">
        <v>898</v>
      </c>
      <c r="Q961" s="18"/>
      <c r="R961" s="229">
        <v>2500.0</v>
      </c>
      <c r="S961" s="230">
        <f>FRESADO!$R961*FRESADO!$E961</f>
        <v>2500</v>
      </c>
      <c r="T961" s="230">
        <f>FRESADO!$S961*16%</f>
        <v>400</v>
      </c>
      <c r="U961" s="230">
        <f>FRESADO!$S961+FRESADO!$T961</f>
        <v>2900</v>
      </c>
      <c r="V961" s="255" t="s">
        <v>915</v>
      </c>
      <c r="W961" s="18"/>
      <c r="X961" s="18"/>
      <c r="Y961" s="22"/>
      <c r="Z961" s="18"/>
    </row>
    <row r="962" ht="15.75" customHeight="1">
      <c r="A962" s="108">
        <v>32.0</v>
      </c>
      <c r="B962" s="108">
        <v>121.0</v>
      </c>
      <c r="C962" s="31">
        <v>1539.0</v>
      </c>
      <c r="D962" s="118">
        <v>46242.0</v>
      </c>
      <c r="E962" s="31">
        <v>1.0</v>
      </c>
      <c r="F962" s="31" t="s">
        <v>388</v>
      </c>
      <c r="G962" s="31" t="s">
        <v>583</v>
      </c>
      <c r="H962" s="31">
        <v>7.0</v>
      </c>
      <c r="I962" s="31" t="s">
        <v>34</v>
      </c>
      <c r="J962" s="31" t="s">
        <v>584</v>
      </c>
      <c r="K962" s="129" t="s">
        <v>50</v>
      </c>
      <c r="L962" s="18"/>
      <c r="M962" s="18"/>
      <c r="N962" s="31" t="s">
        <v>340</v>
      </c>
      <c r="O962" s="31" t="s">
        <v>189</v>
      </c>
      <c r="P962" s="31" t="s">
        <v>898</v>
      </c>
      <c r="Q962" s="31" t="s">
        <v>390</v>
      </c>
      <c r="R962" s="229">
        <v>4500.0</v>
      </c>
      <c r="S962" s="230">
        <f>FRESADO!$R962*FRESADO!$E962</f>
        <v>4500</v>
      </c>
      <c r="T962" s="230">
        <f>FRESADO!$S962*16%</f>
        <v>720</v>
      </c>
      <c r="U962" s="230">
        <f>FRESADO!$S962+FRESADO!$T962</f>
        <v>5220</v>
      </c>
      <c r="V962" s="252" t="s">
        <v>915</v>
      </c>
      <c r="W962" s="18"/>
      <c r="X962" s="18"/>
      <c r="Y962" s="22"/>
      <c r="Z962" s="18"/>
    </row>
    <row r="963" ht="15.75" customHeight="1">
      <c r="A963" s="120"/>
      <c r="B963" s="120"/>
      <c r="R963" s="259"/>
      <c r="Y963" s="30"/>
    </row>
    <row r="964" ht="15.75" customHeight="1">
      <c r="A964" s="120"/>
      <c r="B964" s="120"/>
      <c r="R964" s="259"/>
      <c r="Y964" s="30"/>
    </row>
    <row r="965" ht="15.75" customHeight="1">
      <c r="A965" s="120"/>
      <c r="B965" s="120"/>
      <c r="R965" s="259"/>
      <c r="Y965" s="30"/>
    </row>
    <row r="966" ht="15.75" customHeight="1">
      <c r="A966" s="120"/>
      <c r="B966" s="120"/>
      <c r="R966" s="259"/>
      <c r="Y966" s="30"/>
    </row>
    <row r="967" ht="15.75" customHeight="1">
      <c r="A967" s="120"/>
      <c r="B967" s="120"/>
      <c r="R967" s="259"/>
      <c r="Y967" s="30"/>
    </row>
    <row r="968" ht="15.75" customHeight="1">
      <c r="A968" s="120"/>
      <c r="B968" s="120"/>
      <c r="R968" s="259"/>
      <c r="Y968" s="30"/>
    </row>
    <row r="969" ht="15.75" customHeight="1">
      <c r="A969" s="120"/>
      <c r="B969" s="120"/>
      <c r="R969" s="259"/>
      <c r="Y969" s="30"/>
    </row>
    <row r="970" ht="15.75" customHeight="1">
      <c r="A970" s="120"/>
      <c r="B970" s="120"/>
      <c r="R970" s="259"/>
      <c r="Y970" s="30"/>
    </row>
    <row r="971" ht="15.75" customHeight="1">
      <c r="A971" s="120"/>
      <c r="B971" s="120"/>
      <c r="R971" s="259"/>
      <c r="Y971" s="30"/>
    </row>
    <row r="972" ht="15.75" customHeight="1">
      <c r="A972" s="120"/>
      <c r="B972" s="120"/>
      <c r="R972" s="259"/>
      <c r="Y972" s="30"/>
    </row>
    <row r="973" ht="15.75" customHeight="1">
      <c r="A973" s="120"/>
      <c r="B973" s="120"/>
      <c r="R973" s="259"/>
      <c r="Y973" s="30"/>
    </row>
    <row r="974" ht="15.75" customHeight="1">
      <c r="A974" s="120"/>
      <c r="B974" s="120"/>
      <c r="R974" s="259"/>
      <c r="Y974" s="30"/>
    </row>
    <row r="975" ht="15.75" customHeight="1">
      <c r="A975" s="120"/>
      <c r="B975" s="120"/>
      <c r="R975" s="259"/>
      <c r="Y975" s="30"/>
    </row>
    <row r="976" ht="15.75" customHeight="1">
      <c r="A976" s="120"/>
      <c r="B976" s="120"/>
      <c r="R976" s="259"/>
      <c r="Y976" s="30"/>
    </row>
    <row r="977" ht="15.75" customHeight="1">
      <c r="A977" s="120"/>
      <c r="B977" s="120"/>
      <c r="R977" s="259"/>
      <c r="Y977" s="30"/>
    </row>
    <row r="978" ht="15.75" customHeight="1">
      <c r="A978" s="120"/>
      <c r="B978" s="120"/>
      <c r="R978" s="259"/>
      <c r="Y978" s="30"/>
    </row>
    <row r="979" ht="15.75" customHeight="1">
      <c r="A979" s="120"/>
      <c r="B979" s="120"/>
      <c r="R979" s="259"/>
      <c r="Y979" s="30"/>
    </row>
    <row r="980" ht="15.75" customHeight="1">
      <c r="A980" s="120"/>
      <c r="B980" s="120"/>
      <c r="R980" s="259"/>
      <c r="Y980" s="30"/>
    </row>
    <row r="981" ht="15.75" customHeight="1">
      <c r="A981" s="120"/>
      <c r="B981" s="120"/>
      <c r="R981" s="259"/>
      <c r="Y981" s="30"/>
    </row>
    <row r="982" ht="15.75" customHeight="1">
      <c r="A982" s="120"/>
      <c r="B982" s="120"/>
      <c r="R982" s="259"/>
      <c r="Y982" s="30"/>
    </row>
    <row r="983" ht="15.75" customHeight="1">
      <c r="A983" s="120"/>
      <c r="B983" s="120"/>
      <c r="R983" s="259"/>
      <c r="Y983" s="30"/>
    </row>
    <row r="984" ht="15.75" customHeight="1">
      <c r="A984" s="120"/>
      <c r="B984" s="120"/>
      <c r="R984" s="259"/>
      <c r="Y984" s="30"/>
    </row>
    <row r="985" ht="15.75" customHeight="1">
      <c r="A985" s="120"/>
      <c r="B985" s="120"/>
      <c r="R985" s="259"/>
      <c r="Y985" s="30"/>
    </row>
    <row r="986" ht="15.75" customHeight="1">
      <c r="A986" s="120"/>
      <c r="B986" s="120"/>
      <c r="R986" s="259"/>
      <c r="Y986" s="30"/>
    </row>
    <row r="987" ht="15.75" customHeight="1">
      <c r="A987" s="120"/>
      <c r="B987" s="120"/>
      <c r="R987" s="259"/>
      <c r="Y987" s="30"/>
    </row>
    <row r="988" ht="15.75" customHeight="1">
      <c r="A988" s="120"/>
      <c r="B988" s="120"/>
      <c r="R988" s="259"/>
      <c r="Y988" s="30"/>
    </row>
    <row r="989" ht="15.75" customHeight="1">
      <c r="A989" s="120"/>
      <c r="B989" s="120"/>
      <c r="R989" s="259"/>
      <c r="Y989" s="30"/>
    </row>
    <row r="990" ht="15.75" customHeight="1">
      <c r="A990" s="120"/>
      <c r="B990" s="120"/>
      <c r="R990" s="259"/>
      <c r="Y990" s="30"/>
    </row>
    <row r="991" ht="15.75" customHeight="1">
      <c r="A991" s="120"/>
      <c r="B991" s="120"/>
      <c r="R991" s="259"/>
      <c r="Y991" s="30"/>
    </row>
    <row r="992" ht="15.75" customHeight="1">
      <c r="A992" s="120"/>
      <c r="B992" s="120"/>
      <c r="R992" s="259"/>
      <c r="Y992" s="30"/>
    </row>
    <row r="993" ht="15.75" customHeight="1">
      <c r="A993" s="120"/>
      <c r="B993" s="120"/>
      <c r="R993" s="259"/>
      <c r="Y993" s="30"/>
    </row>
    <row r="994" ht="15.75" customHeight="1">
      <c r="A994" s="120"/>
      <c r="B994" s="120"/>
      <c r="R994" s="259"/>
      <c r="Y994" s="30"/>
    </row>
    <row r="995" ht="15.75" customHeight="1">
      <c r="A995" s="120"/>
      <c r="B995" s="120"/>
      <c r="R995" s="259"/>
      <c r="Y995" s="30"/>
    </row>
    <row r="996" ht="15.75" customHeight="1">
      <c r="A996" s="120"/>
      <c r="B996" s="120"/>
      <c r="R996" s="259"/>
      <c r="Y996" s="30"/>
    </row>
    <row r="997" ht="15.75" customHeight="1">
      <c r="A997" s="120"/>
      <c r="B997" s="120"/>
      <c r="R997" s="259"/>
      <c r="Y997" s="30"/>
    </row>
    <row r="998" ht="15.75" customHeight="1">
      <c r="A998" s="120"/>
      <c r="B998" s="120"/>
      <c r="R998" s="259"/>
      <c r="Y998" s="30"/>
    </row>
  </sheetData>
  <autoFilter ref="$A$1:$Z$998"/>
  <printOptions/>
  <pageMargins bottom="0.7086614173228347" footer="0.0" header="0.0" left="0.7480314960629921" right="0.7480314960629921" top="0.7086614173228347"/>
  <pageSetup fitToWidth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9.86"/>
    <col customWidth="1" min="4" max="4" width="11.43"/>
    <col customWidth="1" min="5" max="5" width="8.57"/>
    <col customWidth="1" min="6" max="6" width="18.71"/>
    <col customWidth="1" min="7" max="7" width="10.71"/>
    <col customWidth="1" min="8" max="8" width="18.43"/>
    <col customWidth="1" min="9" max="9" width="14.43"/>
    <col customWidth="1" min="10" max="10" width="25.14"/>
    <col customWidth="1" min="11" max="11" width="18.71"/>
    <col customWidth="1" min="12" max="14" width="14.43"/>
    <col customWidth="1" min="15" max="15" width="16.29"/>
    <col customWidth="1" min="16" max="16" width="31.57"/>
    <col customWidth="1" min="17" max="17" width="26.14"/>
    <col customWidth="1" min="18" max="18" width="15.43"/>
    <col customWidth="1" min="19" max="19" width="13.71"/>
    <col customWidth="1" min="20" max="20" width="15.43"/>
    <col customWidth="1" min="21" max="21" width="18.71"/>
    <col customWidth="1" min="22" max="22" width="17.14"/>
    <col customWidth="1" min="23" max="26" width="10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17</v>
      </c>
      <c r="R1" s="4" t="s">
        <v>19</v>
      </c>
      <c r="S1" s="4" t="s">
        <v>20</v>
      </c>
      <c r="T1" s="4" t="s">
        <v>21</v>
      </c>
      <c r="U1" s="1" t="s">
        <v>22</v>
      </c>
      <c r="V1" s="1" t="s">
        <v>24</v>
      </c>
      <c r="W1" s="1" t="s">
        <v>26</v>
      </c>
      <c r="X1" s="5"/>
      <c r="Y1" s="5"/>
      <c r="Z1" s="5"/>
    </row>
    <row r="2" hidden="1">
      <c r="A2" s="6">
        <v>23.0</v>
      </c>
      <c r="B2" s="6"/>
      <c r="C2" s="8">
        <v>4979.0</v>
      </c>
      <c r="D2" s="9">
        <v>46174.0</v>
      </c>
      <c r="E2" s="10">
        <v>1.0</v>
      </c>
      <c r="F2" s="10" t="s">
        <v>31</v>
      </c>
      <c r="G2" s="10" t="s">
        <v>32</v>
      </c>
      <c r="H2" s="10">
        <v>14.0</v>
      </c>
      <c r="I2" s="10" t="s">
        <v>34</v>
      </c>
      <c r="J2" s="10" t="s">
        <v>35</v>
      </c>
      <c r="K2" s="11" t="s">
        <v>36</v>
      </c>
      <c r="L2" s="10"/>
      <c r="M2" s="10"/>
      <c r="N2" s="10"/>
      <c r="O2" s="10"/>
      <c r="P2" s="10"/>
      <c r="Q2" s="14">
        <v>3350.0</v>
      </c>
      <c r="R2" s="15">
        <f>CARPETA!$Q2*CARPETA!$E2</f>
        <v>3350</v>
      </c>
      <c r="S2" s="15">
        <f>CARPETA!$R2*16%</f>
        <v>536</v>
      </c>
      <c r="T2" s="15">
        <f>CARPETA!$R2+CARPETA!$S2</f>
        <v>3886</v>
      </c>
      <c r="U2" s="8" t="s">
        <v>43</v>
      </c>
      <c r="V2" s="17" t="s">
        <v>44</v>
      </c>
      <c r="W2" s="15" t="s">
        <v>45</v>
      </c>
      <c r="X2" s="18"/>
      <c r="Y2" s="18"/>
      <c r="Z2" s="18"/>
    </row>
    <row r="3" hidden="1">
      <c r="A3" s="6">
        <v>23.0</v>
      </c>
      <c r="B3" s="6"/>
      <c r="C3" s="8">
        <v>4980.0</v>
      </c>
      <c r="D3" s="9">
        <v>46174.0</v>
      </c>
      <c r="E3" s="8">
        <v>1.0</v>
      </c>
      <c r="F3" s="8" t="s">
        <v>31</v>
      </c>
      <c r="G3" s="8" t="s">
        <v>39</v>
      </c>
      <c r="H3" s="8">
        <v>14.0</v>
      </c>
      <c r="I3" s="8" t="s">
        <v>34</v>
      </c>
      <c r="J3" s="8" t="s">
        <v>41</v>
      </c>
      <c r="K3" s="19" t="s">
        <v>36</v>
      </c>
      <c r="L3" s="8"/>
      <c r="M3" s="8"/>
      <c r="N3" s="8"/>
      <c r="O3" s="8"/>
      <c r="P3" s="8"/>
      <c r="Q3" s="14">
        <v>3350.0</v>
      </c>
      <c r="R3" s="15">
        <f>CARPETA!$Q3*CARPETA!$E3</f>
        <v>3350</v>
      </c>
      <c r="S3" s="15">
        <f>CARPETA!$R3*16%</f>
        <v>536</v>
      </c>
      <c r="T3" s="15">
        <f>CARPETA!$R3+CARPETA!$S3</f>
        <v>3886</v>
      </c>
      <c r="U3" s="8" t="s">
        <v>43</v>
      </c>
      <c r="V3" s="17" t="s">
        <v>44</v>
      </c>
      <c r="W3" s="15" t="s">
        <v>45</v>
      </c>
    </row>
    <row r="4" hidden="1">
      <c r="A4" s="6">
        <v>23.0</v>
      </c>
      <c r="B4" s="6"/>
      <c r="C4" s="8">
        <v>4981.0</v>
      </c>
      <c r="D4" s="9">
        <v>46174.0</v>
      </c>
      <c r="E4" s="8">
        <v>1.0</v>
      </c>
      <c r="F4" s="8" t="s">
        <v>31</v>
      </c>
      <c r="G4" s="8" t="s">
        <v>52</v>
      </c>
      <c r="H4" s="8">
        <v>14.0</v>
      </c>
      <c r="I4" s="8" t="s">
        <v>34</v>
      </c>
      <c r="J4" s="8" t="s">
        <v>55</v>
      </c>
      <c r="K4" s="19" t="s">
        <v>36</v>
      </c>
      <c r="L4" s="8"/>
      <c r="M4" s="8"/>
      <c r="N4" s="8"/>
      <c r="O4" s="8"/>
      <c r="P4" s="8"/>
      <c r="Q4" s="15">
        <v>3350.0</v>
      </c>
      <c r="R4" s="15">
        <f>CARPETA!$Q4*CARPETA!$E4</f>
        <v>3350</v>
      </c>
      <c r="S4" s="15">
        <f>CARPETA!$R4*16%</f>
        <v>536</v>
      </c>
      <c r="T4" s="15">
        <f>CARPETA!$R4+CARPETA!$S4</f>
        <v>3886</v>
      </c>
      <c r="U4" s="8" t="s">
        <v>59</v>
      </c>
      <c r="V4" s="17" t="s">
        <v>44</v>
      </c>
      <c r="W4" s="15" t="s">
        <v>60</v>
      </c>
    </row>
    <row r="5" hidden="1">
      <c r="A5" s="6">
        <v>23.0</v>
      </c>
      <c r="B5" s="6"/>
      <c r="C5" s="8">
        <v>4982.0</v>
      </c>
      <c r="D5" s="9">
        <v>46174.0</v>
      </c>
      <c r="E5" s="8">
        <v>1.0</v>
      </c>
      <c r="F5" s="8" t="s">
        <v>31</v>
      </c>
      <c r="G5" s="8" t="s">
        <v>65</v>
      </c>
      <c r="H5" s="8">
        <v>14.0</v>
      </c>
      <c r="I5" s="8" t="s">
        <v>34</v>
      </c>
      <c r="J5" s="8" t="s">
        <v>67</v>
      </c>
      <c r="K5" s="19" t="s">
        <v>36</v>
      </c>
      <c r="L5" s="8"/>
      <c r="M5" s="8"/>
      <c r="N5" s="8"/>
      <c r="O5" s="8"/>
      <c r="P5" s="8"/>
      <c r="Q5" s="15">
        <v>3350.0</v>
      </c>
      <c r="R5" s="15">
        <f>CARPETA!$Q5*CARPETA!$E5</f>
        <v>3350</v>
      </c>
      <c r="S5" s="15">
        <f>CARPETA!$R5*16%</f>
        <v>536</v>
      </c>
      <c r="T5" s="15">
        <f>CARPETA!$R5+CARPETA!$S5</f>
        <v>3886</v>
      </c>
      <c r="U5" s="8" t="s">
        <v>59</v>
      </c>
      <c r="V5" s="17" t="s">
        <v>44</v>
      </c>
      <c r="W5" s="15" t="s">
        <v>60</v>
      </c>
    </row>
    <row r="6" hidden="1">
      <c r="A6" s="6">
        <v>23.0</v>
      </c>
      <c r="B6" s="6"/>
      <c r="C6" s="8">
        <v>4983.0</v>
      </c>
      <c r="D6" s="9">
        <v>46174.0</v>
      </c>
      <c r="E6" s="8">
        <v>1.0</v>
      </c>
      <c r="F6" s="8" t="s">
        <v>31</v>
      </c>
      <c r="G6" s="8" t="s">
        <v>71</v>
      </c>
      <c r="H6" s="8">
        <v>14.0</v>
      </c>
      <c r="I6" s="8" t="s">
        <v>34</v>
      </c>
      <c r="J6" s="8" t="s">
        <v>70</v>
      </c>
      <c r="K6" s="19" t="s">
        <v>36</v>
      </c>
      <c r="L6" s="8"/>
      <c r="M6" s="8"/>
      <c r="N6" s="8"/>
      <c r="O6" s="8"/>
      <c r="P6" s="8"/>
      <c r="Q6" s="14">
        <v>3350.0</v>
      </c>
      <c r="R6" s="15">
        <f>CARPETA!$Q6*CARPETA!$E6</f>
        <v>3350</v>
      </c>
      <c r="S6" s="15">
        <f>CARPETA!$R6*16%</f>
        <v>536</v>
      </c>
      <c r="T6" s="15">
        <f>CARPETA!$R6+CARPETA!$S6</f>
        <v>3886</v>
      </c>
      <c r="U6" s="8" t="s">
        <v>43</v>
      </c>
      <c r="V6" s="17" t="s">
        <v>44</v>
      </c>
      <c r="W6" s="15" t="s">
        <v>45</v>
      </c>
    </row>
    <row r="7" hidden="1">
      <c r="A7" s="6">
        <v>23.0</v>
      </c>
      <c r="B7" s="6"/>
      <c r="C7" s="8" t="s">
        <v>72</v>
      </c>
      <c r="D7" s="9">
        <v>46174.0</v>
      </c>
      <c r="E7" s="8">
        <v>1.0</v>
      </c>
      <c r="F7" s="8" t="s">
        <v>73</v>
      </c>
      <c r="G7" s="8"/>
      <c r="H7" s="8">
        <v>10.0</v>
      </c>
      <c r="I7" s="8" t="s">
        <v>34</v>
      </c>
      <c r="J7" s="8"/>
      <c r="K7" s="19" t="s">
        <v>36</v>
      </c>
      <c r="L7" s="8"/>
      <c r="M7" s="8"/>
      <c r="N7" s="8"/>
      <c r="O7" s="8"/>
      <c r="P7" s="8"/>
      <c r="Q7" s="14">
        <v>4700.0</v>
      </c>
      <c r="R7" s="15">
        <f>CARPETA!$Q7*CARPETA!$E7</f>
        <v>4700</v>
      </c>
      <c r="S7" s="15">
        <f>CARPETA!$R7*16%</f>
        <v>752</v>
      </c>
      <c r="T7" s="15">
        <f>CARPETA!$R7+CARPETA!$S7</f>
        <v>5452</v>
      </c>
      <c r="U7" s="8" t="s">
        <v>43</v>
      </c>
      <c r="V7" s="17" t="s">
        <v>44</v>
      </c>
      <c r="W7" s="15" t="s">
        <v>45</v>
      </c>
    </row>
    <row r="8" hidden="1">
      <c r="A8" s="6">
        <v>23.0</v>
      </c>
      <c r="B8" s="6"/>
      <c r="C8" s="8" t="s">
        <v>72</v>
      </c>
      <c r="D8" s="9">
        <v>46175.0</v>
      </c>
      <c r="E8" s="8">
        <v>1.0</v>
      </c>
      <c r="F8" s="8" t="s">
        <v>75</v>
      </c>
      <c r="G8" s="8"/>
      <c r="H8" s="8">
        <v>0.0</v>
      </c>
      <c r="I8" s="8" t="s">
        <v>34</v>
      </c>
      <c r="J8" s="8"/>
      <c r="K8" s="19" t="s">
        <v>36</v>
      </c>
      <c r="L8" s="8"/>
      <c r="M8" s="8"/>
      <c r="N8" s="8"/>
      <c r="O8" s="8"/>
      <c r="P8" s="8" t="s">
        <v>76</v>
      </c>
      <c r="Q8" s="14">
        <v>1000.0</v>
      </c>
      <c r="R8" s="15">
        <f>CARPETA!$Q8*CARPETA!$E8</f>
        <v>1000</v>
      </c>
      <c r="S8" s="15">
        <f>CARPETA!$R8*16%</f>
        <v>160</v>
      </c>
      <c r="T8" s="15">
        <f>CARPETA!$R8+CARPETA!$S8</f>
        <v>1160</v>
      </c>
      <c r="U8" s="8" t="s">
        <v>43</v>
      </c>
      <c r="V8" s="17" t="s">
        <v>44</v>
      </c>
      <c r="W8" s="15" t="s">
        <v>45</v>
      </c>
    </row>
    <row r="9" hidden="1">
      <c r="A9" s="6">
        <v>23.0</v>
      </c>
      <c r="B9" s="6"/>
      <c r="C9" s="8">
        <v>5568.0</v>
      </c>
      <c r="D9" s="9">
        <v>46176.0</v>
      </c>
      <c r="E9" s="8">
        <v>1.0</v>
      </c>
      <c r="F9" s="8" t="s">
        <v>31</v>
      </c>
      <c r="G9" s="8" t="s">
        <v>32</v>
      </c>
      <c r="H9" s="8">
        <v>15.0</v>
      </c>
      <c r="I9" s="8" t="s">
        <v>34</v>
      </c>
      <c r="J9" s="8" t="s">
        <v>35</v>
      </c>
      <c r="K9" s="19" t="s">
        <v>36</v>
      </c>
      <c r="L9" s="8"/>
      <c r="M9" s="8"/>
      <c r="N9" s="8"/>
      <c r="O9" s="8"/>
      <c r="P9" s="8"/>
      <c r="Q9" s="14">
        <v>3350.0</v>
      </c>
      <c r="R9" s="15">
        <f>CARPETA!$Q9*CARPETA!$E9</f>
        <v>3350</v>
      </c>
      <c r="S9" s="15">
        <f>CARPETA!$R9*16%</f>
        <v>536</v>
      </c>
      <c r="T9" s="15">
        <f>CARPETA!$R9+CARPETA!$S9</f>
        <v>3886</v>
      </c>
      <c r="U9" s="8" t="s">
        <v>43</v>
      </c>
      <c r="V9" s="17" t="s">
        <v>44</v>
      </c>
      <c r="W9" s="15" t="s">
        <v>45</v>
      </c>
    </row>
    <row r="10" hidden="1">
      <c r="A10" s="6">
        <v>23.0</v>
      </c>
      <c r="B10" s="6"/>
      <c r="C10" s="8">
        <v>5569.0</v>
      </c>
      <c r="D10" s="9">
        <v>46176.0</v>
      </c>
      <c r="E10" s="8">
        <v>1.0</v>
      </c>
      <c r="F10" s="8" t="s">
        <v>31</v>
      </c>
      <c r="G10" s="8" t="s">
        <v>78</v>
      </c>
      <c r="H10" s="8">
        <v>15.0</v>
      </c>
      <c r="I10" s="8" t="s">
        <v>34</v>
      </c>
      <c r="J10" s="8" t="s">
        <v>79</v>
      </c>
      <c r="K10" s="19" t="s">
        <v>36</v>
      </c>
      <c r="L10" s="8"/>
      <c r="M10" s="8"/>
      <c r="N10" s="8"/>
      <c r="O10" s="8"/>
      <c r="P10" s="8"/>
      <c r="Q10" s="14">
        <v>3350.0</v>
      </c>
      <c r="R10" s="15">
        <f>CARPETA!$Q10*CARPETA!$E10</f>
        <v>3350</v>
      </c>
      <c r="S10" s="15">
        <f>CARPETA!$R10*16%</f>
        <v>536</v>
      </c>
      <c r="T10" s="15">
        <f>CARPETA!$R10+CARPETA!$S10</f>
        <v>3886</v>
      </c>
      <c r="U10" s="8" t="s">
        <v>43</v>
      </c>
      <c r="V10" s="17" t="s">
        <v>44</v>
      </c>
      <c r="W10" s="15" t="s">
        <v>45</v>
      </c>
    </row>
    <row r="11" hidden="1">
      <c r="A11" s="6">
        <v>23.0</v>
      </c>
      <c r="B11" s="6"/>
      <c r="C11" s="8">
        <v>5570.0</v>
      </c>
      <c r="D11" s="9">
        <v>46176.0</v>
      </c>
      <c r="E11" s="8">
        <v>1.0</v>
      </c>
      <c r="F11" s="8" t="s">
        <v>31</v>
      </c>
      <c r="G11" s="8" t="s">
        <v>80</v>
      </c>
      <c r="H11" s="8">
        <v>15.0</v>
      </c>
      <c r="I11" s="8" t="s">
        <v>34</v>
      </c>
      <c r="J11" s="8" t="s">
        <v>81</v>
      </c>
      <c r="K11" s="19" t="s">
        <v>36</v>
      </c>
      <c r="L11" s="8"/>
      <c r="M11" s="8"/>
      <c r="N11" s="8"/>
      <c r="O11" s="8"/>
      <c r="P11" s="8"/>
      <c r="Q11" s="14">
        <v>3350.0</v>
      </c>
      <c r="R11" s="15">
        <f>CARPETA!$Q11*CARPETA!$E11</f>
        <v>3350</v>
      </c>
      <c r="S11" s="15">
        <f>CARPETA!$R11*16%</f>
        <v>536</v>
      </c>
      <c r="T11" s="15">
        <f>CARPETA!$R11+CARPETA!$S11</f>
        <v>3886</v>
      </c>
      <c r="U11" s="8" t="s">
        <v>43</v>
      </c>
      <c r="V11" s="17" t="s">
        <v>44</v>
      </c>
      <c r="W11" s="15" t="s">
        <v>45</v>
      </c>
    </row>
    <row r="12" hidden="1">
      <c r="A12" s="6">
        <v>23.0</v>
      </c>
      <c r="B12" s="6"/>
      <c r="C12" s="8">
        <v>5571.0</v>
      </c>
      <c r="D12" s="9">
        <v>46176.0</v>
      </c>
      <c r="E12" s="8">
        <v>1.0</v>
      </c>
      <c r="F12" s="8" t="s">
        <v>31</v>
      </c>
      <c r="G12" s="8" t="s">
        <v>82</v>
      </c>
      <c r="H12" s="8">
        <v>15.0</v>
      </c>
      <c r="I12" s="8" t="s">
        <v>34</v>
      </c>
      <c r="J12" s="8" t="s">
        <v>83</v>
      </c>
      <c r="K12" s="19" t="s">
        <v>36</v>
      </c>
      <c r="L12" s="8"/>
      <c r="M12" s="8"/>
      <c r="N12" s="8"/>
      <c r="O12" s="8"/>
      <c r="P12" s="8"/>
      <c r="Q12" s="14">
        <v>3350.0</v>
      </c>
      <c r="R12" s="15">
        <f>CARPETA!$Q12*CARPETA!$E12</f>
        <v>3350</v>
      </c>
      <c r="S12" s="15">
        <f>CARPETA!$R12*16%</f>
        <v>536</v>
      </c>
      <c r="T12" s="15">
        <f>CARPETA!$R12+CARPETA!$S12</f>
        <v>3886</v>
      </c>
      <c r="U12" s="8" t="s">
        <v>43</v>
      </c>
      <c r="V12" s="17" t="s">
        <v>44</v>
      </c>
      <c r="W12" s="15" t="s">
        <v>45</v>
      </c>
    </row>
    <row r="13" hidden="1">
      <c r="A13" s="6">
        <v>23.0</v>
      </c>
      <c r="B13" s="6"/>
      <c r="C13" s="8">
        <v>5572.0</v>
      </c>
      <c r="D13" s="9">
        <v>46176.0</v>
      </c>
      <c r="E13" s="8">
        <v>1.0</v>
      </c>
      <c r="F13" s="8" t="s">
        <v>31</v>
      </c>
      <c r="G13" s="8" t="s">
        <v>84</v>
      </c>
      <c r="H13" s="8">
        <v>15.0</v>
      </c>
      <c r="I13" s="8" t="s">
        <v>34</v>
      </c>
      <c r="J13" s="8" t="s">
        <v>85</v>
      </c>
      <c r="K13" s="19" t="s">
        <v>36</v>
      </c>
      <c r="L13" s="8"/>
      <c r="M13" s="8"/>
      <c r="N13" s="8"/>
      <c r="O13" s="8"/>
      <c r="P13" s="8"/>
      <c r="Q13" s="14">
        <v>3350.0</v>
      </c>
      <c r="R13" s="15">
        <f>CARPETA!$Q13*CARPETA!$E13</f>
        <v>3350</v>
      </c>
      <c r="S13" s="15">
        <f>CARPETA!$R13*16%</f>
        <v>536</v>
      </c>
      <c r="T13" s="15">
        <f>CARPETA!$R13+CARPETA!$S13</f>
        <v>3886</v>
      </c>
      <c r="U13" s="8" t="s">
        <v>43</v>
      </c>
      <c r="V13" s="17" t="s">
        <v>44</v>
      </c>
      <c r="W13" s="15" t="s">
        <v>45</v>
      </c>
    </row>
    <row r="14" hidden="1">
      <c r="A14" s="6">
        <v>23.0</v>
      </c>
      <c r="B14" s="6"/>
      <c r="C14" s="8">
        <v>5573.0</v>
      </c>
      <c r="D14" s="9">
        <v>46176.0</v>
      </c>
      <c r="E14" s="8">
        <v>1.0</v>
      </c>
      <c r="F14" s="8" t="s">
        <v>31</v>
      </c>
      <c r="G14" s="8" t="s">
        <v>86</v>
      </c>
      <c r="H14" s="8">
        <v>15.0</v>
      </c>
      <c r="I14" s="8" t="s">
        <v>34</v>
      </c>
      <c r="J14" s="8" t="s">
        <v>87</v>
      </c>
      <c r="K14" s="19" t="s">
        <v>36</v>
      </c>
      <c r="L14" s="8"/>
      <c r="M14" s="8"/>
      <c r="N14" s="8"/>
      <c r="O14" s="8"/>
      <c r="P14" s="8"/>
      <c r="Q14" s="14">
        <v>3350.0</v>
      </c>
      <c r="R14" s="15">
        <f>CARPETA!$Q14*CARPETA!$E14</f>
        <v>3350</v>
      </c>
      <c r="S14" s="15">
        <f>CARPETA!$R14*16%</f>
        <v>536</v>
      </c>
      <c r="T14" s="15">
        <f>CARPETA!$R14+CARPETA!$S14</f>
        <v>3886</v>
      </c>
      <c r="U14" s="8" t="s">
        <v>43</v>
      </c>
      <c r="V14" s="17" t="s">
        <v>44</v>
      </c>
      <c r="W14" s="15" t="s">
        <v>45</v>
      </c>
    </row>
    <row r="15" hidden="1">
      <c r="A15" s="6">
        <v>23.0</v>
      </c>
      <c r="B15" s="6"/>
      <c r="C15" s="8">
        <v>5574.0</v>
      </c>
      <c r="D15" s="9">
        <v>46176.0</v>
      </c>
      <c r="E15" s="8">
        <v>1.0</v>
      </c>
      <c r="F15" s="8" t="s">
        <v>31</v>
      </c>
      <c r="G15" s="8" t="s">
        <v>69</v>
      </c>
      <c r="H15" s="8">
        <v>15.0</v>
      </c>
      <c r="I15" s="8" t="s">
        <v>34</v>
      </c>
      <c r="J15" s="8" t="s">
        <v>70</v>
      </c>
      <c r="K15" s="19" t="s">
        <v>36</v>
      </c>
      <c r="L15" s="8"/>
      <c r="M15" s="8"/>
      <c r="N15" s="8"/>
      <c r="O15" s="8"/>
      <c r="P15" s="8"/>
      <c r="Q15" s="14">
        <v>3350.0</v>
      </c>
      <c r="R15" s="15">
        <f>CARPETA!$Q15*CARPETA!$E15</f>
        <v>3350</v>
      </c>
      <c r="S15" s="15">
        <f>CARPETA!$R15*16%</f>
        <v>536</v>
      </c>
      <c r="T15" s="15">
        <f>CARPETA!$R15+CARPETA!$S15</f>
        <v>3886</v>
      </c>
      <c r="U15" s="8" t="s">
        <v>43</v>
      </c>
      <c r="V15" s="17" t="s">
        <v>44</v>
      </c>
      <c r="W15" s="15" t="s">
        <v>45</v>
      </c>
    </row>
    <row r="16" hidden="1">
      <c r="A16" s="6">
        <v>23.0</v>
      </c>
      <c r="B16" s="6"/>
      <c r="C16" s="8">
        <v>5575.0</v>
      </c>
      <c r="D16" s="9">
        <v>46176.0</v>
      </c>
      <c r="E16" s="8">
        <v>1.0</v>
      </c>
      <c r="F16" s="8" t="s">
        <v>31</v>
      </c>
      <c r="G16" s="8" t="s">
        <v>39</v>
      </c>
      <c r="H16" s="8">
        <v>15.0</v>
      </c>
      <c r="I16" s="8" t="s">
        <v>34</v>
      </c>
      <c r="J16" s="8" t="s">
        <v>88</v>
      </c>
      <c r="K16" s="19" t="s">
        <v>36</v>
      </c>
      <c r="L16" s="8"/>
      <c r="M16" s="8"/>
      <c r="N16" s="8"/>
      <c r="O16" s="8"/>
      <c r="P16" s="8"/>
      <c r="Q16" s="14">
        <v>3350.0</v>
      </c>
      <c r="R16" s="15">
        <f>CARPETA!$Q16*CARPETA!$E16</f>
        <v>3350</v>
      </c>
      <c r="S16" s="15">
        <f>CARPETA!$R16*16%</f>
        <v>536</v>
      </c>
      <c r="T16" s="15">
        <f>CARPETA!$R16+CARPETA!$S16</f>
        <v>3886</v>
      </c>
      <c r="U16" s="8" t="s">
        <v>43</v>
      </c>
      <c r="V16" s="17" t="s">
        <v>44</v>
      </c>
      <c r="W16" s="15" t="s">
        <v>45</v>
      </c>
    </row>
    <row r="17" hidden="1">
      <c r="A17" s="6">
        <v>23.0</v>
      </c>
      <c r="B17" s="6"/>
      <c r="C17" s="8" t="s">
        <v>72</v>
      </c>
      <c r="D17" s="9">
        <v>46176.0</v>
      </c>
      <c r="E17" s="8">
        <v>1.0</v>
      </c>
      <c r="F17" s="8" t="s">
        <v>73</v>
      </c>
      <c r="G17" s="8"/>
      <c r="H17" s="8">
        <v>10.0</v>
      </c>
      <c r="I17" s="8" t="s">
        <v>34</v>
      </c>
      <c r="J17" s="8"/>
      <c r="K17" s="19" t="s">
        <v>36</v>
      </c>
      <c r="L17" s="8"/>
      <c r="M17" s="8"/>
      <c r="N17" s="8"/>
      <c r="O17" s="8"/>
      <c r="P17" s="8"/>
      <c r="Q17" s="14">
        <v>4700.0</v>
      </c>
      <c r="R17" s="15">
        <f>CARPETA!$Q17*CARPETA!$E17</f>
        <v>4700</v>
      </c>
      <c r="S17" s="15">
        <f>CARPETA!$R17*16%</f>
        <v>752</v>
      </c>
      <c r="T17" s="15">
        <f>CARPETA!$R17+CARPETA!$S17</f>
        <v>5452</v>
      </c>
      <c r="U17" s="8" t="s">
        <v>43</v>
      </c>
      <c r="V17" s="17" t="s">
        <v>44</v>
      </c>
      <c r="W17" s="15" t="s">
        <v>45</v>
      </c>
    </row>
    <row r="18" hidden="1">
      <c r="A18" s="6">
        <v>23.0</v>
      </c>
      <c r="B18" s="6"/>
      <c r="C18" s="8">
        <v>5585.0</v>
      </c>
      <c r="D18" s="9">
        <v>46177.0</v>
      </c>
      <c r="E18" s="8">
        <v>1.0</v>
      </c>
      <c r="F18" s="8" t="s">
        <v>31</v>
      </c>
      <c r="G18" s="8" t="s">
        <v>32</v>
      </c>
      <c r="H18" s="8">
        <v>15.0</v>
      </c>
      <c r="I18" s="8" t="s">
        <v>34</v>
      </c>
      <c r="J18" s="8" t="s">
        <v>35</v>
      </c>
      <c r="K18" s="19" t="s">
        <v>36</v>
      </c>
      <c r="L18" s="8"/>
      <c r="M18" s="8"/>
      <c r="N18" s="8"/>
      <c r="O18" s="8"/>
      <c r="P18" s="8"/>
      <c r="Q18" s="14">
        <v>3350.0</v>
      </c>
      <c r="R18" s="15">
        <f>CARPETA!$Q18*CARPETA!$E18</f>
        <v>3350</v>
      </c>
      <c r="S18" s="15">
        <f>CARPETA!$R18*16%</f>
        <v>536</v>
      </c>
      <c r="T18" s="15">
        <f>CARPETA!$R18+CARPETA!$S18</f>
        <v>3886</v>
      </c>
      <c r="U18" s="8" t="s">
        <v>43</v>
      </c>
      <c r="V18" s="17" t="s">
        <v>44</v>
      </c>
      <c r="W18" s="15" t="s">
        <v>45</v>
      </c>
    </row>
    <row r="19" hidden="1">
      <c r="A19" s="6">
        <v>23.0</v>
      </c>
      <c r="B19" s="6"/>
      <c r="C19" s="8">
        <v>5586.0</v>
      </c>
      <c r="D19" s="9">
        <v>46177.0</v>
      </c>
      <c r="E19" s="8">
        <v>1.0</v>
      </c>
      <c r="F19" s="8" t="s">
        <v>31</v>
      </c>
      <c r="G19" s="8" t="s">
        <v>80</v>
      </c>
      <c r="H19" s="8">
        <v>15.0</v>
      </c>
      <c r="I19" s="8" t="s">
        <v>34</v>
      </c>
      <c r="J19" s="8" t="s">
        <v>81</v>
      </c>
      <c r="K19" s="19" t="s">
        <v>36</v>
      </c>
      <c r="L19" s="8"/>
      <c r="M19" s="8"/>
      <c r="N19" s="8"/>
      <c r="O19" s="8"/>
      <c r="P19" s="8"/>
      <c r="Q19" s="14">
        <v>3350.0</v>
      </c>
      <c r="R19" s="15">
        <f>CARPETA!$Q19*CARPETA!$E19</f>
        <v>3350</v>
      </c>
      <c r="S19" s="15">
        <f>CARPETA!$R19*16%</f>
        <v>536</v>
      </c>
      <c r="T19" s="15">
        <f>CARPETA!$R19+CARPETA!$S19</f>
        <v>3886</v>
      </c>
      <c r="U19" s="8" t="s">
        <v>43</v>
      </c>
      <c r="V19" s="17" t="s">
        <v>44</v>
      </c>
      <c r="W19" s="15" t="s">
        <v>45</v>
      </c>
    </row>
    <row r="20" hidden="1">
      <c r="A20" s="6">
        <v>23.0</v>
      </c>
      <c r="B20" s="6"/>
      <c r="C20" s="8">
        <v>5587.0</v>
      </c>
      <c r="D20" s="9">
        <v>46177.0</v>
      </c>
      <c r="E20" s="8">
        <v>1.0</v>
      </c>
      <c r="F20" s="8" t="s">
        <v>31</v>
      </c>
      <c r="G20" s="8" t="s">
        <v>82</v>
      </c>
      <c r="H20" s="8">
        <v>15.0</v>
      </c>
      <c r="I20" s="8" t="s">
        <v>34</v>
      </c>
      <c r="J20" s="8" t="s">
        <v>83</v>
      </c>
      <c r="K20" s="19" t="s">
        <v>36</v>
      </c>
      <c r="L20" s="8"/>
      <c r="M20" s="8"/>
      <c r="N20" s="8"/>
      <c r="O20" s="8"/>
      <c r="P20" s="8"/>
      <c r="Q20" s="14">
        <v>3350.0</v>
      </c>
      <c r="R20" s="15">
        <f>CARPETA!$Q20*CARPETA!$E20</f>
        <v>3350</v>
      </c>
      <c r="S20" s="15">
        <f>CARPETA!$R20*16%</f>
        <v>536</v>
      </c>
      <c r="T20" s="15">
        <f>CARPETA!$R20+CARPETA!$S20</f>
        <v>3886</v>
      </c>
      <c r="U20" s="8" t="s">
        <v>43</v>
      </c>
      <c r="V20" s="17" t="s">
        <v>44</v>
      </c>
      <c r="W20" s="15" t="s">
        <v>45</v>
      </c>
    </row>
    <row r="21" ht="15.75" hidden="1" customHeight="1">
      <c r="A21" s="6">
        <v>23.0</v>
      </c>
      <c r="B21" s="6"/>
      <c r="C21" s="8">
        <v>5588.0</v>
      </c>
      <c r="D21" s="9">
        <v>46177.0</v>
      </c>
      <c r="E21" s="8">
        <v>1.0</v>
      </c>
      <c r="F21" s="8" t="s">
        <v>31</v>
      </c>
      <c r="G21" s="8" t="s">
        <v>78</v>
      </c>
      <c r="H21" s="8">
        <v>15.0</v>
      </c>
      <c r="I21" s="8" t="s">
        <v>34</v>
      </c>
      <c r="J21" s="8" t="s">
        <v>79</v>
      </c>
      <c r="K21" s="19" t="s">
        <v>36</v>
      </c>
      <c r="L21" s="8"/>
      <c r="M21" s="8"/>
      <c r="N21" s="8"/>
      <c r="O21" s="8"/>
      <c r="P21" s="8"/>
      <c r="Q21" s="14">
        <v>3350.0</v>
      </c>
      <c r="R21" s="15">
        <f>CARPETA!$Q21*CARPETA!$E21</f>
        <v>3350</v>
      </c>
      <c r="S21" s="15">
        <f>CARPETA!$R21*16%</f>
        <v>536</v>
      </c>
      <c r="T21" s="15">
        <f>CARPETA!$R21+CARPETA!$S21</f>
        <v>3886</v>
      </c>
      <c r="U21" s="8" t="s">
        <v>43</v>
      </c>
      <c r="V21" s="17" t="s">
        <v>44</v>
      </c>
      <c r="W21" s="15" t="s">
        <v>45</v>
      </c>
    </row>
    <row r="22" ht="15.75" hidden="1" customHeight="1">
      <c r="A22" s="6">
        <v>23.0</v>
      </c>
      <c r="B22" s="6"/>
      <c r="C22" s="8">
        <v>5589.0</v>
      </c>
      <c r="D22" s="9">
        <v>46177.0</v>
      </c>
      <c r="E22" s="8">
        <v>1.0</v>
      </c>
      <c r="F22" s="8" t="s">
        <v>31</v>
      </c>
      <c r="G22" s="8" t="s">
        <v>86</v>
      </c>
      <c r="H22" s="8">
        <v>15.0</v>
      </c>
      <c r="I22" s="8" t="s">
        <v>34</v>
      </c>
      <c r="J22" s="8" t="s">
        <v>87</v>
      </c>
      <c r="K22" s="19" t="s">
        <v>36</v>
      </c>
      <c r="L22" s="8"/>
      <c r="M22" s="8"/>
      <c r="N22" s="8"/>
      <c r="O22" s="8"/>
      <c r="P22" s="8"/>
      <c r="Q22" s="14">
        <v>3350.0</v>
      </c>
      <c r="R22" s="15">
        <f>CARPETA!$Q22*CARPETA!$E22</f>
        <v>3350</v>
      </c>
      <c r="S22" s="15">
        <f>CARPETA!$R22*16%</f>
        <v>536</v>
      </c>
      <c r="T22" s="15">
        <f>CARPETA!$R22+CARPETA!$S22</f>
        <v>3886</v>
      </c>
      <c r="U22" s="8" t="s">
        <v>43</v>
      </c>
      <c r="V22" s="17" t="s">
        <v>44</v>
      </c>
      <c r="W22" s="15" t="s">
        <v>45</v>
      </c>
    </row>
    <row r="23" ht="15.75" hidden="1" customHeight="1">
      <c r="A23" s="6">
        <v>23.0</v>
      </c>
      <c r="B23" s="6"/>
      <c r="C23" s="8">
        <v>5590.0</v>
      </c>
      <c r="D23" s="9">
        <v>46177.0</v>
      </c>
      <c r="E23" s="8">
        <v>1.0</v>
      </c>
      <c r="F23" s="8" t="s">
        <v>31</v>
      </c>
      <c r="G23" s="8" t="s">
        <v>92</v>
      </c>
      <c r="H23" s="8">
        <v>15.0</v>
      </c>
      <c r="I23" s="8" t="s">
        <v>34</v>
      </c>
      <c r="J23" s="8" t="s">
        <v>55</v>
      </c>
      <c r="K23" s="19" t="s">
        <v>36</v>
      </c>
      <c r="L23" s="8"/>
      <c r="M23" s="8"/>
      <c r="N23" s="8"/>
      <c r="O23" s="8"/>
      <c r="P23" s="8"/>
      <c r="Q23" s="15">
        <v>3350.0</v>
      </c>
      <c r="R23" s="15">
        <f>CARPETA!$Q23*CARPETA!$E23</f>
        <v>3350</v>
      </c>
      <c r="S23" s="15">
        <f>CARPETA!$R23*16%</f>
        <v>536</v>
      </c>
      <c r="T23" s="15">
        <f>CARPETA!$R23+CARPETA!$S23</f>
        <v>3886</v>
      </c>
      <c r="U23" s="8" t="s">
        <v>59</v>
      </c>
      <c r="V23" s="17" t="s">
        <v>44</v>
      </c>
      <c r="W23" s="15" t="s">
        <v>60</v>
      </c>
    </row>
    <row r="24" ht="15.75" hidden="1" customHeight="1">
      <c r="A24" s="6">
        <v>23.0</v>
      </c>
      <c r="B24" s="6"/>
      <c r="C24" s="8">
        <v>5591.0</v>
      </c>
      <c r="D24" s="9">
        <v>46177.0</v>
      </c>
      <c r="E24" s="8">
        <v>1.0</v>
      </c>
      <c r="F24" s="8" t="s">
        <v>31</v>
      </c>
      <c r="G24" s="8" t="s">
        <v>39</v>
      </c>
      <c r="H24" s="8">
        <v>15.0</v>
      </c>
      <c r="I24" s="8" t="s">
        <v>34</v>
      </c>
      <c r="J24" s="8" t="s">
        <v>88</v>
      </c>
      <c r="K24" s="19" t="s">
        <v>36</v>
      </c>
      <c r="L24" s="8"/>
      <c r="M24" s="8"/>
      <c r="N24" s="8"/>
      <c r="O24" s="8"/>
      <c r="P24" s="8"/>
      <c r="Q24" s="14">
        <v>3350.0</v>
      </c>
      <c r="R24" s="15">
        <f>CARPETA!$Q24*CARPETA!$E24</f>
        <v>3350</v>
      </c>
      <c r="S24" s="15">
        <f>CARPETA!$R24*16%</f>
        <v>536</v>
      </c>
      <c r="T24" s="15">
        <f>CARPETA!$R24+CARPETA!$S24</f>
        <v>3886</v>
      </c>
      <c r="U24" s="8" t="s">
        <v>43</v>
      </c>
      <c r="V24" s="17" t="s">
        <v>44</v>
      </c>
      <c r="W24" s="15" t="s">
        <v>45</v>
      </c>
    </row>
    <row r="25" ht="15.75" hidden="1" customHeight="1">
      <c r="A25" s="6">
        <v>23.0</v>
      </c>
      <c r="B25" s="6"/>
      <c r="C25" s="8">
        <v>5592.0</v>
      </c>
      <c r="D25" s="9">
        <v>46177.0</v>
      </c>
      <c r="E25" s="8">
        <v>1.0</v>
      </c>
      <c r="F25" s="8" t="s">
        <v>31</v>
      </c>
      <c r="G25" s="8" t="s">
        <v>93</v>
      </c>
      <c r="H25" s="8">
        <v>15.0</v>
      </c>
      <c r="I25" s="8" t="s">
        <v>34</v>
      </c>
      <c r="J25" s="8" t="s">
        <v>94</v>
      </c>
      <c r="K25" s="19" t="s">
        <v>36</v>
      </c>
      <c r="L25" s="8"/>
      <c r="M25" s="8"/>
      <c r="N25" s="8"/>
      <c r="O25" s="8"/>
      <c r="P25" s="8"/>
      <c r="Q25" s="14">
        <v>3350.0</v>
      </c>
      <c r="R25" s="15">
        <f>CARPETA!$Q25*CARPETA!$E25</f>
        <v>3350</v>
      </c>
      <c r="S25" s="15">
        <f>CARPETA!$R25*16%</f>
        <v>536</v>
      </c>
      <c r="T25" s="15">
        <f>CARPETA!$R25+CARPETA!$S25</f>
        <v>3886</v>
      </c>
      <c r="U25" s="8" t="s">
        <v>43</v>
      </c>
      <c r="V25" s="17" t="s">
        <v>44</v>
      </c>
      <c r="W25" s="15" t="s">
        <v>45</v>
      </c>
    </row>
    <row r="26" ht="15.75" hidden="1" customHeight="1">
      <c r="A26" s="6">
        <v>23.0</v>
      </c>
      <c r="B26" s="6"/>
      <c r="C26" s="8">
        <v>5593.0</v>
      </c>
      <c r="D26" s="9">
        <v>46177.0</v>
      </c>
      <c r="E26" s="8">
        <v>1.0</v>
      </c>
      <c r="F26" s="8" t="s">
        <v>31</v>
      </c>
      <c r="G26" s="8" t="s">
        <v>95</v>
      </c>
      <c r="H26" s="8">
        <v>15.0</v>
      </c>
      <c r="I26" s="8" t="s">
        <v>34</v>
      </c>
      <c r="J26" s="8" t="s">
        <v>96</v>
      </c>
      <c r="K26" s="19" t="s">
        <v>36</v>
      </c>
      <c r="L26" s="8"/>
      <c r="M26" s="8"/>
      <c r="N26" s="8"/>
      <c r="O26" s="8"/>
      <c r="P26" s="8"/>
      <c r="Q26" s="14">
        <v>3350.0</v>
      </c>
      <c r="R26" s="15">
        <f>CARPETA!$Q26*CARPETA!$E26</f>
        <v>3350</v>
      </c>
      <c r="S26" s="15">
        <f>CARPETA!$R26*16%</f>
        <v>536</v>
      </c>
      <c r="T26" s="15">
        <f>CARPETA!$R26+CARPETA!$S26</f>
        <v>3886</v>
      </c>
      <c r="U26" s="8" t="s">
        <v>43</v>
      </c>
      <c r="V26" s="17" t="s">
        <v>44</v>
      </c>
      <c r="W26" s="15" t="s">
        <v>45</v>
      </c>
    </row>
    <row r="27" ht="15.75" hidden="1" customHeight="1">
      <c r="A27" s="6">
        <v>23.0</v>
      </c>
      <c r="B27" s="6"/>
      <c r="C27" s="8">
        <v>5594.0</v>
      </c>
      <c r="D27" s="9">
        <v>46177.0</v>
      </c>
      <c r="E27" s="8">
        <v>1.0</v>
      </c>
      <c r="F27" s="8" t="s">
        <v>31</v>
      </c>
      <c r="G27" s="8" t="s">
        <v>32</v>
      </c>
      <c r="H27" s="8">
        <v>15.0</v>
      </c>
      <c r="I27" s="8" t="s">
        <v>34</v>
      </c>
      <c r="J27" s="8" t="s">
        <v>35</v>
      </c>
      <c r="K27" s="19" t="s">
        <v>36</v>
      </c>
      <c r="L27" s="8"/>
      <c r="M27" s="8"/>
      <c r="N27" s="8"/>
      <c r="O27" s="8"/>
      <c r="P27" s="8"/>
      <c r="Q27" s="14">
        <v>3350.0</v>
      </c>
      <c r="R27" s="15">
        <f>CARPETA!$Q27*CARPETA!$E27</f>
        <v>3350</v>
      </c>
      <c r="S27" s="15">
        <f>CARPETA!$R27*16%</f>
        <v>536</v>
      </c>
      <c r="T27" s="15">
        <f>CARPETA!$R27+CARPETA!$S27</f>
        <v>3886</v>
      </c>
      <c r="U27" s="8" t="s">
        <v>43</v>
      </c>
      <c r="V27" s="17" t="s">
        <v>44</v>
      </c>
      <c r="W27" s="15" t="s">
        <v>45</v>
      </c>
    </row>
    <row r="28" ht="15.75" hidden="1" customHeight="1">
      <c r="A28" s="6">
        <v>23.0</v>
      </c>
      <c r="B28" s="6"/>
      <c r="C28" s="8" t="s">
        <v>72</v>
      </c>
      <c r="D28" s="9">
        <v>46177.0</v>
      </c>
      <c r="E28" s="8">
        <v>1.0</v>
      </c>
      <c r="F28" s="8" t="s">
        <v>73</v>
      </c>
      <c r="G28" s="8"/>
      <c r="H28" s="8">
        <v>10.0</v>
      </c>
      <c r="I28" s="8" t="s">
        <v>34</v>
      </c>
      <c r="J28" s="8"/>
      <c r="K28" s="19" t="s">
        <v>36</v>
      </c>
      <c r="L28" s="8"/>
      <c r="M28" s="8"/>
      <c r="N28" s="8"/>
      <c r="O28" s="8"/>
      <c r="P28" s="8"/>
      <c r="Q28" s="14">
        <v>4700.0</v>
      </c>
      <c r="R28" s="15">
        <f>CARPETA!$Q28*CARPETA!$E28</f>
        <v>4700</v>
      </c>
      <c r="S28" s="15">
        <f>CARPETA!$R28*16%</f>
        <v>752</v>
      </c>
      <c r="T28" s="15">
        <f>CARPETA!$R28+CARPETA!$S28</f>
        <v>5452</v>
      </c>
      <c r="U28" s="8" t="s">
        <v>43</v>
      </c>
      <c r="V28" s="17" t="s">
        <v>44</v>
      </c>
      <c r="W28" s="15" t="s">
        <v>45</v>
      </c>
    </row>
    <row r="29" ht="15.75" hidden="1" customHeight="1">
      <c r="A29" s="6">
        <v>23.0</v>
      </c>
      <c r="B29" s="6"/>
      <c r="C29" s="8">
        <v>5604.0</v>
      </c>
      <c r="D29" s="9">
        <v>46178.0</v>
      </c>
      <c r="E29" s="8">
        <v>1.0</v>
      </c>
      <c r="F29" s="8" t="s">
        <v>31</v>
      </c>
      <c r="G29" s="8" t="s">
        <v>80</v>
      </c>
      <c r="H29" s="8">
        <v>15.0</v>
      </c>
      <c r="I29" s="8" t="s">
        <v>34</v>
      </c>
      <c r="J29" s="8" t="s">
        <v>81</v>
      </c>
      <c r="K29" s="19" t="s">
        <v>36</v>
      </c>
      <c r="L29" s="8"/>
      <c r="M29" s="8"/>
      <c r="N29" s="8"/>
      <c r="O29" s="8"/>
      <c r="P29" s="8"/>
      <c r="Q29" s="14">
        <v>3350.0</v>
      </c>
      <c r="R29" s="15">
        <f>CARPETA!$Q29*CARPETA!$E29</f>
        <v>3350</v>
      </c>
      <c r="S29" s="15">
        <f>CARPETA!$R29*16%</f>
        <v>536</v>
      </c>
      <c r="T29" s="15">
        <f>CARPETA!$R29+CARPETA!$S29</f>
        <v>3886</v>
      </c>
      <c r="U29" s="8" t="s">
        <v>43</v>
      </c>
      <c r="V29" s="17" t="s">
        <v>44</v>
      </c>
      <c r="W29" s="15" t="s">
        <v>45</v>
      </c>
    </row>
    <row r="30" ht="15.75" hidden="1" customHeight="1">
      <c r="A30" s="6">
        <v>23.0</v>
      </c>
      <c r="B30" s="6"/>
      <c r="C30" s="8">
        <v>5605.0</v>
      </c>
      <c r="D30" s="9">
        <v>46178.0</v>
      </c>
      <c r="E30" s="8">
        <v>1.0</v>
      </c>
      <c r="F30" s="8" t="s">
        <v>31</v>
      </c>
      <c r="G30" s="8" t="s">
        <v>86</v>
      </c>
      <c r="H30" s="8">
        <v>15.0</v>
      </c>
      <c r="I30" s="8" t="s">
        <v>34</v>
      </c>
      <c r="J30" s="8" t="s">
        <v>87</v>
      </c>
      <c r="K30" s="19" t="s">
        <v>36</v>
      </c>
      <c r="L30" s="8"/>
      <c r="M30" s="8"/>
      <c r="N30" s="8"/>
      <c r="O30" s="8"/>
      <c r="P30" s="8"/>
      <c r="Q30" s="14">
        <v>3350.0</v>
      </c>
      <c r="R30" s="15">
        <f>CARPETA!$Q30*CARPETA!$E30</f>
        <v>3350</v>
      </c>
      <c r="S30" s="15">
        <f>CARPETA!$R30*16%</f>
        <v>536</v>
      </c>
      <c r="T30" s="15">
        <f>CARPETA!$R30+CARPETA!$S30</f>
        <v>3886</v>
      </c>
      <c r="U30" s="8" t="s">
        <v>43</v>
      </c>
      <c r="V30" s="17" t="s">
        <v>44</v>
      </c>
      <c r="W30" s="15" t="s">
        <v>45</v>
      </c>
    </row>
    <row r="31" ht="15.75" hidden="1" customHeight="1">
      <c r="A31" s="6">
        <v>23.0</v>
      </c>
      <c r="B31" s="6"/>
      <c r="C31" s="8">
        <v>5606.0</v>
      </c>
      <c r="D31" s="9">
        <v>46178.0</v>
      </c>
      <c r="E31" s="8">
        <v>1.0</v>
      </c>
      <c r="F31" s="8" t="s">
        <v>31</v>
      </c>
      <c r="G31" s="8" t="s">
        <v>82</v>
      </c>
      <c r="H31" s="8">
        <v>15.0</v>
      </c>
      <c r="I31" s="8" t="s">
        <v>34</v>
      </c>
      <c r="J31" s="8" t="s">
        <v>83</v>
      </c>
      <c r="K31" s="19" t="s">
        <v>36</v>
      </c>
      <c r="L31" s="8"/>
      <c r="M31" s="8"/>
      <c r="N31" s="8"/>
      <c r="O31" s="8"/>
      <c r="P31" s="8"/>
      <c r="Q31" s="14">
        <v>3350.0</v>
      </c>
      <c r="R31" s="15">
        <f>CARPETA!$Q31*CARPETA!$E31</f>
        <v>3350</v>
      </c>
      <c r="S31" s="15">
        <f>CARPETA!$R31*16%</f>
        <v>536</v>
      </c>
      <c r="T31" s="15">
        <f>CARPETA!$R31+CARPETA!$S31</f>
        <v>3886</v>
      </c>
      <c r="U31" s="8" t="s">
        <v>43</v>
      </c>
      <c r="V31" s="17" t="s">
        <v>44</v>
      </c>
      <c r="W31" s="15" t="s">
        <v>45</v>
      </c>
    </row>
    <row r="32" ht="15.75" hidden="1" customHeight="1">
      <c r="A32" s="6">
        <v>23.0</v>
      </c>
      <c r="B32" s="6"/>
      <c r="C32" s="8">
        <v>5607.0</v>
      </c>
      <c r="D32" s="9">
        <v>46178.0</v>
      </c>
      <c r="E32" s="8">
        <v>1.0</v>
      </c>
      <c r="F32" s="8" t="s">
        <v>31</v>
      </c>
      <c r="G32" s="8" t="s">
        <v>78</v>
      </c>
      <c r="H32" s="8">
        <v>15.0</v>
      </c>
      <c r="I32" s="8" t="s">
        <v>34</v>
      </c>
      <c r="J32" s="8" t="s">
        <v>79</v>
      </c>
      <c r="K32" s="19" t="s">
        <v>36</v>
      </c>
      <c r="L32" s="8"/>
      <c r="M32" s="8"/>
      <c r="N32" s="8"/>
      <c r="O32" s="8"/>
      <c r="P32" s="8"/>
      <c r="Q32" s="14">
        <v>3350.0</v>
      </c>
      <c r="R32" s="15">
        <f>CARPETA!$Q32*CARPETA!$E32</f>
        <v>3350</v>
      </c>
      <c r="S32" s="15">
        <f>CARPETA!$R32*16%</f>
        <v>536</v>
      </c>
      <c r="T32" s="15">
        <f>CARPETA!$R32+CARPETA!$S32</f>
        <v>3886</v>
      </c>
      <c r="U32" s="8" t="s">
        <v>43</v>
      </c>
      <c r="V32" s="17" t="s">
        <v>44</v>
      </c>
      <c r="W32" s="15" t="s">
        <v>45</v>
      </c>
    </row>
    <row r="33" ht="15.75" hidden="1" customHeight="1">
      <c r="A33" s="6">
        <v>23.0</v>
      </c>
      <c r="B33" s="6"/>
      <c r="C33" s="8">
        <v>5608.0</v>
      </c>
      <c r="D33" s="9">
        <v>46178.0</v>
      </c>
      <c r="E33" s="8">
        <v>1.0</v>
      </c>
      <c r="F33" s="8" t="s">
        <v>31</v>
      </c>
      <c r="G33" s="8" t="s">
        <v>39</v>
      </c>
      <c r="H33" s="8">
        <v>15.0</v>
      </c>
      <c r="I33" s="8" t="s">
        <v>34</v>
      </c>
      <c r="J33" s="8" t="s">
        <v>88</v>
      </c>
      <c r="K33" s="19" t="s">
        <v>36</v>
      </c>
      <c r="L33" s="8"/>
      <c r="M33" s="8"/>
      <c r="N33" s="8"/>
      <c r="O33" s="8"/>
      <c r="P33" s="8"/>
      <c r="Q33" s="14">
        <v>3350.0</v>
      </c>
      <c r="R33" s="15">
        <f>CARPETA!$Q33*CARPETA!$E33</f>
        <v>3350</v>
      </c>
      <c r="S33" s="15">
        <f>CARPETA!$R33*16%</f>
        <v>536</v>
      </c>
      <c r="T33" s="15">
        <f>CARPETA!$R33+CARPETA!$S33</f>
        <v>3886</v>
      </c>
      <c r="U33" s="8" t="s">
        <v>43</v>
      </c>
      <c r="V33" s="17" t="s">
        <v>44</v>
      </c>
      <c r="W33" s="15" t="s">
        <v>45</v>
      </c>
    </row>
    <row r="34" ht="15.75" hidden="1" customHeight="1">
      <c r="A34" s="6">
        <v>23.0</v>
      </c>
      <c r="B34" s="6"/>
      <c r="C34" s="8">
        <v>5609.0</v>
      </c>
      <c r="D34" s="9">
        <v>46178.0</v>
      </c>
      <c r="E34" s="8">
        <v>1.0</v>
      </c>
      <c r="F34" s="8" t="s">
        <v>31</v>
      </c>
      <c r="G34" s="8" t="s">
        <v>95</v>
      </c>
      <c r="H34" s="8">
        <v>15.0</v>
      </c>
      <c r="I34" s="8" t="s">
        <v>34</v>
      </c>
      <c r="J34" s="8" t="s">
        <v>96</v>
      </c>
      <c r="K34" s="19" t="s">
        <v>36</v>
      </c>
      <c r="L34" s="8"/>
      <c r="M34" s="8"/>
      <c r="N34" s="8"/>
      <c r="O34" s="8"/>
      <c r="P34" s="8"/>
      <c r="Q34" s="14">
        <v>3350.0</v>
      </c>
      <c r="R34" s="15">
        <f>CARPETA!$Q34*CARPETA!$E34</f>
        <v>3350</v>
      </c>
      <c r="S34" s="15">
        <f>CARPETA!$R34*16%</f>
        <v>536</v>
      </c>
      <c r="T34" s="15">
        <f>CARPETA!$R34+CARPETA!$S34</f>
        <v>3886</v>
      </c>
      <c r="U34" s="8" t="s">
        <v>43</v>
      </c>
      <c r="V34" s="17" t="s">
        <v>44</v>
      </c>
      <c r="W34" s="15" t="s">
        <v>45</v>
      </c>
    </row>
    <row r="35" ht="15.75" hidden="1" customHeight="1">
      <c r="A35" s="6">
        <v>23.0</v>
      </c>
      <c r="B35" s="6"/>
      <c r="C35" s="8">
        <v>5610.0</v>
      </c>
      <c r="D35" s="9">
        <v>46178.0</v>
      </c>
      <c r="E35" s="8">
        <v>1.0</v>
      </c>
      <c r="F35" s="8" t="s">
        <v>31</v>
      </c>
      <c r="G35" s="8" t="s">
        <v>32</v>
      </c>
      <c r="H35" s="8">
        <v>15.0</v>
      </c>
      <c r="I35" s="8" t="s">
        <v>34</v>
      </c>
      <c r="J35" s="8" t="s">
        <v>35</v>
      </c>
      <c r="K35" s="19" t="s">
        <v>36</v>
      </c>
      <c r="L35" s="8"/>
      <c r="M35" s="8"/>
      <c r="N35" s="8"/>
      <c r="O35" s="8"/>
      <c r="P35" s="8"/>
      <c r="Q35" s="14">
        <v>3350.0</v>
      </c>
      <c r="R35" s="15">
        <f>CARPETA!$Q35*CARPETA!$E35</f>
        <v>3350</v>
      </c>
      <c r="S35" s="15">
        <f>CARPETA!$R35*16%</f>
        <v>536</v>
      </c>
      <c r="T35" s="15">
        <f>CARPETA!$R35+CARPETA!$S35</f>
        <v>3886</v>
      </c>
      <c r="U35" s="8" t="s">
        <v>43</v>
      </c>
      <c r="V35" s="17" t="s">
        <v>44</v>
      </c>
      <c r="W35" s="15" t="s">
        <v>45</v>
      </c>
    </row>
    <row r="36" ht="15.75" hidden="1" customHeight="1">
      <c r="A36" s="6">
        <v>23.0</v>
      </c>
      <c r="B36" s="6"/>
      <c r="C36" s="8">
        <v>5611.0</v>
      </c>
      <c r="D36" s="9">
        <v>46178.0</v>
      </c>
      <c r="E36" s="8">
        <v>1.0</v>
      </c>
      <c r="F36" s="8" t="s">
        <v>31</v>
      </c>
      <c r="G36" s="8" t="s">
        <v>69</v>
      </c>
      <c r="H36" s="8">
        <v>15.0</v>
      </c>
      <c r="I36" s="8" t="s">
        <v>34</v>
      </c>
      <c r="J36" s="8" t="s">
        <v>70</v>
      </c>
      <c r="K36" s="19" t="s">
        <v>36</v>
      </c>
      <c r="L36" s="8"/>
      <c r="M36" s="8"/>
      <c r="N36" s="8"/>
      <c r="O36" s="8"/>
      <c r="P36" s="8"/>
      <c r="Q36" s="14">
        <v>3350.0</v>
      </c>
      <c r="R36" s="15">
        <f>CARPETA!$Q36*CARPETA!$E36</f>
        <v>3350</v>
      </c>
      <c r="S36" s="15">
        <f>CARPETA!$R36*16%</f>
        <v>536</v>
      </c>
      <c r="T36" s="15">
        <f>CARPETA!$R36+CARPETA!$S36</f>
        <v>3886</v>
      </c>
      <c r="U36" s="8" t="s">
        <v>43</v>
      </c>
      <c r="V36" s="17" t="s">
        <v>44</v>
      </c>
      <c r="W36" s="15" t="s">
        <v>45</v>
      </c>
    </row>
    <row r="37" ht="15.75" hidden="1" customHeight="1">
      <c r="A37" s="6">
        <v>23.0</v>
      </c>
      <c r="B37" s="6"/>
      <c r="C37" s="8">
        <v>5612.0</v>
      </c>
      <c r="D37" s="9">
        <v>46178.0</v>
      </c>
      <c r="E37" s="8">
        <v>1.0</v>
      </c>
      <c r="F37" s="8" t="s">
        <v>31</v>
      </c>
      <c r="G37" s="8" t="s">
        <v>92</v>
      </c>
      <c r="H37" s="8">
        <v>15.0</v>
      </c>
      <c r="I37" s="8" t="s">
        <v>34</v>
      </c>
      <c r="J37" s="8" t="s">
        <v>55</v>
      </c>
      <c r="K37" s="19" t="s">
        <v>36</v>
      </c>
      <c r="L37" s="8"/>
      <c r="M37" s="8"/>
      <c r="N37" s="8"/>
      <c r="O37" s="8"/>
      <c r="P37" s="8"/>
      <c r="Q37" s="15">
        <v>3350.0</v>
      </c>
      <c r="R37" s="15">
        <f>CARPETA!$Q37*CARPETA!$E37</f>
        <v>3350</v>
      </c>
      <c r="S37" s="15">
        <f>CARPETA!$R37*16%</f>
        <v>536</v>
      </c>
      <c r="T37" s="15">
        <f>CARPETA!$R37+CARPETA!$S37</f>
        <v>3886</v>
      </c>
      <c r="U37" s="8" t="s">
        <v>59</v>
      </c>
      <c r="V37" s="17" t="s">
        <v>44</v>
      </c>
      <c r="W37" s="15" t="s">
        <v>60</v>
      </c>
    </row>
    <row r="38" ht="15.75" hidden="1" customHeight="1">
      <c r="A38" s="6">
        <v>23.0</v>
      </c>
      <c r="B38" s="6"/>
      <c r="C38" s="8">
        <v>5613.0</v>
      </c>
      <c r="D38" s="9">
        <v>46178.0</v>
      </c>
      <c r="E38" s="8">
        <v>1.0</v>
      </c>
      <c r="F38" s="8" t="s">
        <v>31</v>
      </c>
      <c r="G38" s="8" t="s">
        <v>90</v>
      </c>
      <c r="H38" s="8">
        <v>15.0</v>
      </c>
      <c r="I38" s="8" t="s">
        <v>34</v>
      </c>
      <c r="J38" s="8" t="s">
        <v>91</v>
      </c>
      <c r="K38" s="19" t="s">
        <v>36</v>
      </c>
      <c r="L38" s="8"/>
      <c r="M38" s="8"/>
      <c r="N38" s="8"/>
      <c r="O38" s="8"/>
      <c r="P38" s="8"/>
      <c r="Q38" s="14">
        <v>3350.0</v>
      </c>
      <c r="R38" s="15">
        <f>CARPETA!$Q38*CARPETA!$E38</f>
        <v>3350</v>
      </c>
      <c r="S38" s="15">
        <f>CARPETA!$R38*16%</f>
        <v>536</v>
      </c>
      <c r="T38" s="15">
        <f>CARPETA!$R38+CARPETA!$S38</f>
        <v>3886</v>
      </c>
      <c r="U38" s="8" t="s">
        <v>43</v>
      </c>
      <c r="V38" s="17" t="s">
        <v>44</v>
      </c>
      <c r="W38" s="15" t="s">
        <v>45</v>
      </c>
    </row>
    <row r="39" ht="15.75" hidden="1" customHeight="1">
      <c r="A39" s="34">
        <v>23.0</v>
      </c>
      <c r="B39" s="6"/>
      <c r="C39" s="35" t="s">
        <v>97</v>
      </c>
      <c r="D39" s="36">
        <v>46178.0</v>
      </c>
      <c r="E39" s="35">
        <v>1.0</v>
      </c>
      <c r="F39" s="35" t="s">
        <v>73</v>
      </c>
      <c r="G39" s="35" t="s">
        <v>98</v>
      </c>
      <c r="H39" s="35">
        <v>10.0</v>
      </c>
      <c r="I39" s="35" t="s">
        <v>34</v>
      </c>
      <c r="J39" s="35" t="s">
        <v>99</v>
      </c>
      <c r="K39" s="19" t="s">
        <v>36</v>
      </c>
      <c r="L39" s="8"/>
      <c r="M39" s="8"/>
      <c r="N39" s="8"/>
      <c r="O39" s="8"/>
      <c r="P39" s="8"/>
      <c r="Q39" s="37">
        <v>4500.0</v>
      </c>
      <c r="R39" s="15">
        <f>CARPETA!$Q39*CARPETA!$E39</f>
        <v>4500</v>
      </c>
      <c r="S39" s="15">
        <f>CARPETA!$R39*16%</f>
        <v>720</v>
      </c>
      <c r="T39" s="15">
        <f>CARPETA!$R39+CARPETA!$S39</f>
        <v>5220</v>
      </c>
      <c r="U39" s="17" t="s">
        <v>59</v>
      </c>
      <c r="V39" s="17" t="s">
        <v>44</v>
      </c>
      <c r="W39" s="15" t="s">
        <v>60</v>
      </c>
    </row>
    <row r="40" ht="15.75" hidden="1" customHeight="1">
      <c r="A40" s="6">
        <v>24.0</v>
      </c>
      <c r="B40" s="6"/>
      <c r="C40" s="8">
        <v>5626.0</v>
      </c>
      <c r="D40" s="9">
        <v>46181.0</v>
      </c>
      <c r="E40" s="8">
        <v>1.0</v>
      </c>
      <c r="F40" s="8" t="s">
        <v>31</v>
      </c>
      <c r="G40" s="8" t="s">
        <v>100</v>
      </c>
      <c r="H40" s="8">
        <v>15.0</v>
      </c>
      <c r="I40" s="8" t="s">
        <v>34</v>
      </c>
      <c r="J40" s="8" t="s">
        <v>87</v>
      </c>
      <c r="K40" s="19" t="s">
        <v>36</v>
      </c>
      <c r="L40" s="8"/>
      <c r="M40" s="8"/>
      <c r="N40" s="8"/>
      <c r="O40" s="8"/>
      <c r="P40" s="8"/>
      <c r="Q40" s="14">
        <v>3350.0</v>
      </c>
      <c r="R40" s="15">
        <f>CARPETA!$Q40*CARPETA!$E40</f>
        <v>3350</v>
      </c>
      <c r="S40" s="15">
        <f>CARPETA!$R40*16%</f>
        <v>536</v>
      </c>
      <c r="T40" s="15">
        <f>CARPETA!$R40+CARPETA!$S40</f>
        <v>3886</v>
      </c>
      <c r="U40" s="17" t="s">
        <v>59</v>
      </c>
      <c r="V40" s="17" t="s">
        <v>44</v>
      </c>
      <c r="W40" s="15" t="s">
        <v>60</v>
      </c>
    </row>
    <row r="41" ht="15.75" hidden="1" customHeight="1">
      <c r="A41" s="6">
        <v>24.0</v>
      </c>
      <c r="B41" s="6"/>
      <c r="C41" s="8">
        <v>5627.0</v>
      </c>
      <c r="D41" s="9">
        <v>46181.0</v>
      </c>
      <c r="E41" s="8">
        <v>1.0</v>
      </c>
      <c r="F41" s="8" t="s">
        <v>31</v>
      </c>
      <c r="G41" s="8" t="s">
        <v>80</v>
      </c>
      <c r="H41" s="8">
        <v>15.0</v>
      </c>
      <c r="I41" s="8" t="s">
        <v>34</v>
      </c>
      <c r="J41" s="8" t="s">
        <v>81</v>
      </c>
      <c r="K41" s="19" t="s">
        <v>36</v>
      </c>
      <c r="L41" s="8"/>
      <c r="M41" s="8"/>
      <c r="N41" s="8"/>
      <c r="O41" s="8"/>
      <c r="P41" s="8"/>
      <c r="Q41" s="14">
        <v>3350.0</v>
      </c>
      <c r="R41" s="15">
        <f>CARPETA!$Q41*CARPETA!$E41</f>
        <v>3350</v>
      </c>
      <c r="S41" s="15">
        <f>CARPETA!$R41*16%</f>
        <v>536</v>
      </c>
      <c r="T41" s="15">
        <f>CARPETA!$R41+CARPETA!$S41</f>
        <v>3886</v>
      </c>
      <c r="U41" s="17" t="s">
        <v>59</v>
      </c>
      <c r="V41" s="17" t="s">
        <v>44</v>
      </c>
      <c r="W41" s="15" t="s">
        <v>60</v>
      </c>
    </row>
    <row r="42" ht="15.75" hidden="1" customHeight="1">
      <c r="A42" s="6">
        <v>24.0</v>
      </c>
      <c r="B42" s="6"/>
      <c r="C42" s="8">
        <v>5628.0</v>
      </c>
      <c r="D42" s="9">
        <v>46181.0</v>
      </c>
      <c r="E42" s="8">
        <v>1.0</v>
      </c>
      <c r="F42" s="8" t="s">
        <v>31</v>
      </c>
      <c r="G42" s="8" t="s">
        <v>71</v>
      </c>
      <c r="H42" s="8">
        <v>15.0</v>
      </c>
      <c r="I42" s="8" t="s">
        <v>34</v>
      </c>
      <c r="J42" s="8" t="s">
        <v>83</v>
      </c>
      <c r="K42" s="19" t="s">
        <v>36</v>
      </c>
      <c r="L42" s="8"/>
      <c r="M42" s="8"/>
      <c r="N42" s="8"/>
      <c r="O42" s="8"/>
      <c r="P42" s="8"/>
      <c r="Q42" s="14">
        <v>3350.0</v>
      </c>
      <c r="R42" s="15">
        <f>CARPETA!$Q42*CARPETA!$E42</f>
        <v>3350</v>
      </c>
      <c r="S42" s="15">
        <f>CARPETA!$R42*16%</f>
        <v>536</v>
      </c>
      <c r="T42" s="15">
        <f>CARPETA!$R42+CARPETA!$S42</f>
        <v>3886</v>
      </c>
      <c r="U42" s="17" t="s">
        <v>59</v>
      </c>
      <c r="V42" s="17" t="s">
        <v>44</v>
      </c>
      <c r="W42" s="15" t="s">
        <v>60</v>
      </c>
    </row>
    <row r="43" ht="15.75" hidden="1" customHeight="1">
      <c r="A43" s="6">
        <v>24.0</v>
      </c>
      <c r="B43" s="6"/>
      <c r="C43" s="8">
        <v>5629.0</v>
      </c>
      <c r="D43" s="9">
        <v>46181.0</v>
      </c>
      <c r="E43" s="8">
        <v>1.0</v>
      </c>
      <c r="F43" s="8" t="s">
        <v>31</v>
      </c>
      <c r="G43" s="8" t="s">
        <v>78</v>
      </c>
      <c r="H43" s="8">
        <v>15.0</v>
      </c>
      <c r="I43" s="8" t="s">
        <v>34</v>
      </c>
      <c r="J43" s="8" t="s">
        <v>101</v>
      </c>
      <c r="K43" s="19" t="s">
        <v>36</v>
      </c>
      <c r="L43" s="8"/>
      <c r="M43" s="8"/>
      <c r="N43" s="8"/>
      <c r="O43" s="8"/>
      <c r="P43" s="8"/>
      <c r="Q43" s="14">
        <v>3350.0</v>
      </c>
      <c r="R43" s="15">
        <f>CARPETA!$Q43*CARPETA!$E43</f>
        <v>3350</v>
      </c>
      <c r="S43" s="15">
        <f>CARPETA!$R43*16%</f>
        <v>536</v>
      </c>
      <c r="T43" s="15">
        <f>CARPETA!$R43+CARPETA!$S43</f>
        <v>3886</v>
      </c>
      <c r="U43" s="17" t="s">
        <v>59</v>
      </c>
      <c r="V43" s="17" t="s">
        <v>44</v>
      </c>
      <c r="W43" s="15" t="s">
        <v>60</v>
      </c>
    </row>
    <row r="44" ht="15.75" hidden="1" customHeight="1">
      <c r="A44" s="6">
        <v>24.0</v>
      </c>
      <c r="B44" s="6"/>
      <c r="C44" s="8">
        <v>5630.0</v>
      </c>
      <c r="D44" s="9">
        <v>46181.0</v>
      </c>
      <c r="E44" s="8">
        <v>1.0</v>
      </c>
      <c r="F44" s="8" t="s">
        <v>31</v>
      </c>
      <c r="G44" s="8" t="s">
        <v>71</v>
      </c>
      <c r="H44" s="8">
        <v>15.0</v>
      </c>
      <c r="I44" s="8" t="s">
        <v>34</v>
      </c>
      <c r="J44" s="8" t="s">
        <v>70</v>
      </c>
      <c r="K44" s="19" t="s">
        <v>36</v>
      </c>
      <c r="L44" s="8"/>
      <c r="M44" s="8"/>
      <c r="N44" s="8"/>
      <c r="O44" s="8"/>
      <c r="P44" s="8"/>
      <c r="Q44" s="14">
        <v>3350.0</v>
      </c>
      <c r="R44" s="15">
        <f>CARPETA!$Q44*CARPETA!$E44</f>
        <v>3350</v>
      </c>
      <c r="S44" s="15">
        <f>CARPETA!$R44*16%</f>
        <v>536</v>
      </c>
      <c r="T44" s="15">
        <f>CARPETA!$R44+CARPETA!$S44</f>
        <v>3886</v>
      </c>
      <c r="U44" s="17" t="s">
        <v>59</v>
      </c>
      <c r="V44" s="17" t="s">
        <v>44</v>
      </c>
      <c r="W44" s="15" t="s">
        <v>60</v>
      </c>
    </row>
    <row r="45" ht="15.75" hidden="1" customHeight="1">
      <c r="A45" s="6">
        <v>24.0</v>
      </c>
      <c r="B45" s="6"/>
      <c r="C45" s="8">
        <v>5631.0</v>
      </c>
      <c r="D45" s="9">
        <v>46181.0</v>
      </c>
      <c r="E45" s="8">
        <v>1.0</v>
      </c>
      <c r="F45" s="8" t="s">
        <v>31</v>
      </c>
      <c r="G45" s="8" t="s">
        <v>39</v>
      </c>
      <c r="H45" s="8">
        <v>15.0</v>
      </c>
      <c r="I45" s="8" t="s">
        <v>34</v>
      </c>
      <c r="J45" s="8" t="s">
        <v>41</v>
      </c>
      <c r="K45" s="19" t="s">
        <v>36</v>
      </c>
      <c r="L45" s="8"/>
      <c r="M45" s="8"/>
      <c r="N45" s="8"/>
      <c r="O45" s="8"/>
      <c r="P45" s="8"/>
      <c r="Q45" s="14">
        <v>3350.0</v>
      </c>
      <c r="R45" s="15">
        <f>CARPETA!$Q45*CARPETA!$E45</f>
        <v>3350</v>
      </c>
      <c r="S45" s="15">
        <f>CARPETA!$R45*16%</f>
        <v>536</v>
      </c>
      <c r="T45" s="15">
        <f>CARPETA!$R45+CARPETA!$S45</f>
        <v>3886</v>
      </c>
      <c r="U45" s="17" t="s">
        <v>59</v>
      </c>
      <c r="V45" s="17" t="s">
        <v>44</v>
      </c>
      <c r="W45" s="15" t="s">
        <v>60</v>
      </c>
    </row>
    <row r="46" ht="15.75" hidden="1" customHeight="1">
      <c r="A46" s="6">
        <v>24.0</v>
      </c>
      <c r="B46" s="6"/>
      <c r="C46" s="8">
        <v>5664.0</v>
      </c>
      <c r="D46" s="9">
        <v>46184.0</v>
      </c>
      <c r="E46" s="8">
        <v>1.0</v>
      </c>
      <c r="F46" s="8" t="s">
        <v>31</v>
      </c>
      <c r="G46" s="8" t="s">
        <v>100</v>
      </c>
      <c r="H46" s="8">
        <v>15.0</v>
      </c>
      <c r="I46" s="8" t="s">
        <v>34</v>
      </c>
      <c r="J46" s="8" t="s">
        <v>87</v>
      </c>
      <c r="K46" s="19" t="s">
        <v>36</v>
      </c>
      <c r="L46" s="8"/>
      <c r="M46" s="8"/>
      <c r="N46" s="8"/>
      <c r="O46" s="8"/>
      <c r="P46" s="8"/>
      <c r="Q46" s="14">
        <v>4020.0</v>
      </c>
      <c r="R46" s="15">
        <f>CARPETA!$Q46*CARPETA!$E46</f>
        <v>4020</v>
      </c>
      <c r="S46" s="15">
        <f>CARPETA!$R46*16%</f>
        <v>643.2</v>
      </c>
      <c r="T46" s="15">
        <f>CARPETA!$R46+CARPETA!$S46</f>
        <v>4663.2</v>
      </c>
      <c r="U46" s="8" t="s">
        <v>59</v>
      </c>
      <c r="V46" s="17" t="s">
        <v>44</v>
      </c>
      <c r="W46" s="15" t="s">
        <v>60</v>
      </c>
    </row>
    <row r="47" ht="15.75" hidden="1" customHeight="1">
      <c r="A47" s="6">
        <v>24.0</v>
      </c>
      <c r="B47" s="6"/>
      <c r="C47" s="8">
        <v>5665.0</v>
      </c>
      <c r="D47" s="9">
        <v>46184.0</v>
      </c>
      <c r="E47" s="8">
        <v>1.0</v>
      </c>
      <c r="F47" s="8" t="s">
        <v>31</v>
      </c>
      <c r="G47" s="8" t="s">
        <v>80</v>
      </c>
      <c r="H47" s="8">
        <v>15.0</v>
      </c>
      <c r="I47" s="8" t="s">
        <v>34</v>
      </c>
      <c r="J47" s="8" t="s">
        <v>81</v>
      </c>
      <c r="K47" s="19" t="s">
        <v>36</v>
      </c>
      <c r="L47" s="8"/>
      <c r="M47" s="8"/>
      <c r="N47" s="8"/>
      <c r="O47" s="8"/>
      <c r="P47" s="8"/>
      <c r="Q47" s="14">
        <v>4020.0</v>
      </c>
      <c r="R47" s="15">
        <f>CARPETA!$Q47*CARPETA!$E47</f>
        <v>4020</v>
      </c>
      <c r="S47" s="15">
        <f>CARPETA!$R47*16%</f>
        <v>643.2</v>
      </c>
      <c r="T47" s="15">
        <f>CARPETA!$R47+CARPETA!$S47</f>
        <v>4663.2</v>
      </c>
      <c r="U47" s="8" t="s">
        <v>59</v>
      </c>
      <c r="V47" s="17" t="s">
        <v>44</v>
      </c>
      <c r="W47" s="15" t="s">
        <v>60</v>
      </c>
    </row>
    <row r="48" ht="15.75" hidden="1" customHeight="1">
      <c r="A48" s="6">
        <v>24.0</v>
      </c>
      <c r="B48" s="6"/>
      <c r="C48" s="8">
        <v>5666.0</v>
      </c>
      <c r="D48" s="9">
        <v>46184.0</v>
      </c>
      <c r="E48" s="8">
        <v>1.0</v>
      </c>
      <c r="F48" s="8" t="s">
        <v>31</v>
      </c>
      <c r="G48" s="8" t="s">
        <v>71</v>
      </c>
      <c r="H48" s="8">
        <v>15.0</v>
      </c>
      <c r="I48" s="8" t="s">
        <v>34</v>
      </c>
      <c r="J48" s="8" t="s">
        <v>83</v>
      </c>
      <c r="K48" s="19" t="s">
        <v>36</v>
      </c>
      <c r="L48" s="8"/>
      <c r="M48" s="8"/>
      <c r="N48" s="8"/>
      <c r="O48" s="8"/>
      <c r="P48" s="8"/>
      <c r="Q48" s="14">
        <v>4020.0</v>
      </c>
      <c r="R48" s="15">
        <f>CARPETA!$Q48*CARPETA!$E48</f>
        <v>4020</v>
      </c>
      <c r="S48" s="15">
        <f>CARPETA!$R48*16%</f>
        <v>643.2</v>
      </c>
      <c r="T48" s="15">
        <f>CARPETA!$R48+CARPETA!$S48</f>
        <v>4663.2</v>
      </c>
      <c r="U48" s="8" t="s">
        <v>59</v>
      </c>
      <c r="V48" s="17" t="s">
        <v>44</v>
      </c>
      <c r="W48" s="15" t="s">
        <v>60</v>
      </c>
    </row>
    <row r="49" ht="15.75" hidden="1" customHeight="1">
      <c r="A49" s="6">
        <v>24.0</v>
      </c>
      <c r="B49" s="6"/>
      <c r="C49" s="8">
        <v>5667.0</v>
      </c>
      <c r="D49" s="9">
        <v>46184.0</v>
      </c>
      <c r="E49" s="8">
        <v>1.0</v>
      </c>
      <c r="F49" s="8" t="s">
        <v>31</v>
      </c>
      <c r="G49" s="8" t="s">
        <v>105</v>
      </c>
      <c r="H49" s="8">
        <v>15.0</v>
      </c>
      <c r="I49" s="8" t="s">
        <v>34</v>
      </c>
      <c r="J49" s="8" t="s">
        <v>106</v>
      </c>
      <c r="K49" s="19" t="s">
        <v>36</v>
      </c>
      <c r="L49" s="8"/>
      <c r="M49" s="8"/>
      <c r="N49" s="8"/>
      <c r="O49" s="8"/>
      <c r="P49" s="8"/>
      <c r="Q49" s="14">
        <v>4020.0</v>
      </c>
      <c r="R49" s="15">
        <f>CARPETA!$Q49*CARPETA!$E49</f>
        <v>4020</v>
      </c>
      <c r="S49" s="15">
        <f>CARPETA!$R49*16%</f>
        <v>643.2</v>
      </c>
      <c r="T49" s="15">
        <f>CARPETA!$R49+CARPETA!$S49</f>
        <v>4663.2</v>
      </c>
      <c r="U49" s="8" t="s">
        <v>59</v>
      </c>
      <c r="V49" s="17" t="s">
        <v>44</v>
      </c>
      <c r="W49" s="15" t="s">
        <v>60</v>
      </c>
    </row>
    <row r="50" ht="15.75" hidden="1" customHeight="1">
      <c r="A50" s="6">
        <v>24.0</v>
      </c>
      <c r="B50" s="6"/>
      <c r="C50" s="8">
        <v>5668.0</v>
      </c>
      <c r="D50" s="9">
        <v>46184.0</v>
      </c>
      <c r="E50" s="8">
        <v>1.0</v>
      </c>
      <c r="F50" s="8" t="s">
        <v>31</v>
      </c>
      <c r="G50" s="8" t="s">
        <v>78</v>
      </c>
      <c r="H50" s="8">
        <v>15.0</v>
      </c>
      <c r="I50" s="8" t="s">
        <v>34</v>
      </c>
      <c r="J50" s="8" t="s">
        <v>101</v>
      </c>
      <c r="K50" s="19" t="s">
        <v>36</v>
      </c>
      <c r="L50" s="8"/>
      <c r="M50" s="8"/>
      <c r="N50" s="8"/>
      <c r="O50" s="8"/>
      <c r="P50" s="8"/>
      <c r="Q50" s="14">
        <v>4020.0</v>
      </c>
      <c r="R50" s="15">
        <f>CARPETA!$Q50*CARPETA!$E50</f>
        <v>4020</v>
      </c>
      <c r="S50" s="15">
        <f>CARPETA!$R50*16%</f>
        <v>643.2</v>
      </c>
      <c r="T50" s="15">
        <f>CARPETA!$R50+CARPETA!$S50</f>
        <v>4663.2</v>
      </c>
      <c r="U50" s="8" t="s">
        <v>59</v>
      </c>
      <c r="V50" s="17" t="s">
        <v>44</v>
      </c>
      <c r="W50" s="15" t="s">
        <v>60</v>
      </c>
    </row>
    <row r="51" ht="15.75" customHeight="1">
      <c r="A51" s="6">
        <v>24.0</v>
      </c>
      <c r="B51" s="6"/>
      <c r="C51" s="39">
        <v>5669.0</v>
      </c>
      <c r="D51" s="40">
        <v>46184.0</v>
      </c>
      <c r="E51" s="8">
        <v>1.0</v>
      </c>
      <c r="F51" s="8" t="s">
        <v>31</v>
      </c>
      <c r="G51" s="8" t="s">
        <v>107</v>
      </c>
      <c r="H51" s="8">
        <v>15.0</v>
      </c>
      <c r="I51" s="8" t="s">
        <v>34</v>
      </c>
      <c r="J51" s="8" t="s">
        <v>108</v>
      </c>
      <c r="K51" s="35" t="s">
        <v>50</v>
      </c>
      <c r="L51" s="8"/>
      <c r="M51" s="8"/>
      <c r="N51" s="8"/>
      <c r="O51" s="8"/>
      <c r="P51" s="35" t="s">
        <v>109</v>
      </c>
      <c r="Q51" s="41">
        <v>5900.0</v>
      </c>
      <c r="R51" s="15">
        <f>CARPETA!$Q51*CARPETA!$E51</f>
        <v>5900</v>
      </c>
      <c r="S51" s="15">
        <f>CARPETA!$R51*16%</f>
        <v>944</v>
      </c>
      <c r="T51" s="15">
        <f>CARPETA!$R51+CARPETA!$S51</f>
        <v>6844</v>
      </c>
      <c r="U51" s="35" t="s">
        <v>110</v>
      </c>
    </row>
    <row r="52" ht="15.75" customHeight="1">
      <c r="A52" s="6">
        <v>24.0</v>
      </c>
      <c r="B52" s="6"/>
      <c r="C52" s="39">
        <v>5670.0</v>
      </c>
      <c r="D52" s="40">
        <v>46184.0</v>
      </c>
      <c r="E52" s="8">
        <v>1.0</v>
      </c>
      <c r="F52" s="8" t="s">
        <v>31</v>
      </c>
      <c r="G52" s="8" t="s">
        <v>111</v>
      </c>
      <c r="H52" s="8">
        <v>15.0</v>
      </c>
      <c r="I52" s="8" t="s">
        <v>34</v>
      </c>
      <c r="J52" s="8" t="s">
        <v>112</v>
      </c>
      <c r="K52" s="35" t="s">
        <v>50</v>
      </c>
      <c r="L52" s="8"/>
      <c r="M52" s="8"/>
      <c r="N52" s="8"/>
      <c r="O52" s="8"/>
      <c r="P52" s="35" t="s">
        <v>109</v>
      </c>
      <c r="Q52" s="41">
        <v>5900.0</v>
      </c>
      <c r="R52" s="15">
        <f>CARPETA!$Q52*CARPETA!$E52</f>
        <v>5900</v>
      </c>
      <c r="S52" s="15">
        <f>CARPETA!$R52*16%</f>
        <v>944</v>
      </c>
      <c r="T52" s="15">
        <f>CARPETA!$R52+CARPETA!$S52</f>
        <v>6844</v>
      </c>
      <c r="U52" s="35" t="s">
        <v>110</v>
      </c>
    </row>
    <row r="53" ht="15.75" customHeight="1">
      <c r="A53" s="6">
        <v>24.0</v>
      </c>
      <c r="B53" s="6"/>
      <c r="C53" s="39">
        <v>5671.0</v>
      </c>
      <c r="D53" s="40">
        <v>46185.0</v>
      </c>
      <c r="E53" s="8">
        <v>1.0</v>
      </c>
      <c r="F53" s="8" t="s">
        <v>31</v>
      </c>
      <c r="G53" s="8" t="s">
        <v>113</v>
      </c>
      <c r="H53" s="8">
        <v>15.0</v>
      </c>
      <c r="I53" s="8" t="s">
        <v>34</v>
      </c>
      <c r="J53" s="8" t="s">
        <v>114</v>
      </c>
      <c r="K53" s="35" t="s">
        <v>50</v>
      </c>
      <c r="L53" s="8"/>
      <c r="M53" s="8"/>
      <c r="N53" s="8"/>
      <c r="O53" s="8"/>
      <c r="P53" s="35" t="s">
        <v>109</v>
      </c>
      <c r="Q53" s="41">
        <v>5900.0</v>
      </c>
      <c r="R53" s="15">
        <f>CARPETA!$Q53*CARPETA!$E53</f>
        <v>5900</v>
      </c>
      <c r="S53" s="15">
        <f>CARPETA!$R53*16%</f>
        <v>944</v>
      </c>
      <c r="T53" s="15">
        <f>CARPETA!$R53+CARPETA!$S53</f>
        <v>6844</v>
      </c>
      <c r="U53" s="35" t="s">
        <v>110</v>
      </c>
      <c r="V53" s="15"/>
      <c r="W53" s="15"/>
    </row>
    <row r="54" ht="15.75" customHeight="1">
      <c r="A54" s="6">
        <v>24.0</v>
      </c>
      <c r="B54" s="6"/>
      <c r="C54" s="39">
        <v>5672.0</v>
      </c>
      <c r="D54" s="40">
        <v>46184.0</v>
      </c>
      <c r="E54" s="8">
        <v>1.0</v>
      </c>
      <c r="F54" s="8" t="s">
        <v>31</v>
      </c>
      <c r="G54" s="8" t="s">
        <v>115</v>
      </c>
      <c r="H54" s="8">
        <v>15.0</v>
      </c>
      <c r="I54" s="8" t="s">
        <v>34</v>
      </c>
      <c r="J54" s="8" t="s">
        <v>114</v>
      </c>
      <c r="K54" s="35" t="s">
        <v>50</v>
      </c>
      <c r="L54" s="8"/>
      <c r="M54" s="8"/>
      <c r="N54" s="8"/>
      <c r="O54" s="8"/>
      <c r="P54" s="35" t="s">
        <v>109</v>
      </c>
      <c r="Q54" s="41">
        <v>5900.0</v>
      </c>
      <c r="R54" s="15">
        <f>CARPETA!$Q54*CARPETA!$E54</f>
        <v>5900</v>
      </c>
      <c r="S54" s="15">
        <f>CARPETA!$R54*16%</f>
        <v>944</v>
      </c>
      <c r="T54" s="15">
        <f>CARPETA!$R54+CARPETA!$S54</f>
        <v>6844</v>
      </c>
      <c r="U54" s="35" t="s">
        <v>110</v>
      </c>
      <c r="V54" s="15"/>
      <c r="W54" s="15"/>
    </row>
    <row r="55" ht="15.75" customHeight="1">
      <c r="A55" s="6">
        <v>24.0</v>
      </c>
      <c r="B55" s="6"/>
      <c r="C55" s="39">
        <v>5673.0</v>
      </c>
      <c r="D55" s="40">
        <v>46185.0</v>
      </c>
      <c r="E55" s="8">
        <v>1.0</v>
      </c>
      <c r="F55" s="8" t="s">
        <v>31</v>
      </c>
      <c r="G55" s="8" t="s">
        <v>117</v>
      </c>
      <c r="H55" s="8">
        <v>15.0</v>
      </c>
      <c r="I55" s="8" t="s">
        <v>34</v>
      </c>
      <c r="J55" s="8" t="s">
        <v>118</v>
      </c>
      <c r="K55" s="35" t="s">
        <v>50</v>
      </c>
      <c r="L55" s="8"/>
      <c r="M55" s="8"/>
      <c r="N55" s="8"/>
      <c r="O55" s="8"/>
      <c r="P55" s="35" t="s">
        <v>109</v>
      </c>
      <c r="Q55" s="41">
        <v>5900.0</v>
      </c>
      <c r="R55" s="15">
        <f>CARPETA!$Q55*CARPETA!$E55</f>
        <v>5900</v>
      </c>
      <c r="S55" s="15">
        <f>CARPETA!$R55*16%</f>
        <v>944</v>
      </c>
      <c r="T55" s="15">
        <f>CARPETA!$R55+CARPETA!$S55</f>
        <v>6844</v>
      </c>
      <c r="U55" s="35" t="s">
        <v>110</v>
      </c>
      <c r="V55" s="15"/>
      <c r="W55" s="15"/>
    </row>
    <row r="56" ht="15.75" customHeight="1">
      <c r="A56" s="6">
        <v>24.0</v>
      </c>
      <c r="B56" s="6"/>
      <c r="C56" s="39">
        <v>5674.0</v>
      </c>
      <c r="D56" s="40">
        <v>46185.0</v>
      </c>
      <c r="E56" s="43">
        <v>1.0</v>
      </c>
      <c r="F56" s="8" t="s">
        <v>31</v>
      </c>
      <c r="G56" s="8" t="s">
        <v>119</v>
      </c>
      <c r="H56" s="8">
        <v>15.0</v>
      </c>
      <c r="I56" s="8" t="s">
        <v>34</v>
      </c>
      <c r="J56" s="8" t="s">
        <v>120</v>
      </c>
      <c r="K56" s="35" t="s">
        <v>50</v>
      </c>
      <c r="L56" s="8"/>
      <c r="M56" s="8"/>
      <c r="N56" s="8"/>
      <c r="O56" s="8"/>
      <c r="P56" s="35" t="s">
        <v>109</v>
      </c>
      <c r="Q56" s="41">
        <v>5900.0</v>
      </c>
      <c r="R56" s="15">
        <f>CARPETA!$Q56*CARPETA!$E56</f>
        <v>5900</v>
      </c>
      <c r="S56" s="15">
        <f>CARPETA!$R56*16%</f>
        <v>944</v>
      </c>
      <c r="T56" s="15">
        <f>CARPETA!$R56+CARPETA!$S56</f>
        <v>6844</v>
      </c>
      <c r="U56" s="35" t="s">
        <v>110</v>
      </c>
      <c r="V56" s="15"/>
      <c r="W56" s="15"/>
    </row>
    <row r="57" ht="15.75" customHeight="1">
      <c r="A57" s="6">
        <v>24.0</v>
      </c>
      <c r="B57" s="6"/>
      <c r="C57" s="39">
        <v>5675.0</v>
      </c>
      <c r="D57" s="40">
        <v>46185.0</v>
      </c>
      <c r="E57" s="43">
        <v>1.0</v>
      </c>
      <c r="F57" s="8" t="s">
        <v>31</v>
      </c>
      <c r="G57" s="8" t="s">
        <v>121</v>
      </c>
      <c r="H57" s="8">
        <v>15.0</v>
      </c>
      <c r="I57" s="8" t="s">
        <v>34</v>
      </c>
      <c r="J57" s="8" t="s">
        <v>122</v>
      </c>
      <c r="K57" s="35" t="s">
        <v>50</v>
      </c>
      <c r="L57" s="8"/>
      <c r="M57" s="8"/>
      <c r="N57" s="8"/>
      <c r="O57" s="8"/>
      <c r="P57" s="35" t="s">
        <v>109</v>
      </c>
      <c r="Q57" s="41">
        <v>5900.0</v>
      </c>
      <c r="R57" s="15">
        <f>CARPETA!$Q57*CARPETA!$E57</f>
        <v>5900</v>
      </c>
      <c r="S57" s="15">
        <f>CARPETA!$R57*16%</f>
        <v>944</v>
      </c>
      <c r="T57" s="15">
        <f>CARPETA!$R57+CARPETA!$S57</f>
        <v>6844</v>
      </c>
      <c r="U57" s="35" t="s">
        <v>110</v>
      </c>
      <c r="V57" s="15"/>
      <c r="W57" s="15"/>
    </row>
    <row r="58" ht="15.75" customHeight="1">
      <c r="A58" s="6">
        <v>24.0</v>
      </c>
      <c r="B58" s="6"/>
      <c r="C58" s="39">
        <v>5676.0</v>
      </c>
      <c r="D58" s="40">
        <v>46185.0</v>
      </c>
      <c r="E58" s="8">
        <v>1.0</v>
      </c>
      <c r="F58" s="8" t="s">
        <v>31</v>
      </c>
      <c r="G58" s="8" t="s">
        <v>124</v>
      </c>
      <c r="H58" s="8">
        <v>15.0</v>
      </c>
      <c r="I58" s="8" t="s">
        <v>34</v>
      </c>
      <c r="J58" s="8" t="s">
        <v>125</v>
      </c>
      <c r="K58" s="35" t="s">
        <v>50</v>
      </c>
      <c r="L58" s="8"/>
      <c r="M58" s="8"/>
      <c r="N58" s="8"/>
      <c r="O58" s="8"/>
      <c r="P58" s="35" t="s">
        <v>109</v>
      </c>
      <c r="Q58" s="41">
        <v>5900.0</v>
      </c>
      <c r="R58" s="15">
        <f>CARPETA!$Q58*CARPETA!$E58</f>
        <v>5900</v>
      </c>
      <c r="S58" s="15">
        <f>CARPETA!$R58*16%</f>
        <v>944</v>
      </c>
      <c r="T58" s="15">
        <f>CARPETA!$R58+CARPETA!$S58</f>
        <v>6844</v>
      </c>
      <c r="U58" s="35" t="s">
        <v>110</v>
      </c>
      <c r="V58" s="15"/>
      <c r="W58" s="15"/>
    </row>
    <row r="59" ht="15.75" hidden="1" customHeight="1">
      <c r="A59" s="6">
        <v>24.0</v>
      </c>
      <c r="B59" s="6"/>
      <c r="C59" s="8">
        <v>5677.0</v>
      </c>
      <c r="D59" s="9">
        <v>46185.0</v>
      </c>
      <c r="E59" s="8">
        <v>1.0</v>
      </c>
      <c r="F59" s="8" t="s">
        <v>31</v>
      </c>
      <c r="G59" s="8" t="s">
        <v>39</v>
      </c>
      <c r="H59" s="8">
        <v>15.0</v>
      </c>
      <c r="I59" s="8" t="s">
        <v>34</v>
      </c>
      <c r="J59" s="8" t="s">
        <v>41</v>
      </c>
      <c r="K59" s="19" t="s">
        <v>36</v>
      </c>
      <c r="L59" s="8"/>
      <c r="M59" s="8"/>
      <c r="N59" s="8"/>
      <c r="O59" s="8"/>
      <c r="P59" s="8"/>
      <c r="Q59" s="14">
        <v>4020.0</v>
      </c>
      <c r="R59" s="15">
        <f>CARPETA!$Q59*CARPETA!$E59</f>
        <v>4020</v>
      </c>
      <c r="S59" s="15">
        <f>CARPETA!$R59*16%</f>
        <v>643.2</v>
      </c>
      <c r="T59" s="15">
        <f>CARPETA!$R59+CARPETA!$S59</f>
        <v>4663.2</v>
      </c>
      <c r="U59" s="17" t="s">
        <v>59</v>
      </c>
      <c r="V59" s="17" t="s">
        <v>44</v>
      </c>
      <c r="W59" s="15" t="s">
        <v>60</v>
      </c>
    </row>
    <row r="60" ht="15.75" hidden="1" customHeight="1">
      <c r="A60" s="6">
        <v>24.0</v>
      </c>
      <c r="B60" s="6"/>
      <c r="C60" s="8">
        <v>5678.0</v>
      </c>
      <c r="D60" s="9">
        <v>46185.0</v>
      </c>
      <c r="E60" s="8">
        <v>1.0</v>
      </c>
      <c r="F60" s="8" t="s">
        <v>31</v>
      </c>
      <c r="G60" s="8" t="s">
        <v>71</v>
      </c>
      <c r="H60" s="8">
        <v>15.0</v>
      </c>
      <c r="I60" s="8" t="s">
        <v>34</v>
      </c>
      <c r="J60" s="8" t="s">
        <v>89</v>
      </c>
      <c r="K60" s="19" t="s">
        <v>36</v>
      </c>
      <c r="L60" s="8"/>
      <c r="M60" s="8"/>
      <c r="N60" s="8"/>
      <c r="O60" s="8"/>
      <c r="P60" s="8"/>
      <c r="Q60" s="14">
        <v>4020.0</v>
      </c>
      <c r="R60" s="15">
        <f>CARPETA!$Q60*CARPETA!$E60</f>
        <v>4020</v>
      </c>
      <c r="S60" s="15">
        <f>CARPETA!$R60*16%</f>
        <v>643.2</v>
      </c>
      <c r="T60" s="15">
        <f>CARPETA!$R60+CARPETA!$S60</f>
        <v>4663.2</v>
      </c>
      <c r="U60" s="17" t="s">
        <v>59</v>
      </c>
      <c r="V60" s="17" t="s">
        <v>44</v>
      </c>
      <c r="W60" s="15" t="s">
        <v>60</v>
      </c>
    </row>
    <row r="61" ht="15.75" hidden="1" customHeight="1">
      <c r="A61" s="6">
        <v>24.0</v>
      </c>
      <c r="B61" s="6"/>
      <c r="C61" s="8">
        <v>5679.0</v>
      </c>
      <c r="D61" s="9">
        <v>46185.0</v>
      </c>
      <c r="E61" s="8">
        <v>1.0</v>
      </c>
      <c r="F61" s="8" t="s">
        <v>31</v>
      </c>
      <c r="G61" s="8" t="s">
        <v>126</v>
      </c>
      <c r="H61" s="8">
        <v>15.0</v>
      </c>
      <c r="I61" s="8" t="s">
        <v>34</v>
      </c>
      <c r="J61" s="8" t="s">
        <v>127</v>
      </c>
      <c r="K61" s="19" t="s">
        <v>36</v>
      </c>
      <c r="L61" s="8"/>
      <c r="M61" s="8"/>
      <c r="N61" s="8"/>
      <c r="O61" s="8"/>
      <c r="P61" s="8"/>
      <c r="Q61" s="14">
        <v>4020.0</v>
      </c>
      <c r="R61" s="15">
        <f>CARPETA!$Q61*CARPETA!$E61</f>
        <v>4020</v>
      </c>
      <c r="S61" s="15">
        <f>CARPETA!$R61*16%</f>
        <v>643.2</v>
      </c>
      <c r="T61" s="15">
        <f>CARPETA!$R61+CARPETA!$S61</f>
        <v>4663.2</v>
      </c>
      <c r="U61" s="17" t="s">
        <v>59</v>
      </c>
      <c r="V61" s="17" t="s">
        <v>44</v>
      </c>
      <c r="W61" s="15" t="s">
        <v>60</v>
      </c>
    </row>
    <row r="62" ht="15.75" hidden="1" customHeight="1">
      <c r="A62" s="6">
        <v>24.0</v>
      </c>
      <c r="B62" s="6">
        <v>1.0</v>
      </c>
      <c r="C62" s="8">
        <v>5680.0</v>
      </c>
      <c r="D62" s="9">
        <v>46185.0</v>
      </c>
      <c r="E62" s="8">
        <v>1.0</v>
      </c>
      <c r="F62" s="8" t="s">
        <v>128</v>
      </c>
      <c r="G62" s="8" t="s">
        <v>100</v>
      </c>
      <c r="H62" s="8">
        <v>14.0</v>
      </c>
      <c r="I62" s="8" t="s">
        <v>34</v>
      </c>
      <c r="J62" s="8" t="s">
        <v>87</v>
      </c>
      <c r="K62" s="35" t="s">
        <v>36</v>
      </c>
      <c r="L62" s="8" t="s">
        <v>129</v>
      </c>
      <c r="M62" s="8" t="s">
        <v>130</v>
      </c>
      <c r="N62" s="8"/>
      <c r="O62" s="8"/>
      <c r="P62" s="8"/>
      <c r="Q62" s="14">
        <v>4205.0</v>
      </c>
      <c r="R62" s="15">
        <f>CARPETA!$Q62*CARPETA!$E62</f>
        <v>4205</v>
      </c>
      <c r="S62" s="15">
        <f>CARPETA!$R62*16%</f>
        <v>672.8</v>
      </c>
      <c r="T62" s="15">
        <f>CARPETA!$R62+CARPETA!$S62</f>
        <v>4877.8</v>
      </c>
      <c r="U62" s="8" t="s">
        <v>131</v>
      </c>
      <c r="V62" s="15" t="s">
        <v>44</v>
      </c>
      <c r="W62" s="15" t="s">
        <v>45</v>
      </c>
    </row>
    <row r="63" ht="15.75" hidden="1" customHeight="1">
      <c r="A63" s="6">
        <v>24.0</v>
      </c>
      <c r="B63" s="6">
        <v>2.0</v>
      </c>
      <c r="C63" s="8">
        <v>5681.0</v>
      </c>
      <c r="D63" s="9">
        <v>46185.0</v>
      </c>
      <c r="E63" s="8">
        <v>1.0</v>
      </c>
      <c r="F63" s="8" t="s">
        <v>128</v>
      </c>
      <c r="G63" s="8" t="s">
        <v>132</v>
      </c>
      <c r="H63" s="8">
        <v>14.0</v>
      </c>
      <c r="I63" s="8" t="s">
        <v>34</v>
      </c>
      <c r="J63" s="8" t="s">
        <v>133</v>
      </c>
      <c r="K63" s="35" t="s">
        <v>36</v>
      </c>
      <c r="L63" s="8" t="s">
        <v>130</v>
      </c>
      <c r="M63" s="8" t="s">
        <v>134</v>
      </c>
      <c r="N63" s="8"/>
      <c r="O63" s="8"/>
      <c r="P63" s="8"/>
      <c r="Q63" s="14">
        <v>4205.0</v>
      </c>
      <c r="R63" s="15">
        <f>CARPETA!$Q63*CARPETA!$E63</f>
        <v>4205</v>
      </c>
      <c r="S63" s="15">
        <f>CARPETA!$R63*16%</f>
        <v>672.8</v>
      </c>
      <c r="T63" s="15">
        <f>CARPETA!$R63+CARPETA!$S63</f>
        <v>4877.8</v>
      </c>
      <c r="U63" s="8" t="s">
        <v>131</v>
      </c>
      <c r="V63" s="15" t="s">
        <v>44</v>
      </c>
      <c r="W63" s="15" t="s">
        <v>45</v>
      </c>
    </row>
    <row r="64" ht="15.75" hidden="1" customHeight="1">
      <c r="A64" s="44">
        <v>24.0</v>
      </c>
      <c r="B64" s="44">
        <v>9.0</v>
      </c>
      <c r="C64" s="45">
        <v>5682.0</v>
      </c>
      <c r="D64" s="46">
        <v>46185.0</v>
      </c>
      <c r="E64" s="45">
        <v>1.0</v>
      </c>
      <c r="F64" s="45" t="s">
        <v>128</v>
      </c>
      <c r="G64" s="45" t="s">
        <v>71</v>
      </c>
      <c r="H64" s="45">
        <v>15.0</v>
      </c>
      <c r="I64" s="45" t="s">
        <v>34</v>
      </c>
      <c r="J64" s="45" t="s">
        <v>83</v>
      </c>
      <c r="K64" s="47" t="s">
        <v>36</v>
      </c>
      <c r="L64" s="45" t="s">
        <v>49</v>
      </c>
      <c r="M64" s="45" t="s">
        <v>49</v>
      </c>
      <c r="N64" s="45"/>
      <c r="O64" s="45"/>
      <c r="P64" s="45" t="s">
        <v>135</v>
      </c>
      <c r="Q64" s="48"/>
      <c r="R64" s="49">
        <f>CARPETA!$Q64*CARPETA!$E64</f>
        <v>0</v>
      </c>
      <c r="S64" s="49">
        <f>CARPETA!$R64*16%</f>
        <v>0</v>
      </c>
      <c r="T64" s="49">
        <f>CARPETA!$R64+CARPETA!$S64</f>
        <v>0</v>
      </c>
      <c r="U64" s="45"/>
      <c r="V64" s="50" t="s">
        <v>136</v>
      </c>
      <c r="W64" s="49"/>
    </row>
    <row r="65" ht="15.75" hidden="1" customHeight="1">
      <c r="A65" s="6">
        <v>24.0</v>
      </c>
      <c r="B65" s="6">
        <v>8.0</v>
      </c>
      <c r="C65" s="8">
        <v>5683.0</v>
      </c>
      <c r="D65" s="9">
        <v>46185.0</v>
      </c>
      <c r="E65" s="8">
        <v>1.0</v>
      </c>
      <c r="F65" s="8" t="s">
        <v>31</v>
      </c>
      <c r="G65" s="8" t="s">
        <v>137</v>
      </c>
      <c r="H65" s="8">
        <v>14.0</v>
      </c>
      <c r="I65" s="8" t="s">
        <v>34</v>
      </c>
      <c r="J65" s="8" t="s">
        <v>138</v>
      </c>
      <c r="K65" s="35" t="s">
        <v>36</v>
      </c>
      <c r="L65" s="8" t="s">
        <v>139</v>
      </c>
      <c r="M65" s="8" t="s">
        <v>140</v>
      </c>
      <c r="N65" s="8"/>
      <c r="O65" s="8"/>
      <c r="P65" s="8"/>
      <c r="Q65" s="14">
        <v>4205.0</v>
      </c>
      <c r="R65" s="15">
        <f>CARPETA!$Q65*CARPETA!$E65</f>
        <v>4205</v>
      </c>
      <c r="S65" s="15">
        <f>CARPETA!$R65*16%</f>
        <v>672.8</v>
      </c>
      <c r="T65" s="15">
        <f>CARPETA!$R65+CARPETA!$S65</f>
        <v>4877.8</v>
      </c>
      <c r="U65" s="8" t="s">
        <v>131</v>
      </c>
      <c r="V65" s="15"/>
      <c r="W65" s="15" t="s">
        <v>45</v>
      </c>
    </row>
    <row r="66" ht="15.75" hidden="1" customHeight="1">
      <c r="A66" s="6">
        <v>24.0</v>
      </c>
      <c r="B66" s="6">
        <v>7.0</v>
      </c>
      <c r="C66" s="8">
        <v>5684.0</v>
      </c>
      <c r="D66" s="9">
        <v>46185.0</v>
      </c>
      <c r="E66" s="8">
        <v>1.0</v>
      </c>
      <c r="F66" s="8" t="s">
        <v>31</v>
      </c>
      <c r="G66" s="8" t="s">
        <v>105</v>
      </c>
      <c r="H66" s="8">
        <v>14.0</v>
      </c>
      <c r="I66" s="8" t="s">
        <v>34</v>
      </c>
      <c r="J66" s="8" t="s">
        <v>106</v>
      </c>
      <c r="K66" s="35" t="s">
        <v>36</v>
      </c>
      <c r="L66" s="8" t="s">
        <v>141</v>
      </c>
      <c r="M66" s="8" t="s">
        <v>139</v>
      </c>
      <c r="N66" s="8"/>
      <c r="O66" s="8"/>
      <c r="P66" s="8"/>
      <c r="Q66" s="14">
        <v>4205.0</v>
      </c>
      <c r="R66" s="15">
        <f>CARPETA!$Q66*CARPETA!$E66</f>
        <v>4205</v>
      </c>
      <c r="S66" s="15">
        <f>CARPETA!$R66*16%</f>
        <v>672.8</v>
      </c>
      <c r="T66" s="15">
        <f>CARPETA!$R66+CARPETA!$S66</f>
        <v>4877.8</v>
      </c>
      <c r="U66" s="8" t="s">
        <v>131</v>
      </c>
      <c r="V66" s="15"/>
      <c r="W66" s="15" t="s">
        <v>45</v>
      </c>
    </row>
    <row r="67" ht="15.75" hidden="1" customHeight="1">
      <c r="A67" s="6">
        <v>24.0</v>
      </c>
      <c r="B67" s="6">
        <v>4.0</v>
      </c>
      <c r="C67" s="8">
        <v>5685.0</v>
      </c>
      <c r="D67" s="9">
        <v>46185.0</v>
      </c>
      <c r="E67" s="8">
        <v>1.0</v>
      </c>
      <c r="F67" s="8" t="s">
        <v>31</v>
      </c>
      <c r="G67" s="8" t="s">
        <v>39</v>
      </c>
      <c r="H67" s="8">
        <v>14.0</v>
      </c>
      <c r="I67" s="8" t="s">
        <v>34</v>
      </c>
      <c r="J67" s="8" t="s">
        <v>41</v>
      </c>
      <c r="K67" s="35" t="s">
        <v>36</v>
      </c>
      <c r="L67" s="8" t="s">
        <v>142</v>
      </c>
      <c r="M67" s="8" t="s">
        <v>143</v>
      </c>
      <c r="N67" s="8"/>
      <c r="O67" s="8"/>
      <c r="P67" s="8"/>
      <c r="Q67" s="14">
        <v>4205.0</v>
      </c>
      <c r="R67" s="15">
        <f>CARPETA!$Q67*CARPETA!$E67</f>
        <v>4205</v>
      </c>
      <c r="S67" s="15">
        <f>CARPETA!$R67*16%</f>
        <v>672.8</v>
      </c>
      <c r="T67" s="15">
        <f>CARPETA!$R67+CARPETA!$S67</f>
        <v>4877.8</v>
      </c>
      <c r="U67" s="8" t="s">
        <v>131</v>
      </c>
      <c r="V67" s="15"/>
      <c r="W67" s="15" t="s">
        <v>45</v>
      </c>
    </row>
    <row r="68" ht="15.75" hidden="1" customHeight="1">
      <c r="A68" s="6">
        <v>24.0</v>
      </c>
      <c r="B68" s="6">
        <v>3.0</v>
      </c>
      <c r="C68" s="8">
        <v>5686.0</v>
      </c>
      <c r="D68" s="9">
        <v>46185.0</v>
      </c>
      <c r="E68" s="8">
        <v>1.0</v>
      </c>
      <c r="F68" s="8" t="s">
        <v>31</v>
      </c>
      <c r="G68" s="8" t="s">
        <v>71</v>
      </c>
      <c r="H68" s="8">
        <v>14.0</v>
      </c>
      <c r="I68" s="8" t="s">
        <v>34</v>
      </c>
      <c r="J68" s="8" t="s">
        <v>89</v>
      </c>
      <c r="K68" s="35" t="s">
        <v>36</v>
      </c>
      <c r="L68" s="8" t="s">
        <v>134</v>
      </c>
      <c r="M68" s="8" t="s">
        <v>142</v>
      </c>
      <c r="N68" s="8"/>
      <c r="O68" s="8"/>
      <c r="P68" s="8"/>
      <c r="Q68" s="14">
        <v>4205.0</v>
      </c>
      <c r="R68" s="15">
        <f>CARPETA!$Q68*CARPETA!$E68</f>
        <v>4205</v>
      </c>
      <c r="S68" s="15">
        <f>CARPETA!$R68*16%</f>
        <v>672.8</v>
      </c>
      <c r="T68" s="15">
        <f>CARPETA!$R68+CARPETA!$S68</f>
        <v>4877.8</v>
      </c>
      <c r="U68" s="8" t="s">
        <v>131</v>
      </c>
      <c r="V68" s="15"/>
      <c r="W68" s="15" t="s">
        <v>45</v>
      </c>
    </row>
    <row r="69" ht="15.75" hidden="1" customHeight="1">
      <c r="A69" s="6">
        <v>24.0</v>
      </c>
      <c r="B69" s="6">
        <v>5.0</v>
      </c>
      <c r="C69" s="8">
        <v>5687.0</v>
      </c>
      <c r="D69" s="9">
        <v>46185.0</v>
      </c>
      <c r="E69" s="8">
        <v>1.0</v>
      </c>
      <c r="F69" s="8" t="s">
        <v>31</v>
      </c>
      <c r="G69" s="8" t="s">
        <v>126</v>
      </c>
      <c r="H69" s="8">
        <v>14.0</v>
      </c>
      <c r="I69" s="8" t="s">
        <v>34</v>
      </c>
      <c r="J69" s="8" t="s">
        <v>127</v>
      </c>
      <c r="K69" s="35" t="s">
        <v>36</v>
      </c>
      <c r="L69" s="8" t="s">
        <v>143</v>
      </c>
      <c r="M69" s="8" t="s">
        <v>144</v>
      </c>
      <c r="N69" s="8"/>
      <c r="O69" s="8"/>
      <c r="P69" s="8"/>
      <c r="Q69" s="14">
        <v>4205.0</v>
      </c>
      <c r="R69" s="15">
        <f>CARPETA!$Q69*CARPETA!$E69</f>
        <v>4205</v>
      </c>
      <c r="S69" s="15">
        <f>CARPETA!$R69*16%</f>
        <v>672.8</v>
      </c>
      <c r="T69" s="15">
        <f>CARPETA!$R69+CARPETA!$S69</f>
        <v>4877.8</v>
      </c>
      <c r="U69" s="8" t="s">
        <v>131</v>
      </c>
      <c r="V69" s="15"/>
      <c r="W69" s="15" t="s">
        <v>45</v>
      </c>
    </row>
    <row r="70" ht="15.75" hidden="1" customHeight="1">
      <c r="A70" s="6">
        <v>24.0</v>
      </c>
      <c r="B70" s="6">
        <v>6.0</v>
      </c>
      <c r="C70" s="8">
        <v>5688.0</v>
      </c>
      <c r="D70" s="9">
        <v>46185.0</v>
      </c>
      <c r="E70" s="8">
        <v>1.0</v>
      </c>
      <c r="F70" s="8" t="s">
        <v>31</v>
      </c>
      <c r="G70" s="8" t="s">
        <v>71</v>
      </c>
      <c r="H70" s="8">
        <v>14.0</v>
      </c>
      <c r="I70" s="8" t="s">
        <v>34</v>
      </c>
      <c r="J70" s="8" t="s">
        <v>70</v>
      </c>
      <c r="K70" s="35" t="s">
        <v>36</v>
      </c>
      <c r="L70" s="8" t="s">
        <v>144</v>
      </c>
      <c r="M70" s="8" t="s">
        <v>141</v>
      </c>
      <c r="N70" s="8"/>
      <c r="O70" s="8"/>
      <c r="P70" s="8"/>
      <c r="Q70" s="14">
        <v>4205.0</v>
      </c>
      <c r="R70" s="15">
        <f>CARPETA!$Q70*CARPETA!$E70</f>
        <v>4205</v>
      </c>
      <c r="S70" s="15">
        <f>CARPETA!$R70*16%</f>
        <v>672.8</v>
      </c>
      <c r="T70" s="15">
        <f>CARPETA!$R70+CARPETA!$S70</f>
        <v>4877.8</v>
      </c>
      <c r="U70" s="8" t="s">
        <v>131</v>
      </c>
      <c r="V70" s="15"/>
      <c r="W70" s="15" t="s">
        <v>45</v>
      </c>
    </row>
    <row r="71" ht="15.75" hidden="1" customHeight="1">
      <c r="A71" s="34">
        <v>24.0</v>
      </c>
      <c r="B71" s="6"/>
      <c r="C71" s="35" t="s">
        <v>72</v>
      </c>
      <c r="D71" s="9">
        <v>46185.0</v>
      </c>
      <c r="E71" s="35">
        <v>1.0</v>
      </c>
      <c r="F71" s="35" t="s">
        <v>73</v>
      </c>
      <c r="G71" s="35" t="s">
        <v>98</v>
      </c>
      <c r="H71" s="35">
        <v>10.0</v>
      </c>
      <c r="I71" s="35" t="s">
        <v>34</v>
      </c>
      <c r="J71" s="35" t="s">
        <v>99</v>
      </c>
      <c r="K71" s="19" t="s">
        <v>36</v>
      </c>
      <c r="L71" s="8"/>
      <c r="M71" s="8"/>
      <c r="N71" s="8"/>
      <c r="O71" s="8"/>
      <c r="P71" s="35"/>
      <c r="Q71" s="41">
        <v>4500.0</v>
      </c>
      <c r="R71" s="15">
        <f>CARPETA!$Q71*CARPETA!$E71</f>
        <v>4500</v>
      </c>
      <c r="S71" s="15">
        <f>CARPETA!$R71*16%</f>
        <v>720</v>
      </c>
      <c r="T71" s="15">
        <f>CARPETA!$R71+CARPETA!$S71</f>
        <v>5220</v>
      </c>
      <c r="U71" s="17" t="s">
        <v>59</v>
      </c>
      <c r="V71" s="17" t="s">
        <v>44</v>
      </c>
      <c r="W71" s="15" t="s">
        <v>60</v>
      </c>
    </row>
    <row r="72" ht="15.75" customHeight="1">
      <c r="A72" s="6">
        <v>24.0</v>
      </c>
      <c r="B72" s="6"/>
      <c r="C72" s="39">
        <v>5689.0</v>
      </c>
      <c r="D72" s="40">
        <v>46186.0</v>
      </c>
      <c r="E72" s="8">
        <v>1.0</v>
      </c>
      <c r="F72" s="8" t="s">
        <v>31</v>
      </c>
      <c r="G72" s="8" t="s">
        <v>145</v>
      </c>
      <c r="H72" s="8">
        <v>15.0</v>
      </c>
      <c r="I72" s="8" t="s">
        <v>34</v>
      </c>
      <c r="J72" s="8" t="s">
        <v>146</v>
      </c>
      <c r="K72" s="35" t="s">
        <v>50</v>
      </c>
      <c r="L72" s="8"/>
      <c r="M72" s="8"/>
      <c r="N72" s="8"/>
      <c r="O72" s="8"/>
      <c r="P72" s="35" t="s">
        <v>109</v>
      </c>
      <c r="Q72" s="41">
        <v>5900.0</v>
      </c>
      <c r="R72" s="15">
        <f>CARPETA!$Q72*CARPETA!$E72</f>
        <v>5900</v>
      </c>
      <c r="S72" s="15">
        <f>CARPETA!$R72*16%</f>
        <v>944</v>
      </c>
      <c r="T72" s="15">
        <f>CARPETA!$R72+CARPETA!$S72</f>
        <v>6844</v>
      </c>
      <c r="U72" s="35" t="s">
        <v>110</v>
      </c>
      <c r="V72" s="15"/>
      <c r="W72" s="15"/>
    </row>
    <row r="73" ht="15.75" customHeight="1">
      <c r="A73" s="6">
        <v>24.0</v>
      </c>
      <c r="B73" s="6"/>
      <c r="C73" s="39">
        <v>5690.0</v>
      </c>
      <c r="D73" s="40">
        <v>46186.0</v>
      </c>
      <c r="E73" s="8">
        <v>1.0</v>
      </c>
      <c r="F73" s="8" t="s">
        <v>31</v>
      </c>
      <c r="G73" s="8" t="s">
        <v>117</v>
      </c>
      <c r="H73" s="8">
        <v>15.0</v>
      </c>
      <c r="I73" s="8" t="s">
        <v>34</v>
      </c>
      <c r="J73" s="8" t="s">
        <v>118</v>
      </c>
      <c r="K73" s="35" t="s">
        <v>50</v>
      </c>
      <c r="L73" s="8"/>
      <c r="M73" s="8"/>
      <c r="N73" s="8"/>
      <c r="O73" s="8"/>
      <c r="P73" s="35" t="s">
        <v>109</v>
      </c>
      <c r="Q73" s="41">
        <v>5900.0</v>
      </c>
      <c r="R73" s="15">
        <f>CARPETA!$Q73*CARPETA!$E73</f>
        <v>5900</v>
      </c>
      <c r="S73" s="15">
        <f>CARPETA!$R73*16%</f>
        <v>944</v>
      </c>
      <c r="T73" s="15">
        <f>CARPETA!$R73+CARPETA!$S73</f>
        <v>6844</v>
      </c>
      <c r="U73" s="35" t="s">
        <v>110</v>
      </c>
      <c r="V73" s="15"/>
      <c r="W73" s="15"/>
    </row>
    <row r="74" ht="15.75" customHeight="1">
      <c r="A74" s="6">
        <v>24.0</v>
      </c>
      <c r="B74" s="6"/>
      <c r="C74" s="39">
        <v>5691.0</v>
      </c>
      <c r="D74" s="40">
        <v>46186.0</v>
      </c>
      <c r="E74" s="8">
        <v>1.0</v>
      </c>
      <c r="F74" s="8" t="s">
        <v>31</v>
      </c>
      <c r="G74" s="8" t="s">
        <v>147</v>
      </c>
      <c r="H74" s="8">
        <v>15.0</v>
      </c>
      <c r="I74" s="8" t="s">
        <v>34</v>
      </c>
      <c r="J74" s="8" t="s">
        <v>150</v>
      </c>
      <c r="K74" s="35" t="s">
        <v>50</v>
      </c>
      <c r="L74" s="8"/>
      <c r="M74" s="8"/>
      <c r="N74" s="8"/>
      <c r="O74" s="8"/>
      <c r="P74" s="35" t="s">
        <v>109</v>
      </c>
      <c r="Q74" s="41">
        <v>5900.0</v>
      </c>
      <c r="R74" s="15">
        <f>CARPETA!$Q74*CARPETA!$E74</f>
        <v>5900</v>
      </c>
      <c r="S74" s="15">
        <f>CARPETA!$R74*16%</f>
        <v>944</v>
      </c>
      <c r="T74" s="15">
        <f>CARPETA!$R74+CARPETA!$S74</f>
        <v>6844</v>
      </c>
      <c r="U74" s="35" t="s">
        <v>110</v>
      </c>
      <c r="V74" s="15"/>
      <c r="W74" s="15"/>
    </row>
    <row r="75" ht="15.75" customHeight="1">
      <c r="A75" s="6">
        <v>24.0</v>
      </c>
      <c r="B75" s="6"/>
      <c r="C75" s="39">
        <v>5692.0</v>
      </c>
      <c r="D75" s="40">
        <v>46186.0</v>
      </c>
      <c r="E75" s="8">
        <v>1.0</v>
      </c>
      <c r="F75" s="8" t="s">
        <v>31</v>
      </c>
      <c r="G75" s="8" t="s">
        <v>151</v>
      </c>
      <c r="H75" s="8">
        <v>15.0</v>
      </c>
      <c r="I75" s="8" t="s">
        <v>34</v>
      </c>
      <c r="J75" s="8" t="s">
        <v>152</v>
      </c>
      <c r="K75" s="35" t="s">
        <v>50</v>
      </c>
      <c r="L75" s="8"/>
      <c r="M75" s="8"/>
      <c r="N75" s="8"/>
      <c r="O75" s="8"/>
      <c r="P75" s="35" t="s">
        <v>109</v>
      </c>
      <c r="Q75" s="41">
        <v>5900.0</v>
      </c>
      <c r="R75" s="15">
        <f>CARPETA!$Q75*CARPETA!$E75</f>
        <v>5900</v>
      </c>
      <c r="S75" s="15">
        <f>CARPETA!$R75*16%</f>
        <v>944</v>
      </c>
      <c r="T75" s="15">
        <f>CARPETA!$R75+CARPETA!$S75</f>
        <v>6844</v>
      </c>
      <c r="U75" s="35" t="s">
        <v>110</v>
      </c>
      <c r="V75" s="15"/>
      <c r="W75" s="15"/>
    </row>
    <row r="76" ht="15.75" customHeight="1">
      <c r="A76" s="6">
        <v>24.0</v>
      </c>
      <c r="B76" s="6"/>
      <c r="C76" s="39">
        <v>5693.0</v>
      </c>
      <c r="D76" s="40">
        <v>46186.0</v>
      </c>
      <c r="E76" s="8">
        <v>1.0</v>
      </c>
      <c r="F76" s="8" t="s">
        <v>31</v>
      </c>
      <c r="G76" s="8" t="s">
        <v>154</v>
      </c>
      <c r="H76" s="8">
        <v>15.0</v>
      </c>
      <c r="I76" s="8" t="s">
        <v>34</v>
      </c>
      <c r="J76" s="8" t="s">
        <v>155</v>
      </c>
      <c r="K76" s="35" t="s">
        <v>50</v>
      </c>
      <c r="L76" s="8"/>
      <c r="M76" s="8"/>
      <c r="N76" s="8"/>
      <c r="O76" s="8"/>
      <c r="P76" s="35" t="s">
        <v>109</v>
      </c>
      <c r="Q76" s="41">
        <v>5900.0</v>
      </c>
      <c r="R76" s="15">
        <f>CARPETA!$Q76*CARPETA!$E76</f>
        <v>5900</v>
      </c>
      <c r="S76" s="15">
        <f>CARPETA!$R76*16%</f>
        <v>944</v>
      </c>
      <c r="T76" s="15">
        <f>CARPETA!$R76+CARPETA!$S76</f>
        <v>6844</v>
      </c>
      <c r="U76" s="35" t="s">
        <v>110</v>
      </c>
      <c r="V76" s="15"/>
      <c r="W76" s="15"/>
    </row>
    <row r="77" ht="15.75" customHeight="1">
      <c r="A77" s="6">
        <v>24.0</v>
      </c>
      <c r="B77" s="6"/>
      <c r="C77" s="39">
        <v>5694.0</v>
      </c>
      <c r="D77" s="40">
        <v>46186.0</v>
      </c>
      <c r="E77" s="8">
        <v>1.0</v>
      </c>
      <c r="F77" s="8" t="s">
        <v>31</v>
      </c>
      <c r="G77" s="8" t="s">
        <v>121</v>
      </c>
      <c r="H77" s="8">
        <v>15.0</v>
      </c>
      <c r="I77" s="8" t="s">
        <v>34</v>
      </c>
      <c r="J77" s="8" t="s">
        <v>122</v>
      </c>
      <c r="K77" s="35" t="s">
        <v>50</v>
      </c>
      <c r="L77" s="8"/>
      <c r="M77" s="8"/>
      <c r="N77" s="8"/>
      <c r="O77" s="8"/>
      <c r="P77" s="35" t="s">
        <v>109</v>
      </c>
      <c r="Q77" s="41">
        <v>5900.0</v>
      </c>
      <c r="R77" s="15">
        <f>CARPETA!$Q77*CARPETA!$E77</f>
        <v>5900</v>
      </c>
      <c r="S77" s="15">
        <f>CARPETA!$R77*16%</f>
        <v>944</v>
      </c>
      <c r="T77" s="15">
        <f>CARPETA!$R77+CARPETA!$S77</f>
        <v>6844</v>
      </c>
      <c r="U77" s="35" t="s">
        <v>110</v>
      </c>
      <c r="V77" s="15"/>
      <c r="W77" s="15"/>
    </row>
    <row r="78" ht="15.75" hidden="1" customHeight="1">
      <c r="A78" s="6">
        <v>24.0</v>
      </c>
      <c r="B78" s="6"/>
      <c r="C78" s="39">
        <v>5695.0</v>
      </c>
      <c r="D78" s="40">
        <v>46186.0</v>
      </c>
      <c r="E78" s="8">
        <v>1.0</v>
      </c>
      <c r="F78" s="8" t="s">
        <v>148</v>
      </c>
      <c r="G78" s="8" t="s">
        <v>111</v>
      </c>
      <c r="H78" s="8">
        <v>0.0</v>
      </c>
      <c r="I78" s="8" t="s">
        <v>34</v>
      </c>
      <c r="J78" s="8" t="s">
        <v>148</v>
      </c>
      <c r="K78" s="35" t="s">
        <v>50</v>
      </c>
      <c r="L78" s="35"/>
      <c r="M78" s="8"/>
      <c r="N78" s="8"/>
      <c r="O78" s="8"/>
      <c r="P78" s="35" t="s">
        <v>109</v>
      </c>
      <c r="Q78" s="41">
        <v>2950.0</v>
      </c>
      <c r="R78" s="15">
        <f>CARPETA!$Q78*CARPETA!$E78</f>
        <v>2950</v>
      </c>
      <c r="S78" s="15">
        <f>CARPETA!$R78*16%</f>
        <v>472</v>
      </c>
      <c r="T78" s="15">
        <f>CARPETA!$R78+CARPETA!$S78</f>
        <v>3422</v>
      </c>
      <c r="U78" s="52" t="s">
        <v>110</v>
      </c>
    </row>
    <row r="79" ht="15.75" hidden="1" customHeight="1">
      <c r="A79" s="6">
        <v>24.0</v>
      </c>
      <c r="B79" s="6"/>
      <c r="C79" s="39">
        <v>5696.0</v>
      </c>
      <c r="D79" s="40">
        <v>46186.0</v>
      </c>
      <c r="E79" s="8">
        <v>1.0</v>
      </c>
      <c r="F79" s="8" t="s">
        <v>148</v>
      </c>
      <c r="G79" s="8" t="s">
        <v>156</v>
      </c>
      <c r="H79" s="8">
        <v>0.0</v>
      </c>
      <c r="I79" s="8" t="s">
        <v>34</v>
      </c>
      <c r="J79" s="8" t="s">
        <v>148</v>
      </c>
      <c r="K79" s="35" t="s">
        <v>50</v>
      </c>
      <c r="L79" s="53"/>
      <c r="M79" s="8"/>
      <c r="N79" s="8"/>
      <c r="O79" s="8"/>
      <c r="P79" s="35" t="s">
        <v>109</v>
      </c>
      <c r="Q79" s="41">
        <v>2950.0</v>
      </c>
      <c r="R79" s="15">
        <f>CARPETA!$Q79*CARPETA!$E79</f>
        <v>2950</v>
      </c>
      <c r="S79" s="15">
        <f>CARPETA!$R79*16%</f>
        <v>472</v>
      </c>
      <c r="T79" s="15">
        <f>CARPETA!$R79+CARPETA!$S79</f>
        <v>3422</v>
      </c>
      <c r="U79" s="52" t="s">
        <v>110</v>
      </c>
      <c r="V79" s="15"/>
      <c r="W79" s="15"/>
    </row>
    <row r="80" ht="15.75" hidden="1" customHeight="1">
      <c r="A80" s="6">
        <v>24.0</v>
      </c>
      <c r="B80" s="6"/>
      <c r="C80" s="8">
        <v>5697.0</v>
      </c>
      <c r="D80" s="9">
        <v>46186.0</v>
      </c>
      <c r="E80" s="8">
        <v>1.0</v>
      </c>
      <c r="F80" s="8" t="s">
        <v>148</v>
      </c>
      <c r="G80" s="8" t="s">
        <v>149</v>
      </c>
      <c r="H80" s="8">
        <v>0.0</v>
      </c>
      <c r="I80" s="8" t="s">
        <v>34</v>
      </c>
      <c r="J80" s="8" t="s">
        <v>148</v>
      </c>
      <c r="K80" s="19" t="s">
        <v>36</v>
      </c>
      <c r="L80" s="8"/>
      <c r="M80" s="8"/>
      <c r="N80" s="8"/>
      <c r="O80" s="8"/>
      <c r="P80" s="8"/>
      <c r="Q80" s="14">
        <v>4020.0</v>
      </c>
      <c r="R80" s="15">
        <f>CARPETA!$Q80*CARPETA!$E80</f>
        <v>4020</v>
      </c>
      <c r="S80" s="15">
        <f>CARPETA!$R80*16%</f>
        <v>643.2</v>
      </c>
      <c r="T80" s="15">
        <f>CARPETA!$R80+CARPETA!$S80</f>
        <v>4663.2</v>
      </c>
      <c r="U80" s="17" t="s">
        <v>59</v>
      </c>
      <c r="V80" s="17" t="s">
        <v>44</v>
      </c>
      <c r="W80" s="15" t="s">
        <v>60</v>
      </c>
    </row>
    <row r="81" ht="15.75" hidden="1" customHeight="1">
      <c r="A81" s="6">
        <v>24.0</v>
      </c>
      <c r="B81" s="6"/>
      <c r="C81" s="8">
        <v>5698.0</v>
      </c>
      <c r="D81" s="9">
        <v>46186.0</v>
      </c>
      <c r="E81" s="8">
        <v>1.0</v>
      </c>
      <c r="F81" s="8" t="s">
        <v>148</v>
      </c>
      <c r="G81" s="8" t="s">
        <v>71</v>
      </c>
      <c r="H81" s="8">
        <v>0.0</v>
      </c>
      <c r="I81" s="8" t="s">
        <v>34</v>
      </c>
      <c r="J81" s="8" t="s">
        <v>148</v>
      </c>
      <c r="K81" s="19" t="s">
        <v>36</v>
      </c>
      <c r="L81" s="8"/>
      <c r="M81" s="8"/>
      <c r="N81" s="8"/>
      <c r="O81" s="8"/>
      <c r="P81" s="8"/>
      <c r="Q81" s="14">
        <v>4020.0</v>
      </c>
      <c r="R81" s="15">
        <f>CARPETA!$Q81*CARPETA!$E81</f>
        <v>4020</v>
      </c>
      <c r="S81" s="15">
        <f>CARPETA!$R81*16%</f>
        <v>643.2</v>
      </c>
      <c r="T81" s="15">
        <f>CARPETA!$R81+CARPETA!$S81</f>
        <v>4663.2</v>
      </c>
      <c r="U81" s="17" t="s">
        <v>59</v>
      </c>
      <c r="V81" s="17" t="s">
        <v>44</v>
      </c>
      <c r="W81" s="15" t="s">
        <v>60</v>
      </c>
    </row>
    <row r="82" ht="15.75" hidden="1" customHeight="1">
      <c r="A82" s="6">
        <v>24.0</v>
      </c>
      <c r="B82" s="6"/>
      <c r="C82" s="8">
        <v>5699.0</v>
      </c>
      <c r="D82" s="9">
        <v>46186.0</v>
      </c>
      <c r="E82" s="8">
        <v>1.0</v>
      </c>
      <c r="F82" s="8" t="s">
        <v>148</v>
      </c>
      <c r="G82" s="8" t="s">
        <v>80</v>
      </c>
      <c r="H82" s="8">
        <v>0.0</v>
      </c>
      <c r="I82" s="8" t="s">
        <v>34</v>
      </c>
      <c r="J82" s="8" t="s">
        <v>148</v>
      </c>
      <c r="K82" s="19" t="s">
        <v>36</v>
      </c>
      <c r="L82" s="8"/>
      <c r="M82" s="8"/>
      <c r="N82" s="8"/>
      <c r="O82" s="8"/>
      <c r="P82" s="8"/>
      <c r="Q82" s="14">
        <v>4020.0</v>
      </c>
      <c r="R82" s="15">
        <f>CARPETA!$Q82*CARPETA!$E82</f>
        <v>4020</v>
      </c>
      <c r="S82" s="15">
        <f>CARPETA!$R82*16%</f>
        <v>643.2</v>
      </c>
      <c r="T82" s="15">
        <f>CARPETA!$R82+CARPETA!$S82</f>
        <v>4663.2</v>
      </c>
      <c r="U82" s="17" t="s">
        <v>59</v>
      </c>
      <c r="V82" s="17" t="s">
        <v>44</v>
      </c>
      <c r="W82" s="15" t="s">
        <v>60</v>
      </c>
    </row>
    <row r="83" ht="15.75" hidden="1" customHeight="1">
      <c r="A83" s="6">
        <v>24.0</v>
      </c>
      <c r="B83" s="6"/>
      <c r="C83" s="8">
        <v>5700.0</v>
      </c>
      <c r="D83" s="9">
        <v>46186.0</v>
      </c>
      <c r="E83" s="8">
        <v>1.0</v>
      </c>
      <c r="F83" s="8" t="s">
        <v>148</v>
      </c>
      <c r="G83" s="8" t="s">
        <v>78</v>
      </c>
      <c r="H83" s="8">
        <v>0.0</v>
      </c>
      <c r="I83" s="8" t="s">
        <v>34</v>
      </c>
      <c r="J83" s="8" t="s">
        <v>148</v>
      </c>
      <c r="K83" s="19" t="s">
        <v>36</v>
      </c>
      <c r="L83" s="8"/>
      <c r="M83" s="8"/>
      <c r="N83" s="8"/>
      <c r="O83" s="8"/>
      <c r="P83" s="8"/>
      <c r="Q83" s="14">
        <v>4020.0</v>
      </c>
      <c r="R83" s="15">
        <f>CARPETA!$Q83*CARPETA!$E83</f>
        <v>4020</v>
      </c>
      <c r="S83" s="15">
        <f>CARPETA!$R83*16%</f>
        <v>643.2</v>
      </c>
      <c r="T83" s="15">
        <f>CARPETA!$R83+CARPETA!$S83</f>
        <v>4663.2</v>
      </c>
      <c r="U83" s="17" t="s">
        <v>59</v>
      </c>
      <c r="V83" s="17" t="s">
        <v>44</v>
      </c>
      <c r="W83" s="15" t="s">
        <v>60</v>
      </c>
    </row>
    <row r="84" ht="15.75" hidden="1" customHeight="1">
      <c r="A84" s="6">
        <v>24.0</v>
      </c>
      <c r="B84" s="6"/>
      <c r="C84" s="8">
        <v>5701.0</v>
      </c>
      <c r="D84" s="9">
        <v>46186.0</v>
      </c>
      <c r="E84" s="8">
        <v>1.0</v>
      </c>
      <c r="F84" s="8" t="s">
        <v>148</v>
      </c>
      <c r="G84" s="8" t="s">
        <v>105</v>
      </c>
      <c r="H84" s="8">
        <v>0.0</v>
      </c>
      <c r="I84" s="8" t="s">
        <v>34</v>
      </c>
      <c r="J84" s="8" t="s">
        <v>148</v>
      </c>
      <c r="K84" s="19" t="s">
        <v>36</v>
      </c>
      <c r="L84" s="8"/>
      <c r="M84" s="8"/>
      <c r="N84" s="8"/>
      <c r="O84" s="8"/>
      <c r="P84" s="8"/>
      <c r="Q84" s="14">
        <v>4020.0</v>
      </c>
      <c r="R84" s="15">
        <f>CARPETA!$Q84*CARPETA!$E84</f>
        <v>4020</v>
      </c>
      <c r="S84" s="15">
        <f>CARPETA!$R84*16%</f>
        <v>643.2</v>
      </c>
      <c r="T84" s="15">
        <f>CARPETA!$R84+CARPETA!$S84</f>
        <v>4663.2</v>
      </c>
      <c r="U84" s="17" t="s">
        <v>59</v>
      </c>
      <c r="V84" s="17" t="s">
        <v>44</v>
      </c>
      <c r="W84" s="15" t="s">
        <v>60</v>
      </c>
    </row>
    <row r="85" ht="15.75" hidden="1" customHeight="1">
      <c r="A85" s="6">
        <v>24.0</v>
      </c>
      <c r="B85" s="6"/>
      <c r="C85" s="8">
        <v>5702.0</v>
      </c>
      <c r="D85" s="9">
        <v>46186.0</v>
      </c>
      <c r="E85" s="8">
        <v>1.0</v>
      </c>
      <c r="F85" s="8" t="s">
        <v>148</v>
      </c>
      <c r="G85" s="8" t="s">
        <v>39</v>
      </c>
      <c r="H85" s="8">
        <v>0.0</v>
      </c>
      <c r="I85" s="8" t="s">
        <v>34</v>
      </c>
      <c r="J85" s="8" t="s">
        <v>148</v>
      </c>
      <c r="K85" s="19" t="s">
        <v>36</v>
      </c>
      <c r="L85" s="8"/>
      <c r="M85" s="8"/>
      <c r="N85" s="8"/>
      <c r="O85" s="8"/>
      <c r="P85" s="8"/>
      <c r="Q85" s="14">
        <v>4020.0</v>
      </c>
      <c r="R85" s="15">
        <f>CARPETA!$Q85*CARPETA!$E85</f>
        <v>4020</v>
      </c>
      <c r="S85" s="15">
        <f>CARPETA!$R85*16%</f>
        <v>643.2</v>
      </c>
      <c r="T85" s="15">
        <f>CARPETA!$R85+CARPETA!$S85</f>
        <v>4663.2</v>
      </c>
      <c r="U85" s="17" t="s">
        <v>59</v>
      </c>
      <c r="V85" s="17" t="s">
        <v>44</v>
      </c>
      <c r="W85" s="15" t="s">
        <v>60</v>
      </c>
    </row>
    <row r="86" ht="15.75" hidden="1" customHeight="1">
      <c r="A86" s="6">
        <v>24.0</v>
      </c>
      <c r="B86" s="6"/>
      <c r="C86" s="8">
        <v>5703.0</v>
      </c>
      <c r="D86" s="9">
        <v>46186.0</v>
      </c>
      <c r="E86" s="8">
        <v>1.0</v>
      </c>
      <c r="F86" s="8" t="s">
        <v>148</v>
      </c>
      <c r="G86" s="8" t="s">
        <v>100</v>
      </c>
      <c r="H86" s="8">
        <v>0.0</v>
      </c>
      <c r="I86" s="8" t="s">
        <v>34</v>
      </c>
      <c r="J86" s="8" t="s">
        <v>148</v>
      </c>
      <c r="K86" s="19" t="s">
        <v>36</v>
      </c>
      <c r="L86" s="8"/>
      <c r="M86" s="8"/>
      <c r="N86" s="8"/>
      <c r="O86" s="8"/>
      <c r="P86" s="8"/>
      <c r="Q86" s="14">
        <v>4020.0</v>
      </c>
      <c r="R86" s="15">
        <f>CARPETA!$Q86*CARPETA!$E86</f>
        <v>4020</v>
      </c>
      <c r="S86" s="15">
        <f>CARPETA!$R86*16%</f>
        <v>643.2</v>
      </c>
      <c r="T86" s="15">
        <f>CARPETA!$R86+CARPETA!$S86</f>
        <v>4663.2</v>
      </c>
      <c r="U86" s="17" t="s">
        <v>59</v>
      </c>
      <c r="V86" s="17" t="s">
        <v>44</v>
      </c>
      <c r="W86" s="15" t="s">
        <v>60</v>
      </c>
    </row>
    <row r="87" ht="15.75" hidden="1" customHeight="1">
      <c r="A87" s="6">
        <v>25.0</v>
      </c>
      <c r="B87" s="6">
        <v>1.0</v>
      </c>
      <c r="C87" s="8">
        <v>5704.0</v>
      </c>
      <c r="D87" s="9">
        <v>46188.0</v>
      </c>
      <c r="E87" s="8">
        <v>1.0</v>
      </c>
      <c r="F87" s="8" t="s">
        <v>157</v>
      </c>
      <c r="G87" s="8" t="s">
        <v>80</v>
      </c>
      <c r="H87" s="8">
        <v>14.0</v>
      </c>
      <c r="I87" s="8"/>
      <c r="J87" s="8" t="s">
        <v>81</v>
      </c>
      <c r="K87" s="35" t="s">
        <v>36</v>
      </c>
      <c r="L87" s="8" t="s">
        <v>159</v>
      </c>
      <c r="M87" s="8" t="s">
        <v>160</v>
      </c>
      <c r="N87" s="8"/>
      <c r="O87" s="8"/>
      <c r="P87" s="8"/>
      <c r="Q87" s="15">
        <v>4205.0</v>
      </c>
      <c r="R87" s="15">
        <f>CARPETA!$Q87*CARPETA!$E87</f>
        <v>4205</v>
      </c>
      <c r="S87" s="15">
        <f>CARPETA!$R87*16%</f>
        <v>672.8</v>
      </c>
      <c r="T87" s="15">
        <f>CARPETA!$R87+CARPETA!$S87</f>
        <v>4877.8</v>
      </c>
      <c r="U87" s="8" t="s">
        <v>161</v>
      </c>
      <c r="V87" s="17" t="s">
        <v>44</v>
      </c>
      <c r="W87" s="52" t="s">
        <v>175</v>
      </c>
    </row>
    <row r="88" ht="15.75" hidden="1" customHeight="1">
      <c r="A88" s="6">
        <v>25.0</v>
      </c>
      <c r="B88" s="6">
        <v>2.0</v>
      </c>
      <c r="C88" s="8">
        <v>5705.0</v>
      </c>
      <c r="D88" s="9">
        <v>46188.0</v>
      </c>
      <c r="E88" s="8">
        <v>1.0</v>
      </c>
      <c r="F88" s="8" t="s">
        <v>157</v>
      </c>
      <c r="G88" s="8" t="s">
        <v>162</v>
      </c>
      <c r="H88" s="8">
        <v>14.0</v>
      </c>
      <c r="I88" s="8"/>
      <c r="J88" s="8" t="s">
        <v>83</v>
      </c>
      <c r="K88" s="35" t="s">
        <v>36</v>
      </c>
      <c r="L88" s="8" t="s">
        <v>160</v>
      </c>
      <c r="M88" s="8" t="s">
        <v>163</v>
      </c>
      <c r="N88" s="8"/>
      <c r="O88" s="8"/>
      <c r="P88" s="8"/>
      <c r="Q88" s="15">
        <v>4205.0</v>
      </c>
      <c r="R88" s="15">
        <f>CARPETA!$Q88*CARPETA!$E88</f>
        <v>4205</v>
      </c>
      <c r="S88" s="15">
        <f>CARPETA!$R88*16%</f>
        <v>672.8</v>
      </c>
      <c r="T88" s="15">
        <f>CARPETA!$R88+CARPETA!$S88</f>
        <v>4877.8</v>
      </c>
      <c r="U88" s="8" t="s">
        <v>161</v>
      </c>
      <c r="V88" s="17" t="s">
        <v>44</v>
      </c>
      <c r="W88" s="52" t="s">
        <v>175</v>
      </c>
    </row>
    <row r="89" ht="15.75" hidden="1" customHeight="1">
      <c r="A89" s="6">
        <v>25.0</v>
      </c>
      <c r="B89" s="6">
        <v>3.0</v>
      </c>
      <c r="C89" s="8">
        <v>5706.0</v>
      </c>
      <c r="D89" s="9">
        <v>46188.0</v>
      </c>
      <c r="E89" s="8">
        <v>1.0</v>
      </c>
      <c r="F89" s="8" t="s">
        <v>157</v>
      </c>
      <c r="G89" s="8" t="s">
        <v>164</v>
      </c>
      <c r="H89" s="8">
        <v>14.0</v>
      </c>
      <c r="I89" s="8"/>
      <c r="J89" s="8" t="s">
        <v>106</v>
      </c>
      <c r="K89" s="35" t="s">
        <v>36</v>
      </c>
      <c r="L89" s="8" t="s">
        <v>165</v>
      </c>
      <c r="M89" s="8" t="s">
        <v>166</v>
      </c>
      <c r="N89" s="8"/>
      <c r="O89" s="8"/>
      <c r="P89" s="8"/>
      <c r="Q89" s="15">
        <v>4205.0</v>
      </c>
      <c r="R89" s="15">
        <f>CARPETA!$Q89*CARPETA!$E89</f>
        <v>4205</v>
      </c>
      <c r="S89" s="15">
        <f>CARPETA!$R89*16%</f>
        <v>672.8</v>
      </c>
      <c r="T89" s="15">
        <f>CARPETA!$R89+CARPETA!$S89</f>
        <v>4877.8</v>
      </c>
      <c r="U89" s="8" t="s">
        <v>161</v>
      </c>
      <c r="V89" s="17" t="s">
        <v>44</v>
      </c>
      <c r="W89" s="52" t="s">
        <v>175</v>
      </c>
    </row>
    <row r="90" ht="15.75" hidden="1" customHeight="1">
      <c r="A90" s="6">
        <v>25.0</v>
      </c>
      <c r="B90" s="6">
        <v>4.0</v>
      </c>
      <c r="C90" s="8">
        <v>5707.0</v>
      </c>
      <c r="D90" s="9">
        <v>46188.0</v>
      </c>
      <c r="E90" s="8">
        <v>1.0</v>
      </c>
      <c r="F90" s="8" t="s">
        <v>157</v>
      </c>
      <c r="G90" s="8" t="s">
        <v>167</v>
      </c>
      <c r="H90" s="8">
        <v>14.0</v>
      </c>
      <c r="I90" s="8"/>
      <c r="J90" s="8" t="s">
        <v>106</v>
      </c>
      <c r="K90" s="35" t="s">
        <v>36</v>
      </c>
      <c r="L90" s="8" t="s">
        <v>163</v>
      </c>
      <c r="M90" s="8" t="s">
        <v>165</v>
      </c>
      <c r="N90" s="8"/>
      <c r="O90" s="8"/>
      <c r="P90" s="8"/>
      <c r="Q90" s="15">
        <v>4205.0</v>
      </c>
      <c r="R90" s="15">
        <f>CARPETA!$Q90*CARPETA!$E90</f>
        <v>4205</v>
      </c>
      <c r="S90" s="15">
        <f>CARPETA!$R90*16%</f>
        <v>672.8</v>
      </c>
      <c r="T90" s="15">
        <f>CARPETA!$R90+CARPETA!$S90</f>
        <v>4877.8</v>
      </c>
      <c r="U90" s="8" t="s">
        <v>161</v>
      </c>
      <c r="V90" s="17" t="s">
        <v>44</v>
      </c>
      <c r="W90" s="52" t="s">
        <v>175</v>
      </c>
    </row>
    <row r="91" ht="15.75" hidden="1" customHeight="1">
      <c r="A91" s="6">
        <v>25.0</v>
      </c>
      <c r="B91" s="6">
        <v>5.0</v>
      </c>
      <c r="C91" s="8">
        <v>5708.0</v>
      </c>
      <c r="D91" s="9">
        <v>46188.0</v>
      </c>
      <c r="E91" s="8">
        <v>1.0</v>
      </c>
      <c r="F91" s="8" t="s">
        <v>157</v>
      </c>
      <c r="G91" s="8" t="s">
        <v>168</v>
      </c>
      <c r="H91" s="8">
        <v>14.0</v>
      </c>
      <c r="I91" s="8"/>
      <c r="J91" s="8" t="s">
        <v>89</v>
      </c>
      <c r="K91" s="35" t="s">
        <v>36</v>
      </c>
      <c r="L91" s="8" t="s">
        <v>166</v>
      </c>
      <c r="M91" s="8" t="s">
        <v>169</v>
      </c>
      <c r="N91" s="8"/>
      <c r="O91" s="8"/>
      <c r="P91" s="8"/>
      <c r="Q91" s="15">
        <v>4205.0</v>
      </c>
      <c r="R91" s="15">
        <f>CARPETA!$Q91*CARPETA!$E91</f>
        <v>4205</v>
      </c>
      <c r="S91" s="15">
        <f>CARPETA!$R91*16%</f>
        <v>672.8</v>
      </c>
      <c r="T91" s="15">
        <f>CARPETA!$R91+CARPETA!$S91</f>
        <v>4877.8</v>
      </c>
      <c r="U91" s="8" t="s">
        <v>161</v>
      </c>
      <c r="V91" s="17" t="s">
        <v>44</v>
      </c>
      <c r="W91" s="52" t="s">
        <v>175</v>
      </c>
    </row>
    <row r="92" ht="15.75" hidden="1" customHeight="1">
      <c r="A92" s="6">
        <v>25.0</v>
      </c>
      <c r="B92" s="6">
        <v>6.0</v>
      </c>
      <c r="C92" s="8">
        <v>5709.0</v>
      </c>
      <c r="D92" s="9">
        <v>46188.0</v>
      </c>
      <c r="E92" s="8">
        <v>1.0</v>
      </c>
      <c r="F92" s="8" t="s">
        <v>157</v>
      </c>
      <c r="G92" s="8" t="s">
        <v>170</v>
      </c>
      <c r="H92" s="8">
        <v>14.0</v>
      </c>
      <c r="I92" s="8"/>
      <c r="J92" s="8" t="s">
        <v>87</v>
      </c>
      <c r="K92" s="35" t="s">
        <v>36</v>
      </c>
      <c r="L92" s="8" t="s">
        <v>171</v>
      </c>
      <c r="M92" s="8" t="s">
        <v>172</v>
      </c>
      <c r="N92" s="8"/>
      <c r="O92" s="8"/>
      <c r="P92" s="8"/>
      <c r="Q92" s="15">
        <v>4205.0</v>
      </c>
      <c r="R92" s="15">
        <f>CARPETA!$Q92*CARPETA!$E92</f>
        <v>4205</v>
      </c>
      <c r="S92" s="15">
        <f>CARPETA!$R92*16%</f>
        <v>672.8</v>
      </c>
      <c r="T92" s="15">
        <f>CARPETA!$R92+CARPETA!$S92</f>
        <v>4877.8</v>
      </c>
      <c r="U92" s="8" t="s">
        <v>161</v>
      </c>
      <c r="V92" s="17" t="s">
        <v>44</v>
      </c>
      <c r="W92" s="52" t="s">
        <v>175</v>
      </c>
    </row>
    <row r="93" ht="15.75" hidden="1" customHeight="1">
      <c r="A93" s="6">
        <v>25.0</v>
      </c>
      <c r="B93" s="6">
        <v>7.0</v>
      </c>
      <c r="C93" s="8">
        <v>5710.0</v>
      </c>
      <c r="D93" s="9">
        <v>46188.0</v>
      </c>
      <c r="E93" s="8">
        <v>1.0</v>
      </c>
      <c r="F93" s="8" t="s">
        <v>157</v>
      </c>
      <c r="G93" s="8" t="s">
        <v>90</v>
      </c>
      <c r="H93" s="8">
        <v>14.0</v>
      </c>
      <c r="I93" s="8"/>
      <c r="J93" s="8" t="s">
        <v>173</v>
      </c>
      <c r="K93" s="35" t="s">
        <v>36</v>
      </c>
      <c r="L93" s="8" t="s">
        <v>169</v>
      </c>
      <c r="M93" s="8" t="s">
        <v>174</v>
      </c>
      <c r="N93" s="8"/>
      <c r="O93" s="8"/>
      <c r="P93" s="8"/>
      <c r="Q93" s="15">
        <v>4205.0</v>
      </c>
      <c r="R93" s="15">
        <f>CARPETA!$Q93*CARPETA!$E93</f>
        <v>4205</v>
      </c>
      <c r="S93" s="15">
        <f>CARPETA!$R93*16%</f>
        <v>672.8</v>
      </c>
      <c r="T93" s="15">
        <f>CARPETA!$R93+CARPETA!$S93</f>
        <v>4877.8</v>
      </c>
      <c r="U93" s="8" t="s">
        <v>161</v>
      </c>
      <c r="V93" s="17" t="s">
        <v>44</v>
      </c>
      <c r="W93" s="52" t="s">
        <v>175</v>
      </c>
    </row>
    <row r="94" ht="15.75" hidden="1" customHeight="1">
      <c r="A94" s="6">
        <v>25.0</v>
      </c>
      <c r="B94" s="6">
        <v>8.0</v>
      </c>
      <c r="C94" s="8">
        <v>5711.0</v>
      </c>
      <c r="D94" s="9">
        <v>46188.0</v>
      </c>
      <c r="E94" s="8">
        <v>1.0</v>
      </c>
      <c r="F94" s="8" t="s">
        <v>157</v>
      </c>
      <c r="G94" s="8" t="s">
        <v>39</v>
      </c>
      <c r="H94" s="8">
        <v>14.0</v>
      </c>
      <c r="I94" s="8"/>
      <c r="J94" s="8" t="s">
        <v>41</v>
      </c>
      <c r="K94" s="35" t="s">
        <v>36</v>
      </c>
      <c r="L94" s="8" t="s">
        <v>176</v>
      </c>
      <c r="M94" s="8" t="s">
        <v>177</v>
      </c>
      <c r="N94" s="8"/>
      <c r="O94" s="8"/>
      <c r="P94" s="8"/>
      <c r="Q94" s="15">
        <v>4205.0</v>
      </c>
      <c r="R94" s="15">
        <f>CARPETA!$Q94*CARPETA!$E94</f>
        <v>4205</v>
      </c>
      <c r="S94" s="15">
        <f>CARPETA!$R94*16%</f>
        <v>672.8</v>
      </c>
      <c r="T94" s="15">
        <f>CARPETA!$R94+CARPETA!$S94</f>
        <v>4877.8</v>
      </c>
      <c r="U94" s="8" t="s">
        <v>161</v>
      </c>
      <c r="V94" s="17" t="s">
        <v>44</v>
      </c>
      <c r="W94" s="52" t="s">
        <v>175</v>
      </c>
    </row>
    <row r="95" ht="15.75" hidden="1" customHeight="1">
      <c r="A95" s="6">
        <v>25.0</v>
      </c>
      <c r="B95" s="6">
        <v>9.0</v>
      </c>
      <c r="C95" s="8">
        <v>5712.0</v>
      </c>
      <c r="D95" s="9">
        <v>46188.0</v>
      </c>
      <c r="E95" s="8">
        <v>1.0</v>
      </c>
      <c r="F95" s="8" t="s">
        <v>157</v>
      </c>
      <c r="G95" s="8" t="s">
        <v>52</v>
      </c>
      <c r="H95" s="8">
        <v>14.0</v>
      </c>
      <c r="I95" s="8"/>
      <c r="J95" s="8" t="s">
        <v>55</v>
      </c>
      <c r="K95" s="35" t="s">
        <v>36</v>
      </c>
      <c r="L95" s="8" t="s">
        <v>177</v>
      </c>
      <c r="M95" s="8" t="s">
        <v>178</v>
      </c>
      <c r="N95" s="8"/>
      <c r="O95" s="8"/>
      <c r="P95" s="8"/>
      <c r="Q95" s="15">
        <v>4205.0</v>
      </c>
      <c r="R95" s="15">
        <f>CARPETA!$Q95*CARPETA!$E95</f>
        <v>4205</v>
      </c>
      <c r="S95" s="15">
        <f>CARPETA!$R95*16%</f>
        <v>672.8</v>
      </c>
      <c r="T95" s="15">
        <f>CARPETA!$R95+CARPETA!$S95</f>
        <v>4877.8</v>
      </c>
      <c r="U95" s="8" t="s">
        <v>161</v>
      </c>
      <c r="V95" s="17" t="s">
        <v>44</v>
      </c>
      <c r="W95" s="52" t="s">
        <v>175</v>
      </c>
    </row>
    <row r="96" ht="15.75" hidden="1" customHeight="1">
      <c r="A96" s="6">
        <v>25.0</v>
      </c>
      <c r="B96" s="6">
        <v>10.0</v>
      </c>
      <c r="C96" s="8">
        <v>5713.0</v>
      </c>
      <c r="D96" s="9">
        <v>46188.0</v>
      </c>
      <c r="E96" s="8">
        <v>1.0</v>
      </c>
      <c r="F96" s="8" t="s">
        <v>157</v>
      </c>
      <c r="G96" s="8" t="s">
        <v>162</v>
      </c>
      <c r="H96" s="8">
        <v>14.0</v>
      </c>
      <c r="I96" s="8"/>
      <c r="J96" s="8" t="s">
        <v>83</v>
      </c>
      <c r="K96" s="35" t="s">
        <v>36</v>
      </c>
      <c r="L96" s="8" t="s">
        <v>172</v>
      </c>
      <c r="M96" s="8" t="s">
        <v>179</v>
      </c>
      <c r="N96" s="8"/>
      <c r="O96" s="8"/>
      <c r="P96" s="8"/>
      <c r="Q96" s="15">
        <v>4205.0</v>
      </c>
      <c r="R96" s="15">
        <f>CARPETA!$Q96*CARPETA!$E96</f>
        <v>4205</v>
      </c>
      <c r="S96" s="15">
        <f>CARPETA!$R96*16%</f>
        <v>672.8</v>
      </c>
      <c r="T96" s="15">
        <f>CARPETA!$R96+CARPETA!$S96</f>
        <v>4877.8</v>
      </c>
      <c r="U96" s="8" t="s">
        <v>161</v>
      </c>
      <c r="V96" s="17" t="s">
        <v>44</v>
      </c>
      <c r="W96" s="52" t="s">
        <v>175</v>
      </c>
    </row>
    <row r="97" ht="15.75" hidden="1" customHeight="1">
      <c r="A97" s="6">
        <v>25.0</v>
      </c>
      <c r="B97" s="6">
        <v>11.0</v>
      </c>
      <c r="C97" s="8">
        <v>5714.0</v>
      </c>
      <c r="D97" s="9">
        <v>46188.0</v>
      </c>
      <c r="E97" s="8">
        <v>1.0</v>
      </c>
      <c r="F97" s="8" t="s">
        <v>157</v>
      </c>
      <c r="G97" s="8" t="s">
        <v>80</v>
      </c>
      <c r="H97" s="8">
        <v>14.0</v>
      </c>
      <c r="I97" s="8"/>
      <c r="J97" s="8" t="s">
        <v>81</v>
      </c>
      <c r="K97" s="35" t="s">
        <v>36</v>
      </c>
      <c r="L97" s="8" t="s">
        <v>180</v>
      </c>
      <c r="M97" s="8" t="s">
        <v>181</v>
      </c>
      <c r="N97" s="8"/>
      <c r="O97" s="8"/>
      <c r="P97" s="8"/>
      <c r="Q97" s="15">
        <v>4205.0</v>
      </c>
      <c r="R97" s="15">
        <f>CARPETA!$Q97*CARPETA!$E97</f>
        <v>4205</v>
      </c>
      <c r="S97" s="15">
        <f>CARPETA!$R97*16%</f>
        <v>672.8</v>
      </c>
      <c r="T97" s="15">
        <f>CARPETA!$R97+CARPETA!$S97</f>
        <v>4877.8</v>
      </c>
      <c r="U97" s="8" t="s">
        <v>161</v>
      </c>
      <c r="V97" s="17" t="s">
        <v>44</v>
      </c>
      <c r="W97" s="52" t="s">
        <v>175</v>
      </c>
    </row>
    <row r="98" ht="15.75" hidden="1" customHeight="1">
      <c r="A98" s="6">
        <v>25.0</v>
      </c>
      <c r="B98" s="6">
        <v>12.0</v>
      </c>
      <c r="C98" s="8">
        <v>5715.0</v>
      </c>
      <c r="D98" s="9">
        <v>46188.0</v>
      </c>
      <c r="E98" s="8">
        <v>1.0</v>
      </c>
      <c r="F98" s="8" t="s">
        <v>157</v>
      </c>
      <c r="G98" s="8" t="s">
        <v>168</v>
      </c>
      <c r="H98" s="8">
        <v>14.0</v>
      </c>
      <c r="I98" s="8"/>
      <c r="J98" s="8" t="s">
        <v>89</v>
      </c>
      <c r="K98" s="35" t="s">
        <v>36</v>
      </c>
      <c r="L98" s="8" t="s">
        <v>181</v>
      </c>
      <c r="M98" s="8" t="s">
        <v>184</v>
      </c>
      <c r="N98" s="8"/>
      <c r="O98" s="8"/>
      <c r="P98" s="8"/>
      <c r="Q98" s="15">
        <v>4205.0</v>
      </c>
      <c r="R98" s="15">
        <f>CARPETA!$Q98*CARPETA!$E98</f>
        <v>4205</v>
      </c>
      <c r="S98" s="15">
        <f>CARPETA!$R98*16%</f>
        <v>672.8</v>
      </c>
      <c r="T98" s="15">
        <f>CARPETA!$R98+CARPETA!$S98</f>
        <v>4877.8</v>
      </c>
      <c r="U98" s="8" t="s">
        <v>161</v>
      </c>
      <c r="V98" s="17" t="s">
        <v>44</v>
      </c>
      <c r="W98" s="52" t="s">
        <v>175</v>
      </c>
    </row>
    <row r="99" ht="15.75" hidden="1" customHeight="1">
      <c r="A99" s="6">
        <v>25.0</v>
      </c>
      <c r="B99" s="6"/>
      <c r="C99" s="8">
        <v>5716.0</v>
      </c>
      <c r="D99" s="9">
        <v>46188.0</v>
      </c>
      <c r="E99" s="8">
        <v>1.0</v>
      </c>
      <c r="F99" s="8" t="s">
        <v>185</v>
      </c>
      <c r="G99" s="8" t="s">
        <v>90</v>
      </c>
      <c r="H99" s="8">
        <v>14.0</v>
      </c>
      <c r="I99" s="8"/>
      <c r="J99" s="8"/>
      <c r="K99" s="35" t="s">
        <v>36</v>
      </c>
      <c r="L99" s="8"/>
      <c r="M99" s="8"/>
      <c r="N99" s="8"/>
      <c r="O99" s="8"/>
      <c r="P99" s="8"/>
      <c r="Q99" s="15">
        <v>1000.0</v>
      </c>
      <c r="R99" s="15">
        <f>CARPETA!$Q99*CARPETA!$E99</f>
        <v>1000</v>
      </c>
      <c r="S99" s="15">
        <f>CARPETA!$R99*16%</f>
        <v>160</v>
      </c>
      <c r="T99" s="15">
        <f>CARPETA!$R99+CARPETA!$S99</f>
        <v>1160</v>
      </c>
      <c r="U99" s="8" t="s">
        <v>161</v>
      </c>
      <c r="V99" s="17" t="s">
        <v>44</v>
      </c>
      <c r="W99" s="52" t="s">
        <v>175</v>
      </c>
    </row>
    <row r="100" ht="15.75" hidden="1" customHeight="1">
      <c r="A100" s="6">
        <v>25.0</v>
      </c>
      <c r="B100" s="6"/>
      <c r="C100" s="8">
        <v>5717.0</v>
      </c>
      <c r="D100" s="9">
        <v>46188.0</v>
      </c>
      <c r="E100" s="8">
        <v>1.0</v>
      </c>
      <c r="F100" s="8" t="s">
        <v>185</v>
      </c>
      <c r="G100" s="8" t="s">
        <v>164</v>
      </c>
      <c r="H100" s="8">
        <v>14.0</v>
      </c>
      <c r="I100" s="8"/>
      <c r="J100" s="8"/>
      <c r="K100" s="35" t="s">
        <v>36</v>
      </c>
      <c r="L100" s="8"/>
      <c r="M100" s="8"/>
      <c r="N100" s="8"/>
      <c r="O100" s="8"/>
      <c r="P100" s="8"/>
      <c r="Q100" s="15">
        <v>1000.0</v>
      </c>
      <c r="R100" s="15">
        <f>CARPETA!$Q100*CARPETA!$E100</f>
        <v>1000</v>
      </c>
      <c r="S100" s="15">
        <f>CARPETA!$R100*16%</f>
        <v>160</v>
      </c>
      <c r="T100" s="15">
        <f>CARPETA!$R100+CARPETA!$S100</f>
        <v>1160</v>
      </c>
      <c r="U100" s="8" t="s">
        <v>161</v>
      </c>
      <c r="V100" s="17" t="s">
        <v>44</v>
      </c>
      <c r="W100" s="52" t="s">
        <v>175</v>
      </c>
    </row>
    <row r="101" ht="15.75" hidden="1" customHeight="1">
      <c r="A101" s="6">
        <v>25.0</v>
      </c>
      <c r="B101" s="6"/>
      <c r="C101" s="8">
        <v>5718.0</v>
      </c>
      <c r="D101" s="9">
        <v>46188.0</v>
      </c>
      <c r="E101" s="8">
        <v>1.0</v>
      </c>
      <c r="F101" s="8" t="s">
        <v>185</v>
      </c>
      <c r="G101" s="8" t="s">
        <v>105</v>
      </c>
      <c r="H101" s="8">
        <v>14.0</v>
      </c>
      <c r="I101" s="8"/>
      <c r="J101" s="8"/>
      <c r="K101" s="35" t="s">
        <v>36</v>
      </c>
      <c r="L101" s="8"/>
      <c r="M101" s="8"/>
      <c r="N101" s="8"/>
      <c r="O101" s="8"/>
      <c r="P101" s="8"/>
      <c r="Q101" s="15">
        <v>1000.0</v>
      </c>
      <c r="R101" s="15">
        <f>CARPETA!$Q101*CARPETA!$E101</f>
        <v>1000</v>
      </c>
      <c r="S101" s="15">
        <f>CARPETA!$R101*16%</f>
        <v>160</v>
      </c>
      <c r="T101" s="15">
        <f>CARPETA!$R101+CARPETA!$S101</f>
        <v>1160</v>
      </c>
      <c r="U101" s="8" t="s">
        <v>161</v>
      </c>
      <c r="V101" s="17" t="s">
        <v>44</v>
      </c>
      <c r="W101" s="52" t="s">
        <v>175</v>
      </c>
    </row>
    <row r="102" ht="15.75" hidden="1" customHeight="1">
      <c r="A102" s="6">
        <v>25.0</v>
      </c>
      <c r="B102" s="61">
        <v>1.0</v>
      </c>
      <c r="C102" s="8" t="s">
        <v>72</v>
      </c>
      <c r="D102" s="9">
        <v>46188.0</v>
      </c>
      <c r="E102" s="8">
        <v>1.0</v>
      </c>
      <c r="F102" s="8" t="s">
        <v>73</v>
      </c>
      <c r="G102" s="8" t="s">
        <v>98</v>
      </c>
      <c r="H102" s="8">
        <v>10.0</v>
      </c>
      <c r="I102" s="8"/>
      <c r="J102" s="8" t="s">
        <v>186</v>
      </c>
      <c r="K102" s="35" t="s">
        <v>36</v>
      </c>
      <c r="L102" s="62">
        <v>0.0</v>
      </c>
      <c r="M102" s="62">
        <v>0.0</v>
      </c>
      <c r="N102" s="8"/>
      <c r="O102" s="8"/>
      <c r="P102" s="63" t="s">
        <v>187</v>
      </c>
      <c r="Q102" s="15">
        <v>4500.0</v>
      </c>
      <c r="R102" s="15">
        <f>CARPETA!$Q102*CARPETA!$E102</f>
        <v>4500</v>
      </c>
      <c r="S102" s="15">
        <f>CARPETA!$R102*16%</f>
        <v>720</v>
      </c>
      <c r="T102" s="15">
        <f>CARPETA!$R102+CARPETA!$S102</f>
        <v>5220</v>
      </c>
      <c r="U102" s="8" t="s">
        <v>161</v>
      </c>
      <c r="V102" s="17" t="s">
        <v>44</v>
      </c>
      <c r="W102" s="52" t="s">
        <v>175</v>
      </c>
    </row>
    <row r="103" ht="15.75" hidden="1" customHeight="1">
      <c r="A103" s="6">
        <v>25.0</v>
      </c>
      <c r="B103" s="6">
        <v>1.0</v>
      </c>
      <c r="C103" s="8">
        <v>5719.0</v>
      </c>
      <c r="D103" s="9">
        <v>46189.0</v>
      </c>
      <c r="E103" s="8">
        <v>1.0</v>
      </c>
      <c r="F103" s="8" t="s">
        <v>157</v>
      </c>
      <c r="G103" s="8" t="s">
        <v>188</v>
      </c>
      <c r="H103" s="6">
        <v>14.0</v>
      </c>
      <c r="I103" s="8"/>
      <c r="J103" s="8" t="s">
        <v>106</v>
      </c>
      <c r="K103" s="35" t="s">
        <v>36</v>
      </c>
      <c r="L103" s="64">
        <v>34360.0</v>
      </c>
      <c r="M103" s="64">
        <f>CARPETA!$L103-30</f>
        <v>34330</v>
      </c>
      <c r="N103" s="65" t="s">
        <v>189</v>
      </c>
      <c r="O103" s="8"/>
      <c r="P103" s="8"/>
      <c r="Q103" s="15">
        <v>4205.0</v>
      </c>
      <c r="R103" s="15">
        <f>CARPETA!$Q103*CARPETA!$E103</f>
        <v>4205</v>
      </c>
      <c r="S103" s="15">
        <f>CARPETA!$R103*16%</f>
        <v>672.8</v>
      </c>
      <c r="T103" s="15">
        <f>CARPETA!$R103+CARPETA!$S103</f>
        <v>4877.8</v>
      </c>
      <c r="U103" s="8" t="s">
        <v>161</v>
      </c>
      <c r="V103" s="17" t="s">
        <v>44</v>
      </c>
      <c r="W103" s="52" t="s">
        <v>175</v>
      </c>
    </row>
    <row r="104" ht="15.75" hidden="1" customHeight="1">
      <c r="A104" s="6">
        <v>25.0</v>
      </c>
      <c r="B104" s="6">
        <v>2.0</v>
      </c>
      <c r="C104" s="8">
        <v>5720.0</v>
      </c>
      <c r="D104" s="9">
        <v>46189.0</v>
      </c>
      <c r="E104" s="8">
        <v>1.0</v>
      </c>
      <c r="F104" s="8" t="s">
        <v>157</v>
      </c>
      <c r="G104" s="8" t="s">
        <v>167</v>
      </c>
      <c r="H104" s="6">
        <v>14.0</v>
      </c>
      <c r="I104" s="8"/>
      <c r="J104" s="8" t="s">
        <v>190</v>
      </c>
      <c r="K104" s="35" t="s">
        <v>36</v>
      </c>
      <c r="L104" s="64">
        <f t="shared" ref="L104:L108" si="1">M103</f>
        <v>34330</v>
      </c>
      <c r="M104" s="64">
        <f>CARPETA!$L104-35</f>
        <v>34295</v>
      </c>
      <c r="N104" s="65" t="s">
        <v>189</v>
      </c>
      <c r="O104" s="8"/>
      <c r="P104" s="8"/>
      <c r="Q104" s="15">
        <v>4205.0</v>
      </c>
      <c r="R104" s="15">
        <f>CARPETA!$Q104*CARPETA!$E104</f>
        <v>4205</v>
      </c>
      <c r="S104" s="15">
        <f>CARPETA!$R104*16%</f>
        <v>672.8</v>
      </c>
      <c r="T104" s="15">
        <f>CARPETA!$R104+CARPETA!$S104</f>
        <v>4877.8</v>
      </c>
      <c r="U104" s="8" t="s">
        <v>161</v>
      </c>
      <c r="V104" s="17" t="s">
        <v>44</v>
      </c>
      <c r="W104" s="52" t="s">
        <v>175</v>
      </c>
    </row>
    <row r="105" ht="15.75" hidden="1" customHeight="1">
      <c r="A105" s="6">
        <v>25.0</v>
      </c>
      <c r="B105" s="6">
        <v>3.0</v>
      </c>
      <c r="C105" s="8">
        <v>5721.0</v>
      </c>
      <c r="D105" s="9">
        <v>46189.0</v>
      </c>
      <c r="E105" s="8">
        <v>1.0</v>
      </c>
      <c r="F105" s="8" t="s">
        <v>157</v>
      </c>
      <c r="G105" s="8" t="s">
        <v>191</v>
      </c>
      <c r="H105" s="6">
        <v>14.0</v>
      </c>
      <c r="I105" s="8"/>
      <c r="J105" s="8" t="s">
        <v>173</v>
      </c>
      <c r="K105" s="35" t="s">
        <v>36</v>
      </c>
      <c r="L105" s="62">
        <f t="shared" si="1"/>
        <v>34295</v>
      </c>
      <c r="M105" s="62">
        <f>CARPETA!$L105-38</f>
        <v>34257</v>
      </c>
      <c r="N105" s="65" t="s">
        <v>189</v>
      </c>
      <c r="O105" s="8"/>
      <c r="P105" s="8"/>
      <c r="Q105" s="15">
        <v>4205.0</v>
      </c>
      <c r="R105" s="15">
        <f>CARPETA!$Q105*CARPETA!$E105</f>
        <v>4205</v>
      </c>
      <c r="S105" s="15">
        <f>CARPETA!$R105*16%</f>
        <v>672.8</v>
      </c>
      <c r="T105" s="15">
        <f>CARPETA!$R105+CARPETA!$S105</f>
        <v>4877.8</v>
      </c>
      <c r="U105" s="8" t="s">
        <v>161</v>
      </c>
      <c r="V105" s="17" t="s">
        <v>44</v>
      </c>
      <c r="W105" s="52" t="s">
        <v>175</v>
      </c>
    </row>
    <row r="106" ht="15.75" hidden="1" customHeight="1">
      <c r="A106" s="6">
        <v>25.0</v>
      </c>
      <c r="B106" s="6">
        <v>4.0</v>
      </c>
      <c r="C106" s="8">
        <v>5722.0</v>
      </c>
      <c r="D106" s="9">
        <v>46189.0</v>
      </c>
      <c r="E106" s="8">
        <v>1.0</v>
      </c>
      <c r="F106" s="8" t="s">
        <v>157</v>
      </c>
      <c r="G106" s="8" t="s">
        <v>192</v>
      </c>
      <c r="H106" s="6">
        <v>14.0</v>
      </c>
      <c r="I106" s="8"/>
      <c r="J106" s="8" t="s">
        <v>41</v>
      </c>
      <c r="K106" s="35" t="s">
        <v>36</v>
      </c>
      <c r="L106" s="62">
        <f t="shared" si="1"/>
        <v>34257</v>
      </c>
      <c r="M106" s="62">
        <f>CARPETA!$L106-35</f>
        <v>34222</v>
      </c>
      <c r="N106" s="65" t="s">
        <v>189</v>
      </c>
      <c r="O106" s="8"/>
      <c r="P106" s="8"/>
      <c r="Q106" s="15">
        <v>4205.0</v>
      </c>
      <c r="R106" s="15">
        <f>CARPETA!$Q106*CARPETA!$E106</f>
        <v>4205</v>
      </c>
      <c r="S106" s="15">
        <f>CARPETA!$R106*16%</f>
        <v>672.8</v>
      </c>
      <c r="T106" s="15">
        <f>CARPETA!$R106+CARPETA!$S106</f>
        <v>4877.8</v>
      </c>
      <c r="U106" s="8" t="s">
        <v>161</v>
      </c>
      <c r="V106" s="17" t="s">
        <v>44</v>
      </c>
      <c r="W106" s="52" t="s">
        <v>175</v>
      </c>
    </row>
    <row r="107" ht="15.75" hidden="1" customHeight="1">
      <c r="A107" s="6">
        <v>25.0</v>
      </c>
      <c r="B107" s="6">
        <v>5.0</v>
      </c>
      <c r="C107" s="8">
        <v>5723.0</v>
      </c>
      <c r="D107" s="9">
        <v>46189.0</v>
      </c>
      <c r="E107" s="8">
        <v>1.0</v>
      </c>
      <c r="F107" s="8" t="s">
        <v>157</v>
      </c>
      <c r="G107" s="8" t="s">
        <v>168</v>
      </c>
      <c r="H107" s="6">
        <v>14.0</v>
      </c>
      <c r="I107" s="8"/>
      <c r="J107" s="8" t="s">
        <v>89</v>
      </c>
      <c r="K107" s="35" t="s">
        <v>36</v>
      </c>
      <c r="L107" s="62">
        <f t="shared" si="1"/>
        <v>34222</v>
      </c>
      <c r="M107" s="62">
        <f>CARPETA!$L107-30</f>
        <v>34192</v>
      </c>
      <c r="N107" s="65" t="s">
        <v>189</v>
      </c>
      <c r="O107" s="8"/>
      <c r="P107" s="8"/>
      <c r="Q107" s="15">
        <v>4205.0</v>
      </c>
      <c r="R107" s="15">
        <f>CARPETA!$Q107*CARPETA!$E107</f>
        <v>4205</v>
      </c>
      <c r="S107" s="15">
        <f>CARPETA!$R107*16%</f>
        <v>672.8</v>
      </c>
      <c r="T107" s="15">
        <f>CARPETA!$R107+CARPETA!$S107</f>
        <v>4877.8</v>
      </c>
      <c r="U107" s="8" t="s">
        <v>161</v>
      </c>
      <c r="V107" s="17" t="s">
        <v>44</v>
      </c>
      <c r="W107" s="52" t="s">
        <v>175</v>
      </c>
    </row>
    <row r="108" ht="15.75" hidden="1" customHeight="1">
      <c r="A108" s="6">
        <v>25.0</v>
      </c>
      <c r="B108" s="6">
        <v>6.0</v>
      </c>
      <c r="C108" s="8">
        <v>5724.0</v>
      </c>
      <c r="D108" s="9">
        <v>46189.0</v>
      </c>
      <c r="E108" s="8">
        <v>1.0</v>
      </c>
      <c r="F108" s="8" t="s">
        <v>157</v>
      </c>
      <c r="G108" s="8" t="s">
        <v>162</v>
      </c>
      <c r="H108" s="6">
        <v>14.0</v>
      </c>
      <c r="I108" s="8"/>
      <c r="J108" s="8" t="s">
        <v>83</v>
      </c>
      <c r="K108" s="35" t="s">
        <v>36</v>
      </c>
      <c r="L108" s="62">
        <f t="shared" si="1"/>
        <v>34192</v>
      </c>
      <c r="M108" s="62">
        <f>CARPETA!$L108-32</f>
        <v>34160</v>
      </c>
      <c r="N108" s="65" t="s">
        <v>189</v>
      </c>
      <c r="O108" s="8"/>
      <c r="P108" s="8"/>
      <c r="Q108" s="15">
        <v>4205.0</v>
      </c>
      <c r="R108" s="15">
        <f>CARPETA!$Q108*CARPETA!$E108</f>
        <v>4205</v>
      </c>
      <c r="S108" s="15">
        <f>CARPETA!$R108*16%</f>
        <v>672.8</v>
      </c>
      <c r="T108" s="15">
        <f>CARPETA!$R108+CARPETA!$S108</f>
        <v>4877.8</v>
      </c>
      <c r="U108" s="8" t="s">
        <v>161</v>
      </c>
      <c r="V108" s="17" t="s">
        <v>44</v>
      </c>
      <c r="W108" s="52"/>
    </row>
    <row r="109" ht="15.75" hidden="1" customHeight="1">
      <c r="A109" s="6">
        <v>25.0</v>
      </c>
      <c r="B109" s="6">
        <v>7.0</v>
      </c>
      <c r="C109" s="8">
        <v>5725.0</v>
      </c>
      <c r="D109" s="9">
        <v>46189.0</v>
      </c>
      <c r="E109" s="8">
        <v>1.0</v>
      </c>
      <c r="F109" s="8" t="s">
        <v>157</v>
      </c>
      <c r="G109" s="8" t="s">
        <v>193</v>
      </c>
      <c r="H109" s="6">
        <v>14.0</v>
      </c>
      <c r="I109" s="8"/>
      <c r="J109" s="8" t="s">
        <v>81</v>
      </c>
      <c r="K109" s="35" t="s">
        <v>36</v>
      </c>
      <c r="L109" s="62">
        <v>35000.0</v>
      </c>
      <c r="M109" s="62">
        <f>CARPETA!$L109-35</f>
        <v>34965</v>
      </c>
      <c r="N109" s="65" t="s">
        <v>189</v>
      </c>
      <c r="O109" s="8"/>
      <c r="P109" s="8"/>
      <c r="Q109" s="15">
        <v>4205.0</v>
      </c>
      <c r="R109" s="15">
        <f>CARPETA!$Q109*CARPETA!$E109</f>
        <v>4205</v>
      </c>
      <c r="S109" s="15">
        <f>CARPETA!$R109*16%</f>
        <v>672.8</v>
      </c>
      <c r="T109" s="15">
        <f>CARPETA!$R109+CARPETA!$S109</f>
        <v>4877.8</v>
      </c>
      <c r="U109" s="8" t="s">
        <v>161</v>
      </c>
      <c r="V109" s="17" t="s">
        <v>44</v>
      </c>
      <c r="W109" s="52"/>
    </row>
    <row r="110" ht="15.75" customHeight="1">
      <c r="A110" s="6">
        <v>25.0</v>
      </c>
      <c r="B110" s="6">
        <v>8.0</v>
      </c>
      <c r="C110" s="39">
        <v>5726.0</v>
      </c>
      <c r="D110" s="40">
        <v>46189.0</v>
      </c>
      <c r="E110" s="8">
        <v>1.0</v>
      </c>
      <c r="F110" s="8" t="s">
        <v>31</v>
      </c>
      <c r="G110" s="8" t="s">
        <v>194</v>
      </c>
      <c r="H110" s="6">
        <v>14.0</v>
      </c>
      <c r="I110" s="8" t="s">
        <v>34</v>
      </c>
      <c r="J110" s="8" t="s">
        <v>195</v>
      </c>
      <c r="K110" s="35" t="s">
        <v>50</v>
      </c>
      <c r="L110" s="62">
        <f t="shared" ref="L110:L119" si="2">M109</f>
        <v>34965</v>
      </c>
      <c r="M110" s="62">
        <f>CARPETA!$L110-38</f>
        <v>34927</v>
      </c>
      <c r="N110" s="65" t="s">
        <v>189</v>
      </c>
      <c r="O110" s="8"/>
      <c r="P110" s="35" t="s">
        <v>109</v>
      </c>
      <c r="Q110" s="41">
        <v>5900.0</v>
      </c>
      <c r="R110" s="15">
        <f>CARPETA!$Q110*CARPETA!$E110</f>
        <v>5900</v>
      </c>
      <c r="S110" s="15">
        <f>CARPETA!$R110*16%</f>
        <v>944</v>
      </c>
      <c r="T110" s="15">
        <f>CARPETA!$R110+CARPETA!$S110</f>
        <v>6844</v>
      </c>
      <c r="U110" s="35" t="s">
        <v>110</v>
      </c>
      <c r="V110" s="15"/>
      <c r="W110" s="15"/>
    </row>
    <row r="111" ht="15.75" customHeight="1">
      <c r="A111" s="6">
        <v>25.0</v>
      </c>
      <c r="B111" s="6">
        <v>9.0</v>
      </c>
      <c r="C111" s="39">
        <v>5727.0</v>
      </c>
      <c r="D111" s="40">
        <v>46189.0</v>
      </c>
      <c r="E111" s="8">
        <v>1.0</v>
      </c>
      <c r="F111" s="8" t="s">
        <v>31</v>
      </c>
      <c r="G111" s="8" t="s">
        <v>196</v>
      </c>
      <c r="H111" s="6">
        <v>14.0</v>
      </c>
      <c r="I111" s="8" t="s">
        <v>34</v>
      </c>
      <c r="J111" s="8" t="s">
        <v>197</v>
      </c>
      <c r="K111" s="35" t="s">
        <v>50</v>
      </c>
      <c r="L111" s="62">
        <f t="shared" si="2"/>
        <v>34927</v>
      </c>
      <c r="M111" s="62">
        <f>CARPETA!$L111-35</f>
        <v>34892</v>
      </c>
      <c r="N111" s="65" t="s">
        <v>189</v>
      </c>
      <c r="O111" s="8"/>
      <c r="P111" s="35" t="s">
        <v>109</v>
      </c>
      <c r="Q111" s="41">
        <v>5900.0</v>
      </c>
      <c r="R111" s="15">
        <f>CARPETA!$Q111*CARPETA!$E111</f>
        <v>5900</v>
      </c>
      <c r="S111" s="15">
        <f>CARPETA!$R111*16%</f>
        <v>944</v>
      </c>
      <c r="T111" s="15">
        <f>CARPETA!$R111+CARPETA!$S111</f>
        <v>6844</v>
      </c>
      <c r="U111" s="35" t="s">
        <v>110</v>
      </c>
      <c r="V111" s="15"/>
      <c r="W111" s="15"/>
    </row>
    <row r="112" ht="15.75" customHeight="1">
      <c r="A112" s="6">
        <v>25.0</v>
      </c>
      <c r="B112" s="6">
        <v>10.0</v>
      </c>
      <c r="C112" s="39">
        <v>5728.0</v>
      </c>
      <c r="D112" s="40">
        <v>46189.0</v>
      </c>
      <c r="E112" s="8">
        <v>1.0</v>
      </c>
      <c r="F112" s="8" t="s">
        <v>31</v>
      </c>
      <c r="G112" s="8" t="s">
        <v>199</v>
      </c>
      <c r="H112" s="6">
        <v>14.0</v>
      </c>
      <c r="I112" s="8" t="s">
        <v>34</v>
      </c>
      <c r="J112" s="8" t="s">
        <v>200</v>
      </c>
      <c r="K112" s="35" t="s">
        <v>50</v>
      </c>
      <c r="L112" s="62">
        <f t="shared" si="2"/>
        <v>34892</v>
      </c>
      <c r="M112" s="62">
        <f>CARPETA!$L112-35</f>
        <v>34857</v>
      </c>
      <c r="N112" s="65" t="s">
        <v>189</v>
      </c>
      <c r="O112" s="8"/>
      <c r="P112" s="35" t="s">
        <v>109</v>
      </c>
      <c r="Q112" s="41">
        <v>5900.0</v>
      </c>
      <c r="R112" s="15">
        <f>CARPETA!$Q112*CARPETA!$E112</f>
        <v>5900</v>
      </c>
      <c r="S112" s="15">
        <f>CARPETA!$R112*16%</f>
        <v>944</v>
      </c>
      <c r="T112" s="15">
        <f>CARPETA!$R112+CARPETA!$S112</f>
        <v>6844</v>
      </c>
      <c r="U112" s="35" t="s">
        <v>110</v>
      </c>
      <c r="V112" s="15"/>
      <c r="W112" s="15"/>
    </row>
    <row r="113" ht="15.75" customHeight="1">
      <c r="A113" s="6">
        <v>25.0</v>
      </c>
      <c r="B113" s="6">
        <v>11.0</v>
      </c>
      <c r="C113" s="39">
        <v>5729.0</v>
      </c>
      <c r="D113" s="40">
        <v>46189.0</v>
      </c>
      <c r="E113" s="8">
        <v>1.0</v>
      </c>
      <c r="F113" s="8" t="s">
        <v>31</v>
      </c>
      <c r="G113" s="8" t="s">
        <v>201</v>
      </c>
      <c r="H113" s="6">
        <v>14.0</v>
      </c>
      <c r="I113" s="8" t="s">
        <v>34</v>
      </c>
      <c r="J113" s="8" t="s">
        <v>202</v>
      </c>
      <c r="K113" s="35" t="s">
        <v>50</v>
      </c>
      <c r="L113" s="62">
        <f t="shared" si="2"/>
        <v>34857</v>
      </c>
      <c r="M113" s="62">
        <f>CARPETA!$L113-39</f>
        <v>34818</v>
      </c>
      <c r="N113" s="65" t="s">
        <v>189</v>
      </c>
      <c r="O113" s="8"/>
      <c r="P113" s="35" t="s">
        <v>109</v>
      </c>
      <c r="Q113" s="41">
        <v>5900.0</v>
      </c>
      <c r="R113" s="15">
        <f>CARPETA!$Q113*CARPETA!$E113</f>
        <v>5900</v>
      </c>
      <c r="S113" s="15">
        <f>CARPETA!$R113*16%</f>
        <v>944</v>
      </c>
      <c r="T113" s="15">
        <f>CARPETA!$R113+CARPETA!$S113</f>
        <v>6844</v>
      </c>
      <c r="U113" s="35" t="s">
        <v>110</v>
      </c>
      <c r="V113" s="15"/>
      <c r="W113" s="15"/>
    </row>
    <row r="114" ht="15.75" customHeight="1">
      <c r="A114" s="6">
        <v>25.0</v>
      </c>
      <c r="B114" s="6">
        <v>12.0</v>
      </c>
      <c r="C114" s="39">
        <v>5730.0</v>
      </c>
      <c r="D114" s="40">
        <v>46189.0</v>
      </c>
      <c r="E114" s="8">
        <v>1.0</v>
      </c>
      <c r="F114" s="8" t="s">
        <v>31</v>
      </c>
      <c r="G114" s="8" t="s">
        <v>203</v>
      </c>
      <c r="H114" s="6">
        <v>14.0</v>
      </c>
      <c r="I114" s="8" t="s">
        <v>34</v>
      </c>
      <c r="J114" s="8" t="s">
        <v>204</v>
      </c>
      <c r="K114" s="35" t="s">
        <v>50</v>
      </c>
      <c r="L114" s="62">
        <f t="shared" si="2"/>
        <v>34818</v>
      </c>
      <c r="M114" s="62">
        <f>CARPETA!$L114-35</f>
        <v>34783</v>
      </c>
      <c r="N114" s="65" t="s">
        <v>189</v>
      </c>
      <c r="O114" s="8"/>
      <c r="P114" s="35" t="s">
        <v>109</v>
      </c>
      <c r="Q114" s="41">
        <v>5900.0</v>
      </c>
      <c r="R114" s="15">
        <f>CARPETA!$Q114*CARPETA!$E114</f>
        <v>5900</v>
      </c>
      <c r="S114" s="15">
        <f>CARPETA!$R114*16%</f>
        <v>944</v>
      </c>
      <c r="T114" s="15">
        <f>CARPETA!$R114+CARPETA!$S114</f>
        <v>6844</v>
      </c>
      <c r="U114" s="35" t="s">
        <v>110</v>
      </c>
      <c r="V114" s="15"/>
      <c r="W114" s="15"/>
    </row>
    <row r="115" ht="15.75" customHeight="1">
      <c r="A115" s="6">
        <v>25.0</v>
      </c>
      <c r="B115" s="6">
        <v>13.0</v>
      </c>
      <c r="C115" s="39">
        <v>5731.0</v>
      </c>
      <c r="D115" s="40">
        <v>46189.0</v>
      </c>
      <c r="E115" s="8">
        <v>1.0</v>
      </c>
      <c r="F115" s="8" t="s">
        <v>31</v>
      </c>
      <c r="G115" s="8" t="s">
        <v>205</v>
      </c>
      <c r="H115" s="6">
        <v>14.0</v>
      </c>
      <c r="I115" s="8" t="s">
        <v>34</v>
      </c>
      <c r="J115" s="8" t="s">
        <v>122</v>
      </c>
      <c r="K115" s="35" t="s">
        <v>50</v>
      </c>
      <c r="L115" s="62">
        <f t="shared" si="2"/>
        <v>34783</v>
      </c>
      <c r="M115" s="62">
        <f>CARPETA!$L115-35</f>
        <v>34748</v>
      </c>
      <c r="N115" s="65" t="s">
        <v>189</v>
      </c>
      <c r="O115" s="8"/>
      <c r="P115" s="35" t="s">
        <v>109</v>
      </c>
      <c r="Q115" s="41">
        <v>5900.0</v>
      </c>
      <c r="R115" s="15">
        <f>CARPETA!$Q115*CARPETA!$E115</f>
        <v>5900</v>
      </c>
      <c r="S115" s="15">
        <f>CARPETA!$R115*16%</f>
        <v>944</v>
      </c>
      <c r="T115" s="15">
        <f>CARPETA!$R115+CARPETA!$S115</f>
        <v>6844</v>
      </c>
      <c r="U115" s="35" t="s">
        <v>110</v>
      </c>
      <c r="V115" s="15"/>
      <c r="W115" s="15"/>
    </row>
    <row r="116" ht="15.75" customHeight="1">
      <c r="A116" s="6">
        <v>25.0</v>
      </c>
      <c r="B116" s="6">
        <v>14.0</v>
      </c>
      <c r="C116" s="39">
        <v>5732.0</v>
      </c>
      <c r="D116" s="40">
        <v>46189.0</v>
      </c>
      <c r="E116" s="8">
        <v>1.0</v>
      </c>
      <c r="F116" s="8" t="s">
        <v>31</v>
      </c>
      <c r="G116" s="8" t="s">
        <v>207</v>
      </c>
      <c r="H116" s="6">
        <v>14.0</v>
      </c>
      <c r="I116" s="8" t="s">
        <v>34</v>
      </c>
      <c r="J116" s="8" t="s">
        <v>208</v>
      </c>
      <c r="K116" s="35" t="s">
        <v>50</v>
      </c>
      <c r="L116" s="62">
        <f t="shared" si="2"/>
        <v>34748</v>
      </c>
      <c r="M116" s="62">
        <f>CARPETA!$L116-40</f>
        <v>34708</v>
      </c>
      <c r="N116" s="65" t="s">
        <v>189</v>
      </c>
      <c r="O116" s="8"/>
      <c r="P116" s="35" t="s">
        <v>109</v>
      </c>
      <c r="Q116" s="41">
        <v>5900.0</v>
      </c>
      <c r="R116" s="15">
        <f>CARPETA!$Q116*CARPETA!$E116</f>
        <v>5900</v>
      </c>
      <c r="S116" s="15">
        <f>CARPETA!$R116*16%</f>
        <v>944</v>
      </c>
      <c r="T116" s="15">
        <f>CARPETA!$R116+CARPETA!$S116</f>
        <v>6844</v>
      </c>
      <c r="U116" s="35" t="s">
        <v>110</v>
      </c>
      <c r="V116" s="15"/>
      <c r="W116" s="15"/>
    </row>
    <row r="117" ht="15.75" customHeight="1">
      <c r="A117" s="6">
        <v>25.0</v>
      </c>
      <c r="B117" s="6">
        <v>15.0</v>
      </c>
      <c r="C117" s="39">
        <v>5733.0</v>
      </c>
      <c r="D117" s="40">
        <v>46189.0</v>
      </c>
      <c r="E117" s="8">
        <v>1.0</v>
      </c>
      <c r="F117" s="8" t="s">
        <v>31</v>
      </c>
      <c r="G117" s="8" t="s">
        <v>209</v>
      </c>
      <c r="H117" s="6">
        <v>14.0</v>
      </c>
      <c r="I117" s="8" t="s">
        <v>34</v>
      </c>
      <c r="J117" s="8" t="s">
        <v>210</v>
      </c>
      <c r="K117" s="35" t="s">
        <v>50</v>
      </c>
      <c r="L117" s="62">
        <f t="shared" si="2"/>
        <v>34708</v>
      </c>
      <c r="M117" s="62">
        <f>CARPETA!$L117-35</f>
        <v>34673</v>
      </c>
      <c r="N117" s="65" t="s">
        <v>189</v>
      </c>
      <c r="O117" s="8"/>
      <c r="P117" s="35" t="s">
        <v>109</v>
      </c>
      <c r="Q117" s="41">
        <v>5900.0</v>
      </c>
      <c r="R117" s="15">
        <f>CARPETA!$Q117*CARPETA!$E117</f>
        <v>5900</v>
      </c>
      <c r="S117" s="15">
        <f>CARPETA!$R117*16%</f>
        <v>944</v>
      </c>
      <c r="T117" s="15">
        <f>CARPETA!$R117+CARPETA!$S117</f>
        <v>6844</v>
      </c>
      <c r="U117" s="35" t="s">
        <v>110</v>
      </c>
      <c r="V117" s="15"/>
      <c r="W117" s="15"/>
    </row>
    <row r="118" ht="15.75" customHeight="1">
      <c r="A118" s="6">
        <v>25.0</v>
      </c>
      <c r="B118" s="6">
        <v>16.0</v>
      </c>
      <c r="C118" s="39">
        <v>5734.0</v>
      </c>
      <c r="D118" s="40">
        <v>46189.0</v>
      </c>
      <c r="E118" s="8">
        <v>1.0</v>
      </c>
      <c r="F118" s="8" t="s">
        <v>31</v>
      </c>
      <c r="G118" s="8" t="s">
        <v>211</v>
      </c>
      <c r="H118" s="6">
        <v>14.0</v>
      </c>
      <c r="I118" s="8" t="s">
        <v>34</v>
      </c>
      <c r="J118" s="8" t="s">
        <v>212</v>
      </c>
      <c r="K118" s="35" t="s">
        <v>50</v>
      </c>
      <c r="L118" s="62">
        <f t="shared" si="2"/>
        <v>34673</v>
      </c>
      <c r="M118" s="62">
        <f>CARPETA!$L118-36</f>
        <v>34637</v>
      </c>
      <c r="N118" s="65" t="s">
        <v>189</v>
      </c>
      <c r="O118" s="8"/>
      <c r="P118" s="35" t="s">
        <v>109</v>
      </c>
      <c r="Q118" s="41">
        <v>5900.0</v>
      </c>
      <c r="R118" s="15">
        <f>CARPETA!$Q118*CARPETA!$E118</f>
        <v>5900</v>
      </c>
      <c r="S118" s="15">
        <f>CARPETA!$R118*16%</f>
        <v>944</v>
      </c>
      <c r="T118" s="15">
        <f>CARPETA!$R118+CARPETA!$S118</f>
        <v>6844</v>
      </c>
      <c r="U118" s="35" t="s">
        <v>110</v>
      </c>
      <c r="V118" s="15"/>
      <c r="W118" s="15"/>
    </row>
    <row r="119" ht="15.75" customHeight="1">
      <c r="A119" s="6">
        <v>25.0</v>
      </c>
      <c r="B119" s="6">
        <v>17.0</v>
      </c>
      <c r="C119" s="39">
        <v>5735.0</v>
      </c>
      <c r="D119" s="40">
        <v>46189.0</v>
      </c>
      <c r="E119" s="8">
        <v>1.0</v>
      </c>
      <c r="F119" s="8" t="s">
        <v>31</v>
      </c>
      <c r="G119" s="8" t="s">
        <v>213</v>
      </c>
      <c r="H119" s="6">
        <v>14.0</v>
      </c>
      <c r="I119" s="8" t="s">
        <v>34</v>
      </c>
      <c r="J119" s="8" t="s">
        <v>214</v>
      </c>
      <c r="K119" s="35" t="s">
        <v>50</v>
      </c>
      <c r="L119" s="62">
        <f t="shared" si="2"/>
        <v>34637</v>
      </c>
      <c r="M119" s="62">
        <f>CARPETA!$L119-37</f>
        <v>34600</v>
      </c>
      <c r="N119" s="65" t="s">
        <v>189</v>
      </c>
      <c r="O119" s="8"/>
      <c r="P119" s="35" t="s">
        <v>109</v>
      </c>
      <c r="Q119" s="41">
        <v>5900.0</v>
      </c>
      <c r="R119" s="15">
        <f>CARPETA!$Q119*CARPETA!$E119</f>
        <v>5900</v>
      </c>
      <c r="S119" s="15">
        <f>CARPETA!$R119*16%</f>
        <v>944</v>
      </c>
      <c r="T119" s="15">
        <f>CARPETA!$R119+CARPETA!$S119</f>
        <v>6844</v>
      </c>
      <c r="U119" s="35" t="s">
        <v>110</v>
      </c>
      <c r="V119" s="15"/>
      <c r="W119" s="15"/>
    </row>
    <row r="120" ht="15.75" hidden="1" customHeight="1">
      <c r="A120" s="6">
        <v>25.0</v>
      </c>
      <c r="B120" s="6"/>
      <c r="C120" s="8">
        <v>5736.0</v>
      </c>
      <c r="D120" s="9">
        <v>46189.0</v>
      </c>
      <c r="E120" s="8">
        <v>1.0</v>
      </c>
      <c r="F120" s="8" t="s">
        <v>185</v>
      </c>
      <c r="G120" s="8" t="s">
        <v>86</v>
      </c>
      <c r="H120" s="6">
        <v>14.0</v>
      </c>
      <c r="I120" s="8"/>
      <c r="J120" s="8"/>
      <c r="K120" s="35" t="s">
        <v>36</v>
      </c>
      <c r="L120" s="62"/>
      <c r="M120" s="62"/>
      <c r="N120" s="62"/>
      <c r="O120" s="8"/>
      <c r="P120" s="8"/>
      <c r="Q120" s="15">
        <v>1000.0</v>
      </c>
      <c r="R120" s="15">
        <f>CARPETA!$Q120*CARPETA!$E120</f>
        <v>1000</v>
      </c>
      <c r="S120" s="15">
        <f>CARPETA!$R120*16%</f>
        <v>160</v>
      </c>
      <c r="T120" s="15">
        <f>CARPETA!$R120+CARPETA!$S120</f>
        <v>1160</v>
      </c>
      <c r="U120" s="8" t="s">
        <v>161</v>
      </c>
      <c r="V120" s="17" t="s">
        <v>44</v>
      </c>
      <c r="W120" s="52" t="s">
        <v>175</v>
      </c>
    </row>
    <row r="121" ht="15.75" hidden="1" customHeight="1">
      <c r="A121" s="6">
        <v>25.0</v>
      </c>
      <c r="B121" s="61">
        <v>1.0</v>
      </c>
      <c r="C121" s="8" t="s">
        <v>72</v>
      </c>
      <c r="D121" s="9">
        <v>46189.0</v>
      </c>
      <c r="E121" s="8">
        <v>1.0</v>
      </c>
      <c r="F121" s="8" t="s">
        <v>73</v>
      </c>
      <c r="G121" s="8" t="s">
        <v>98</v>
      </c>
      <c r="H121" s="8">
        <v>10.0</v>
      </c>
      <c r="I121" s="8"/>
      <c r="J121" s="8" t="s">
        <v>186</v>
      </c>
      <c r="K121" s="35" t="s">
        <v>36</v>
      </c>
      <c r="L121" s="62">
        <v>0.0</v>
      </c>
      <c r="M121" s="62">
        <v>0.0</v>
      </c>
      <c r="N121" s="65" t="s">
        <v>189</v>
      </c>
      <c r="O121" s="8"/>
      <c r="P121" s="63" t="s">
        <v>187</v>
      </c>
      <c r="Q121" s="15">
        <v>4900.0</v>
      </c>
      <c r="R121" s="15">
        <f>CARPETA!$Q121*CARPETA!$E121</f>
        <v>4900</v>
      </c>
      <c r="S121" s="15">
        <f>CARPETA!$R121*16%</f>
        <v>784</v>
      </c>
      <c r="T121" s="15">
        <f>CARPETA!$R121+CARPETA!$S121</f>
        <v>5684</v>
      </c>
      <c r="U121" s="8" t="s">
        <v>161</v>
      </c>
      <c r="V121" s="17" t="s">
        <v>44</v>
      </c>
      <c r="W121" s="15"/>
    </row>
    <row r="122" ht="15.75" hidden="1" customHeight="1">
      <c r="A122" s="6">
        <v>25.0</v>
      </c>
      <c r="B122" s="6">
        <v>1.0</v>
      </c>
      <c r="C122" s="8">
        <v>5738.0</v>
      </c>
      <c r="D122" s="9">
        <v>46190.0</v>
      </c>
      <c r="E122" s="8">
        <v>1.0</v>
      </c>
      <c r="F122" s="8" t="s">
        <v>157</v>
      </c>
      <c r="G122" s="8" t="s">
        <v>167</v>
      </c>
      <c r="H122" s="6">
        <v>14.0</v>
      </c>
      <c r="I122" s="8"/>
      <c r="J122" s="8" t="s">
        <v>190</v>
      </c>
      <c r="K122" s="35" t="s">
        <v>36</v>
      </c>
      <c r="L122" s="62">
        <v>35000.0</v>
      </c>
      <c r="M122" s="62">
        <f>CARPETA!$L122-33</f>
        <v>34967</v>
      </c>
      <c r="N122" s="65" t="s">
        <v>189</v>
      </c>
      <c r="O122" s="8"/>
      <c r="P122" s="8"/>
      <c r="Q122" s="15">
        <v>4205.0</v>
      </c>
      <c r="R122" s="15">
        <f>CARPETA!$Q122*CARPETA!$E122</f>
        <v>4205</v>
      </c>
      <c r="S122" s="15">
        <f>CARPETA!$R122*16%</f>
        <v>672.8</v>
      </c>
      <c r="T122" s="15">
        <f>CARPETA!$R122+CARPETA!$S122</f>
        <v>4877.8</v>
      </c>
      <c r="U122" s="8" t="s">
        <v>161</v>
      </c>
      <c r="V122" s="17" t="s">
        <v>44</v>
      </c>
      <c r="W122" s="15"/>
    </row>
    <row r="123" ht="15.75" customHeight="1">
      <c r="A123" s="6">
        <v>25.0</v>
      </c>
      <c r="B123" s="6">
        <v>2.0</v>
      </c>
      <c r="C123" s="39">
        <v>5739.0</v>
      </c>
      <c r="D123" s="40">
        <v>46190.0</v>
      </c>
      <c r="E123" s="8">
        <v>1.0</v>
      </c>
      <c r="F123" s="8" t="s">
        <v>31</v>
      </c>
      <c r="G123" s="8" t="s">
        <v>194</v>
      </c>
      <c r="H123" s="6">
        <v>14.0</v>
      </c>
      <c r="I123" s="8" t="s">
        <v>34</v>
      </c>
      <c r="J123" s="8" t="s">
        <v>195</v>
      </c>
      <c r="K123" s="35" t="s">
        <v>50</v>
      </c>
      <c r="L123" s="62">
        <f t="shared" ref="L123:L129" si="3">M122</f>
        <v>34967</v>
      </c>
      <c r="M123" s="62">
        <f>CARPETA!$L123-35</f>
        <v>34932</v>
      </c>
      <c r="N123" s="65" t="s">
        <v>189</v>
      </c>
      <c r="O123" s="8"/>
      <c r="P123" s="35" t="s">
        <v>109</v>
      </c>
      <c r="Q123" s="41">
        <v>5900.0</v>
      </c>
      <c r="R123" s="15">
        <f>CARPETA!$Q123*CARPETA!$E123</f>
        <v>5900</v>
      </c>
      <c r="S123" s="15">
        <f>CARPETA!$R123*16%</f>
        <v>944</v>
      </c>
      <c r="T123" s="15">
        <f>CARPETA!$R123+CARPETA!$S123</f>
        <v>6844</v>
      </c>
      <c r="U123" s="35" t="s">
        <v>110</v>
      </c>
      <c r="V123" s="15"/>
      <c r="W123" s="15"/>
    </row>
    <row r="124" ht="15.75" hidden="1" customHeight="1">
      <c r="A124" s="6">
        <v>25.0</v>
      </c>
      <c r="B124" s="6">
        <v>3.0</v>
      </c>
      <c r="C124" s="8">
        <v>5740.0</v>
      </c>
      <c r="D124" s="9">
        <v>46190.0</v>
      </c>
      <c r="E124" s="8">
        <v>1.0</v>
      </c>
      <c r="F124" s="8" t="s">
        <v>157</v>
      </c>
      <c r="G124" s="8" t="s">
        <v>198</v>
      </c>
      <c r="H124" s="6">
        <v>14.0</v>
      </c>
      <c r="I124" s="8"/>
      <c r="J124" s="8" t="s">
        <v>106</v>
      </c>
      <c r="K124" s="35" t="s">
        <v>36</v>
      </c>
      <c r="L124" s="62">
        <f t="shared" si="3"/>
        <v>34932</v>
      </c>
      <c r="M124" s="62">
        <f>CARPETA!$L124-34</f>
        <v>34898</v>
      </c>
      <c r="N124" s="65" t="s">
        <v>189</v>
      </c>
      <c r="O124" s="8"/>
      <c r="P124" s="8"/>
      <c r="Q124" s="15">
        <v>4205.0</v>
      </c>
      <c r="R124" s="15">
        <f>CARPETA!$Q124*CARPETA!$E124</f>
        <v>4205</v>
      </c>
      <c r="S124" s="15">
        <f>CARPETA!$R124*16%</f>
        <v>672.8</v>
      </c>
      <c r="T124" s="15">
        <f>CARPETA!$R124+CARPETA!$S124</f>
        <v>4877.8</v>
      </c>
      <c r="U124" s="8" t="s">
        <v>161</v>
      </c>
      <c r="V124" s="17" t="s">
        <v>44</v>
      </c>
      <c r="W124" s="15"/>
    </row>
    <row r="125" ht="15.75" customHeight="1">
      <c r="A125" s="6">
        <v>25.0</v>
      </c>
      <c r="B125" s="6">
        <v>4.0</v>
      </c>
      <c r="C125" s="39">
        <v>5741.0</v>
      </c>
      <c r="D125" s="40">
        <v>46190.0</v>
      </c>
      <c r="E125" s="8">
        <v>1.0</v>
      </c>
      <c r="F125" s="8" t="s">
        <v>31</v>
      </c>
      <c r="G125" s="8" t="s">
        <v>209</v>
      </c>
      <c r="H125" s="6">
        <v>14.0</v>
      </c>
      <c r="I125" s="8" t="s">
        <v>34</v>
      </c>
      <c r="J125" s="8" t="s">
        <v>210</v>
      </c>
      <c r="K125" s="35" t="s">
        <v>50</v>
      </c>
      <c r="L125" s="62">
        <f t="shared" si="3"/>
        <v>34898</v>
      </c>
      <c r="M125" s="62">
        <f>CARPETA!$L125-37</f>
        <v>34861</v>
      </c>
      <c r="N125" s="65" t="s">
        <v>189</v>
      </c>
      <c r="O125" s="8"/>
      <c r="P125" s="35" t="s">
        <v>109</v>
      </c>
      <c r="Q125" s="41">
        <v>5900.0</v>
      </c>
      <c r="R125" s="15">
        <f>CARPETA!$Q125*CARPETA!$E125</f>
        <v>5900</v>
      </c>
      <c r="S125" s="15">
        <f>CARPETA!$R125*16%</f>
        <v>944</v>
      </c>
      <c r="T125" s="15">
        <f>CARPETA!$R125+CARPETA!$S125</f>
        <v>6844</v>
      </c>
      <c r="U125" s="35" t="s">
        <v>110</v>
      </c>
      <c r="V125" s="15"/>
      <c r="W125" s="15"/>
    </row>
    <row r="126" ht="15.75" customHeight="1">
      <c r="A126" s="6">
        <v>25.0</v>
      </c>
      <c r="B126" s="6">
        <v>5.0</v>
      </c>
      <c r="C126" s="39">
        <v>5742.0</v>
      </c>
      <c r="D126" s="40">
        <v>46190.0</v>
      </c>
      <c r="E126" s="8">
        <v>1.0</v>
      </c>
      <c r="F126" s="8" t="s">
        <v>31</v>
      </c>
      <c r="G126" s="8" t="s">
        <v>196</v>
      </c>
      <c r="H126" s="6">
        <v>14.0</v>
      </c>
      <c r="I126" s="8" t="s">
        <v>34</v>
      </c>
      <c r="J126" s="8" t="s">
        <v>197</v>
      </c>
      <c r="K126" s="35" t="s">
        <v>50</v>
      </c>
      <c r="L126" s="62">
        <f t="shared" si="3"/>
        <v>34861</v>
      </c>
      <c r="M126" s="62">
        <f>CARPETA!$L126-33</f>
        <v>34828</v>
      </c>
      <c r="N126" s="65" t="s">
        <v>189</v>
      </c>
      <c r="O126" s="8"/>
      <c r="P126" s="35" t="s">
        <v>109</v>
      </c>
      <c r="Q126" s="41">
        <v>5900.0</v>
      </c>
      <c r="R126" s="15">
        <f>CARPETA!$Q126*CARPETA!$E126</f>
        <v>5900</v>
      </c>
      <c r="S126" s="15">
        <f>CARPETA!$R126*16%</f>
        <v>944</v>
      </c>
      <c r="T126" s="15">
        <f>CARPETA!$R126+CARPETA!$S126</f>
        <v>6844</v>
      </c>
      <c r="U126" s="35" t="s">
        <v>110</v>
      </c>
      <c r="V126" s="15"/>
      <c r="W126" s="15"/>
    </row>
    <row r="127" ht="15.75" customHeight="1">
      <c r="A127" s="6">
        <v>25.0</v>
      </c>
      <c r="B127" s="6">
        <v>6.0</v>
      </c>
      <c r="C127" s="39">
        <v>5743.0</v>
      </c>
      <c r="D127" s="40">
        <v>46190.0</v>
      </c>
      <c r="E127" s="8">
        <v>1.0</v>
      </c>
      <c r="F127" s="8" t="s">
        <v>31</v>
      </c>
      <c r="G127" s="8" t="s">
        <v>226</v>
      </c>
      <c r="H127" s="6">
        <v>14.0</v>
      </c>
      <c r="I127" s="8" t="s">
        <v>34</v>
      </c>
      <c r="J127" s="8" t="s">
        <v>155</v>
      </c>
      <c r="K127" s="35" t="s">
        <v>50</v>
      </c>
      <c r="L127" s="62">
        <f t="shared" si="3"/>
        <v>34828</v>
      </c>
      <c r="M127" s="62">
        <f>CARPETA!$L127-36</f>
        <v>34792</v>
      </c>
      <c r="N127" s="65" t="s">
        <v>189</v>
      </c>
      <c r="O127" s="8"/>
      <c r="P127" s="35" t="s">
        <v>109</v>
      </c>
      <c r="Q127" s="41">
        <v>5900.0</v>
      </c>
      <c r="R127" s="15">
        <f>CARPETA!$Q127*CARPETA!$E127</f>
        <v>5900</v>
      </c>
      <c r="S127" s="15">
        <f>CARPETA!$R127*16%</f>
        <v>944</v>
      </c>
      <c r="T127" s="15">
        <f>CARPETA!$R127+CARPETA!$S127</f>
        <v>6844</v>
      </c>
      <c r="U127" s="35" t="s">
        <v>110</v>
      </c>
      <c r="V127" s="15"/>
      <c r="W127" s="15"/>
    </row>
    <row r="128" ht="15.75" customHeight="1">
      <c r="A128" s="6">
        <v>25.0</v>
      </c>
      <c r="B128" s="6">
        <v>7.0</v>
      </c>
      <c r="C128" s="39">
        <v>5744.0</v>
      </c>
      <c r="D128" s="40">
        <v>46190.0</v>
      </c>
      <c r="E128" s="8">
        <v>1.0</v>
      </c>
      <c r="F128" s="8" t="s">
        <v>31</v>
      </c>
      <c r="G128" s="8" t="s">
        <v>205</v>
      </c>
      <c r="H128" s="6">
        <v>14.0</v>
      </c>
      <c r="I128" s="8" t="s">
        <v>34</v>
      </c>
      <c r="J128" s="8" t="s">
        <v>122</v>
      </c>
      <c r="K128" s="35" t="s">
        <v>50</v>
      </c>
      <c r="L128" s="62">
        <f t="shared" si="3"/>
        <v>34792</v>
      </c>
      <c r="M128" s="62">
        <f>CARPETA!$L128-33</f>
        <v>34759</v>
      </c>
      <c r="N128" s="65" t="s">
        <v>189</v>
      </c>
      <c r="O128" s="8"/>
      <c r="P128" s="35" t="s">
        <v>109</v>
      </c>
      <c r="Q128" s="41">
        <v>5900.0</v>
      </c>
      <c r="R128" s="15">
        <f>CARPETA!$Q128*CARPETA!$E128</f>
        <v>5900</v>
      </c>
      <c r="S128" s="15">
        <f>CARPETA!$R128*16%</f>
        <v>944</v>
      </c>
      <c r="T128" s="15">
        <f>CARPETA!$R128+CARPETA!$S128</f>
        <v>6844</v>
      </c>
      <c r="U128" s="35" t="s">
        <v>110</v>
      </c>
      <c r="V128" s="15"/>
      <c r="W128" s="15"/>
    </row>
    <row r="129" ht="15.75" customHeight="1">
      <c r="A129" s="6">
        <v>25.0</v>
      </c>
      <c r="B129" s="6">
        <v>8.0</v>
      </c>
      <c r="C129" s="39">
        <v>5745.0</v>
      </c>
      <c r="D129" s="40">
        <v>46190.0</v>
      </c>
      <c r="E129" s="8">
        <v>1.0</v>
      </c>
      <c r="F129" s="8" t="s">
        <v>31</v>
      </c>
      <c r="G129" s="8" t="s">
        <v>228</v>
      </c>
      <c r="H129" s="6">
        <v>14.0</v>
      </c>
      <c r="I129" s="8" t="s">
        <v>34</v>
      </c>
      <c r="J129" s="8" t="s">
        <v>118</v>
      </c>
      <c r="K129" s="35" t="s">
        <v>50</v>
      </c>
      <c r="L129" s="62">
        <f t="shared" si="3"/>
        <v>34759</v>
      </c>
      <c r="M129" s="62">
        <f>CARPETA!$L129-31</f>
        <v>34728</v>
      </c>
      <c r="N129" s="65" t="s">
        <v>189</v>
      </c>
      <c r="O129" s="8"/>
      <c r="P129" s="35" t="s">
        <v>109</v>
      </c>
      <c r="Q129" s="41">
        <v>5900.0</v>
      </c>
      <c r="R129" s="15">
        <f>CARPETA!$Q129*CARPETA!$E129</f>
        <v>5900</v>
      </c>
      <c r="S129" s="15">
        <f>CARPETA!$R129*16%</f>
        <v>944</v>
      </c>
      <c r="T129" s="15">
        <f>CARPETA!$R129+CARPETA!$S129</f>
        <v>6844</v>
      </c>
      <c r="U129" s="35" t="s">
        <v>110</v>
      </c>
      <c r="V129" s="15"/>
      <c r="W129" s="15"/>
    </row>
    <row r="130" ht="15.75" customHeight="1">
      <c r="A130" s="6">
        <v>25.0</v>
      </c>
      <c r="B130" s="6">
        <v>9.0</v>
      </c>
      <c r="C130" s="39">
        <v>5746.0</v>
      </c>
      <c r="D130" s="40">
        <v>46190.0</v>
      </c>
      <c r="E130" s="8">
        <v>1.0</v>
      </c>
      <c r="F130" s="8" t="s">
        <v>31</v>
      </c>
      <c r="G130" s="8" t="s">
        <v>203</v>
      </c>
      <c r="H130" s="6">
        <v>14.0</v>
      </c>
      <c r="I130" s="8" t="s">
        <v>34</v>
      </c>
      <c r="J130" s="8" t="s">
        <v>204</v>
      </c>
      <c r="K130" s="35" t="s">
        <v>50</v>
      </c>
      <c r="L130" s="62">
        <v>35000.0</v>
      </c>
      <c r="M130" s="62">
        <f>CARPETA!$L130-32</f>
        <v>34968</v>
      </c>
      <c r="N130" s="65" t="s">
        <v>189</v>
      </c>
      <c r="O130" s="8"/>
      <c r="P130" s="35" t="s">
        <v>109</v>
      </c>
      <c r="Q130" s="41">
        <v>5900.0</v>
      </c>
      <c r="R130" s="15">
        <f>CARPETA!$Q130*CARPETA!$E130</f>
        <v>5900</v>
      </c>
      <c r="S130" s="15">
        <f>CARPETA!$R130*16%</f>
        <v>944</v>
      </c>
      <c r="T130" s="15">
        <f>CARPETA!$R130+CARPETA!$S130</f>
        <v>6844</v>
      </c>
      <c r="U130" s="35" t="s">
        <v>110</v>
      </c>
      <c r="V130" s="15"/>
      <c r="W130" s="15"/>
    </row>
    <row r="131" ht="15.75" customHeight="1">
      <c r="A131" s="6">
        <v>25.0</v>
      </c>
      <c r="B131" s="6">
        <v>10.0</v>
      </c>
      <c r="C131" s="39">
        <v>5747.0</v>
      </c>
      <c r="D131" s="40">
        <v>46190.0</v>
      </c>
      <c r="E131" s="8">
        <v>1.0</v>
      </c>
      <c r="F131" s="8" t="s">
        <v>31</v>
      </c>
      <c r="G131" s="8" t="s">
        <v>229</v>
      </c>
      <c r="H131" s="6">
        <v>14.0</v>
      </c>
      <c r="I131" s="8" t="s">
        <v>34</v>
      </c>
      <c r="J131" s="8" t="s">
        <v>114</v>
      </c>
      <c r="K131" s="35" t="s">
        <v>50</v>
      </c>
      <c r="L131" s="62">
        <f t="shared" ref="L131:L133" si="4">M130</f>
        <v>34968</v>
      </c>
      <c r="M131" s="62">
        <f>CARPETA!$L131-37</f>
        <v>34931</v>
      </c>
      <c r="N131" s="65" t="s">
        <v>189</v>
      </c>
      <c r="O131" s="8"/>
      <c r="P131" s="35" t="s">
        <v>109</v>
      </c>
      <c r="Q131" s="41">
        <v>5900.0</v>
      </c>
      <c r="R131" s="15">
        <f>CARPETA!$Q131*CARPETA!$E131</f>
        <v>5900</v>
      </c>
      <c r="S131" s="15">
        <f>CARPETA!$R131*16%</f>
        <v>944</v>
      </c>
      <c r="T131" s="15">
        <f>CARPETA!$R131+CARPETA!$S131</f>
        <v>6844</v>
      </c>
      <c r="U131" s="35" t="s">
        <v>110</v>
      </c>
      <c r="V131" s="15"/>
      <c r="W131" s="15"/>
    </row>
    <row r="132" ht="15.75" customHeight="1">
      <c r="A132" s="6">
        <v>25.0</v>
      </c>
      <c r="B132" s="6">
        <v>11.0</v>
      </c>
      <c r="C132" s="39">
        <v>5748.0</v>
      </c>
      <c r="D132" s="40">
        <v>46190.0</v>
      </c>
      <c r="E132" s="8">
        <v>1.0</v>
      </c>
      <c r="F132" s="8" t="s">
        <v>31</v>
      </c>
      <c r="G132" s="8" t="s">
        <v>211</v>
      </c>
      <c r="H132" s="6">
        <v>14.0</v>
      </c>
      <c r="I132" s="8" t="s">
        <v>34</v>
      </c>
      <c r="J132" s="8" t="s">
        <v>212</v>
      </c>
      <c r="K132" s="35" t="s">
        <v>50</v>
      </c>
      <c r="L132" s="62">
        <f t="shared" si="4"/>
        <v>34931</v>
      </c>
      <c r="M132" s="62">
        <f>CARPETA!$L132-37</f>
        <v>34894</v>
      </c>
      <c r="N132" s="65" t="s">
        <v>189</v>
      </c>
      <c r="O132" s="8"/>
      <c r="P132" s="35" t="s">
        <v>109</v>
      </c>
      <c r="Q132" s="41">
        <v>5900.0</v>
      </c>
      <c r="R132" s="15">
        <f>CARPETA!$Q132*CARPETA!$E132</f>
        <v>5900</v>
      </c>
      <c r="S132" s="15">
        <f>CARPETA!$R132*16%</f>
        <v>944</v>
      </c>
      <c r="T132" s="15">
        <f>CARPETA!$R132+CARPETA!$S132</f>
        <v>6844</v>
      </c>
      <c r="U132" s="35" t="s">
        <v>110</v>
      </c>
      <c r="V132" s="15"/>
      <c r="W132" s="15"/>
    </row>
    <row r="133" ht="15.75" customHeight="1">
      <c r="A133" s="6">
        <v>25.0</v>
      </c>
      <c r="B133" s="6">
        <v>12.0</v>
      </c>
      <c r="C133" s="39">
        <v>5749.0</v>
      </c>
      <c r="D133" s="40">
        <v>46190.0</v>
      </c>
      <c r="E133" s="8">
        <v>1.0</v>
      </c>
      <c r="F133" s="8" t="s">
        <v>31</v>
      </c>
      <c r="G133" s="8" t="s">
        <v>213</v>
      </c>
      <c r="H133" s="6">
        <v>14.0</v>
      </c>
      <c r="I133" s="8" t="s">
        <v>34</v>
      </c>
      <c r="J133" s="8" t="s">
        <v>214</v>
      </c>
      <c r="K133" s="35" t="s">
        <v>50</v>
      </c>
      <c r="L133" s="62">
        <f t="shared" si="4"/>
        <v>34894</v>
      </c>
      <c r="M133" s="62">
        <f>CARPETA!$L133-37</f>
        <v>34857</v>
      </c>
      <c r="N133" s="65" t="s">
        <v>189</v>
      </c>
      <c r="O133" s="8"/>
      <c r="P133" s="35" t="s">
        <v>109</v>
      </c>
      <c r="Q133" s="41">
        <v>5900.0</v>
      </c>
      <c r="R133" s="15">
        <f>CARPETA!$Q133*CARPETA!$E133</f>
        <v>5900</v>
      </c>
      <c r="S133" s="15">
        <f>CARPETA!$R133*16%</f>
        <v>944</v>
      </c>
      <c r="T133" s="15">
        <f>CARPETA!$R133+CARPETA!$S133</f>
        <v>6844</v>
      </c>
      <c r="U133" s="35" t="s">
        <v>110</v>
      </c>
      <c r="V133" s="15"/>
      <c r="W133" s="15"/>
    </row>
    <row r="134" ht="15.75" hidden="1" customHeight="1">
      <c r="A134" s="6">
        <v>25.0</v>
      </c>
      <c r="B134" s="61">
        <v>1.0</v>
      </c>
      <c r="C134" s="8" t="s">
        <v>72</v>
      </c>
      <c r="D134" s="9">
        <v>46190.0</v>
      </c>
      <c r="E134" s="8">
        <v>1.0</v>
      </c>
      <c r="F134" s="8" t="s">
        <v>73</v>
      </c>
      <c r="G134" s="8" t="s">
        <v>98</v>
      </c>
      <c r="H134" s="8">
        <v>10.0</v>
      </c>
      <c r="I134" s="8"/>
      <c r="J134" s="8" t="s">
        <v>186</v>
      </c>
      <c r="K134" s="35" t="s">
        <v>36</v>
      </c>
      <c r="L134" s="62">
        <v>0.0</v>
      </c>
      <c r="M134" s="62">
        <v>0.0</v>
      </c>
      <c r="N134" s="65" t="s">
        <v>189</v>
      </c>
      <c r="O134" s="8"/>
      <c r="P134" s="63" t="s">
        <v>187</v>
      </c>
      <c r="Q134" s="15">
        <v>4500.0</v>
      </c>
      <c r="R134" s="15">
        <f>CARPETA!$Q134*CARPETA!$E134</f>
        <v>4500</v>
      </c>
      <c r="S134" s="15">
        <f>CARPETA!$R134*16%</f>
        <v>720</v>
      </c>
      <c r="T134" s="15">
        <f>CARPETA!$R134+CARPETA!$S134</f>
        <v>5220</v>
      </c>
      <c r="U134" s="8" t="s">
        <v>161</v>
      </c>
      <c r="V134" s="17" t="s">
        <v>44</v>
      </c>
      <c r="W134" s="15"/>
    </row>
    <row r="135" ht="15.75" customHeight="1">
      <c r="A135" s="6">
        <v>25.0</v>
      </c>
      <c r="B135" s="6">
        <v>1.0</v>
      </c>
      <c r="C135" s="39">
        <v>251.0</v>
      </c>
      <c r="D135" s="40">
        <v>46191.0</v>
      </c>
      <c r="E135" s="8">
        <v>1.0</v>
      </c>
      <c r="F135" s="8" t="s">
        <v>31</v>
      </c>
      <c r="G135" s="8" t="s">
        <v>209</v>
      </c>
      <c r="H135" s="6">
        <v>14.0</v>
      </c>
      <c r="I135" s="8" t="s">
        <v>34</v>
      </c>
      <c r="J135" s="8" t="s">
        <v>210</v>
      </c>
      <c r="K135" s="35" t="s">
        <v>50</v>
      </c>
      <c r="L135" s="62">
        <v>34600.0</v>
      </c>
      <c r="M135" s="62">
        <f>CARPETA!$L135-32</f>
        <v>34568</v>
      </c>
      <c r="N135" s="65" t="s">
        <v>189</v>
      </c>
      <c r="O135" s="8"/>
      <c r="P135" s="35" t="s">
        <v>109</v>
      </c>
      <c r="Q135" s="41">
        <v>5900.0</v>
      </c>
      <c r="R135" s="15">
        <f>CARPETA!$Q135*CARPETA!$E135</f>
        <v>5900</v>
      </c>
      <c r="S135" s="15">
        <f>CARPETA!$R135*16%</f>
        <v>944</v>
      </c>
      <c r="T135" s="15">
        <f>CARPETA!$R135+CARPETA!$S135</f>
        <v>6844</v>
      </c>
      <c r="U135" s="35" t="s">
        <v>110</v>
      </c>
      <c r="V135" s="15"/>
      <c r="W135" s="15"/>
    </row>
    <row r="136" ht="15.75" customHeight="1">
      <c r="A136" s="6">
        <v>25.0</v>
      </c>
      <c r="B136" s="6">
        <v>2.0</v>
      </c>
      <c r="C136" s="39">
        <v>252.0</v>
      </c>
      <c r="D136" s="40">
        <v>46191.0</v>
      </c>
      <c r="E136" s="8">
        <v>1.0</v>
      </c>
      <c r="F136" s="8" t="s">
        <v>31</v>
      </c>
      <c r="G136" s="8" t="s">
        <v>194</v>
      </c>
      <c r="H136" s="6">
        <v>14.0</v>
      </c>
      <c r="I136" s="8" t="s">
        <v>34</v>
      </c>
      <c r="J136" s="8" t="s">
        <v>195</v>
      </c>
      <c r="K136" s="35" t="s">
        <v>50</v>
      </c>
      <c r="L136" s="62">
        <f t="shared" ref="L136:L146" si="5">M135</f>
        <v>34568</v>
      </c>
      <c r="M136" s="62">
        <f>CARPETA!$L136-36</f>
        <v>34532</v>
      </c>
      <c r="N136" s="65" t="s">
        <v>189</v>
      </c>
      <c r="O136" s="8"/>
      <c r="P136" s="35" t="s">
        <v>109</v>
      </c>
      <c r="Q136" s="41">
        <v>5900.0</v>
      </c>
      <c r="R136" s="15">
        <f>CARPETA!$Q136*CARPETA!$E136</f>
        <v>5900</v>
      </c>
      <c r="S136" s="15">
        <f>CARPETA!$R136*16%</f>
        <v>944</v>
      </c>
      <c r="T136" s="15">
        <f>CARPETA!$R136+CARPETA!$S136</f>
        <v>6844</v>
      </c>
      <c r="U136" s="35" t="s">
        <v>110</v>
      </c>
      <c r="V136" s="15"/>
      <c r="W136" s="15"/>
    </row>
    <row r="137" ht="15.75" customHeight="1">
      <c r="A137" s="6">
        <v>25.0</v>
      </c>
      <c r="B137" s="6">
        <v>3.0</v>
      </c>
      <c r="C137" s="39">
        <v>253.0</v>
      </c>
      <c r="D137" s="40">
        <v>46191.0</v>
      </c>
      <c r="E137" s="8">
        <v>1.0</v>
      </c>
      <c r="F137" s="8" t="s">
        <v>31</v>
      </c>
      <c r="G137" s="8" t="s">
        <v>237</v>
      </c>
      <c r="H137" s="6">
        <v>14.0</v>
      </c>
      <c r="I137" s="8" t="s">
        <v>34</v>
      </c>
      <c r="J137" s="8" t="s">
        <v>150</v>
      </c>
      <c r="K137" s="35" t="s">
        <v>50</v>
      </c>
      <c r="L137" s="62">
        <f t="shared" si="5"/>
        <v>34532</v>
      </c>
      <c r="M137" s="62">
        <f>CARPETA!$L137-37</f>
        <v>34495</v>
      </c>
      <c r="N137" s="65" t="s">
        <v>189</v>
      </c>
      <c r="O137" s="8"/>
      <c r="P137" s="35" t="s">
        <v>109</v>
      </c>
      <c r="Q137" s="41">
        <v>5900.0</v>
      </c>
      <c r="R137" s="15">
        <f>CARPETA!$Q137*CARPETA!$E137</f>
        <v>5900</v>
      </c>
      <c r="S137" s="15">
        <f>CARPETA!$R137*16%</f>
        <v>944</v>
      </c>
      <c r="T137" s="15">
        <f>CARPETA!$R137+CARPETA!$S137</f>
        <v>6844</v>
      </c>
      <c r="U137" s="35" t="s">
        <v>110</v>
      </c>
      <c r="V137" s="15"/>
      <c r="W137" s="15"/>
    </row>
    <row r="138" ht="15.75" customHeight="1">
      <c r="A138" s="6">
        <v>25.0</v>
      </c>
      <c r="B138" s="6">
        <v>4.0</v>
      </c>
      <c r="C138" s="39">
        <v>254.0</v>
      </c>
      <c r="D138" s="40">
        <v>46191.0</v>
      </c>
      <c r="E138" s="8">
        <v>1.0</v>
      </c>
      <c r="F138" s="8" t="s">
        <v>31</v>
      </c>
      <c r="G138" s="8" t="s">
        <v>201</v>
      </c>
      <c r="H138" s="6">
        <v>14.0</v>
      </c>
      <c r="I138" s="8" t="s">
        <v>34</v>
      </c>
      <c r="J138" s="8" t="s">
        <v>202</v>
      </c>
      <c r="K138" s="35" t="s">
        <v>50</v>
      </c>
      <c r="L138" s="62">
        <f t="shared" si="5"/>
        <v>34495</v>
      </c>
      <c r="M138" s="62">
        <f>CARPETA!$L138-36</f>
        <v>34459</v>
      </c>
      <c r="N138" s="65" t="s">
        <v>189</v>
      </c>
      <c r="O138" s="8"/>
      <c r="P138" s="35" t="s">
        <v>109</v>
      </c>
      <c r="Q138" s="41">
        <v>5900.0</v>
      </c>
      <c r="R138" s="15">
        <f>CARPETA!$Q138*CARPETA!$E138</f>
        <v>5900</v>
      </c>
      <c r="S138" s="15">
        <f>CARPETA!$R138*16%</f>
        <v>944</v>
      </c>
      <c r="T138" s="15">
        <f>CARPETA!$R138+CARPETA!$S138</f>
        <v>6844</v>
      </c>
      <c r="U138" s="35" t="s">
        <v>110</v>
      </c>
      <c r="V138" s="15"/>
      <c r="W138" s="15"/>
    </row>
    <row r="139" ht="15.75" customHeight="1">
      <c r="A139" s="6">
        <v>25.0</v>
      </c>
      <c r="B139" s="6">
        <v>5.0</v>
      </c>
      <c r="C139" s="39">
        <v>255.0</v>
      </c>
      <c r="D139" s="40">
        <v>46191.0</v>
      </c>
      <c r="E139" s="8">
        <v>1.0</v>
      </c>
      <c r="F139" s="8" t="s">
        <v>31</v>
      </c>
      <c r="G139" s="8" t="s">
        <v>241</v>
      </c>
      <c r="H139" s="6">
        <v>14.0</v>
      </c>
      <c r="I139" s="8" t="s">
        <v>34</v>
      </c>
      <c r="J139" s="8" t="s">
        <v>242</v>
      </c>
      <c r="K139" s="35" t="s">
        <v>50</v>
      </c>
      <c r="L139" s="62">
        <f t="shared" si="5"/>
        <v>34459</v>
      </c>
      <c r="M139" s="62">
        <f>CARPETA!$L139-38</f>
        <v>34421</v>
      </c>
      <c r="N139" s="65" t="s">
        <v>189</v>
      </c>
      <c r="O139" s="8"/>
      <c r="P139" s="35" t="s">
        <v>109</v>
      </c>
      <c r="Q139" s="41">
        <v>5900.0</v>
      </c>
      <c r="R139" s="15">
        <f>CARPETA!$Q139*CARPETA!$E139</f>
        <v>5900</v>
      </c>
      <c r="S139" s="15">
        <f>CARPETA!$R139*16%</f>
        <v>944</v>
      </c>
      <c r="T139" s="15">
        <f>CARPETA!$R139+CARPETA!$S139</f>
        <v>6844</v>
      </c>
      <c r="U139" s="35" t="s">
        <v>110</v>
      </c>
      <c r="V139" s="15"/>
      <c r="W139" s="15"/>
    </row>
    <row r="140" ht="15.75" customHeight="1">
      <c r="A140" s="6">
        <v>25.0</v>
      </c>
      <c r="B140" s="6">
        <v>6.0</v>
      </c>
      <c r="C140" s="39">
        <v>256.0</v>
      </c>
      <c r="D140" s="40">
        <v>46191.0</v>
      </c>
      <c r="E140" s="8">
        <v>1.0</v>
      </c>
      <c r="F140" s="8" t="s">
        <v>31</v>
      </c>
      <c r="G140" s="8" t="s">
        <v>196</v>
      </c>
      <c r="H140" s="6">
        <v>14.0</v>
      </c>
      <c r="I140" s="8" t="s">
        <v>34</v>
      </c>
      <c r="J140" s="8" t="s">
        <v>197</v>
      </c>
      <c r="K140" s="35" t="s">
        <v>50</v>
      </c>
      <c r="L140" s="62">
        <f t="shared" si="5"/>
        <v>34421</v>
      </c>
      <c r="M140" s="62">
        <f>CARPETA!$L140-40</f>
        <v>34381</v>
      </c>
      <c r="N140" s="65" t="s">
        <v>189</v>
      </c>
      <c r="O140" s="8"/>
      <c r="P140" s="35" t="s">
        <v>109</v>
      </c>
      <c r="Q140" s="41">
        <v>5900.0</v>
      </c>
      <c r="R140" s="15">
        <f>CARPETA!$Q140*CARPETA!$E140</f>
        <v>5900</v>
      </c>
      <c r="S140" s="15">
        <f>CARPETA!$R140*16%</f>
        <v>944</v>
      </c>
      <c r="T140" s="15">
        <f>CARPETA!$R140+CARPETA!$S140</f>
        <v>6844</v>
      </c>
      <c r="U140" s="35" t="s">
        <v>110</v>
      </c>
      <c r="V140" s="15"/>
      <c r="W140" s="15"/>
    </row>
    <row r="141" ht="15.75" customHeight="1">
      <c r="A141" s="6">
        <v>25.0</v>
      </c>
      <c r="B141" s="6">
        <v>7.0</v>
      </c>
      <c r="C141" s="39">
        <v>257.0</v>
      </c>
      <c r="D141" s="40">
        <v>46191.0</v>
      </c>
      <c r="E141" s="8">
        <v>1.0</v>
      </c>
      <c r="F141" s="8" t="s">
        <v>31</v>
      </c>
      <c r="G141" s="8" t="s">
        <v>205</v>
      </c>
      <c r="H141" s="6">
        <v>14.0</v>
      </c>
      <c r="I141" s="8" t="s">
        <v>34</v>
      </c>
      <c r="J141" s="8" t="s">
        <v>122</v>
      </c>
      <c r="K141" s="35" t="s">
        <v>50</v>
      </c>
      <c r="L141" s="62">
        <f t="shared" si="5"/>
        <v>34381</v>
      </c>
      <c r="M141" s="62">
        <f>CARPETA!$L141-37</f>
        <v>34344</v>
      </c>
      <c r="N141" s="65" t="s">
        <v>189</v>
      </c>
      <c r="O141" s="8"/>
      <c r="P141" s="35" t="s">
        <v>109</v>
      </c>
      <c r="Q141" s="41">
        <v>5900.0</v>
      </c>
      <c r="R141" s="15">
        <f>CARPETA!$Q141*CARPETA!$E141</f>
        <v>5900</v>
      </c>
      <c r="S141" s="15">
        <f>CARPETA!$R141*16%</f>
        <v>944</v>
      </c>
      <c r="T141" s="15">
        <f>CARPETA!$R141+CARPETA!$S141</f>
        <v>6844</v>
      </c>
      <c r="U141" s="35" t="s">
        <v>110</v>
      </c>
      <c r="V141" s="15"/>
      <c r="W141" s="15"/>
    </row>
    <row r="142" ht="15.75" customHeight="1">
      <c r="A142" s="6">
        <v>25.0</v>
      </c>
      <c r="B142" s="6">
        <v>8.0</v>
      </c>
      <c r="C142" s="39">
        <v>258.0</v>
      </c>
      <c r="D142" s="40">
        <v>46191.0</v>
      </c>
      <c r="E142" s="8">
        <v>1.0</v>
      </c>
      <c r="F142" s="8" t="s">
        <v>31</v>
      </c>
      <c r="G142" s="8" t="s">
        <v>228</v>
      </c>
      <c r="H142" s="6">
        <v>14.0</v>
      </c>
      <c r="I142" s="8" t="s">
        <v>34</v>
      </c>
      <c r="J142" s="8" t="s">
        <v>118</v>
      </c>
      <c r="K142" s="35" t="s">
        <v>50</v>
      </c>
      <c r="L142" s="62">
        <f t="shared" si="5"/>
        <v>34344</v>
      </c>
      <c r="M142" s="62">
        <f>CARPETA!$L142-35</f>
        <v>34309</v>
      </c>
      <c r="N142" s="65" t="s">
        <v>189</v>
      </c>
      <c r="O142" s="8"/>
      <c r="P142" s="35" t="s">
        <v>109</v>
      </c>
      <c r="Q142" s="41">
        <v>5900.0</v>
      </c>
      <c r="R142" s="15">
        <f>CARPETA!$Q142*CARPETA!$E142</f>
        <v>5900</v>
      </c>
      <c r="S142" s="15">
        <f>CARPETA!$R142*16%</f>
        <v>944</v>
      </c>
      <c r="T142" s="15">
        <f>CARPETA!$R142+CARPETA!$S142</f>
        <v>6844</v>
      </c>
      <c r="U142" s="35" t="s">
        <v>110</v>
      </c>
      <c r="V142" s="15"/>
      <c r="W142" s="15"/>
    </row>
    <row r="143" ht="15.75" customHeight="1">
      <c r="A143" s="6">
        <v>25.0</v>
      </c>
      <c r="B143" s="6">
        <v>9.0</v>
      </c>
      <c r="C143" s="39">
        <v>259.0</v>
      </c>
      <c r="D143" s="40">
        <v>46191.0</v>
      </c>
      <c r="E143" s="8">
        <v>1.0</v>
      </c>
      <c r="F143" s="8" t="s">
        <v>31</v>
      </c>
      <c r="G143" s="8" t="s">
        <v>248</v>
      </c>
      <c r="H143" s="6">
        <v>14.0</v>
      </c>
      <c r="I143" s="8" t="s">
        <v>34</v>
      </c>
      <c r="J143" s="8" t="s">
        <v>146</v>
      </c>
      <c r="K143" s="35" t="s">
        <v>50</v>
      </c>
      <c r="L143" s="62">
        <f t="shared" si="5"/>
        <v>34309</v>
      </c>
      <c r="M143" s="62">
        <f>CARPETA!$L143-40</f>
        <v>34269</v>
      </c>
      <c r="N143" s="65" t="s">
        <v>189</v>
      </c>
      <c r="O143" s="8"/>
      <c r="P143" s="35" t="s">
        <v>109</v>
      </c>
      <c r="Q143" s="41">
        <v>5900.0</v>
      </c>
      <c r="R143" s="15">
        <f>CARPETA!$Q143*CARPETA!$E143</f>
        <v>5900</v>
      </c>
      <c r="S143" s="15">
        <f>CARPETA!$R143*16%</f>
        <v>944</v>
      </c>
      <c r="T143" s="15">
        <f>CARPETA!$R143+CARPETA!$S143</f>
        <v>6844</v>
      </c>
      <c r="U143" s="35" t="s">
        <v>110</v>
      </c>
      <c r="V143" s="15"/>
      <c r="W143" s="15"/>
    </row>
    <row r="144" ht="15.75" customHeight="1">
      <c r="A144" s="6">
        <v>25.0</v>
      </c>
      <c r="B144" s="6">
        <v>10.0</v>
      </c>
      <c r="C144" s="39">
        <v>260.0</v>
      </c>
      <c r="D144" s="40">
        <v>46191.0</v>
      </c>
      <c r="E144" s="8">
        <v>1.0</v>
      </c>
      <c r="F144" s="8" t="s">
        <v>31</v>
      </c>
      <c r="G144" s="8" t="s">
        <v>251</v>
      </c>
      <c r="H144" s="6">
        <v>14.0</v>
      </c>
      <c r="I144" s="8" t="s">
        <v>34</v>
      </c>
      <c r="J144" s="8" t="s">
        <v>204</v>
      </c>
      <c r="K144" s="35" t="s">
        <v>50</v>
      </c>
      <c r="L144" s="62">
        <f t="shared" si="5"/>
        <v>34269</v>
      </c>
      <c r="M144" s="62">
        <f>CARPETA!$L144-37</f>
        <v>34232</v>
      </c>
      <c r="N144" s="65" t="s">
        <v>189</v>
      </c>
      <c r="O144" s="8"/>
      <c r="P144" s="35" t="s">
        <v>109</v>
      </c>
      <c r="Q144" s="41">
        <v>5900.0</v>
      </c>
      <c r="R144" s="15">
        <f>CARPETA!$Q144*CARPETA!$E144</f>
        <v>5900</v>
      </c>
      <c r="S144" s="15">
        <f>CARPETA!$R144*16%</f>
        <v>944</v>
      </c>
      <c r="T144" s="15">
        <f>CARPETA!$R144+CARPETA!$S144</f>
        <v>6844</v>
      </c>
      <c r="U144" s="35" t="s">
        <v>110</v>
      </c>
      <c r="V144" s="15"/>
      <c r="W144" s="15"/>
    </row>
    <row r="145" ht="15.75" customHeight="1">
      <c r="A145" s="6">
        <v>25.0</v>
      </c>
      <c r="B145" s="6">
        <v>11.0</v>
      </c>
      <c r="C145" s="39">
        <v>261.0</v>
      </c>
      <c r="D145" s="40">
        <v>46191.0</v>
      </c>
      <c r="E145" s="8">
        <v>1.0</v>
      </c>
      <c r="F145" s="8" t="s">
        <v>31</v>
      </c>
      <c r="G145" s="8" t="s">
        <v>255</v>
      </c>
      <c r="H145" s="6">
        <v>14.0</v>
      </c>
      <c r="I145" s="8" t="s">
        <v>34</v>
      </c>
      <c r="J145" s="8" t="s">
        <v>256</v>
      </c>
      <c r="K145" s="35" t="s">
        <v>50</v>
      </c>
      <c r="L145" s="62">
        <f t="shared" si="5"/>
        <v>34232</v>
      </c>
      <c r="M145" s="62">
        <f>CARPETA!$L145-38</f>
        <v>34194</v>
      </c>
      <c r="N145" s="65" t="s">
        <v>189</v>
      </c>
      <c r="O145" s="8"/>
      <c r="P145" s="35" t="s">
        <v>109</v>
      </c>
      <c r="Q145" s="41">
        <v>5900.0</v>
      </c>
      <c r="R145" s="15">
        <f>CARPETA!$Q145*CARPETA!$E145</f>
        <v>5900</v>
      </c>
      <c r="S145" s="15">
        <f>CARPETA!$R145*16%</f>
        <v>944</v>
      </c>
      <c r="T145" s="15">
        <f>CARPETA!$R145+CARPETA!$S145</f>
        <v>6844</v>
      </c>
      <c r="U145" s="35" t="s">
        <v>110</v>
      </c>
      <c r="V145" s="15"/>
      <c r="W145" s="15"/>
    </row>
    <row r="146" ht="15.75" customHeight="1">
      <c r="A146" s="6">
        <v>25.0</v>
      </c>
      <c r="B146" s="6">
        <v>12.0</v>
      </c>
      <c r="C146" s="39">
        <v>262.0</v>
      </c>
      <c r="D146" s="40">
        <v>46191.0</v>
      </c>
      <c r="E146" s="8">
        <v>1.0</v>
      </c>
      <c r="F146" s="8" t="s">
        <v>31</v>
      </c>
      <c r="G146" s="8" t="s">
        <v>259</v>
      </c>
      <c r="H146" s="6">
        <v>14.0</v>
      </c>
      <c r="I146" s="8" t="s">
        <v>34</v>
      </c>
      <c r="J146" s="8" t="s">
        <v>260</v>
      </c>
      <c r="K146" s="35" t="s">
        <v>50</v>
      </c>
      <c r="L146" s="62">
        <f t="shared" si="5"/>
        <v>34194</v>
      </c>
      <c r="M146" s="62">
        <f>CARPETA!$L146-34</f>
        <v>34160</v>
      </c>
      <c r="N146" s="65" t="s">
        <v>189</v>
      </c>
      <c r="O146" s="8"/>
      <c r="P146" s="35" t="s">
        <v>109</v>
      </c>
      <c r="Q146" s="41">
        <v>5900.0</v>
      </c>
      <c r="R146" s="15">
        <f>CARPETA!$Q146*CARPETA!$E146</f>
        <v>5900</v>
      </c>
      <c r="S146" s="15">
        <f>CARPETA!$R146*16%</f>
        <v>944</v>
      </c>
      <c r="T146" s="15">
        <f>CARPETA!$R146+CARPETA!$S146</f>
        <v>6844</v>
      </c>
      <c r="U146" s="35" t="s">
        <v>110</v>
      </c>
      <c r="V146" s="15"/>
      <c r="W146" s="15"/>
    </row>
    <row r="147" ht="15.75" customHeight="1">
      <c r="A147" s="6">
        <v>25.0</v>
      </c>
      <c r="B147" s="6">
        <v>13.0</v>
      </c>
      <c r="C147" s="39">
        <v>263.0</v>
      </c>
      <c r="D147" s="40">
        <v>46191.0</v>
      </c>
      <c r="E147" s="8">
        <v>1.0</v>
      </c>
      <c r="F147" s="8" t="s">
        <v>31</v>
      </c>
      <c r="G147" s="8" t="s">
        <v>207</v>
      </c>
      <c r="H147" s="6">
        <v>14.0</v>
      </c>
      <c r="I147" s="8" t="s">
        <v>34</v>
      </c>
      <c r="J147" s="8" t="s">
        <v>208</v>
      </c>
      <c r="K147" s="35" t="s">
        <v>50</v>
      </c>
      <c r="L147" s="62">
        <v>34728.0</v>
      </c>
      <c r="M147" s="62">
        <f>CARPETA!$L147-28</f>
        <v>34700</v>
      </c>
      <c r="N147" s="65" t="s">
        <v>189</v>
      </c>
      <c r="O147" s="8"/>
      <c r="P147" s="35" t="s">
        <v>109</v>
      </c>
      <c r="Q147" s="41">
        <v>5900.0</v>
      </c>
      <c r="R147" s="15">
        <f>CARPETA!$Q147*CARPETA!$E147</f>
        <v>5900</v>
      </c>
      <c r="S147" s="15">
        <f>CARPETA!$R147*16%</f>
        <v>944</v>
      </c>
      <c r="T147" s="15">
        <f>CARPETA!$R147+CARPETA!$S147</f>
        <v>6844</v>
      </c>
      <c r="U147" s="35" t="s">
        <v>110</v>
      </c>
      <c r="V147" s="15"/>
      <c r="W147" s="15"/>
    </row>
    <row r="148" ht="15.75" customHeight="1">
      <c r="A148" s="6">
        <v>25.0</v>
      </c>
      <c r="B148" s="6">
        <v>14.0</v>
      </c>
      <c r="C148" s="39">
        <v>264.0</v>
      </c>
      <c r="D148" s="40">
        <v>46191.0</v>
      </c>
      <c r="E148" s="8">
        <v>1.0</v>
      </c>
      <c r="F148" s="8" t="s">
        <v>31</v>
      </c>
      <c r="G148" s="8" t="s">
        <v>211</v>
      </c>
      <c r="H148" s="6">
        <v>14.0</v>
      </c>
      <c r="I148" s="8" t="s">
        <v>34</v>
      </c>
      <c r="J148" s="8" t="s">
        <v>212</v>
      </c>
      <c r="K148" s="35" t="s">
        <v>50</v>
      </c>
      <c r="L148" s="62">
        <v>34745.0</v>
      </c>
      <c r="M148" s="62">
        <f>CARPETA!$L148-45</f>
        <v>34700</v>
      </c>
      <c r="N148" s="65" t="s">
        <v>189</v>
      </c>
      <c r="O148" s="8"/>
      <c r="P148" s="35" t="s">
        <v>109</v>
      </c>
      <c r="Q148" s="41">
        <v>5900.0</v>
      </c>
      <c r="R148" s="15">
        <f>CARPETA!$Q148*CARPETA!$E148</f>
        <v>5900</v>
      </c>
      <c r="S148" s="15">
        <f>CARPETA!$R148*16%</f>
        <v>944</v>
      </c>
      <c r="T148" s="15">
        <f>CARPETA!$R148+CARPETA!$S148</f>
        <v>6844</v>
      </c>
      <c r="U148" s="35" t="s">
        <v>110</v>
      </c>
      <c r="V148" s="15"/>
      <c r="W148" s="15"/>
    </row>
    <row r="149" ht="15.75" hidden="1" customHeight="1">
      <c r="A149" s="6">
        <v>25.0</v>
      </c>
      <c r="B149" s="61">
        <v>1.0</v>
      </c>
      <c r="C149" s="8" t="s">
        <v>72</v>
      </c>
      <c r="D149" s="9">
        <v>46191.0</v>
      </c>
      <c r="E149" s="8">
        <v>1.0</v>
      </c>
      <c r="F149" s="8" t="s">
        <v>73</v>
      </c>
      <c r="G149" s="8" t="s">
        <v>98</v>
      </c>
      <c r="H149" s="8">
        <v>10.0</v>
      </c>
      <c r="I149" s="8"/>
      <c r="J149" s="8" t="s">
        <v>186</v>
      </c>
      <c r="K149" s="35" t="s">
        <v>36</v>
      </c>
      <c r="L149" s="62">
        <v>0.0</v>
      </c>
      <c r="M149" s="62">
        <v>0.0</v>
      </c>
      <c r="N149" s="65" t="s">
        <v>189</v>
      </c>
      <c r="O149" s="8"/>
      <c r="P149" s="63" t="s">
        <v>187</v>
      </c>
      <c r="Q149" s="15">
        <v>5132.0</v>
      </c>
      <c r="R149" s="15">
        <f>CARPETA!$Q149*CARPETA!$E149</f>
        <v>5132</v>
      </c>
      <c r="S149" s="15">
        <f>CARPETA!$R149*16%</f>
        <v>821.12</v>
      </c>
      <c r="T149" s="15">
        <f>CARPETA!$R149+CARPETA!$S149</f>
        <v>5953.12</v>
      </c>
      <c r="U149" s="8" t="s">
        <v>161</v>
      </c>
      <c r="V149" s="17" t="s">
        <v>44</v>
      </c>
      <c r="W149" s="15"/>
    </row>
    <row r="150" ht="15.75" customHeight="1">
      <c r="A150" s="6">
        <v>25.0</v>
      </c>
      <c r="B150" s="6">
        <v>1.0</v>
      </c>
      <c r="C150" s="39">
        <v>265.0</v>
      </c>
      <c r="D150" s="40">
        <v>46192.0</v>
      </c>
      <c r="E150" s="8">
        <v>1.0</v>
      </c>
      <c r="F150" s="8" t="s">
        <v>31</v>
      </c>
      <c r="G150" s="8" t="s">
        <v>201</v>
      </c>
      <c r="H150" s="6">
        <v>14.0</v>
      </c>
      <c r="I150" s="8" t="s">
        <v>34</v>
      </c>
      <c r="J150" s="8" t="s">
        <v>150</v>
      </c>
      <c r="K150" s="35" t="s">
        <v>50</v>
      </c>
      <c r="L150" s="62">
        <v>22985.0</v>
      </c>
      <c r="M150" s="62">
        <f>CARPETA!$L150+33</f>
        <v>23018</v>
      </c>
      <c r="N150" s="62" t="s">
        <v>206</v>
      </c>
      <c r="O150" s="8"/>
      <c r="P150" s="35" t="s">
        <v>109</v>
      </c>
      <c r="Q150" s="41">
        <v>5900.0</v>
      </c>
      <c r="R150" s="15">
        <f>CARPETA!$Q150*CARPETA!$E150</f>
        <v>5900</v>
      </c>
      <c r="S150" s="15">
        <f>CARPETA!$R150*16%</f>
        <v>944</v>
      </c>
      <c r="T150" s="15">
        <f>CARPETA!$R150+CARPETA!$S150</f>
        <v>6844</v>
      </c>
      <c r="U150" s="35" t="s">
        <v>110</v>
      </c>
      <c r="V150" s="15"/>
      <c r="W150" s="15"/>
    </row>
    <row r="151" ht="15.75" hidden="1" customHeight="1">
      <c r="A151" s="6">
        <v>25.0</v>
      </c>
      <c r="B151" s="6">
        <v>2.0</v>
      </c>
      <c r="C151" s="8">
        <v>266.0</v>
      </c>
      <c r="D151" s="9">
        <f t="shared" ref="D151:D163" si="6">D150</f>
        <v>46192</v>
      </c>
      <c r="E151" s="8">
        <v>1.0</v>
      </c>
      <c r="F151" s="8" t="s">
        <v>157</v>
      </c>
      <c r="G151" s="8" t="s">
        <v>198</v>
      </c>
      <c r="H151" s="6">
        <v>14.0</v>
      </c>
      <c r="I151" s="8"/>
      <c r="J151" s="8" t="s">
        <v>106</v>
      </c>
      <c r="K151" s="35" t="s">
        <v>36</v>
      </c>
      <c r="L151" s="62">
        <f t="shared" ref="L151:L163" si="7">M150</f>
        <v>23018</v>
      </c>
      <c r="M151" s="62">
        <f>CARPETA!$L151+35</f>
        <v>23053</v>
      </c>
      <c r="N151" s="62" t="s">
        <v>206</v>
      </c>
      <c r="O151" s="8"/>
      <c r="P151" s="8"/>
      <c r="Q151" s="15">
        <v>4205.0</v>
      </c>
      <c r="R151" s="15">
        <f>CARPETA!$Q151*CARPETA!$E151</f>
        <v>4205</v>
      </c>
      <c r="S151" s="15">
        <f>CARPETA!$R151*16%</f>
        <v>672.8</v>
      </c>
      <c r="T151" s="15">
        <f>CARPETA!$R151+CARPETA!$S151</f>
        <v>4877.8</v>
      </c>
      <c r="U151" s="8" t="s">
        <v>161</v>
      </c>
      <c r="V151" s="17" t="s">
        <v>44</v>
      </c>
      <c r="W151" s="15"/>
    </row>
    <row r="152" ht="15.75" customHeight="1">
      <c r="A152" s="6">
        <v>25.0</v>
      </c>
      <c r="B152" s="6">
        <v>3.0</v>
      </c>
      <c r="C152" s="39">
        <v>267.0</v>
      </c>
      <c r="D152" s="40">
        <f t="shared" si="6"/>
        <v>46192</v>
      </c>
      <c r="E152" s="8">
        <v>1.0</v>
      </c>
      <c r="F152" s="8" t="s">
        <v>31</v>
      </c>
      <c r="G152" s="8" t="s">
        <v>268</v>
      </c>
      <c r="H152" s="6">
        <v>14.0</v>
      </c>
      <c r="I152" s="8" t="s">
        <v>34</v>
      </c>
      <c r="J152" s="8" t="s">
        <v>269</v>
      </c>
      <c r="K152" s="35" t="s">
        <v>50</v>
      </c>
      <c r="L152" s="62">
        <f t="shared" si="7"/>
        <v>23053</v>
      </c>
      <c r="M152" s="62">
        <f>CARPETA!$L152+36</f>
        <v>23089</v>
      </c>
      <c r="N152" s="62" t="s">
        <v>206</v>
      </c>
      <c r="O152" s="8"/>
      <c r="P152" s="35" t="s">
        <v>109</v>
      </c>
      <c r="Q152" s="41">
        <v>5900.0</v>
      </c>
      <c r="R152" s="15">
        <f>CARPETA!$Q152*CARPETA!$E152</f>
        <v>5900</v>
      </c>
      <c r="S152" s="15">
        <f>CARPETA!$R152*16%</f>
        <v>944</v>
      </c>
      <c r="T152" s="15">
        <f>CARPETA!$R152+CARPETA!$S152</f>
        <v>6844</v>
      </c>
      <c r="U152" s="35" t="s">
        <v>110</v>
      </c>
      <c r="V152" s="15"/>
      <c r="W152" s="15"/>
    </row>
    <row r="153" ht="15.75" hidden="1" customHeight="1">
      <c r="A153" s="6">
        <v>25.0</v>
      </c>
      <c r="B153" s="6">
        <v>4.0</v>
      </c>
      <c r="C153" s="8">
        <v>268.0</v>
      </c>
      <c r="D153" s="9">
        <f t="shared" si="6"/>
        <v>46192</v>
      </c>
      <c r="E153" s="8">
        <v>1.0</v>
      </c>
      <c r="F153" s="8" t="s">
        <v>157</v>
      </c>
      <c r="G153" s="8" t="s">
        <v>162</v>
      </c>
      <c r="H153" s="6">
        <v>14.0</v>
      </c>
      <c r="I153" s="8"/>
      <c r="J153" s="8" t="s">
        <v>83</v>
      </c>
      <c r="K153" s="35" t="s">
        <v>36</v>
      </c>
      <c r="L153" s="62">
        <f t="shared" si="7"/>
        <v>23089</v>
      </c>
      <c r="M153" s="62">
        <f>CARPETA!$L153+39</f>
        <v>23128</v>
      </c>
      <c r="N153" s="62" t="s">
        <v>206</v>
      </c>
      <c r="O153" s="8"/>
      <c r="P153" s="8"/>
      <c r="Q153" s="15">
        <v>4205.0</v>
      </c>
      <c r="R153" s="15">
        <f>CARPETA!$Q153*CARPETA!$E153</f>
        <v>4205</v>
      </c>
      <c r="S153" s="15">
        <f>CARPETA!$R153*16%</f>
        <v>672.8</v>
      </c>
      <c r="T153" s="15">
        <f>CARPETA!$R153+CARPETA!$S153</f>
        <v>4877.8</v>
      </c>
      <c r="U153" s="8" t="s">
        <v>161</v>
      </c>
      <c r="V153" s="17" t="s">
        <v>44</v>
      </c>
      <c r="W153" s="15"/>
    </row>
    <row r="154" ht="15.75" hidden="1" customHeight="1">
      <c r="A154" s="6">
        <v>25.0</v>
      </c>
      <c r="B154" s="6">
        <v>5.0</v>
      </c>
      <c r="C154" s="8">
        <v>269.0</v>
      </c>
      <c r="D154" s="9">
        <f t="shared" si="6"/>
        <v>46192</v>
      </c>
      <c r="E154" s="8">
        <v>1.0</v>
      </c>
      <c r="F154" s="8" t="s">
        <v>157</v>
      </c>
      <c r="G154" s="8" t="s">
        <v>167</v>
      </c>
      <c r="H154" s="6">
        <v>14.0</v>
      </c>
      <c r="I154" s="8"/>
      <c r="J154" s="8" t="s">
        <v>190</v>
      </c>
      <c r="K154" s="35" t="s">
        <v>36</v>
      </c>
      <c r="L154" s="62">
        <f t="shared" si="7"/>
        <v>23128</v>
      </c>
      <c r="M154" s="62">
        <f>CARPETA!$L154+35</f>
        <v>23163</v>
      </c>
      <c r="N154" s="62" t="s">
        <v>206</v>
      </c>
      <c r="O154" s="8"/>
      <c r="P154" s="8"/>
      <c r="Q154" s="15">
        <v>4205.0</v>
      </c>
      <c r="R154" s="15">
        <f>CARPETA!$Q154*CARPETA!$E154</f>
        <v>4205</v>
      </c>
      <c r="S154" s="15">
        <f>CARPETA!$R154*16%</f>
        <v>672.8</v>
      </c>
      <c r="T154" s="15">
        <f>CARPETA!$R154+CARPETA!$S154</f>
        <v>4877.8</v>
      </c>
      <c r="U154" s="8" t="s">
        <v>161</v>
      </c>
      <c r="V154" s="17" t="s">
        <v>44</v>
      </c>
      <c r="W154" s="15"/>
    </row>
    <row r="155" ht="15.75" hidden="1" customHeight="1">
      <c r="A155" s="6">
        <v>25.0</v>
      </c>
      <c r="B155" s="6">
        <v>6.0</v>
      </c>
      <c r="C155" s="8">
        <v>270.0</v>
      </c>
      <c r="D155" s="9">
        <f t="shared" si="6"/>
        <v>46192</v>
      </c>
      <c r="E155" s="8">
        <v>1.0</v>
      </c>
      <c r="F155" s="8" t="s">
        <v>157</v>
      </c>
      <c r="G155" s="8" t="s">
        <v>193</v>
      </c>
      <c r="H155" s="6">
        <v>14.0</v>
      </c>
      <c r="I155" s="8"/>
      <c r="J155" s="8" t="s">
        <v>81</v>
      </c>
      <c r="K155" s="35" t="s">
        <v>36</v>
      </c>
      <c r="L155" s="62">
        <f t="shared" si="7"/>
        <v>23163</v>
      </c>
      <c r="M155" s="62">
        <f>CARPETA!$L155+37</f>
        <v>23200</v>
      </c>
      <c r="N155" s="62" t="s">
        <v>206</v>
      </c>
      <c r="O155" s="8"/>
      <c r="P155" s="8"/>
      <c r="Q155" s="15">
        <v>4205.0</v>
      </c>
      <c r="R155" s="15">
        <f>CARPETA!$Q155*CARPETA!$E155</f>
        <v>4205</v>
      </c>
      <c r="S155" s="15">
        <f>CARPETA!$R155*16%</f>
        <v>672.8</v>
      </c>
      <c r="T155" s="15">
        <f>CARPETA!$R155+CARPETA!$S155</f>
        <v>4877.8</v>
      </c>
      <c r="U155" s="8" t="s">
        <v>161</v>
      </c>
      <c r="V155" s="17" t="s">
        <v>44</v>
      </c>
      <c r="W155" s="15"/>
    </row>
    <row r="156" ht="15.75" customHeight="1">
      <c r="A156" s="6">
        <v>25.0</v>
      </c>
      <c r="B156" s="6">
        <v>7.0</v>
      </c>
      <c r="C156" s="39">
        <v>271.0</v>
      </c>
      <c r="D156" s="40">
        <f t="shared" si="6"/>
        <v>46192</v>
      </c>
      <c r="E156" s="8">
        <v>1.0</v>
      </c>
      <c r="F156" s="8" t="s">
        <v>31</v>
      </c>
      <c r="G156" s="8" t="s">
        <v>211</v>
      </c>
      <c r="H156" s="6">
        <v>14.0</v>
      </c>
      <c r="I156" s="8" t="s">
        <v>34</v>
      </c>
      <c r="J156" s="8" t="s">
        <v>212</v>
      </c>
      <c r="K156" s="35" t="s">
        <v>50</v>
      </c>
      <c r="L156" s="62">
        <f t="shared" si="7"/>
        <v>23200</v>
      </c>
      <c r="M156" s="62">
        <f>CARPETA!$L156+39</f>
        <v>23239</v>
      </c>
      <c r="N156" s="62" t="s">
        <v>206</v>
      </c>
      <c r="O156" s="8"/>
      <c r="P156" s="35" t="s">
        <v>109</v>
      </c>
      <c r="Q156" s="41">
        <v>5900.0</v>
      </c>
      <c r="R156" s="15">
        <f>CARPETA!$Q156*CARPETA!$E156</f>
        <v>5900</v>
      </c>
      <c r="S156" s="15">
        <f>CARPETA!$R156*16%</f>
        <v>944</v>
      </c>
      <c r="T156" s="15">
        <f>CARPETA!$R156+CARPETA!$S156</f>
        <v>6844</v>
      </c>
      <c r="U156" s="35" t="s">
        <v>110</v>
      </c>
      <c r="V156" s="15"/>
      <c r="W156" s="15"/>
    </row>
    <row r="157" ht="15.75" customHeight="1">
      <c r="A157" s="6">
        <v>25.0</v>
      </c>
      <c r="B157" s="6">
        <v>8.0</v>
      </c>
      <c r="C157" s="39">
        <v>272.0</v>
      </c>
      <c r="D157" s="40">
        <f t="shared" si="6"/>
        <v>46192</v>
      </c>
      <c r="E157" s="8">
        <v>1.0</v>
      </c>
      <c r="F157" s="8" t="s">
        <v>31</v>
      </c>
      <c r="G157" s="8" t="s">
        <v>287</v>
      </c>
      <c r="H157" s="6">
        <v>14.0</v>
      </c>
      <c r="I157" s="8" t="s">
        <v>34</v>
      </c>
      <c r="J157" s="8" t="s">
        <v>288</v>
      </c>
      <c r="K157" s="35" t="s">
        <v>50</v>
      </c>
      <c r="L157" s="62">
        <f t="shared" si="7"/>
        <v>23239</v>
      </c>
      <c r="M157" s="62">
        <f>CARPETA!$L157+32</f>
        <v>23271</v>
      </c>
      <c r="N157" s="62" t="s">
        <v>206</v>
      </c>
      <c r="O157" s="8"/>
      <c r="P157" s="35" t="s">
        <v>109</v>
      </c>
      <c r="Q157" s="41">
        <v>5900.0</v>
      </c>
      <c r="R157" s="15">
        <f>CARPETA!$Q157*CARPETA!$E157</f>
        <v>5900</v>
      </c>
      <c r="S157" s="15">
        <f>CARPETA!$R157*16%</f>
        <v>944</v>
      </c>
      <c r="T157" s="15">
        <f>CARPETA!$R157+CARPETA!$S157</f>
        <v>6844</v>
      </c>
      <c r="U157" s="35" t="s">
        <v>110</v>
      </c>
      <c r="V157" s="15"/>
      <c r="W157" s="15"/>
    </row>
    <row r="158" ht="15.75" customHeight="1">
      <c r="A158" s="6">
        <v>25.0</v>
      </c>
      <c r="B158" s="6">
        <v>9.0</v>
      </c>
      <c r="C158" s="39">
        <v>273.0</v>
      </c>
      <c r="D158" s="40">
        <f t="shared" si="6"/>
        <v>46192</v>
      </c>
      <c r="E158" s="8">
        <v>1.0</v>
      </c>
      <c r="F158" s="8" t="s">
        <v>31</v>
      </c>
      <c r="G158" s="8" t="s">
        <v>205</v>
      </c>
      <c r="H158" s="6">
        <v>14.0</v>
      </c>
      <c r="I158" s="8" t="s">
        <v>34</v>
      </c>
      <c r="J158" s="8" t="s">
        <v>122</v>
      </c>
      <c r="K158" s="35" t="s">
        <v>50</v>
      </c>
      <c r="L158" s="62">
        <f t="shared" si="7"/>
        <v>23271</v>
      </c>
      <c r="M158" s="62">
        <f>CARPETA!$L158+37</f>
        <v>23308</v>
      </c>
      <c r="N158" s="62" t="s">
        <v>206</v>
      </c>
      <c r="O158" s="8"/>
      <c r="P158" s="35" t="s">
        <v>109</v>
      </c>
      <c r="Q158" s="41">
        <v>5900.0</v>
      </c>
      <c r="R158" s="15">
        <f>CARPETA!$Q158*CARPETA!$E158</f>
        <v>5900</v>
      </c>
      <c r="S158" s="15">
        <f>CARPETA!$R158*16%</f>
        <v>944</v>
      </c>
      <c r="T158" s="15">
        <f>CARPETA!$R158+CARPETA!$S158</f>
        <v>6844</v>
      </c>
      <c r="U158" s="35" t="s">
        <v>110</v>
      </c>
      <c r="V158" s="15"/>
      <c r="W158" s="15"/>
    </row>
    <row r="159" ht="15.75" customHeight="1">
      <c r="A159" s="6">
        <v>25.0</v>
      </c>
      <c r="B159" s="6">
        <v>10.0</v>
      </c>
      <c r="C159" s="39">
        <v>274.0</v>
      </c>
      <c r="D159" s="40">
        <f t="shared" si="6"/>
        <v>46192</v>
      </c>
      <c r="E159" s="8">
        <v>1.0</v>
      </c>
      <c r="F159" s="8" t="s">
        <v>31</v>
      </c>
      <c r="G159" s="8" t="s">
        <v>295</v>
      </c>
      <c r="H159" s="6">
        <v>14.0</v>
      </c>
      <c r="I159" s="8" t="s">
        <v>34</v>
      </c>
      <c r="J159" s="8" t="s">
        <v>118</v>
      </c>
      <c r="K159" s="35" t="s">
        <v>50</v>
      </c>
      <c r="L159" s="62">
        <f t="shared" si="7"/>
        <v>23308</v>
      </c>
      <c r="M159" s="62">
        <f>CARPETA!$L159+34</f>
        <v>23342</v>
      </c>
      <c r="N159" s="62" t="s">
        <v>206</v>
      </c>
      <c r="O159" s="8"/>
      <c r="P159" s="35" t="s">
        <v>109</v>
      </c>
      <c r="Q159" s="41">
        <v>5900.0</v>
      </c>
      <c r="R159" s="15">
        <f>CARPETA!$Q159*CARPETA!$E159</f>
        <v>5900</v>
      </c>
      <c r="S159" s="15">
        <f>CARPETA!$R159*16%</f>
        <v>944</v>
      </c>
      <c r="T159" s="15">
        <f>CARPETA!$R159+CARPETA!$S159</f>
        <v>6844</v>
      </c>
      <c r="U159" s="35" t="s">
        <v>110</v>
      </c>
      <c r="V159" s="15"/>
      <c r="W159" s="15"/>
    </row>
    <row r="160" ht="15.75" customHeight="1">
      <c r="A160" s="6">
        <v>25.0</v>
      </c>
      <c r="B160" s="6">
        <v>11.0</v>
      </c>
      <c r="C160" s="39">
        <v>275.0</v>
      </c>
      <c r="D160" s="40">
        <f t="shared" si="6"/>
        <v>46192</v>
      </c>
      <c r="E160" s="8">
        <v>1.0</v>
      </c>
      <c r="F160" s="8" t="s">
        <v>31</v>
      </c>
      <c r="G160" s="8" t="s">
        <v>300</v>
      </c>
      <c r="H160" s="6">
        <v>14.0</v>
      </c>
      <c r="I160" s="8" t="s">
        <v>34</v>
      </c>
      <c r="J160" s="8" t="s">
        <v>114</v>
      </c>
      <c r="K160" s="35" t="s">
        <v>50</v>
      </c>
      <c r="L160" s="62">
        <f t="shared" si="7"/>
        <v>23342</v>
      </c>
      <c r="M160" s="62">
        <f>CARPETA!$L160+36</f>
        <v>23378</v>
      </c>
      <c r="N160" s="62" t="s">
        <v>206</v>
      </c>
      <c r="O160" s="8"/>
      <c r="P160" s="35" t="s">
        <v>109</v>
      </c>
      <c r="Q160" s="41">
        <v>5900.0</v>
      </c>
      <c r="R160" s="15">
        <f>CARPETA!$Q160*CARPETA!$E160</f>
        <v>5900</v>
      </c>
      <c r="S160" s="15">
        <f>CARPETA!$R160*16%</f>
        <v>944</v>
      </c>
      <c r="T160" s="15">
        <f>CARPETA!$R160+CARPETA!$S160</f>
        <v>6844</v>
      </c>
      <c r="U160" s="35" t="s">
        <v>110</v>
      </c>
      <c r="V160" s="15"/>
      <c r="W160" s="15"/>
    </row>
    <row r="161" ht="15.75" customHeight="1">
      <c r="A161" s="6">
        <v>25.0</v>
      </c>
      <c r="B161" s="6">
        <v>12.0</v>
      </c>
      <c r="C161" s="39">
        <v>276.0</v>
      </c>
      <c r="D161" s="40">
        <f t="shared" si="6"/>
        <v>46192</v>
      </c>
      <c r="E161" s="8">
        <v>1.0</v>
      </c>
      <c r="F161" s="8" t="s">
        <v>31</v>
      </c>
      <c r="G161" s="8" t="s">
        <v>303</v>
      </c>
      <c r="H161" s="6">
        <v>14.0</v>
      </c>
      <c r="I161" s="8" t="s">
        <v>34</v>
      </c>
      <c r="J161" s="8" t="s">
        <v>210</v>
      </c>
      <c r="K161" s="35" t="s">
        <v>50</v>
      </c>
      <c r="L161" s="62">
        <f t="shared" si="7"/>
        <v>23378</v>
      </c>
      <c r="M161" s="62">
        <f>CARPETA!$L161+33</f>
        <v>23411</v>
      </c>
      <c r="N161" s="62" t="s">
        <v>206</v>
      </c>
      <c r="O161" s="8"/>
      <c r="P161" s="35" t="s">
        <v>109</v>
      </c>
      <c r="Q161" s="41">
        <v>5900.0</v>
      </c>
      <c r="R161" s="15">
        <f>CARPETA!$Q161*CARPETA!$E161</f>
        <v>5900</v>
      </c>
      <c r="S161" s="15">
        <f>CARPETA!$R161*16%</f>
        <v>944</v>
      </c>
      <c r="T161" s="15">
        <f>CARPETA!$R161+CARPETA!$S161</f>
        <v>6844</v>
      </c>
      <c r="U161" s="35" t="s">
        <v>110</v>
      </c>
      <c r="V161" s="15"/>
      <c r="W161" s="15"/>
    </row>
    <row r="162" ht="15.75" customHeight="1">
      <c r="A162" s="6">
        <v>25.0</v>
      </c>
      <c r="B162" s="6">
        <v>13.0</v>
      </c>
      <c r="C162" s="39">
        <v>277.0</v>
      </c>
      <c r="D162" s="40">
        <f t="shared" si="6"/>
        <v>46192</v>
      </c>
      <c r="E162" s="8">
        <v>1.0</v>
      </c>
      <c r="F162" s="8" t="s">
        <v>31</v>
      </c>
      <c r="G162" s="8" t="s">
        <v>251</v>
      </c>
      <c r="H162" s="6">
        <v>14.0</v>
      </c>
      <c r="I162" s="8" t="s">
        <v>34</v>
      </c>
      <c r="J162" s="8" t="s">
        <v>204</v>
      </c>
      <c r="K162" s="35" t="s">
        <v>50</v>
      </c>
      <c r="L162" s="62">
        <f t="shared" si="7"/>
        <v>23411</v>
      </c>
      <c r="M162" s="62">
        <f>CARPETA!$L162+36</f>
        <v>23447</v>
      </c>
      <c r="N162" s="62" t="s">
        <v>206</v>
      </c>
      <c r="O162" s="8"/>
      <c r="P162" s="35" t="s">
        <v>109</v>
      </c>
      <c r="Q162" s="41">
        <v>5900.0</v>
      </c>
      <c r="R162" s="15">
        <f>CARPETA!$Q162*CARPETA!$E162</f>
        <v>5900</v>
      </c>
      <c r="S162" s="15">
        <f>CARPETA!$R162*16%</f>
        <v>944</v>
      </c>
      <c r="T162" s="15">
        <f>CARPETA!$R162+CARPETA!$S162</f>
        <v>6844</v>
      </c>
      <c r="U162" s="35" t="s">
        <v>110</v>
      </c>
      <c r="V162" s="15"/>
      <c r="W162" s="15"/>
    </row>
    <row r="163" ht="15.75" customHeight="1">
      <c r="A163" s="6">
        <v>25.0</v>
      </c>
      <c r="B163" s="6">
        <v>14.0</v>
      </c>
      <c r="C163" s="39">
        <v>278.0</v>
      </c>
      <c r="D163" s="40">
        <f t="shared" si="6"/>
        <v>46192</v>
      </c>
      <c r="E163" s="8">
        <v>1.0</v>
      </c>
      <c r="F163" s="8" t="s">
        <v>31</v>
      </c>
      <c r="G163" s="8" t="s">
        <v>207</v>
      </c>
      <c r="H163" s="6">
        <v>14.0</v>
      </c>
      <c r="I163" s="8" t="s">
        <v>34</v>
      </c>
      <c r="J163" s="8" t="s">
        <v>208</v>
      </c>
      <c r="K163" s="35" t="s">
        <v>50</v>
      </c>
      <c r="L163" s="62">
        <f t="shared" si="7"/>
        <v>23447</v>
      </c>
      <c r="M163" s="62">
        <f>CARPETA!$L163+38</f>
        <v>23485</v>
      </c>
      <c r="N163" s="62" t="s">
        <v>206</v>
      </c>
      <c r="O163" s="8"/>
      <c r="P163" s="35" t="s">
        <v>109</v>
      </c>
      <c r="Q163" s="41">
        <v>5900.0</v>
      </c>
      <c r="R163" s="15">
        <f>CARPETA!$Q163*CARPETA!$E163</f>
        <v>5900</v>
      </c>
      <c r="S163" s="15">
        <f>CARPETA!$R163*16%</f>
        <v>944</v>
      </c>
      <c r="T163" s="15">
        <f>CARPETA!$R163+CARPETA!$S163</f>
        <v>6844</v>
      </c>
      <c r="U163" s="35" t="s">
        <v>110</v>
      </c>
      <c r="V163" s="15"/>
      <c r="W163" s="15"/>
    </row>
    <row r="164" ht="15.75" customHeight="1">
      <c r="A164" s="6">
        <v>26.0</v>
      </c>
      <c r="B164" s="6">
        <v>1.0</v>
      </c>
      <c r="C164" s="39">
        <v>279.0</v>
      </c>
      <c r="D164" s="40">
        <v>46195.0</v>
      </c>
      <c r="E164" s="8">
        <v>1.0</v>
      </c>
      <c r="F164" s="8" t="s">
        <v>31</v>
      </c>
      <c r="G164" s="8" t="s">
        <v>287</v>
      </c>
      <c r="H164" s="6">
        <v>14.0</v>
      </c>
      <c r="I164" s="8" t="s">
        <v>34</v>
      </c>
      <c r="J164" s="8" t="s">
        <v>288</v>
      </c>
      <c r="K164" s="35" t="s">
        <v>50</v>
      </c>
      <c r="L164" s="62">
        <v>34700.0</v>
      </c>
      <c r="M164" s="62">
        <v>34661.0</v>
      </c>
      <c r="N164" s="62" t="s">
        <v>189</v>
      </c>
      <c r="O164" s="8"/>
      <c r="P164" s="35" t="s">
        <v>109</v>
      </c>
      <c r="Q164" s="41">
        <v>5900.0</v>
      </c>
      <c r="R164" s="15">
        <f>CARPETA!$Q164*CARPETA!$E164</f>
        <v>5900</v>
      </c>
      <c r="S164" s="15">
        <f>CARPETA!$R164*16%</f>
        <v>944</v>
      </c>
      <c r="T164" s="15">
        <f>CARPETA!$R164+CARPETA!$S164</f>
        <v>6844</v>
      </c>
      <c r="U164" s="35" t="s">
        <v>110</v>
      </c>
      <c r="V164" s="15"/>
      <c r="W164" s="15"/>
    </row>
    <row r="165" ht="15.75" customHeight="1">
      <c r="A165" s="6">
        <v>26.0</v>
      </c>
      <c r="B165" s="6">
        <v>2.0</v>
      </c>
      <c r="C165" s="39">
        <v>280.0</v>
      </c>
      <c r="D165" s="40">
        <v>46195.0</v>
      </c>
      <c r="E165" s="8">
        <v>1.0</v>
      </c>
      <c r="F165" s="8" t="s">
        <v>31</v>
      </c>
      <c r="G165" s="8" t="s">
        <v>201</v>
      </c>
      <c r="H165" s="6">
        <v>14.0</v>
      </c>
      <c r="I165" s="8" t="s">
        <v>34</v>
      </c>
      <c r="J165" s="8" t="s">
        <v>312</v>
      </c>
      <c r="K165" s="35" t="s">
        <v>50</v>
      </c>
      <c r="L165" s="62">
        <v>34661.0</v>
      </c>
      <c r="M165" s="62">
        <v>34624.0</v>
      </c>
      <c r="N165" s="62" t="s">
        <v>189</v>
      </c>
      <c r="O165" s="8"/>
      <c r="P165" s="35" t="s">
        <v>109</v>
      </c>
      <c r="Q165" s="41">
        <v>5900.0</v>
      </c>
      <c r="R165" s="15">
        <f>CARPETA!$Q165*CARPETA!$E165</f>
        <v>5900</v>
      </c>
      <c r="S165" s="15">
        <f>CARPETA!$R165*16%</f>
        <v>944</v>
      </c>
      <c r="T165" s="15">
        <f>CARPETA!$R165+CARPETA!$S165</f>
        <v>6844</v>
      </c>
      <c r="U165" s="35" t="s">
        <v>110</v>
      </c>
      <c r="V165" s="15"/>
      <c r="W165" s="15"/>
    </row>
    <row r="166" ht="15.75" customHeight="1">
      <c r="A166" s="6">
        <v>26.0</v>
      </c>
      <c r="B166" s="6">
        <v>3.0</v>
      </c>
      <c r="C166" s="39">
        <v>281.0</v>
      </c>
      <c r="D166" s="40">
        <v>46195.0</v>
      </c>
      <c r="E166" s="8">
        <v>1.0</v>
      </c>
      <c r="F166" s="8" t="s">
        <v>31</v>
      </c>
      <c r="G166" s="8" t="s">
        <v>314</v>
      </c>
      <c r="H166" s="6">
        <v>14.0</v>
      </c>
      <c r="I166" s="8" t="s">
        <v>34</v>
      </c>
      <c r="J166" s="8" t="s">
        <v>315</v>
      </c>
      <c r="K166" s="35" t="s">
        <v>50</v>
      </c>
      <c r="L166" s="62">
        <v>34624.0</v>
      </c>
      <c r="M166" s="62">
        <v>34585.0</v>
      </c>
      <c r="N166" s="62" t="s">
        <v>189</v>
      </c>
      <c r="O166" s="8"/>
      <c r="P166" s="35" t="s">
        <v>109</v>
      </c>
      <c r="Q166" s="41">
        <v>5900.0</v>
      </c>
      <c r="R166" s="15">
        <f>CARPETA!$Q166*CARPETA!$E166</f>
        <v>5900</v>
      </c>
      <c r="S166" s="15">
        <f>CARPETA!$R166*16%</f>
        <v>944</v>
      </c>
      <c r="T166" s="15">
        <f>CARPETA!$R166+CARPETA!$S166</f>
        <v>6844</v>
      </c>
      <c r="U166" s="35" t="s">
        <v>110</v>
      </c>
      <c r="V166" s="15"/>
      <c r="W166" s="15"/>
    </row>
    <row r="167" ht="15.75" customHeight="1">
      <c r="A167" s="6">
        <v>26.0</v>
      </c>
      <c r="B167" s="6">
        <v>4.0</v>
      </c>
      <c r="C167" s="39">
        <v>282.0</v>
      </c>
      <c r="D167" s="40">
        <v>46195.0</v>
      </c>
      <c r="E167" s="8">
        <v>1.0</v>
      </c>
      <c r="F167" s="8" t="s">
        <v>31</v>
      </c>
      <c r="G167" s="8" t="s">
        <v>295</v>
      </c>
      <c r="H167" s="6">
        <v>14.0</v>
      </c>
      <c r="I167" s="8" t="s">
        <v>34</v>
      </c>
      <c r="J167" s="8" t="s">
        <v>118</v>
      </c>
      <c r="K167" s="35" t="s">
        <v>50</v>
      </c>
      <c r="L167" s="62">
        <v>34585.0</v>
      </c>
      <c r="M167" s="62">
        <v>34550.0</v>
      </c>
      <c r="N167" s="62" t="s">
        <v>189</v>
      </c>
      <c r="O167" s="8"/>
      <c r="P167" s="35" t="s">
        <v>109</v>
      </c>
      <c r="Q167" s="41">
        <v>5900.0</v>
      </c>
      <c r="R167" s="15">
        <f>CARPETA!$Q167*CARPETA!$E167</f>
        <v>5900</v>
      </c>
      <c r="S167" s="15">
        <f>CARPETA!$R167*16%</f>
        <v>944</v>
      </c>
      <c r="T167" s="15">
        <f>CARPETA!$R167+CARPETA!$S167</f>
        <v>6844</v>
      </c>
      <c r="U167" s="35" t="s">
        <v>110</v>
      </c>
      <c r="V167" s="15"/>
      <c r="W167" s="15"/>
    </row>
    <row r="168" ht="15.75" customHeight="1">
      <c r="A168" s="6">
        <v>26.0</v>
      </c>
      <c r="B168" s="6">
        <v>5.0</v>
      </c>
      <c r="C168" s="39">
        <v>283.0</v>
      </c>
      <c r="D168" s="40">
        <v>46195.0</v>
      </c>
      <c r="E168" s="8">
        <v>1.0</v>
      </c>
      <c r="F168" s="8" t="s">
        <v>31</v>
      </c>
      <c r="G168" s="8" t="s">
        <v>211</v>
      </c>
      <c r="H168" s="6">
        <v>14.0</v>
      </c>
      <c r="I168" s="8" t="s">
        <v>34</v>
      </c>
      <c r="J168" s="8" t="s">
        <v>212</v>
      </c>
      <c r="K168" s="35" t="s">
        <v>50</v>
      </c>
      <c r="L168" s="62">
        <v>34550.0</v>
      </c>
      <c r="M168" s="62">
        <v>34508.0</v>
      </c>
      <c r="N168" s="62" t="s">
        <v>189</v>
      </c>
      <c r="O168" s="8"/>
      <c r="P168" s="35" t="s">
        <v>109</v>
      </c>
      <c r="Q168" s="41">
        <v>5900.0</v>
      </c>
      <c r="R168" s="15">
        <f>CARPETA!$Q168*CARPETA!$E168</f>
        <v>5900</v>
      </c>
      <c r="S168" s="15">
        <f>CARPETA!$R168*16%</f>
        <v>944</v>
      </c>
      <c r="T168" s="15">
        <f>CARPETA!$R168+CARPETA!$S168</f>
        <v>6844</v>
      </c>
      <c r="U168" s="35" t="s">
        <v>110</v>
      </c>
      <c r="V168" s="15"/>
      <c r="W168" s="15"/>
    </row>
    <row r="169" ht="15.75" hidden="1" customHeight="1">
      <c r="A169" s="6">
        <v>26.0</v>
      </c>
      <c r="B169" s="6">
        <v>6.0</v>
      </c>
      <c r="C169" s="8">
        <v>284.0</v>
      </c>
      <c r="D169" s="9">
        <v>46195.0</v>
      </c>
      <c r="E169" s="8">
        <v>1.0</v>
      </c>
      <c r="F169" s="8" t="s">
        <v>157</v>
      </c>
      <c r="G169" s="8" t="s">
        <v>198</v>
      </c>
      <c r="H169" s="6">
        <v>14.0</v>
      </c>
      <c r="I169" s="8"/>
      <c r="J169" s="8" t="s">
        <v>106</v>
      </c>
      <c r="K169" s="35" t="s">
        <v>36</v>
      </c>
      <c r="L169" s="62">
        <v>34508.0</v>
      </c>
      <c r="M169" s="62">
        <v>34465.0</v>
      </c>
      <c r="N169" s="62" t="s">
        <v>189</v>
      </c>
      <c r="O169" s="8"/>
      <c r="P169" s="8"/>
      <c r="Q169" s="15">
        <v>4205.0</v>
      </c>
      <c r="R169" s="15">
        <f>CARPETA!$Q169*CARPETA!$E169</f>
        <v>4205</v>
      </c>
      <c r="S169" s="15">
        <f>CARPETA!$R169*16%</f>
        <v>672.8</v>
      </c>
      <c r="T169" s="15">
        <f>CARPETA!$R169+CARPETA!$S169</f>
        <v>4877.8</v>
      </c>
      <c r="U169" s="8" t="s">
        <v>215</v>
      </c>
      <c r="V169" s="41" t="s">
        <v>44</v>
      </c>
      <c r="W169" s="15"/>
    </row>
    <row r="170" ht="15.75" hidden="1" customHeight="1">
      <c r="A170" s="6">
        <v>26.0</v>
      </c>
      <c r="B170" s="6">
        <v>7.0</v>
      </c>
      <c r="C170" s="8">
        <v>285.0</v>
      </c>
      <c r="D170" s="9">
        <v>46195.0</v>
      </c>
      <c r="E170" s="8">
        <v>1.0</v>
      </c>
      <c r="F170" s="8" t="s">
        <v>157</v>
      </c>
      <c r="G170" s="8" t="s">
        <v>193</v>
      </c>
      <c r="H170" s="6">
        <v>14.0</v>
      </c>
      <c r="I170" s="8"/>
      <c r="J170" s="8" t="s">
        <v>216</v>
      </c>
      <c r="K170" s="35" t="s">
        <v>36</v>
      </c>
      <c r="L170" s="62">
        <v>34465.0</v>
      </c>
      <c r="M170" s="62">
        <v>34424.0</v>
      </c>
      <c r="N170" s="62" t="s">
        <v>189</v>
      </c>
      <c r="O170" s="8"/>
      <c r="P170" s="8"/>
      <c r="Q170" s="15">
        <v>4205.0</v>
      </c>
      <c r="R170" s="15">
        <f>CARPETA!$Q170*CARPETA!$E170</f>
        <v>4205</v>
      </c>
      <c r="S170" s="15">
        <f>CARPETA!$R170*16%</f>
        <v>672.8</v>
      </c>
      <c r="T170" s="15">
        <f>CARPETA!$R170+CARPETA!$S170</f>
        <v>4877.8</v>
      </c>
      <c r="U170" s="8" t="s">
        <v>215</v>
      </c>
      <c r="V170" s="41" t="s">
        <v>44</v>
      </c>
      <c r="W170" s="15"/>
    </row>
    <row r="171" ht="15.75" hidden="1" customHeight="1">
      <c r="A171" s="6">
        <v>26.0</v>
      </c>
      <c r="B171" s="6">
        <v>8.0</v>
      </c>
      <c r="C171" s="8">
        <v>286.0</v>
      </c>
      <c r="D171" s="9">
        <v>46195.0</v>
      </c>
      <c r="E171" s="8">
        <v>1.0</v>
      </c>
      <c r="F171" s="8" t="s">
        <v>157</v>
      </c>
      <c r="G171" s="8" t="s">
        <v>218</v>
      </c>
      <c r="H171" s="6">
        <v>14.0</v>
      </c>
      <c r="I171" s="8"/>
      <c r="J171" s="8" t="s">
        <v>83</v>
      </c>
      <c r="K171" s="35" t="s">
        <v>36</v>
      </c>
      <c r="L171" s="62">
        <v>34424.0</v>
      </c>
      <c r="M171" s="62">
        <v>34387.0</v>
      </c>
      <c r="N171" s="62" t="s">
        <v>189</v>
      </c>
      <c r="O171" s="8"/>
      <c r="P171" s="8"/>
      <c r="Q171" s="15">
        <v>4205.0</v>
      </c>
      <c r="R171" s="15">
        <f>CARPETA!$Q171*CARPETA!$E171</f>
        <v>4205</v>
      </c>
      <c r="S171" s="15">
        <f>CARPETA!$R171*16%</f>
        <v>672.8</v>
      </c>
      <c r="T171" s="15">
        <f>CARPETA!$R171+CARPETA!$S171</f>
        <v>4877.8</v>
      </c>
      <c r="U171" s="8" t="s">
        <v>215</v>
      </c>
      <c r="V171" s="41" t="s">
        <v>44</v>
      </c>
      <c r="W171" s="15"/>
    </row>
    <row r="172" ht="15.75" hidden="1" customHeight="1">
      <c r="A172" s="6">
        <v>26.0</v>
      </c>
      <c r="B172" s="6"/>
      <c r="C172" s="8">
        <v>220.0</v>
      </c>
      <c r="D172" s="9">
        <v>46196.0</v>
      </c>
      <c r="E172" s="8">
        <v>1.0</v>
      </c>
      <c r="F172" s="8" t="s">
        <v>219</v>
      </c>
      <c r="G172" s="8"/>
      <c r="H172" s="6"/>
      <c r="I172" s="8"/>
      <c r="J172" s="8"/>
      <c r="K172" s="35" t="s">
        <v>36</v>
      </c>
      <c r="L172" s="62"/>
      <c r="M172" s="62"/>
      <c r="N172" s="62"/>
      <c r="O172" s="8"/>
      <c r="P172" s="8"/>
      <c r="Q172" s="15">
        <v>1000.0</v>
      </c>
      <c r="R172" s="15">
        <f>CARPETA!$Q172*CARPETA!$E172</f>
        <v>1000</v>
      </c>
      <c r="S172" s="15">
        <f>CARPETA!$R172*16%</f>
        <v>160</v>
      </c>
      <c r="T172" s="15">
        <f>CARPETA!$R172+CARPETA!$S172</f>
        <v>1160</v>
      </c>
      <c r="U172" s="8" t="s">
        <v>215</v>
      </c>
      <c r="V172" s="41" t="s">
        <v>44</v>
      </c>
      <c r="W172" s="15"/>
    </row>
    <row r="173" ht="15.75" customHeight="1">
      <c r="A173" s="6">
        <v>26.0</v>
      </c>
      <c r="B173" s="6">
        <v>1.0</v>
      </c>
      <c r="C173" s="84" t="s">
        <v>331</v>
      </c>
      <c r="D173" s="40">
        <v>46196.0</v>
      </c>
      <c r="E173" s="8">
        <v>1.0</v>
      </c>
      <c r="F173" s="8" t="s">
        <v>31</v>
      </c>
      <c r="G173" s="8" t="s">
        <v>316</v>
      </c>
      <c r="H173" s="6">
        <v>14.0</v>
      </c>
      <c r="I173" s="8" t="s">
        <v>34</v>
      </c>
      <c r="J173" s="8" t="s">
        <v>122</v>
      </c>
      <c r="K173" s="35" t="s">
        <v>50</v>
      </c>
      <c r="L173" s="62">
        <v>23020.0</v>
      </c>
      <c r="M173" s="62">
        <v>23061.0</v>
      </c>
      <c r="N173" s="62" t="s">
        <v>206</v>
      </c>
      <c r="O173" s="8"/>
      <c r="P173" s="35" t="s">
        <v>334</v>
      </c>
      <c r="Q173" s="41">
        <v>7500.0</v>
      </c>
      <c r="R173" s="15">
        <f>CARPETA!$Q173*CARPETA!$E173</f>
        <v>7500</v>
      </c>
      <c r="S173" s="15">
        <f>CARPETA!$R173*16%</f>
        <v>1200</v>
      </c>
      <c r="T173" s="15">
        <f>CARPETA!$R173+CARPETA!$S173</f>
        <v>8700</v>
      </c>
      <c r="U173" s="35" t="s">
        <v>110</v>
      </c>
      <c r="V173" s="52" t="s">
        <v>44</v>
      </c>
      <c r="W173" s="34" t="s">
        <v>335</v>
      </c>
    </row>
    <row r="174" ht="15.75" customHeight="1">
      <c r="A174" s="6">
        <v>26.0</v>
      </c>
      <c r="B174" s="6">
        <v>2.0</v>
      </c>
      <c r="C174" s="84" t="s">
        <v>336</v>
      </c>
      <c r="D174" s="40">
        <v>46196.0</v>
      </c>
      <c r="E174" s="8">
        <v>1.0</v>
      </c>
      <c r="F174" s="8" t="s">
        <v>31</v>
      </c>
      <c r="G174" s="8" t="s">
        <v>337</v>
      </c>
      <c r="H174" s="6">
        <v>14.0</v>
      </c>
      <c r="I174" s="8" t="s">
        <v>34</v>
      </c>
      <c r="J174" s="8" t="s">
        <v>195</v>
      </c>
      <c r="K174" s="35" t="s">
        <v>50</v>
      </c>
      <c r="L174" s="62">
        <v>23061.0</v>
      </c>
      <c r="M174" s="62">
        <v>23101.0</v>
      </c>
      <c r="N174" s="62" t="s">
        <v>206</v>
      </c>
      <c r="O174" s="8"/>
      <c r="P174" s="35" t="s">
        <v>334</v>
      </c>
      <c r="Q174" s="41">
        <v>7500.0</v>
      </c>
      <c r="R174" s="15">
        <f>CARPETA!$Q174*CARPETA!$E174</f>
        <v>7500</v>
      </c>
      <c r="S174" s="15">
        <f>CARPETA!$R174*16%</f>
        <v>1200</v>
      </c>
      <c r="T174" s="15">
        <f>CARPETA!$R174+CARPETA!$S174</f>
        <v>8700</v>
      </c>
      <c r="U174" s="35" t="s">
        <v>110</v>
      </c>
      <c r="V174" s="15"/>
      <c r="W174" s="15"/>
    </row>
    <row r="175" ht="15.75" customHeight="1">
      <c r="A175" s="6">
        <v>26.0</v>
      </c>
      <c r="B175" s="6">
        <v>3.0</v>
      </c>
      <c r="C175" s="84" t="s">
        <v>342</v>
      </c>
      <c r="D175" s="40">
        <v>46196.0</v>
      </c>
      <c r="E175" s="8">
        <v>1.0</v>
      </c>
      <c r="F175" s="8" t="s">
        <v>31</v>
      </c>
      <c r="G175" s="8" t="s">
        <v>201</v>
      </c>
      <c r="H175" s="6">
        <v>14.0</v>
      </c>
      <c r="I175" s="8" t="s">
        <v>34</v>
      </c>
      <c r="J175" s="8" t="s">
        <v>312</v>
      </c>
      <c r="K175" s="35" t="s">
        <v>50</v>
      </c>
      <c r="L175" s="62">
        <v>23101.0</v>
      </c>
      <c r="M175" s="62">
        <v>23138.0</v>
      </c>
      <c r="N175" s="62" t="s">
        <v>206</v>
      </c>
      <c r="O175" s="8"/>
      <c r="P175" s="35" t="s">
        <v>334</v>
      </c>
      <c r="Q175" s="41">
        <v>7500.0</v>
      </c>
      <c r="R175" s="15">
        <f>CARPETA!$Q175*CARPETA!$E175</f>
        <v>7500</v>
      </c>
      <c r="S175" s="15">
        <f>CARPETA!$R175*16%</f>
        <v>1200</v>
      </c>
      <c r="T175" s="15">
        <f>CARPETA!$R175+CARPETA!$S175</f>
        <v>8700</v>
      </c>
      <c r="U175" s="35" t="s">
        <v>110</v>
      </c>
      <c r="V175" s="15"/>
      <c r="W175" s="15"/>
    </row>
    <row r="176" ht="15.75" customHeight="1">
      <c r="A176" s="6">
        <v>26.0</v>
      </c>
      <c r="B176" s="6">
        <v>4.0</v>
      </c>
      <c r="C176" s="84" t="s">
        <v>346</v>
      </c>
      <c r="D176" s="40">
        <v>46196.0</v>
      </c>
      <c r="E176" s="8">
        <v>1.0</v>
      </c>
      <c r="F176" s="8" t="s">
        <v>31</v>
      </c>
      <c r="G176" s="8" t="s">
        <v>211</v>
      </c>
      <c r="H176" s="6">
        <v>14.0</v>
      </c>
      <c r="I176" s="8" t="s">
        <v>34</v>
      </c>
      <c r="J176" s="8" t="s">
        <v>212</v>
      </c>
      <c r="K176" s="35" t="s">
        <v>50</v>
      </c>
      <c r="L176" s="62">
        <v>23138.0</v>
      </c>
      <c r="M176" s="62">
        <v>23180.0</v>
      </c>
      <c r="N176" s="62" t="s">
        <v>206</v>
      </c>
      <c r="O176" s="8"/>
      <c r="P176" s="35" t="s">
        <v>334</v>
      </c>
      <c r="Q176" s="41">
        <v>7500.0</v>
      </c>
      <c r="R176" s="15">
        <f>CARPETA!$Q176*CARPETA!$E176</f>
        <v>7500</v>
      </c>
      <c r="S176" s="15">
        <f>CARPETA!$R176*16%</f>
        <v>1200</v>
      </c>
      <c r="T176" s="15">
        <f>CARPETA!$R176+CARPETA!$S176</f>
        <v>8700</v>
      </c>
      <c r="U176" s="35" t="s">
        <v>110</v>
      </c>
      <c r="V176" s="15"/>
      <c r="W176" s="15"/>
    </row>
    <row r="177" ht="15.75" customHeight="1">
      <c r="A177" s="6">
        <v>26.0</v>
      </c>
      <c r="B177" s="6">
        <v>5.0</v>
      </c>
      <c r="C177" s="84" t="s">
        <v>350</v>
      </c>
      <c r="D177" s="40">
        <v>46196.0</v>
      </c>
      <c r="E177" s="8">
        <v>1.0</v>
      </c>
      <c r="F177" s="8" t="s">
        <v>31</v>
      </c>
      <c r="G177" s="8" t="s">
        <v>196</v>
      </c>
      <c r="H177" s="6">
        <v>14.0</v>
      </c>
      <c r="I177" s="8" t="s">
        <v>34</v>
      </c>
      <c r="J177" s="8" t="s">
        <v>351</v>
      </c>
      <c r="K177" s="35" t="s">
        <v>50</v>
      </c>
      <c r="L177" s="62">
        <v>23180.0</v>
      </c>
      <c r="M177" s="62">
        <v>23221.0</v>
      </c>
      <c r="N177" s="62" t="s">
        <v>206</v>
      </c>
      <c r="O177" s="8"/>
      <c r="P177" s="35" t="s">
        <v>334</v>
      </c>
      <c r="Q177" s="41">
        <v>7500.0</v>
      </c>
      <c r="R177" s="15">
        <f>CARPETA!$Q177*CARPETA!$E177</f>
        <v>7500</v>
      </c>
      <c r="S177" s="15">
        <f>CARPETA!$R177*16%</f>
        <v>1200</v>
      </c>
      <c r="T177" s="15">
        <f>CARPETA!$R177+CARPETA!$S177</f>
        <v>8700</v>
      </c>
      <c r="U177" s="35" t="s">
        <v>110</v>
      </c>
      <c r="V177" s="15"/>
      <c r="W177" s="15"/>
    </row>
    <row r="178" ht="15.75" hidden="1" customHeight="1">
      <c r="A178" s="6">
        <v>26.0</v>
      </c>
      <c r="B178" s="6">
        <v>6.0</v>
      </c>
      <c r="C178" s="8">
        <v>226.0</v>
      </c>
      <c r="D178" s="9">
        <v>46196.0</v>
      </c>
      <c r="E178" s="8">
        <v>1.0</v>
      </c>
      <c r="F178" s="8" t="s">
        <v>157</v>
      </c>
      <c r="G178" s="8" t="s">
        <v>192</v>
      </c>
      <c r="H178" s="6">
        <v>14.0</v>
      </c>
      <c r="I178" s="67">
        <v>24320.0</v>
      </c>
      <c r="J178" s="8" t="s">
        <v>220</v>
      </c>
      <c r="K178" s="35" t="s">
        <v>36</v>
      </c>
      <c r="L178" s="62">
        <v>23221.0</v>
      </c>
      <c r="M178" s="62">
        <v>23257.0</v>
      </c>
      <c r="N178" s="62" t="s">
        <v>206</v>
      </c>
      <c r="O178" s="8"/>
      <c r="P178" s="8" t="s">
        <v>221</v>
      </c>
      <c r="Q178" s="15">
        <v>7340.0</v>
      </c>
      <c r="R178" s="15">
        <f>CARPETA!$Q178*CARPETA!$E178</f>
        <v>7340</v>
      </c>
      <c r="S178" s="15">
        <f>CARPETA!$R178*16%</f>
        <v>1174.4</v>
      </c>
      <c r="T178" s="15">
        <f>CARPETA!$R178+CARPETA!$S178</f>
        <v>8514.4</v>
      </c>
      <c r="U178" s="8" t="s">
        <v>215</v>
      </c>
      <c r="V178" s="41" t="s">
        <v>44</v>
      </c>
      <c r="W178" s="15"/>
    </row>
    <row r="179" ht="15.75" hidden="1" customHeight="1">
      <c r="A179" s="6">
        <v>26.0</v>
      </c>
      <c r="B179" s="6">
        <v>7.0</v>
      </c>
      <c r="C179" s="8">
        <v>227.0</v>
      </c>
      <c r="D179" s="9">
        <v>46196.0</v>
      </c>
      <c r="E179" s="8">
        <v>1.0</v>
      </c>
      <c r="F179" s="8" t="s">
        <v>157</v>
      </c>
      <c r="G179" s="8" t="s">
        <v>222</v>
      </c>
      <c r="H179" s="6">
        <v>14.0</v>
      </c>
      <c r="I179" s="67">
        <v>23740.0</v>
      </c>
      <c r="J179" s="8" t="s">
        <v>223</v>
      </c>
      <c r="K179" s="35" t="s">
        <v>36</v>
      </c>
      <c r="L179" s="62">
        <v>23257.0</v>
      </c>
      <c r="M179" s="62">
        <v>23298.0</v>
      </c>
      <c r="N179" s="62" t="s">
        <v>206</v>
      </c>
      <c r="O179" s="8"/>
      <c r="P179" s="8" t="s">
        <v>221</v>
      </c>
      <c r="Q179" s="15">
        <v>7340.0</v>
      </c>
      <c r="R179" s="15">
        <f>CARPETA!$Q179*CARPETA!$E179</f>
        <v>7340</v>
      </c>
      <c r="S179" s="15">
        <f>CARPETA!$R179*16%</f>
        <v>1174.4</v>
      </c>
      <c r="T179" s="15">
        <f>CARPETA!$R179+CARPETA!$S179</f>
        <v>8514.4</v>
      </c>
      <c r="U179" s="8" t="s">
        <v>215</v>
      </c>
      <c r="V179" s="41" t="s">
        <v>44</v>
      </c>
      <c r="W179" s="15"/>
    </row>
    <row r="180" ht="15.75" customHeight="1">
      <c r="A180" s="6">
        <v>26.0</v>
      </c>
      <c r="B180" s="6">
        <v>8.0</v>
      </c>
      <c r="C180" s="84" t="s">
        <v>356</v>
      </c>
      <c r="D180" s="40">
        <v>46196.0</v>
      </c>
      <c r="E180" s="8">
        <v>1.0</v>
      </c>
      <c r="F180" s="8" t="s">
        <v>31</v>
      </c>
      <c r="G180" s="8" t="s">
        <v>295</v>
      </c>
      <c r="H180" s="6">
        <v>14.0</v>
      </c>
      <c r="I180" s="8" t="s">
        <v>34</v>
      </c>
      <c r="J180" s="8" t="s">
        <v>118</v>
      </c>
      <c r="K180" s="35" t="s">
        <v>50</v>
      </c>
      <c r="L180" s="62">
        <v>23298.0</v>
      </c>
      <c r="M180" s="62">
        <v>23334.0</v>
      </c>
      <c r="N180" s="62" t="s">
        <v>206</v>
      </c>
      <c r="O180" s="8"/>
      <c r="P180" s="35" t="s">
        <v>334</v>
      </c>
      <c r="Q180" s="41">
        <v>7500.0</v>
      </c>
      <c r="R180" s="15">
        <f>CARPETA!$Q180*CARPETA!$E180</f>
        <v>7500</v>
      </c>
      <c r="S180" s="15">
        <f>CARPETA!$R180*16%</f>
        <v>1200</v>
      </c>
      <c r="T180" s="15">
        <f>CARPETA!$R180+CARPETA!$S180</f>
        <v>8700</v>
      </c>
      <c r="U180" s="35" t="s">
        <v>110</v>
      </c>
      <c r="V180" s="15"/>
      <c r="W180" s="15"/>
    </row>
    <row r="181" ht="15.75" customHeight="1">
      <c r="A181" s="6">
        <v>26.0</v>
      </c>
      <c r="B181" s="6">
        <v>9.0</v>
      </c>
      <c r="C181" s="84" t="s">
        <v>359</v>
      </c>
      <c r="D181" s="40">
        <v>46196.0</v>
      </c>
      <c r="E181" s="8">
        <v>1.0</v>
      </c>
      <c r="F181" s="8" t="s">
        <v>31</v>
      </c>
      <c r="G181" s="8" t="s">
        <v>360</v>
      </c>
      <c r="H181" s="6">
        <v>14.0</v>
      </c>
      <c r="I181" s="8" t="s">
        <v>34</v>
      </c>
      <c r="J181" s="8" t="s">
        <v>313</v>
      </c>
      <c r="K181" s="35" t="s">
        <v>50</v>
      </c>
      <c r="L181" s="62">
        <v>23334.0</v>
      </c>
      <c r="M181" s="62">
        <v>23372.0</v>
      </c>
      <c r="N181" s="62" t="s">
        <v>206</v>
      </c>
      <c r="O181" s="8"/>
      <c r="P181" s="35" t="s">
        <v>334</v>
      </c>
      <c r="Q181" s="41">
        <v>7500.0</v>
      </c>
      <c r="R181" s="15">
        <f>CARPETA!$Q181*CARPETA!$E181</f>
        <v>7500</v>
      </c>
      <c r="S181" s="15">
        <f>CARPETA!$R181*16%</f>
        <v>1200</v>
      </c>
      <c r="T181" s="15">
        <f>CARPETA!$R181+CARPETA!$S181</f>
        <v>8700</v>
      </c>
      <c r="U181" s="35" t="s">
        <v>110</v>
      </c>
      <c r="V181" s="15"/>
      <c r="W181" s="15"/>
    </row>
    <row r="182" ht="15.75" customHeight="1">
      <c r="A182" s="6">
        <v>26.0</v>
      </c>
      <c r="B182" s="6">
        <v>10.0</v>
      </c>
      <c r="C182" s="84" t="s">
        <v>364</v>
      </c>
      <c r="D182" s="40">
        <v>46196.0</v>
      </c>
      <c r="E182" s="8">
        <v>1.0</v>
      </c>
      <c r="F182" s="8" t="s">
        <v>31</v>
      </c>
      <c r="G182" s="8" t="s">
        <v>248</v>
      </c>
      <c r="H182" s="6">
        <v>14.0</v>
      </c>
      <c r="I182" s="8" t="s">
        <v>34</v>
      </c>
      <c r="J182" s="8" t="s">
        <v>146</v>
      </c>
      <c r="K182" s="35" t="s">
        <v>50</v>
      </c>
      <c r="L182" s="62">
        <v>23372.0</v>
      </c>
      <c r="M182" s="62">
        <v>23407.0</v>
      </c>
      <c r="N182" s="62" t="s">
        <v>206</v>
      </c>
      <c r="O182" s="8"/>
      <c r="P182" s="35" t="s">
        <v>334</v>
      </c>
      <c r="Q182" s="41">
        <v>7500.0</v>
      </c>
      <c r="R182" s="15">
        <f>CARPETA!$Q182*CARPETA!$E182</f>
        <v>7500</v>
      </c>
      <c r="S182" s="15">
        <f>CARPETA!$R182*16%</f>
        <v>1200</v>
      </c>
      <c r="T182" s="15">
        <f>CARPETA!$R182+CARPETA!$S182</f>
        <v>8700</v>
      </c>
      <c r="U182" s="35" t="s">
        <v>110</v>
      </c>
      <c r="V182" s="15"/>
      <c r="W182" s="15"/>
    </row>
    <row r="183" ht="15.75" hidden="1" customHeight="1">
      <c r="A183" s="6">
        <v>26.0</v>
      </c>
      <c r="B183" s="6">
        <v>11.0</v>
      </c>
      <c r="C183" s="8">
        <v>231.0</v>
      </c>
      <c r="D183" s="9">
        <v>46196.0</v>
      </c>
      <c r="E183" s="8">
        <v>1.0</v>
      </c>
      <c r="F183" s="8" t="s">
        <v>157</v>
      </c>
      <c r="G183" s="8" t="s">
        <v>218</v>
      </c>
      <c r="H183" s="6">
        <v>14.0</v>
      </c>
      <c r="I183" s="67">
        <v>24180.0</v>
      </c>
      <c r="J183" s="8" t="s">
        <v>83</v>
      </c>
      <c r="K183" s="35" t="s">
        <v>36</v>
      </c>
      <c r="L183" s="62">
        <v>23407.0</v>
      </c>
      <c r="M183" s="62">
        <v>23448.0</v>
      </c>
      <c r="N183" s="62" t="s">
        <v>206</v>
      </c>
      <c r="O183" s="8"/>
      <c r="P183" s="8" t="s">
        <v>221</v>
      </c>
      <c r="Q183" s="15">
        <v>7340.0</v>
      </c>
      <c r="R183" s="15">
        <f>CARPETA!$Q183*CARPETA!$E183</f>
        <v>7340</v>
      </c>
      <c r="S183" s="15">
        <f>CARPETA!$R183*16%</f>
        <v>1174.4</v>
      </c>
      <c r="T183" s="15">
        <f>CARPETA!$R183+CARPETA!$S183</f>
        <v>8514.4</v>
      </c>
      <c r="U183" s="8" t="s">
        <v>215</v>
      </c>
      <c r="V183" s="41" t="s">
        <v>44</v>
      </c>
      <c r="W183" s="15"/>
    </row>
    <row r="184" ht="15.75" hidden="1" customHeight="1">
      <c r="A184" s="6">
        <v>26.0</v>
      </c>
      <c r="B184" s="6">
        <v>12.0</v>
      </c>
      <c r="C184" s="8">
        <v>232.0</v>
      </c>
      <c r="D184" s="9">
        <v>46196.0</v>
      </c>
      <c r="E184" s="8">
        <v>1.0</v>
      </c>
      <c r="F184" s="8" t="s">
        <v>157</v>
      </c>
      <c r="G184" s="8" t="s">
        <v>224</v>
      </c>
      <c r="H184" s="6">
        <v>14.0</v>
      </c>
      <c r="I184" s="67">
        <v>23040.0</v>
      </c>
      <c r="J184" s="8" t="s">
        <v>225</v>
      </c>
      <c r="K184" s="35" t="s">
        <v>36</v>
      </c>
      <c r="L184" s="62">
        <v>23448.0</v>
      </c>
      <c r="M184" s="62">
        <v>23488.0</v>
      </c>
      <c r="N184" s="62" t="s">
        <v>206</v>
      </c>
      <c r="O184" s="8"/>
      <c r="P184" s="8" t="s">
        <v>221</v>
      </c>
      <c r="Q184" s="15">
        <v>7340.0</v>
      </c>
      <c r="R184" s="15">
        <f>CARPETA!$Q184*CARPETA!$E184</f>
        <v>7340</v>
      </c>
      <c r="S184" s="15">
        <f>CARPETA!$R184*16%</f>
        <v>1174.4</v>
      </c>
      <c r="T184" s="15">
        <f>CARPETA!$R184+CARPETA!$S184</f>
        <v>8514.4</v>
      </c>
      <c r="U184" s="8" t="s">
        <v>215</v>
      </c>
      <c r="V184" s="41" t="s">
        <v>44</v>
      </c>
      <c r="W184" s="15"/>
    </row>
    <row r="185" ht="15.75" hidden="1" customHeight="1">
      <c r="A185" s="6">
        <v>26.0</v>
      </c>
      <c r="B185" s="6">
        <v>13.0</v>
      </c>
      <c r="C185" s="8">
        <v>233.0</v>
      </c>
      <c r="D185" s="9">
        <v>46196.0</v>
      </c>
      <c r="E185" s="8">
        <v>1.0</v>
      </c>
      <c r="F185" s="8" t="s">
        <v>157</v>
      </c>
      <c r="G185" s="8" t="s">
        <v>193</v>
      </c>
      <c r="H185" s="6">
        <v>14.0</v>
      </c>
      <c r="I185" s="67">
        <v>24300.0</v>
      </c>
      <c r="J185" s="8" t="s">
        <v>216</v>
      </c>
      <c r="K185" s="35" t="s">
        <v>36</v>
      </c>
      <c r="L185" s="62">
        <v>23488.0</v>
      </c>
      <c r="M185" s="62">
        <v>23526.0</v>
      </c>
      <c r="N185" s="62" t="s">
        <v>206</v>
      </c>
      <c r="O185" s="8"/>
      <c r="P185" s="8" t="s">
        <v>221</v>
      </c>
      <c r="Q185" s="15">
        <v>7340.0</v>
      </c>
      <c r="R185" s="15">
        <f>CARPETA!$Q185*CARPETA!$E185</f>
        <v>7340</v>
      </c>
      <c r="S185" s="15">
        <f>CARPETA!$R185*16%</f>
        <v>1174.4</v>
      </c>
      <c r="T185" s="15">
        <f>CARPETA!$R185+CARPETA!$S185</f>
        <v>8514.4</v>
      </c>
      <c r="U185" s="8" t="s">
        <v>215</v>
      </c>
      <c r="V185" s="41" t="s">
        <v>44</v>
      </c>
      <c r="W185" s="15"/>
    </row>
    <row r="186" ht="15.75" hidden="1" customHeight="1">
      <c r="A186" s="6">
        <v>26.0</v>
      </c>
      <c r="B186" s="6">
        <v>14.0</v>
      </c>
      <c r="C186" s="8">
        <v>234.0</v>
      </c>
      <c r="D186" s="9">
        <v>46196.0</v>
      </c>
      <c r="E186" s="8">
        <v>1.0</v>
      </c>
      <c r="F186" s="8" t="s">
        <v>157</v>
      </c>
      <c r="G186" s="8" t="s">
        <v>227</v>
      </c>
      <c r="H186" s="6">
        <v>14.0</v>
      </c>
      <c r="I186" s="67">
        <v>25040.0</v>
      </c>
      <c r="J186" s="8" t="s">
        <v>81</v>
      </c>
      <c r="K186" s="35" t="s">
        <v>36</v>
      </c>
      <c r="L186" s="62">
        <v>23526.0</v>
      </c>
      <c r="M186" s="62">
        <v>23560.0</v>
      </c>
      <c r="N186" s="8" t="s">
        <v>206</v>
      </c>
      <c r="O186" s="8"/>
      <c r="P186" s="8" t="s">
        <v>221</v>
      </c>
      <c r="Q186" s="15">
        <v>7340.0</v>
      </c>
      <c r="R186" s="15">
        <f>CARPETA!$Q186*CARPETA!$E186</f>
        <v>7340</v>
      </c>
      <c r="S186" s="15">
        <f>CARPETA!$R186*16%</f>
        <v>1174.4</v>
      </c>
      <c r="T186" s="15">
        <f>CARPETA!$R186+CARPETA!$S186</f>
        <v>8514.4</v>
      </c>
      <c r="U186" s="8" t="s">
        <v>215</v>
      </c>
      <c r="V186" s="41" t="s">
        <v>44</v>
      </c>
      <c r="W186" s="15"/>
    </row>
    <row r="187" ht="15.75" hidden="1" customHeight="1">
      <c r="A187" s="6">
        <v>26.0</v>
      </c>
      <c r="B187" s="6"/>
      <c r="C187" s="8">
        <v>264.0</v>
      </c>
      <c r="D187" s="9">
        <v>46197.0</v>
      </c>
      <c r="E187" s="8">
        <v>1.0</v>
      </c>
      <c r="F187" s="8" t="s">
        <v>219</v>
      </c>
      <c r="G187" s="85"/>
      <c r="H187" s="6"/>
      <c r="I187" s="67"/>
      <c r="J187" s="8"/>
      <c r="K187" s="35" t="s">
        <v>36</v>
      </c>
      <c r="L187" s="62"/>
      <c r="M187" s="62"/>
      <c r="N187" s="8"/>
      <c r="O187" s="8"/>
      <c r="P187" s="8"/>
      <c r="Q187" s="15">
        <v>1000.0</v>
      </c>
      <c r="R187" s="15">
        <f>CARPETA!$Q187*CARPETA!$E187</f>
        <v>1000</v>
      </c>
      <c r="S187" s="15">
        <f>CARPETA!$R187*16%</f>
        <v>160</v>
      </c>
      <c r="T187" s="15">
        <f>CARPETA!$R187+CARPETA!$S187</f>
        <v>1160</v>
      </c>
      <c r="U187" s="8" t="s">
        <v>215</v>
      </c>
      <c r="V187" s="41" t="s">
        <v>44</v>
      </c>
      <c r="W187" s="15"/>
    </row>
    <row r="188" ht="15.75" hidden="1" customHeight="1">
      <c r="A188" s="6">
        <v>26.0</v>
      </c>
      <c r="B188" s="6"/>
      <c r="C188" s="8">
        <v>265.0</v>
      </c>
      <c r="D188" s="9">
        <v>46197.0</v>
      </c>
      <c r="E188" s="8">
        <v>1.0</v>
      </c>
      <c r="F188" s="8" t="s">
        <v>219</v>
      </c>
      <c r="G188" s="8"/>
      <c r="H188" s="6"/>
      <c r="I188" s="67"/>
      <c r="J188" s="8"/>
      <c r="K188" s="35" t="s">
        <v>36</v>
      </c>
      <c r="L188" s="62"/>
      <c r="M188" s="62"/>
      <c r="N188" s="8"/>
      <c r="O188" s="8"/>
      <c r="P188" s="8"/>
      <c r="Q188" s="15">
        <v>1000.0</v>
      </c>
      <c r="R188" s="15">
        <f>CARPETA!$Q188*CARPETA!$E188</f>
        <v>1000</v>
      </c>
      <c r="S188" s="15">
        <f>CARPETA!$R188*16%</f>
        <v>160</v>
      </c>
      <c r="T188" s="15">
        <f>CARPETA!$R188+CARPETA!$S188</f>
        <v>1160</v>
      </c>
      <c r="U188" s="8" t="s">
        <v>215</v>
      </c>
      <c r="V188" s="41" t="s">
        <v>44</v>
      </c>
      <c r="W188" s="15"/>
    </row>
    <row r="189" ht="15.75" hidden="1" customHeight="1">
      <c r="A189" s="6">
        <v>26.0</v>
      </c>
      <c r="B189" s="6"/>
      <c r="C189" s="84" t="s">
        <v>380</v>
      </c>
      <c r="D189" s="86">
        <v>46197.0</v>
      </c>
      <c r="E189" s="35">
        <v>1.0</v>
      </c>
      <c r="F189" s="35" t="s">
        <v>219</v>
      </c>
      <c r="G189" s="8"/>
      <c r="H189" s="6"/>
      <c r="I189" s="67"/>
      <c r="J189" s="8"/>
      <c r="K189" s="35" t="s">
        <v>50</v>
      </c>
      <c r="L189" s="62"/>
      <c r="M189" s="62"/>
      <c r="N189" s="8"/>
      <c r="O189" s="8"/>
      <c r="P189" s="35" t="s">
        <v>381</v>
      </c>
      <c r="Q189" s="41">
        <v>3750.0</v>
      </c>
      <c r="R189" s="15">
        <f>CARPETA!$Q189*CARPETA!$E189</f>
        <v>3750</v>
      </c>
      <c r="S189" s="15">
        <f>CARPETA!$R189*16%</f>
        <v>600</v>
      </c>
      <c r="T189" s="15">
        <f>CARPETA!$R189+CARPETA!$S189</f>
        <v>4350</v>
      </c>
      <c r="U189" s="52" t="s">
        <v>110</v>
      </c>
      <c r="V189" s="52"/>
      <c r="W189" s="34"/>
    </row>
    <row r="190" ht="15.75" hidden="1" customHeight="1">
      <c r="A190" s="6">
        <v>26.0</v>
      </c>
      <c r="B190" s="6"/>
      <c r="C190" s="84" t="s">
        <v>384</v>
      </c>
      <c r="D190" s="86">
        <v>46197.0</v>
      </c>
      <c r="E190" s="35">
        <v>1.0</v>
      </c>
      <c r="F190" s="35" t="s">
        <v>219</v>
      </c>
      <c r="G190" s="8"/>
      <c r="H190" s="6"/>
      <c r="I190" s="67"/>
      <c r="J190" s="8"/>
      <c r="K190" s="35" t="s">
        <v>50</v>
      </c>
      <c r="L190" s="62"/>
      <c r="M190" s="62"/>
      <c r="N190" s="8"/>
      <c r="O190" s="8"/>
      <c r="P190" s="35" t="s">
        <v>381</v>
      </c>
      <c r="Q190" s="41">
        <v>3750.0</v>
      </c>
      <c r="R190" s="15">
        <f>CARPETA!$Q190*CARPETA!$E190</f>
        <v>3750</v>
      </c>
      <c r="S190" s="15">
        <f>CARPETA!$R190*16%</f>
        <v>600</v>
      </c>
      <c r="T190" s="15">
        <f>CARPETA!$R190+CARPETA!$S190</f>
        <v>4350</v>
      </c>
      <c r="U190" s="52" t="s">
        <v>110</v>
      </c>
      <c r="V190" s="15"/>
      <c r="W190" s="15"/>
    </row>
    <row r="191" ht="15.75" hidden="1" customHeight="1">
      <c r="A191" s="6">
        <v>26.0</v>
      </c>
      <c r="B191" s="6"/>
      <c r="C191" s="84" t="s">
        <v>385</v>
      </c>
      <c r="D191" s="86">
        <v>46197.0</v>
      </c>
      <c r="E191" s="35">
        <v>1.0</v>
      </c>
      <c r="F191" s="35" t="s">
        <v>219</v>
      </c>
      <c r="G191" s="8"/>
      <c r="H191" s="6"/>
      <c r="I191" s="67"/>
      <c r="J191" s="8"/>
      <c r="K191" s="35" t="s">
        <v>50</v>
      </c>
      <c r="L191" s="62"/>
      <c r="M191" s="62"/>
      <c r="N191" s="8"/>
      <c r="O191" s="8"/>
      <c r="P191" s="35" t="s">
        <v>381</v>
      </c>
      <c r="Q191" s="41">
        <v>3750.0</v>
      </c>
      <c r="R191" s="15">
        <f>CARPETA!$Q191*CARPETA!$E191</f>
        <v>3750</v>
      </c>
      <c r="S191" s="15">
        <f>CARPETA!$R191*16%</f>
        <v>600</v>
      </c>
      <c r="T191" s="15">
        <f>CARPETA!$R191+CARPETA!$S191</f>
        <v>4350</v>
      </c>
      <c r="U191" s="52" t="s">
        <v>110</v>
      </c>
      <c r="V191" s="15"/>
      <c r="W191" s="15"/>
    </row>
    <row r="192" ht="15.75" hidden="1" customHeight="1">
      <c r="A192" s="6">
        <v>26.0</v>
      </c>
      <c r="B192" s="6"/>
      <c r="C192" s="84" t="s">
        <v>389</v>
      </c>
      <c r="D192" s="86">
        <v>46197.0</v>
      </c>
      <c r="E192" s="35">
        <v>1.0</v>
      </c>
      <c r="F192" s="35" t="s">
        <v>219</v>
      </c>
      <c r="G192" s="8"/>
      <c r="H192" s="6"/>
      <c r="I192" s="67"/>
      <c r="J192" s="8"/>
      <c r="K192" s="35" t="s">
        <v>50</v>
      </c>
      <c r="L192" s="62"/>
      <c r="M192" s="62"/>
      <c r="N192" s="8"/>
      <c r="O192" s="8"/>
      <c r="P192" s="35" t="s">
        <v>381</v>
      </c>
      <c r="Q192" s="41">
        <v>3750.0</v>
      </c>
      <c r="R192" s="15">
        <f>CARPETA!$Q192*CARPETA!$E192</f>
        <v>3750</v>
      </c>
      <c r="S192" s="15">
        <f>CARPETA!$R192*16%</f>
        <v>600</v>
      </c>
      <c r="T192" s="15">
        <f>CARPETA!$R192+CARPETA!$S192</f>
        <v>4350</v>
      </c>
      <c r="U192" s="52" t="s">
        <v>110</v>
      </c>
      <c r="V192" s="15"/>
      <c r="W192" s="15"/>
    </row>
    <row r="193" ht="15.75" hidden="1" customHeight="1">
      <c r="A193" s="6">
        <v>26.0</v>
      </c>
      <c r="B193" s="6"/>
      <c r="C193" s="84" t="s">
        <v>392</v>
      </c>
      <c r="D193" s="86">
        <v>46197.0</v>
      </c>
      <c r="E193" s="35">
        <v>1.0</v>
      </c>
      <c r="F193" s="35" t="s">
        <v>219</v>
      </c>
      <c r="G193" s="8"/>
      <c r="H193" s="6"/>
      <c r="I193" s="67"/>
      <c r="J193" s="8"/>
      <c r="K193" s="35" t="s">
        <v>50</v>
      </c>
      <c r="L193" s="62"/>
      <c r="M193" s="62"/>
      <c r="N193" s="8"/>
      <c r="O193" s="8"/>
      <c r="P193" s="35" t="s">
        <v>381</v>
      </c>
      <c r="Q193" s="41">
        <v>3750.0</v>
      </c>
      <c r="R193" s="15">
        <f>CARPETA!$Q193*CARPETA!$E193</f>
        <v>3750</v>
      </c>
      <c r="S193" s="15">
        <f>CARPETA!$R193*16%</f>
        <v>600</v>
      </c>
      <c r="T193" s="15">
        <f>CARPETA!$R193+CARPETA!$S193</f>
        <v>4350</v>
      </c>
      <c r="U193" s="52" t="s">
        <v>110</v>
      </c>
      <c r="V193" s="15"/>
      <c r="W193" s="15"/>
    </row>
    <row r="194" ht="15.75" hidden="1" customHeight="1">
      <c r="A194" s="6">
        <v>26.0</v>
      </c>
      <c r="B194" s="6"/>
      <c r="C194" s="84" t="s">
        <v>396</v>
      </c>
      <c r="D194" s="86">
        <v>46197.0</v>
      </c>
      <c r="E194" s="35">
        <v>1.0</v>
      </c>
      <c r="F194" s="35" t="s">
        <v>219</v>
      </c>
      <c r="G194" s="8"/>
      <c r="H194" s="6"/>
      <c r="I194" s="67"/>
      <c r="J194" s="8"/>
      <c r="K194" s="35" t="s">
        <v>50</v>
      </c>
      <c r="L194" s="62"/>
      <c r="M194" s="62"/>
      <c r="N194" s="8"/>
      <c r="O194" s="8"/>
      <c r="P194" s="35" t="s">
        <v>381</v>
      </c>
      <c r="Q194" s="41">
        <v>3750.0</v>
      </c>
      <c r="R194" s="15">
        <f>CARPETA!$Q194*CARPETA!$E194</f>
        <v>3750</v>
      </c>
      <c r="S194" s="15">
        <f>CARPETA!$R194*16%</f>
        <v>600</v>
      </c>
      <c r="T194" s="15">
        <f>CARPETA!$R194+CARPETA!$S194</f>
        <v>4350</v>
      </c>
      <c r="U194" s="52" t="s">
        <v>110</v>
      </c>
      <c r="V194" s="15"/>
      <c r="W194" s="15"/>
    </row>
    <row r="195" ht="15.75" hidden="1" customHeight="1">
      <c r="A195" s="6">
        <v>26.0</v>
      </c>
      <c r="B195" s="6"/>
      <c r="C195" s="84" t="s">
        <v>397</v>
      </c>
      <c r="D195" s="86">
        <v>46197.0</v>
      </c>
      <c r="E195" s="35">
        <v>1.0</v>
      </c>
      <c r="F195" s="35" t="s">
        <v>219</v>
      </c>
      <c r="G195" s="8"/>
      <c r="H195" s="6"/>
      <c r="I195" s="67"/>
      <c r="J195" s="8"/>
      <c r="K195" s="35" t="s">
        <v>50</v>
      </c>
      <c r="L195" s="62"/>
      <c r="M195" s="62"/>
      <c r="N195" s="8"/>
      <c r="O195" s="8"/>
      <c r="P195" s="35" t="s">
        <v>381</v>
      </c>
      <c r="Q195" s="41">
        <v>3750.0</v>
      </c>
      <c r="R195" s="15">
        <f>CARPETA!$Q195*CARPETA!$E195</f>
        <v>3750</v>
      </c>
      <c r="S195" s="15">
        <f>CARPETA!$R195*16%</f>
        <v>600</v>
      </c>
      <c r="T195" s="15">
        <f>CARPETA!$R195+CARPETA!$S195</f>
        <v>4350</v>
      </c>
      <c r="U195" s="52" t="s">
        <v>110</v>
      </c>
      <c r="V195" s="15"/>
      <c r="W195" s="15"/>
    </row>
    <row r="196" ht="15.75" hidden="1" customHeight="1">
      <c r="A196" s="6">
        <v>26.0</v>
      </c>
      <c r="B196" s="6"/>
      <c r="C196" s="84" t="s">
        <v>403</v>
      </c>
      <c r="D196" s="86">
        <v>46197.0</v>
      </c>
      <c r="E196" s="35">
        <v>1.0</v>
      </c>
      <c r="F196" s="35" t="s">
        <v>219</v>
      </c>
      <c r="G196" s="8"/>
      <c r="H196" s="6"/>
      <c r="I196" s="67"/>
      <c r="J196" s="8"/>
      <c r="K196" s="35" t="s">
        <v>50</v>
      </c>
      <c r="L196" s="62"/>
      <c r="M196" s="62"/>
      <c r="N196" s="8"/>
      <c r="O196" s="8"/>
      <c r="P196" s="35" t="s">
        <v>381</v>
      </c>
      <c r="Q196" s="41">
        <v>3750.0</v>
      </c>
      <c r="R196" s="15">
        <f>CARPETA!$Q196*CARPETA!$E196</f>
        <v>3750</v>
      </c>
      <c r="S196" s="15">
        <f>CARPETA!$R196*16%</f>
        <v>600</v>
      </c>
      <c r="T196" s="15">
        <f>CARPETA!$R196+CARPETA!$S196</f>
        <v>4350</v>
      </c>
      <c r="U196" s="52" t="s">
        <v>110</v>
      </c>
      <c r="V196" s="15"/>
      <c r="W196" s="15"/>
    </row>
    <row r="197" ht="15.75" hidden="1" customHeight="1">
      <c r="A197" s="6">
        <v>26.0</v>
      </c>
      <c r="B197" s="6">
        <v>1.0</v>
      </c>
      <c r="C197" s="8">
        <v>287.0</v>
      </c>
      <c r="D197" s="9">
        <v>46198.0</v>
      </c>
      <c r="E197" s="8">
        <v>1.0</v>
      </c>
      <c r="F197" s="8" t="s">
        <v>157</v>
      </c>
      <c r="G197" s="8" t="s">
        <v>198</v>
      </c>
      <c r="H197" s="6">
        <v>15.0</v>
      </c>
      <c r="I197" s="67"/>
      <c r="J197" s="8" t="s">
        <v>106</v>
      </c>
      <c r="K197" s="35" t="s">
        <v>36</v>
      </c>
      <c r="L197" s="62" t="s">
        <v>230</v>
      </c>
      <c r="M197" s="62" t="s">
        <v>231</v>
      </c>
      <c r="N197" s="8" t="s">
        <v>189</v>
      </c>
      <c r="O197" s="8"/>
      <c r="P197" s="8"/>
      <c r="Q197" s="15">
        <v>4205.0</v>
      </c>
      <c r="R197" s="15">
        <f>CARPETA!$Q197*CARPETA!$E197</f>
        <v>4205</v>
      </c>
      <c r="S197" s="15">
        <f>CARPETA!$R197*16%</f>
        <v>672.8</v>
      </c>
      <c r="T197" s="15">
        <f>CARPETA!$R197+CARPETA!$S197</f>
        <v>4877.8</v>
      </c>
      <c r="U197" s="8" t="s">
        <v>215</v>
      </c>
      <c r="V197" s="41" t="s">
        <v>44</v>
      </c>
      <c r="W197" s="15"/>
    </row>
    <row r="198" ht="15.75" hidden="1" customHeight="1">
      <c r="A198" s="6">
        <v>26.0</v>
      </c>
      <c r="B198" s="6">
        <v>2.0</v>
      </c>
      <c r="C198" s="8">
        <v>288.0</v>
      </c>
      <c r="D198" s="9">
        <v>46198.0</v>
      </c>
      <c r="E198" s="8">
        <v>1.0</v>
      </c>
      <c r="F198" s="8" t="s">
        <v>157</v>
      </c>
      <c r="G198" s="8" t="s">
        <v>193</v>
      </c>
      <c r="H198" s="6">
        <v>15.0</v>
      </c>
      <c r="I198" s="67"/>
      <c r="J198" s="8" t="s">
        <v>216</v>
      </c>
      <c r="K198" s="35" t="s">
        <v>36</v>
      </c>
      <c r="L198" s="62" t="s">
        <v>231</v>
      </c>
      <c r="M198" s="62" t="s">
        <v>232</v>
      </c>
      <c r="N198" s="62" t="s">
        <v>189</v>
      </c>
      <c r="O198" s="8"/>
      <c r="P198" s="8"/>
      <c r="Q198" s="15">
        <v>4205.0</v>
      </c>
      <c r="R198" s="15">
        <f>CARPETA!$Q198*CARPETA!$E198</f>
        <v>4205</v>
      </c>
      <c r="S198" s="15">
        <f>CARPETA!$R198*16%</f>
        <v>672.8</v>
      </c>
      <c r="T198" s="15">
        <f>CARPETA!$R198+CARPETA!$S198</f>
        <v>4877.8</v>
      </c>
      <c r="U198" s="8" t="s">
        <v>215</v>
      </c>
      <c r="V198" s="41" t="s">
        <v>44</v>
      </c>
      <c r="W198" s="15"/>
    </row>
    <row r="199" ht="15.75" hidden="1" customHeight="1">
      <c r="A199" s="6">
        <v>26.0</v>
      </c>
      <c r="B199" s="6">
        <v>3.0</v>
      </c>
      <c r="C199" s="8">
        <v>289.0</v>
      </c>
      <c r="D199" s="9">
        <v>46198.0</v>
      </c>
      <c r="E199" s="8">
        <v>1.0</v>
      </c>
      <c r="F199" s="8" t="s">
        <v>157</v>
      </c>
      <c r="G199" s="8" t="s">
        <v>224</v>
      </c>
      <c r="H199" s="6">
        <v>15.0</v>
      </c>
      <c r="I199" s="67"/>
      <c r="J199" s="8" t="s">
        <v>106</v>
      </c>
      <c r="K199" s="35" t="s">
        <v>36</v>
      </c>
      <c r="L199" s="62" t="s">
        <v>232</v>
      </c>
      <c r="M199" s="62" t="s">
        <v>233</v>
      </c>
      <c r="N199" s="8" t="s">
        <v>189</v>
      </c>
      <c r="O199" s="8"/>
      <c r="P199" s="8"/>
      <c r="Q199" s="15">
        <v>4205.0</v>
      </c>
      <c r="R199" s="15">
        <f>CARPETA!$Q199*CARPETA!$E199</f>
        <v>4205</v>
      </c>
      <c r="S199" s="15">
        <f>CARPETA!$R199*16%</f>
        <v>672.8</v>
      </c>
      <c r="T199" s="15">
        <f>CARPETA!$R199+CARPETA!$S199</f>
        <v>4877.8</v>
      </c>
      <c r="U199" s="8" t="s">
        <v>215</v>
      </c>
      <c r="V199" s="41" t="s">
        <v>44</v>
      </c>
      <c r="W199" s="15"/>
    </row>
    <row r="200" ht="15.75" hidden="1" customHeight="1">
      <c r="A200" s="6">
        <v>26.0</v>
      </c>
      <c r="B200" s="6">
        <v>4.0</v>
      </c>
      <c r="C200" s="8">
        <v>290.0</v>
      </c>
      <c r="D200" s="9">
        <v>46198.0</v>
      </c>
      <c r="E200" s="8">
        <v>1.0</v>
      </c>
      <c r="F200" s="8" t="s">
        <v>157</v>
      </c>
      <c r="G200" s="8" t="s">
        <v>227</v>
      </c>
      <c r="H200" s="6">
        <v>15.0</v>
      </c>
      <c r="I200" s="67"/>
      <c r="J200" s="8" t="s">
        <v>81</v>
      </c>
      <c r="K200" s="35" t="s">
        <v>36</v>
      </c>
      <c r="L200" s="62" t="s">
        <v>233</v>
      </c>
      <c r="M200" s="62" t="s">
        <v>234</v>
      </c>
      <c r="N200" s="8" t="s">
        <v>189</v>
      </c>
      <c r="O200" s="8"/>
      <c r="P200" s="8"/>
      <c r="Q200" s="15">
        <v>4205.0</v>
      </c>
      <c r="R200" s="15">
        <f>CARPETA!$Q200*CARPETA!$E200</f>
        <v>4205</v>
      </c>
      <c r="S200" s="15">
        <f>CARPETA!$R200*16%</f>
        <v>672.8</v>
      </c>
      <c r="T200" s="15">
        <f>CARPETA!$R200+CARPETA!$S200</f>
        <v>4877.8</v>
      </c>
      <c r="U200" s="8" t="s">
        <v>215</v>
      </c>
      <c r="V200" s="41" t="s">
        <v>44</v>
      </c>
      <c r="W200" s="15"/>
    </row>
    <row r="201" ht="15.75" hidden="1" customHeight="1">
      <c r="A201" s="6">
        <v>26.0</v>
      </c>
      <c r="B201" s="6"/>
      <c r="C201" s="8">
        <v>291.0</v>
      </c>
      <c r="D201" s="9">
        <v>46198.0</v>
      </c>
      <c r="E201" s="8">
        <v>1.0</v>
      </c>
      <c r="F201" s="8" t="s">
        <v>219</v>
      </c>
      <c r="G201" s="8"/>
      <c r="H201" s="6"/>
      <c r="I201" s="67"/>
      <c r="J201" s="8"/>
      <c r="K201" s="19" t="s">
        <v>36</v>
      </c>
      <c r="L201" s="62"/>
      <c r="M201" s="62"/>
      <c r="N201" s="8"/>
      <c r="O201" s="8"/>
      <c r="P201" s="8"/>
      <c r="Q201" s="15">
        <v>1500.0</v>
      </c>
      <c r="R201" s="15">
        <f>CARPETA!$Q201*CARPETA!$E201</f>
        <v>1500</v>
      </c>
      <c r="S201" s="15">
        <f>CARPETA!$R201*16%</f>
        <v>240</v>
      </c>
      <c r="T201" s="15">
        <f>CARPETA!$R201+CARPETA!$S201</f>
        <v>1740</v>
      </c>
      <c r="U201" s="8" t="s">
        <v>215</v>
      </c>
      <c r="V201" s="41" t="s">
        <v>44</v>
      </c>
      <c r="W201" s="15"/>
    </row>
    <row r="202" ht="15.75" hidden="1" customHeight="1">
      <c r="A202" s="6">
        <v>26.0</v>
      </c>
      <c r="B202" s="6">
        <v>5.0</v>
      </c>
      <c r="C202" s="8">
        <v>292.0</v>
      </c>
      <c r="D202" s="9">
        <v>46198.0</v>
      </c>
      <c r="E202" s="8">
        <v>1.0</v>
      </c>
      <c r="F202" s="8" t="s">
        <v>157</v>
      </c>
      <c r="G202" s="8" t="s">
        <v>162</v>
      </c>
      <c r="H202" s="6">
        <v>15.0</v>
      </c>
      <c r="I202" s="67"/>
      <c r="J202" s="8" t="s">
        <v>83</v>
      </c>
      <c r="K202" s="35" t="s">
        <v>36</v>
      </c>
      <c r="L202" s="62" t="s">
        <v>235</v>
      </c>
      <c r="M202" s="62" t="s">
        <v>236</v>
      </c>
      <c r="N202" s="8" t="s">
        <v>189</v>
      </c>
      <c r="O202" s="8"/>
      <c r="P202" s="8"/>
      <c r="Q202" s="15">
        <v>4205.0</v>
      </c>
      <c r="R202" s="15">
        <f>CARPETA!$Q202*CARPETA!$E202</f>
        <v>4205</v>
      </c>
      <c r="S202" s="15">
        <f>CARPETA!$R202*16%</f>
        <v>672.8</v>
      </c>
      <c r="T202" s="15">
        <f>CARPETA!$R202+CARPETA!$S202</f>
        <v>4877.8</v>
      </c>
      <c r="U202" s="8" t="s">
        <v>215</v>
      </c>
      <c r="V202" s="41" t="s">
        <v>44</v>
      </c>
      <c r="W202" s="15"/>
    </row>
    <row r="203" ht="15.75" hidden="1" customHeight="1">
      <c r="A203" s="6">
        <v>26.0</v>
      </c>
      <c r="B203" s="6"/>
      <c r="C203" s="8">
        <v>293.0</v>
      </c>
      <c r="D203" s="9">
        <v>46198.0</v>
      </c>
      <c r="E203" s="8">
        <v>1.0</v>
      </c>
      <c r="F203" s="8" t="s">
        <v>219</v>
      </c>
      <c r="G203" s="8"/>
      <c r="H203" s="6"/>
      <c r="I203" s="67"/>
      <c r="J203" s="8"/>
      <c r="K203" s="35" t="s">
        <v>36</v>
      </c>
      <c r="L203" s="62"/>
      <c r="M203" s="62"/>
      <c r="N203" s="8"/>
      <c r="O203" s="8"/>
      <c r="P203" s="8"/>
      <c r="Q203" s="15">
        <v>1500.0</v>
      </c>
      <c r="R203" s="15">
        <f>CARPETA!$Q203*CARPETA!$E203</f>
        <v>1500</v>
      </c>
      <c r="S203" s="15">
        <f>CARPETA!$R203*16%</f>
        <v>240</v>
      </c>
      <c r="T203" s="15">
        <f>CARPETA!$R203+CARPETA!$S203</f>
        <v>1740</v>
      </c>
      <c r="U203" s="8" t="s">
        <v>215</v>
      </c>
      <c r="V203" s="41" t="s">
        <v>44</v>
      </c>
      <c r="W203" s="15"/>
    </row>
    <row r="204" ht="15.75" customHeight="1">
      <c r="A204" s="6">
        <v>26.0</v>
      </c>
      <c r="B204" s="6">
        <v>6.0</v>
      </c>
      <c r="C204" s="84" t="s">
        <v>415</v>
      </c>
      <c r="D204" s="40">
        <v>46198.0</v>
      </c>
      <c r="E204" s="8">
        <v>1.0</v>
      </c>
      <c r="F204" s="8" t="s">
        <v>31</v>
      </c>
      <c r="G204" s="8" t="s">
        <v>251</v>
      </c>
      <c r="H204" s="6">
        <v>15.0</v>
      </c>
      <c r="I204" s="8" t="s">
        <v>34</v>
      </c>
      <c r="J204" s="8" t="s">
        <v>313</v>
      </c>
      <c r="K204" s="35" t="s">
        <v>50</v>
      </c>
      <c r="L204" s="62" t="s">
        <v>236</v>
      </c>
      <c r="M204" s="62" t="s">
        <v>239</v>
      </c>
      <c r="N204" s="8" t="s">
        <v>189</v>
      </c>
      <c r="O204" s="8"/>
      <c r="P204" s="35" t="s">
        <v>109</v>
      </c>
      <c r="Q204" s="41">
        <v>5900.0</v>
      </c>
      <c r="R204" s="15">
        <f>CARPETA!$Q204*CARPETA!$E204</f>
        <v>5900</v>
      </c>
      <c r="S204" s="15">
        <f>CARPETA!$R204*16%</f>
        <v>944</v>
      </c>
      <c r="T204" s="15">
        <f>CARPETA!$R204+CARPETA!$S204</f>
        <v>6844</v>
      </c>
      <c r="U204" s="35" t="s">
        <v>110</v>
      </c>
      <c r="V204" s="15"/>
      <c r="W204" s="15"/>
    </row>
    <row r="205" ht="15.75" hidden="1" customHeight="1">
      <c r="A205" s="6">
        <v>26.0</v>
      </c>
      <c r="B205" s="6"/>
      <c r="C205" s="8">
        <v>297.0</v>
      </c>
      <c r="D205" s="9">
        <v>46198.0</v>
      </c>
      <c r="E205" s="8">
        <v>1.0</v>
      </c>
      <c r="F205" s="8" t="s">
        <v>219</v>
      </c>
      <c r="G205" s="8"/>
      <c r="H205" s="6"/>
      <c r="I205" s="67"/>
      <c r="J205" s="8"/>
      <c r="K205" s="35" t="s">
        <v>36</v>
      </c>
      <c r="L205" s="62"/>
      <c r="M205" s="62"/>
      <c r="N205" s="8"/>
      <c r="O205" s="8"/>
      <c r="P205" s="8"/>
      <c r="Q205" s="15">
        <v>1000.0</v>
      </c>
      <c r="R205" s="15">
        <f>CARPETA!$Q205*CARPETA!$E205</f>
        <v>1000</v>
      </c>
      <c r="S205" s="15">
        <f>CARPETA!$R205*16%</f>
        <v>160</v>
      </c>
      <c r="T205" s="15">
        <f>CARPETA!$R205+CARPETA!$S205</f>
        <v>1160</v>
      </c>
      <c r="U205" s="8" t="s">
        <v>215</v>
      </c>
      <c r="V205" s="41" t="s">
        <v>44</v>
      </c>
      <c r="W205" s="15"/>
    </row>
    <row r="206" ht="15.75" hidden="1" customHeight="1">
      <c r="A206" s="6">
        <v>26.0</v>
      </c>
      <c r="B206" s="6">
        <v>7.0</v>
      </c>
      <c r="C206" s="8">
        <v>296.0</v>
      </c>
      <c r="D206" s="9">
        <v>46198.0</v>
      </c>
      <c r="E206" s="8">
        <v>1.0</v>
      </c>
      <c r="F206" s="8" t="s">
        <v>157</v>
      </c>
      <c r="G206" s="8" t="s">
        <v>238</v>
      </c>
      <c r="H206" s="6">
        <v>15.0</v>
      </c>
      <c r="I206" s="67"/>
      <c r="J206" s="8" t="s">
        <v>70</v>
      </c>
      <c r="K206" s="35" t="s">
        <v>36</v>
      </c>
      <c r="L206" s="8" t="s">
        <v>239</v>
      </c>
      <c r="M206" s="62" t="s">
        <v>240</v>
      </c>
      <c r="N206" s="8" t="s">
        <v>189</v>
      </c>
      <c r="O206" s="8"/>
      <c r="P206" s="8"/>
      <c r="Q206" s="15">
        <v>3000.0</v>
      </c>
      <c r="R206" s="15">
        <f>CARPETA!$Q206*CARPETA!$E206</f>
        <v>3000</v>
      </c>
      <c r="S206" s="15">
        <f>CARPETA!$R206*16%</f>
        <v>480</v>
      </c>
      <c r="T206" s="15">
        <f>CARPETA!$R206+CARPETA!$S206</f>
        <v>3480</v>
      </c>
      <c r="U206" s="8" t="s">
        <v>215</v>
      </c>
      <c r="V206" s="41" t="s">
        <v>44</v>
      </c>
      <c r="W206" s="15"/>
    </row>
    <row r="207" ht="15.75" customHeight="1">
      <c r="A207" s="6">
        <v>26.0</v>
      </c>
      <c r="B207" s="6">
        <v>8.0</v>
      </c>
      <c r="C207" s="84" t="s">
        <v>423</v>
      </c>
      <c r="D207" s="40">
        <v>46198.0</v>
      </c>
      <c r="E207" s="8">
        <v>1.0</v>
      </c>
      <c r="F207" s="8" t="s">
        <v>31</v>
      </c>
      <c r="G207" s="8" t="s">
        <v>316</v>
      </c>
      <c r="H207" s="6">
        <v>15.0</v>
      </c>
      <c r="I207" s="8" t="s">
        <v>34</v>
      </c>
      <c r="J207" s="8" t="s">
        <v>122</v>
      </c>
      <c r="K207" s="35" t="s">
        <v>50</v>
      </c>
      <c r="L207" s="62" t="s">
        <v>240</v>
      </c>
      <c r="M207" s="8" t="s">
        <v>425</v>
      </c>
      <c r="N207" s="62" t="s">
        <v>189</v>
      </c>
      <c r="O207" s="8"/>
      <c r="P207" s="35" t="s">
        <v>109</v>
      </c>
      <c r="Q207" s="41">
        <v>5900.0</v>
      </c>
      <c r="R207" s="15">
        <f>CARPETA!$Q207*CARPETA!$E207</f>
        <v>5900</v>
      </c>
      <c r="S207" s="15">
        <f>CARPETA!$R207*16%</f>
        <v>944</v>
      </c>
      <c r="T207" s="15">
        <f>CARPETA!$R207+CARPETA!$S207</f>
        <v>6844</v>
      </c>
      <c r="U207" s="35" t="s">
        <v>110</v>
      </c>
      <c r="V207" s="15"/>
      <c r="W207" s="15"/>
    </row>
    <row r="208" ht="15.75" customHeight="1">
      <c r="A208" s="6">
        <v>26.0</v>
      </c>
      <c r="B208" s="6">
        <v>9.0</v>
      </c>
      <c r="C208" s="84" t="s">
        <v>426</v>
      </c>
      <c r="D208" s="40">
        <v>46198.0</v>
      </c>
      <c r="E208" s="8">
        <v>1.0</v>
      </c>
      <c r="F208" s="8" t="s">
        <v>31</v>
      </c>
      <c r="G208" s="8" t="s">
        <v>201</v>
      </c>
      <c r="H208" s="6">
        <v>15.0</v>
      </c>
      <c r="I208" s="8" t="s">
        <v>34</v>
      </c>
      <c r="J208" s="8" t="s">
        <v>312</v>
      </c>
      <c r="K208" s="35" t="s">
        <v>50</v>
      </c>
      <c r="L208" s="8" t="s">
        <v>425</v>
      </c>
      <c r="M208" s="8" t="s">
        <v>430</v>
      </c>
      <c r="N208" s="8" t="s">
        <v>189</v>
      </c>
      <c r="O208" s="8"/>
      <c r="P208" s="35" t="s">
        <v>109</v>
      </c>
      <c r="Q208" s="41">
        <v>5900.0</v>
      </c>
      <c r="R208" s="15">
        <f>CARPETA!$Q208*CARPETA!$E208</f>
        <v>5900</v>
      </c>
      <c r="S208" s="15">
        <f>CARPETA!$R208*16%</f>
        <v>944</v>
      </c>
      <c r="T208" s="15">
        <f>CARPETA!$R208+CARPETA!$S208</f>
        <v>6844</v>
      </c>
      <c r="U208" s="35" t="s">
        <v>110</v>
      </c>
      <c r="V208" s="15"/>
      <c r="W208" s="15"/>
    </row>
    <row r="209" ht="15.75" hidden="1" customHeight="1">
      <c r="A209" s="6">
        <v>26.0</v>
      </c>
      <c r="B209" s="6"/>
      <c r="C209" s="35" t="s">
        <v>243</v>
      </c>
      <c r="D209" s="9">
        <v>46198.0</v>
      </c>
      <c r="E209" s="8">
        <v>1.0</v>
      </c>
      <c r="F209" s="8" t="s">
        <v>219</v>
      </c>
      <c r="G209" s="8"/>
      <c r="H209" s="6"/>
      <c r="I209" s="67"/>
      <c r="J209" s="8"/>
      <c r="K209" s="35" t="s">
        <v>36</v>
      </c>
      <c r="L209" s="8"/>
      <c r="M209" s="8"/>
      <c r="N209" s="8"/>
      <c r="O209" s="8"/>
      <c r="P209" s="8"/>
      <c r="Q209" s="41">
        <v>1000.0</v>
      </c>
      <c r="R209" s="15">
        <f>CARPETA!$Q209*CARPETA!$E209</f>
        <v>1000</v>
      </c>
      <c r="S209" s="15">
        <f>CARPETA!$R209*16%</f>
        <v>160</v>
      </c>
      <c r="T209" s="15">
        <f>CARPETA!$R209+CARPETA!$S209</f>
        <v>1160</v>
      </c>
      <c r="U209" s="8" t="s">
        <v>215</v>
      </c>
      <c r="V209" s="41" t="s">
        <v>44</v>
      </c>
      <c r="W209" s="15"/>
    </row>
    <row r="210" ht="15.75" hidden="1" customHeight="1">
      <c r="A210" s="6">
        <v>26.0</v>
      </c>
      <c r="B210" s="6"/>
      <c r="C210" s="35" t="s">
        <v>244</v>
      </c>
      <c r="D210" s="9">
        <v>46198.0</v>
      </c>
      <c r="E210" s="8">
        <v>1.0</v>
      </c>
      <c r="F210" s="8" t="s">
        <v>219</v>
      </c>
      <c r="G210" s="8"/>
      <c r="H210" s="6"/>
      <c r="I210" s="67"/>
      <c r="J210" s="8"/>
      <c r="K210" s="35" t="s">
        <v>36</v>
      </c>
      <c r="L210" s="8"/>
      <c r="M210" s="8"/>
      <c r="N210" s="8"/>
      <c r="O210" s="8"/>
      <c r="P210" s="8"/>
      <c r="Q210" s="41">
        <v>1000.0</v>
      </c>
      <c r="R210" s="15">
        <f>CARPETA!$Q210*CARPETA!$E210</f>
        <v>1000</v>
      </c>
      <c r="S210" s="15">
        <f>CARPETA!$R210*16%</f>
        <v>160</v>
      </c>
      <c r="T210" s="15">
        <f>CARPETA!$R210+CARPETA!$S210</f>
        <v>1160</v>
      </c>
      <c r="U210" s="8" t="s">
        <v>215</v>
      </c>
      <c r="V210" s="41" t="s">
        <v>44</v>
      </c>
      <c r="W210" s="15"/>
    </row>
    <row r="211" ht="15.75" hidden="1" customHeight="1">
      <c r="A211" s="6">
        <v>26.0</v>
      </c>
      <c r="B211" s="6"/>
      <c r="C211" s="35" t="s">
        <v>245</v>
      </c>
      <c r="D211" s="9">
        <v>46198.0</v>
      </c>
      <c r="E211" s="8">
        <v>1.0</v>
      </c>
      <c r="F211" s="8" t="s">
        <v>219</v>
      </c>
      <c r="G211" s="8"/>
      <c r="H211" s="6"/>
      <c r="I211" s="67"/>
      <c r="J211" s="8"/>
      <c r="K211" s="35" t="s">
        <v>36</v>
      </c>
      <c r="L211" s="8"/>
      <c r="M211" s="8"/>
      <c r="N211" s="8"/>
      <c r="O211" s="8"/>
      <c r="P211" s="8"/>
      <c r="Q211" s="15">
        <v>1500.0</v>
      </c>
      <c r="R211" s="15">
        <f>CARPETA!$Q211*CARPETA!$E211</f>
        <v>1500</v>
      </c>
      <c r="S211" s="15">
        <f>CARPETA!$R211*16%</f>
        <v>240</v>
      </c>
      <c r="T211" s="15">
        <f>CARPETA!$R211+CARPETA!$S211</f>
        <v>1740</v>
      </c>
      <c r="U211" s="8" t="s">
        <v>215</v>
      </c>
      <c r="V211" s="41" t="s">
        <v>44</v>
      </c>
      <c r="W211" s="15"/>
    </row>
    <row r="212" ht="15.75" hidden="1" customHeight="1">
      <c r="A212" s="6">
        <v>26.0</v>
      </c>
      <c r="B212" s="6"/>
      <c r="C212" s="35" t="s">
        <v>247</v>
      </c>
      <c r="D212" s="9">
        <v>46198.0</v>
      </c>
      <c r="E212" s="8">
        <v>1.0</v>
      </c>
      <c r="F212" s="8" t="s">
        <v>219</v>
      </c>
      <c r="G212" s="8"/>
      <c r="H212" s="6"/>
      <c r="I212" s="67"/>
      <c r="J212" s="8"/>
      <c r="K212" s="35" t="s">
        <v>36</v>
      </c>
      <c r="L212" s="8"/>
      <c r="M212" s="8"/>
      <c r="N212" s="8"/>
      <c r="O212" s="8"/>
      <c r="P212" s="8"/>
      <c r="Q212" s="15">
        <v>1500.0</v>
      </c>
      <c r="R212" s="15">
        <f>CARPETA!$Q212*CARPETA!$E212</f>
        <v>1500</v>
      </c>
      <c r="S212" s="15">
        <f>CARPETA!$R212*16%</f>
        <v>240</v>
      </c>
      <c r="T212" s="15">
        <f>CARPETA!$R212+CARPETA!$S212</f>
        <v>1740</v>
      </c>
      <c r="U212" s="8" t="s">
        <v>215</v>
      </c>
      <c r="V212" s="41" t="s">
        <v>44</v>
      </c>
      <c r="W212" s="15"/>
    </row>
    <row r="213" ht="15.75" hidden="1" customHeight="1">
      <c r="A213" s="6">
        <v>26.0</v>
      </c>
      <c r="B213" s="6"/>
      <c r="C213" s="84" t="s">
        <v>435</v>
      </c>
      <c r="D213" s="86">
        <v>46198.0</v>
      </c>
      <c r="E213" s="8">
        <v>1.0</v>
      </c>
      <c r="F213" s="8" t="s">
        <v>219</v>
      </c>
      <c r="G213" s="8"/>
      <c r="H213" s="6"/>
      <c r="I213" s="67"/>
      <c r="J213" s="8"/>
      <c r="K213" s="35" t="s">
        <v>50</v>
      </c>
      <c r="L213" s="53"/>
      <c r="M213" s="62"/>
      <c r="N213" s="8"/>
      <c r="O213" s="8"/>
      <c r="P213" s="35" t="s">
        <v>109</v>
      </c>
      <c r="Q213" s="41">
        <v>2950.0</v>
      </c>
      <c r="R213" s="15">
        <f>CARPETA!$Q213*CARPETA!$E213</f>
        <v>2950</v>
      </c>
      <c r="S213" s="15">
        <f>CARPETA!$R213*16%</f>
        <v>472</v>
      </c>
      <c r="T213" s="15">
        <f>CARPETA!$R213+CARPETA!$S213</f>
        <v>3422</v>
      </c>
      <c r="U213" s="52" t="s">
        <v>110</v>
      </c>
      <c r="V213" s="15"/>
      <c r="W213" s="15"/>
    </row>
    <row r="214" ht="15.75" hidden="1" customHeight="1">
      <c r="A214" s="6">
        <v>26.0</v>
      </c>
      <c r="B214" s="6"/>
      <c r="C214" s="84" t="s">
        <v>438</v>
      </c>
      <c r="D214" s="86">
        <v>46198.0</v>
      </c>
      <c r="E214" s="8">
        <v>1.0</v>
      </c>
      <c r="F214" s="8" t="s">
        <v>219</v>
      </c>
      <c r="G214" s="8"/>
      <c r="H214" s="6"/>
      <c r="I214" s="67"/>
      <c r="J214" s="8"/>
      <c r="K214" s="35" t="s">
        <v>50</v>
      </c>
      <c r="L214" s="53"/>
      <c r="M214" s="62"/>
      <c r="N214" s="8"/>
      <c r="O214" s="8"/>
      <c r="P214" s="35" t="s">
        <v>109</v>
      </c>
      <c r="Q214" s="41">
        <v>2950.0</v>
      </c>
      <c r="R214" s="15">
        <f>CARPETA!$Q214*CARPETA!$E214</f>
        <v>2950</v>
      </c>
      <c r="S214" s="15">
        <f>CARPETA!$R214*16%</f>
        <v>472</v>
      </c>
      <c r="T214" s="15">
        <f>CARPETA!$R214+CARPETA!$S214</f>
        <v>3422</v>
      </c>
      <c r="U214" s="52" t="s">
        <v>110</v>
      </c>
      <c r="V214" s="52" t="s">
        <v>44</v>
      </c>
      <c r="W214" s="34" t="s">
        <v>335</v>
      </c>
    </row>
    <row r="215" ht="15.75" hidden="1" customHeight="1">
      <c r="A215" s="6">
        <v>26.0</v>
      </c>
      <c r="B215" s="6"/>
      <c r="C215" s="84" t="s">
        <v>440</v>
      </c>
      <c r="D215" s="86">
        <v>46198.0</v>
      </c>
      <c r="E215" s="8">
        <v>1.0</v>
      </c>
      <c r="F215" s="8" t="s">
        <v>219</v>
      </c>
      <c r="G215" s="8"/>
      <c r="H215" s="6"/>
      <c r="I215" s="67"/>
      <c r="J215" s="8"/>
      <c r="K215" s="35" t="s">
        <v>50</v>
      </c>
      <c r="L215" s="53"/>
      <c r="M215" s="62"/>
      <c r="N215" s="8"/>
      <c r="O215" s="8"/>
      <c r="P215" s="35" t="s">
        <v>109</v>
      </c>
      <c r="Q215" s="41">
        <v>2950.0</v>
      </c>
      <c r="R215" s="15">
        <f>CARPETA!$Q215*CARPETA!$E215</f>
        <v>2950</v>
      </c>
      <c r="S215" s="15">
        <f>CARPETA!$R215*16%</f>
        <v>472</v>
      </c>
      <c r="T215" s="15">
        <f>CARPETA!$R215+CARPETA!$S215</f>
        <v>3422</v>
      </c>
      <c r="U215" s="52" t="s">
        <v>110</v>
      </c>
      <c r="V215" s="15"/>
      <c r="W215" s="15"/>
    </row>
    <row r="216" ht="15.75" hidden="1" customHeight="1">
      <c r="A216" s="6">
        <v>26.0</v>
      </c>
      <c r="B216" s="6"/>
      <c r="C216" s="84" t="s">
        <v>443</v>
      </c>
      <c r="D216" s="86">
        <v>46198.0</v>
      </c>
      <c r="E216" s="8">
        <v>1.0</v>
      </c>
      <c r="F216" s="8" t="s">
        <v>219</v>
      </c>
      <c r="G216" s="8"/>
      <c r="H216" s="6"/>
      <c r="I216" s="67"/>
      <c r="J216" s="8"/>
      <c r="K216" s="35" t="s">
        <v>50</v>
      </c>
      <c r="L216" s="53"/>
      <c r="M216" s="62"/>
      <c r="N216" s="8"/>
      <c r="O216" s="8"/>
      <c r="P216" s="35" t="s">
        <v>109</v>
      </c>
      <c r="Q216" s="41">
        <v>2950.0</v>
      </c>
      <c r="R216" s="15">
        <f>CARPETA!$Q216*CARPETA!$E216</f>
        <v>2950</v>
      </c>
      <c r="S216" s="15">
        <f>CARPETA!$R216*16%</f>
        <v>472</v>
      </c>
      <c r="T216" s="15">
        <f>CARPETA!$R216+CARPETA!$S216</f>
        <v>3422</v>
      </c>
      <c r="U216" s="52" t="s">
        <v>110</v>
      </c>
      <c r="V216" s="15"/>
      <c r="W216" s="15"/>
    </row>
    <row r="217" ht="15.75" hidden="1" customHeight="1">
      <c r="A217" s="6">
        <v>26.0</v>
      </c>
      <c r="B217" s="6"/>
      <c r="C217" s="84" t="s">
        <v>446</v>
      </c>
      <c r="D217" s="86">
        <v>46198.0</v>
      </c>
      <c r="E217" s="8">
        <v>1.0</v>
      </c>
      <c r="F217" s="8" t="s">
        <v>219</v>
      </c>
      <c r="G217" s="8"/>
      <c r="H217" s="6"/>
      <c r="I217" s="67"/>
      <c r="J217" s="8"/>
      <c r="K217" s="35" t="s">
        <v>50</v>
      </c>
      <c r="L217" s="53"/>
      <c r="M217" s="62"/>
      <c r="N217" s="8"/>
      <c r="O217" s="8"/>
      <c r="P217" s="35" t="s">
        <v>109</v>
      </c>
      <c r="Q217" s="41">
        <v>2950.0</v>
      </c>
      <c r="R217" s="15">
        <f>CARPETA!$Q217*CARPETA!$E217</f>
        <v>2950</v>
      </c>
      <c r="S217" s="15">
        <f>CARPETA!$R217*16%</f>
        <v>472</v>
      </c>
      <c r="T217" s="15">
        <f>CARPETA!$R217+CARPETA!$S217</f>
        <v>3422</v>
      </c>
      <c r="U217" s="52" t="s">
        <v>110</v>
      </c>
      <c r="V217" s="15"/>
      <c r="W217" s="15"/>
    </row>
    <row r="218" ht="15.75" hidden="1" customHeight="1">
      <c r="A218" s="6">
        <v>26.0</v>
      </c>
      <c r="B218" s="6"/>
      <c r="C218" s="84" t="s">
        <v>449</v>
      </c>
      <c r="D218" s="86">
        <v>46198.0</v>
      </c>
      <c r="E218" s="8">
        <v>1.0</v>
      </c>
      <c r="F218" s="8" t="s">
        <v>219</v>
      </c>
      <c r="G218" s="8"/>
      <c r="H218" s="6"/>
      <c r="I218" s="67"/>
      <c r="J218" s="8"/>
      <c r="K218" s="35" t="s">
        <v>50</v>
      </c>
      <c r="L218" s="53"/>
      <c r="M218" s="62"/>
      <c r="N218" s="8"/>
      <c r="O218" s="8"/>
      <c r="P218" s="35" t="s">
        <v>109</v>
      </c>
      <c r="Q218" s="41">
        <v>2950.0</v>
      </c>
      <c r="R218" s="15">
        <f>CARPETA!$Q218*CARPETA!$E218</f>
        <v>2950</v>
      </c>
      <c r="S218" s="15">
        <f>CARPETA!$R218*16%</f>
        <v>472</v>
      </c>
      <c r="T218" s="15">
        <f>CARPETA!$R218+CARPETA!$S218</f>
        <v>3422</v>
      </c>
      <c r="U218" s="52" t="s">
        <v>110</v>
      </c>
      <c r="V218" s="15"/>
      <c r="W218" s="15"/>
    </row>
    <row r="219" ht="15.75" hidden="1" customHeight="1">
      <c r="A219" s="6">
        <v>26.0</v>
      </c>
      <c r="B219" s="6"/>
      <c r="C219" s="84" t="s">
        <v>451</v>
      </c>
      <c r="D219" s="86">
        <v>46198.0</v>
      </c>
      <c r="E219" s="35">
        <v>1.0</v>
      </c>
      <c r="F219" s="8" t="s">
        <v>219</v>
      </c>
      <c r="G219" s="8"/>
      <c r="H219" s="6"/>
      <c r="I219" s="67"/>
      <c r="J219" s="8"/>
      <c r="K219" s="35" t="s">
        <v>50</v>
      </c>
      <c r="L219" s="53"/>
      <c r="M219" s="62"/>
      <c r="N219" s="8"/>
      <c r="O219" s="8"/>
      <c r="P219" s="35" t="s">
        <v>109</v>
      </c>
      <c r="Q219" s="41">
        <v>2950.0</v>
      </c>
      <c r="R219" s="15">
        <f>CARPETA!$Q219*CARPETA!$E219</f>
        <v>2950</v>
      </c>
      <c r="S219" s="15">
        <f>CARPETA!$R219*16%</f>
        <v>472</v>
      </c>
      <c r="T219" s="15">
        <f>CARPETA!$R219+CARPETA!$S219</f>
        <v>3422</v>
      </c>
      <c r="U219" s="52" t="s">
        <v>110</v>
      </c>
      <c r="V219" s="15"/>
      <c r="W219" s="15"/>
    </row>
    <row r="220" ht="15.75" customHeight="1">
      <c r="A220" s="6">
        <v>26.0</v>
      </c>
      <c r="B220" s="6">
        <v>1.0</v>
      </c>
      <c r="C220" s="39">
        <v>310.0</v>
      </c>
      <c r="D220" s="40">
        <v>46199.0</v>
      </c>
      <c r="E220" s="8">
        <v>1.0</v>
      </c>
      <c r="F220" s="8" t="s">
        <v>31</v>
      </c>
      <c r="G220" s="8" t="s">
        <v>300</v>
      </c>
      <c r="H220" s="6">
        <v>14.0</v>
      </c>
      <c r="I220" s="8" t="s">
        <v>34</v>
      </c>
      <c r="J220" s="8" t="s">
        <v>114</v>
      </c>
      <c r="K220" s="35" t="s">
        <v>50</v>
      </c>
      <c r="L220" s="62" t="s">
        <v>453</v>
      </c>
      <c r="M220" s="62" t="s">
        <v>454</v>
      </c>
      <c r="N220" s="8" t="s">
        <v>189</v>
      </c>
      <c r="O220" s="8"/>
      <c r="P220" s="35" t="s">
        <v>109</v>
      </c>
      <c r="Q220" s="41">
        <v>5900.0</v>
      </c>
      <c r="R220" s="15">
        <f>CARPETA!$Q220*CARPETA!$E220</f>
        <v>5900</v>
      </c>
      <c r="S220" s="15">
        <f>CARPETA!$R220*16%</f>
        <v>944</v>
      </c>
      <c r="T220" s="15">
        <f>CARPETA!$R220+CARPETA!$S220</f>
        <v>6844</v>
      </c>
      <c r="U220" s="35" t="s">
        <v>110</v>
      </c>
      <c r="V220" s="15"/>
      <c r="W220" s="15"/>
    </row>
    <row r="221" ht="15.75" customHeight="1">
      <c r="A221" s="6">
        <v>26.0</v>
      </c>
      <c r="B221" s="6">
        <v>2.0</v>
      </c>
      <c r="C221" s="39">
        <v>311.0</v>
      </c>
      <c r="D221" s="40">
        <v>46199.0</v>
      </c>
      <c r="E221" s="8">
        <v>1.0</v>
      </c>
      <c r="F221" s="8" t="s">
        <v>31</v>
      </c>
      <c r="G221" s="8" t="s">
        <v>353</v>
      </c>
      <c r="H221" s="6">
        <v>14.0</v>
      </c>
      <c r="I221" s="8" t="s">
        <v>34</v>
      </c>
      <c r="J221" s="8" t="s">
        <v>114</v>
      </c>
      <c r="K221" s="35" t="s">
        <v>50</v>
      </c>
      <c r="L221" s="62" t="s">
        <v>454</v>
      </c>
      <c r="M221" s="62" t="s">
        <v>457</v>
      </c>
      <c r="N221" s="8" t="s">
        <v>189</v>
      </c>
      <c r="O221" s="8"/>
      <c r="P221" s="35" t="s">
        <v>109</v>
      </c>
      <c r="Q221" s="41">
        <v>5900.0</v>
      </c>
      <c r="R221" s="15">
        <f>CARPETA!$Q221*CARPETA!$E221</f>
        <v>5900</v>
      </c>
      <c r="S221" s="15">
        <f>CARPETA!$R221*16%</f>
        <v>944</v>
      </c>
      <c r="T221" s="15">
        <f>CARPETA!$R221+CARPETA!$S221</f>
        <v>6844</v>
      </c>
      <c r="U221" s="35" t="s">
        <v>110</v>
      </c>
      <c r="V221" s="15"/>
      <c r="W221" s="15"/>
    </row>
    <row r="222" ht="15.75" customHeight="1">
      <c r="A222" s="6">
        <v>26.0</v>
      </c>
      <c r="B222" s="6">
        <v>3.0</v>
      </c>
      <c r="C222" s="39">
        <v>312.0</v>
      </c>
      <c r="D222" s="40">
        <v>46199.0</v>
      </c>
      <c r="E222" s="8">
        <v>1.0</v>
      </c>
      <c r="F222" s="8" t="s">
        <v>31</v>
      </c>
      <c r="G222" s="8" t="s">
        <v>295</v>
      </c>
      <c r="H222" s="6">
        <v>14.0</v>
      </c>
      <c r="I222" s="8" t="s">
        <v>34</v>
      </c>
      <c r="J222" s="8" t="s">
        <v>118</v>
      </c>
      <c r="K222" s="35" t="s">
        <v>50</v>
      </c>
      <c r="L222" s="62" t="s">
        <v>457</v>
      </c>
      <c r="M222" s="62" t="s">
        <v>459</v>
      </c>
      <c r="N222" s="8" t="s">
        <v>189</v>
      </c>
      <c r="O222" s="8"/>
      <c r="P222" s="35" t="s">
        <v>109</v>
      </c>
      <c r="Q222" s="41">
        <v>5900.0</v>
      </c>
      <c r="R222" s="15">
        <f>CARPETA!$Q222*CARPETA!$E222</f>
        <v>5900</v>
      </c>
      <c r="S222" s="15">
        <f>CARPETA!$R222*16%</f>
        <v>944</v>
      </c>
      <c r="T222" s="15">
        <f>CARPETA!$R222+CARPETA!$S222</f>
        <v>6844</v>
      </c>
      <c r="U222" s="35" t="s">
        <v>110</v>
      </c>
      <c r="V222" s="15"/>
      <c r="W222" s="15"/>
    </row>
    <row r="223" ht="15.75" customHeight="1">
      <c r="A223" s="6">
        <v>26.0</v>
      </c>
      <c r="B223" s="6">
        <v>4.0</v>
      </c>
      <c r="C223" s="39">
        <v>313.0</v>
      </c>
      <c r="D223" s="40">
        <v>46199.0</v>
      </c>
      <c r="E223" s="8">
        <v>1.0</v>
      </c>
      <c r="F223" s="8" t="s">
        <v>31</v>
      </c>
      <c r="G223" s="8" t="s">
        <v>316</v>
      </c>
      <c r="H223" s="6">
        <v>14.0</v>
      </c>
      <c r="I223" s="8" t="s">
        <v>34</v>
      </c>
      <c r="J223" s="8" t="s">
        <v>122</v>
      </c>
      <c r="K223" s="35" t="s">
        <v>50</v>
      </c>
      <c r="L223" s="62" t="s">
        <v>459</v>
      </c>
      <c r="M223" s="62" t="s">
        <v>462</v>
      </c>
      <c r="N223" s="8" t="s">
        <v>189</v>
      </c>
      <c r="O223" s="8"/>
      <c r="P223" s="35" t="s">
        <v>109</v>
      </c>
      <c r="Q223" s="41">
        <v>5900.0</v>
      </c>
      <c r="R223" s="15">
        <f>CARPETA!$Q223*CARPETA!$E223</f>
        <v>5900</v>
      </c>
      <c r="S223" s="15">
        <f>CARPETA!$R223*16%</f>
        <v>944</v>
      </c>
      <c r="T223" s="15">
        <f>CARPETA!$R223+CARPETA!$S223</f>
        <v>6844</v>
      </c>
      <c r="U223" s="35" t="s">
        <v>110</v>
      </c>
      <c r="V223" s="15"/>
      <c r="W223" s="15"/>
    </row>
    <row r="224" ht="15.75" customHeight="1">
      <c r="A224" s="6">
        <v>26.0</v>
      </c>
      <c r="B224" s="6">
        <v>5.0</v>
      </c>
      <c r="C224" s="39">
        <v>314.0</v>
      </c>
      <c r="D224" s="40">
        <v>46199.0</v>
      </c>
      <c r="E224" s="8">
        <v>1.0</v>
      </c>
      <c r="F224" s="8" t="s">
        <v>31</v>
      </c>
      <c r="G224" s="8" t="s">
        <v>444</v>
      </c>
      <c r="H224" s="6">
        <v>14.0</v>
      </c>
      <c r="I224" s="8" t="s">
        <v>34</v>
      </c>
      <c r="J224" s="8" t="s">
        <v>366</v>
      </c>
      <c r="K224" s="35" t="s">
        <v>50</v>
      </c>
      <c r="L224" s="8" t="s">
        <v>462</v>
      </c>
      <c r="M224" s="8" t="s">
        <v>463</v>
      </c>
      <c r="N224" s="8" t="s">
        <v>189</v>
      </c>
      <c r="O224" s="8"/>
      <c r="P224" s="35" t="s">
        <v>109</v>
      </c>
      <c r="Q224" s="41">
        <v>5900.0</v>
      </c>
      <c r="R224" s="15">
        <f>CARPETA!$Q224*CARPETA!$E224</f>
        <v>5900</v>
      </c>
      <c r="S224" s="15">
        <f>CARPETA!$R224*16%</f>
        <v>944</v>
      </c>
      <c r="T224" s="15">
        <f>CARPETA!$R224+CARPETA!$S224</f>
        <v>6844</v>
      </c>
      <c r="U224" s="35" t="s">
        <v>110</v>
      </c>
      <c r="V224" s="15"/>
      <c r="W224" s="15"/>
    </row>
    <row r="225" ht="15.75" customHeight="1">
      <c r="A225" s="6">
        <v>26.0</v>
      </c>
      <c r="B225" s="6">
        <v>6.0</v>
      </c>
      <c r="C225" s="39">
        <v>315.0</v>
      </c>
      <c r="D225" s="40">
        <v>46199.0</v>
      </c>
      <c r="E225" s="8">
        <v>1.0</v>
      </c>
      <c r="F225" s="8" t="s">
        <v>31</v>
      </c>
      <c r="G225" s="8" t="s">
        <v>251</v>
      </c>
      <c r="H225" s="6">
        <v>14.0</v>
      </c>
      <c r="I225" s="8" t="s">
        <v>34</v>
      </c>
      <c r="J225" s="8" t="s">
        <v>313</v>
      </c>
      <c r="K225" s="35" t="s">
        <v>50</v>
      </c>
      <c r="L225" s="62" t="s">
        <v>463</v>
      </c>
      <c r="M225" s="62" t="s">
        <v>466</v>
      </c>
      <c r="N225" s="8" t="s">
        <v>189</v>
      </c>
      <c r="O225" s="8"/>
      <c r="P225" s="35" t="s">
        <v>109</v>
      </c>
      <c r="Q225" s="41">
        <v>5900.0</v>
      </c>
      <c r="R225" s="15">
        <f>CARPETA!$Q225*CARPETA!$E225</f>
        <v>5900</v>
      </c>
      <c r="S225" s="15">
        <f>CARPETA!$R225*16%</f>
        <v>944</v>
      </c>
      <c r="T225" s="15">
        <f>CARPETA!$R225+CARPETA!$S225</f>
        <v>6844</v>
      </c>
      <c r="U225" s="35" t="s">
        <v>110</v>
      </c>
      <c r="V225" s="15"/>
      <c r="W225" s="15"/>
    </row>
    <row r="226" ht="15.75" customHeight="1">
      <c r="A226" s="6">
        <v>26.0</v>
      </c>
      <c r="B226" s="6">
        <v>7.0</v>
      </c>
      <c r="C226" s="39">
        <v>316.0</v>
      </c>
      <c r="D226" s="40">
        <v>46199.0</v>
      </c>
      <c r="E226" s="8">
        <v>1.0</v>
      </c>
      <c r="F226" s="8" t="s">
        <v>31</v>
      </c>
      <c r="G226" s="8" t="s">
        <v>314</v>
      </c>
      <c r="H226" s="6">
        <v>14.0</v>
      </c>
      <c r="I226" s="8" t="s">
        <v>34</v>
      </c>
      <c r="J226" s="8" t="s">
        <v>469</v>
      </c>
      <c r="K226" s="35" t="s">
        <v>50</v>
      </c>
      <c r="L226" s="62" t="s">
        <v>470</v>
      </c>
      <c r="M226" s="62" t="s">
        <v>471</v>
      </c>
      <c r="N226" s="8" t="s">
        <v>189</v>
      </c>
      <c r="O226" s="8"/>
      <c r="P226" s="35" t="s">
        <v>109</v>
      </c>
      <c r="Q226" s="41">
        <v>5900.0</v>
      </c>
      <c r="R226" s="15">
        <f>CARPETA!$Q226*CARPETA!$E226</f>
        <v>5900</v>
      </c>
      <c r="S226" s="15">
        <f>CARPETA!$R226*16%</f>
        <v>944</v>
      </c>
      <c r="T226" s="15">
        <f>CARPETA!$R226+CARPETA!$S226</f>
        <v>6844</v>
      </c>
      <c r="U226" s="35" t="s">
        <v>110</v>
      </c>
      <c r="V226" s="15"/>
      <c r="W226" s="15"/>
    </row>
    <row r="227" ht="15.75" customHeight="1">
      <c r="A227" s="6">
        <v>26.0</v>
      </c>
      <c r="B227" s="6">
        <v>8.0</v>
      </c>
      <c r="C227" s="39">
        <v>317.0</v>
      </c>
      <c r="D227" s="40">
        <v>46199.0</v>
      </c>
      <c r="E227" s="8">
        <v>1.0</v>
      </c>
      <c r="F227" s="8" t="s">
        <v>31</v>
      </c>
      <c r="G227" s="8" t="s">
        <v>211</v>
      </c>
      <c r="H227" s="6">
        <v>14.0</v>
      </c>
      <c r="I227" s="8" t="s">
        <v>34</v>
      </c>
      <c r="J227" s="8" t="s">
        <v>475</v>
      </c>
      <c r="K227" s="35" t="s">
        <v>50</v>
      </c>
      <c r="L227" s="62" t="s">
        <v>471</v>
      </c>
      <c r="M227" s="62" t="s">
        <v>478</v>
      </c>
      <c r="N227" s="8" t="s">
        <v>189</v>
      </c>
      <c r="O227" s="8"/>
      <c r="P227" s="35" t="s">
        <v>109</v>
      </c>
      <c r="Q227" s="41">
        <v>5900.0</v>
      </c>
      <c r="R227" s="15">
        <f>CARPETA!$Q227*CARPETA!$E227</f>
        <v>5900</v>
      </c>
      <c r="S227" s="15">
        <f>CARPETA!$R227*16%</f>
        <v>944</v>
      </c>
      <c r="T227" s="15">
        <f>CARPETA!$R227+CARPETA!$S227</f>
        <v>6844</v>
      </c>
      <c r="U227" s="35" t="s">
        <v>110</v>
      </c>
      <c r="V227" s="15"/>
      <c r="W227" s="15"/>
    </row>
    <row r="228" ht="15.75" customHeight="1">
      <c r="A228" s="6">
        <v>26.0</v>
      </c>
      <c r="B228" s="6">
        <v>9.0</v>
      </c>
      <c r="C228" s="39">
        <v>318.0</v>
      </c>
      <c r="D228" s="40">
        <v>46199.0</v>
      </c>
      <c r="E228" s="8">
        <v>1.0</v>
      </c>
      <c r="F228" s="8" t="s">
        <v>31</v>
      </c>
      <c r="G228" s="8" t="s">
        <v>482</v>
      </c>
      <c r="H228" s="6">
        <v>14.0</v>
      </c>
      <c r="I228" s="8" t="s">
        <v>34</v>
      </c>
      <c r="J228" s="8" t="s">
        <v>312</v>
      </c>
      <c r="K228" s="35" t="s">
        <v>50</v>
      </c>
      <c r="L228" s="62" t="s">
        <v>466</v>
      </c>
      <c r="M228" s="62" t="s">
        <v>483</v>
      </c>
      <c r="N228" s="8" t="s">
        <v>189</v>
      </c>
      <c r="O228" s="8"/>
      <c r="P228" s="35" t="s">
        <v>109</v>
      </c>
      <c r="Q228" s="41">
        <v>5900.0</v>
      </c>
      <c r="R228" s="15">
        <f>CARPETA!$Q228*CARPETA!$E228</f>
        <v>5900</v>
      </c>
      <c r="S228" s="15">
        <f>CARPETA!$R228*16%</f>
        <v>944</v>
      </c>
      <c r="T228" s="15">
        <f>CARPETA!$R228+CARPETA!$S228</f>
        <v>6844</v>
      </c>
      <c r="U228" s="35" t="s">
        <v>110</v>
      </c>
      <c r="V228" s="15"/>
      <c r="W228" s="15"/>
    </row>
    <row r="229" ht="15.75" customHeight="1">
      <c r="A229" s="6">
        <v>26.0</v>
      </c>
      <c r="B229" s="6">
        <v>10.0</v>
      </c>
      <c r="C229" s="39">
        <v>319.0</v>
      </c>
      <c r="D229" s="40">
        <v>46199.0</v>
      </c>
      <c r="E229" s="8">
        <v>1.0</v>
      </c>
      <c r="F229" s="8" t="s">
        <v>31</v>
      </c>
      <c r="G229" s="8" t="s">
        <v>320</v>
      </c>
      <c r="H229" s="6">
        <v>14.0</v>
      </c>
      <c r="I229" s="8" t="s">
        <v>34</v>
      </c>
      <c r="J229" s="8" t="s">
        <v>321</v>
      </c>
      <c r="K229" s="35" t="s">
        <v>50</v>
      </c>
      <c r="L229" s="62" t="s">
        <v>483</v>
      </c>
      <c r="M229" s="62" t="s">
        <v>231</v>
      </c>
      <c r="N229" s="8" t="s">
        <v>189</v>
      </c>
      <c r="O229" s="8"/>
      <c r="P229" s="35" t="s">
        <v>109</v>
      </c>
      <c r="Q229" s="41">
        <v>5900.0</v>
      </c>
      <c r="R229" s="15">
        <f>CARPETA!$Q229*CARPETA!$E229</f>
        <v>5900</v>
      </c>
      <c r="S229" s="15">
        <f>CARPETA!$R229*16%</f>
        <v>944</v>
      </c>
      <c r="T229" s="15">
        <f>CARPETA!$R229+CARPETA!$S229</f>
        <v>6844</v>
      </c>
      <c r="U229" s="35" t="s">
        <v>110</v>
      </c>
      <c r="V229" s="15"/>
      <c r="W229" s="15"/>
    </row>
    <row r="230" ht="15.75" customHeight="1">
      <c r="A230" s="6">
        <v>27.0</v>
      </c>
      <c r="B230" s="6">
        <v>1.0</v>
      </c>
      <c r="C230" s="39">
        <v>753.0</v>
      </c>
      <c r="D230" s="40">
        <v>46202.0</v>
      </c>
      <c r="E230" s="8">
        <v>1.0</v>
      </c>
      <c r="F230" s="8" t="s">
        <v>31</v>
      </c>
      <c r="G230" s="8" t="s">
        <v>489</v>
      </c>
      <c r="H230" s="6">
        <v>14.0</v>
      </c>
      <c r="I230" s="8" t="s">
        <v>34</v>
      </c>
      <c r="J230" s="8" t="s">
        <v>155</v>
      </c>
      <c r="K230" s="35" t="s">
        <v>50</v>
      </c>
      <c r="L230" s="62" t="s">
        <v>491</v>
      </c>
      <c r="M230" s="62" t="s">
        <v>492</v>
      </c>
      <c r="N230" s="62" t="s">
        <v>189</v>
      </c>
      <c r="O230" s="8"/>
      <c r="P230" s="35" t="s">
        <v>109</v>
      </c>
      <c r="Q230" s="41">
        <v>5900.0</v>
      </c>
      <c r="R230" s="15">
        <f>CARPETA!$Q230*CARPETA!$E230</f>
        <v>5900</v>
      </c>
      <c r="S230" s="15">
        <f>CARPETA!$R230*16%</f>
        <v>944</v>
      </c>
      <c r="T230" s="15">
        <f>CARPETA!$R230+CARPETA!$S230</f>
        <v>6844</v>
      </c>
      <c r="U230" s="35" t="s">
        <v>110</v>
      </c>
      <c r="V230" s="15"/>
      <c r="W230" s="15"/>
    </row>
    <row r="231" ht="15.75" customHeight="1">
      <c r="A231" s="6">
        <v>27.0</v>
      </c>
      <c r="B231" s="6">
        <v>2.0</v>
      </c>
      <c r="C231" s="39">
        <v>754.0</v>
      </c>
      <c r="D231" s="40">
        <v>46202.0</v>
      </c>
      <c r="E231" s="8">
        <v>1.0</v>
      </c>
      <c r="F231" s="8" t="s">
        <v>31</v>
      </c>
      <c r="G231" s="8" t="s">
        <v>201</v>
      </c>
      <c r="H231" s="6">
        <v>14.0</v>
      </c>
      <c r="I231" s="8" t="s">
        <v>34</v>
      </c>
      <c r="J231" s="8" t="s">
        <v>312</v>
      </c>
      <c r="K231" s="35" t="s">
        <v>50</v>
      </c>
      <c r="L231" s="62" t="s">
        <v>495</v>
      </c>
      <c r="M231" s="62" t="s">
        <v>496</v>
      </c>
      <c r="N231" s="62" t="s">
        <v>189</v>
      </c>
      <c r="O231" s="8"/>
      <c r="P231" s="35" t="s">
        <v>109</v>
      </c>
      <c r="Q231" s="41">
        <v>5900.0</v>
      </c>
      <c r="R231" s="15">
        <f>CARPETA!$Q231*CARPETA!$E231</f>
        <v>5900</v>
      </c>
      <c r="S231" s="15">
        <f>CARPETA!$R231*16%</f>
        <v>944</v>
      </c>
      <c r="T231" s="15">
        <f>CARPETA!$R231+CARPETA!$S231</f>
        <v>6844</v>
      </c>
      <c r="U231" s="35" t="s">
        <v>110</v>
      </c>
      <c r="V231" s="15"/>
      <c r="W231" s="15"/>
    </row>
    <row r="232" ht="15.75" customHeight="1">
      <c r="A232" s="6">
        <v>27.0</v>
      </c>
      <c r="B232" s="6">
        <v>3.0</v>
      </c>
      <c r="C232" s="39">
        <v>756.0</v>
      </c>
      <c r="D232" s="40">
        <v>46202.0</v>
      </c>
      <c r="E232" s="8">
        <v>1.0</v>
      </c>
      <c r="F232" s="8" t="s">
        <v>31</v>
      </c>
      <c r="G232" s="8" t="s">
        <v>357</v>
      </c>
      <c r="H232" s="6">
        <v>16.0</v>
      </c>
      <c r="I232" s="8" t="s">
        <v>34</v>
      </c>
      <c r="J232" s="8" t="s">
        <v>288</v>
      </c>
      <c r="K232" s="35" t="s">
        <v>50</v>
      </c>
      <c r="L232" s="62" t="s">
        <v>500</v>
      </c>
      <c r="M232" s="62" t="s">
        <v>501</v>
      </c>
      <c r="N232" s="62" t="s">
        <v>189</v>
      </c>
      <c r="O232" s="8"/>
      <c r="P232" s="35" t="s">
        <v>109</v>
      </c>
      <c r="Q232" s="41">
        <v>5900.0</v>
      </c>
      <c r="R232" s="15">
        <f>CARPETA!$Q232*CARPETA!$E232</f>
        <v>5900</v>
      </c>
      <c r="S232" s="15">
        <f>CARPETA!$R232*16%</f>
        <v>944</v>
      </c>
      <c r="T232" s="15">
        <f>CARPETA!$R232+CARPETA!$S232</f>
        <v>6844</v>
      </c>
      <c r="U232" s="35" t="s">
        <v>110</v>
      </c>
      <c r="V232" s="15"/>
      <c r="W232" s="15"/>
    </row>
    <row r="233" ht="15.75" customHeight="1">
      <c r="A233" s="6">
        <v>27.0</v>
      </c>
      <c r="B233" s="6">
        <v>4.0</v>
      </c>
      <c r="C233" s="39">
        <v>755.0</v>
      </c>
      <c r="D233" s="40">
        <v>46202.0</v>
      </c>
      <c r="E233" s="8">
        <v>1.0</v>
      </c>
      <c r="F233" s="8" t="s">
        <v>31</v>
      </c>
      <c r="G233" s="8" t="s">
        <v>295</v>
      </c>
      <c r="H233" s="6">
        <v>16.0</v>
      </c>
      <c r="I233" s="8" t="s">
        <v>34</v>
      </c>
      <c r="J233" s="8" t="s">
        <v>118</v>
      </c>
      <c r="K233" s="35" t="s">
        <v>50</v>
      </c>
      <c r="L233" s="62" t="s">
        <v>501</v>
      </c>
      <c r="M233" s="62" t="s">
        <v>505</v>
      </c>
      <c r="N233" s="62" t="s">
        <v>189</v>
      </c>
      <c r="O233" s="8"/>
      <c r="P233" s="35" t="s">
        <v>109</v>
      </c>
      <c r="Q233" s="41">
        <v>5900.0</v>
      </c>
      <c r="R233" s="15">
        <f>CARPETA!$Q233*CARPETA!$E233</f>
        <v>5900</v>
      </c>
      <c r="S233" s="15">
        <f>CARPETA!$R233*16%</f>
        <v>944</v>
      </c>
      <c r="T233" s="15">
        <f>CARPETA!$R233+CARPETA!$S233</f>
        <v>6844</v>
      </c>
      <c r="U233" s="35" t="s">
        <v>110</v>
      </c>
      <c r="V233" s="15"/>
      <c r="W233" s="15"/>
    </row>
    <row r="234" ht="15.75" hidden="1" customHeight="1">
      <c r="A234" s="6">
        <v>27.0</v>
      </c>
      <c r="B234" s="6"/>
      <c r="C234" s="84" t="s">
        <v>507</v>
      </c>
      <c r="D234" s="86">
        <v>46202.0</v>
      </c>
      <c r="E234" s="8">
        <v>1.0</v>
      </c>
      <c r="F234" s="35" t="s">
        <v>148</v>
      </c>
      <c r="G234" s="8"/>
      <c r="H234" s="6"/>
      <c r="I234" s="8"/>
      <c r="J234" s="8"/>
      <c r="K234" s="35" t="s">
        <v>50</v>
      </c>
      <c r="L234" s="53"/>
      <c r="M234" s="62"/>
      <c r="N234" s="62"/>
      <c r="O234" s="8"/>
      <c r="P234" s="35" t="s">
        <v>109</v>
      </c>
      <c r="Q234" s="41">
        <v>2950.0</v>
      </c>
      <c r="R234" s="15">
        <f>CARPETA!$Q234*CARPETA!$E234</f>
        <v>2950</v>
      </c>
      <c r="S234" s="15">
        <f>CARPETA!$R234*16%</f>
        <v>472</v>
      </c>
      <c r="T234" s="15">
        <f>CARPETA!$R234+CARPETA!$S234</f>
        <v>3422</v>
      </c>
      <c r="U234" s="52" t="s">
        <v>110</v>
      </c>
      <c r="V234" s="15"/>
      <c r="W234" s="15"/>
    </row>
    <row r="235" ht="15.75" hidden="1" customHeight="1">
      <c r="A235" s="6">
        <v>27.0</v>
      </c>
      <c r="B235" s="6"/>
      <c r="C235" s="84" t="s">
        <v>510</v>
      </c>
      <c r="D235" s="86">
        <v>46202.0</v>
      </c>
      <c r="E235" s="8">
        <v>1.0</v>
      </c>
      <c r="F235" s="35" t="s">
        <v>148</v>
      </c>
      <c r="G235" s="8"/>
      <c r="H235" s="6"/>
      <c r="I235" s="8"/>
      <c r="J235" s="8"/>
      <c r="K235" s="35" t="s">
        <v>50</v>
      </c>
      <c r="L235" s="53"/>
      <c r="M235" s="62"/>
      <c r="N235" s="62"/>
      <c r="O235" s="8"/>
      <c r="P235" s="35" t="s">
        <v>109</v>
      </c>
      <c r="Q235" s="41">
        <v>2950.0</v>
      </c>
      <c r="R235" s="15">
        <f>CARPETA!$Q235*CARPETA!$E235</f>
        <v>2950</v>
      </c>
      <c r="S235" s="15">
        <f>CARPETA!$R235*16%</f>
        <v>472</v>
      </c>
      <c r="T235" s="15">
        <f>CARPETA!$R235+CARPETA!$S235</f>
        <v>3422</v>
      </c>
      <c r="U235" s="52" t="s">
        <v>110</v>
      </c>
      <c r="V235" s="15"/>
      <c r="W235" s="15"/>
    </row>
    <row r="236" ht="15.75" hidden="1" customHeight="1">
      <c r="A236" s="6">
        <v>27.0</v>
      </c>
      <c r="B236" s="6"/>
      <c r="C236" s="84" t="s">
        <v>512</v>
      </c>
      <c r="D236" s="86">
        <v>46202.0</v>
      </c>
      <c r="E236" s="8">
        <v>1.0</v>
      </c>
      <c r="F236" s="35" t="s">
        <v>148</v>
      </c>
      <c r="G236" s="8"/>
      <c r="H236" s="6"/>
      <c r="I236" s="8"/>
      <c r="J236" s="8"/>
      <c r="K236" s="35" t="s">
        <v>50</v>
      </c>
      <c r="L236" s="53"/>
      <c r="M236" s="62"/>
      <c r="N236" s="62"/>
      <c r="O236" s="8"/>
      <c r="P236" s="35" t="s">
        <v>109</v>
      </c>
      <c r="Q236" s="41">
        <v>2950.0</v>
      </c>
      <c r="R236" s="15">
        <f>CARPETA!$Q236*CARPETA!$E236</f>
        <v>2950</v>
      </c>
      <c r="S236" s="15">
        <f>CARPETA!$R236*16%</f>
        <v>472</v>
      </c>
      <c r="T236" s="15">
        <f>CARPETA!$R236+CARPETA!$S236</f>
        <v>3422</v>
      </c>
      <c r="U236" s="52" t="s">
        <v>110</v>
      </c>
      <c r="V236" s="15"/>
      <c r="W236" s="15"/>
    </row>
    <row r="237" ht="15.75" customHeight="1">
      <c r="A237" s="6">
        <v>27.0</v>
      </c>
      <c r="B237" s="6">
        <v>1.0</v>
      </c>
      <c r="C237" s="39">
        <v>768.0</v>
      </c>
      <c r="D237" s="40">
        <v>46203.0</v>
      </c>
      <c r="E237" s="8">
        <v>1.0</v>
      </c>
      <c r="F237" s="8" t="s">
        <v>31</v>
      </c>
      <c r="G237" s="8" t="s">
        <v>201</v>
      </c>
      <c r="H237" s="6">
        <v>14.0</v>
      </c>
      <c r="I237" s="8" t="s">
        <v>34</v>
      </c>
      <c r="J237" s="8" t="s">
        <v>312</v>
      </c>
      <c r="K237" s="35" t="s">
        <v>50</v>
      </c>
      <c r="L237" s="62" t="s">
        <v>513</v>
      </c>
      <c r="M237" s="62" t="s">
        <v>514</v>
      </c>
      <c r="N237" s="62" t="s">
        <v>189</v>
      </c>
      <c r="O237" s="8"/>
      <c r="P237" s="35" t="s">
        <v>109</v>
      </c>
      <c r="Q237" s="41">
        <v>5900.0</v>
      </c>
      <c r="R237" s="15">
        <f>CARPETA!$Q237*CARPETA!$E237</f>
        <v>5900</v>
      </c>
      <c r="S237" s="15">
        <f>CARPETA!$R237*16%</f>
        <v>944</v>
      </c>
      <c r="T237" s="15">
        <f>CARPETA!$R237+CARPETA!$S237</f>
        <v>6844</v>
      </c>
      <c r="U237" s="35" t="s">
        <v>110</v>
      </c>
      <c r="V237" s="15"/>
      <c r="W237" s="15"/>
    </row>
    <row r="238" ht="15.75" customHeight="1">
      <c r="A238" s="6">
        <v>27.0</v>
      </c>
      <c r="B238" s="6">
        <v>2.0</v>
      </c>
      <c r="C238" s="39">
        <v>769.0</v>
      </c>
      <c r="D238" s="40">
        <v>46203.0</v>
      </c>
      <c r="E238" s="8">
        <v>1.0</v>
      </c>
      <c r="F238" s="8" t="s">
        <v>31</v>
      </c>
      <c r="G238" s="8" t="s">
        <v>295</v>
      </c>
      <c r="H238" s="6">
        <v>16.0</v>
      </c>
      <c r="I238" s="8" t="s">
        <v>34</v>
      </c>
      <c r="J238" s="8" t="s">
        <v>118</v>
      </c>
      <c r="K238" s="35" t="s">
        <v>50</v>
      </c>
      <c r="L238" s="62" t="s">
        <v>514</v>
      </c>
      <c r="M238" s="62" t="s">
        <v>516</v>
      </c>
      <c r="N238" s="62" t="s">
        <v>189</v>
      </c>
      <c r="O238" s="8"/>
      <c r="P238" s="35" t="s">
        <v>109</v>
      </c>
      <c r="Q238" s="41">
        <v>5900.0</v>
      </c>
      <c r="R238" s="15">
        <f>CARPETA!$Q238*CARPETA!$E238</f>
        <v>5900</v>
      </c>
      <c r="S238" s="15">
        <f>CARPETA!$R238*16%</f>
        <v>944</v>
      </c>
      <c r="T238" s="15">
        <f>CARPETA!$R238+CARPETA!$S238</f>
        <v>6844</v>
      </c>
      <c r="U238" s="35" t="s">
        <v>110</v>
      </c>
      <c r="V238" s="15"/>
      <c r="W238" s="15"/>
    </row>
    <row r="239" ht="15.75" customHeight="1">
      <c r="A239" s="6">
        <v>27.0</v>
      </c>
      <c r="B239" s="6">
        <v>3.0</v>
      </c>
      <c r="C239" s="39">
        <v>770.0</v>
      </c>
      <c r="D239" s="40">
        <v>46203.0</v>
      </c>
      <c r="E239" s="8">
        <v>1.0</v>
      </c>
      <c r="F239" s="8" t="s">
        <v>31</v>
      </c>
      <c r="G239" s="8" t="s">
        <v>518</v>
      </c>
      <c r="H239" s="6">
        <v>16.0</v>
      </c>
      <c r="I239" s="8" t="s">
        <v>34</v>
      </c>
      <c r="J239" s="8" t="s">
        <v>200</v>
      </c>
      <c r="K239" s="35" t="s">
        <v>50</v>
      </c>
      <c r="L239" s="62" t="s">
        <v>516</v>
      </c>
      <c r="M239" s="62" t="s">
        <v>235</v>
      </c>
      <c r="N239" s="62" t="s">
        <v>189</v>
      </c>
      <c r="O239" s="8"/>
      <c r="P239" s="35" t="s">
        <v>109</v>
      </c>
      <c r="Q239" s="41">
        <v>5900.0</v>
      </c>
      <c r="R239" s="15">
        <f>CARPETA!$Q239*CARPETA!$E239</f>
        <v>5900</v>
      </c>
      <c r="S239" s="15">
        <f>CARPETA!$R239*16%</f>
        <v>944</v>
      </c>
      <c r="T239" s="15">
        <f>CARPETA!$R239+CARPETA!$S239</f>
        <v>6844</v>
      </c>
      <c r="U239" s="35" t="s">
        <v>110</v>
      </c>
      <c r="V239" s="15"/>
      <c r="W239" s="15"/>
    </row>
    <row r="240" ht="15.75" customHeight="1">
      <c r="A240" s="6">
        <v>27.0</v>
      </c>
      <c r="B240" s="6">
        <v>4.0</v>
      </c>
      <c r="C240" s="39">
        <v>771.0</v>
      </c>
      <c r="D240" s="40">
        <v>46203.0</v>
      </c>
      <c r="E240" s="8">
        <v>1.0</v>
      </c>
      <c r="F240" s="8" t="s">
        <v>31</v>
      </c>
      <c r="G240" s="8" t="s">
        <v>357</v>
      </c>
      <c r="H240" s="6">
        <v>14.0</v>
      </c>
      <c r="I240" s="8" t="s">
        <v>34</v>
      </c>
      <c r="J240" s="8" t="s">
        <v>520</v>
      </c>
      <c r="K240" s="35" t="s">
        <v>50</v>
      </c>
      <c r="L240" s="62" t="s">
        <v>235</v>
      </c>
      <c r="M240" s="62" t="s">
        <v>522</v>
      </c>
      <c r="N240" s="62" t="s">
        <v>189</v>
      </c>
      <c r="O240" s="8"/>
      <c r="P240" s="35" t="s">
        <v>109</v>
      </c>
      <c r="Q240" s="41">
        <v>5900.0</v>
      </c>
      <c r="R240" s="15">
        <f>CARPETA!$Q240*CARPETA!$E240</f>
        <v>5900</v>
      </c>
      <c r="S240" s="15">
        <f>CARPETA!$R240*16%</f>
        <v>944</v>
      </c>
      <c r="T240" s="15">
        <f>CARPETA!$R240+CARPETA!$S240</f>
        <v>6844</v>
      </c>
      <c r="U240" s="35" t="s">
        <v>110</v>
      </c>
      <c r="V240" s="15"/>
      <c r="W240" s="15"/>
    </row>
    <row r="241" ht="15.75" customHeight="1">
      <c r="A241" s="6">
        <v>27.0</v>
      </c>
      <c r="B241" s="6">
        <v>5.0</v>
      </c>
      <c r="C241" s="39">
        <v>772.0</v>
      </c>
      <c r="D241" s="40">
        <v>46203.0</v>
      </c>
      <c r="E241" s="8">
        <v>1.0</v>
      </c>
      <c r="F241" s="8" t="s">
        <v>31</v>
      </c>
      <c r="G241" s="8" t="s">
        <v>523</v>
      </c>
      <c r="H241" s="6">
        <v>14.0</v>
      </c>
      <c r="I241" s="8" t="s">
        <v>34</v>
      </c>
      <c r="J241" s="8" t="s">
        <v>524</v>
      </c>
      <c r="K241" s="35" t="s">
        <v>50</v>
      </c>
      <c r="L241" s="62" t="s">
        <v>522</v>
      </c>
      <c r="M241" s="62" t="s">
        <v>526</v>
      </c>
      <c r="N241" s="62" t="s">
        <v>189</v>
      </c>
      <c r="O241" s="8"/>
      <c r="P241" s="35" t="s">
        <v>109</v>
      </c>
      <c r="Q241" s="41">
        <v>5900.0</v>
      </c>
      <c r="R241" s="15">
        <f>CARPETA!$Q241*CARPETA!$E241</f>
        <v>5900</v>
      </c>
      <c r="S241" s="15">
        <f>CARPETA!$R241*16%</f>
        <v>944</v>
      </c>
      <c r="T241" s="15">
        <f>CARPETA!$R241+CARPETA!$S241</f>
        <v>6844</v>
      </c>
      <c r="U241" s="35" t="s">
        <v>110</v>
      </c>
      <c r="V241" s="15"/>
      <c r="W241" s="15"/>
    </row>
    <row r="242" ht="15.75" customHeight="1">
      <c r="A242" s="6">
        <v>27.0</v>
      </c>
      <c r="B242" s="6">
        <v>6.0</v>
      </c>
      <c r="C242" s="39">
        <v>773.0</v>
      </c>
      <c r="D242" s="40">
        <v>46203.0</v>
      </c>
      <c r="E242" s="8">
        <v>1.0</v>
      </c>
      <c r="F242" s="8" t="s">
        <v>31</v>
      </c>
      <c r="G242" s="8" t="s">
        <v>527</v>
      </c>
      <c r="H242" s="6">
        <v>14.0</v>
      </c>
      <c r="I242" s="8" t="s">
        <v>34</v>
      </c>
      <c r="J242" s="8" t="s">
        <v>408</v>
      </c>
      <c r="K242" s="35" t="s">
        <v>50</v>
      </c>
      <c r="L242" s="62" t="s">
        <v>528</v>
      </c>
      <c r="M242" s="62" t="s">
        <v>240</v>
      </c>
      <c r="N242" s="62" t="s">
        <v>189</v>
      </c>
      <c r="O242" s="8"/>
      <c r="P242" s="35" t="s">
        <v>109</v>
      </c>
      <c r="Q242" s="41">
        <v>5900.0</v>
      </c>
      <c r="R242" s="15">
        <f>CARPETA!$Q242*CARPETA!$E242</f>
        <v>5900</v>
      </c>
      <c r="S242" s="15">
        <f>CARPETA!$R242*16%</f>
        <v>944</v>
      </c>
      <c r="T242" s="15">
        <f>CARPETA!$R242+CARPETA!$S242</f>
        <v>6844</v>
      </c>
      <c r="U242" s="35" t="s">
        <v>110</v>
      </c>
      <c r="V242" s="15"/>
      <c r="W242" s="15"/>
    </row>
    <row r="243" ht="15.75" customHeight="1">
      <c r="A243" s="6">
        <v>27.0</v>
      </c>
      <c r="B243" s="6">
        <v>7.0</v>
      </c>
      <c r="C243" s="39">
        <v>774.0</v>
      </c>
      <c r="D243" s="40">
        <v>46203.0</v>
      </c>
      <c r="E243" s="8">
        <v>1.0</v>
      </c>
      <c r="F243" s="8" t="s">
        <v>31</v>
      </c>
      <c r="G243" s="8" t="s">
        <v>444</v>
      </c>
      <c r="H243" s="6">
        <v>14.0</v>
      </c>
      <c r="I243" s="8" t="s">
        <v>34</v>
      </c>
      <c r="J243" s="8" t="s">
        <v>366</v>
      </c>
      <c r="K243" s="35" t="s">
        <v>50</v>
      </c>
      <c r="L243" s="62" t="s">
        <v>240</v>
      </c>
      <c r="M243" s="62" t="s">
        <v>532</v>
      </c>
      <c r="N243" s="62" t="s">
        <v>189</v>
      </c>
      <c r="O243" s="8"/>
      <c r="P243" s="35" t="s">
        <v>109</v>
      </c>
      <c r="Q243" s="41">
        <v>5900.0</v>
      </c>
      <c r="R243" s="15">
        <f>CARPETA!$Q243*CARPETA!$E243</f>
        <v>5900</v>
      </c>
      <c r="S243" s="15">
        <f>CARPETA!$R243*16%</f>
        <v>944</v>
      </c>
      <c r="T243" s="15">
        <f>CARPETA!$R243+CARPETA!$S243</f>
        <v>6844</v>
      </c>
      <c r="U243" s="35" t="s">
        <v>110</v>
      </c>
      <c r="V243" s="15"/>
      <c r="W243" s="15"/>
    </row>
    <row r="244" ht="15.75" customHeight="1">
      <c r="A244" s="6">
        <v>27.0</v>
      </c>
      <c r="B244" s="6">
        <v>8.0</v>
      </c>
      <c r="C244" s="39">
        <v>775.0</v>
      </c>
      <c r="D244" s="40">
        <v>46203.0</v>
      </c>
      <c r="E244" s="8">
        <v>1.0</v>
      </c>
      <c r="F244" s="8" t="s">
        <v>31</v>
      </c>
      <c r="G244" s="8" t="s">
        <v>251</v>
      </c>
      <c r="H244" s="6">
        <v>14.0</v>
      </c>
      <c r="I244" s="8" t="s">
        <v>34</v>
      </c>
      <c r="J244" s="8" t="s">
        <v>313</v>
      </c>
      <c r="K244" s="35" t="s">
        <v>50</v>
      </c>
      <c r="L244" s="62" t="s">
        <v>536</v>
      </c>
      <c r="M244" s="62" t="s">
        <v>275</v>
      </c>
      <c r="N244" s="62" t="s">
        <v>189</v>
      </c>
      <c r="O244" s="8"/>
      <c r="P244" s="35" t="s">
        <v>109</v>
      </c>
      <c r="Q244" s="41">
        <v>5900.0</v>
      </c>
      <c r="R244" s="15">
        <f>CARPETA!$Q244*CARPETA!$E244</f>
        <v>5900</v>
      </c>
      <c r="S244" s="15">
        <f>CARPETA!$R244*16%</f>
        <v>944</v>
      </c>
      <c r="T244" s="15">
        <f>CARPETA!$R244+CARPETA!$S244</f>
        <v>6844</v>
      </c>
      <c r="U244" s="35" t="s">
        <v>110</v>
      </c>
      <c r="V244" s="15"/>
      <c r="W244" s="15"/>
    </row>
    <row r="245" ht="15.75" customHeight="1">
      <c r="A245" s="6">
        <v>27.0</v>
      </c>
      <c r="B245" s="6">
        <v>9.0</v>
      </c>
      <c r="C245" s="39">
        <v>776.0</v>
      </c>
      <c r="D245" s="40">
        <v>46203.0</v>
      </c>
      <c r="E245" s="8">
        <v>1.0</v>
      </c>
      <c r="F245" s="8" t="s">
        <v>31</v>
      </c>
      <c r="G245" s="8" t="s">
        <v>537</v>
      </c>
      <c r="H245" s="6">
        <v>14.0</v>
      </c>
      <c r="I245" s="8" t="s">
        <v>34</v>
      </c>
      <c r="J245" s="8" t="s">
        <v>538</v>
      </c>
      <c r="K245" s="35" t="s">
        <v>50</v>
      </c>
      <c r="L245" s="62" t="s">
        <v>532</v>
      </c>
      <c r="M245" s="62" t="s">
        <v>540</v>
      </c>
      <c r="N245" s="62" t="s">
        <v>189</v>
      </c>
      <c r="O245" s="8"/>
      <c r="P245" s="35" t="s">
        <v>109</v>
      </c>
      <c r="Q245" s="41">
        <v>5900.0</v>
      </c>
      <c r="R245" s="15">
        <f>CARPETA!$Q245*CARPETA!$E245</f>
        <v>5900</v>
      </c>
      <c r="S245" s="15">
        <f>CARPETA!$R245*16%</f>
        <v>944</v>
      </c>
      <c r="T245" s="15">
        <f>CARPETA!$R245+CARPETA!$S245</f>
        <v>6844</v>
      </c>
      <c r="U245" s="35" t="s">
        <v>110</v>
      </c>
      <c r="V245" s="15"/>
      <c r="W245" s="15"/>
    </row>
    <row r="246" ht="15.75" customHeight="1">
      <c r="A246" s="6">
        <v>27.0</v>
      </c>
      <c r="B246" s="6">
        <v>10.0</v>
      </c>
      <c r="C246" s="39">
        <v>777.0</v>
      </c>
      <c r="D246" s="40">
        <v>46203.0</v>
      </c>
      <c r="E246" s="8">
        <v>1.0</v>
      </c>
      <c r="F246" s="8" t="s">
        <v>31</v>
      </c>
      <c r="G246" s="8" t="s">
        <v>316</v>
      </c>
      <c r="H246" s="6">
        <v>14.0</v>
      </c>
      <c r="I246" s="8" t="s">
        <v>34</v>
      </c>
      <c r="J246" s="8" t="s">
        <v>223</v>
      </c>
      <c r="K246" s="35" t="s">
        <v>50</v>
      </c>
      <c r="L246" s="62" t="s">
        <v>540</v>
      </c>
      <c r="M246" s="62" t="s">
        <v>536</v>
      </c>
      <c r="N246" s="62" t="s">
        <v>189</v>
      </c>
      <c r="O246" s="8"/>
      <c r="P246" s="35" t="s">
        <v>109</v>
      </c>
      <c r="Q246" s="41">
        <v>5900.0</v>
      </c>
      <c r="R246" s="15">
        <f>CARPETA!$Q246*CARPETA!$E246</f>
        <v>5900</v>
      </c>
      <c r="S246" s="15">
        <f>CARPETA!$R246*16%</f>
        <v>944</v>
      </c>
      <c r="T246" s="15">
        <f>CARPETA!$R246+CARPETA!$S246</f>
        <v>6844</v>
      </c>
      <c r="U246" s="35" t="s">
        <v>110</v>
      </c>
      <c r="V246" s="15"/>
      <c r="W246" s="15"/>
    </row>
    <row r="247" ht="15.75" customHeight="1">
      <c r="A247" s="6">
        <v>27.0</v>
      </c>
      <c r="B247" s="6">
        <v>11.0</v>
      </c>
      <c r="C247" s="39">
        <v>778.0</v>
      </c>
      <c r="D247" s="40">
        <v>46203.0</v>
      </c>
      <c r="E247" s="8">
        <v>1.0</v>
      </c>
      <c r="F247" s="8" t="s">
        <v>31</v>
      </c>
      <c r="G247" s="8" t="s">
        <v>273</v>
      </c>
      <c r="H247" s="6">
        <v>14.0</v>
      </c>
      <c r="I247" s="67"/>
      <c r="J247" s="8" t="s">
        <v>274</v>
      </c>
      <c r="K247" s="35" t="s">
        <v>50</v>
      </c>
      <c r="L247" s="62" t="s">
        <v>275</v>
      </c>
      <c r="M247" s="62" t="s">
        <v>276</v>
      </c>
      <c r="N247" s="62" t="s">
        <v>189</v>
      </c>
      <c r="O247" s="8"/>
      <c r="P247" s="8"/>
      <c r="Q247" s="41">
        <v>5900.0</v>
      </c>
      <c r="R247" s="15">
        <f>CARPETA!$Q247*CARPETA!$E247</f>
        <v>5900</v>
      </c>
      <c r="S247" s="15">
        <f>CARPETA!$R247*16%</f>
        <v>944</v>
      </c>
      <c r="T247" s="15">
        <f>CARPETA!$R247+CARPETA!$S247</f>
        <v>6844</v>
      </c>
      <c r="U247" s="35" t="s">
        <v>545</v>
      </c>
      <c r="V247" s="15"/>
      <c r="W247" s="15"/>
    </row>
    <row r="248" ht="15.75" customHeight="1">
      <c r="A248" s="6">
        <v>27.0</v>
      </c>
      <c r="B248" s="6">
        <v>1.0</v>
      </c>
      <c r="C248" s="39">
        <v>779.0</v>
      </c>
      <c r="D248" s="40">
        <v>46204.0</v>
      </c>
      <c r="E248" s="8">
        <v>1.0</v>
      </c>
      <c r="F248" s="8" t="s">
        <v>31</v>
      </c>
      <c r="G248" s="8" t="s">
        <v>295</v>
      </c>
      <c r="H248" s="6">
        <v>14.0</v>
      </c>
      <c r="I248" s="8" t="s">
        <v>34</v>
      </c>
      <c r="J248" s="8" t="s">
        <v>118</v>
      </c>
      <c r="K248" s="35" t="s">
        <v>50</v>
      </c>
      <c r="L248" s="62" t="s">
        <v>528</v>
      </c>
      <c r="M248" s="62" t="s">
        <v>547</v>
      </c>
      <c r="N248" s="62" t="s">
        <v>189</v>
      </c>
      <c r="O248" s="8"/>
      <c r="P248" s="35" t="s">
        <v>109</v>
      </c>
      <c r="Q248" s="41">
        <v>5900.0</v>
      </c>
      <c r="R248" s="15">
        <f>CARPETA!$Q248*CARPETA!$E248</f>
        <v>5900</v>
      </c>
      <c r="S248" s="15">
        <f>CARPETA!$R248*16%</f>
        <v>944</v>
      </c>
      <c r="T248" s="15">
        <f>CARPETA!$R248+CARPETA!$S248</f>
        <v>6844</v>
      </c>
      <c r="U248" s="35" t="s">
        <v>110</v>
      </c>
      <c r="V248" s="15"/>
      <c r="W248" s="15"/>
    </row>
    <row r="249" ht="15.75" customHeight="1">
      <c r="A249" s="6">
        <v>27.0</v>
      </c>
      <c r="B249" s="6">
        <v>2.0</v>
      </c>
      <c r="C249" s="39">
        <v>780.0</v>
      </c>
      <c r="D249" s="40">
        <v>46204.0</v>
      </c>
      <c r="E249" s="8">
        <v>1.0</v>
      </c>
      <c r="F249" s="8" t="s">
        <v>31</v>
      </c>
      <c r="G249" s="8" t="s">
        <v>357</v>
      </c>
      <c r="H249" s="6">
        <v>14.0</v>
      </c>
      <c r="I249" s="8" t="s">
        <v>34</v>
      </c>
      <c r="J249" s="8" t="s">
        <v>288</v>
      </c>
      <c r="K249" s="35" t="s">
        <v>50</v>
      </c>
      <c r="L249" s="62" t="s">
        <v>547</v>
      </c>
      <c r="M249" s="62" t="s">
        <v>550</v>
      </c>
      <c r="N249" s="62" t="s">
        <v>189</v>
      </c>
      <c r="O249" s="8"/>
      <c r="P249" s="35" t="s">
        <v>109</v>
      </c>
      <c r="Q249" s="41">
        <v>5900.0</v>
      </c>
      <c r="R249" s="15">
        <f>CARPETA!$Q249*CARPETA!$E249</f>
        <v>5900</v>
      </c>
      <c r="S249" s="15">
        <f>CARPETA!$R249*16%</f>
        <v>944</v>
      </c>
      <c r="T249" s="15">
        <f>CARPETA!$R249+CARPETA!$S249</f>
        <v>6844</v>
      </c>
      <c r="U249" s="35" t="s">
        <v>110</v>
      </c>
      <c r="V249" s="15"/>
      <c r="W249" s="15"/>
    </row>
    <row r="250" ht="15.75" customHeight="1">
      <c r="A250" s="6">
        <v>27.0</v>
      </c>
      <c r="B250" s="6">
        <v>3.0</v>
      </c>
      <c r="C250" s="39">
        <v>781.0</v>
      </c>
      <c r="D250" s="40">
        <v>46204.0</v>
      </c>
      <c r="E250" s="8">
        <v>1.0</v>
      </c>
      <c r="F250" s="8" t="s">
        <v>31</v>
      </c>
      <c r="G250" s="8" t="s">
        <v>300</v>
      </c>
      <c r="H250" s="6">
        <v>14.0</v>
      </c>
      <c r="I250" s="8" t="s">
        <v>34</v>
      </c>
      <c r="J250" s="8" t="s">
        <v>114</v>
      </c>
      <c r="K250" s="35" t="s">
        <v>50</v>
      </c>
      <c r="L250" s="62" t="s">
        <v>550</v>
      </c>
      <c r="M250" s="62" t="s">
        <v>552</v>
      </c>
      <c r="N250" s="62" t="s">
        <v>189</v>
      </c>
      <c r="O250" s="8"/>
      <c r="P250" s="35" t="s">
        <v>109</v>
      </c>
      <c r="Q250" s="41">
        <v>5900.0</v>
      </c>
      <c r="R250" s="15">
        <f>CARPETA!$Q250*CARPETA!$E250</f>
        <v>5900</v>
      </c>
      <c r="S250" s="15">
        <f>CARPETA!$R250*16%</f>
        <v>944</v>
      </c>
      <c r="T250" s="15">
        <f>CARPETA!$R250+CARPETA!$S250</f>
        <v>6844</v>
      </c>
      <c r="U250" s="35" t="s">
        <v>110</v>
      </c>
      <c r="V250" s="15"/>
      <c r="W250" s="15"/>
    </row>
    <row r="251" ht="15.75" customHeight="1">
      <c r="A251" s="6">
        <v>27.0</v>
      </c>
      <c r="B251" s="6">
        <v>4.0</v>
      </c>
      <c r="C251" s="39">
        <v>782.0</v>
      </c>
      <c r="D251" s="40">
        <v>46204.0</v>
      </c>
      <c r="E251" s="8">
        <v>1.0</v>
      </c>
      <c r="F251" s="8" t="s">
        <v>31</v>
      </c>
      <c r="G251" s="8" t="s">
        <v>353</v>
      </c>
      <c r="H251" s="6">
        <v>14.0</v>
      </c>
      <c r="I251" s="8" t="s">
        <v>34</v>
      </c>
      <c r="J251" s="8" t="s">
        <v>114</v>
      </c>
      <c r="K251" s="35" t="s">
        <v>50</v>
      </c>
      <c r="L251" s="62" t="s">
        <v>552</v>
      </c>
      <c r="M251" s="62" t="s">
        <v>554</v>
      </c>
      <c r="N251" s="62" t="s">
        <v>189</v>
      </c>
      <c r="O251" s="8"/>
      <c r="P251" s="35" t="s">
        <v>109</v>
      </c>
      <c r="Q251" s="41">
        <v>5900.0</v>
      </c>
      <c r="R251" s="15">
        <f>CARPETA!$Q251*CARPETA!$E251</f>
        <v>5900</v>
      </c>
      <c r="S251" s="15">
        <f>CARPETA!$R251*16%</f>
        <v>944</v>
      </c>
      <c r="T251" s="15">
        <f>CARPETA!$R251+CARPETA!$S251</f>
        <v>6844</v>
      </c>
      <c r="U251" s="35" t="s">
        <v>110</v>
      </c>
      <c r="V251" s="15"/>
      <c r="W251" s="15"/>
    </row>
    <row r="252" ht="15.75" customHeight="1">
      <c r="A252" s="6">
        <v>27.0</v>
      </c>
      <c r="B252" s="6">
        <v>5.0</v>
      </c>
      <c r="C252" s="39">
        <v>784.0</v>
      </c>
      <c r="D252" s="40">
        <v>46204.0</v>
      </c>
      <c r="E252" s="8">
        <v>1.0</v>
      </c>
      <c r="F252" s="8" t="s">
        <v>31</v>
      </c>
      <c r="G252" s="8" t="s">
        <v>251</v>
      </c>
      <c r="H252" s="6">
        <v>14.0</v>
      </c>
      <c r="I252" s="8" t="s">
        <v>34</v>
      </c>
      <c r="J252" s="8" t="s">
        <v>313</v>
      </c>
      <c r="K252" s="35" t="s">
        <v>50</v>
      </c>
      <c r="L252" s="62" t="s">
        <v>554</v>
      </c>
      <c r="M252" s="62" t="s">
        <v>556</v>
      </c>
      <c r="N252" s="8" t="s">
        <v>189</v>
      </c>
      <c r="O252" s="8"/>
      <c r="P252" s="35" t="s">
        <v>109</v>
      </c>
      <c r="Q252" s="41">
        <v>5900.0</v>
      </c>
      <c r="R252" s="15">
        <f>CARPETA!$Q252*CARPETA!$E252</f>
        <v>5900</v>
      </c>
      <c r="S252" s="15">
        <f>CARPETA!$R252*16%</f>
        <v>944</v>
      </c>
      <c r="T252" s="15">
        <f>CARPETA!$R252+CARPETA!$S252</f>
        <v>6844</v>
      </c>
      <c r="U252" s="35" t="s">
        <v>110</v>
      </c>
      <c r="V252" s="15"/>
      <c r="W252" s="15"/>
    </row>
    <row r="253" ht="15.75" customHeight="1">
      <c r="A253" s="6">
        <v>27.0</v>
      </c>
      <c r="B253" s="6">
        <v>6.0</v>
      </c>
      <c r="C253" s="39">
        <v>783.0</v>
      </c>
      <c r="D253" s="40">
        <v>46204.0</v>
      </c>
      <c r="E253" s="8">
        <v>1.0</v>
      </c>
      <c r="F253" s="8" t="s">
        <v>31</v>
      </c>
      <c r="G253" s="8" t="s">
        <v>207</v>
      </c>
      <c r="H253" s="6">
        <v>14.0</v>
      </c>
      <c r="I253" s="8" t="s">
        <v>34</v>
      </c>
      <c r="J253" s="8" t="s">
        <v>558</v>
      </c>
      <c r="K253" s="35" t="s">
        <v>50</v>
      </c>
      <c r="L253" s="62" t="s">
        <v>556</v>
      </c>
      <c r="M253" s="62" t="s">
        <v>559</v>
      </c>
      <c r="N253" s="8" t="s">
        <v>189</v>
      </c>
      <c r="O253" s="8"/>
      <c r="P253" s="35" t="s">
        <v>109</v>
      </c>
      <c r="Q253" s="41">
        <v>5900.0</v>
      </c>
      <c r="R253" s="15">
        <f>CARPETA!$Q253*CARPETA!$E253</f>
        <v>5900</v>
      </c>
      <c r="S253" s="15">
        <f>CARPETA!$R253*16%</f>
        <v>944</v>
      </c>
      <c r="T253" s="15">
        <f>CARPETA!$R253+CARPETA!$S253</f>
        <v>6844</v>
      </c>
      <c r="U253" s="35" t="s">
        <v>110</v>
      </c>
      <c r="V253" s="15"/>
      <c r="W253" s="15"/>
    </row>
    <row r="254" ht="15.75" customHeight="1">
      <c r="A254" s="6">
        <v>27.0</v>
      </c>
      <c r="B254" s="6">
        <v>7.0</v>
      </c>
      <c r="C254" s="39">
        <v>785.0</v>
      </c>
      <c r="D254" s="40">
        <v>46204.0</v>
      </c>
      <c r="E254" s="8">
        <v>1.0</v>
      </c>
      <c r="F254" s="8" t="s">
        <v>31</v>
      </c>
      <c r="G254" s="8" t="s">
        <v>537</v>
      </c>
      <c r="H254" s="6">
        <v>14.0</v>
      </c>
      <c r="I254" s="8" t="s">
        <v>34</v>
      </c>
      <c r="J254" s="8" t="s">
        <v>538</v>
      </c>
      <c r="K254" s="35" t="s">
        <v>50</v>
      </c>
      <c r="L254" s="62" t="s">
        <v>559</v>
      </c>
      <c r="M254" s="62" t="s">
        <v>526</v>
      </c>
      <c r="N254" s="8" t="s">
        <v>189</v>
      </c>
      <c r="O254" s="8"/>
      <c r="P254" s="35" t="s">
        <v>109</v>
      </c>
      <c r="Q254" s="41">
        <v>5900.0</v>
      </c>
      <c r="R254" s="15">
        <f>CARPETA!$Q254*CARPETA!$E254</f>
        <v>5900</v>
      </c>
      <c r="S254" s="15">
        <f>CARPETA!$R254*16%</f>
        <v>944</v>
      </c>
      <c r="T254" s="15">
        <f>CARPETA!$R254+CARPETA!$S254</f>
        <v>6844</v>
      </c>
      <c r="U254" s="35" t="s">
        <v>110</v>
      </c>
      <c r="V254" s="15"/>
      <c r="W254" s="15"/>
    </row>
    <row r="255" ht="15.75" customHeight="1">
      <c r="A255" s="6">
        <v>27.0</v>
      </c>
      <c r="B255" s="6">
        <v>8.0</v>
      </c>
      <c r="C255" s="39">
        <v>786.0</v>
      </c>
      <c r="D255" s="40">
        <v>46204.0</v>
      </c>
      <c r="E255" s="8">
        <v>1.0</v>
      </c>
      <c r="F255" s="8" t="s">
        <v>31</v>
      </c>
      <c r="G255" s="8" t="s">
        <v>196</v>
      </c>
      <c r="H255" s="6">
        <v>14.0</v>
      </c>
      <c r="I255" s="8" t="s">
        <v>34</v>
      </c>
      <c r="J255" s="8" t="s">
        <v>351</v>
      </c>
      <c r="K255" s="35" t="s">
        <v>50</v>
      </c>
      <c r="L255" s="62" t="s">
        <v>528</v>
      </c>
      <c r="M255" s="62" t="s">
        <v>547</v>
      </c>
      <c r="N255" s="62" t="s">
        <v>189</v>
      </c>
      <c r="O255" s="8"/>
      <c r="P255" s="35" t="s">
        <v>109</v>
      </c>
      <c r="Q255" s="41">
        <v>5900.0</v>
      </c>
      <c r="R255" s="15">
        <f>CARPETA!$Q255*CARPETA!$E255</f>
        <v>5900</v>
      </c>
      <c r="S255" s="15">
        <f>CARPETA!$R255*16%</f>
        <v>944</v>
      </c>
      <c r="T255" s="15">
        <f>CARPETA!$R255+CARPETA!$S255</f>
        <v>6844</v>
      </c>
      <c r="U255" s="35" t="s">
        <v>110</v>
      </c>
      <c r="V255" s="15"/>
      <c r="W255" s="15"/>
    </row>
    <row r="256" ht="15.75" hidden="1" customHeight="1">
      <c r="A256" s="6">
        <v>27.0</v>
      </c>
      <c r="B256" s="6"/>
      <c r="C256" s="84">
        <v>789.0</v>
      </c>
      <c r="D256" s="40">
        <v>46204.0</v>
      </c>
      <c r="E256" s="35">
        <v>1.0</v>
      </c>
      <c r="F256" s="35" t="s">
        <v>148</v>
      </c>
      <c r="G256" s="8"/>
      <c r="H256" s="6"/>
      <c r="I256" s="67"/>
      <c r="J256" s="8"/>
      <c r="K256" s="35" t="s">
        <v>50</v>
      </c>
      <c r="L256" s="53"/>
      <c r="M256" s="62"/>
      <c r="N256" s="8"/>
      <c r="O256" s="8"/>
      <c r="P256" s="35" t="s">
        <v>109</v>
      </c>
      <c r="Q256" s="41">
        <v>2950.0</v>
      </c>
      <c r="R256" s="15">
        <f>CARPETA!$Q256*CARPETA!$E256</f>
        <v>2950</v>
      </c>
      <c r="S256" s="15">
        <f>CARPETA!$R256*16%</f>
        <v>472</v>
      </c>
      <c r="T256" s="15">
        <f>CARPETA!$R256+CARPETA!$S256</f>
        <v>3422</v>
      </c>
      <c r="U256" s="52" t="s">
        <v>110</v>
      </c>
      <c r="V256" s="15"/>
      <c r="W256" s="15"/>
    </row>
    <row r="257" ht="15.75" hidden="1" customHeight="1">
      <c r="A257" s="34">
        <v>27.0</v>
      </c>
      <c r="B257" s="6"/>
      <c r="C257" s="84">
        <v>790.0</v>
      </c>
      <c r="D257" s="40">
        <v>46204.0</v>
      </c>
      <c r="E257" s="35">
        <v>1.0</v>
      </c>
      <c r="F257" s="35" t="s">
        <v>148</v>
      </c>
      <c r="G257" s="8"/>
      <c r="H257" s="6"/>
      <c r="I257" s="67"/>
      <c r="J257" s="8"/>
      <c r="K257" s="35" t="s">
        <v>50</v>
      </c>
      <c r="L257" s="62"/>
      <c r="M257" s="62"/>
      <c r="N257" s="8"/>
      <c r="O257" s="8"/>
      <c r="P257" s="35" t="s">
        <v>109</v>
      </c>
      <c r="Q257" s="41">
        <v>2950.0</v>
      </c>
      <c r="R257" s="15">
        <f>CARPETA!$Q257*CARPETA!$E257</f>
        <v>2950</v>
      </c>
      <c r="S257" s="15">
        <f>CARPETA!$R257*16%</f>
        <v>472</v>
      </c>
      <c r="T257" s="15">
        <f>CARPETA!$R257+CARPETA!$S257</f>
        <v>3422</v>
      </c>
      <c r="U257" s="35" t="s">
        <v>545</v>
      </c>
      <c r="V257" s="15"/>
      <c r="W257" s="15"/>
    </row>
    <row r="258" ht="15.75" customHeight="1">
      <c r="A258" s="6">
        <v>27.0</v>
      </c>
      <c r="B258" s="6">
        <v>9.0</v>
      </c>
      <c r="C258" s="39">
        <v>787.0</v>
      </c>
      <c r="D258" s="40">
        <v>46204.0</v>
      </c>
      <c r="E258" s="8">
        <v>1.0</v>
      </c>
      <c r="F258" s="8" t="s">
        <v>31</v>
      </c>
      <c r="G258" s="8" t="s">
        <v>444</v>
      </c>
      <c r="H258" s="6">
        <v>14.0</v>
      </c>
      <c r="I258" s="8" t="s">
        <v>34</v>
      </c>
      <c r="J258" s="8" t="s">
        <v>366</v>
      </c>
      <c r="K258" s="35" t="s">
        <v>50</v>
      </c>
      <c r="L258" s="62" t="s">
        <v>547</v>
      </c>
      <c r="M258" s="62" t="s">
        <v>550</v>
      </c>
      <c r="N258" s="8" t="s">
        <v>189</v>
      </c>
      <c r="O258" s="8"/>
      <c r="P258" s="35" t="s">
        <v>109</v>
      </c>
      <c r="Q258" s="41">
        <v>5900.0</v>
      </c>
      <c r="R258" s="15">
        <f>CARPETA!$Q258*CARPETA!$E258</f>
        <v>5900</v>
      </c>
      <c r="S258" s="15">
        <f>CARPETA!$R258*16%</f>
        <v>944</v>
      </c>
      <c r="T258" s="15">
        <f>CARPETA!$R258+CARPETA!$S258</f>
        <v>6844</v>
      </c>
      <c r="U258" s="35" t="s">
        <v>110</v>
      </c>
      <c r="V258" s="15"/>
      <c r="W258" s="15"/>
    </row>
    <row r="259" ht="15.75" customHeight="1">
      <c r="A259" s="6">
        <v>27.0</v>
      </c>
      <c r="B259" s="6">
        <v>10.0</v>
      </c>
      <c r="C259" s="39">
        <v>793.0</v>
      </c>
      <c r="D259" s="40">
        <v>46204.0</v>
      </c>
      <c r="E259" s="8">
        <v>1.0</v>
      </c>
      <c r="F259" s="8" t="s">
        <v>31</v>
      </c>
      <c r="G259" s="8" t="s">
        <v>316</v>
      </c>
      <c r="H259" s="6">
        <v>7.0</v>
      </c>
      <c r="I259" s="8" t="s">
        <v>34</v>
      </c>
      <c r="J259" s="8" t="s">
        <v>122</v>
      </c>
      <c r="K259" s="35" t="s">
        <v>50</v>
      </c>
      <c r="L259" s="62" t="s">
        <v>550</v>
      </c>
      <c r="M259" s="62" t="s">
        <v>568</v>
      </c>
      <c r="N259" s="8" t="s">
        <v>189</v>
      </c>
      <c r="O259" s="8"/>
      <c r="P259" s="35" t="s">
        <v>109</v>
      </c>
      <c r="Q259" s="41">
        <v>5900.0</v>
      </c>
      <c r="R259" s="15">
        <f>CARPETA!$Q259*CARPETA!$E259</f>
        <v>5900</v>
      </c>
      <c r="S259" s="15">
        <f>CARPETA!$R259*16%</f>
        <v>944</v>
      </c>
      <c r="T259" s="15">
        <f>CARPETA!$R259+CARPETA!$S259</f>
        <v>6844</v>
      </c>
      <c r="U259" s="35" t="s">
        <v>110</v>
      </c>
      <c r="V259" s="15"/>
      <c r="W259" s="15"/>
    </row>
    <row r="260" ht="15.75" hidden="1" customHeight="1">
      <c r="A260" s="34">
        <v>27.0</v>
      </c>
      <c r="B260" s="6"/>
      <c r="C260" s="84">
        <v>794.0</v>
      </c>
      <c r="D260" s="86">
        <v>46204.0</v>
      </c>
      <c r="E260" s="35">
        <v>1.0</v>
      </c>
      <c r="F260" s="35" t="s">
        <v>148</v>
      </c>
      <c r="G260" s="35"/>
      <c r="H260" s="34"/>
      <c r="I260" s="67"/>
      <c r="J260" s="35"/>
      <c r="K260" s="35" t="s">
        <v>50</v>
      </c>
      <c r="L260" s="53"/>
      <c r="M260" s="62"/>
      <c r="N260" s="8"/>
      <c r="O260" s="8"/>
      <c r="P260" s="35" t="s">
        <v>109</v>
      </c>
      <c r="Q260" s="41">
        <v>2950.0</v>
      </c>
      <c r="R260" s="15">
        <f>CARPETA!$Q260*CARPETA!$E260</f>
        <v>2950</v>
      </c>
      <c r="S260" s="15">
        <f>CARPETA!$R260*16%</f>
        <v>472</v>
      </c>
      <c r="T260" s="15">
        <f>CARPETA!$R260+CARPETA!$S260</f>
        <v>3422</v>
      </c>
      <c r="U260" s="52" t="s">
        <v>110</v>
      </c>
      <c r="V260" s="106"/>
      <c r="W260" s="106"/>
      <c r="X260" s="107"/>
      <c r="Y260" s="107"/>
      <c r="Z260" s="107"/>
    </row>
    <row r="261" ht="15.75" hidden="1" customHeight="1">
      <c r="A261" s="34">
        <v>27.0</v>
      </c>
      <c r="B261" s="6"/>
      <c r="C261" s="84">
        <v>791.0</v>
      </c>
      <c r="D261" s="86">
        <v>46204.0</v>
      </c>
      <c r="E261" s="35">
        <v>1.0</v>
      </c>
      <c r="F261" s="35" t="s">
        <v>148</v>
      </c>
      <c r="G261" s="35" t="s">
        <v>320</v>
      </c>
      <c r="H261" s="34">
        <v>0.0</v>
      </c>
      <c r="I261" s="67"/>
      <c r="J261" s="35" t="s">
        <v>321</v>
      </c>
      <c r="K261" s="35" t="s">
        <v>50</v>
      </c>
      <c r="L261" s="53"/>
      <c r="M261" s="62"/>
      <c r="N261" s="8"/>
      <c r="O261" s="8"/>
      <c r="P261" s="35" t="s">
        <v>109</v>
      </c>
      <c r="Q261" s="41">
        <v>2950.0</v>
      </c>
      <c r="R261" s="15">
        <f>CARPETA!$Q261*CARPETA!$E261</f>
        <v>2950</v>
      </c>
      <c r="S261" s="15">
        <f>CARPETA!$R261*16%</f>
        <v>472</v>
      </c>
      <c r="T261" s="15">
        <f>CARPETA!$R261+CARPETA!$S261</f>
        <v>3422</v>
      </c>
      <c r="U261" s="52" t="s">
        <v>110</v>
      </c>
      <c r="V261" s="15"/>
      <c r="W261" s="15"/>
    </row>
    <row r="262" ht="15.75" hidden="1" customHeight="1">
      <c r="A262" s="6">
        <v>27.0</v>
      </c>
      <c r="B262" s="6"/>
      <c r="C262" s="84">
        <v>792.0</v>
      </c>
      <c r="D262" s="86">
        <v>46204.0</v>
      </c>
      <c r="E262" s="35">
        <v>1.0</v>
      </c>
      <c r="F262" s="35" t="s">
        <v>148</v>
      </c>
      <c r="G262" s="8"/>
      <c r="H262" s="6"/>
      <c r="I262" s="67"/>
      <c r="J262" s="8"/>
      <c r="K262" s="35" t="s">
        <v>50</v>
      </c>
      <c r="L262" s="53"/>
      <c r="M262" s="62"/>
      <c r="N262" s="8"/>
      <c r="O262" s="8"/>
      <c r="P262" s="35" t="s">
        <v>109</v>
      </c>
      <c r="Q262" s="41">
        <v>2950.0</v>
      </c>
      <c r="R262" s="15">
        <f>CARPETA!$Q262*CARPETA!$E262</f>
        <v>2950</v>
      </c>
      <c r="S262" s="15">
        <f>CARPETA!$R262*16%</f>
        <v>472</v>
      </c>
      <c r="T262" s="15">
        <f>CARPETA!$R262+CARPETA!$S262</f>
        <v>3422</v>
      </c>
      <c r="U262" s="52" t="s">
        <v>110</v>
      </c>
      <c r="V262" s="15"/>
      <c r="W262" s="15"/>
    </row>
    <row r="263" ht="15.75" customHeight="1">
      <c r="A263" s="6">
        <v>27.0</v>
      </c>
      <c r="B263" s="6">
        <v>1.0</v>
      </c>
      <c r="C263" s="39">
        <v>795.0</v>
      </c>
      <c r="D263" s="40">
        <v>46205.0</v>
      </c>
      <c r="E263" s="8">
        <v>1.0</v>
      </c>
      <c r="F263" s="8" t="s">
        <v>31</v>
      </c>
      <c r="G263" s="8" t="s">
        <v>237</v>
      </c>
      <c r="H263" s="6">
        <v>14.0</v>
      </c>
      <c r="I263" s="8" t="s">
        <v>34</v>
      </c>
      <c r="J263" s="8" t="s">
        <v>326</v>
      </c>
      <c r="K263" s="35" t="s">
        <v>50</v>
      </c>
      <c r="L263" s="62" t="s">
        <v>580</v>
      </c>
      <c r="M263" s="62" t="s">
        <v>581</v>
      </c>
      <c r="N263" s="8" t="s">
        <v>189</v>
      </c>
      <c r="O263" s="8"/>
      <c r="P263" s="35" t="s">
        <v>109</v>
      </c>
      <c r="Q263" s="41">
        <v>5900.0</v>
      </c>
      <c r="R263" s="15">
        <f>CARPETA!$Q263*CARPETA!$E263</f>
        <v>5900</v>
      </c>
      <c r="S263" s="15">
        <f>CARPETA!$R263*16%</f>
        <v>944</v>
      </c>
      <c r="T263" s="15">
        <f>CARPETA!$R263+CARPETA!$S263</f>
        <v>6844</v>
      </c>
      <c r="U263" s="35" t="s">
        <v>110</v>
      </c>
      <c r="V263" s="15"/>
      <c r="W263" s="15"/>
    </row>
    <row r="264" ht="15.75" customHeight="1">
      <c r="A264" s="6">
        <v>27.0</v>
      </c>
      <c r="B264" s="6">
        <v>2.0</v>
      </c>
      <c r="C264" s="39">
        <v>796.0</v>
      </c>
      <c r="D264" s="40">
        <v>46205.0</v>
      </c>
      <c r="E264" s="8">
        <v>1.0</v>
      </c>
      <c r="F264" s="8" t="s">
        <v>31</v>
      </c>
      <c r="G264" s="8" t="s">
        <v>201</v>
      </c>
      <c r="H264" s="6">
        <v>14.0</v>
      </c>
      <c r="I264" s="8" t="s">
        <v>34</v>
      </c>
      <c r="J264" s="8" t="s">
        <v>150</v>
      </c>
      <c r="K264" s="35" t="s">
        <v>50</v>
      </c>
      <c r="L264" s="8" t="s">
        <v>581</v>
      </c>
      <c r="M264" s="62" t="s">
        <v>587</v>
      </c>
      <c r="N264" s="8" t="s">
        <v>189</v>
      </c>
      <c r="O264" s="8"/>
      <c r="P264" s="35" t="s">
        <v>109</v>
      </c>
      <c r="Q264" s="41">
        <v>5900.0</v>
      </c>
      <c r="R264" s="15">
        <f>CARPETA!$Q264*CARPETA!$E264</f>
        <v>5900</v>
      </c>
      <c r="S264" s="15">
        <f>CARPETA!$R264*16%</f>
        <v>944</v>
      </c>
      <c r="T264" s="15">
        <f>CARPETA!$R264+CARPETA!$S264</f>
        <v>6844</v>
      </c>
      <c r="U264" s="35" t="s">
        <v>110</v>
      </c>
      <c r="V264" s="15"/>
      <c r="W264" s="15"/>
    </row>
    <row r="265" ht="15.75" customHeight="1">
      <c r="A265" s="6">
        <v>27.0</v>
      </c>
      <c r="B265" s="6">
        <v>3.0</v>
      </c>
      <c r="C265" s="39">
        <v>797.0</v>
      </c>
      <c r="D265" s="40">
        <v>46205.0</v>
      </c>
      <c r="E265" s="8">
        <v>1.0</v>
      </c>
      <c r="F265" s="8" t="s">
        <v>31</v>
      </c>
      <c r="G265" s="8" t="s">
        <v>308</v>
      </c>
      <c r="H265" s="6">
        <v>14.0</v>
      </c>
      <c r="I265" s="8" t="s">
        <v>34</v>
      </c>
      <c r="J265" s="8" t="s">
        <v>309</v>
      </c>
      <c r="K265" s="35" t="s">
        <v>50</v>
      </c>
      <c r="L265" s="62" t="s">
        <v>587</v>
      </c>
      <c r="M265" s="8" t="s">
        <v>596</v>
      </c>
      <c r="N265" s="62" t="s">
        <v>189</v>
      </c>
      <c r="O265" s="8"/>
      <c r="P265" s="35" t="s">
        <v>109</v>
      </c>
      <c r="Q265" s="41">
        <v>5900.0</v>
      </c>
      <c r="R265" s="15">
        <f>CARPETA!$Q265*CARPETA!$E265</f>
        <v>5900</v>
      </c>
      <c r="S265" s="15">
        <f>CARPETA!$R265*16%</f>
        <v>944</v>
      </c>
      <c r="T265" s="15">
        <f>CARPETA!$R265+CARPETA!$S265</f>
        <v>6844</v>
      </c>
      <c r="U265" s="35" t="s">
        <v>110</v>
      </c>
      <c r="V265" s="15"/>
      <c r="W265" s="15"/>
    </row>
    <row r="266" ht="15.75" customHeight="1">
      <c r="A266" s="6">
        <v>27.0</v>
      </c>
      <c r="B266" s="6">
        <v>4.0</v>
      </c>
      <c r="C266" s="39">
        <v>799.0</v>
      </c>
      <c r="D266" s="40">
        <v>46205.0</v>
      </c>
      <c r="E266" s="8">
        <v>1.0</v>
      </c>
      <c r="F266" s="8" t="s">
        <v>31</v>
      </c>
      <c r="G266" s="8" t="s">
        <v>537</v>
      </c>
      <c r="H266" s="6">
        <v>14.0</v>
      </c>
      <c r="I266" s="8" t="s">
        <v>34</v>
      </c>
      <c r="J266" s="8" t="s">
        <v>538</v>
      </c>
      <c r="K266" s="35" t="s">
        <v>50</v>
      </c>
      <c r="L266" s="8" t="s">
        <v>596</v>
      </c>
      <c r="M266" s="8" t="s">
        <v>599</v>
      </c>
      <c r="N266" s="8" t="s">
        <v>189</v>
      </c>
      <c r="O266" s="8"/>
      <c r="P266" s="35" t="s">
        <v>109</v>
      </c>
      <c r="Q266" s="41">
        <v>5900.0</v>
      </c>
      <c r="R266" s="15">
        <f>CARPETA!$Q266*CARPETA!$E266</f>
        <v>5900</v>
      </c>
      <c r="S266" s="15">
        <f>CARPETA!$R266*16%</f>
        <v>944</v>
      </c>
      <c r="T266" s="15">
        <f>CARPETA!$R266+CARPETA!$S266</f>
        <v>6844</v>
      </c>
      <c r="U266" s="35" t="s">
        <v>110</v>
      </c>
      <c r="V266" s="15"/>
      <c r="W266" s="15"/>
    </row>
    <row r="267" ht="15.75" customHeight="1">
      <c r="A267" s="6">
        <v>27.0</v>
      </c>
      <c r="B267" s="6">
        <v>5.0</v>
      </c>
      <c r="C267" s="39">
        <v>798.0</v>
      </c>
      <c r="D267" s="40">
        <v>46205.0</v>
      </c>
      <c r="E267" s="8">
        <v>1.0</v>
      </c>
      <c r="F267" s="8" t="s">
        <v>31</v>
      </c>
      <c r="G267" s="8" t="s">
        <v>607</v>
      </c>
      <c r="H267" s="6">
        <v>14.0</v>
      </c>
      <c r="I267" s="8" t="s">
        <v>34</v>
      </c>
      <c r="J267" s="8" t="s">
        <v>242</v>
      </c>
      <c r="K267" s="35" t="s">
        <v>50</v>
      </c>
      <c r="L267" s="8" t="s">
        <v>610</v>
      </c>
      <c r="M267" s="62" t="s">
        <v>281</v>
      </c>
      <c r="N267" s="8" t="s">
        <v>189</v>
      </c>
      <c r="O267" s="8"/>
      <c r="P267" s="35" t="s">
        <v>109</v>
      </c>
      <c r="Q267" s="41">
        <v>5900.0</v>
      </c>
      <c r="R267" s="15">
        <f>CARPETA!$Q267*CARPETA!$E267</f>
        <v>5900</v>
      </c>
      <c r="S267" s="15">
        <f>CARPETA!$R267*16%</f>
        <v>944</v>
      </c>
      <c r="T267" s="15">
        <f>CARPETA!$R267+CARPETA!$S267</f>
        <v>6844</v>
      </c>
      <c r="U267" s="35" t="s">
        <v>110</v>
      </c>
      <c r="V267" s="15"/>
      <c r="W267" s="15"/>
    </row>
    <row r="268" ht="15.75" customHeight="1">
      <c r="A268" s="6">
        <v>27.0</v>
      </c>
      <c r="B268" s="6">
        <v>6.0</v>
      </c>
      <c r="C268" s="39">
        <v>800.0</v>
      </c>
      <c r="D268" s="40">
        <v>46205.0</v>
      </c>
      <c r="E268" s="8">
        <v>1.0</v>
      </c>
      <c r="F268" s="8" t="s">
        <v>31</v>
      </c>
      <c r="G268" s="8" t="s">
        <v>251</v>
      </c>
      <c r="H268" s="6">
        <v>14.0</v>
      </c>
      <c r="I268" s="8" t="s">
        <v>34</v>
      </c>
      <c r="J268" s="8" t="s">
        <v>313</v>
      </c>
      <c r="K268" s="35" t="s">
        <v>50</v>
      </c>
      <c r="L268" s="62" t="s">
        <v>599</v>
      </c>
      <c r="M268" s="62" t="s">
        <v>610</v>
      </c>
      <c r="N268" s="8" t="s">
        <v>189</v>
      </c>
      <c r="O268" s="8"/>
      <c r="P268" s="35" t="s">
        <v>109</v>
      </c>
      <c r="Q268" s="41">
        <v>5900.0</v>
      </c>
      <c r="R268" s="15">
        <f>CARPETA!$Q268*CARPETA!$E268</f>
        <v>5900</v>
      </c>
      <c r="S268" s="15">
        <f>CARPETA!$R268*16%</f>
        <v>944</v>
      </c>
      <c r="T268" s="15">
        <f>CARPETA!$R268+CARPETA!$S268</f>
        <v>6844</v>
      </c>
      <c r="U268" s="35" t="s">
        <v>110</v>
      </c>
      <c r="V268" s="15"/>
      <c r="W268" s="15"/>
    </row>
    <row r="269" ht="15.75" customHeight="1">
      <c r="A269" s="6">
        <v>27.0</v>
      </c>
      <c r="B269" s="6">
        <v>7.0</v>
      </c>
      <c r="C269" s="39">
        <v>801.0</v>
      </c>
      <c r="D269" s="40">
        <v>46205.0</v>
      </c>
      <c r="E269" s="8">
        <v>1.0</v>
      </c>
      <c r="F269" s="8" t="s">
        <v>31</v>
      </c>
      <c r="G269" s="8" t="s">
        <v>279</v>
      </c>
      <c r="H269" s="6">
        <v>14.0</v>
      </c>
      <c r="I269" s="67"/>
      <c r="J269" s="8" t="s">
        <v>195</v>
      </c>
      <c r="K269" s="35" t="s">
        <v>50</v>
      </c>
      <c r="L269" s="62" t="s">
        <v>281</v>
      </c>
      <c r="M269" s="62" t="s">
        <v>282</v>
      </c>
      <c r="N269" s="8" t="s">
        <v>189</v>
      </c>
      <c r="O269" s="8"/>
      <c r="P269" s="8" t="s">
        <v>283</v>
      </c>
      <c r="Q269" s="41">
        <v>5900.0</v>
      </c>
      <c r="R269" s="15">
        <f>CARPETA!$Q269*CARPETA!$E269</f>
        <v>5900</v>
      </c>
      <c r="S269" s="15">
        <f>CARPETA!$R269*16%</f>
        <v>944</v>
      </c>
      <c r="T269" s="15">
        <f>CARPETA!$R269+CARPETA!$S269</f>
        <v>6844</v>
      </c>
      <c r="U269" s="35" t="s">
        <v>545</v>
      </c>
      <c r="V269" s="15"/>
      <c r="W269" s="15"/>
    </row>
    <row r="270" ht="15.75" customHeight="1">
      <c r="A270" s="6">
        <v>27.0</v>
      </c>
      <c r="B270" s="6">
        <v>8.0</v>
      </c>
      <c r="C270" s="39">
        <v>802.0</v>
      </c>
      <c r="D270" s="40">
        <v>46205.0</v>
      </c>
      <c r="E270" s="8">
        <v>1.0</v>
      </c>
      <c r="F270" s="8" t="s">
        <v>31</v>
      </c>
      <c r="G270" s="8" t="s">
        <v>357</v>
      </c>
      <c r="H270" s="6">
        <v>14.0</v>
      </c>
      <c r="I270" s="8" t="s">
        <v>34</v>
      </c>
      <c r="J270" s="8" t="s">
        <v>288</v>
      </c>
      <c r="K270" s="35" t="s">
        <v>50</v>
      </c>
      <c r="L270" s="62" t="s">
        <v>282</v>
      </c>
      <c r="M270" s="62" t="s">
        <v>642</v>
      </c>
      <c r="N270" s="8" t="s">
        <v>189</v>
      </c>
      <c r="O270" s="8"/>
      <c r="P270" s="35" t="s">
        <v>109</v>
      </c>
      <c r="Q270" s="41">
        <v>5900.0</v>
      </c>
      <c r="R270" s="15">
        <f>CARPETA!$Q270*CARPETA!$E270</f>
        <v>5900</v>
      </c>
      <c r="S270" s="15">
        <f>CARPETA!$R270*16%</f>
        <v>944</v>
      </c>
      <c r="T270" s="15">
        <f>CARPETA!$R270+CARPETA!$S270</f>
        <v>6844</v>
      </c>
      <c r="U270" s="35" t="s">
        <v>110</v>
      </c>
      <c r="V270" s="15"/>
      <c r="W270" s="15"/>
    </row>
    <row r="271" ht="15.75" customHeight="1">
      <c r="A271" s="6">
        <v>27.0</v>
      </c>
      <c r="B271" s="6">
        <v>9.0</v>
      </c>
      <c r="C271" s="39">
        <v>803.0</v>
      </c>
      <c r="D271" s="40">
        <v>46205.0</v>
      </c>
      <c r="E271" s="8">
        <v>1.0</v>
      </c>
      <c r="F271" s="8" t="s">
        <v>31</v>
      </c>
      <c r="G271" s="8" t="s">
        <v>444</v>
      </c>
      <c r="H271" s="6">
        <v>14.0</v>
      </c>
      <c r="I271" s="8" t="s">
        <v>34</v>
      </c>
      <c r="J271" s="8" t="s">
        <v>366</v>
      </c>
      <c r="K271" s="35" t="s">
        <v>50</v>
      </c>
      <c r="L271" s="62" t="s">
        <v>642</v>
      </c>
      <c r="M271" s="62" t="s">
        <v>650</v>
      </c>
      <c r="N271" s="8" t="s">
        <v>189</v>
      </c>
      <c r="O271" s="8"/>
      <c r="P271" s="35" t="s">
        <v>109</v>
      </c>
      <c r="Q271" s="41">
        <v>5900.0</v>
      </c>
      <c r="R271" s="15">
        <f>CARPETA!$Q271*CARPETA!$E271</f>
        <v>5900</v>
      </c>
      <c r="S271" s="15">
        <f>CARPETA!$R271*16%</f>
        <v>944</v>
      </c>
      <c r="T271" s="15">
        <f>CARPETA!$R271+CARPETA!$S271</f>
        <v>6844</v>
      </c>
      <c r="U271" s="35" t="s">
        <v>110</v>
      </c>
      <c r="V271" s="15"/>
      <c r="W271" s="15"/>
    </row>
    <row r="272" ht="15.75" customHeight="1">
      <c r="A272" s="6">
        <v>27.0</v>
      </c>
      <c r="B272" s="6">
        <v>10.0</v>
      </c>
      <c r="C272" s="39">
        <v>804.0</v>
      </c>
      <c r="D272" s="40">
        <v>46205.0</v>
      </c>
      <c r="E272" s="8">
        <v>1.0</v>
      </c>
      <c r="F272" s="8" t="s">
        <v>31</v>
      </c>
      <c r="G272" s="8" t="s">
        <v>320</v>
      </c>
      <c r="H272" s="6">
        <v>14.0</v>
      </c>
      <c r="I272" s="8" t="s">
        <v>34</v>
      </c>
      <c r="J272" s="8" t="s">
        <v>321</v>
      </c>
      <c r="K272" s="35" t="s">
        <v>50</v>
      </c>
      <c r="L272" s="8" t="s">
        <v>650</v>
      </c>
      <c r="M272" s="8" t="s">
        <v>285</v>
      </c>
      <c r="N272" s="8"/>
      <c r="O272" s="8"/>
      <c r="P272" s="35" t="s">
        <v>109</v>
      </c>
      <c r="Q272" s="41">
        <v>5900.0</v>
      </c>
      <c r="R272" s="15">
        <f>CARPETA!$Q272*CARPETA!$E272</f>
        <v>5900</v>
      </c>
      <c r="S272" s="15">
        <f>CARPETA!$R272*16%</f>
        <v>944</v>
      </c>
      <c r="T272" s="15">
        <f>CARPETA!$R272+CARPETA!$S272</f>
        <v>6844</v>
      </c>
      <c r="U272" s="35" t="s">
        <v>110</v>
      </c>
      <c r="V272" s="15"/>
      <c r="W272" s="15"/>
    </row>
    <row r="273" ht="15.75" customHeight="1">
      <c r="A273" s="6">
        <v>27.0</v>
      </c>
      <c r="B273" s="6">
        <v>11.0</v>
      </c>
      <c r="C273" s="39">
        <v>805.0</v>
      </c>
      <c r="D273" s="40">
        <v>46205.0</v>
      </c>
      <c r="E273" s="8">
        <v>1.0</v>
      </c>
      <c r="F273" s="8" t="s">
        <v>31</v>
      </c>
      <c r="G273" s="8" t="s">
        <v>273</v>
      </c>
      <c r="H273" s="6">
        <v>14.0</v>
      </c>
      <c r="I273" s="8"/>
      <c r="J273" s="8" t="s">
        <v>284</v>
      </c>
      <c r="K273" s="35" t="s">
        <v>50</v>
      </c>
      <c r="L273" s="8" t="s">
        <v>285</v>
      </c>
      <c r="M273" s="8" t="s">
        <v>286</v>
      </c>
      <c r="N273" s="8" t="s">
        <v>189</v>
      </c>
      <c r="O273" s="8"/>
      <c r="P273" s="8" t="s">
        <v>283</v>
      </c>
      <c r="Q273" s="41">
        <v>5900.0</v>
      </c>
      <c r="R273" s="15">
        <f>CARPETA!$Q273*CARPETA!$E273</f>
        <v>5900</v>
      </c>
      <c r="S273" s="15">
        <f>CARPETA!$R273*16%</f>
        <v>944</v>
      </c>
      <c r="T273" s="15">
        <f>CARPETA!$R273+CARPETA!$S273</f>
        <v>6844</v>
      </c>
      <c r="U273" s="35" t="s">
        <v>545</v>
      </c>
      <c r="V273" s="15"/>
      <c r="W273" s="15"/>
    </row>
    <row r="274" ht="15.75" hidden="1" customHeight="1">
      <c r="A274" s="6">
        <v>27.0</v>
      </c>
      <c r="B274" s="6">
        <v>12.0</v>
      </c>
      <c r="C274" s="8">
        <v>806.0</v>
      </c>
      <c r="D274" s="9">
        <v>46205.0</v>
      </c>
      <c r="E274" s="8">
        <v>1.0</v>
      </c>
      <c r="F274" s="8" t="s">
        <v>157</v>
      </c>
      <c r="G274" s="8" t="s">
        <v>289</v>
      </c>
      <c r="H274" s="6">
        <v>14.0</v>
      </c>
      <c r="I274" s="67"/>
      <c r="J274" s="8" t="s">
        <v>83</v>
      </c>
      <c r="K274" s="35" t="s">
        <v>36</v>
      </c>
      <c r="L274" s="62" t="s">
        <v>286</v>
      </c>
      <c r="M274" s="62" t="s">
        <v>290</v>
      </c>
      <c r="N274" s="8" t="s">
        <v>189</v>
      </c>
      <c r="O274" s="8"/>
      <c r="P274" s="8" t="s">
        <v>283</v>
      </c>
      <c r="Q274" s="41">
        <v>4205.0</v>
      </c>
      <c r="R274" s="15">
        <f>CARPETA!$Q274*CARPETA!$E274</f>
        <v>4205</v>
      </c>
      <c r="S274" s="15">
        <f>CARPETA!$R274*16%</f>
        <v>672.8</v>
      </c>
      <c r="T274" s="15">
        <f>CARPETA!$R274+CARPETA!$S274</f>
        <v>4877.8</v>
      </c>
      <c r="U274" s="35" t="s">
        <v>291</v>
      </c>
      <c r="V274" s="52" t="s">
        <v>44</v>
      </c>
      <c r="W274" s="15"/>
    </row>
    <row r="275" ht="15.75" hidden="1" customHeight="1">
      <c r="A275" s="6">
        <v>27.0</v>
      </c>
      <c r="B275" s="6">
        <v>13.0</v>
      </c>
      <c r="C275" s="8">
        <v>807.0</v>
      </c>
      <c r="D275" s="9">
        <v>46205.0</v>
      </c>
      <c r="E275" s="8">
        <v>1.0</v>
      </c>
      <c r="F275" s="8" t="s">
        <v>157</v>
      </c>
      <c r="G275" s="8" t="s">
        <v>193</v>
      </c>
      <c r="H275" s="6">
        <v>14.0</v>
      </c>
      <c r="I275" s="67"/>
      <c r="J275" s="8" t="s">
        <v>216</v>
      </c>
      <c r="K275" s="35" t="s">
        <v>36</v>
      </c>
      <c r="L275" s="62" t="s">
        <v>290</v>
      </c>
      <c r="M275" s="62" t="s">
        <v>292</v>
      </c>
      <c r="N275" s="8" t="s">
        <v>189</v>
      </c>
      <c r="O275" s="8"/>
      <c r="P275" s="8" t="s">
        <v>283</v>
      </c>
      <c r="Q275" s="41">
        <v>4205.0</v>
      </c>
      <c r="R275" s="15">
        <f>CARPETA!$Q275*CARPETA!$E275</f>
        <v>4205</v>
      </c>
      <c r="S275" s="15">
        <f>CARPETA!$R275*16%</f>
        <v>672.8</v>
      </c>
      <c r="T275" s="15">
        <f>CARPETA!$R275+CARPETA!$S275</f>
        <v>4877.8</v>
      </c>
      <c r="U275" s="35" t="s">
        <v>291</v>
      </c>
      <c r="V275" s="52" t="s">
        <v>44</v>
      </c>
      <c r="W275" s="15"/>
    </row>
    <row r="276" ht="15.75" hidden="1" customHeight="1">
      <c r="A276" s="6">
        <v>27.0</v>
      </c>
      <c r="B276" s="6">
        <v>14.0</v>
      </c>
      <c r="C276" s="8">
        <v>808.0</v>
      </c>
      <c r="D276" s="9">
        <v>46205.0</v>
      </c>
      <c r="E276" s="8">
        <v>1.0</v>
      </c>
      <c r="F276" s="8" t="s">
        <v>157</v>
      </c>
      <c r="G276" s="8" t="s">
        <v>293</v>
      </c>
      <c r="H276" s="6">
        <v>14.0</v>
      </c>
      <c r="I276" s="67"/>
      <c r="J276" s="8" t="s">
        <v>294</v>
      </c>
      <c r="K276" s="35" t="s">
        <v>36</v>
      </c>
      <c r="L276" s="62" t="s">
        <v>292</v>
      </c>
      <c r="M276" s="62" t="s">
        <v>296</v>
      </c>
      <c r="N276" s="8" t="s">
        <v>189</v>
      </c>
      <c r="O276" s="8"/>
      <c r="P276" s="8" t="s">
        <v>283</v>
      </c>
      <c r="Q276" s="41">
        <v>4205.0</v>
      </c>
      <c r="R276" s="15">
        <f>CARPETA!$Q276*CARPETA!$E276</f>
        <v>4205</v>
      </c>
      <c r="S276" s="15">
        <f>CARPETA!$R276*16%</f>
        <v>672.8</v>
      </c>
      <c r="T276" s="15">
        <f>CARPETA!$R276+CARPETA!$S276</f>
        <v>4877.8</v>
      </c>
      <c r="U276" s="35" t="s">
        <v>291</v>
      </c>
      <c r="V276" s="52" t="s">
        <v>44</v>
      </c>
      <c r="W276" s="15"/>
    </row>
    <row r="277" ht="15.75" hidden="1" customHeight="1">
      <c r="A277" s="6">
        <v>27.0</v>
      </c>
      <c r="B277" s="6">
        <v>15.0</v>
      </c>
      <c r="C277" s="8">
        <v>809.0</v>
      </c>
      <c r="D277" s="9">
        <v>46205.0</v>
      </c>
      <c r="E277" s="8">
        <v>1.0</v>
      </c>
      <c r="F277" s="8" t="s">
        <v>157</v>
      </c>
      <c r="G277" s="8" t="s">
        <v>297</v>
      </c>
      <c r="H277" s="6">
        <v>14.0</v>
      </c>
      <c r="I277" s="67"/>
      <c r="J277" s="8" t="s">
        <v>81</v>
      </c>
      <c r="K277" s="35" t="s">
        <v>36</v>
      </c>
      <c r="L277" s="62" t="s">
        <v>290</v>
      </c>
      <c r="M277" s="62" t="s">
        <v>298</v>
      </c>
      <c r="N277" s="8" t="s">
        <v>189</v>
      </c>
      <c r="O277" s="8"/>
      <c r="P277" s="8" t="s">
        <v>299</v>
      </c>
      <c r="Q277" s="41">
        <v>4205.0</v>
      </c>
      <c r="R277" s="15">
        <f>CARPETA!$Q277*CARPETA!$E277</f>
        <v>4205</v>
      </c>
      <c r="S277" s="15">
        <f>CARPETA!$R277*16%</f>
        <v>672.8</v>
      </c>
      <c r="T277" s="15">
        <f>CARPETA!$R277+CARPETA!$S277</f>
        <v>4877.8</v>
      </c>
      <c r="U277" s="35" t="s">
        <v>291</v>
      </c>
      <c r="V277" s="52" t="s">
        <v>44</v>
      </c>
      <c r="W277" s="15"/>
    </row>
    <row r="278" ht="15.75" customHeight="1">
      <c r="A278" s="6">
        <v>27.0</v>
      </c>
      <c r="B278" s="6">
        <v>1.0</v>
      </c>
      <c r="C278" s="39">
        <v>810.0</v>
      </c>
      <c r="D278" s="40">
        <v>46206.0</v>
      </c>
      <c r="E278" s="8">
        <v>1.0</v>
      </c>
      <c r="F278" s="8" t="s">
        <v>31</v>
      </c>
      <c r="G278" s="8" t="s">
        <v>308</v>
      </c>
      <c r="H278" s="6">
        <v>14.0</v>
      </c>
      <c r="I278" s="8" t="s">
        <v>34</v>
      </c>
      <c r="J278" s="8" t="s">
        <v>309</v>
      </c>
      <c r="K278" s="35" t="s">
        <v>50</v>
      </c>
      <c r="L278" s="62" t="s">
        <v>671</v>
      </c>
      <c r="M278" s="62" t="s">
        <v>281</v>
      </c>
      <c r="N278" s="8" t="s">
        <v>189</v>
      </c>
      <c r="O278" s="8"/>
      <c r="P278" s="35" t="s">
        <v>109</v>
      </c>
      <c r="Q278" s="41">
        <v>5900.0</v>
      </c>
      <c r="R278" s="15">
        <f>CARPETA!$Q278*CARPETA!$E278</f>
        <v>5900</v>
      </c>
      <c r="S278" s="15">
        <f>CARPETA!$R278*16%</f>
        <v>944</v>
      </c>
      <c r="T278" s="15">
        <f>CARPETA!$R278+CARPETA!$S278</f>
        <v>6844</v>
      </c>
      <c r="U278" s="35" t="s">
        <v>110</v>
      </c>
      <c r="V278" s="15"/>
      <c r="W278" s="15"/>
    </row>
    <row r="279" ht="15.75" customHeight="1">
      <c r="A279" s="6">
        <v>27.0</v>
      </c>
      <c r="B279" s="6">
        <v>2.0</v>
      </c>
      <c r="C279" s="39">
        <v>811.0</v>
      </c>
      <c r="D279" s="40">
        <v>46206.0</v>
      </c>
      <c r="E279" s="8">
        <v>1.0</v>
      </c>
      <c r="F279" s="8" t="s">
        <v>31</v>
      </c>
      <c r="G279" s="8" t="s">
        <v>672</v>
      </c>
      <c r="H279" s="6">
        <v>14.0</v>
      </c>
      <c r="I279" s="8" t="s">
        <v>34</v>
      </c>
      <c r="J279" s="8" t="s">
        <v>242</v>
      </c>
      <c r="K279" s="35" t="s">
        <v>50</v>
      </c>
      <c r="L279" s="62" t="s">
        <v>281</v>
      </c>
      <c r="M279" s="62" t="s">
        <v>673</v>
      </c>
      <c r="N279" s="8" t="s">
        <v>189</v>
      </c>
      <c r="O279" s="8"/>
      <c r="P279" s="35" t="s">
        <v>109</v>
      </c>
      <c r="Q279" s="41">
        <v>5900.0</v>
      </c>
      <c r="R279" s="15">
        <f>CARPETA!$Q279*CARPETA!$E279</f>
        <v>5900</v>
      </c>
      <c r="S279" s="15">
        <f>CARPETA!$R279*16%</f>
        <v>944</v>
      </c>
      <c r="T279" s="15">
        <f>CARPETA!$R279+CARPETA!$S279</f>
        <v>6844</v>
      </c>
      <c r="U279" s="35" t="s">
        <v>110</v>
      </c>
      <c r="V279" s="15"/>
      <c r="W279" s="15"/>
    </row>
    <row r="280" ht="15.75" customHeight="1">
      <c r="A280" s="6">
        <v>27.0</v>
      </c>
      <c r="B280" s="6">
        <v>3.0</v>
      </c>
      <c r="C280" s="39">
        <v>812.0</v>
      </c>
      <c r="D280" s="40">
        <v>46206.0</v>
      </c>
      <c r="E280" s="8">
        <v>1.0</v>
      </c>
      <c r="F280" s="8" t="s">
        <v>31</v>
      </c>
      <c r="G280" s="8" t="s">
        <v>489</v>
      </c>
      <c r="H280" s="6">
        <v>14.0</v>
      </c>
      <c r="I280" s="8" t="s">
        <v>34</v>
      </c>
      <c r="J280" s="8" t="s">
        <v>155</v>
      </c>
      <c r="K280" s="35" t="s">
        <v>50</v>
      </c>
      <c r="L280" s="62" t="s">
        <v>673</v>
      </c>
      <c r="M280" s="62" t="s">
        <v>642</v>
      </c>
      <c r="N280" s="8" t="s">
        <v>189</v>
      </c>
      <c r="O280" s="8"/>
      <c r="P280" s="35" t="s">
        <v>109</v>
      </c>
      <c r="Q280" s="41">
        <v>5900.0</v>
      </c>
      <c r="R280" s="15">
        <f>CARPETA!$Q280*CARPETA!$E280</f>
        <v>5900</v>
      </c>
      <c r="S280" s="15">
        <f>CARPETA!$R280*16%</f>
        <v>944</v>
      </c>
      <c r="T280" s="15">
        <f>CARPETA!$R280+CARPETA!$S280</f>
        <v>6844</v>
      </c>
      <c r="U280" s="35" t="s">
        <v>110</v>
      </c>
      <c r="V280" s="15"/>
      <c r="W280" s="15"/>
    </row>
    <row r="281" ht="15.75" customHeight="1">
      <c r="A281" s="6">
        <v>27.0</v>
      </c>
      <c r="B281" s="6">
        <v>4.0</v>
      </c>
      <c r="C281" s="39">
        <v>813.0</v>
      </c>
      <c r="D281" s="40">
        <v>46206.0</v>
      </c>
      <c r="E281" s="8">
        <v>1.0</v>
      </c>
      <c r="F281" s="8" t="s">
        <v>31</v>
      </c>
      <c r="G281" s="8" t="s">
        <v>201</v>
      </c>
      <c r="H281" s="6">
        <v>14.0</v>
      </c>
      <c r="I281" s="8" t="s">
        <v>34</v>
      </c>
      <c r="J281" s="8" t="s">
        <v>150</v>
      </c>
      <c r="K281" s="35" t="s">
        <v>50</v>
      </c>
      <c r="L281" s="62" t="s">
        <v>642</v>
      </c>
      <c r="M281" s="62" t="s">
        <v>301</v>
      </c>
      <c r="N281" s="8" t="s">
        <v>189</v>
      </c>
      <c r="O281" s="8"/>
      <c r="P281" s="35" t="s">
        <v>109</v>
      </c>
      <c r="Q281" s="41">
        <v>5900.0</v>
      </c>
      <c r="R281" s="15">
        <f>CARPETA!$Q281*CARPETA!$E281</f>
        <v>5900</v>
      </c>
      <c r="S281" s="15">
        <f>CARPETA!$R281*16%</f>
        <v>944</v>
      </c>
      <c r="T281" s="15">
        <f>CARPETA!$R281+CARPETA!$S281</f>
        <v>6844</v>
      </c>
      <c r="U281" s="35" t="s">
        <v>110</v>
      </c>
      <c r="V281" s="15"/>
      <c r="W281" s="15"/>
    </row>
    <row r="282" ht="15.75" customHeight="1">
      <c r="A282" s="6">
        <v>27.0</v>
      </c>
      <c r="B282" s="6">
        <v>5.0</v>
      </c>
      <c r="C282" s="39">
        <v>814.0</v>
      </c>
      <c r="D282" s="40">
        <v>46206.0</v>
      </c>
      <c r="E282" s="8">
        <v>1.0</v>
      </c>
      <c r="F282" s="8" t="s">
        <v>31</v>
      </c>
      <c r="G282" s="8" t="s">
        <v>279</v>
      </c>
      <c r="H282" s="6">
        <v>14.0</v>
      </c>
      <c r="I282" s="67"/>
      <c r="J282" s="8" t="s">
        <v>195</v>
      </c>
      <c r="K282" s="35" t="s">
        <v>50</v>
      </c>
      <c r="L282" s="62" t="s">
        <v>301</v>
      </c>
      <c r="M282" s="62" t="s">
        <v>302</v>
      </c>
      <c r="N282" s="8" t="s">
        <v>189</v>
      </c>
      <c r="O282" s="8"/>
      <c r="P282" s="8"/>
      <c r="Q282" s="41">
        <v>5900.0</v>
      </c>
      <c r="R282" s="15">
        <f>CARPETA!$Q282*CARPETA!$E282</f>
        <v>5900</v>
      </c>
      <c r="S282" s="15">
        <f>CARPETA!$R282*16%</f>
        <v>944</v>
      </c>
      <c r="T282" s="15">
        <f>CARPETA!$R282+CARPETA!$S282</f>
        <v>6844</v>
      </c>
      <c r="U282" s="35" t="s">
        <v>545</v>
      </c>
      <c r="V282" s="15"/>
      <c r="W282" s="15"/>
    </row>
    <row r="283" ht="15.75" customHeight="1">
      <c r="A283" s="6">
        <v>27.0</v>
      </c>
      <c r="B283" s="6">
        <v>6.0</v>
      </c>
      <c r="C283" s="39">
        <v>815.0</v>
      </c>
      <c r="D283" s="40">
        <v>46206.0</v>
      </c>
      <c r="E283" s="8">
        <v>1.0</v>
      </c>
      <c r="F283" s="8" t="s">
        <v>31</v>
      </c>
      <c r="G283" s="8" t="s">
        <v>357</v>
      </c>
      <c r="H283" s="6">
        <v>14.0</v>
      </c>
      <c r="I283" s="8" t="s">
        <v>34</v>
      </c>
      <c r="J283" s="8" t="s">
        <v>288</v>
      </c>
      <c r="K283" s="35" t="s">
        <v>50</v>
      </c>
      <c r="L283" s="62" t="s">
        <v>302</v>
      </c>
      <c r="M283" s="62" t="s">
        <v>675</v>
      </c>
      <c r="N283" s="8" t="s">
        <v>189</v>
      </c>
      <c r="O283" s="8"/>
      <c r="P283" s="35" t="s">
        <v>109</v>
      </c>
      <c r="Q283" s="41">
        <v>5900.0</v>
      </c>
      <c r="R283" s="15">
        <f>CARPETA!$Q283*CARPETA!$E283</f>
        <v>5900</v>
      </c>
      <c r="S283" s="15">
        <f>CARPETA!$R283*16%</f>
        <v>944</v>
      </c>
      <c r="T283" s="15">
        <f>CARPETA!$R283+CARPETA!$S283</f>
        <v>6844</v>
      </c>
      <c r="U283" s="35" t="s">
        <v>110</v>
      </c>
      <c r="V283" s="15"/>
      <c r="W283" s="15"/>
    </row>
    <row r="284" ht="15.75" customHeight="1">
      <c r="A284" s="6">
        <v>27.0</v>
      </c>
      <c r="B284" s="6">
        <v>7.0</v>
      </c>
      <c r="C284" s="39">
        <v>816.0</v>
      </c>
      <c r="D284" s="40">
        <v>46206.0</v>
      </c>
      <c r="E284" s="8">
        <v>1.0</v>
      </c>
      <c r="F284" s="8" t="s">
        <v>31</v>
      </c>
      <c r="G284" s="8" t="s">
        <v>207</v>
      </c>
      <c r="H284" s="6">
        <v>14.0</v>
      </c>
      <c r="I284" s="8" t="s">
        <v>34</v>
      </c>
      <c r="J284" s="8" t="s">
        <v>558</v>
      </c>
      <c r="K284" s="35" t="s">
        <v>50</v>
      </c>
      <c r="L284" s="62" t="s">
        <v>675</v>
      </c>
      <c r="M284" s="62" t="s">
        <v>676</v>
      </c>
      <c r="N284" s="8" t="s">
        <v>189</v>
      </c>
      <c r="O284" s="8"/>
      <c r="P284" s="35" t="s">
        <v>109</v>
      </c>
      <c r="Q284" s="41">
        <v>5900.0</v>
      </c>
      <c r="R284" s="15">
        <f>CARPETA!$Q284*CARPETA!$E284</f>
        <v>5900</v>
      </c>
      <c r="S284" s="15">
        <f>CARPETA!$R284*16%</f>
        <v>944</v>
      </c>
      <c r="T284" s="15">
        <f>CARPETA!$R284+CARPETA!$S284</f>
        <v>6844</v>
      </c>
      <c r="U284" s="35" t="s">
        <v>110</v>
      </c>
      <c r="V284" s="15"/>
      <c r="W284" s="15"/>
    </row>
    <row r="285" ht="15.75" customHeight="1">
      <c r="A285" s="6">
        <v>27.0</v>
      </c>
      <c r="B285" s="6">
        <v>8.0</v>
      </c>
      <c r="C285" s="39">
        <v>817.0</v>
      </c>
      <c r="D285" s="40">
        <v>46206.0</v>
      </c>
      <c r="E285" s="8">
        <v>1.0</v>
      </c>
      <c r="F285" s="8" t="s">
        <v>31</v>
      </c>
      <c r="G285" s="8" t="s">
        <v>295</v>
      </c>
      <c r="H285" s="6">
        <v>14.0</v>
      </c>
      <c r="I285" s="8" t="s">
        <v>34</v>
      </c>
      <c r="J285" s="8" t="s">
        <v>118</v>
      </c>
      <c r="K285" s="35" t="s">
        <v>50</v>
      </c>
      <c r="L285" s="62" t="s">
        <v>677</v>
      </c>
      <c r="M285" s="62" t="s">
        <v>678</v>
      </c>
      <c r="N285" s="8" t="s">
        <v>189</v>
      </c>
      <c r="O285" s="8"/>
      <c r="P285" s="35" t="s">
        <v>109</v>
      </c>
      <c r="Q285" s="41">
        <v>5900.0</v>
      </c>
      <c r="R285" s="15">
        <f>CARPETA!$Q285*CARPETA!$E285</f>
        <v>5900</v>
      </c>
      <c r="S285" s="15">
        <f>CARPETA!$R285*16%</f>
        <v>944</v>
      </c>
      <c r="T285" s="15">
        <f>CARPETA!$R285+CARPETA!$S285</f>
        <v>6844</v>
      </c>
      <c r="U285" s="35" t="s">
        <v>110</v>
      </c>
      <c r="V285" s="15"/>
      <c r="W285" s="15"/>
    </row>
    <row r="286" ht="15.75" customHeight="1">
      <c r="A286" s="6">
        <v>27.0</v>
      </c>
      <c r="B286" s="6">
        <v>9.0</v>
      </c>
      <c r="C286" s="39">
        <v>818.0</v>
      </c>
      <c r="D286" s="40">
        <v>46206.0</v>
      </c>
      <c r="E286" s="8">
        <v>1.0</v>
      </c>
      <c r="F286" s="8" t="s">
        <v>31</v>
      </c>
      <c r="G286" s="8" t="s">
        <v>251</v>
      </c>
      <c r="H286" s="6">
        <v>14.0</v>
      </c>
      <c r="I286" s="8" t="s">
        <v>34</v>
      </c>
      <c r="J286" s="8" t="s">
        <v>313</v>
      </c>
      <c r="K286" s="35" t="s">
        <v>50</v>
      </c>
      <c r="L286" s="62" t="s">
        <v>671</v>
      </c>
      <c r="M286" s="62" t="s">
        <v>677</v>
      </c>
      <c r="N286" s="8" t="s">
        <v>189</v>
      </c>
      <c r="O286" s="8"/>
      <c r="P286" s="35" t="s">
        <v>109</v>
      </c>
      <c r="Q286" s="41">
        <v>5900.0</v>
      </c>
      <c r="R286" s="15">
        <f>CARPETA!$Q286*CARPETA!$E286</f>
        <v>5900</v>
      </c>
      <c r="S286" s="15">
        <f>CARPETA!$R286*16%</f>
        <v>944</v>
      </c>
      <c r="T286" s="15">
        <f>CARPETA!$R286+CARPETA!$S286</f>
        <v>6844</v>
      </c>
      <c r="U286" s="35" t="s">
        <v>110</v>
      </c>
      <c r="V286" s="15"/>
      <c r="W286" s="15"/>
    </row>
    <row r="287" ht="15.75" customHeight="1">
      <c r="A287" s="6">
        <v>27.0</v>
      </c>
      <c r="B287" s="6">
        <v>10.0</v>
      </c>
      <c r="C287" s="39">
        <v>819.0</v>
      </c>
      <c r="D287" s="40">
        <v>46206.0</v>
      </c>
      <c r="E287" s="8">
        <v>1.0</v>
      </c>
      <c r="F287" s="8" t="s">
        <v>31</v>
      </c>
      <c r="G287" s="8" t="s">
        <v>316</v>
      </c>
      <c r="H287" s="6">
        <v>14.0</v>
      </c>
      <c r="I287" s="8" t="s">
        <v>34</v>
      </c>
      <c r="J287" s="8" t="s">
        <v>122</v>
      </c>
      <c r="K287" s="35" t="s">
        <v>50</v>
      </c>
      <c r="L287" s="62" t="s">
        <v>678</v>
      </c>
      <c r="M287" s="62" t="s">
        <v>680</v>
      </c>
      <c r="N287" s="8" t="s">
        <v>189</v>
      </c>
      <c r="O287" s="8"/>
      <c r="P287" s="35" t="s">
        <v>109</v>
      </c>
      <c r="Q287" s="41">
        <v>5900.0</v>
      </c>
      <c r="R287" s="15">
        <f>CARPETA!$Q287*CARPETA!$E287</f>
        <v>5900</v>
      </c>
      <c r="S287" s="15">
        <f>CARPETA!$R287*16%</f>
        <v>944</v>
      </c>
      <c r="T287" s="15">
        <f>CARPETA!$R287+CARPETA!$S287</f>
        <v>6844</v>
      </c>
      <c r="U287" s="35" t="s">
        <v>110</v>
      </c>
      <c r="V287" s="15"/>
      <c r="W287" s="15"/>
    </row>
    <row r="288" ht="15.75" customHeight="1">
      <c r="A288" s="6">
        <v>27.0</v>
      </c>
      <c r="B288" s="6">
        <v>11.0</v>
      </c>
      <c r="C288" s="39">
        <v>820.0</v>
      </c>
      <c r="D288" s="40">
        <v>46206.0</v>
      </c>
      <c r="E288" s="8">
        <v>1.0</v>
      </c>
      <c r="F288" s="8" t="s">
        <v>31</v>
      </c>
      <c r="G288" s="8" t="s">
        <v>371</v>
      </c>
      <c r="H288" s="6">
        <v>14.0</v>
      </c>
      <c r="I288" s="8" t="s">
        <v>34</v>
      </c>
      <c r="J288" s="8" t="s">
        <v>372</v>
      </c>
      <c r="K288" s="35" t="s">
        <v>50</v>
      </c>
      <c r="L288" s="62" t="s">
        <v>680</v>
      </c>
      <c r="M288" s="62" t="s">
        <v>304</v>
      </c>
      <c r="N288" s="8" t="s">
        <v>189</v>
      </c>
      <c r="O288" s="8"/>
      <c r="P288" s="35" t="s">
        <v>109</v>
      </c>
      <c r="Q288" s="41">
        <v>5900.0</v>
      </c>
      <c r="R288" s="15">
        <f>CARPETA!$Q288*CARPETA!$E288</f>
        <v>5900</v>
      </c>
      <c r="S288" s="15">
        <f>CARPETA!$R288*16%</f>
        <v>944</v>
      </c>
      <c r="T288" s="15">
        <f>CARPETA!$R288+CARPETA!$S288</f>
        <v>6844</v>
      </c>
      <c r="U288" s="35" t="s">
        <v>110</v>
      </c>
      <c r="V288" s="15"/>
      <c r="W288" s="15"/>
    </row>
    <row r="289" ht="15.75" customHeight="1">
      <c r="A289" s="6">
        <v>27.0</v>
      </c>
      <c r="B289" s="6">
        <v>12.0</v>
      </c>
      <c r="C289" s="39">
        <v>821.0</v>
      </c>
      <c r="D289" s="40">
        <v>46206.0</v>
      </c>
      <c r="E289" s="8">
        <v>1.0</v>
      </c>
      <c r="F289" s="8" t="s">
        <v>31</v>
      </c>
      <c r="G289" s="8" t="s">
        <v>273</v>
      </c>
      <c r="H289" s="6">
        <v>14.0</v>
      </c>
      <c r="I289" s="8"/>
      <c r="J289" s="8" t="s">
        <v>284</v>
      </c>
      <c r="K289" s="35" t="s">
        <v>50</v>
      </c>
      <c r="L289" s="8" t="s">
        <v>304</v>
      </c>
      <c r="M289" s="62" t="s">
        <v>305</v>
      </c>
      <c r="N289" s="8" t="s">
        <v>189</v>
      </c>
      <c r="O289" s="8"/>
      <c r="P289" s="8"/>
      <c r="Q289" s="41">
        <v>5900.0</v>
      </c>
      <c r="R289" s="15">
        <f>CARPETA!$Q289*CARPETA!$E289</f>
        <v>5900</v>
      </c>
      <c r="S289" s="15">
        <f>CARPETA!$R289*16%</f>
        <v>944</v>
      </c>
      <c r="T289" s="15">
        <f>CARPETA!$R289+CARPETA!$S289</f>
        <v>6844</v>
      </c>
      <c r="U289" s="35" t="s">
        <v>545</v>
      </c>
      <c r="V289" s="15"/>
      <c r="W289" s="15"/>
    </row>
    <row r="290" ht="15.75" customHeight="1">
      <c r="A290" s="6">
        <v>27.0</v>
      </c>
      <c r="B290" s="6">
        <v>1.0</v>
      </c>
      <c r="C290" s="39">
        <v>823.0</v>
      </c>
      <c r="D290" s="40">
        <v>46207.0</v>
      </c>
      <c r="E290" s="8">
        <v>1.0</v>
      </c>
      <c r="F290" s="8" t="s">
        <v>31</v>
      </c>
      <c r="G290" s="8" t="s">
        <v>308</v>
      </c>
      <c r="H290" s="6">
        <v>14.0</v>
      </c>
      <c r="I290" s="8" t="s">
        <v>34</v>
      </c>
      <c r="J290" s="8" t="s">
        <v>309</v>
      </c>
      <c r="K290" s="35" t="s">
        <v>50</v>
      </c>
      <c r="L290" s="8" t="s">
        <v>526</v>
      </c>
      <c r="M290" s="62" t="s">
        <v>681</v>
      </c>
      <c r="N290" s="8" t="s">
        <v>189</v>
      </c>
      <c r="O290" s="8"/>
      <c r="P290" s="35" t="s">
        <v>109</v>
      </c>
      <c r="Q290" s="41">
        <v>5900.0</v>
      </c>
      <c r="R290" s="15">
        <f>CARPETA!$Q290*CARPETA!$E290</f>
        <v>5900</v>
      </c>
      <c r="S290" s="15">
        <f>CARPETA!$R290*16%</f>
        <v>944</v>
      </c>
      <c r="T290" s="15">
        <f>CARPETA!$R290+CARPETA!$S290</f>
        <v>6844</v>
      </c>
      <c r="U290" s="35" t="s">
        <v>110</v>
      </c>
      <c r="V290" s="15"/>
      <c r="W290" s="15"/>
    </row>
    <row r="291" ht="15.75" customHeight="1">
      <c r="A291" s="6">
        <v>27.0</v>
      </c>
      <c r="B291" s="6">
        <v>2.0</v>
      </c>
      <c r="C291" s="39">
        <v>824.0</v>
      </c>
      <c r="D291" s="40">
        <v>46207.0</v>
      </c>
      <c r="E291" s="8">
        <v>1.0</v>
      </c>
      <c r="F291" s="8" t="s">
        <v>31</v>
      </c>
      <c r="G291" s="8" t="s">
        <v>295</v>
      </c>
      <c r="H291" s="6">
        <v>14.0</v>
      </c>
      <c r="I291" s="8" t="s">
        <v>34</v>
      </c>
      <c r="J291" s="8" t="s">
        <v>118</v>
      </c>
      <c r="K291" s="35" t="s">
        <v>50</v>
      </c>
      <c r="L291" s="8" t="s">
        <v>681</v>
      </c>
      <c r="M291" s="62" t="s">
        <v>682</v>
      </c>
      <c r="N291" s="8" t="s">
        <v>189</v>
      </c>
      <c r="O291" s="8"/>
      <c r="P291" s="35" t="s">
        <v>109</v>
      </c>
      <c r="Q291" s="41">
        <v>5900.0</v>
      </c>
      <c r="R291" s="15">
        <f>CARPETA!$Q291*CARPETA!$E291</f>
        <v>5900</v>
      </c>
      <c r="S291" s="15">
        <f>CARPETA!$R291*16%</f>
        <v>944</v>
      </c>
      <c r="T291" s="15">
        <f>CARPETA!$R291+CARPETA!$S291</f>
        <v>6844</v>
      </c>
      <c r="U291" s="35" t="s">
        <v>110</v>
      </c>
      <c r="V291" s="15"/>
      <c r="W291" s="15"/>
    </row>
    <row r="292" ht="15.75" customHeight="1">
      <c r="A292" s="6">
        <v>27.0</v>
      </c>
      <c r="B292" s="6">
        <v>3.0</v>
      </c>
      <c r="C292" s="39">
        <v>825.0</v>
      </c>
      <c r="D292" s="40">
        <v>46207.0</v>
      </c>
      <c r="E292" s="8">
        <v>1.0</v>
      </c>
      <c r="F292" s="8" t="s">
        <v>31</v>
      </c>
      <c r="G292" s="8" t="s">
        <v>683</v>
      </c>
      <c r="H292" s="6">
        <v>14.0</v>
      </c>
      <c r="I292" s="8" t="s">
        <v>34</v>
      </c>
      <c r="J292" s="8" t="s">
        <v>242</v>
      </c>
      <c r="K292" s="35" t="s">
        <v>50</v>
      </c>
      <c r="L292" s="8" t="s">
        <v>684</v>
      </c>
      <c r="M292" s="62" t="s">
        <v>676</v>
      </c>
      <c r="N292" s="8" t="s">
        <v>189</v>
      </c>
      <c r="O292" s="8"/>
      <c r="P292" s="35" t="s">
        <v>109</v>
      </c>
      <c r="Q292" s="41">
        <v>5900.0</v>
      </c>
      <c r="R292" s="15">
        <f>CARPETA!$Q292*CARPETA!$E292</f>
        <v>5900</v>
      </c>
      <c r="S292" s="15">
        <f>CARPETA!$R292*16%</f>
        <v>944</v>
      </c>
      <c r="T292" s="15">
        <f>CARPETA!$R292+CARPETA!$S292</f>
        <v>6844</v>
      </c>
      <c r="U292" s="35" t="s">
        <v>110</v>
      </c>
      <c r="V292" s="15"/>
      <c r="W292" s="15"/>
    </row>
    <row r="293" ht="15.75" customHeight="1">
      <c r="A293" s="6">
        <v>27.0</v>
      </c>
      <c r="B293" s="6">
        <v>4.0</v>
      </c>
      <c r="C293" s="39">
        <v>826.0</v>
      </c>
      <c r="D293" s="40">
        <v>46207.0</v>
      </c>
      <c r="E293" s="8">
        <v>1.0</v>
      </c>
      <c r="F293" s="8" t="s">
        <v>31</v>
      </c>
      <c r="G293" s="8" t="s">
        <v>237</v>
      </c>
      <c r="H293" s="6">
        <v>14.0</v>
      </c>
      <c r="I293" s="8" t="s">
        <v>34</v>
      </c>
      <c r="J293" s="8" t="s">
        <v>326</v>
      </c>
      <c r="K293" s="35" t="s">
        <v>50</v>
      </c>
      <c r="L293" s="8" t="s">
        <v>682</v>
      </c>
      <c r="M293" s="62" t="s">
        <v>685</v>
      </c>
      <c r="N293" s="8" t="s">
        <v>189</v>
      </c>
      <c r="O293" s="8"/>
      <c r="P293" s="35" t="s">
        <v>109</v>
      </c>
      <c r="Q293" s="41">
        <v>5900.0</v>
      </c>
      <c r="R293" s="15">
        <f>CARPETA!$Q293*CARPETA!$E293</f>
        <v>5900</v>
      </c>
      <c r="S293" s="15">
        <f>CARPETA!$R293*16%</f>
        <v>944</v>
      </c>
      <c r="T293" s="15">
        <f>CARPETA!$R293+CARPETA!$S293</f>
        <v>6844</v>
      </c>
      <c r="U293" s="35" t="s">
        <v>110</v>
      </c>
      <c r="V293" s="15"/>
      <c r="W293" s="15"/>
    </row>
    <row r="294" ht="15.75" customHeight="1">
      <c r="A294" s="6">
        <v>27.0</v>
      </c>
      <c r="B294" s="6">
        <v>5.0</v>
      </c>
      <c r="C294" s="39">
        <v>827.0</v>
      </c>
      <c r="D294" s="40">
        <v>46207.0</v>
      </c>
      <c r="E294" s="8">
        <v>1.0</v>
      </c>
      <c r="F294" s="8" t="s">
        <v>31</v>
      </c>
      <c r="G294" s="8" t="s">
        <v>201</v>
      </c>
      <c r="H294" s="6">
        <v>14.0</v>
      </c>
      <c r="I294" s="8" t="s">
        <v>34</v>
      </c>
      <c r="J294" s="8" t="s">
        <v>150</v>
      </c>
      <c r="K294" s="35" t="s">
        <v>50</v>
      </c>
      <c r="L294" s="8" t="s">
        <v>685</v>
      </c>
      <c r="M294" s="62" t="s">
        <v>686</v>
      </c>
      <c r="N294" s="8" t="s">
        <v>189</v>
      </c>
      <c r="O294" s="8"/>
      <c r="P294" s="35" t="s">
        <v>109</v>
      </c>
      <c r="Q294" s="41">
        <v>5900.0</v>
      </c>
      <c r="R294" s="15">
        <f>CARPETA!$Q294*CARPETA!$E294</f>
        <v>5900</v>
      </c>
      <c r="S294" s="15">
        <f>CARPETA!$R294*16%</f>
        <v>944</v>
      </c>
      <c r="T294" s="15">
        <f>CARPETA!$R294+CARPETA!$S294</f>
        <v>6844</v>
      </c>
      <c r="U294" s="35" t="s">
        <v>110</v>
      </c>
      <c r="V294" s="15"/>
      <c r="W294" s="15"/>
    </row>
    <row r="295" ht="15.75" customHeight="1">
      <c r="A295" s="6">
        <v>27.0</v>
      </c>
      <c r="B295" s="6">
        <v>6.0</v>
      </c>
      <c r="C295" s="39">
        <v>828.0</v>
      </c>
      <c r="D295" s="40">
        <v>46207.0</v>
      </c>
      <c r="E295" s="8">
        <v>1.0</v>
      </c>
      <c r="F295" s="8" t="s">
        <v>31</v>
      </c>
      <c r="G295" s="8" t="s">
        <v>251</v>
      </c>
      <c r="H295" s="6">
        <v>14.0</v>
      </c>
      <c r="I295" s="8" t="s">
        <v>34</v>
      </c>
      <c r="J295" s="8" t="s">
        <v>313</v>
      </c>
      <c r="K295" s="35" t="s">
        <v>50</v>
      </c>
      <c r="L295" s="8" t="s">
        <v>686</v>
      </c>
      <c r="M295" s="62" t="s">
        <v>684</v>
      </c>
      <c r="N295" s="8" t="s">
        <v>189</v>
      </c>
      <c r="O295" s="8"/>
      <c r="P295" s="35" t="s">
        <v>109</v>
      </c>
      <c r="Q295" s="41">
        <v>5900.0</v>
      </c>
      <c r="R295" s="15">
        <f>CARPETA!$Q295*CARPETA!$E295</f>
        <v>5900</v>
      </c>
      <c r="S295" s="15">
        <f>CARPETA!$R295*16%</f>
        <v>944</v>
      </c>
      <c r="T295" s="15">
        <f>CARPETA!$R295+CARPETA!$S295</f>
        <v>6844</v>
      </c>
      <c r="U295" s="35" t="s">
        <v>110</v>
      </c>
      <c r="V295" s="15"/>
      <c r="W295" s="15"/>
    </row>
    <row r="296" ht="15.75" customHeight="1">
      <c r="A296" s="6">
        <v>27.0</v>
      </c>
      <c r="B296" s="6">
        <v>7.0</v>
      </c>
      <c r="C296" s="39">
        <v>829.0</v>
      </c>
      <c r="D296" s="40">
        <v>46207.0</v>
      </c>
      <c r="E296" s="8">
        <v>1.0</v>
      </c>
      <c r="F296" s="8" t="s">
        <v>31</v>
      </c>
      <c r="G296" s="8" t="s">
        <v>316</v>
      </c>
      <c r="H296" s="6">
        <v>14.0</v>
      </c>
      <c r="I296" s="8" t="s">
        <v>34</v>
      </c>
      <c r="J296" s="8" t="s">
        <v>122</v>
      </c>
      <c r="K296" s="35" t="s">
        <v>50</v>
      </c>
      <c r="L296" s="8" t="s">
        <v>676</v>
      </c>
      <c r="M296" s="62" t="s">
        <v>687</v>
      </c>
      <c r="N296" s="8" t="s">
        <v>189</v>
      </c>
      <c r="O296" s="8"/>
      <c r="P296" s="35" t="s">
        <v>109</v>
      </c>
      <c r="Q296" s="41">
        <v>5900.0</v>
      </c>
      <c r="R296" s="15">
        <f>CARPETA!$Q296*CARPETA!$E296</f>
        <v>5900</v>
      </c>
      <c r="S296" s="15">
        <f>CARPETA!$R296*16%</f>
        <v>944</v>
      </c>
      <c r="T296" s="15">
        <f>CARPETA!$R296+CARPETA!$S296</f>
        <v>6844</v>
      </c>
      <c r="U296" s="35" t="s">
        <v>110</v>
      </c>
      <c r="V296" s="15"/>
      <c r="W296" s="15"/>
    </row>
    <row r="297" ht="15.75" customHeight="1">
      <c r="A297" s="6">
        <v>27.0</v>
      </c>
      <c r="B297" s="6">
        <v>8.0</v>
      </c>
      <c r="C297" s="39">
        <v>830.0</v>
      </c>
      <c r="D297" s="40">
        <v>46207.0</v>
      </c>
      <c r="E297" s="8">
        <v>1.0</v>
      </c>
      <c r="F297" s="8" t="s">
        <v>31</v>
      </c>
      <c r="G297" s="8" t="s">
        <v>273</v>
      </c>
      <c r="H297" s="6">
        <v>14.0</v>
      </c>
      <c r="I297" s="8"/>
      <c r="J297" s="8" t="s">
        <v>284</v>
      </c>
      <c r="K297" s="35" t="s">
        <v>50</v>
      </c>
      <c r="L297" s="8" t="s">
        <v>285</v>
      </c>
      <c r="M297" s="62" t="s">
        <v>286</v>
      </c>
      <c r="N297" s="8" t="s">
        <v>189</v>
      </c>
      <c r="O297" s="8"/>
      <c r="P297" s="8" t="s">
        <v>283</v>
      </c>
      <c r="Q297" s="41">
        <v>5900.0</v>
      </c>
      <c r="R297" s="15">
        <f>CARPETA!$Q297*CARPETA!$E297</f>
        <v>5900</v>
      </c>
      <c r="S297" s="15">
        <f>CARPETA!$R297*16%</f>
        <v>944</v>
      </c>
      <c r="T297" s="15">
        <f>CARPETA!$R297+CARPETA!$S297</f>
        <v>6844</v>
      </c>
      <c r="U297" s="35" t="s">
        <v>545</v>
      </c>
      <c r="V297" s="15"/>
      <c r="W297" s="15"/>
    </row>
    <row r="298" ht="15.75" customHeight="1">
      <c r="A298" s="6">
        <v>27.0</v>
      </c>
      <c r="B298" s="6">
        <v>9.0</v>
      </c>
      <c r="C298" s="39">
        <v>831.0</v>
      </c>
      <c r="D298" s="40">
        <v>46207.0</v>
      </c>
      <c r="E298" s="8">
        <v>1.0</v>
      </c>
      <c r="F298" s="8" t="s">
        <v>31</v>
      </c>
      <c r="G298" s="8" t="s">
        <v>371</v>
      </c>
      <c r="H298" s="6">
        <v>14.0</v>
      </c>
      <c r="I298" s="8" t="s">
        <v>34</v>
      </c>
      <c r="J298" s="8" t="s">
        <v>372</v>
      </c>
      <c r="K298" s="35" t="s">
        <v>50</v>
      </c>
      <c r="L298" s="8" t="s">
        <v>286</v>
      </c>
      <c r="M298" s="62" t="s">
        <v>290</v>
      </c>
      <c r="N298" s="8" t="s">
        <v>189</v>
      </c>
      <c r="O298" s="8"/>
      <c r="P298" s="35" t="s">
        <v>109</v>
      </c>
      <c r="Q298" s="41">
        <v>5900.0</v>
      </c>
      <c r="R298" s="15">
        <f>CARPETA!$Q298*CARPETA!$E298</f>
        <v>5900</v>
      </c>
      <c r="S298" s="15">
        <f>CARPETA!$R298*16%</f>
        <v>944</v>
      </c>
      <c r="T298" s="15">
        <f>CARPETA!$R298+CARPETA!$S298</f>
        <v>6844</v>
      </c>
      <c r="U298" s="35" t="s">
        <v>110</v>
      </c>
      <c r="V298" s="15"/>
      <c r="W298" s="15"/>
    </row>
    <row r="299" ht="15.75" customHeight="1">
      <c r="A299" s="6">
        <v>28.0</v>
      </c>
      <c r="B299" s="6">
        <v>1.0</v>
      </c>
      <c r="C299" s="39">
        <v>838.0</v>
      </c>
      <c r="D299" s="40">
        <v>46209.0</v>
      </c>
      <c r="E299" s="8">
        <v>1.0</v>
      </c>
      <c r="F299" s="8" t="s">
        <v>31</v>
      </c>
      <c r="G299" s="8" t="s">
        <v>295</v>
      </c>
      <c r="H299" s="6">
        <v>14.0</v>
      </c>
      <c r="I299" s="8"/>
      <c r="J299" s="8" t="s">
        <v>118</v>
      </c>
      <c r="K299" s="35" t="s">
        <v>50</v>
      </c>
      <c r="L299" s="62" t="s">
        <v>292</v>
      </c>
      <c r="M299" s="62" t="s">
        <v>296</v>
      </c>
      <c r="N299" s="62" t="s">
        <v>189</v>
      </c>
      <c r="O299" s="8"/>
      <c r="P299" s="8" t="s">
        <v>306</v>
      </c>
      <c r="Q299" s="41">
        <v>5900.0</v>
      </c>
      <c r="R299" s="15">
        <f>CARPETA!$Q299*CARPETA!$E299</f>
        <v>5900</v>
      </c>
      <c r="S299" s="15">
        <f>CARPETA!$R299*16%</f>
        <v>944</v>
      </c>
      <c r="T299" s="15">
        <f>CARPETA!$R299+CARPETA!$S299</f>
        <v>6844</v>
      </c>
      <c r="U299" s="35" t="s">
        <v>545</v>
      </c>
      <c r="V299" s="15"/>
      <c r="W299" s="15"/>
    </row>
    <row r="300" ht="15.75" customHeight="1">
      <c r="A300" s="6">
        <v>28.0</v>
      </c>
      <c r="B300" s="6">
        <v>2.0</v>
      </c>
      <c r="C300" s="39">
        <v>839.0</v>
      </c>
      <c r="D300" s="40">
        <v>46209.0</v>
      </c>
      <c r="E300" s="8">
        <v>1.0</v>
      </c>
      <c r="F300" s="8" t="s">
        <v>31</v>
      </c>
      <c r="G300" s="8" t="s">
        <v>248</v>
      </c>
      <c r="H300" s="6">
        <v>14.0</v>
      </c>
      <c r="I300" s="8"/>
      <c r="J300" s="8" t="s">
        <v>146</v>
      </c>
      <c r="K300" s="35" t="s">
        <v>50</v>
      </c>
      <c r="L300" s="62" t="s">
        <v>296</v>
      </c>
      <c r="M300" s="62" t="s">
        <v>307</v>
      </c>
      <c r="N300" s="62" t="s">
        <v>189</v>
      </c>
      <c r="O300" s="8"/>
      <c r="P300" s="8" t="s">
        <v>306</v>
      </c>
      <c r="Q300" s="41">
        <v>5900.0</v>
      </c>
      <c r="R300" s="15">
        <f>CARPETA!$Q300*CARPETA!$E300</f>
        <v>5900</v>
      </c>
      <c r="S300" s="15">
        <f>CARPETA!$R300*16%</f>
        <v>944</v>
      </c>
      <c r="T300" s="15">
        <f>CARPETA!$R300+CARPETA!$S300</f>
        <v>6844</v>
      </c>
      <c r="U300" s="35" t="s">
        <v>545</v>
      </c>
      <c r="V300" s="15"/>
      <c r="W300" s="15"/>
    </row>
    <row r="301" ht="15.75" customHeight="1">
      <c r="A301" s="6">
        <v>28.0</v>
      </c>
      <c r="B301" s="6">
        <v>3.0</v>
      </c>
      <c r="C301" s="39">
        <v>840.0</v>
      </c>
      <c r="D301" s="40">
        <v>46209.0</v>
      </c>
      <c r="E301" s="8">
        <v>1.0</v>
      </c>
      <c r="F301" s="8" t="s">
        <v>31</v>
      </c>
      <c r="G301" s="8" t="s">
        <v>308</v>
      </c>
      <c r="H301" s="6">
        <v>14.0</v>
      </c>
      <c r="I301" s="8"/>
      <c r="J301" s="8" t="s">
        <v>309</v>
      </c>
      <c r="K301" s="35" t="s">
        <v>50</v>
      </c>
      <c r="L301" s="62" t="s">
        <v>310</v>
      </c>
      <c r="M301" s="62" t="s">
        <v>311</v>
      </c>
      <c r="N301" s="62" t="s">
        <v>189</v>
      </c>
      <c r="O301" s="8"/>
      <c r="P301" s="8" t="s">
        <v>306</v>
      </c>
      <c r="Q301" s="41">
        <v>5900.0</v>
      </c>
      <c r="R301" s="15">
        <f>CARPETA!$Q301*CARPETA!$E301</f>
        <v>5900</v>
      </c>
      <c r="S301" s="15">
        <f>CARPETA!$R301*16%</f>
        <v>944</v>
      </c>
      <c r="T301" s="15">
        <f>CARPETA!$R301+CARPETA!$S301</f>
        <v>6844</v>
      </c>
      <c r="U301" s="35" t="s">
        <v>545</v>
      </c>
      <c r="V301" s="15"/>
      <c r="W301" s="15"/>
    </row>
    <row r="302" ht="15.75" customHeight="1">
      <c r="A302" s="6">
        <v>28.0</v>
      </c>
      <c r="B302" s="6">
        <v>4.0</v>
      </c>
      <c r="C302" s="39">
        <v>841.0</v>
      </c>
      <c r="D302" s="40">
        <v>46209.0</v>
      </c>
      <c r="E302" s="8">
        <v>1.0</v>
      </c>
      <c r="F302" s="8" t="s">
        <v>31</v>
      </c>
      <c r="G302" s="8" t="s">
        <v>251</v>
      </c>
      <c r="H302" s="6">
        <v>14.0</v>
      </c>
      <c r="I302" s="8"/>
      <c r="J302" s="8" t="s">
        <v>313</v>
      </c>
      <c r="K302" s="35" t="s">
        <v>50</v>
      </c>
      <c r="L302" s="62" t="s">
        <v>310</v>
      </c>
      <c r="M302" s="62" t="s">
        <v>296</v>
      </c>
      <c r="N302" s="62" t="s">
        <v>189</v>
      </c>
      <c r="O302" s="8"/>
      <c r="P302" s="8" t="s">
        <v>306</v>
      </c>
      <c r="Q302" s="41">
        <v>5900.0</v>
      </c>
      <c r="R302" s="15">
        <f>CARPETA!$Q302*CARPETA!$E302</f>
        <v>5900</v>
      </c>
      <c r="S302" s="15">
        <f>CARPETA!$R302*16%</f>
        <v>944</v>
      </c>
      <c r="T302" s="15">
        <f>CARPETA!$R302+CARPETA!$S302</f>
        <v>6844</v>
      </c>
      <c r="U302" s="35" t="s">
        <v>545</v>
      </c>
      <c r="V302" s="15"/>
      <c r="W302" s="15"/>
    </row>
    <row r="303" ht="15.75" customHeight="1">
      <c r="A303" s="6">
        <v>28.0</v>
      </c>
      <c r="B303" s="6">
        <v>5.0</v>
      </c>
      <c r="C303" s="39">
        <v>842.0</v>
      </c>
      <c r="D303" s="40">
        <v>46209.0</v>
      </c>
      <c r="E303" s="8">
        <v>1.0</v>
      </c>
      <c r="F303" s="8" t="s">
        <v>31</v>
      </c>
      <c r="G303" s="8" t="s">
        <v>316</v>
      </c>
      <c r="H303" s="6">
        <v>14.0</v>
      </c>
      <c r="I303" s="8"/>
      <c r="J303" s="8" t="s">
        <v>122</v>
      </c>
      <c r="K303" s="35" t="s">
        <v>50</v>
      </c>
      <c r="L303" s="62" t="s">
        <v>296</v>
      </c>
      <c r="M303" s="62" t="s">
        <v>307</v>
      </c>
      <c r="N303" s="62" t="s">
        <v>189</v>
      </c>
      <c r="O303" s="8"/>
      <c r="P303" s="8" t="s">
        <v>306</v>
      </c>
      <c r="Q303" s="41">
        <v>5900.0</v>
      </c>
      <c r="R303" s="15">
        <f>CARPETA!$Q303*CARPETA!$E303</f>
        <v>5900</v>
      </c>
      <c r="S303" s="15">
        <f>CARPETA!$R303*16%</f>
        <v>944</v>
      </c>
      <c r="T303" s="15">
        <f>CARPETA!$R303+CARPETA!$S303</f>
        <v>6844</v>
      </c>
      <c r="U303" s="35" t="s">
        <v>545</v>
      </c>
      <c r="V303" s="15"/>
      <c r="W303" s="15"/>
    </row>
    <row r="304" ht="15.75" customHeight="1">
      <c r="A304" s="6">
        <v>28.0</v>
      </c>
      <c r="B304" s="6">
        <v>6.0</v>
      </c>
      <c r="C304" s="39">
        <v>843.0</v>
      </c>
      <c r="D304" s="40">
        <v>46209.0</v>
      </c>
      <c r="E304" s="8">
        <v>1.0</v>
      </c>
      <c r="F304" s="8" t="s">
        <v>31</v>
      </c>
      <c r="G304" s="8" t="s">
        <v>317</v>
      </c>
      <c r="H304" s="6">
        <v>14.0</v>
      </c>
      <c r="I304" s="8"/>
      <c r="J304" s="8" t="s">
        <v>318</v>
      </c>
      <c r="K304" s="35" t="s">
        <v>50</v>
      </c>
      <c r="L304" s="62" t="s">
        <v>307</v>
      </c>
      <c r="M304" s="62" t="s">
        <v>319</v>
      </c>
      <c r="N304" s="62" t="s">
        <v>189</v>
      </c>
      <c r="O304" s="8"/>
      <c r="P304" s="8" t="s">
        <v>306</v>
      </c>
      <c r="Q304" s="41">
        <v>5900.0</v>
      </c>
      <c r="R304" s="15">
        <f>CARPETA!$Q304*CARPETA!$E304</f>
        <v>5900</v>
      </c>
      <c r="S304" s="15">
        <f>CARPETA!$R304*16%</f>
        <v>944</v>
      </c>
      <c r="T304" s="15">
        <f>CARPETA!$R304+CARPETA!$S304</f>
        <v>6844</v>
      </c>
      <c r="U304" s="35" t="s">
        <v>545</v>
      </c>
      <c r="V304" s="15"/>
      <c r="W304" s="15"/>
    </row>
    <row r="305" ht="15.75" customHeight="1">
      <c r="A305" s="6">
        <v>28.0</v>
      </c>
      <c r="B305" s="6">
        <v>7.0</v>
      </c>
      <c r="C305" s="39">
        <v>844.0</v>
      </c>
      <c r="D305" s="40">
        <v>46209.0</v>
      </c>
      <c r="E305" s="8">
        <v>1.0</v>
      </c>
      <c r="F305" s="8" t="s">
        <v>31</v>
      </c>
      <c r="G305" s="8" t="s">
        <v>320</v>
      </c>
      <c r="H305" s="6">
        <v>14.0</v>
      </c>
      <c r="I305" s="8"/>
      <c r="J305" s="8" t="s">
        <v>321</v>
      </c>
      <c r="K305" s="35" t="s">
        <v>50</v>
      </c>
      <c r="L305" s="62" t="s">
        <v>319</v>
      </c>
      <c r="M305" s="62" t="s">
        <v>322</v>
      </c>
      <c r="N305" s="62" t="s">
        <v>189</v>
      </c>
      <c r="O305" s="8"/>
      <c r="P305" s="8" t="s">
        <v>306</v>
      </c>
      <c r="Q305" s="41">
        <v>5900.0</v>
      </c>
      <c r="R305" s="15">
        <f>CARPETA!$Q305*CARPETA!$E305</f>
        <v>5900</v>
      </c>
      <c r="S305" s="15">
        <f>CARPETA!$R305*16%</f>
        <v>944</v>
      </c>
      <c r="T305" s="15">
        <f>CARPETA!$R305+CARPETA!$S305</f>
        <v>6844</v>
      </c>
      <c r="U305" s="35" t="s">
        <v>545</v>
      </c>
      <c r="V305" s="15"/>
      <c r="W305" s="15"/>
    </row>
    <row r="306" ht="15.75" customHeight="1">
      <c r="A306" s="6">
        <v>28.0</v>
      </c>
      <c r="B306" s="6">
        <v>8.0</v>
      </c>
      <c r="C306" s="39">
        <v>845.0</v>
      </c>
      <c r="D306" s="40">
        <v>46209.0</v>
      </c>
      <c r="E306" s="8">
        <v>1.0</v>
      </c>
      <c r="F306" s="8" t="s">
        <v>31</v>
      </c>
      <c r="G306" s="8" t="s">
        <v>323</v>
      </c>
      <c r="H306" s="6">
        <v>14.0</v>
      </c>
      <c r="I306" s="8"/>
      <c r="J306" s="8" t="s">
        <v>150</v>
      </c>
      <c r="K306" s="35" t="s">
        <v>50</v>
      </c>
      <c r="L306" s="62" t="s">
        <v>322</v>
      </c>
      <c r="M306" s="62" t="s">
        <v>324</v>
      </c>
      <c r="N306" s="62" t="s">
        <v>189</v>
      </c>
      <c r="O306" s="8"/>
      <c r="P306" s="8" t="s">
        <v>306</v>
      </c>
      <c r="Q306" s="41">
        <v>5900.0</v>
      </c>
      <c r="R306" s="15">
        <f>CARPETA!$Q306*CARPETA!$E306</f>
        <v>5900</v>
      </c>
      <c r="S306" s="15">
        <f>CARPETA!$R306*16%</f>
        <v>944</v>
      </c>
      <c r="T306" s="15">
        <f>CARPETA!$R306+CARPETA!$S306</f>
        <v>6844</v>
      </c>
      <c r="U306" s="35" t="s">
        <v>545</v>
      </c>
      <c r="V306" s="15"/>
      <c r="W306" s="15"/>
    </row>
    <row r="307" ht="15.75" customHeight="1">
      <c r="A307" s="6">
        <v>28.0</v>
      </c>
      <c r="B307" s="6">
        <v>9.0</v>
      </c>
      <c r="C307" s="39">
        <v>846.0</v>
      </c>
      <c r="D307" s="40">
        <v>46209.0</v>
      </c>
      <c r="E307" s="8">
        <v>1.0</v>
      </c>
      <c r="F307" s="8" t="s">
        <v>31</v>
      </c>
      <c r="G307" s="8" t="s">
        <v>325</v>
      </c>
      <c r="H307" s="6">
        <v>14.0</v>
      </c>
      <c r="I307" s="67"/>
      <c r="J307" s="8" t="s">
        <v>326</v>
      </c>
      <c r="K307" s="35" t="s">
        <v>50</v>
      </c>
      <c r="L307" s="62" t="s">
        <v>324</v>
      </c>
      <c r="M307" s="62" t="s">
        <v>327</v>
      </c>
      <c r="N307" s="62" t="s">
        <v>189</v>
      </c>
      <c r="O307" s="8"/>
      <c r="P307" s="8" t="s">
        <v>306</v>
      </c>
      <c r="Q307" s="41">
        <v>5900.0</v>
      </c>
      <c r="R307" s="15">
        <f>CARPETA!$Q307*CARPETA!$E307</f>
        <v>5900</v>
      </c>
      <c r="S307" s="15">
        <f>CARPETA!$R307*16%</f>
        <v>944</v>
      </c>
      <c r="T307" s="15">
        <f>CARPETA!$R307+CARPETA!$S307</f>
        <v>6844</v>
      </c>
      <c r="U307" s="35" t="s">
        <v>545</v>
      </c>
      <c r="V307" s="15"/>
      <c r="W307" s="15"/>
    </row>
    <row r="308" ht="15.75" customHeight="1">
      <c r="A308" s="6">
        <v>28.0</v>
      </c>
      <c r="B308" s="6">
        <v>10.0</v>
      </c>
      <c r="C308" s="39">
        <v>847.0</v>
      </c>
      <c r="D308" s="40">
        <v>46209.0</v>
      </c>
      <c r="E308" s="8">
        <v>1.0</v>
      </c>
      <c r="F308" s="8" t="s">
        <v>31</v>
      </c>
      <c r="G308" s="8" t="s">
        <v>273</v>
      </c>
      <c r="H308" s="6">
        <v>14.0</v>
      </c>
      <c r="I308" s="67"/>
      <c r="J308" s="8" t="s">
        <v>274</v>
      </c>
      <c r="K308" s="35" t="s">
        <v>50</v>
      </c>
      <c r="L308" s="62" t="s">
        <v>327</v>
      </c>
      <c r="M308" s="62" t="s">
        <v>328</v>
      </c>
      <c r="N308" s="62" t="s">
        <v>189</v>
      </c>
      <c r="O308" s="8"/>
      <c r="P308" s="8" t="s">
        <v>306</v>
      </c>
      <c r="Q308" s="41">
        <v>5900.0</v>
      </c>
      <c r="R308" s="15">
        <f>CARPETA!$Q308*CARPETA!$E308</f>
        <v>5900</v>
      </c>
      <c r="S308" s="15">
        <f>CARPETA!$R308*16%</f>
        <v>944</v>
      </c>
      <c r="T308" s="15">
        <f>CARPETA!$R308+CARPETA!$S308</f>
        <v>6844</v>
      </c>
      <c r="U308" s="35" t="s">
        <v>545</v>
      </c>
      <c r="V308" s="15"/>
      <c r="W308" s="15"/>
    </row>
    <row r="309" ht="15.75" customHeight="1">
      <c r="A309" s="6">
        <v>28.0</v>
      </c>
      <c r="B309" s="6">
        <v>1.0</v>
      </c>
      <c r="C309" s="39">
        <v>848.0</v>
      </c>
      <c r="D309" s="40">
        <v>46210.0</v>
      </c>
      <c r="E309" s="8">
        <v>1.0</v>
      </c>
      <c r="F309" s="8" t="s">
        <v>31</v>
      </c>
      <c r="G309" s="8" t="s">
        <v>308</v>
      </c>
      <c r="H309" s="6">
        <v>14.0</v>
      </c>
      <c r="I309" s="67"/>
      <c r="J309" s="8" t="s">
        <v>309</v>
      </c>
      <c r="K309" s="35" t="s">
        <v>50</v>
      </c>
      <c r="L309" s="62" t="s">
        <v>329</v>
      </c>
      <c r="M309" s="62" t="s">
        <v>330</v>
      </c>
      <c r="N309" s="62" t="s">
        <v>189</v>
      </c>
      <c r="O309" s="8"/>
      <c r="P309" s="8" t="s">
        <v>283</v>
      </c>
      <c r="Q309" s="41">
        <v>5900.0</v>
      </c>
      <c r="R309" s="15">
        <f>CARPETA!$Q309*CARPETA!$E309</f>
        <v>5900</v>
      </c>
      <c r="S309" s="15">
        <f>CARPETA!$R309*16%</f>
        <v>944</v>
      </c>
      <c r="T309" s="15">
        <f>CARPETA!$R309+CARPETA!$S309</f>
        <v>6844</v>
      </c>
      <c r="U309" s="35" t="s">
        <v>545</v>
      </c>
      <c r="V309" s="15"/>
      <c r="W309" s="15"/>
    </row>
    <row r="310" ht="15.75" customHeight="1">
      <c r="A310" s="6">
        <v>28.0</v>
      </c>
      <c r="B310" s="6">
        <v>2.0</v>
      </c>
      <c r="C310" s="39">
        <v>849.0</v>
      </c>
      <c r="D310" s="40">
        <v>46210.0</v>
      </c>
      <c r="E310" s="8">
        <v>1.0</v>
      </c>
      <c r="F310" s="8" t="s">
        <v>31</v>
      </c>
      <c r="G310" s="8" t="s">
        <v>332</v>
      </c>
      <c r="H310" s="6">
        <v>14.0</v>
      </c>
      <c r="I310" s="67"/>
      <c r="J310" s="8" t="s">
        <v>242</v>
      </c>
      <c r="K310" s="35" t="s">
        <v>50</v>
      </c>
      <c r="L310" s="62" t="s">
        <v>330</v>
      </c>
      <c r="M310" s="62" t="s">
        <v>333</v>
      </c>
      <c r="N310" s="62" t="s">
        <v>189</v>
      </c>
      <c r="O310" s="8"/>
      <c r="P310" s="8" t="s">
        <v>283</v>
      </c>
      <c r="Q310" s="41">
        <v>5900.0</v>
      </c>
      <c r="R310" s="15">
        <f>CARPETA!$Q310*CARPETA!$E310</f>
        <v>5900</v>
      </c>
      <c r="S310" s="15">
        <f>CARPETA!$R310*16%</f>
        <v>944</v>
      </c>
      <c r="T310" s="15">
        <f>CARPETA!$R310+CARPETA!$S310</f>
        <v>6844</v>
      </c>
      <c r="U310" s="35" t="s">
        <v>545</v>
      </c>
      <c r="V310" s="15"/>
      <c r="W310" s="15"/>
    </row>
    <row r="311" ht="15.75" customHeight="1">
      <c r="A311" s="6">
        <v>28.0</v>
      </c>
      <c r="B311" s="6">
        <v>3.0</v>
      </c>
      <c r="C311" s="39">
        <v>321.0</v>
      </c>
      <c r="D311" s="40">
        <v>46210.0</v>
      </c>
      <c r="E311" s="8">
        <v>1.0</v>
      </c>
      <c r="F311" s="8" t="s">
        <v>31</v>
      </c>
      <c r="G311" s="8" t="s">
        <v>201</v>
      </c>
      <c r="H311" s="6">
        <v>14.0</v>
      </c>
      <c r="I311" s="67"/>
      <c r="J311" s="8" t="s">
        <v>150</v>
      </c>
      <c r="K311" s="35" t="s">
        <v>50</v>
      </c>
      <c r="L311" s="62" t="s">
        <v>333</v>
      </c>
      <c r="M311" s="62" t="s">
        <v>338</v>
      </c>
      <c r="N311" s="62" t="s">
        <v>189</v>
      </c>
      <c r="O311" s="8"/>
      <c r="P311" s="8" t="s">
        <v>283</v>
      </c>
      <c r="Q311" s="41">
        <v>5900.0</v>
      </c>
      <c r="R311" s="15">
        <f>CARPETA!$Q311*CARPETA!$E311</f>
        <v>5900</v>
      </c>
      <c r="S311" s="15">
        <f>CARPETA!$R311*16%</f>
        <v>944</v>
      </c>
      <c r="T311" s="15">
        <f>CARPETA!$R311+CARPETA!$S311</f>
        <v>6844</v>
      </c>
      <c r="U311" s="35" t="s">
        <v>545</v>
      </c>
      <c r="V311" s="15"/>
      <c r="W311" s="15"/>
    </row>
    <row r="312" ht="15.75" customHeight="1">
      <c r="A312" s="6">
        <v>28.0</v>
      </c>
      <c r="B312" s="6">
        <v>4.0</v>
      </c>
      <c r="C312" s="39">
        <v>850.0</v>
      </c>
      <c r="D312" s="40">
        <v>46210.0</v>
      </c>
      <c r="E312" s="8">
        <v>1.0</v>
      </c>
      <c r="F312" s="8" t="s">
        <v>31</v>
      </c>
      <c r="G312" s="8" t="s">
        <v>343</v>
      </c>
      <c r="H312" s="6">
        <v>14.0</v>
      </c>
      <c r="I312" s="67"/>
      <c r="J312" s="8" t="s">
        <v>344</v>
      </c>
      <c r="K312" s="35" t="s">
        <v>50</v>
      </c>
      <c r="L312" s="62" t="s">
        <v>338</v>
      </c>
      <c r="M312" s="62" t="s">
        <v>345</v>
      </c>
      <c r="N312" s="62" t="s">
        <v>189</v>
      </c>
      <c r="O312" s="8"/>
      <c r="P312" s="8" t="s">
        <v>283</v>
      </c>
      <c r="Q312" s="41">
        <v>5900.0</v>
      </c>
      <c r="R312" s="15">
        <f>CARPETA!$Q312*CARPETA!$E312</f>
        <v>5900</v>
      </c>
      <c r="S312" s="15">
        <f>CARPETA!$R312*16%</f>
        <v>944</v>
      </c>
      <c r="T312" s="15">
        <f>CARPETA!$R312+CARPETA!$S312</f>
        <v>6844</v>
      </c>
      <c r="U312" s="35" t="s">
        <v>545</v>
      </c>
      <c r="V312" s="15"/>
      <c r="W312" s="15"/>
    </row>
    <row r="313" ht="15.75" customHeight="1">
      <c r="A313" s="6">
        <v>28.0</v>
      </c>
      <c r="B313" s="6">
        <v>5.0</v>
      </c>
      <c r="C313" s="39">
        <v>320.0</v>
      </c>
      <c r="D313" s="40">
        <v>46210.0</v>
      </c>
      <c r="E313" s="8">
        <v>1.0</v>
      </c>
      <c r="F313" s="8" t="s">
        <v>31</v>
      </c>
      <c r="G313" s="8" t="s">
        <v>348</v>
      </c>
      <c r="H313" s="6">
        <v>14.0</v>
      </c>
      <c r="I313" s="67"/>
      <c r="J313" s="8" t="s">
        <v>326</v>
      </c>
      <c r="K313" s="35" t="s">
        <v>50</v>
      </c>
      <c r="L313" s="62" t="s">
        <v>345</v>
      </c>
      <c r="M313" s="62" t="s">
        <v>349</v>
      </c>
      <c r="N313" s="62" t="s">
        <v>189</v>
      </c>
      <c r="O313" s="8"/>
      <c r="P313" s="8" t="s">
        <v>283</v>
      </c>
      <c r="Q313" s="41">
        <v>5900.0</v>
      </c>
      <c r="R313" s="15">
        <f>CARPETA!$Q313*CARPETA!$E313</f>
        <v>5900</v>
      </c>
      <c r="S313" s="15">
        <f>CARPETA!$R313*16%</f>
        <v>944</v>
      </c>
      <c r="T313" s="15">
        <f>CARPETA!$R313+CARPETA!$S313</f>
        <v>6844</v>
      </c>
      <c r="U313" s="35" t="s">
        <v>545</v>
      </c>
      <c r="V313" s="15"/>
      <c r="W313" s="15"/>
    </row>
    <row r="314" ht="15.75" customHeight="1">
      <c r="A314" s="6">
        <v>28.0</v>
      </c>
      <c r="B314" s="6">
        <v>6.0</v>
      </c>
      <c r="C314" s="39">
        <v>322.0</v>
      </c>
      <c r="D314" s="40">
        <v>46210.0</v>
      </c>
      <c r="E314" s="8">
        <v>1.0</v>
      </c>
      <c r="F314" s="8" t="s">
        <v>31</v>
      </c>
      <c r="G314" s="8" t="s">
        <v>300</v>
      </c>
      <c r="H314" s="6">
        <v>14.0</v>
      </c>
      <c r="I314" s="67"/>
      <c r="J314" s="8" t="s">
        <v>114</v>
      </c>
      <c r="K314" s="35" t="s">
        <v>50</v>
      </c>
      <c r="L314" s="62" t="s">
        <v>349</v>
      </c>
      <c r="M314" s="62" t="s">
        <v>352</v>
      </c>
      <c r="N314" s="62" t="s">
        <v>189</v>
      </c>
      <c r="O314" s="8"/>
      <c r="P314" s="8" t="s">
        <v>283</v>
      </c>
      <c r="Q314" s="41">
        <v>5900.0</v>
      </c>
      <c r="R314" s="15">
        <f>CARPETA!$Q314*CARPETA!$E314</f>
        <v>5900</v>
      </c>
      <c r="S314" s="15">
        <f>CARPETA!$R314*16%</f>
        <v>944</v>
      </c>
      <c r="T314" s="15">
        <f>CARPETA!$R314+CARPETA!$S314</f>
        <v>6844</v>
      </c>
      <c r="U314" s="35" t="s">
        <v>545</v>
      </c>
      <c r="V314" s="15"/>
      <c r="W314" s="15"/>
    </row>
    <row r="315" ht="15.75" customHeight="1">
      <c r="A315" s="6">
        <v>28.0</v>
      </c>
      <c r="B315" s="6">
        <v>7.0</v>
      </c>
      <c r="C315" s="39">
        <v>323.0</v>
      </c>
      <c r="D315" s="40">
        <v>46210.0</v>
      </c>
      <c r="E315" s="8">
        <v>1.0</v>
      </c>
      <c r="F315" s="8" t="s">
        <v>31</v>
      </c>
      <c r="G315" s="8" t="s">
        <v>353</v>
      </c>
      <c r="H315" s="6">
        <v>14.0</v>
      </c>
      <c r="I315" s="67"/>
      <c r="J315" s="8" t="s">
        <v>114</v>
      </c>
      <c r="K315" s="35" t="s">
        <v>50</v>
      </c>
      <c r="L315" s="62" t="s">
        <v>352</v>
      </c>
      <c r="M315" s="62" t="s">
        <v>354</v>
      </c>
      <c r="N315" s="62" t="s">
        <v>189</v>
      </c>
      <c r="O315" s="8"/>
      <c r="P315" s="8" t="s">
        <v>283</v>
      </c>
      <c r="Q315" s="41">
        <v>5900.0</v>
      </c>
      <c r="R315" s="15">
        <f>CARPETA!$Q315*CARPETA!$E315</f>
        <v>5900</v>
      </c>
      <c r="S315" s="15">
        <f>CARPETA!$R315*16%</f>
        <v>944</v>
      </c>
      <c r="T315" s="15">
        <f>CARPETA!$R315+CARPETA!$S315</f>
        <v>6844</v>
      </c>
      <c r="U315" s="35" t="s">
        <v>545</v>
      </c>
      <c r="V315" s="15"/>
      <c r="W315" s="15"/>
    </row>
    <row r="316" ht="15.75" customHeight="1">
      <c r="A316" s="6">
        <v>28.0</v>
      </c>
      <c r="B316" s="6">
        <v>8.0</v>
      </c>
      <c r="C316" s="39">
        <v>325.0</v>
      </c>
      <c r="D316" s="40">
        <v>46210.0</v>
      </c>
      <c r="E316" s="8">
        <v>1.0</v>
      </c>
      <c r="F316" s="8" t="s">
        <v>31</v>
      </c>
      <c r="G316" s="8" t="s">
        <v>251</v>
      </c>
      <c r="H316" s="6">
        <v>14.0</v>
      </c>
      <c r="I316" s="67"/>
      <c r="J316" s="8" t="s">
        <v>313</v>
      </c>
      <c r="K316" s="35" t="s">
        <v>50</v>
      </c>
      <c r="L316" s="62" t="s">
        <v>354</v>
      </c>
      <c r="M316" s="62" t="s">
        <v>355</v>
      </c>
      <c r="N316" s="62" t="s">
        <v>189</v>
      </c>
      <c r="O316" s="8"/>
      <c r="P316" s="8" t="s">
        <v>283</v>
      </c>
      <c r="Q316" s="41">
        <v>5900.0</v>
      </c>
      <c r="R316" s="15">
        <f>CARPETA!$Q316*CARPETA!$E316</f>
        <v>5900</v>
      </c>
      <c r="S316" s="15">
        <f>CARPETA!$R316*16%</f>
        <v>944</v>
      </c>
      <c r="T316" s="15">
        <f>CARPETA!$R316+CARPETA!$S316</f>
        <v>6844</v>
      </c>
      <c r="U316" s="35" t="s">
        <v>545</v>
      </c>
      <c r="V316" s="15"/>
      <c r="W316" s="15"/>
    </row>
    <row r="317" ht="15.75" customHeight="1">
      <c r="A317" s="6">
        <v>28.0</v>
      </c>
      <c r="B317" s="6">
        <v>9.0</v>
      </c>
      <c r="C317" s="39">
        <v>324.0</v>
      </c>
      <c r="D317" s="40">
        <v>46210.0</v>
      </c>
      <c r="E317" s="8">
        <v>1.0</v>
      </c>
      <c r="F317" s="8" t="s">
        <v>31</v>
      </c>
      <c r="G317" s="8" t="s">
        <v>357</v>
      </c>
      <c r="H317" s="6">
        <v>14.0</v>
      </c>
      <c r="I317" s="67"/>
      <c r="J317" s="8" t="s">
        <v>288</v>
      </c>
      <c r="K317" s="35" t="s">
        <v>50</v>
      </c>
      <c r="L317" s="62" t="s">
        <v>355</v>
      </c>
      <c r="M317" s="62" t="s">
        <v>358</v>
      </c>
      <c r="N317" s="62" t="s">
        <v>189</v>
      </c>
      <c r="O317" s="8"/>
      <c r="P317" s="8" t="s">
        <v>283</v>
      </c>
      <c r="Q317" s="41">
        <v>5900.0</v>
      </c>
      <c r="R317" s="15">
        <f>CARPETA!$Q317*CARPETA!$E317</f>
        <v>5900</v>
      </c>
      <c r="S317" s="15">
        <f>CARPETA!$R317*16%</f>
        <v>944</v>
      </c>
      <c r="T317" s="15">
        <f>CARPETA!$R317+CARPETA!$S317</f>
        <v>6844</v>
      </c>
      <c r="U317" s="35" t="s">
        <v>545</v>
      </c>
      <c r="V317" s="15"/>
      <c r="W317" s="15"/>
    </row>
    <row r="318" ht="15.75" customHeight="1">
      <c r="A318" s="6">
        <v>28.0</v>
      </c>
      <c r="B318" s="6">
        <v>10.0</v>
      </c>
      <c r="C318" s="39">
        <v>326.0</v>
      </c>
      <c r="D318" s="40">
        <v>46210.0</v>
      </c>
      <c r="E318" s="8">
        <v>1.0</v>
      </c>
      <c r="F318" s="8" t="s">
        <v>31</v>
      </c>
      <c r="G318" s="8" t="s">
        <v>361</v>
      </c>
      <c r="H318" s="6">
        <v>14.0</v>
      </c>
      <c r="I318" s="67"/>
      <c r="J318" s="8" t="s">
        <v>362</v>
      </c>
      <c r="K318" s="35" t="s">
        <v>50</v>
      </c>
      <c r="L318" s="62" t="s">
        <v>358</v>
      </c>
      <c r="M318" s="62" t="s">
        <v>363</v>
      </c>
      <c r="N318" s="62" t="s">
        <v>189</v>
      </c>
      <c r="O318" s="8"/>
      <c r="P318" s="8" t="s">
        <v>283</v>
      </c>
      <c r="Q318" s="41">
        <v>5900.0</v>
      </c>
      <c r="R318" s="15">
        <f>CARPETA!$Q318*CARPETA!$E318</f>
        <v>5900</v>
      </c>
      <c r="S318" s="15">
        <f>CARPETA!$R318*16%</f>
        <v>944</v>
      </c>
      <c r="T318" s="15">
        <f>CARPETA!$R318+CARPETA!$S318</f>
        <v>6844</v>
      </c>
      <c r="U318" s="35" t="s">
        <v>545</v>
      </c>
      <c r="V318" s="15"/>
      <c r="W318" s="15"/>
    </row>
    <row r="319" ht="15.75" customHeight="1">
      <c r="A319" s="6">
        <v>28.0</v>
      </c>
      <c r="B319" s="6">
        <v>11.0</v>
      </c>
      <c r="C319" s="39">
        <v>327.0</v>
      </c>
      <c r="D319" s="40">
        <v>46210.0</v>
      </c>
      <c r="E319" s="8">
        <v>1.0</v>
      </c>
      <c r="F319" s="8" t="s">
        <v>31</v>
      </c>
      <c r="G319" s="8" t="s">
        <v>365</v>
      </c>
      <c r="H319" s="6">
        <v>14.0</v>
      </c>
      <c r="I319" s="67"/>
      <c r="J319" s="8" t="s">
        <v>366</v>
      </c>
      <c r="K319" s="35" t="s">
        <v>50</v>
      </c>
      <c r="L319" s="62" t="s">
        <v>363</v>
      </c>
      <c r="M319" s="62" t="s">
        <v>367</v>
      </c>
      <c r="N319" s="8" t="s">
        <v>189</v>
      </c>
      <c r="O319" s="8"/>
      <c r="P319" s="8" t="s">
        <v>283</v>
      </c>
      <c r="Q319" s="41">
        <v>5900.0</v>
      </c>
      <c r="R319" s="15">
        <f>CARPETA!$Q319*CARPETA!$E319</f>
        <v>5900</v>
      </c>
      <c r="S319" s="15">
        <f>CARPETA!$R319*16%</f>
        <v>944</v>
      </c>
      <c r="T319" s="15">
        <f>CARPETA!$R319+CARPETA!$S319</f>
        <v>6844</v>
      </c>
      <c r="U319" s="35" t="s">
        <v>545</v>
      </c>
      <c r="V319" s="15"/>
      <c r="W319" s="15"/>
    </row>
    <row r="320" ht="15.75" customHeight="1">
      <c r="A320" s="6">
        <v>28.0</v>
      </c>
      <c r="B320" s="6">
        <v>12.0</v>
      </c>
      <c r="C320" s="39">
        <v>328.0</v>
      </c>
      <c r="D320" s="40">
        <v>46210.0</v>
      </c>
      <c r="E320" s="8">
        <v>1.0</v>
      </c>
      <c r="F320" s="8" t="s">
        <v>31</v>
      </c>
      <c r="G320" s="8" t="s">
        <v>368</v>
      </c>
      <c r="H320" s="6">
        <v>14.0</v>
      </c>
      <c r="I320" s="67"/>
      <c r="J320" s="8" t="s">
        <v>122</v>
      </c>
      <c r="K320" s="35" t="s">
        <v>50</v>
      </c>
      <c r="L320" s="62" t="s">
        <v>367</v>
      </c>
      <c r="M320" s="62" t="s">
        <v>369</v>
      </c>
      <c r="N320" s="8" t="s">
        <v>189</v>
      </c>
      <c r="O320" s="8"/>
      <c r="P320" s="8" t="s">
        <v>283</v>
      </c>
      <c r="Q320" s="41">
        <v>5900.0</v>
      </c>
      <c r="R320" s="15">
        <f>CARPETA!$Q320*CARPETA!$E320</f>
        <v>5900</v>
      </c>
      <c r="S320" s="15">
        <f>CARPETA!$R320*16%</f>
        <v>944</v>
      </c>
      <c r="T320" s="15">
        <f>CARPETA!$R320+CARPETA!$S320</f>
        <v>6844</v>
      </c>
      <c r="U320" s="35" t="s">
        <v>545</v>
      </c>
      <c r="V320" s="15"/>
      <c r="W320" s="15"/>
    </row>
    <row r="321" ht="15.75" customHeight="1">
      <c r="A321" s="6">
        <v>28.0</v>
      </c>
      <c r="B321" s="6">
        <v>13.0</v>
      </c>
      <c r="C321" s="39">
        <v>329.0</v>
      </c>
      <c r="D321" s="40">
        <v>46210.0</v>
      </c>
      <c r="E321" s="8">
        <v>1.0</v>
      </c>
      <c r="F321" s="8" t="s">
        <v>31</v>
      </c>
      <c r="G321" s="8" t="s">
        <v>317</v>
      </c>
      <c r="H321" s="6">
        <v>14.0</v>
      </c>
      <c r="I321" s="67"/>
      <c r="J321" s="8" t="s">
        <v>318</v>
      </c>
      <c r="K321" s="35" t="s">
        <v>50</v>
      </c>
      <c r="L321" s="62" t="s">
        <v>369</v>
      </c>
      <c r="M321" s="62" t="s">
        <v>370</v>
      </c>
      <c r="N321" s="8" t="s">
        <v>189</v>
      </c>
      <c r="O321" s="8"/>
      <c r="P321" s="8" t="s">
        <v>283</v>
      </c>
      <c r="Q321" s="41">
        <v>5900.0</v>
      </c>
      <c r="R321" s="15">
        <f>CARPETA!$Q321*CARPETA!$E321</f>
        <v>5900</v>
      </c>
      <c r="S321" s="15">
        <f>CARPETA!$R321*16%</f>
        <v>944</v>
      </c>
      <c r="T321" s="15">
        <f>CARPETA!$R321+CARPETA!$S321</f>
        <v>6844</v>
      </c>
      <c r="U321" s="35" t="s">
        <v>545</v>
      </c>
      <c r="V321" s="15"/>
      <c r="W321" s="15"/>
    </row>
    <row r="322" ht="15.75" customHeight="1">
      <c r="A322" s="6">
        <v>28.0</v>
      </c>
      <c r="B322" s="6">
        <v>14.0</v>
      </c>
      <c r="C322" s="39">
        <v>330.0</v>
      </c>
      <c r="D322" s="40">
        <v>46210.0</v>
      </c>
      <c r="E322" s="8">
        <v>1.0</v>
      </c>
      <c r="F322" s="8" t="s">
        <v>31</v>
      </c>
      <c r="G322" s="8" t="s">
        <v>371</v>
      </c>
      <c r="H322" s="6">
        <v>14.0</v>
      </c>
      <c r="I322" s="67"/>
      <c r="J322" s="8" t="s">
        <v>372</v>
      </c>
      <c r="K322" s="35" t="s">
        <v>50</v>
      </c>
      <c r="L322" s="62" t="s">
        <v>370</v>
      </c>
      <c r="M322" s="62" t="s">
        <v>373</v>
      </c>
      <c r="N322" s="62" t="s">
        <v>189</v>
      </c>
      <c r="O322" s="8"/>
      <c r="P322" s="8" t="s">
        <v>283</v>
      </c>
      <c r="Q322" s="41">
        <v>5900.0</v>
      </c>
      <c r="R322" s="15">
        <f>CARPETA!$Q322*CARPETA!$E322</f>
        <v>5900</v>
      </c>
      <c r="S322" s="15">
        <f>CARPETA!$R322*16%</f>
        <v>944</v>
      </c>
      <c r="T322" s="15">
        <f>CARPETA!$R322+CARPETA!$S322</f>
        <v>6844</v>
      </c>
      <c r="U322" s="35" t="s">
        <v>545</v>
      </c>
      <c r="V322" s="15"/>
      <c r="W322" s="15"/>
    </row>
    <row r="323" ht="15.75" hidden="1" customHeight="1">
      <c r="A323" s="6">
        <v>28.0</v>
      </c>
      <c r="B323" s="6">
        <v>15.0</v>
      </c>
      <c r="C323" s="8">
        <v>331.0</v>
      </c>
      <c r="D323" s="9">
        <v>46210.0</v>
      </c>
      <c r="E323" s="8">
        <v>1.0</v>
      </c>
      <c r="F323" s="8" t="s">
        <v>31</v>
      </c>
      <c r="G323" s="8" t="s">
        <v>374</v>
      </c>
      <c r="H323" s="6">
        <v>14.0</v>
      </c>
      <c r="I323" s="67"/>
      <c r="J323" s="8" t="s">
        <v>81</v>
      </c>
      <c r="K323" s="35" t="s">
        <v>36</v>
      </c>
      <c r="L323" s="62" t="s">
        <v>373</v>
      </c>
      <c r="M323" s="62" t="s">
        <v>375</v>
      </c>
      <c r="N323" s="8" t="s">
        <v>189</v>
      </c>
      <c r="O323" s="8"/>
      <c r="P323" s="35" t="s">
        <v>109</v>
      </c>
      <c r="Q323" s="41">
        <v>4205.0</v>
      </c>
      <c r="R323" s="41">
        <f>Q323*E323</f>
        <v>4205</v>
      </c>
      <c r="S323" s="15">
        <f>CARPETA!$R323*16%</f>
        <v>672.8</v>
      </c>
      <c r="T323" s="15">
        <f>CARPETA!$R323+CARPETA!$S323</f>
        <v>4877.8</v>
      </c>
      <c r="U323" s="35" t="s">
        <v>376</v>
      </c>
      <c r="V323" s="123" t="s">
        <v>44</v>
      </c>
      <c r="W323" s="15"/>
    </row>
    <row r="324" ht="15.75" customHeight="1">
      <c r="A324" s="6">
        <v>28.0</v>
      </c>
      <c r="B324" s="6">
        <v>1.0</v>
      </c>
      <c r="C324" s="39">
        <v>332.0</v>
      </c>
      <c r="D324" s="40">
        <v>46211.0</v>
      </c>
      <c r="E324" s="8">
        <v>1.0</v>
      </c>
      <c r="F324" s="8" t="s">
        <v>31</v>
      </c>
      <c r="G324" s="8" t="s">
        <v>279</v>
      </c>
      <c r="H324" s="6">
        <v>14.0</v>
      </c>
      <c r="I324" s="67"/>
      <c r="J324" s="8" t="s">
        <v>195</v>
      </c>
      <c r="K324" s="35" t="s">
        <v>50</v>
      </c>
      <c r="L324" s="62" t="s">
        <v>377</v>
      </c>
      <c r="M324" s="62" t="s">
        <v>378</v>
      </c>
      <c r="N324" s="8" t="s">
        <v>189</v>
      </c>
      <c r="O324" s="8"/>
      <c r="P324" s="8" t="s">
        <v>306</v>
      </c>
      <c r="Q324" s="41">
        <v>5900.0</v>
      </c>
      <c r="R324" s="15">
        <f>CARPETA!$Q324*CARPETA!$E324</f>
        <v>5900</v>
      </c>
      <c r="S324" s="15">
        <f>CARPETA!$R324*16%</f>
        <v>944</v>
      </c>
      <c r="T324" s="15">
        <f>CARPETA!$R324+CARPETA!$S324</f>
        <v>6844</v>
      </c>
      <c r="U324" s="35" t="s">
        <v>545</v>
      </c>
      <c r="V324" s="15"/>
      <c r="W324" s="15"/>
    </row>
    <row r="325" ht="15.75" customHeight="1">
      <c r="A325" s="6">
        <v>28.0</v>
      </c>
      <c r="B325" s="6">
        <v>2.0</v>
      </c>
      <c r="C325" s="39">
        <v>334.0</v>
      </c>
      <c r="D325" s="40">
        <v>46211.0</v>
      </c>
      <c r="E325" s="8">
        <v>1.0</v>
      </c>
      <c r="F325" s="8" t="s">
        <v>31</v>
      </c>
      <c r="G325" s="8" t="s">
        <v>295</v>
      </c>
      <c r="H325" s="6">
        <v>14.0</v>
      </c>
      <c r="I325" s="67"/>
      <c r="J325" s="8" t="s">
        <v>118</v>
      </c>
      <c r="K325" s="35" t="s">
        <v>50</v>
      </c>
      <c r="L325" s="8" t="s">
        <v>378</v>
      </c>
      <c r="M325" s="62" t="s">
        <v>379</v>
      </c>
      <c r="N325" s="8" t="s">
        <v>189</v>
      </c>
      <c r="O325" s="8"/>
      <c r="P325" s="8" t="s">
        <v>306</v>
      </c>
      <c r="Q325" s="41">
        <v>5900.0</v>
      </c>
      <c r="R325" s="15">
        <f>CARPETA!$Q325*CARPETA!$E325</f>
        <v>5900</v>
      </c>
      <c r="S325" s="15">
        <f>CARPETA!$R325*16%</f>
        <v>944</v>
      </c>
      <c r="T325" s="15">
        <f>CARPETA!$R325+CARPETA!$S325</f>
        <v>6844</v>
      </c>
      <c r="U325" s="35" t="s">
        <v>545</v>
      </c>
      <c r="V325" s="15"/>
      <c r="W325" s="15"/>
    </row>
    <row r="326" ht="15.75" customHeight="1">
      <c r="A326" s="6">
        <v>28.0</v>
      </c>
      <c r="B326" s="6">
        <v>3.0</v>
      </c>
      <c r="C326" s="39">
        <v>335.0</v>
      </c>
      <c r="D326" s="40">
        <v>46211.0</v>
      </c>
      <c r="E326" s="8">
        <v>1.0</v>
      </c>
      <c r="F326" s="8" t="s">
        <v>31</v>
      </c>
      <c r="G326" s="8" t="s">
        <v>382</v>
      </c>
      <c r="H326" s="6">
        <v>14.0</v>
      </c>
      <c r="I326" s="67"/>
      <c r="J326" s="8" t="s">
        <v>200</v>
      </c>
      <c r="K326" s="35" t="s">
        <v>50</v>
      </c>
      <c r="L326" s="62" t="s">
        <v>379</v>
      </c>
      <c r="M326" s="8" t="s">
        <v>383</v>
      </c>
      <c r="N326" s="62" t="s">
        <v>189</v>
      </c>
      <c r="O326" s="8"/>
      <c r="P326" s="8" t="s">
        <v>306</v>
      </c>
      <c r="Q326" s="41">
        <v>5900.0</v>
      </c>
      <c r="R326" s="15">
        <f>CARPETA!$Q326*CARPETA!$E326</f>
        <v>5900</v>
      </c>
      <c r="S326" s="15">
        <f>CARPETA!$R326*16%</f>
        <v>944</v>
      </c>
      <c r="T326" s="15">
        <f>CARPETA!$R326+CARPETA!$S326</f>
        <v>6844</v>
      </c>
      <c r="U326" s="35" t="s">
        <v>545</v>
      </c>
      <c r="V326" s="15"/>
      <c r="W326" s="15"/>
    </row>
    <row r="327" ht="15.75" customHeight="1">
      <c r="A327" s="6">
        <v>28.0</v>
      </c>
      <c r="B327" s="6">
        <v>4.0</v>
      </c>
      <c r="C327" s="39">
        <v>336.0</v>
      </c>
      <c r="D327" s="40">
        <v>46211.0</v>
      </c>
      <c r="E327" s="8">
        <v>1.0</v>
      </c>
      <c r="F327" s="8" t="s">
        <v>31</v>
      </c>
      <c r="G327" s="8" t="s">
        <v>300</v>
      </c>
      <c r="H327" s="6">
        <v>14.0</v>
      </c>
      <c r="I327" s="67"/>
      <c r="J327" s="8" t="s">
        <v>114</v>
      </c>
      <c r="K327" s="35" t="s">
        <v>50</v>
      </c>
      <c r="L327" s="8" t="s">
        <v>383</v>
      </c>
      <c r="M327" s="8" t="s">
        <v>367</v>
      </c>
      <c r="N327" s="8" t="s">
        <v>189</v>
      </c>
      <c r="O327" s="8"/>
      <c r="P327" s="8" t="s">
        <v>306</v>
      </c>
      <c r="Q327" s="41">
        <v>5900.0</v>
      </c>
      <c r="R327" s="15">
        <f>CARPETA!$Q327*CARPETA!$E327</f>
        <v>5900</v>
      </c>
      <c r="S327" s="15">
        <f>CARPETA!$R327*16%</f>
        <v>944</v>
      </c>
      <c r="T327" s="15">
        <f>CARPETA!$R327+CARPETA!$S327</f>
        <v>6844</v>
      </c>
      <c r="U327" s="35" t="s">
        <v>545</v>
      </c>
      <c r="V327" s="15"/>
      <c r="W327" s="15"/>
    </row>
    <row r="328" ht="15.75" customHeight="1">
      <c r="A328" s="6">
        <v>28.0</v>
      </c>
      <c r="B328" s="6">
        <v>5.0</v>
      </c>
      <c r="C328" s="39">
        <v>333.0</v>
      </c>
      <c r="D328" s="40">
        <v>46211.0</v>
      </c>
      <c r="E328" s="8">
        <v>1.0</v>
      </c>
      <c r="F328" s="8" t="s">
        <v>31</v>
      </c>
      <c r="G328" s="8" t="s">
        <v>386</v>
      </c>
      <c r="H328" s="6">
        <v>14.0</v>
      </c>
      <c r="I328" s="67"/>
      <c r="J328" s="8" t="s">
        <v>344</v>
      </c>
      <c r="K328" s="35" t="s">
        <v>50</v>
      </c>
      <c r="L328" s="8" t="s">
        <v>367</v>
      </c>
      <c r="M328" s="62" t="s">
        <v>387</v>
      </c>
      <c r="N328" s="8" t="s">
        <v>189</v>
      </c>
      <c r="O328" s="8"/>
      <c r="P328" s="8" t="s">
        <v>306</v>
      </c>
      <c r="Q328" s="41">
        <v>5900.0</v>
      </c>
      <c r="R328" s="15">
        <f>CARPETA!$Q328*CARPETA!$E328</f>
        <v>5900</v>
      </c>
      <c r="S328" s="15">
        <f>CARPETA!$R328*16%</f>
        <v>944</v>
      </c>
      <c r="T328" s="15">
        <f>CARPETA!$R328+CARPETA!$S328</f>
        <v>6844</v>
      </c>
      <c r="U328" s="35" t="s">
        <v>545</v>
      </c>
      <c r="V328" s="15"/>
      <c r="W328" s="15"/>
    </row>
    <row r="329" ht="15.75" customHeight="1">
      <c r="A329" s="6">
        <v>28.0</v>
      </c>
      <c r="B329" s="6">
        <v>6.0</v>
      </c>
      <c r="C329" s="39">
        <v>337.0</v>
      </c>
      <c r="D329" s="40">
        <v>46211.0</v>
      </c>
      <c r="E329" s="8">
        <v>1.0</v>
      </c>
      <c r="F329" s="8" t="s">
        <v>31</v>
      </c>
      <c r="G329" s="8" t="s">
        <v>248</v>
      </c>
      <c r="H329" s="6">
        <v>14.0</v>
      </c>
      <c r="I329" s="67"/>
      <c r="J329" s="8" t="s">
        <v>146</v>
      </c>
      <c r="K329" s="35" t="s">
        <v>50</v>
      </c>
      <c r="L329" s="62" t="s">
        <v>387</v>
      </c>
      <c r="M329" s="62" t="s">
        <v>391</v>
      </c>
      <c r="N329" s="8" t="s">
        <v>189</v>
      </c>
      <c r="O329" s="8"/>
      <c r="P329" s="8" t="s">
        <v>306</v>
      </c>
      <c r="Q329" s="41">
        <v>5900.0</v>
      </c>
      <c r="R329" s="15">
        <f>CARPETA!$Q329*CARPETA!$E329</f>
        <v>5900</v>
      </c>
      <c r="S329" s="15">
        <f>CARPETA!$R329*16%</f>
        <v>944</v>
      </c>
      <c r="T329" s="15">
        <f>CARPETA!$R329+CARPETA!$S329</f>
        <v>6844</v>
      </c>
      <c r="U329" s="35" t="s">
        <v>545</v>
      </c>
      <c r="V329" s="15"/>
      <c r="W329" s="15"/>
    </row>
    <row r="330" ht="15.75" customHeight="1">
      <c r="A330" s="6">
        <v>28.0</v>
      </c>
      <c r="B330" s="6">
        <v>7.0</v>
      </c>
      <c r="C330" s="39">
        <v>340.0</v>
      </c>
      <c r="D330" s="40">
        <v>46211.0</v>
      </c>
      <c r="E330" s="8">
        <v>1.0</v>
      </c>
      <c r="F330" s="8" t="s">
        <v>31</v>
      </c>
      <c r="G330" s="8" t="s">
        <v>251</v>
      </c>
      <c r="H330" s="6">
        <v>14.0</v>
      </c>
      <c r="I330" s="67"/>
      <c r="J330" s="8" t="s">
        <v>313</v>
      </c>
      <c r="K330" s="35" t="s">
        <v>50</v>
      </c>
      <c r="L330" s="62" t="s">
        <v>391</v>
      </c>
      <c r="M330" s="62" t="s">
        <v>393</v>
      </c>
      <c r="N330" s="8" t="s">
        <v>189</v>
      </c>
      <c r="O330" s="8"/>
      <c r="P330" s="8" t="s">
        <v>306</v>
      </c>
      <c r="Q330" s="41">
        <v>5900.0</v>
      </c>
      <c r="R330" s="15">
        <f>CARPETA!$Q330*CARPETA!$E330</f>
        <v>5900</v>
      </c>
      <c r="S330" s="15">
        <f>CARPETA!$R330*16%</f>
        <v>944</v>
      </c>
      <c r="T330" s="15">
        <f>CARPETA!$R330+CARPETA!$S330</f>
        <v>6844</v>
      </c>
      <c r="U330" s="35" t="s">
        <v>545</v>
      </c>
      <c r="V330" s="15"/>
      <c r="W330" s="15"/>
    </row>
    <row r="331" ht="15.75" customHeight="1">
      <c r="A331" s="6">
        <v>28.0</v>
      </c>
      <c r="B331" s="6">
        <v>8.0</v>
      </c>
      <c r="C331" s="39">
        <v>338.0</v>
      </c>
      <c r="D331" s="40">
        <v>46211.0</v>
      </c>
      <c r="E331" s="8">
        <v>1.0</v>
      </c>
      <c r="F331" s="8" t="s">
        <v>31</v>
      </c>
      <c r="G331" s="8" t="s">
        <v>308</v>
      </c>
      <c r="H331" s="6">
        <v>14.0</v>
      </c>
      <c r="I331" s="67"/>
      <c r="J331" s="8" t="s">
        <v>309</v>
      </c>
      <c r="K331" s="35" t="s">
        <v>50</v>
      </c>
      <c r="L331" s="62" t="s">
        <v>393</v>
      </c>
      <c r="M331" s="62" t="s">
        <v>395</v>
      </c>
      <c r="N331" s="8" t="s">
        <v>189</v>
      </c>
      <c r="O331" s="8"/>
      <c r="P331" s="8" t="s">
        <v>306</v>
      </c>
      <c r="Q331" s="41">
        <v>5900.0</v>
      </c>
      <c r="R331" s="15">
        <f>CARPETA!$Q331*CARPETA!$E331</f>
        <v>5900</v>
      </c>
      <c r="S331" s="15">
        <f>CARPETA!$R331*16%</f>
        <v>944</v>
      </c>
      <c r="T331" s="15">
        <f>CARPETA!$R331+CARPETA!$S331</f>
        <v>6844</v>
      </c>
      <c r="U331" s="35" t="s">
        <v>545</v>
      </c>
      <c r="V331" s="15"/>
      <c r="W331" s="15"/>
    </row>
    <row r="332" ht="15.75" customHeight="1">
      <c r="A332" s="6">
        <v>28.0</v>
      </c>
      <c r="B332" s="6">
        <v>9.0</v>
      </c>
      <c r="C332" s="39">
        <v>339.0</v>
      </c>
      <c r="D332" s="40">
        <v>46211.0</v>
      </c>
      <c r="E332" s="8">
        <v>1.0</v>
      </c>
      <c r="F332" s="8" t="s">
        <v>31</v>
      </c>
      <c r="G332" s="8" t="s">
        <v>357</v>
      </c>
      <c r="H332" s="6">
        <v>14.0</v>
      </c>
      <c r="I332" s="67"/>
      <c r="J332" s="8" t="s">
        <v>288</v>
      </c>
      <c r="K332" s="35" t="s">
        <v>50</v>
      </c>
      <c r="L332" s="62" t="s">
        <v>395</v>
      </c>
      <c r="M332" s="62" t="s">
        <v>375</v>
      </c>
      <c r="N332" s="8" t="s">
        <v>189</v>
      </c>
      <c r="O332" s="8"/>
      <c r="P332" s="8" t="s">
        <v>306</v>
      </c>
      <c r="Q332" s="41">
        <v>5900.0</v>
      </c>
      <c r="R332" s="15">
        <f>CARPETA!$Q332*CARPETA!$E332</f>
        <v>5900</v>
      </c>
      <c r="S332" s="15">
        <f>CARPETA!$R332*16%</f>
        <v>944</v>
      </c>
      <c r="T332" s="15">
        <f>CARPETA!$R332+CARPETA!$S332</f>
        <v>6844</v>
      </c>
      <c r="U332" s="35" t="s">
        <v>545</v>
      </c>
      <c r="V332" s="15"/>
      <c r="W332" s="15"/>
    </row>
    <row r="333" ht="15.75" customHeight="1">
      <c r="A333" s="6">
        <v>28.0</v>
      </c>
      <c r="B333" s="6">
        <v>10.0</v>
      </c>
      <c r="C333" s="39">
        <v>341.0</v>
      </c>
      <c r="D333" s="40">
        <v>46211.0</v>
      </c>
      <c r="E333" s="8">
        <v>1.0</v>
      </c>
      <c r="F333" s="8" t="s">
        <v>31</v>
      </c>
      <c r="G333" s="8" t="s">
        <v>400</v>
      </c>
      <c r="H333" s="6">
        <v>14.0</v>
      </c>
      <c r="I333" s="67"/>
      <c r="J333" s="8" t="s">
        <v>401</v>
      </c>
      <c r="K333" s="35" t="s">
        <v>50</v>
      </c>
      <c r="L333" s="8" t="s">
        <v>375</v>
      </c>
      <c r="M333" s="8" t="s">
        <v>402</v>
      </c>
      <c r="N333" s="8" t="s">
        <v>189</v>
      </c>
      <c r="O333" s="8"/>
      <c r="P333" s="8" t="s">
        <v>306</v>
      </c>
      <c r="Q333" s="41">
        <v>5900.0</v>
      </c>
      <c r="R333" s="15">
        <f>CARPETA!$Q333*CARPETA!$E333</f>
        <v>5900</v>
      </c>
      <c r="S333" s="15">
        <f>CARPETA!$R333*16%</f>
        <v>944</v>
      </c>
      <c r="T333" s="15">
        <f>CARPETA!$R333+CARPETA!$S333</f>
        <v>6844</v>
      </c>
      <c r="U333" s="35" t="s">
        <v>545</v>
      </c>
      <c r="V333" s="15"/>
      <c r="W333" s="15"/>
    </row>
    <row r="334" ht="15.75" hidden="1" customHeight="1">
      <c r="A334" s="6">
        <v>28.0</v>
      </c>
      <c r="B334" s="6"/>
      <c r="C334" s="84">
        <v>342.0</v>
      </c>
      <c r="D334" s="86">
        <v>46211.0</v>
      </c>
      <c r="E334" s="35">
        <v>1.0</v>
      </c>
      <c r="F334" s="35" t="s">
        <v>219</v>
      </c>
      <c r="G334" s="35" t="s">
        <v>404</v>
      </c>
      <c r="H334" s="34">
        <v>0.0</v>
      </c>
      <c r="I334" s="8"/>
      <c r="J334" s="35" t="s">
        <v>366</v>
      </c>
      <c r="K334" s="35" t="s">
        <v>50</v>
      </c>
      <c r="L334" s="62"/>
      <c r="M334" s="62"/>
      <c r="N334" s="62"/>
      <c r="O334" s="8"/>
      <c r="P334" s="35" t="s">
        <v>109</v>
      </c>
      <c r="Q334" s="41">
        <v>2950.0</v>
      </c>
      <c r="R334" s="15">
        <f>CARPETA!$Q334*CARPETA!$E334</f>
        <v>2950</v>
      </c>
      <c r="S334" s="15">
        <f>CARPETA!$R334*16%</f>
        <v>472</v>
      </c>
      <c r="T334" s="15">
        <f>CARPETA!$R334+CARPETA!$S334</f>
        <v>3422</v>
      </c>
      <c r="U334" s="35" t="s">
        <v>545</v>
      </c>
      <c r="V334" s="15"/>
      <c r="W334" s="15"/>
    </row>
    <row r="335" ht="15.75" hidden="1" customHeight="1">
      <c r="A335" s="6">
        <v>28.0</v>
      </c>
      <c r="B335" s="6"/>
      <c r="C335" s="84">
        <v>343.0</v>
      </c>
      <c r="D335" s="86">
        <v>46211.0</v>
      </c>
      <c r="E335" s="35">
        <v>1.0</v>
      </c>
      <c r="F335" s="35" t="s">
        <v>219</v>
      </c>
      <c r="G335" s="35" t="s">
        <v>147</v>
      </c>
      <c r="H335" s="34">
        <v>0.0</v>
      </c>
      <c r="I335" s="8"/>
      <c r="J335" s="35" t="s">
        <v>150</v>
      </c>
      <c r="K335" s="35" t="s">
        <v>50</v>
      </c>
      <c r="L335" s="62"/>
      <c r="M335" s="62"/>
      <c r="N335" s="62"/>
      <c r="O335" s="8"/>
      <c r="P335" s="35" t="s">
        <v>109</v>
      </c>
      <c r="Q335" s="41">
        <v>2950.0</v>
      </c>
      <c r="R335" s="15">
        <f>CARPETA!$Q335*CARPETA!$E335</f>
        <v>2950</v>
      </c>
      <c r="S335" s="15">
        <f>CARPETA!$R335*16%</f>
        <v>472</v>
      </c>
      <c r="T335" s="15">
        <f>CARPETA!$R335+CARPETA!$S335</f>
        <v>3422</v>
      </c>
      <c r="U335" s="35" t="s">
        <v>545</v>
      </c>
      <c r="V335" s="15"/>
      <c r="W335" s="15"/>
    </row>
    <row r="336" ht="15.75" hidden="1" customHeight="1">
      <c r="A336" s="6">
        <v>28.0</v>
      </c>
      <c r="B336" s="6"/>
      <c r="C336" s="84">
        <v>344.0</v>
      </c>
      <c r="D336" s="86">
        <v>46211.0</v>
      </c>
      <c r="E336" s="35">
        <v>1.0</v>
      </c>
      <c r="F336" s="35" t="s">
        <v>219</v>
      </c>
      <c r="G336" s="35" t="s">
        <v>121</v>
      </c>
      <c r="H336" s="34">
        <v>0.0</v>
      </c>
      <c r="I336" s="8"/>
      <c r="J336" s="35" t="s">
        <v>122</v>
      </c>
      <c r="K336" s="35" t="s">
        <v>50</v>
      </c>
      <c r="L336" s="62"/>
      <c r="M336" s="62"/>
      <c r="N336" s="62"/>
      <c r="O336" s="8"/>
      <c r="P336" s="35" t="s">
        <v>109</v>
      </c>
      <c r="Q336" s="41">
        <v>2950.0</v>
      </c>
      <c r="R336" s="15">
        <f>CARPETA!$Q336*CARPETA!$E336</f>
        <v>2950</v>
      </c>
      <c r="S336" s="15">
        <f>CARPETA!$R336*16%</f>
        <v>472</v>
      </c>
      <c r="T336" s="15">
        <f>CARPETA!$R336+CARPETA!$S336</f>
        <v>3422</v>
      </c>
      <c r="U336" s="35" t="s">
        <v>545</v>
      </c>
      <c r="V336" s="15"/>
      <c r="W336" s="15"/>
    </row>
    <row r="337" ht="15.75" hidden="1" customHeight="1">
      <c r="A337" s="6">
        <v>28.0</v>
      </c>
      <c r="B337" s="6"/>
      <c r="C337" s="84">
        <v>345.0</v>
      </c>
      <c r="D337" s="86">
        <v>46211.0</v>
      </c>
      <c r="E337" s="35">
        <v>1.0</v>
      </c>
      <c r="F337" s="35" t="s">
        <v>219</v>
      </c>
      <c r="G337" s="35" t="s">
        <v>407</v>
      </c>
      <c r="H337" s="34">
        <v>0.0</v>
      </c>
      <c r="I337" s="8"/>
      <c r="J337" s="35" t="s">
        <v>408</v>
      </c>
      <c r="K337" s="35" t="s">
        <v>50</v>
      </c>
      <c r="L337" s="62"/>
      <c r="M337" s="62"/>
      <c r="N337" s="62"/>
      <c r="O337" s="8"/>
      <c r="P337" s="35" t="s">
        <v>109</v>
      </c>
      <c r="Q337" s="41">
        <v>2950.0</v>
      </c>
      <c r="R337" s="15">
        <f>CARPETA!$Q337*CARPETA!$E337</f>
        <v>2950</v>
      </c>
      <c r="S337" s="15">
        <f>CARPETA!$R337*16%</f>
        <v>472</v>
      </c>
      <c r="T337" s="15">
        <f>CARPETA!$R337+CARPETA!$S337</f>
        <v>3422</v>
      </c>
      <c r="U337" s="35" t="s">
        <v>545</v>
      </c>
      <c r="V337" s="15"/>
      <c r="W337" s="15"/>
    </row>
    <row r="338" ht="15.75" hidden="1" customHeight="1">
      <c r="A338" s="6">
        <v>28.0</v>
      </c>
      <c r="B338" s="6"/>
      <c r="C338" s="84">
        <v>346.0</v>
      </c>
      <c r="D338" s="86">
        <v>46211.0</v>
      </c>
      <c r="E338" s="35">
        <v>1.0</v>
      </c>
      <c r="F338" s="35" t="s">
        <v>219</v>
      </c>
      <c r="G338" s="35" t="s">
        <v>410</v>
      </c>
      <c r="H338" s="34">
        <v>0.0</v>
      </c>
      <c r="I338" s="8"/>
      <c r="J338" s="35" t="s">
        <v>326</v>
      </c>
      <c r="K338" s="35" t="s">
        <v>50</v>
      </c>
      <c r="L338" s="62"/>
      <c r="M338" s="62"/>
      <c r="N338" s="62"/>
      <c r="O338" s="8"/>
      <c r="P338" s="35" t="s">
        <v>109</v>
      </c>
      <c r="Q338" s="41">
        <v>2950.0</v>
      </c>
      <c r="R338" s="15">
        <f>CARPETA!$Q338*CARPETA!$E338</f>
        <v>2950</v>
      </c>
      <c r="S338" s="15">
        <f>CARPETA!$R338*16%</f>
        <v>472</v>
      </c>
      <c r="T338" s="15">
        <f>CARPETA!$R338+CARPETA!$S338</f>
        <v>3422</v>
      </c>
      <c r="U338" s="35" t="s">
        <v>545</v>
      </c>
      <c r="V338" s="15"/>
      <c r="W338" s="15"/>
    </row>
    <row r="339" ht="15.75" customHeight="1">
      <c r="A339" s="34">
        <v>29.0</v>
      </c>
      <c r="B339" s="34">
        <v>1.0</v>
      </c>
      <c r="C339" s="126">
        <v>666.0</v>
      </c>
      <c r="D339" s="127">
        <v>46217.0</v>
      </c>
      <c r="E339" s="92">
        <v>1.0</v>
      </c>
      <c r="F339" s="8" t="s">
        <v>31</v>
      </c>
      <c r="G339" s="92" t="s">
        <v>248</v>
      </c>
      <c r="H339" s="93">
        <v>14.0</v>
      </c>
      <c r="I339" s="94"/>
      <c r="J339" s="92" t="s">
        <v>146</v>
      </c>
      <c r="K339" s="35" t="s">
        <v>50</v>
      </c>
      <c r="L339" s="95" t="s">
        <v>411</v>
      </c>
      <c r="M339" s="95" t="s">
        <v>412</v>
      </c>
      <c r="N339" s="96" t="s">
        <v>189</v>
      </c>
      <c r="O339" s="8"/>
      <c r="P339" s="94"/>
      <c r="Q339" s="41">
        <v>5900.0</v>
      </c>
      <c r="R339" s="15">
        <f>CARPETA!$Q339*CARPETA!$E339</f>
        <v>5900</v>
      </c>
      <c r="S339" s="15">
        <f>CARPETA!$R339*16%</f>
        <v>944</v>
      </c>
      <c r="T339" s="15">
        <f>CARPETA!$R339+CARPETA!$S339</f>
        <v>6844</v>
      </c>
      <c r="U339" s="35" t="s">
        <v>545</v>
      </c>
      <c r="V339" s="15"/>
      <c r="W339" s="15"/>
    </row>
    <row r="340" ht="15.75" customHeight="1">
      <c r="A340" s="34">
        <v>29.0</v>
      </c>
      <c r="B340" s="34">
        <v>2.0</v>
      </c>
      <c r="C340" s="126">
        <v>667.0</v>
      </c>
      <c r="D340" s="127">
        <v>46217.0</v>
      </c>
      <c r="E340" s="92">
        <v>1.0</v>
      </c>
      <c r="F340" s="8" t="s">
        <v>31</v>
      </c>
      <c r="G340" s="92" t="s">
        <v>413</v>
      </c>
      <c r="H340" s="93">
        <v>14.0</v>
      </c>
      <c r="I340" s="94"/>
      <c r="J340" s="92" t="s">
        <v>321</v>
      </c>
      <c r="K340" s="35" t="s">
        <v>50</v>
      </c>
      <c r="L340" s="95" t="s">
        <v>412</v>
      </c>
      <c r="M340" s="95" t="s">
        <v>414</v>
      </c>
      <c r="N340" s="96" t="s">
        <v>189</v>
      </c>
      <c r="O340" s="8"/>
      <c r="P340" s="94"/>
      <c r="Q340" s="41">
        <v>5900.0</v>
      </c>
      <c r="R340" s="15">
        <f>CARPETA!$Q340*CARPETA!$E340</f>
        <v>5900</v>
      </c>
      <c r="S340" s="15">
        <f>CARPETA!$R340*16%</f>
        <v>944</v>
      </c>
      <c r="T340" s="15">
        <f>CARPETA!$R340+CARPETA!$S340</f>
        <v>6844</v>
      </c>
      <c r="U340" s="35" t="s">
        <v>545</v>
      </c>
      <c r="V340" s="15"/>
      <c r="W340" s="15"/>
    </row>
    <row r="341" ht="15.75" customHeight="1">
      <c r="A341" s="34">
        <v>29.0</v>
      </c>
      <c r="B341" s="34">
        <v>3.0</v>
      </c>
      <c r="C341" s="126">
        <v>668.0</v>
      </c>
      <c r="D341" s="127">
        <v>46217.0</v>
      </c>
      <c r="E341" s="92">
        <v>1.0</v>
      </c>
      <c r="F341" s="8" t="s">
        <v>31</v>
      </c>
      <c r="G341" s="92" t="s">
        <v>416</v>
      </c>
      <c r="H341" s="93">
        <v>14.0</v>
      </c>
      <c r="I341" s="94"/>
      <c r="J341" s="92" t="s">
        <v>417</v>
      </c>
      <c r="K341" s="35" t="s">
        <v>50</v>
      </c>
      <c r="L341" s="95" t="s">
        <v>418</v>
      </c>
      <c r="M341" s="95" t="s">
        <v>419</v>
      </c>
      <c r="N341" s="96" t="s">
        <v>189</v>
      </c>
      <c r="O341" s="8"/>
      <c r="P341" s="94"/>
      <c r="Q341" s="41">
        <v>5900.0</v>
      </c>
      <c r="R341" s="15">
        <f>CARPETA!$Q341*CARPETA!$E341</f>
        <v>5900</v>
      </c>
      <c r="S341" s="15">
        <f>CARPETA!$R341*16%</f>
        <v>944</v>
      </c>
      <c r="T341" s="15">
        <f>CARPETA!$R341+CARPETA!$S341</f>
        <v>6844</v>
      </c>
      <c r="U341" s="35" t="s">
        <v>545</v>
      </c>
      <c r="V341" s="15"/>
      <c r="W341" s="15"/>
    </row>
    <row r="342" ht="15.75" customHeight="1">
      <c r="A342" s="34">
        <v>29.0</v>
      </c>
      <c r="B342" s="34">
        <v>4.0</v>
      </c>
      <c r="C342" s="126">
        <v>670.0</v>
      </c>
      <c r="D342" s="127">
        <v>46217.0</v>
      </c>
      <c r="E342" s="92">
        <v>1.0</v>
      </c>
      <c r="F342" s="8" t="s">
        <v>31</v>
      </c>
      <c r="G342" s="92" t="s">
        <v>201</v>
      </c>
      <c r="H342" s="93">
        <v>14.0</v>
      </c>
      <c r="I342" s="94"/>
      <c r="J342" s="92" t="s">
        <v>420</v>
      </c>
      <c r="K342" s="35" t="s">
        <v>50</v>
      </c>
      <c r="L342" s="95" t="s">
        <v>419</v>
      </c>
      <c r="M342" s="95" t="s">
        <v>421</v>
      </c>
      <c r="N342" s="96" t="s">
        <v>189</v>
      </c>
      <c r="O342" s="8"/>
      <c r="P342" s="94"/>
      <c r="Q342" s="41">
        <v>5900.0</v>
      </c>
      <c r="R342" s="15">
        <f>CARPETA!$Q342*CARPETA!$E342</f>
        <v>5900</v>
      </c>
      <c r="S342" s="15">
        <f>CARPETA!$R342*16%</f>
        <v>944</v>
      </c>
      <c r="T342" s="15">
        <f>CARPETA!$R342+CARPETA!$S342</f>
        <v>6844</v>
      </c>
      <c r="U342" s="35" t="s">
        <v>545</v>
      </c>
      <c r="V342" s="15"/>
      <c r="W342" s="15"/>
    </row>
    <row r="343" ht="15.75" customHeight="1">
      <c r="A343" s="34">
        <v>29.0</v>
      </c>
      <c r="B343" s="34">
        <v>5.0</v>
      </c>
      <c r="C343" s="126">
        <v>669.0</v>
      </c>
      <c r="D343" s="127">
        <v>46217.0</v>
      </c>
      <c r="E343" s="92">
        <v>1.0</v>
      </c>
      <c r="F343" s="8" t="s">
        <v>31</v>
      </c>
      <c r="G343" s="92" t="s">
        <v>422</v>
      </c>
      <c r="H343" s="93">
        <v>14.0</v>
      </c>
      <c r="I343" s="94"/>
      <c r="J343" s="92" t="s">
        <v>344</v>
      </c>
      <c r="K343" s="35" t="s">
        <v>50</v>
      </c>
      <c r="L343" s="95" t="s">
        <v>421</v>
      </c>
      <c r="M343" s="95" t="s">
        <v>424</v>
      </c>
      <c r="N343" s="96" t="s">
        <v>189</v>
      </c>
      <c r="O343" s="8"/>
      <c r="P343" s="94"/>
      <c r="Q343" s="41">
        <v>5900.0</v>
      </c>
      <c r="R343" s="15">
        <f>CARPETA!$Q343*CARPETA!$E343</f>
        <v>5900</v>
      </c>
      <c r="S343" s="15">
        <f>CARPETA!$R343*16%</f>
        <v>944</v>
      </c>
      <c r="T343" s="15">
        <f>CARPETA!$R343+CARPETA!$S343</f>
        <v>6844</v>
      </c>
      <c r="U343" s="35" t="s">
        <v>545</v>
      </c>
      <c r="V343" s="15"/>
      <c r="W343" s="15"/>
    </row>
    <row r="344" ht="15.75" customHeight="1">
      <c r="A344" s="34">
        <v>29.0</v>
      </c>
      <c r="B344" s="34">
        <v>6.0</v>
      </c>
      <c r="C344" s="126">
        <v>674.0</v>
      </c>
      <c r="D344" s="127">
        <v>46218.0</v>
      </c>
      <c r="E344" s="92">
        <v>1.0</v>
      </c>
      <c r="F344" s="8" t="s">
        <v>31</v>
      </c>
      <c r="G344" s="92" t="s">
        <v>427</v>
      </c>
      <c r="H344" s="93">
        <v>14.0</v>
      </c>
      <c r="I344" s="94"/>
      <c r="J344" s="92" t="s">
        <v>344</v>
      </c>
      <c r="K344" s="35" t="s">
        <v>50</v>
      </c>
      <c r="L344" s="95" t="s">
        <v>428</v>
      </c>
      <c r="M344" s="95" t="s">
        <v>429</v>
      </c>
      <c r="N344" s="96" t="s">
        <v>189</v>
      </c>
      <c r="O344" s="8"/>
      <c r="P344" s="92" t="s">
        <v>283</v>
      </c>
      <c r="Q344" s="41">
        <v>5900.0</v>
      </c>
      <c r="R344" s="15">
        <f>CARPETA!$Q344*CARPETA!$E344</f>
        <v>5900</v>
      </c>
      <c r="S344" s="15">
        <f>CARPETA!$R344*16%</f>
        <v>944</v>
      </c>
      <c r="T344" s="15">
        <f>CARPETA!$R344+CARPETA!$S344</f>
        <v>6844</v>
      </c>
      <c r="U344" s="35" t="s">
        <v>545</v>
      </c>
      <c r="V344" s="15"/>
      <c r="W344" s="15"/>
    </row>
    <row r="345" ht="15.75" customHeight="1">
      <c r="A345" s="34">
        <v>29.0</v>
      </c>
      <c r="B345" s="34">
        <v>7.0</v>
      </c>
      <c r="C345" s="126">
        <v>675.0</v>
      </c>
      <c r="D345" s="127">
        <v>46218.0</v>
      </c>
      <c r="E345" s="92">
        <v>1.0</v>
      </c>
      <c r="F345" s="8" t="s">
        <v>31</v>
      </c>
      <c r="G345" s="92" t="s">
        <v>416</v>
      </c>
      <c r="H345" s="93">
        <v>14.0</v>
      </c>
      <c r="I345" s="94"/>
      <c r="J345" s="92" t="s">
        <v>326</v>
      </c>
      <c r="K345" s="35" t="s">
        <v>50</v>
      </c>
      <c r="L345" s="95" t="s">
        <v>429</v>
      </c>
      <c r="M345" s="95" t="s">
        <v>431</v>
      </c>
      <c r="N345" s="96" t="s">
        <v>189</v>
      </c>
      <c r="O345" s="8"/>
      <c r="P345" s="92" t="s">
        <v>283</v>
      </c>
      <c r="Q345" s="41">
        <v>5900.0</v>
      </c>
      <c r="R345" s="15">
        <f>CARPETA!$Q345*CARPETA!$E345</f>
        <v>5900</v>
      </c>
      <c r="S345" s="15">
        <f>CARPETA!$R345*16%</f>
        <v>944</v>
      </c>
      <c r="T345" s="15">
        <f>CARPETA!$R345+CARPETA!$S345</f>
        <v>6844</v>
      </c>
      <c r="U345" s="35" t="s">
        <v>545</v>
      </c>
      <c r="V345" s="15"/>
      <c r="W345" s="15"/>
    </row>
    <row r="346" ht="15.75" customHeight="1">
      <c r="A346" s="34">
        <v>29.0</v>
      </c>
      <c r="B346" s="34">
        <v>8.0</v>
      </c>
      <c r="C346" s="126">
        <v>676.0</v>
      </c>
      <c r="D346" s="127">
        <v>46218.0</v>
      </c>
      <c r="E346" s="92">
        <v>1.0</v>
      </c>
      <c r="F346" s="8" t="s">
        <v>31</v>
      </c>
      <c r="G346" s="92" t="s">
        <v>201</v>
      </c>
      <c r="H346" s="93">
        <v>14.0</v>
      </c>
      <c r="I346" s="94"/>
      <c r="J346" s="92" t="s">
        <v>150</v>
      </c>
      <c r="K346" s="35" t="s">
        <v>50</v>
      </c>
      <c r="L346" s="95" t="s">
        <v>431</v>
      </c>
      <c r="M346" s="95" t="s">
        <v>432</v>
      </c>
      <c r="N346" s="96" t="s">
        <v>189</v>
      </c>
      <c r="O346" s="8"/>
      <c r="P346" s="92" t="s">
        <v>283</v>
      </c>
      <c r="Q346" s="41">
        <v>5900.0</v>
      </c>
      <c r="R346" s="15">
        <f>CARPETA!$Q346*CARPETA!$E346</f>
        <v>5900</v>
      </c>
      <c r="S346" s="15">
        <f>CARPETA!$R346*16%</f>
        <v>944</v>
      </c>
      <c r="T346" s="15">
        <f>CARPETA!$R346+CARPETA!$S346</f>
        <v>6844</v>
      </c>
      <c r="U346" s="35" t="s">
        <v>545</v>
      </c>
      <c r="V346" s="15"/>
      <c r="W346" s="15"/>
    </row>
    <row r="347" ht="15.75" customHeight="1">
      <c r="A347" s="34">
        <v>29.0</v>
      </c>
      <c r="B347" s="34">
        <v>9.0</v>
      </c>
      <c r="C347" s="126">
        <v>677.0</v>
      </c>
      <c r="D347" s="127">
        <v>46218.0</v>
      </c>
      <c r="E347" s="92">
        <v>1.0</v>
      </c>
      <c r="F347" s="8" t="s">
        <v>31</v>
      </c>
      <c r="G347" s="92" t="s">
        <v>357</v>
      </c>
      <c r="H347" s="93">
        <v>14.0</v>
      </c>
      <c r="I347" s="94"/>
      <c r="J347" s="92" t="s">
        <v>288</v>
      </c>
      <c r="K347" s="35" t="s">
        <v>50</v>
      </c>
      <c r="L347" s="95" t="s">
        <v>432</v>
      </c>
      <c r="M347" s="95" t="s">
        <v>433</v>
      </c>
      <c r="N347" s="96" t="s">
        <v>189</v>
      </c>
      <c r="O347" s="8"/>
      <c r="P347" s="92" t="s">
        <v>283</v>
      </c>
      <c r="Q347" s="41">
        <v>5900.0</v>
      </c>
      <c r="R347" s="15">
        <f>CARPETA!$Q347*CARPETA!$E347</f>
        <v>5900</v>
      </c>
      <c r="S347" s="15">
        <f>CARPETA!$R347*16%</f>
        <v>944</v>
      </c>
      <c r="T347" s="15">
        <f>CARPETA!$R347+CARPETA!$S347</f>
        <v>6844</v>
      </c>
      <c r="U347" s="35" t="s">
        <v>545</v>
      </c>
      <c r="V347" s="15"/>
      <c r="W347" s="15"/>
    </row>
    <row r="348" ht="15.75" customHeight="1">
      <c r="A348" s="34">
        <v>29.0</v>
      </c>
      <c r="B348" s="34">
        <v>10.0</v>
      </c>
      <c r="C348" s="126">
        <v>678.0</v>
      </c>
      <c r="D348" s="127">
        <v>46218.0</v>
      </c>
      <c r="E348" s="92">
        <v>1.0</v>
      </c>
      <c r="F348" s="8" t="s">
        <v>31</v>
      </c>
      <c r="G348" s="92" t="s">
        <v>300</v>
      </c>
      <c r="H348" s="93">
        <v>14.0</v>
      </c>
      <c r="I348" s="94"/>
      <c r="J348" s="92" t="s">
        <v>114</v>
      </c>
      <c r="K348" s="35" t="s">
        <v>50</v>
      </c>
      <c r="L348" s="95" t="s">
        <v>433</v>
      </c>
      <c r="M348" s="95" t="s">
        <v>434</v>
      </c>
      <c r="N348" s="96" t="s">
        <v>189</v>
      </c>
      <c r="O348" s="8"/>
      <c r="P348" s="92" t="s">
        <v>283</v>
      </c>
      <c r="Q348" s="41">
        <v>5900.0</v>
      </c>
      <c r="R348" s="15">
        <f>CARPETA!$Q348*CARPETA!$E348</f>
        <v>5900</v>
      </c>
      <c r="S348" s="15">
        <f>CARPETA!$R348*16%</f>
        <v>944</v>
      </c>
      <c r="T348" s="15">
        <f>CARPETA!$R348+CARPETA!$S348</f>
        <v>6844</v>
      </c>
      <c r="U348" s="35" t="s">
        <v>545</v>
      </c>
      <c r="V348" s="15"/>
      <c r="W348" s="15"/>
    </row>
    <row r="349" ht="15.75" customHeight="1">
      <c r="A349" s="34">
        <v>29.0</v>
      </c>
      <c r="B349" s="34">
        <v>11.0</v>
      </c>
      <c r="C349" s="126">
        <v>679.0</v>
      </c>
      <c r="D349" s="127">
        <v>46218.0</v>
      </c>
      <c r="E349" s="92">
        <v>1.0</v>
      </c>
      <c r="F349" s="8" t="s">
        <v>31</v>
      </c>
      <c r="G349" s="92" t="s">
        <v>436</v>
      </c>
      <c r="H349" s="93">
        <v>14.0</v>
      </c>
      <c r="I349" s="94"/>
      <c r="J349" s="92" t="s">
        <v>318</v>
      </c>
      <c r="K349" s="35" t="s">
        <v>50</v>
      </c>
      <c r="L349" s="95" t="s">
        <v>434</v>
      </c>
      <c r="M349" s="95" t="s">
        <v>437</v>
      </c>
      <c r="N349" s="96" t="s">
        <v>189</v>
      </c>
      <c r="O349" s="8"/>
      <c r="P349" s="92" t="s">
        <v>283</v>
      </c>
      <c r="Q349" s="41">
        <v>5900.0</v>
      </c>
      <c r="R349" s="15">
        <f>CARPETA!$Q349*CARPETA!$E349</f>
        <v>5900</v>
      </c>
      <c r="S349" s="15">
        <f>CARPETA!$R349*16%</f>
        <v>944</v>
      </c>
      <c r="T349" s="15">
        <f>CARPETA!$R349+CARPETA!$S349</f>
        <v>6844</v>
      </c>
      <c r="U349" s="35" t="s">
        <v>545</v>
      </c>
      <c r="V349" s="15"/>
      <c r="W349" s="15"/>
    </row>
    <row r="350" ht="15.75" customHeight="1">
      <c r="A350" s="34">
        <v>29.0</v>
      </c>
      <c r="B350" s="34">
        <v>12.0</v>
      </c>
      <c r="C350" s="126">
        <v>681.0</v>
      </c>
      <c r="D350" s="127">
        <v>46218.0</v>
      </c>
      <c r="E350" s="92">
        <v>1.0</v>
      </c>
      <c r="F350" s="8" t="s">
        <v>31</v>
      </c>
      <c r="G350" s="92" t="s">
        <v>251</v>
      </c>
      <c r="H350" s="93">
        <v>14.0</v>
      </c>
      <c r="I350" s="94"/>
      <c r="J350" s="92" t="s">
        <v>313</v>
      </c>
      <c r="K350" s="35" t="s">
        <v>50</v>
      </c>
      <c r="L350" s="95" t="s">
        <v>437</v>
      </c>
      <c r="M350" s="95" t="s">
        <v>439</v>
      </c>
      <c r="N350" s="96" t="s">
        <v>189</v>
      </c>
      <c r="O350" s="8"/>
      <c r="P350" s="92" t="s">
        <v>283</v>
      </c>
      <c r="Q350" s="41">
        <v>5900.0</v>
      </c>
      <c r="R350" s="15">
        <f>CARPETA!$Q350*CARPETA!$E350</f>
        <v>5900</v>
      </c>
      <c r="S350" s="15">
        <f>CARPETA!$R350*16%</f>
        <v>944</v>
      </c>
      <c r="T350" s="15">
        <f>CARPETA!$R350+CARPETA!$S350</f>
        <v>6844</v>
      </c>
      <c r="U350" s="35" t="s">
        <v>545</v>
      </c>
      <c r="V350" s="15"/>
      <c r="W350" s="15"/>
    </row>
    <row r="351" ht="15.75" customHeight="1">
      <c r="A351" s="34">
        <v>29.0</v>
      </c>
      <c r="B351" s="34">
        <v>13.0</v>
      </c>
      <c r="C351" s="126">
        <v>680.0</v>
      </c>
      <c r="D351" s="127">
        <v>46218.0</v>
      </c>
      <c r="E351" s="92">
        <v>1.0</v>
      </c>
      <c r="F351" s="8" t="s">
        <v>31</v>
      </c>
      <c r="G351" s="92" t="s">
        <v>441</v>
      </c>
      <c r="H351" s="93">
        <v>14.0</v>
      </c>
      <c r="I351" s="94"/>
      <c r="J351" s="92" t="s">
        <v>150</v>
      </c>
      <c r="K351" s="35" t="s">
        <v>50</v>
      </c>
      <c r="L351" s="95" t="s">
        <v>439</v>
      </c>
      <c r="M351" s="95" t="s">
        <v>442</v>
      </c>
      <c r="N351" s="96" t="s">
        <v>189</v>
      </c>
      <c r="O351" s="8"/>
      <c r="P351" s="92" t="s">
        <v>283</v>
      </c>
      <c r="Q351" s="41">
        <v>5900.0</v>
      </c>
      <c r="R351" s="15">
        <f>CARPETA!$Q351*CARPETA!$E351</f>
        <v>5900</v>
      </c>
      <c r="S351" s="15">
        <f>CARPETA!$R351*16%</f>
        <v>944</v>
      </c>
      <c r="T351" s="15">
        <f>CARPETA!$R351+CARPETA!$S351</f>
        <v>6844</v>
      </c>
      <c r="U351" s="35" t="s">
        <v>545</v>
      </c>
      <c r="V351" s="15"/>
      <c r="W351" s="15"/>
    </row>
    <row r="352" ht="15.75" customHeight="1">
      <c r="A352" s="34">
        <v>29.0</v>
      </c>
      <c r="B352" s="34">
        <v>14.0</v>
      </c>
      <c r="C352" s="126">
        <v>682.0</v>
      </c>
      <c r="D352" s="127">
        <v>46218.0</v>
      </c>
      <c r="E352" s="92">
        <v>1.0</v>
      </c>
      <c r="F352" s="8" t="s">
        <v>31</v>
      </c>
      <c r="G352" s="92" t="s">
        <v>444</v>
      </c>
      <c r="H352" s="93">
        <v>14.0</v>
      </c>
      <c r="I352" s="94"/>
      <c r="J352" s="92" t="s">
        <v>366</v>
      </c>
      <c r="K352" s="35" t="s">
        <v>50</v>
      </c>
      <c r="L352" s="95" t="s">
        <v>442</v>
      </c>
      <c r="M352" s="95" t="s">
        <v>445</v>
      </c>
      <c r="N352" s="96" t="s">
        <v>189</v>
      </c>
      <c r="O352" s="8"/>
      <c r="P352" s="92" t="s">
        <v>283</v>
      </c>
      <c r="Q352" s="41">
        <v>5900.0</v>
      </c>
      <c r="R352" s="15">
        <f>CARPETA!$Q352*CARPETA!$E352</f>
        <v>5900</v>
      </c>
      <c r="S352" s="15">
        <f>CARPETA!$R352*16%</f>
        <v>944</v>
      </c>
      <c r="T352" s="15">
        <f>CARPETA!$R352+CARPETA!$S352</f>
        <v>6844</v>
      </c>
      <c r="U352" s="35" t="s">
        <v>545</v>
      </c>
      <c r="V352" s="15"/>
      <c r="W352" s="15"/>
    </row>
    <row r="353" ht="15.75" customHeight="1">
      <c r="A353" s="34">
        <v>29.0</v>
      </c>
      <c r="B353" s="34">
        <v>15.0</v>
      </c>
      <c r="C353" s="126">
        <v>683.0</v>
      </c>
      <c r="D353" s="127">
        <v>46218.0</v>
      </c>
      <c r="E353" s="92">
        <v>1.0</v>
      </c>
      <c r="F353" s="8" t="s">
        <v>31</v>
      </c>
      <c r="G353" s="92" t="s">
        <v>447</v>
      </c>
      <c r="H353" s="93">
        <v>14.0</v>
      </c>
      <c r="I353" s="94"/>
      <c r="J353" s="92" t="s">
        <v>122</v>
      </c>
      <c r="K353" s="35" t="s">
        <v>50</v>
      </c>
      <c r="L353" s="95" t="s">
        <v>445</v>
      </c>
      <c r="M353" s="95" t="s">
        <v>448</v>
      </c>
      <c r="N353" s="96" t="s">
        <v>189</v>
      </c>
      <c r="O353" s="8"/>
      <c r="P353" s="92" t="s">
        <v>283</v>
      </c>
      <c r="Q353" s="41">
        <v>5900.0</v>
      </c>
      <c r="R353" s="15">
        <f>CARPETA!$Q353*CARPETA!$E353</f>
        <v>5900</v>
      </c>
      <c r="S353" s="15">
        <f>CARPETA!$R353*16%</f>
        <v>944</v>
      </c>
      <c r="T353" s="15">
        <f>CARPETA!$R353+CARPETA!$S353</f>
        <v>6844</v>
      </c>
      <c r="U353" s="35" t="s">
        <v>545</v>
      </c>
      <c r="V353" s="15"/>
      <c r="W353" s="15"/>
    </row>
    <row r="354" ht="15.75" customHeight="1">
      <c r="A354" s="34">
        <v>29.0</v>
      </c>
      <c r="B354" s="34">
        <v>16.0</v>
      </c>
      <c r="C354" s="126">
        <v>689.0</v>
      </c>
      <c r="D354" s="127">
        <v>46219.0</v>
      </c>
      <c r="E354" s="92">
        <v>1.0</v>
      </c>
      <c r="F354" s="8" t="s">
        <v>31</v>
      </c>
      <c r="G354" s="92" t="s">
        <v>320</v>
      </c>
      <c r="H354" s="93">
        <v>14.0</v>
      </c>
      <c r="I354" s="94"/>
      <c r="J354" s="92" t="s">
        <v>321</v>
      </c>
      <c r="K354" s="35" t="s">
        <v>50</v>
      </c>
      <c r="L354" s="95" t="s">
        <v>402</v>
      </c>
      <c r="M354" s="95" t="s">
        <v>450</v>
      </c>
      <c r="N354" s="96" t="s">
        <v>189</v>
      </c>
      <c r="O354" s="8"/>
      <c r="P354" s="94"/>
      <c r="Q354" s="41">
        <v>5900.0</v>
      </c>
      <c r="R354" s="15">
        <f>CARPETA!$Q354*CARPETA!$E354</f>
        <v>5900</v>
      </c>
      <c r="S354" s="15">
        <f>CARPETA!$R354*16%</f>
        <v>944</v>
      </c>
      <c r="T354" s="15">
        <f>CARPETA!$R354+CARPETA!$S354</f>
        <v>6844</v>
      </c>
      <c r="U354" s="35" t="s">
        <v>545</v>
      </c>
      <c r="V354" s="15"/>
      <c r="W354" s="15"/>
    </row>
    <row r="355" ht="15.75" customHeight="1">
      <c r="A355" s="34">
        <v>29.0</v>
      </c>
      <c r="B355" s="34">
        <v>17.0</v>
      </c>
      <c r="C355" s="126">
        <v>690.0</v>
      </c>
      <c r="D355" s="127">
        <v>46219.0</v>
      </c>
      <c r="E355" s="92">
        <v>1.0</v>
      </c>
      <c r="F355" s="8" t="s">
        <v>31</v>
      </c>
      <c r="G355" s="92" t="s">
        <v>295</v>
      </c>
      <c r="H355" s="93">
        <v>14.0</v>
      </c>
      <c r="I355" s="94"/>
      <c r="J355" s="92" t="s">
        <v>118</v>
      </c>
      <c r="K355" s="35" t="s">
        <v>50</v>
      </c>
      <c r="L355" s="95" t="s">
        <v>450</v>
      </c>
      <c r="M355" s="95" t="s">
        <v>452</v>
      </c>
      <c r="N355" s="96" t="s">
        <v>189</v>
      </c>
      <c r="O355" s="8"/>
      <c r="P355" s="94"/>
      <c r="Q355" s="41">
        <v>5900.0</v>
      </c>
      <c r="R355" s="15">
        <f>CARPETA!$Q355*CARPETA!$E355</f>
        <v>5900</v>
      </c>
      <c r="S355" s="15">
        <f>CARPETA!$R355*16%</f>
        <v>944</v>
      </c>
      <c r="T355" s="15">
        <f>CARPETA!$R355+CARPETA!$S355</f>
        <v>6844</v>
      </c>
      <c r="U355" s="35" t="s">
        <v>545</v>
      </c>
      <c r="V355" s="15"/>
      <c r="W355" s="15"/>
    </row>
    <row r="356" ht="15.75" customHeight="1">
      <c r="A356" s="34">
        <v>29.0</v>
      </c>
      <c r="B356" s="34">
        <v>18.0</v>
      </c>
      <c r="C356" s="126">
        <v>691.0</v>
      </c>
      <c r="D356" s="127">
        <v>46219.0</v>
      </c>
      <c r="E356" s="92">
        <v>1.0</v>
      </c>
      <c r="F356" s="8" t="s">
        <v>31</v>
      </c>
      <c r="G356" s="92" t="s">
        <v>300</v>
      </c>
      <c r="H356" s="93">
        <v>14.0</v>
      </c>
      <c r="I356" s="94"/>
      <c r="J356" s="92" t="s">
        <v>114</v>
      </c>
      <c r="K356" s="35" t="s">
        <v>50</v>
      </c>
      <c r="L356" s="95" t="s">
        <v>452</v>
      </c>
      <c r="M356" s="95" t="s">
        <v>455</v>
      </c>
      <c r="N356" s="96" t="s">
        <v>189</v>
      </c>
      <c r="O356" s="8"/>
      <c r="P356" s="94"/>
      <c r="Q356" s="41">
        <v>5900.0</v>
      </c>
      <c r="R356" s="15">
        <f>CARPETA!$Q356*CARPETA!$E356</f>
        <v>5900</v>
      </c>
      <c r="S356" s="15">
        <f>CARPETA!$R356*16%</f>
        <v>944</v>
      </c>
      <c r="T356" s="15">
        <f>CARPETA!$R356+CARPETA!$S356</f>
        <v>6844</v>
      </c>
      <c r="U356" s="35" t="s">
        <v>545</v>
      </c>
      <c r="V356" s="15"/>
      <c r="W356" s="15"/>
    </row>
    <row r="357" ht="15.75" customHeight="1">
      <c r="A357" s="34">
        <v>29.0</v>
      </c>
      <c r="B357" s="34">
        <v>19.0</v>
      </c>
      <c r="C357" s="126">
        <v>692.0</v>
      </c>
      <c r="D357" s="127">
        <v>46219.0</v>
      </c>
      <c r="E357" s="92">
        <v>1.0</v>
      </c>
      <c r="F357" s="8" t="s">
        <v>31</v>
      </c>
      <c r="G357" s="92" t="s">
        <v>456</v>
      </c>
      <c r="H357" s="93">
        <v>14.0</v>
      </c>
      <c r="I357" s="94"/>
      <c r="J357" s="92" t="s">
        <v>197</v>
      </c>
      <c r="K357" s="35" t="s">
        <v>50</v>
      </c>
      <c r="L357" s="95" t="s">
        <v>455</v>
      </c>
      <c r="M357" s="95" t="s">
        <v>458</v>
      </c>
      <c r="N357" s="96" t="s">
        <v>189</v>
      </c>
      <c r="O357" s="8"/>
      <c r="P357" s="94"/>
      <c r="Q357" s="41">
        <v>5900.0</v>
      </c>
      <c r="R357" s="15">
        <f>CARPETA!$Q357*CARPETA!$E357</f>
        <v>5900</v>
      </c>
      <c r="S357" s="15">
        <f>CARPETA!$R357*16%</f>
        <v>944</v>
      </c>
      <c r="T357" s="15">
        <f>CARPETA!$R357+CARPETA!$S357</f>
        <v>6844</v>
      </c>
      <c r="U357" s="35" t="s">
        <v>545</v>
      </c>
      <c r="V357" s="15"/>
      <c r="W357" s="15"/>
    </row>
    <row r="358" ht="15.75" customHeight="1">
      <c r="A358" s="34">
        <v>29.0</v>
      </c>
      <c r="B358" s="34">
        <v>20.0</v>
      </c>
      <c r="C358" s="126">
        <v>694.0</v>
      </c>
      <c r="D358" s="127">
        <v>46219.0</v>
      </c>
      <c r="E358" s="92">
        <v>1.0</v>
      </c>
      <c r="F358" s="8" t="s">
        <v>31</v>
      </c>
      <c r="G358" s="92" t="s">
        <v>368</v>
      </c>
      <c r="H358" s="93">
        <v>14.0</v>
      </c>
      <c r="I358" s="94"/>
      <c r="J358" s="92" t="s">
        <v>122</v>
      </c>
      <c r="K358" s="35" t="s">
        <v>50</v>
      </c>
      <c r="L358" s="95" t="s">
        <v>458</v>
      </c>
      <c r="M358" s="95" t="s">
        <v>460</v>
      </c>
      <c r="N358" s="96" t="s">
        <v>189</v>
      </c>
      <c r="O358" s="8"/>
      <c r="P358" s="94"/>
      <c r="Q358" s="41">
        <v>5900.0</v>
      </c>
      <c r="R358" s="15">
        <f>CARPETA!$Q358*CARPETA!$E358</f>
        <v>5900</v>
      </c>
      <c r="S358" s="15">
        <f>CARPETA!$R358*16%</f>
        <v>944</v>
      </c>
      <c r="T358" s="15">
        <f>CARPETA!$R358+CARPETA!$S358</f>
        <v>6844</v>
      </c>
      <c r="U358" s="35" t="s">
        <v>545</v>
      </c>
      <c r="V358" s="15"/>
      <c r="W358" s="15"/>
    </row>
    <row r="359" ht="15.75" customHeight="1">
      <c r="A359" s="34">
        <v>29.0</v>
      </c>
      <c r="B359" s="34">
        <v>21.0</v>
      </c>
      <c r="C359" s="126">
        <v>693.0</v>
      </c>
      <c r="D359" s="127">
        <v>46219.0</v>
      </c>
      <c r="E359" s="92">
        <v>1.0</v>
      </c>
      <c r="F359" s="8" t="s">
        <v>31</v>
      </c>
      <c r="G359" s="92" t="s">
        <v>461</v>
      </c>
      <c r="H359" s="93">
        <v>14.0</v>
      </c>
      <c r="I359" s="94"/>
      <c r="J359" s="92" t="s">
        <v>208</v>
      </c>
      <c r="K359" s="35" t="s">
        <v>50</v>
      </c>
      <c r="L359" s="95" t="s">
        <v>460</v>
      </c>
      <c r="M359" s="95" t="s">
        <v>432</v>
      </c>
      <c r="N359" s="96" t="s">
        <v>189</v>
      </c>
      <c r="O359" s="8"/>
      <c r="P359" s="94"/>
      <c r="Q359" s="41">
        <v>5900.0</v>
      </c>
      <c r="R359" s="15">
        <f>CARPETA!$Q359*CARPETA!$E359</f>
        <v>5900</v>
      </c>
      <c r="S359" s="15">
        <f>CARPETA!$R359*16%</f>
        <v>944</v>
      </c>
      <c r="T359" s="15">
        <f>CARPETA!$R359+CARPETA!$S359</f>
        <v>6844</v>
      </c>
      <c r="U359" s="35" t="s">
        <v>545</v>
      </c>
      <c r="V359" s="15"/>
      <c r="W359" s="15"/>
    </row>
    <row r="360" ht="15.75" customHeight="1">
      <c r="A360" s="34">
        <v>29.0</v>
      </c>
      <c r="B360" s="34">
        <v>22.0</v>
      </c>
      <c r="C360" s="126">
        <v>696.0</v>
      </c>
      <c r="D360" s="127">
        <v>46219.0</v>
      </c>
      <c r="E360" s="92">
        <v>1.0</v>
      </c>
      <c r="F360" s="8" t="s">
        <v>31</v>
      </c>
      <c r="G360" s="92" t="s">
        <v>251</v>
      </c>
      <c r="H360" s="93">
        <v>14.0</v>
      </c>
      <c r="I360" s="94"/>
      <c r="J360" s="92" t="s">
        <v>313</v>
      </c>
      <c r="K360" s="35" t="s">
        <v>50</v>
      </c>
      <c r="L360" s="95" t="s">
        <v>432</v>
      </c>
      <c r="M360" s="95" t="s">
        <v>464</v>
      </c>
      <c r="N360" s="96" t="s">
        <v>189</v>
      </c>
      <c r="O360" s="8"/>
      <c r="P360" s="94"/>
      <c r="Q360" s="41">
        <v>5900.0</v>
      </c>
      <c r="R360" s="15">
        <f>CARPETA!$Q360*CARPETA!$E360</f>
        <v>5900</v>
      </c>
      <c r="S360" s="15">
        <f>CARPETA!$R360*16%</f>
        <v>944</v>
      </c>
      <c r="T360" s="15">
        <f>CARPETA!$R360+CARPETA!$S360</f>
        <v>6844</v>
      </c>
      <c r="U360" s="35" t="s">
        <v>545</v>
      </c>
      <c r="V360" s="15"/>
      <c r="W360" s="15"/>
    </row>
    <row r="361" ht="15.75" customHeight="1">
      <c r="A361" s="34">
        <v>29.0</v>
      </c>
      <c r="B361" s="34">
        <v>23.0</v>
      </c>
      <c r="C361" s="126">
        <v>695.0</v>
      </c>
      <c r="D361" s="127">
        <v>46219.0</v>
      </c>
      <c r="E361" s="92">
        <v>1.0</v>
      </c>
      <c r="F361" s="8" t="s">
        <v>31</v>
      </c>
      <c r="G361" s="92" t="s">
        <v>465</v>
      </c>
      <c r="H361" s="93">
        <v>14.0</v>
      </c>
      <c r="I361" s="94"/>
      <c r="J361" s="92" t="s">
        <v>467</v>
      </c>
      <c r="K361" s="35" t="s">
        <v>50</v>
      </c>
      <c r="L361" s="95" t="s">
        <v>464</v>
      </c>
      <c r="M361" s="95" t="s">
        <v>434</v>
      </c>
      <c r="N361" s="96" t="s">
        <v>189</v>
      </c>
      <c r="O361" s="8"/>
      <c r="P361" s="94"/>
      <c r="Q361" s="41">
        <v>5900.0</v>
      </c>
      <c r="R361" s="15">
        <f>CARPETA!$Q361*CARPETA!$E361</f>
        <v>5900</v>
      </c>
      <c r="S361" s="15">
        <f>CARPETA!$R361*16%</f>
        <v>944</v>
      </c>
      <c r="T361" s="15">
        <f>CARPETA!$R361+CARPETA!$S361</f>
        <v>6844</v>
      </c>
      <c r="U361" s="35" t="s">
        <v>545</v>
      </c>
      <c r="V361" s="15"/>
      <c r="W361" s="15"/>
    </row>
    <row r="362" ht="15.75" customHeight="1">
      <c r="A362" s="34">
        <v>29.0</v>
      </c>
      <c r="B362" s="34">
        <v>24.0</v>
      </c>
      <c r="C362" s="126">
        <v>697.0</v>
      </c>
      <c r="D362" s="127">
        <v>46219.0</v>
      </c>
      <c r="E362" s="92">
        <v>1.0</v>
      </c>
      <c r="F362" s="8" t="s">
        <v>31</v>
      </c>
      <c r="G362" s="92" t="s">
        <v>468</v>
      </c>
      <c r="H362" s="93">
        <v>14.0</v>
      </c>
      <c r="I362" s="94"/>
      <c r="J362" s="92" t="s">
        <v>472</v>
      </c>
      <c r="K362" s="35" t="s">
        <v>50</v>
      </c>
      <c r="L362" s="95" t="s">
        <v>434</v>
      </c>
      <c r="M362" s="95" t="s">
        <v>473</v>
      </c>
      <c r="N362" s="96" t="s">
        <v>189</v>
      </c>
      <c r="O362" s="8"/>
      <c r="P362" s="94"/>
      <c r="Q362" s="41">
        <v>5900.0</v>
      </c>
      <c r="R362" s="15">
        <f>CARPETA!$Q362*CARPETA!$E362</f>
        <v>5900</v>
      </c>
      <c r="S362" s="15">
        <f>CARPETA!$R362*16%</f>
        <v>944</v>
      </c>
      <c r="T362" s="15">
        <f>CARPETA!$R362+CARPETA!$S362</f>
        <v>6844</v>
      </c>
      <c r="U362" s="35" t="s">
        <v>545</v>
      </c>
      <c r="V362" s="15"/>
      <c r="W362" s="15"/>
    </row>
    <row r="363" ht="15.75" customHeight="1">
      <c r="A363" s="34">
        <v>29.0</v>
      </c>
      <c r="B363" s="34">
        <v>25.0</v>
      </c>
      <c r="C363" s="126">
        <v>698.0</v>
      </c>
      <c r="D363" s="127">
        <v>46219.0</v>
      </c>
      <c r="E363" s="92">
        <v>1.0</v>
      </c>
      <c r="F363" s="8" t="s">
        <v>31</v>
      </c>
      <c r="G363" s="92" t="s">
        <v>474</v>
      </c>
      <c r="H363" s="93">
        <v>14.0</v>
      </c>
      <c r="I363" s="94"/>
      <c r="J363" s="92" t="s">
        <v>476</v>
      </c>
      <c r="K363" s="35" t="s">
        <v>50</v>
      </c>
      <c r="L363" s="95" t="s">
        <v>473</v>
      </c>
      <c r="M363" s="95" t="s">
        <v>477</v>
      </c>
      <c r="N363" s="96" t="s">
        <v>189</v>
      </c>
      <c r="O363" s="8"/>
      <c r="P363" s="94"/>
      <c r="Q363" s="41">
        <v>5900.0</v>
      </c>
      <c r="R363" s="15">
        <f>CARPETA!$Q363*CARPETA!$E363</f>
        <v>5900</v>
      </c>
      <c r="S363" s="15">
        <f>CARPETA!$R363*16%</f>
        <v>944</v>
      </c>
      <c r="T363" s="15">
        <f>CARPETA!$R363+CARPETA!$S363</f>
        <v>6844</v>
      </c>
      <c r="U363" s="35" t="s">
        <v>545</v>
      </c>
      <c r="V363" s="15"/>
      <c r="W363" s="15"/>
    </row>
    <row r="364" ht="15.75" customHeight="1">
      <c r="A364" s="34">
        <v>29.0</v>
      </c>
      <c r="B364" s="34">
        <v>26.0</v>
      </c>
      <c r="C364" s="126">
        <v>699.0</v>
      </c>
      <c r="D364" s="127">
        <v>46219.0</v>
      </c>
      <c r="E364" s="92">
        <v>1.0</v>
      </c>
      <c r="F364" s="8" t="s">
        <v>31</v>
      </c>
      <c r="G364" s="92" t="s">
        <v>480</v>
      </c>
      <c r="H364" s="93">
        <v>14.0</v>
      </c>
      <c r="I364" s="94"/>
      <c r="J364" s="92" t="s">
        <v>284</v>
      </c>
      <c r="K364" s="35" t="s">
        <v>50</v>
      </c>
      <c r="L364" s="95" t="s">
        <v>477</v>
      </c>
      <c r="M364" s="95" t="s">
        <v>481</v>
      </c>
      <c r="N364" s="96" t="s">
        <v>189</v>
      </c>
      <c r="O364" s="8"/>
      <c r="P364" s="94"/>
      <c r="Q364" s="41">
        <v>5900.0</v>
      </c>
      <c r="R364" s="15">
        <f>CARPETA!$Q364*CARPETA!$E364</f>
        <v>5900</v>
      </c>
      <c r="S364" s="15">
        <f>CARPETA!$R364*16%</f>
        <v>944</v>
      </c>
      <c r="T364" s="15">
        <f>CARPETA!$R364+CARPETA!$S364</f>
        <v>6844</v>
      </c>
      <c r="U364" s="35" t="s">
        <v>545</v>
      </c>
      <c r="V364" s="15"/>
      <c r="W364" s="15"/>
    </row>
    <row r="365" ht="15.75" hidden="1" customHeight="1">
      <c r="A365" s="34">
        <v>29.0</v>
      </c>
      <c r="B365" s="34">
        <v>27.0</v>
      </c>
      <c r="C365" s="92">
        <v>700.0</v>
      </c>
      <c r="D365" s="91">
        <v>46219.0</v>
      </c>
      <c r="E365" s="92">
        <v>1.0</v>
      </c>
      <c r="F365" s="8" t="s">
        <v>31</v>
      </c>
      <c r="G365" s="92" t="s">
        <v>484</v>
      </c>
      <c r="H365" s="93">
        <v>14.0</v>
      </c>
      <c r="I365" s="94"/>
      <c r="J365" s="92" t="s">
        <v>485</v>
      </c>
      <c r="K365" s="35" t="s">
        <v>36</v>
      </c>
      <c r="L365" s="98" t="s">
        <v>481</v>
      </c>
      <c r="M365" s="95" t="s">
        <v>486</v>
      </c>
      <c r="N365" s="96" t="s">
        <v>189</v>
      </c>
      <c r="O365" s="8"/>
      <c r="P365" s="94"/>
      <c r="Q365" s="15"/>
      <c r="R365" s="15">
        <f>CARPETA!$Q365*CARPETA!$E365</f>
        <v>0</v>
      </c>
      <c r="S365" s="15">
        <f>CARPETA!$R365*16%</f>
        <v>0</v>
      </c>
      <c r="T365" s="15">
        <f>CARPETA!$R365+CARPETA!$S365</f>
        <v>0</v>
      </c>
      <c r="U365" s="35" t="s">
        <v>695</v>
      </c>
      <c r="V365" s="15"/>
      <c r="W365" s="15"/>
    </row>
    <row r="366" ht="15.75" customHeight="1">
      <c r="A366" s="34">
        <v>29.0</v>
      </c>
      <c r="B366" s="34">
        <v>28.0</v>
      </c>
      <c r="C366" s="126">
        <v>701.0</v>
      </c>
      <c r="D366" s="127">
        <v>46219.0</v>
      </c>
      <c r="E366" s="92">
        <v>1.0</v>
      </c>
      <c r="F366" s="8" t="s">
        <v>31</v>
      </c>
      <c r="G366" s="92" t="s">
        <v>488</v>
      </c>
      <c r="H366" s="93">
        <v>14.0</v>
      </c>
      <c r="I366" s="94"/>
      <c r="J366" s="92" t="s">
        <v>195</v>
      </c>
      <c r="K366" s="35" t="s">
        <v>50</v>
      </c>
      <c r="L366" s="95" t="s">
        <v>486</v>
      </c>
      <c r="M366" s="96" t="s">
        <v>490</v>
      </c>
      <c r="N366" s="96" t="s">
        <v>189</v>
      </c>
      <c r="O366" s="8"/>
      <c r="P366" s="94"/>
      <c r="Q366" s="41">
        <v>5900.0</v>
      </c>
      <c r="R366" s="15">
        <f>CARPETA!$Q366*CARPETA!$E366</f>
        <v>5900</v>
      </c>
      <c r="S366" s="15">
        <f>CARPETA!$R366*16%</f>
        <v>944</v>
      </c>
      <c r="T366" s="15">
        <f>CARPETA!$R366+CARPETA!$S366</f>
        <v>6844</v>
      </c>
      <c r="U366" s="35" t="s">
        <v>545</v>
      </c>
      <c r="V366" s="15"/>
      <c r="W366" s="15"/>
    </row>
    <row r="367" ht="15.75" customHeight="1">
      <c r="A367" s="34">
        <v>29.0</v>
      </c>
      <c r="B367" s="34">
        <v>29.0</v>
      </c>
      <c r="C367" s="126">
        <v>702.0</v>
      </c>
      <c r="D367" s="127">
        <v>46219.0</v>
      </c>
      <c r="E367" s="92">
        <v>1.0</v>
      </c>
      <c r="F367" s="8" t="s">
        <v>31</v>
      </c>
      <c r="G367" s="92" t="s">
        <v>201</v>
      </c>
      <c r="H367" s="93">
        <v>14.0</v>
      </c>
      <c r="I367" s="94"/>
      <c r="J367" s="92" t="s">
        <v>493</v>
      </c>
      <c r="K367" s="35" t="s">
        <v>50</v>
      </c>
      <c r="L367" s="96" t="s">
        <v>490</v>
      </c>
      <c r="M367" s="96" t="s">
        <v>494</v>
      </c>
      <c r="N367" s="96" t="s">
        <v>189</v>
      </c>
      <c r="O367" s="8"/>
      <c r="P367" s="94"/>
      <c r="Q367" s="41">
        <v>5900.0</v>
      </c>
      <c r="R367" s="15">
        <f>CARPETA!$Q367*CARPETA!$E367</f>
        <v>5900</v>
      </c>
      <c r="S367" s="15">
        <f>CARPETA!$R367*16%</f>
        <v>944</v>
      </c>
      <c r="T367" s="15">
        <f>CARPETA!$R367+CARPETA!$S367</f>
        <v>6844</v>
      </c>
      <c r="U367" s="35" t="s">
        <v>545</v>
      </c>
      <c r="V367" s="15"/>
      <c r="W367" s="15"/>
    </row>
    <row r="368" ht="15.75" customHeight="1">
      <c r="A368" s="34">
        <v>29.0</v>
      </c>
      <c r="B368" s="34">
        <v>30.0</v>
      </c>
      <c r="C368" s="126">
        <v>703.0</v>
      </c>
      <c r="D368" s="127">
        <v>46219.0</v>
      </c>
      <c r="E368" s="92">
        <v>1.0</v>
      </c>
      <c r="F368" s="8" t="s">
        <v>31</v>
      </c>
      <c r="G368" s="92" t="s">
        <v>497</v>
      </c>
      <c r="H368" s="93">
        <v>14.0</v>
      </c>
      <c r="I368" s="94"/>
      <c r="J368" s="92" t="s">
        <v>498</v>
      </c>
      <c r="K368" s="35" t="s">
        <v>50</v>
      </c>
      <c r="L368" s="96" t="s">
        <v>494</v>
      </c>
      <c r="M368" s="96" t="s">
        <v>499</v>
      </c>
      <c r="N368" s="96" t="s">
        <v>189</v>
      </c>
      <c r="O368" s="8"/>
      <c r="P368" s="94"/>
      <c r="Q368" s="41">
        <v>5900.0</v>
      </c>
      <c r="R368" s="15">
        <f>CARPETA!$Q368*CARPETA!$E368</f>
        <v>5900</v>
      </c>
      <c r="S368" s="15">
        <f>CARPETA!$R368*16%</f>
        <v>944</v>
      </c>
      <c r="T368" s="15">
        <f>CARPETA!$R368+CARPETA!$S368</f>
        <v>6844</v>
      </c>
      <c r="U368" s="35" t="s">
        <v>545</v>
      </c>
      <c r="V368" s="15"/>
      <c r="W368" s="15"/>
    </row>
    <row r="369" ht="15.75" hidden="1" customHeight="1">
      <c r="A369" s="34">
        <v>29.0</v>
      </c>
      <c r="B369" s="34">
        <v>31.0</v>
      </c>
      <c r="C369" s="99">
        <v>704.0</v>
      </c>
      <c r="D369" s="91">
        <v>46219.0</v>
      </c>
      <c r="E369" s="92">
        <v>1.0</v>
      </c>
      <c r="F369" s="92" t="s">
        <v>157</v>
      </c>
      <c r="G369" s="92" t="s">
        <v>162</v>
      </c>
      <c r="H369" s="93">
        <v>14.0</v>
      </c>
      <c r="I369" s="94"/>
      <c r="J369" s="92" t="s">
        <v>83</v>
      </c>
      <c r="K369" s="35" t="s">
        <v>36</v>
      </c>
      <c r="L369" s="95" t="s">
        <v>499</v>
      </c>
      <c r="M369" s="95" t="s">
        <v>503</v>
      </c>
      <c r="N369" s="96" t="s">
        <v>189</v>
      </c>
      <c r="O369" s="8"/>
      <c r="P369" s="94"/>
      <c r="Q369" s="41">
        <v>3705.0</v>
      </c>
      <c r="R369" s="15">
        <f>CARPETA!$Q369*CARPETA!$E369</f>
        <v>3705</v>
      </c>
      <c r="S369" s="15">
        <f>CARPETA!$R369*16%</f>
        <v>592.8</v>
      </c>
      <c r="T369" s="15">
        <f>CARPETA!$R369+CARPETA!$S369</f>
        <v>4297.8</v>
      </c>
      <c r="U369" s="52" t="s">
        <v>504</v>
      </c>
      <c r="V369" s="15"/>
      <c r="W369" s="15"/>
    </row>
    <row r="370" ht="15.75" hidden="1" customHeight="1">
      <c r="A370" s="34">
        <v>29.0</v>
      </c>
      <c r="B370" s="34">
        <v>32.0</v>
      </c>
      <c r="C370" s="99">
        <v>705.0</v>
      </c>
      <c r="D370" s="91">
        <v>46219.0</v>
      </c>
      <c r="E370" s="92">
        <v>1.0</v>
      </c>
      <c r="F370" s="92" t="s">
        <v>157</v>
      </c>
      <c r="G370" s="92" t="s">
        <v>374</v>
      </c>
      <c r="H370" s="93">
        <v>14.0</v>
      </c>
      <c r="I370" s="94"/>
      <c r="J370" s="92" t="s">
        <v>81</v>
      </c>
      <c r="K370" s="35" t="s">
        <v>36</v>
      </c>
      <c r="L370" s="95" t="s">
        <v>503</v>
      </c>
      <c r="M370" s="95" t="s">
        <v>506</v>
      </c>
      <c r="N370" s="96" t="s">
        <v>189</v>
      </c>
      <c r="O370" s="8"/>
      <c r="P370" s="94"/>
      <c r="Q370" s="41">
        <v>3705.0</v>
      </c>
      <c r="R370" s="15">
        <f>CARPETA!$Q370*CARPETA!$E370</f>
        <v>3705</v>
      </c>
      <c r="S370" s="15">
        <f>CARPETA!$R370*16%</f>
        <v>592.8</v>
      </c>
      <c r="T370" s="15">
        <f>CARPETA!$R370+CARPETA!$S370</f>
        <v>4297.8</v>
      </c>
      <c r="U370" s="52" t="s">
        <v>504</v>
      </c>
      <c r="V370" s="15"/>
      <c r="W370" s="15"/>
    </row>
    <row r="371" ht="15.75" hidden="1" customHeight="1">
      <c r="A371" s="34">
        <v>29.0</v>
      </c>
      <c r="B371" s="34">
        <v>33.0</v>
      </c>
      <c r="C371" s="99">
        <v>707.0</v>
      </c>
      <c r="D371" s="100">
        <v>46219.0</v>
      </c>
      <c r="E371" s="92">
        <v>1.0</v>
      </c>
      <c r="F371" s="92" t="s">
        <v>157</v>
      </c>
      <c r="G371" s="92" t="s">
        <v>508</v>
      </c>
      <c r="H371" s="93">
        <v>14.0</v>
      </c>
      <c r="I371" s="94"/>
      <c r="J371" s="92" t="s">
        <v>106</v>
      </c>
      <c r="K371" s="35" t="s">
        <v>36</v>
      </c>
      <c r="L371" s="101" t="s">
        <v>506</v>
      </c>
      <c r="M371" s="101" t="s">
        <v>509</v>
      </c>
      <c r="N371" s="92" t="s">
        <v>189</v>
      </c>
      <c r="O371" s="8"/>
      <c r="P371" s="94"/>
      <c r="Q371" s="41">
        <v>3705.0</v>
      </c>
      <c r="R371" s="15">
        <f>CARPETA!$Q371*CARPETA!$E371</f>
        <v>3705</v>
      </c>
      <c r="S371" s="15">
        <f>CARPETA!$R371*16%</f>
        <v>592.8</v>
      </c>
      <c r="T371" s="15">
        <f>CARPETA!$R371+CARPETA!$S371</f>
        <v>4297.8</v>
      </c>
      <c r="U371" s="52" t="s">
        <v>504</v>
      </c>
      <c r="V371" s="15"/>
      <c r="W371" s="15"/>
    </row>
    <row r="372" ht="15.75" hidden="1" customHeight="1">
      <c r="A372" s="34">
        <v>29.0</v>
      </c>
      <c r="B372" s="34">
        <v>34.0</v>
      </c>
      <c r="C372" s="99">
        <v>706.0</v>
      </c>
      <c r="D372" s="100">
        <v>46219.0</v>
      </c>
      <c r="E372" s="92">
        <v>1.0</v>
      </c>
      <c r="F372" s="92" t="s">
        <v>157</v>
      </c>
      <c r="G372" s="92" t="s">
        <v>405</v>
      </c>
      <c r="H372" s="93">
        <v>14.0</v>
      </c>
      <c r="I372" s="94"/>
      <c r="J372" s="92" t="s">
        <v>216</v>
      </c>
      <c r="K372" s="35" t="s">
        <v>36</v>
      </c>
      <c r="L372" s="101" t="s">
        <v>509</v>
      </c>
      <c r="M372" s="101" t="s">
        <v>511</v>
      </c>
      <c r="N372" s="92" t="s">
        <v>189</v>
      </c>
      <c r="O372" s="8"/>
      <c r="P372" s="94"/>
      <c r="Q372" s="41">
        <v>3705.0</v>
      </c>
      <c r="R372" s="15">
        <f>CARPETA!$Q372*CARPETA!$E372</f>
        <v>3705</v>
      </c>
      <c r="S372" s="15">
        <f>CARPETA!$R372*16%</f>
        <v>592.8</v>
      </c>
      <c r="T372" s="15">
        <f>CARPETA!$R372+CARPETA!$S372</f>
        <v>4297.8</v>
      </c>
      <c r="U372" s="52" t="s">
        <v>504</v>
      </c>
      <c r="V372" s="15"/>
      <c r="W372" s="15"/>
    </row>
    <row r="373" ht="15.75" customHeight="1">
      <c r="A373" s="34">
        <v>29.0</v>
      </c>
      <c r="B373" s="34">
        <v>35.0</v>
      </c>
      <c r="C373" s="126">
        <v>708.0</v>
      </c>
      <c r="D373" s="130">
        <v>46219.0</v>
      </c>
      <c r="E373" s="92">
        <v>1.0</v>
      </c>
      <c r="F373" s="8" t="s">
        <v>31</v>
      </c>
      <c r="G373" s="92" t="s">
        <v>295</v>
      </c>
      <c r="H373" s="93">
        <v>14.0</v>
      </c>
      <c r="I373" s="94"/>
      <c r="J373" s="92" t="s">
        <v>118</v>
      </c>
      <c r="K373" s="35" t="s">
        <v>50</v>
      </c>
      <c r="L373" s="93" t="s">
        <v>511</v>
      </c>
      <c r="M373" s="93" t="s">
        <v>515</v>
      </c>
      <c r="N373" s="92" t="s">
        <v>189</v>
      </c>
      <c r="O373" s="8"/>
      <c r="P373" s="94"/>
      <c r="Q373" s="41">
        <v>5900.0</v>
      </c>
      <c r="R373" s="15">
        <f>CARPETA!$Q373*CARPETA!$E373</f>
        <v>5900</v>
      </c>
      <c r="S373" s="15">
        <f>CARPETA!$R373*16%</f>
        <v>944</v>
      </c>
      <c r="T373" s="15">
        <f>CARPETA!$R373+CARPETA!$S373</f>
        <v>6844</v>
      </c>
      <c r="U373" s="35" t="s">
        <v>545</v>
      </c>
      <c r="V373" s="102"/>
      <c r="W373" s="102"/>
      <c r="X373" s="103"/>
      <c r="Y373" s="103"/>
      <c r="Z373" s="103"/>
    </row>
    <row r="374" ht="15.75" customHeight="1">
      <c r="A374" s="34">
        <v>29.0</v>
      </c>
      <c r="B374" s="34">
        <v>36.0</v>
      </c>
      <c r="C374" s="126">
        <v>709.0</v>
      </c>
      <c r="D374" s="130">
        <v>46219.0</v>
      </c>
      <c r="E374" s="92">
        <v>1.0</v>
      </c>
      <c r="F374" s="8" t="s">
        <v>31</v>
      </c>
      <c r="G374" s="92" t="s">
        <v>517</v>
      </c>
      <c r="H374" s="93">
        <v>14.0</v>
      </c>
      <c r="I374" s="94"/>
      <c r="J374" s="92" t="s">
        <v>114</v>
      </c>
      <c r="K374" s="35" t="s">
        <v>50</v>
      </c>
      <c r="L374" s="93" t="s">
        <v>515</v>
      </c>
      <c r="M374" s="93" t="s">
        <v>519</v>
      </c>
      <c r="N374" s="92" t="s">
        <v>189</v>
      </c>
      <c r="O374" s="8"/>
      <c r="P374" s="94"/>
      <c r="Q374" s="41">
        <v>5900.0</v>
      </c>
      <c r="R374" s="15">
        <f>CARPETA!$Q374*CARPETA!$E374</f>
        <v>5900</v>
      </c>
      <c r="S374" s="15">
        <f>CARPETA!$R374*16%</f>
        <v>944</v>
      </c>
      <c r="T374" s="15">
        <f>CARPETA!$R374+CARPETA!$S374</f>
        <v>6844</v>
      </c>
      <c r="U374" s="35" t="s">
        <v>545</v>
      </c>
      <c r="V374" s="104"/>
      <c r="W374" s="104"/>
    </row>
    <row r="375" ht="15.75" customHeight="1">
      <c r="A375" s="34">
        <v>29.0</v>
      </c>
      <c r="B375" s="34">
        <v>37.0</v>
      </c>
      <c r="C375" s="126">
        <v>711.0</v>
      </c>
      <c r="D375" s="130">
        <v>46219.0</v>
      </c>
      <c r="E375" s="92">
        <v>1.0</v>
      </c>
      <c r="F375" s="8" t="s">
        <v>31</v>
      </c>
      <c r="G375" s="92" t="s">
        <v>456</v>
      </c>
      <c r="H375" s="93">
        <v>14.0</v>
      </c>
      <c r="I375" s="94"/>
      <c r="J375" s="92" t="s">
        <v>197</v>
      </c>
      <c r="K375" s="35" t="s">
        <v>50</v>
      </c>
      <c r="L375" s="93" t="s">
        <v>519</v>
      </c>
      <c r="M375" s="93" t="s">
        <v>521</v>
      </c>
      <c r="N375" s="92" t="s">
        <v>189</v>
      </c>
      <c r="O375" s="8"/>
      <c r="P375" s="94"/>
      <c r="Q375" s="41">
        <v>5900.0</v>
      </c>
      <c r="R375" s="15">
        <f>CARPETA!$Q375*CARPETA!$E375</f>
        <v>5900</v>
      </c>
      <c r="S375" s="15">
        <f>CARPETA!$R375*16%</f>
        <v>944</v>
      </c>
      <c r="T375" s="15">
        <f>CARPETA!$R375+CARPETA!$S375</f>
        <v>6844</v>
      </c>
      <c r="U375" s="35" t="s">
        <v>545</v>
      </c>
      <c r="V375" s="104"/>
      <c r="W375" s="104"/>
    </row>
    <row r="376" ht="15.75" customHeight="1">
      <c r="A376" s="34">
        <v>29.0</v>
      </c>
      <c r="B376" s="34">
        <v>38.0</v>
      </c>
      <c r="C376" s="126">
        <v>710.0</v>
      </c>
      <c r="D376" s="130">
        <v>46219.0</v>
      </c>
      <c r="E376" s="92">
        <v>1.0</v>
      </c>
      <c r="F376" s="8" t="s">
        <v>31</v>
      </c>
      <c r="G376" s="92" t="s">
        <v>320</v>
      </c>
      <c r="H376" s="93">
        <v>14.0</v>
      </c>
      <c r="I376" s="94"/>
      <c r="J376" s="92" t="s">
        <v>321</v>
      </c>
      <c r="K376" s="35" t="s">
        <v>50</v>
      </c>
      <c r="L376" s="93" t="s">
        <v>521</v>
      </c>
      <c r="M376" s="93" t="s">
        <v>525</v>
      </c>
      <c r="N376" s="92" t="s">
        <v>189</v>
      </c>
      <c r="O376" s="8"/>
      <c r="P376" s="94"/>
      <c r="Q376" s="41">
        <v>5900.0</v>
      </c>
      <c r="R376" s="15">
        <f>CARPETA!$Q376*CARPETA!$E376</f>
        <v>5900</v>
      </c>
      <c r="S376" s="15">
        <f>CARPETA!$R376*16%</f>
        <v>944</v>
      </c>
      <c r="T376" s="15">
        <f>CARPETA!$R376+CARPETA!$S376</f>
        <v>6844</v>
      </c>
      <c r="U376" s="35" t="s">
        <v>545</v>
      </c>
      <c r="V376" s="104"/>
      <c r="W376" s="104"/>
    </row>
    <row r="377" ht="15.75" customHeight="1">
      <c r="A377" s="34">
        <v>29.0</v>
      </c>
      <c r="B377" s="34">
        <v>39.0</v>
      </c>
      <c r="C377" s="126">
        <v>712.0</v>
      </c>
      <c r="D377" s="130">
        <v>46219.0</v>
      </c>
      <c r="E377" s="92">
        <v>1.0</v>
      </c>
      <c r="F377" s="8" t="s">
        <v>31</v>
      </c>
      <c r="G377" s="92" t="s">
        <v>368</v>
      </c>
      <c r="H377" s="93">
        <v>14.0</v>
      </c>
      <c r="I377" s="94"/>
      <c r="J377" s="92" t="s">
        <v>122</v>
      </c>
      <c r="K377" s="35" t="s">
        <v>50</v>
      </c>
      <c r="L377" s="93" t="s">
        <v>525</v>
      </c>
      <c r="M377" s="93" t="s">
        <v>529</v>
      </c>
      <c r="N377" s="92" t="s">
        <v>189</v>
      </c>
      <c r="O377" s="8"/>
      <c r="P377" s="94"/>
      <c r="Q377" s="41">
        <v>5900.0</v>
      </c>
      <c r="R377" s="15">
        <f>CARPETA!$Q377*CARPETA!$E377</f>
        <v>5900</v>
      </c>
      <c r="S377" s="15">
        <f>CARPETA!$R377*16%</f>
        <v>944</v>
      </c>
      <c r="T377" s="15">
        <f>CARPETA!$R377+CARPETA!$S377</f>
        <v>6844</v>
      </c>
      <c r="U377" s="35" t="s">
        <v>545</v>
      </c>
      <c r="V377" s="104"/>
      <c r="W377" s="104"/>
    </row>
    <row r="378" ht="15.75" customHeight="1">
      <c r="A378" s="34">
        <v>29.0</v>
      </c>
      <c r="B378" s="34">
        <v>40.0</v>
      </c>
      <c r="C378" s="126">
        <v>713.0</v>
      </c>
      <c r="D378" s="130">
        <v>46219.0</v>
      </c>
      <c r="E378" s="92">
        <v>1.0</v>
      </c>
      <c r="F378" s="8" t="s">
        <v>31</v>
      </c>
      <c r="G378" s="92" t="s">
        <v>461</v>
      </c>
      <c r="H378" s="93">
        <v>14.0</v>
      </c>
      <c r="I378" s="94"/>
      <c r="J378" s="92" t="s">
        <v>208</v>
      </c>
      <c r="K378" s="35" t="s">
        <v>50</v>
      </c>
      <c r="L378" s="93" t="s">
        <v>530</v>
      </c>
      <c r="M378" s="93" t="s">
        <v>531</v>
      </c>
      <c r="N378" s="92" t="s">
        <v>189</v>
      </c>
      <c r="O378" s="8"/>
      <c r="P378" s="94"/>
      <c r="Q378" s="41">
        <v>5900.0</v>
      </c>
      <c r="R378" s="15">
        <f>CARPETA!$Q378*CARPETA!$E378</f>
        <v>5900</v>
      </c>
      <c r="S378" s="15">
        <f>CARPETA!$R378*16%</f>
        <v>944</v>
      </c>
      <c r="T378" s="15">
        <f>CARPETA!$R378+CARPETA!$S378</f>
        <v>6844</v>
      </c>
      <c r="U378" s="35" t="s">
        <v>545</v>
      </c>
      <c r="V378" s="104"/>
      <c r="W378" s="104"/>
    </row>
    <row r="379" ht="15.75" customHeight="1">
      <c r="A379" s="34">
        <v>29.0</v>
      </c>
      <c r="B379" s="34">
        <v>41.0</v>
      </c>
      <c r="C379" s="126">
        <v>715.0</v>
      </c>
      <c r="D379" s="130">
        <v>46220.0</v>
      </c>
      <c r="E379" s="92">
        <v>1.0</v>
      </c>
      <c r="F379" s="8" t="s">
        <v>31</v>
      </c>
      <c r="G379" s="92" t="s">
        <v>533</v>
      </c>
      <c r="H379" s="93">
        <v>14.0</v>
      </c>
      <c r="I379" s="94"/>
      <c r="J379" s="92" t="s">
        <v>534</v>
      </c>
      <c r="K379" s="35" t="s">
        <v>50</v>
      </c>
      <c r="L379" s="93" t="s">
        <v>490</v>
      </c>
      <c r="M379" s="93" t="s">
        <v>535</v>
      </c>
      <c r="N379" s="92" t="s">
        <v>189</v>
      </c>
      <c r="O379" s="8"/>
      <c r="P379" s="94"/>
      <c r="Q379" s="41">
        <v>5900.0</v>
      </c>
      <c r="R379" s="15">
        <f>CARPETA!$Q379*CARPETA!$E379</f>
        <v>5900</v>
      </c>
      <c r="S379" s="15">
        <f>CARPETA!$R379*16%</f>
        <v>944</v>
      </c>
      <c r="T379" s="15">
        <f>CARPETA!$R379+CARPETA!$S379</f>
        <v>6844</v>
      </c>
      <c r="U379" s="35" t="s">
        <v>545</v>
      </c>
      <c r="V379" s="104"/>
      <c r="W379" s="104"/>
    </row>
    <row r="380" ht="15.75" customHeight="1">
      <c r="A380" s="34">
        <v>29.0</v>
      </c>
      <c r="B380" s="34">
        <v>42.0</v>
      </c>
      <c r="C380" s="126">
        <v>714.0</v>
      </c>
      <c r="D380" s="130">
        <v>46220.0</v>
      </c>
      <c r="E380" s="92">
        <v>1.0</v>
      </c>
      <c r="F380" s="8" t="s">
        <v>31</v>
      </c>
      <c r="G380" s="92" t="s">
        <v>480</v>
      </c>
      <c r="H380" s="93">
        <v>14.0</v>
      </c>
      <c r="I380" s="94"/>
      <c r="J380" s="92" t="s">
        <v>284</v>
      </c>
      <c r="K380" s="35" t="s">
        <v>50</v>
      </c>
      <c r="L380" s="93" t="s">
        <v>535</v>
      </c>
      <c r="M380" s="93" t="s">
        <v>539</v>
      </c>
      <c r="N380" s="92" t="s">
        <v>189</v>
      </c>
      <c r="O380" s="8"/>
      <c r="P380" s="94"/>
      <c r="Q380" s="41">
        <v>5900.0</v>
      </c>
      <c r="R380" s="15">
        <f>CARPETA!$Q380*CARPETA!$E380</f>
        <v>5900</v>
      </c>
      <c r="S380" s="15">
        <f>CARPETA!$R380*16%</f>
        <v>944</v>
      </c>
      <c r="T380" s="15">
        <f>CARPETA!$R380+CARPETA!$S380</f>
        <v>6844</v>
      </c>
      <c r="U380" s="35" t="s">
        <v>545</v>
      </c>
      <c r="V380" s="104"/>
      <c r="W380" s="104"/>
    </row>
    <row r="381" ht="15.75" customHeight="1">
      <c r="A381" s="34">
        <v>29.0</v>
      </c>
      <c r="B381" s="34">
        <v>43.0</v>
      </c>
      <c r="C381" s="126">
        <v>717.0</v>
      </c>
      <c r="D381" s="130">
        <v>46220.0</v>
      </c>
      <c r="E381" s="92">
        <v>1.0</v>
      </c>
      <c r="F381" s="8" t="s">
        <v>31</v>
      </c>
      <c r="G381" s="92" t="s">
        <v>542</v>
      </c>
      <c r="H381" s="93">
        <v>14.0</v>
      </c>
      <c r="I381" s="94"/>
      <c r="J381" s="92" t="s">
        <v>543</v>
      </c>
      <c r="K381" s="35" t="s">
        <v>50</v>
      </c>
      <c r="L381" s="93" t="s">
        <v>539</v>
      </c>
      <c r="M381" s="93" t="s">
        <v>503</v>
      </c>
      <c r="N381" s="92" t="s">
        <v>189</v>
      </c>
      <c r="O381" s="8"/>
      <c r="P381" s="94"/>
      <c r="Q381" s="41">
        <v>5900.0</v>
      </c>
      <c r="R381" s="15">
        <f>CARPETA!$Q381*CARPETA!$E381</f>
        <v>5900</v>
      </c>
      <c r="S381" s="15">
        <f>CARPETA!$R381*16%</f>
        <v>944</v>
      </c>
      <c r="T381" s="15">
        <f>CARPETA!$R381+CARPETA!$S381</f>
        <v>6844</v>
      </c>
      <c r="U381" s="35" t="s">
        <v>545</v>
      </c>
      <c r="V381" s="104"/>
      <c r="W381" s="104"/>
    </row>
    <row r="382" ht="15.75" customHeight="1">
      <c r="A382" s="34">
        <v>29.0</v>
      </c>
      <c r="B382" s="34">
        <v>44.0</v>
      </c>
      <c r="C382" s="126">
        <v>716.0</v>
      </c>
      <c r="D382" s="130">
        <v>46220.0</v>
      </c>
      <c r="E382" s="92">
        <v>1.0</v>
      </c>
      <c r="F382" s="8" t="s">
        <v>31</v>
      </c>
      <c r="G382" s="92" t="s">
        <v>320</v>
      </c>
      <c r="H382" s="93">
        <v>14.0</v>
      </c>
      <c r="I382" s="94"/>
      <c r="J382" s="92" t="s">
        <v>321</v>
      </c>
      <c r="K382" s="35" t="s">
        <v>50</v>
      </c>
      <c r="L382" s="93" t="s">
        <v>503</v>
      </c>
      <c r="M382" s="93" t="s">
        <v>506</v>
      </c>
      <c r="N382" s="92" t="s">
        <v>189</v>
      </c>
      <c r="O382" s="8"/>
      <c r="P382" s="94"/>
      <c r="Q382" s="41">
        <v>5900.0</v>
      </c>
      <c r="R382" s="15">
        <f>CARPETA!$Q382*CARPETA!$E382</f>
        <v>5900</v>
      </c>
      <c r="S382" s="15">
        <f>CARPETA!$R382*16%</f>
        <v>944</v>
      </c>
      <c r="T382" s="15">
        <f>CARPETA!$R382+CARPETA!$S382</f>
        <v>6844</v>
      </c>
      <c r="U382" s="35" t="s">
        <v>545</v>
      </c>
      <c r="V382" s="104"/>
      <c r="W382" s="104"/>
    </row>
    <row r="383" ht="15.75" customHeight="1">
      <c r="A383" s="34">
        <v>29.0</v>
      </c>
      <c r="B383" s="34">
        <v>45.0</v>
      </c>
      <c r="C383" s="126">
        <v>719.0</v>
      </c>
      <c r="D383" s="130">
        <v>46220.0</v>
      </c>
      <c r="E383" s="92">
        <v>1.0</v>
      </c>
      <c r="F383" s="8" t="s">
        <v>31</v>
      </c>
      <c r="G383" s="92" t="s">
        <v>488</v>
      </c>
      <c r="H383" s="93">
        <v>14.0</v>
      </c>
      <c r="I383" s="94"/>
      <c r="J383" s="92" t="s">
        <v>195</v>
      </c>
      <c r="K383" s="35" t="s">
        <v>50</v>
      </c>
      <c r="L383" s="93" t="s">
        <v>506</v>
      </c>
      <c r="M383" s="93" t="s">
        <v>544</v>
      </c>
      <c r="N383" s="92" t="s">
        <v>189</v>
      </c>
      <c r="O383" s="8"/>
      <c r="P383" s="94"/>
      <c r="Q383" s="41">
        <v>5900.0</v>
      </c>
      <c r="R383" s="15">
        <f>CARPETA!$Q383*CARPETA!$E383</f>
        <v>5900</v>
      </c>
      <c r="S383" s="15">
        <f>CARPETA!$R383*16%</f>
        <v>944</v>
      </c>
      <c r="T383" s="15">
        <f>CARPETA!$R383+CARPETA!$S383</f>
        <v>6844</v>
      </c>
      <c r="U383" s="35" t="s">
        <v>545</v>
      </c>
      <c r="V383" s="104"/>
      <c r="W383" s="104"/>
    </row>
    <row r="384" ht="15.75" customHeight="1">
      <c r="A384" s="34">
        <v>29.0</v>
      </c>
      <c r="B384" s="34">
        <v>46.0</v>
      </c>
      <c r="C384" s="126">
        <v>718.0</v>
      </c>
      <c r="D384" s="130">
        <v>46220.0</v>
      </c>
      <c r="E384" s="92">
        <v>1.0</v>
      </c>
      <c r="F384" s="8" t="s">
        <v>31</v>
      </c>
      <c r="G384" s="92" t="s">
        <v>548</v>
      </c>
      <c r="H384" s="93">
        <v>14.0</v>
      </c>
      <c r="I384" s="94"/>
      <c r="J384" s="92" t="s">
        <v>344</v>
      </c>
      <c r="K384" s="35" t="s">
        <v>50</v>
      </c>
      <c r="L384" s="93" t="s">
        <v>544</v>
      </c>
      <c r="M384" s="93" t="s">
        <v>549</v>
      </c>
      <c r="N384" s="92" t="s">
        <v>189</v>
      </c>
      <c r="O384" s="8"/>
      <c r="P384" s="94"/>
      <c r="Q384" s="41">
        <v>5900.0</v>
      </c>
      <c r="R384" s="15">
        <f>CARPETA!$Q384*CARPETA!$E384</f>
        <v>5900</v>
      </c>
      <c r="S384" s="15">
        <f>CARPETA!$R384*16%</f>
        <v>944</v>
      </c>
      <c r="T384" s="15">
        <f>CARPETA!$R384+CARPETA!$S384</f>
        <v>6844</v>
      </c>
      <c r="U384" s="35" t="s">
        <v>545</v>
      </c>
      <c r="V384" s="104"/>
      <c r="W384" s="104"/>
    </row>
    <row r="385" ht="15.75" customHeight="1">
      <c r="A385" s="34">
        <v>29.0</v>
      </c>
      <c r="B385" s="34">
        <v>47.0</v>
      </c>
      <c r="C385" s="126">
        <v>721.0</v>
      </c>
      <c r="D385" s="130">
        <v>46220.0</v>
      </c>
      <c r="E385" s="92">
        <v>1.0</v>
      </c>
      <c r="F385" s="8" t="s">
        <v>31</v>
      </c>
      <c r="G385" s="92" t="s">
        <v>201</v>
      </c>
      <c r="H385" s="93">
        <v>14.0</v>
      </c>
      <c r="I385" s="94"/>
      <c r="J385" s="92" t="s">
        <v>150</v>
      </c>
      <c r="K385" s="35" t="s">
        <v>50</v>
      </c>
      <c r="L385" s="93" t="s">
        <v>549</v>
      </c>
      <c r="M385" s="93" t="s">
        <v>551</v>
      </c>
      <c r="N385" s="92" t="s">
        <v>189</v>
      </c>
      <c r="O385" s="8"/>
      <c r="P385" s="94"/>
      <c r="Q385" s="41">
        <v>5900.0</v>
      </c>
      <c r="R385" s="15">
        <f>CARPETA!$Q385*CARPETA!$E385</f>
        <v>5900</v>
      </c>
      <c r="S385" s="15">
        <f>CARPETA!$R385*16%</f>
        <v>944</v>
      </c>
      <c r="T385" s="15">
        <f>CARPETA!$R385+CARPETA!$S385</f>
        <v>6844</v>
      </c>
      <c r="U385" s="35" t="s">
        <v>545</v>
      </c>
      <c r="V385" s="104"/>
      <c r="W385" s="104"/>
    </row>
    <row r="386" ht="15.75" customHeight="1">
      <c r="A386" s="34">
        <v>29.0</v>
      </c>
      <c r="B386" s="34">
        <v>48.0</v>
      </c>
      <c r="C386" s="126">
        <v>722.0</v>
      </c>
      <c r="D386" s="130">
        <v>46220.0</v>
      </c>
      <c r="E386" s="92">
        <v>1.0</v>
      </c>
      <c r="F386" s="8" t="s">
        <v>31</v>
      </c>
      <c r="G386" s="92" t="s">
        <v>368</v>
      </c>
      <c r="H386" s="93">
        <v>14.0</v>
      </c>
      <c r="I386" s="94"/>
      <c r="J386" s="92" t="s">
        <v>122</v>
      </c>
      <c r="K386" s="35" t="s">
        <v>50</v>
      </c>
      <c r="L386" s="93" t="s">
        <v>551</v>
      </c>
      <c r="M386" s="93" t="s">
        <v>553</v>
      </c>
      <c r="N386" s="92" t="s">
        <v>189</v>
      </c>
      <c r="O386" s="8"/>
      <c r="P386" s="94"/>
      <c r="Q386" s="41">
        <v>5900.0</v>
      </c>
      <c r="R386" s="15">
        <f>CARPETA!$Q386*CARPETA!$E386</f>
        <v>5900</v>
      </c>
      <c r="S386" s="15">
        <f>CARPETA!$R386*16%</f>
        <v>944</v>
      </c>
      <c r="T386" s="15">
        <f>CARPETA!$R386+CARPETA!$S386</f>
        <v>6844</v>
      </c>
      <c r="U386" s="35" t="s">
        <v>545</v>
      </c>
      <c r="V386" s="104"/>
      <c r="W386" s="104"/>
    </row>
    <row r="387" ht="15.75" customHeight="1">
      <c r="A387" s="34">
        <v>29.0</v>
      </c>
      <c r="B387" s="34">
        <v>49.0</v>
      </c>
      <c r="C387" s="126">
        <v>720.0</v>
      </c>
      <c r="D387" s="130">
        <v>46220.0</v>
      </c>
      <c r="E387" s="92">
        <v>1.0</v>
      </c>
      <c r="F387" s="8" t="s">
        <v>31</v>
      </c>
      <c r="G387" s="92" t="s">
        <v>555</v>
      </c>
      <c r="H387" s="93">
        <v>14.0</v>
      </c>
      <c r="I387" s="94"/>
      <c r="J387" s="92" t="s">
        <v>242</v>
      </c>
      <c r="K387" s="35" t="s">
        <v>50</v>
      </c>
      <c r="L387" s="93" t="s">
        <v>553</v>
      </c>
      <c r="M387" s="93" t="s">
        <v>521</v>
      </c>
      <c r="N387" s="92" t="s">
        <v>189</v>
      </c>
      <c r="O387" s="8"/>
      <c r="P387" s="94"/>
      <c r="Q387" s="41">
        <v>5900.0</v>
      </c>
      <c r="R387" s="15">
        <f>CARPETA!$Q387*CARPETA!$E387</f>
        <v>5900</v>
      </c>
      <c r="S387" s="15">
        <f>CARPETA!$R387*16%</f>
        <v>944</v>
      </c>
      <c r="T387" s="15">
        <f>CARPETA!$R387+CARPETA!$S387</f>
        <v>6844</v>
      </c>
      <c r="U387" s="35" t="s">
        <v>545</v>
      </c>
      <c r="V387" s="104"/>
      <c r="W387" s="104"/>
    </row>
    <row r="388" ht="15.75" customHeight="1">
      <c r="A388" s="34">
        <v>29.0</v>
      </c>
      <c r="B388" s="34">
        <v>50.0</v>
      </c>
      <c r="C388" s="126">
        <v>723.0</v>
      </c>
      <c r="D388" s="130">
        <v>46220.0</v>
      </c>
      <c r="E388" s="92">
        <v>1.0</v>
      </c>
      <c r="F388" s="8" t="s">
        <v>31</v>
      </c>
      <c r="G388" s="92" t="s">
        <v>248</v>
      </c>
      <c r="H388" s="93">
        <v>14.0</v>
      </c>
      <c r="I388" s="94"/>
      <c r="J388" s="92" t="s">
        <v>146</v>
      </c>
      <c r="K388" s="35" t="s">
        <v>50</v>
      </c>
      <c r="L388" s="93" t="s">
        <v>521</v>
      </c>
      <c r="M388" s="93" t="s">
        <v>557</v>
      </c>
      <c r="N388" s="92" t="s">
        <v>189</v>
      </c>
      <c r="O388" s="8"/>
      <c r="P388" s="94"/>
      <c r="Q388" s="41">
        <v>5900.0</v>
      </c>
      <c r="R388" s="15">
        <f>CARPETA!$Q388*CARPETA!$E388</f>
        <v>5900</v>
      </c>
      <c r="S388" s="15">
        <f>CARPETA!$R388*16%</f>
        <v>944</v>
      </c>
      <c r="T388" s="15">
        <f>CARPETA!$R388+CARPETA!$S388</f>
        <v>6844</v>
      </c>
      <c r="U388" s="35" t="s">
        <v>545</v>
      </c>
      <c r="V388" s="104"/>
      <c r="W388" s="104"/>
    </row>
    <row r="389" ht="15.75" customHeight="1">
      <c r="A389" s="34">
        <v>29.0</v>
      </c>
      <c r="B389" s="34">
        <v>51.0</v>
      </c>
      <c r="C389" s="126">
        <v>724.0</v>
      </c>
      <c r="D389" s="130">
        <v>46220.0</v>
      </c>
      <c r="E389" s="92">
        <v>1.0</v>
      </c>
      <c r="F389" s="8" t="s">
        <v>31</v>
      </c>
      <c r="G389" s="92" t="s">
        <v>560</v>
      </c>
      <c r="H389" s="93">
        <v>14.0</v>
      </c>
      <c r="I389" s="94"/>
      <c r="J389" s="92" t="s">
        <v>288</v>
      </c>
      <c r="K389" s="35" t="s">
        <v>50</v>
      </c>
      <c r="L389" s="93" t="s">
        <v>557</v>
      </c>
      <c r="M389" s="93" t="s">
        <v>530</v>
      </c>
      <c r="N389" s="92" t="s">
        <v>189</v>
      </c>
      <c r="O389" s="8"/>
      <c r="P389" s="94"/>
      <c r="Q389" s="41">
        <v>5900.0</v>
      </c>
      <c r="R389" s="15">
        <f>CARPETA!$Q389*CARPETA!$E389</f>
        <v>5900</v>
      </c>
      <c r="S389" s="15">
        <f>CARPETA!$R389*16%</f>
        <v>944</v>
      </c>
      <c r="T389" s="15">
        <f>CARPETA!$R389+CARPETA!$S389</f>
        <v>6844</v>
      </c>
      <c r="U389" s="35" t="s">
        <v>545</v>
      </c>
      <c r="V389" s="104"/>
      <c r="W389" s="104"/>
    </row>
    <row r="390" ht="15.75" customHeight="1">
      <c r="A390" s="34">
        <v>29.0</v>
      </c>
      <c r="B390" s="34">
        <v>52.0</v>
      </c>
      <c r="C390" s="126">
        <v>725.0</v>
      </c>
      <c r="D390" s="130">
        <v>46220.0</v>
      </c>
      <c r="E390" s="92">
        <v>1.0</v>
      </c>
      <c r="F390" s="8" t="s">
        <v>31</v>
      </c>
      <c r="G390" s="92" t="s">
        <v>255</v>
      </c>
      <c r="H390" s="93">
        <v>14.0</v>
      </c>
      <c r="I390" s="94"/>
      <c r="J390" s="92" t="s">
        <v>561</v>
      </c>
      <c r="K390" s="35" t="s">
        <v>50</v>
      </c>
      <c r="L390" s="93" t="s">
        <v>530</v>
      </c>
      <c r="M390" s="93" t="s">
        <v>562</v>
      </c>
      <c r="N390" s="92" t="s">
        <v>189</v>
      </c>
      <c r="O390" s="8"/>
      <c r="P390" s="94"/>
      <c r="Q390" s="41">
        <v>5900.0</v>
      </c>
      <c r="R390" s="15">
        <f>CARPETA!$Q390*CARPETA!$E390</f>
        <v>5900</v>
      </c>
      <c r="S390" s="15">
        <f>CARPETA!$R390*16%</f>
        <v>944</v>
      </c>
      <c r="T390" s="15">
        <f>CARPETA!$R390+CARPETA!$S390</f>
        <v>6844</v>
      </c>
      <c r="U390" s="35" t="s">
        <v>545</v>
      </c>
      <c r="V390" s="104"/>
      <c r="W390" s="104"/>
    </row>
    <row r="391" ht="15.75" customHeight="1">
      <c r="A391" s="34">
        <v>29.0</v>
      </c>
      <c r="B391" s="34">
        <v>53.0</v>
      </c>
      <c r="C391" s="126">
        <v>727.0</v>
      </c>
      <c r="D391" s="130">
        <v>46220.0</v>
      </c>
      <c r="E391" s="92">
        <v>1.0</v>
      </c>
      <c r="F391" s="8" t="s">
        <v>31</v>
      </c>
      <c r="G391" s="92" t="s">
        <v>416</v>
      </c>
      <c r="H391" s="93">
        <v>14.0</v>
      </c>
      <c r="I391" s="94"/>
      <c r="J391" s="92" t="s">
        <v>326</v>
      </c>
      <c r="K391" s="35" t="s">
        <v>50</v>
      </c>
      <c r="L391" s="93" t="s">
        <v>562</v>
      </c>
      <c r="M391" s="93" t="s">
        <v>563</v>
      </c>
      <c r="N391" s="92" t="s">
        <v>189</v>
      </c>
      <c r="O391" s="8"/>
      <c r="P391" s="94"/>
      <c r="Q391" s="41">
        <v>5900.0</v>
      </c>
      <c r="R391" s="15">
        <f>CARPETA!$Q391*CARPETA!$E391</f>
        <v>5900</v>
      </c>
      <c r="S391" s="15">
        <f>CARPETA!$R391*16%</f>
        <v>944</v>
      </c>
      <c r="T391" s="15">
        <f>CARPETA!$R391+CARPETA!$S391</f>
        <v>6844</v>
      </c>
      <c r="U391" s="35" t="s">
        <v>545</v>
      </c>
      <c r="V391" s="104"/>
      <c r="W391" s="104"/>
    </row>
    <row r="392" ht="15.75" customHeight="1">
      <c r="A392" s="34">
        <v>29.0</v>
      </c>
      <c r="B392" s="34">
        <v>54.0</v>
      </c>
      <c r="C392" s="126">
        <v>728.0</v>
      </c>
      <c r="D392" s="130">
        <v>46220.0</v>
      </c>
      <c r="E392" s="92">
        <v>1.0</v>
      </c>
      <c r="F392" s="8" t="s">
        <v>31</v>
      </c>
      <c r="G392" s="92" t="s">
        <v>295</v>
      </c>
      <c r="H392" s="93">
        <v>14.0</v>
      </c>
      <c r="I392" s="94"/>
      <c r="J392" s="92" t="s">
        <v>118</v>
      </c>
      <c r="K392" s="35" t="s">
        <v>50</v>
      </c>
      <c r="L392" s="93" t="s">
        <v>563</v>
      </c>
      <c r="M392" s="93" t="s">
        <v>564</v>
      </c>
      <c r="N392" s="92" t="s">
        <v>189</v>
      </c>
      <c r="O392" s="8"/>
      <c r="P392" s="94"/>
      <c r="Q392" s="41">
        <v>5900.0</v>
      </c>
      <c r="R392" s="15">
        <f>CARPETA!$Q392*CARPETA!$E392</f>
        <v>5900</v>
      </c>
      <c r="S392" s="15">
        <f>CARPETA!$R392*16%</f>
        <v>944</v>
      </c>
      <c r="T392" s="15">
        <f>CARPETA!$R392+CARPETA!$S392</f>
        <v>6844</v>
      </c>
      <c r="U392" s="35" t="s">
        <v>545</v>
      </c>
      <c r="V392" s="104"/>
      <c r="W392" s="104"/>
    </row>
    <row r="393" ht="15.75" customHeight="1">
      <c r="A393" s="34">
        <v>29.0</v>
      </c>
      <c r="B393" s="34">
        <v>55.0</v>
      </c>
      <c r="C393" s="126">
        <v>726.0</v>
      </c>
      <c r="D393" s="130">
        <v>46220.0</v>
      </c>
      <c r="E393" s="92">
        <v>1.0</v>
      </c>
      <c r="F393" s="8" t="s">
        <v>31</v>
      </c>
      <c r="G393" s="92" t="s">
        <v>565</v>
      </c>
      <c r="H393" s="93">
        <v>14.0</v>
      </c>
      <c r="I393" s="94"/>
      <c r="J393" s="92" t="s">
        <v>476</v>
      </c>
      <c r="K393" s="35" t="s">
        <v>50</v>
      </c>
      <c r="L393" s="93" t="s">
        <v>564</v>
      </c>
      <c r="M393" s="93" t="s">
        <v>566</v>
      </c>
      <c r="N393" s="92" t="s">
        <v>189</v>
      </c>
      <c r="O393" s="8"/>
      <c r="P393" s="94"/>
      <c r="Q393" s="41">
        <v>5900.0</v>
      </c>
      <c r="R393" s="15">
        <f>CARPETA!$Q393*CARPETA!$E393</f>
        <v>5900</v>
      </c>
      <c r="S393" s="15">
        <f>CARPETA!$R393*16%</f>
        <v>944</v>
      </c>
      <c r="T393" s="15">
        <f>CARPETA!$R393+CARPETA!$S393</f>
        <v>6844</v>
      </c>
      <c r="U393" s="35" t="s">
        <v>545</v>
      </c>
      <c r="V393" s="104"/>
      <c r="W393" s="104"/>
    </row>
    <row r="394" ht="15.75" customHeight="1">
      <c r="A394" s="34">
        <v>29.0</v>
      </c>
      <c r="B394" s="34">
        <v>56.0</v>
      </c>
      <c r="C394" s="126">
        <v>729.0</v>
      </c>
      <c r="D394" s="130">
        <v>46220.0</v>
      </c>
      <c r="E394" s="92">
        <v>1.0</v>
      </c>
      <c r="F394" s="8" t="s">
        <v>31</v>
      </c>
      <c r="G394" s="92" t="s">
        <v>488</v>
      </c>
      <c r="H394" s="93">
        <v>14.0</v>
      </c>
      <c r="I394" s="94"/>
      <c r="J394" s="92" t="s">
        <v>195</v>
      </c>
      <c r="K394" s="35" t="s">
        <v>50</v>
      </c>
      <c r="L394" s="93" t="s">
        <v>566</v>
      </c>
      <c r="M394" s="93" t="s">
        <v>567</v>
      </c>
      <c r="N394" s="92" t="s">
        <v>189</v>
      </c>
      <c r="O394" s="8"/>
      <c r="P394" s="94"/>
      <c r="Q394" s="41">
        <v>5900.0</v>
      </c>
      <c r="R394" s="15">
        <f>CARPETA!$Q394*CARPETA!$E394</f>
        <v>5900</v>
      </c>
      <c r="S394" s="15">
        <f>CARPETA!$R394*16%</f>
        <v>944</v>
      </c>
      <c r="T394" s="15">
        <f>CARPETA!$R394+CARPETA!$S394</f>
        <v>6844</v>
      </c>
      <c r="U394" s="35" t="s">
        <v>545</v>
      </c>
      <c r="V394" s="104"/>
      <c r="W394" s="104"/>
    </row>
    <row r="395" ht="15.75" customHeight="1">
      <c r="A395" s="34">
        <v>29.0</v>
      </c>
      <c r="B395" s="34">
        <v>57.0</v>
      </c>
      <c r="C395" s="126">
        <v>730.0</v>
      </c>
      <c r="D395" s="130">
        <v>46220.0</v>
      </c>
      <c r="E395" s="92">
        <v>1.0</v>
      </c>
      <c r="F395" s="8" t="s">
        <v>31</v>
      </c>
      <c r="G395" s="92" t="s">
        <v>542</v>
      </c>
      <c r="H395" s="93">
        <v>14.0</v>
      </c>
      <c r="I395" s="94"/>
      <c r="J395" s="92" t="s">
        <v>543</v>
      </c>
      <c r="K395" s="35" t="s">
        <v>50</v>
      </c>
      <c r="L395" s="93" t="s">
        <v>567</v>
      </c>
      <c r="M395" s="93" t="s">
        <v>569</v>
      </c>
      <c r="N395" s="92" t="s">
        <v>189</v>
      </c>
      <c r="O395" s="8"/>
      <c r="P395" s="94"/>
      <c r="Q395" s="41">
        <v>5900.0</v>
      </c>
      <c r="R395" s="15">
        <f>CARPETA!$Q395*CARPETA!$E395</f>
        <v>5900</v>
      </c>
      <c r="S395" s="15">
        <f>CARPETA!$R395*16%</f>
        <v>944</v>
      </c>
      <c r="T395" s="15">
        <f>CARPETA!$R395+CARPETA!$S395</f>
        <v>6844</v>
      </c>
      <c r="U395" s="35" t="s">
        <v>545</v>
      </c>
      <c r="V395" s="104"/>
      <c r="W395" s="104"/>
    </row>
    <row r="396" ht="15.75" customHeight="1">
      <c r="A396" s="34" t="s">
        <v>570</v>
      </c>
      <c r="B396" s="34" t="s">
        <v>571</v>
      </c>
      <c r="C396" s="126" t="s">
        <v>572</v>
      </c>
      <c r="D396" s="130" t="s">
        <v>573</v>
      </c>
      <c r="E396" s="92" t="s">
        <v>574</v>
      </c>
      <c r="F396" s="8" t="s">
        <v>31</v>
      </c>
      <c r="G396" s="92" t="s">
        <v>320</v>
      </c>
      <c r="H396" s="93" t="s">
        <v>575</v>
      </c>
      <c r="I396" s="94"/>
      <c r="J396" s="92" t="s">
        <v>321</v>
      </c>
      <c r="K396" s="35" t="s">
        <v>50</v>
      </c>
      <c r="L396" s="93" t="s">
        <v>569</v>
      </c>
      <c r="M396" s="93" t="s">
        <v>576</v>
      </c>
      <c r="N396" s="92" t="s">
        <v>189</v>
      </c>
      <c r="O396" s="8"/>
      <c r="P396" s="94"/>
      <c r="Q396" s="41" t="s">
        <v>577</v>
      </c>
      <c r="R396" s="15">
        <f>CARPETA!$Q396*CARPETA!$E396</f>
        <v>5900</v>
      </c>
      <c r="S396" s="15">
        <f>CARPETA!$R396*16%</f>
        <v>944</v>
      </c>
      <c r="T396" s="15">
        <f>CARPETA!$R396+CARPETA!$S396</f>
        <v>6844</v>
      </c>
      <c r="U396" s="35" t="s">
        <v>545</v>
      </c>
      <c r="V396" s="104"/>
      <c r="W396" s="104"/>
    </row>
    <row r="397" ht="15.75" customHeight="1">
      <c r="A397" s="108">
        <v>30.0</v>
      </c>
      <c r="B397" s="108">
        <v>1.0</v>
      </c>
      <c r="C397" s="126">
        <v>736.0</v>
      </c>
      <c r="D397" s="131">
        <v>46223.0</v>
      </c>
      <c r="E397" s="110">
        <v>1.0</v>
      </c>
      <c r="F397" s="132" t="s">
        <v>31</v>
      </c>
      <c r="G397" s="110" t="s">
        <v>320</v>
      </c>
      <c r="H397" s="110">
        <v>14.0</v>
      </c>
      <c r="I397" s="111"/>
      <c r="J397" s="110" t="s">
        <v>321</v>
      </c>
      <c r="K397" s="112" t="s">
        <v>50</v>
      </c>
      <c r="L397" s="110" t="s">
        <v>576</v>
      </c>
      <c r="M397" s="110" t="s">
        <v>578</v>
      </c>
      <c r="N397" s="110" t="s">
        <v>189</v>
      </c>
      <c r="O397" s="111"/>
      <c r="P397" s="110" t="s">
        <v>283</v>
      </c>
      <c r="Q397" s="113">
        <v>5900.0</v>
      </c>
      <c r="R397" s="114">
        <f>CARPETA!$Q397*CARPETA!$E397</f>
        <v>5900</v>
      </c>
      <c r="S397" s="114">
        <f>CARPETA!$R397*16%</f>
        <v>944</v>
      </c>
      <c r="T397" s="114">
        <f>CARPETA!$R397+CARPETA!$S397</f>
        <v>6844</v>
      </c>
      <c r="U397" s="112" t="s">
        <v>545</v>
      </c>
    </row>
    <row r="398" ht="15.75" customHeight="1">
      <c r="A398" s="108">
        <v>30.0</v>
      </c>
      <c r="B398" s="108">
        <v>2.0</v>
      </c>
      <c r="C398" s="126">
        <v>737.0</v>
      </c>
      <c r="D398" s="131">
        <v>46223.0</v>
      </c>
      <c r="E398" s="110">
        <v>1.0</v>
      </c>
      <c r="F398" s="132" t="s">
        <v>31</v>
      </c>
      <c r="G398" s="110" t="s">
        <v>295</v>
      </c>
      <c r="H398" s="110">
        <v>14.0</v>
      </c>
      <c r="I398" s="111"/>
      <c r="J398" s="110" t="s">
        <v>118</v>
      </c>
      <c r="K398" s="112" t="s">
        <v>50</v>
      </c>
      <c r="L398" s="110" t="s">
        <v>578</v>
      </c>
      <c r="M398" s="110" t="s">
        <v>579</v>
      </c>
      <c r="N398" s="110" t="s">
        <v>189</v>
      </c>
      <c r="O398" s="111"/>
      <c r="P398" s="110" t="s">
        <v>283</v>
      </c>
      <c r="Q398" s="113">
        <v>5900.0</v>
      </c>
      <c r="R398" s="114">
        <f>CARPETA!$Q398*CARPETA!$E398</f>
        <v>5900</v>
      </c>
      <c r="S398" s="114">
        <f>CARPETA!$R398*16%</f>
        <v>944</v>
      </c>
      <c r="T398" s="114">
        <f>CARPETA!$R398+CARPETA!$S398</f>
        <v>6844</v>
      </c>
      <c r="U398" s="112" t="s">
        <v>545</v>
      </c>
    </row>
    <row r="399" ht="15.75" customHeight="1">
      <c r="A399" s="108">
        <v>30.0</v>
      </c>
      <c r="B399" s="108">
        <v>3.0</v>
      </c>
      <c r="C399" s="126">
        <v>741.0</v>
      </c>
      <c r="D399" s="131">
        <v>46223.0</v>
      </c>
      <c r="E399" s="110">
        <v>1.0</v>
      </c>
      <c r="F399" s="132" t="s">
        <v>31</v>
      </c>
      <c r="G399" s="110" t="s">
        <v>251</v>
      </c>
      <c r="H399" s="110">
        <v>14.0</v>
      </c>
      <c r="I399" s="111"/>
      <c r="J399" s="110" t="s">
        <v>313</v>
      </c>
      <c r="K399" s="112" t="s">
        <v>50</v>
      </c>
      <c r="L399" s="110" t="s">
        <v>579</v>
      </c>
      <c r="M399" s="110" t="s">
        <v>582</v>
      </c>
      <c r="N399" s="110" t="s">
        <v>189</v>
      </c>
      <c r="O399" s="111"/>
      <c r="P399" s="110" t="s">
        <v>283</v>
      </c>
      <c r="Q399" s="113">
        <v>5900.0</v>
      </c>
      <c r="R399" s="114">
        <f>CARPETA!$Q399*CARPETA!$E399</f>
        <v>5900</v>
      </c>
      <c r="S399" s="114">
        <f>CARPETA!$R399*16%</f>
        <v>944</v>
      </c>
      <c r="T399" s="114">
        <f>CARPETA!$R399+CARPETA!$S399</f>
        <v>6844</v>
      </c>
      <c r="U399" s="112" t="s">
        <v>545</v>
      </c>
    </row>
    <row r="400" ht="15.75" customHeight="1">
      <c r="A400" s="108">
        <v>30.0</v>
      </c>
      <c r="B400" s="108">
        <v>4.0</v>
      </c>
      <c r="C400" s="126">
        <v>739.0</v>
      </c>
      <c r="D400" s="131">
        <v>46223.0</v>
      </c>
      <c r="E400" s="110">
        <v>1.0</v>
      </c>
      <c r="F400" s="132" t="s">
        <v>31</v>
      </c>
      <c r="G400" s="110" t="s">
        <v>416</v>
      </c>
      <c r="H400" s="110">
        <v>14.0</v>
      </c>
      <c r="I400" s="111"/>
      <c r="J400" s="110" t="s">
        <v>326</v>
      </c>
      <c r="K400" s="112" t="s">
        <v>50</v>
      </c>
      <c r="L400" s="110" t="s">
        <v>582</v>
      </c>
      <c r="M400" s="110" t="s">
        <v>585</v>
      </c>
      <c r="N400" s="110" t="s">
        <v>189</v>
      </c>
      <c r="O400" s="111"/>
      <c r="P400" s="110" t="s">
        <v>283</v>
      </c>
      <c r="Q400" s="113">
        <v>5900.0</v>
      </c>
      <c r="R400" s="114">
        <f>CARPETA!$Q400*CARPETA!$E400</f>
        <v>5900</v>
      </c>
      <c r="S400" s="114">
        <f>CARPETA!$R400*16%</f>
        <v>944</v>
      </c>
      <c r="T400" s="114">
        <f>CARPETA!$R400+CARPETA!$S400</f>
        <v>6844</v>
      </c>
      <c r="U400" s="112" t="s">
        <v>545</v>
      </c>
    </row>
    <row r="401" ht="15.75" hidden="1" customHeight="1">
      <c r="A401" s="108">
        <v>30.0</v>
      </c>
      <c r="B401" s="108">
        <v>5.0</v>
      </c>
      <c r="C401" s="133">
        <v>740.0</v>
      </c>
      <c r="D401" s="109">
        <v>46223.0</v>
      </c>
      <c r="E401" s="110">
        <v>1.0</v>
      </c>
      <c r="F401" s="132" t="s">
        <v>31</v>
      </c>
      <c r="G401" s="110" t="s">
        <v>368</v>
      </c>
      <c r="H401" s="110">
        <v>14.0</v>
      </c>
      <c r="I401" s="111"/>
      <c r="J401" s="110" t="s">
        <v>122</v>
      </c>
      <c r="K401" s="112" t="s">
        <v>50</v>
      </c>
      <c r="L401" s="110" t="s">
        <v>585</v>
      </c>
      <c r="M401" s="110" t="s">
        <v>586</v>
      </c>
      <c r="N401" s="110" t="s">
        <v>189</v>
      </c>
      <c r="O401" s="111"/>
      <c r="P401" s="110" t="s">
        <v>283</v>
      </c>
      <c r="Q401" s="134">
        <v>5900.0</v>
      </c>
      <c r="R401" s="29">
        <f t="shared" ref="R401:R404" si="8">Q401*E401</f>
        <v>5900</v>
      </c>
      <c r="S401" s="29">
        <f t="shared" ref="S401:S404" si="9">R401*16%</f>
        <v>944</v>
      </c>
      <c r="T401" s="29">
        <f t="shared" ref="T401:T404" si="10">R401+S401</f>
        <v>6844</v>
      </c>
      <c r="U401" s="121" t="s">
        <v>696</v>
      </c>
    </row>
    <row r="402" ht="15.75" hidden="1" customHeight="1">
      <c r="A402" s="108">
        <v>30.0</v>
      </c>
      <c r="B402" s="108">
        <v>6.0</v>
      </c>
      <c r="C402" s="133">
        <v>738.0</v>
      </c>
      <c r="D402" s="109">
        <v>46223.0</v>
      </c>
      <c r="E402" s="110">
        <v>1.0</v>
      </c>
      <c r="F402" s="132" t="s">
        <v>31</v>
      </c>
      <c r="G402" s="110" t="s">
        <v>488</v>
      </c>
      <c r="H402" s="110">
        <v>14.0</v>
      </c>
      <c r="I402" s="111"/>
      <c r="J402" s="110" t="s">
        <v>195</v>
      </c>
      <c r="K402" s="112" t="s">
        <v>50</v>
      </c>
      <c r="L402" s="110" t="s">
        <v>586</v>
      </c>
      <c r="M402" s="110" t="s">
        <v>588</v>
      </c>
      <c r="N402" s="110" t="s">
        <v>189</v>
      </c>
      <c r="O402" s="111"/>
      <c r="P402" s="110" t="s">
        <v>283</v>
      </c>
      <c r="Q402" s="134">
        <v>5900.0</v>
      </c>
      <c r="R402" s="29">
        <f t="shared" si="8"/>
        <v>5900</v>
      </c>
      <c r="S402" s="29">
        <f t="shared" si="9"/>
        <v>944</v>
      </c>
      <c r="T402" s="29">
        <f t="shared" si="10"/>
        <v>6844</v>
      </c>
      <c r="U402" s="121" t="s">
        <v>696</v>
      </c>
    </row>
    <row r="403" ht="15.75" hidden="1" customHeight="1">
      <c r="A403" s="108">
        <v>30.0</v>
      </c>
      <c r="B403" s="108">
        <v>7.0</v>
      </c>
      <c r="C403" s="133">
        <v>742.0</v>
      </c>
      <c r="D403" s="109">
        <v>46223.0</v>
      </c>
      <c r="E403" s="110">
        <v>1.0</v>
      </c>
      <c r="F403" s="132" t="s">
        <v>31</v>
      </c>
      <c r="G403" s="110" t="s">
        <v>436</v>
      </c>
      <c r="H403" s="110">
        <v>14.0</v>
      </c>
      <c r="I403" s="111"/>
      <c r="J403" s="110" t="s">
        <v>318</v>
      </c>
      <c r="K403" s="112" t="s">
        <v>50</v>
      </c>
      <c r="L403" s="110" t="s">
        <v>588</v>
      </c>
      <c r="M403" s="110" t="s">
        <v>589</v>
      </c>
      <c r="N403" s="110" t="s">
        <v>189</v>
      </c>
      <c r="O403" s="111"/>
      <c r="P403" s="110" t="s">
        <v>283</v>
      </c>
      <c r="Q403" s="134">
        <v>5900.0</v>
      </c>
      <c r="R403" s="29">
        <f t="shared" si="8"/>
        <v>5900</v>
      </c>
      <c r="S403" s="29">
        <f t="shared" si="9"/>
        <v>944</v>
      </c>
      <c r="T403" s="29">
        <f t="shared" si="10"/>
        <v>6844</v>
      </c>
      <c r="U403" s="121" t="s">
        <v>696</v>
      </c>
    </row>
    <row r="404" ht="15.75" hidden="1" customHeight="1">
      <c r="A404" s="108">
        <v>30.0</v>
      </c>
      <c r="B404" s="108">
        <v>8.0</v>
      </c>
      <c r="C404" s="133">
        <v>743.0</v>
      </c>
      <c r="D404" s="109">
        <v>46223.0</v>
      </c>
      <c r="E404" s="110">
        <v>1.0</v>
      </c>
      <c r="F404" s="132" t="s">
        <v>31</v>
      </c>
      <c r="G404" s="110" t="s">
        <v>555</v>
      </c>
      <c r="H404" s="110">
        <v>14.0</v>
      </c>
      <c r="I404" s="111"/>
      <c r="J404" s="110" t="s">
        <v>242</v>
      </c>
      <c r="K404" s="112" t="s">
        <v>50</v>
      </c>
      <c r="L404" s="110" t="s">
        <v>590</v>
      </c>
      <c r="M404" s="110" t="s">
        <v>591</v>
      </c>
      <c r="N404" s="110" t="s">
        <v>189</v>
      </c>
      <c r="O404" s="111"/>
      <c r="P404" s="110" t="s">
        <v>283</v>
      </c>
      <c r="Q404" s="134">
        <v>5900.0</v>
      </c>
      <c r="R404" s="29">
        <f t="shared" si="8"/>
        <v>5900</v>
      </c>
      <c r="S404" s="29">
        <f t="shared" si="9"/>
        <v>944</v>
      </c>
      <c r="T404" s="29">
        <f t="shared" si="10"/>
        <v>6844</v>
      </c>
      <c r="U404" s="121" t="s">
        <v>696</v>
      </c>
    </row>
    <row r="405" ht="15.75" customHeight="1">
      <c r="A405" s="108">
        <v>30.0</v>
      </c>
      <c r="B405" s="108">
        <v>9.0</v>
      </c>
      <c r="C405" s="126">
        <v>744.0</v>
      </c>
      <c r="D405" s="131">
        <v>46223.0</v>
      </c>
      <c r="E405" s="110">
        <v>1.0</v>
      </c>
      <c r="F405" s="132" t="s">
        <v>31</v>
      </c>
      <c r="G405" s="110" t="s">
        <v>592</v>
      </c>
      <c r="H405" s="110">
        <v>14.0</v>
      </c>
      <c r="I405" s="111"/>
      <c r="J405" s="110" t="s">
        <v>593</v>
      </c>
      <c r="K405" s="112" t="s">
        <v>50</v>
      </c>
      <c r="L405" s="110" t="s">
        <v>591</v>
      </c>
      <c r="M405" s="110" t="s">
        <v>594</v>
      </c>
      <c r="N405" s="110" t="s">
        <v>189</v>
      </c>
      <c r="O405" s="111"/>
      <c r="P405" s="110" t="s">
        <v>283</v>
      </c>
      <c r="Q405" s="113">
        <v>5900.0</v>
      </c>
      <c r="R405" s="114">
        <f>CARPETA!$Q405*CARPETA!$E405</f>
        <v>5900</v>
      </c>
      <c r="S405" s="114">
        <f>CARPETA!$R405*16%</f>
        <v>944</v>
      </c>
      <c r="T405" s="114">
        <f>CARPETA!$R405+CARPETA!$S405</f>
        <v>6844</v>
      </c>
      <c r="U405" s="112" t="s">
        <v>545</v>
      </c>
    </row>
    <row r="406" ht="15.75" customHeight="1">
      <c r="A406" s="108">
        <v>30.0</v>
      </c>
      <c r="B406" s="108">
        <v>10.0</v>
      </c>
      <c r="C406" s="126">
        <v>746.0</v>
      </c>
      <c r="D406" s="131">
        <v>46223.0</v>
      </c>
      <c r="E406" s="110">
        <v>1.0</v>
      </c>
      <c r="F406" s="132" t="s">
        <v>31</v>
      </c>
      <c r="G406" s="110" t="s">
        <v>201</v>
      </c>
      <c r="H406" s="110">
        <v>14.0</v>
      </c>
      <c r="I406" s="111"/>
      <c r="J406" s="110" t="s">
        <v>493</v>
      </c>
      <c r="K406" s="112" t="s">
        <v>50</v>
      </c>
      <c r="L406" s="110" t="s">
        <v>594</v>
      </c>
      <c r="M406" s="110" t="s">
        <v>595</v>
      </c>
      <c r="N406" s="110" t="s">
        <v>189</v>
      </c>
      <c r="O406" s="111"/>
      <c r="P406" s="110" t="s">
        <v>283</v>
      </c>
      <c r="Q406" s="113">
        <v>5900.0</v>
      </c>
      <c r="R406" s="114">
        <f>CARPETA!$Q406*CARPETA!$E406</f>
        <v>5900</v>
      </c>
      <c r="S406" s="114">
        <f>CARPETA!$R406*16%</f>
        <v>944</v>
      </c>
      <c r="T406" s="114">
        <f>CARPETA!$R406+CARPETA!$S406</f>
        <v>6844</v>
      </c>
      <c r="U406" s="112" t="s">
        <v>545</v>
      </c>
    </row>
    <row r="407" ht="15.75" customHeight="1">
      <c r="A407" s="108">
        <v>30.0</v>
      </c>
      <c r="B407" s="108">
        <v>11.0</v>
      </c>
      <c r="C407" s="126">
        <v>745.0</v>
      </c>
      <c r="D407" s="131">
        <v>46223.0</v>
      </c>
      <c r="E407" s="110">
        <v>1.0</v>
      </c>
      <c r="F407" s="132" t="s">
        <v>31</v>
      </c>
      <c r="G407" s="110" t="s">
        <v>548</v>
      </c>
      <c r="H407" s="110">
        <v>14.0</v>
      </c>
      <c r="I407" s="111"/>
      <c r="J407" s="110" t="s">
        <v>344</v>
      </c>
      <c r="K407" s="112" t="s">
        <v>50</v>
      </c>
      <c r="L407" s="110" t="s">
        <v>595</v>
      </c>
      <c r="M407" s="110" t="s">
        <v>597</v>
      </c>
      <c r="N407" s="110" t="s">
        <v>189</v>
      </c>
      <c r="O407" s="111"/>
      <c r="P407" s="110" t="s">
        <v>283</v>
      </c>
      <c r="Q407" s="113">
        <v>5900.0</v>
      </c>
      <c r="R407" s="114">
        <f>CARPETA!$Q407*CARPETA!$E407</f>
        <v>5900</v>
      </c>
      <c r="S407" s="114">
        <f>CARPETA!$R407*16%</f>
        <v>944</v>
      </c>
      <c r="T407" s="114">
        <f>CARPETA!$R407+CARPETA!$S407</f>
        <v>6844</v>
      </c>
      <c r="U407" s="112" t="s">
        <v>545</v>
      </c>
    </row>
    <row r="408" ht="15.75" hidden="1" customHeight="1">
      <c r="A408" s="108">
        <v>30.0</v>
      </c>
      <c r="B408" s="108">
        <v>12.0</v>
      </c>
      <c r="C408" s="133">
        <v>747.0</v>
      </c>
      <c r="D408" s="109">
        <v>46223.0</v>
      </c>
      <c r="E408" s="110">
        <v>1.0</v>
      </c>
      <c r="F408" s="132" t="s">
        <v>31</v>
      </c>
      <c r="G408" s="110" t="s">
        <v>488</v>
      </c>
      <c r="H408" s="110">
        <v>14.0</v>
      </c>
      <c r="I408" s="111"/>
      <c r="J408" s="110" t="s">
        <v>195</v>
      </c>
      <c r="K408" s="112" t="s">
        <v>50</v>
      </c>
      <c r="L408" s="110" t="s">
        <v>597</v>
      </c>
      <c r="M408" s="110" t="s">
        <v>598</v>
      </c>
      <c r="N408" s="110" t="s">
        <v>189</v>
      </c>
      <c r="O408" s="111"/>
      <c r="P408" s="110" t="s">
        <v>283</v>
      </c>
      <c r="Q408" s="134">
        <v>5900.0</v>
      </c>
      <c r="R408" s="29">
        <f t="shared" ref="R408:R624" si="11">Q408*E408</f>
        <v>5900</v>
      </c>
      <c r="S408" s="29">
        <f t="shared" ref="S408:S624" si="12">R408*16%</f>
        <v>944</v>
      </c>
      <c r="T408" s="29">
        <f t="shared" ref="T408:T624" si="13">R408+S408</f>
        <v>6844</v>
      </c>
      <c r="U408" s="121" t="s">
        <v>696</v>
      </c>
    </row>
    <row r="409" ht="15.75" hidden="1" customHeight="1">
      <c r="A409" s="108">
        <v>30.0</v>
      </c>
      <c r="B409" s="108">
        <v>13.0</v>
      </c>
      <c r="C409" s="133">
        <v>748.0</v>
      </c>
      <c r="D409" s="109">
        <v>46223.0</v>
      </c>
      <c r="E409" s="110">
        <v>1.0</v>
      </c>
      <c r="F409" s="132" t="s">
        <v>31</v>
      </c>
      <c r="G409" s="110" t="s">
        <v>560</v>
      </c>
      <c r="H409" s="110">
        <v>14.0</v>
      </c>
      <c r="I409" s="111"/>
      <c r="J409" s="110" t="s">
        <v>288</v>
      </c>
      <c r="K409" s="112" t="s">
        <v>50</v>
      </c>
      <c r="L409" s="110" t="s">
        <v>598</v>
      </c>
      <c r="M409" s="110" t="s">
        <v>600</v>
      </c>
      <c r="N409" s="110" t="s">
        <v>189</v>
      </c>
      <c r="O409" s="111"/>
      <c r="P409" s="110" t="s">
        <v>283</v>
      </c>
      <c r="Q409" s="134">
        <v>5900.0</v>
      </c>
      <c r="R409" s="29">
        <f t="shared" si="11"/>
        <v>5900</v>
      </c>
      <c r="S409" s="29">
        <f t="shared" si="12"/>
        <v>944</v>
      </c>
      <c r="T409" s="29">
        <f t="shared" si="13"/>
        <v>6844</v>
      </c>
      <c r="U409" s="121" t="s">
        <v>696</v>
      </c>
    </row>
    <row r="410" ht="15.75" hidden="1" customHeight="1">
      <c r="A410" s="108">
        <v>30.0</v>
      </c>
      <c r="B410" s="108">
        <v>0.0</v>
      </c>
      <c r="C410" s="133">
        <v>749.0</v>
      </c>
      <c r="D410" s="109">
        <v>46224.0</v>
      </c>
      <c r="E410" s="110">
        <v>1.0</v>
      </c>
      <c r="F410" s="132" t="s">
        <v>31</v>
      </c>
      <c r="G410" s="110" t="s">
        <v>474</v>
      </c>
      <c r="H410" s="110">
        <v>14.0</v>
      </c>
      <c r="I410" s="111"/>
      <c r="J410" s="110" t="s">
        <v>593</v>
      </c>
      <c r="K410" s="112" t="s">
        <v>50</v>
      </c>
      <c r="L410" s="110" t="s">
        <v>531</v>
      </c>
      <c r="M410" s="110" t="s">
        <v>601</v>
      </c>
      <c r="N410" s="110" t="s">
        <v>189</v>
      </c>
      <c r="O410" s="111"/>
      <c r="P410" s="110" t="s">
        <v>306</v>
      </c>
      <c r="Q410" s="134">
        <v>5900.0</v>
      </c>
      <c r="R410" s="29">
        <f t="shared" si="11"/>
        <v>5900</v>
      </c>
      <c r="S410" s="29">
        <f t="shared" si="12"/>
        <v>944</v>
      </c>
      <c r="T410" s="29">
        <f t="shared" si="13"/>
        <v>6844</v>
      </c>
      <c r="U410" s="121" t="s">
        <v>696</v>
      </c>
    </row>
    <row r="411" ht="15.75" hidden="1" customHeight="1">
      <c r="A411" s="108">
        <v>30.0</v>
      </c>
      <c r="B411" s="108">
        <v>0.0</v>
      </c>
      <c r="C411" s="133">
        <v>750.0</v>
      </c>
      <c r="D411" s="109">
        <v>46224.0</v>
      </c>
      <c r="E411" s="110">
        <v>1.0</v>
      </c>
      <c r="F411" s="132" t="s">
        <v>31</v>
      </c>
      <c r="G411" s="110" t="s">
        <v>295</v>
      </c>
      <c r="H411" s="110">
        <v>14.0</v>
      </c>
      <c r="I411" s="111"/>
      <c r="J411" s="110" t="s">
        <v>118</v>
      </c>
      <c r="K411" s="112" t="s">
        <v>50</v>
      </c>
      <c r="L411" s="110" t="s">
        <v>601</v>
      </c>
      <c r="M411" s="110" t="s">
        <v>602</v>
      </c>
      <c r="N411" s="110" t="s">
        <v>189</v>
      </c>
      <c r="O411" s="111"/>
      <c r="P411" s="110" t="s">
        <v>306</v>
      </c>
      <c r="Q411" s="134">
        <v>5900.0</v>
      </c>
      <c r="R411" s="29">
        <f t="shared" si="11"/>
        <v>5900</v>
      </c>
      <c r="S411" s="29">
        <f t="shared" si="12"/>
        <v>944</v>
      </c>
      <c r="T411" s="29">
        <f t="shared" si="13"/>
        <v>6844</v>
      </c>
      <c r="U411" s="121" t="s">
        <v>696</v>
      </c>
    </row>
    <row r="412" ht="15.75" hidden="1" customHeight="1">
      <c r="A412" s="108">
        <v>30.0</v>
      </c>
      <c r="B412" s="108">
        <v>3.0</v>
      </c>
      <c r="C412" s="133">
        <v>951.0</v>
      </c>
      <c r="D412" s="109">
        <v>46224.0</v>
      </c>
      <c r="E412" s="110">
        <v>1.0</v>
      </c>
      <c r="F412" s="132" t="s">
        <v>31</v>
      </c>
      <c r="G412" s="110" t="s">
        <v>603</v>
      </c>
      <c r="H412" s="110">
        <v>14.0</v>
      </c>
      <c r="I412" s="111"/>
      <c r="J412" s="110" t="s">
        <v>242</v>
      </c>
      <c r="K412" s="112" t="s">
        <v>50</v>
      </c>
      <c r="L412" s="110" t="s">
        <v>602</v>
      </c>
      <c r="M412" s="110" t="s">
        <v>604</v>
      </c>
      <c r="N412" s="110" t="s">
        <v>189</v>
      </c>
      <c r="O412" s="111"/>
      <c r="P412" s="110" t="s">
        <v>306</v>
      </c>
      <c r="Q412" s="134">
        <v>5900.0</v>
      </c>
      <c r="R412" s="29">
        <f t="shared" si="11"/>
        <v>5900</v>
      </c>
      <c r="S412" s="29">
        <f t="shared" si="12"/>
        <v>944</v>
      </c>
      <c r="T412" s="29">
        <f t="shared" si="13"/>
        <v>6844</v>
      </c>
      <c r="U412" s="121" t="s">
        <v>696</v>
      </c>
    </row>
    <row r="413" ht="15.75" hidden="1" customHeight="1">
      <c r="A413" s="108">
        <v>30.0</v>
      </c>
      <c r="B413" s="108">
        <v>4.0</v>
      </c>
      <c r="C413" s="133">
        <v>953.0</v>
      </c>
      <c r="D413" s="109">
        <v>46224.0</v>
      </c>
      <c r="E413" s="110">
        <v>1.0</v>
      </c>
      <c r="F413" s="132" t="s">
        <v>31</v>
      </c>
      <c r="G413" s="110" t="s">
        <v>320</v>
      </c>
      <c r="H413" s="110">
        <v>14.0</v>
      </c>
      <c r="I413" s="111"/>
      <c r="J413" s="110" t="s">
        <v>321</v>
      </c>
      <c r="K413" s="112" t="s">
        <v>50</v>
      </c>
      <c r="L413" s="110" t="s">
        <v>604</v>
      </c>
      <c r="M413" s="110" t="s">
        <v>605</v>
      </c>
      <c r="N413" s="110" t="s">
        <v>189</v>
      </c>
      <c r="O413" s="111"/>
      <c r="P413" s="110" t="s">
        <v>306</v>
      </c>
      <c r="Q413" s="134">
        <v>5900.0</v>
      </c>
      <c r="R413" s="29">
        <f t="shared" si="11"/>
        <v>5900</v>
      </c>
      <c r="S413" s="29">
        <f t="shared" si="12"/>
        <v>944</v>
      </c>
      <c r="T413" s="29">
        <f t="shared" si="13"/>
        <v>6844</v>
      </c>
      <c r="U413" s="121" t="s">
        <v>696</v>
      </c>
    </row>
    <row r="414" ht="15.75" hidden="1" customHeight="1">
      <c r="A414" s="108">
        <v>30.0</v>
      </c>
      <c r="B414" s="108">
        <v>5.0</v>
      </c>
      <c r="C414" s="133">
        <v>954.0</v>
      </c>
      <c r="D414" s="109">
        <v>46224.0</v>
      </c>
      <c r="E414" s="110">
        <v>1.0</v>
      </c>
      <c r="F414" s="132" t="s">
        <v>31</v>
      </c>
      <c r="G414" s="110" t="s">
        <v>488</v>
      </c>
      <c r="H414" s="110">
        <v>14.0</v>
      </c>
      <c r="I414" s="111"/>
      <c r="J414" s="110" t="s">
        <v>195</v>
      </c>
      <c r="K414" s="112" t="s">
        <v>50</v>
      </c>
      <c r="L414" s="110" t="s">
        <v>605</v>
      </c>
      <c r="M414" s="110" t="s">
        <v>606</v>
      </c>
      <c r="N414" s="110" t="s">
        <v>189</v>
      </c>
      <c r="O414" s="111"/>
      <c r="P414" s="110" t="s">
        <v>306</v>
      </c>
      <c r="Q414" s="134">
        <v>5900.0</v>
      </c>
      <c r="R414" s="29">
        <f t="shared" si="11"/>
        <v>5900</v>
      </c>
      <c r="S414" s="29">
        <f t="shared" si="12"/>
        <v>944</v>
      </c>
      <c r="T414" s="29">
        <f t="shared" si="13"/>
        <v>6844</v>
      </c>
      <c r="U414" s="121" t="s">
        <v>696</v>
      </c>
    </row>
    <row r="415" ht="15.75" hidden="1" customHeight="1">
      <c r="A415" s="108">
        <v>30.0</v>
      </c>
      <c r="B415" s="108">
        <v>6.0</v>
      </c>
      <c r="C415" s="135">
        <v>952.0</v>
      </c>
      <c r="D415" s="109">
        <v>46224.0</v>
      </c>
      <c r="E415" s="110">
        <v>1.0</v>
      </c>
      <c r="F415" s="132" t="s">
        <v>31</v>
      </c>
      <c r="G415" s="110" t="s">
        <v>548</v>
      </c>
      <c r="H415" s="110">
        <v>14.0</v>
      </c>
      <c r="I415" s="111"/>
      <c r="J415" s="110" t="s">
        <v>344</v>
      </c>
      <c r="K415" s="112" t="s">
        <v>50</v>
      </c>
      <c r="L415" s="110" t="s">
        <v>606</v>
      </c>
      <c r="M415" s="110" t="s">
        <v>576</v>
      </c>
      <c r="N415" s="110" t="s">
        <v>189</v>
      </c>
      <c r="O415" s="111"/>
      <c r="P415" s="110" t="s">
        <v>306</v>
      </c>
      <c r="Q415" s="134">
        <v>5900.0</v>
      </c>
      <c r="R415" s="29">
        <f t="shared" si="11"/>
        <v>5900</v>
      </c>
      <c r="S415" s="29">
        <f t="shared" si="12"/>
        <v>944</v>
      </c>
      <c r="T415" s="29">
        <f t="shared" si="13"/>
        <v>6844</v>
      </c>
      <c r="U415" s="129" t="s">
        <v>697</v>
      </c>
    </row>
    <row r="416" ht="15.75" hidden="1" customHeight="1">
      <c r="A416" s="108">
        <v>30.0</v>
      </c>
      <c r="B416" s="108">
        <v>7.0</v>
      </c>
      <c r="C416" s="133">
        <v>955.0</v>
      </c>
      <c r="D416" s="109">
        <v>46224.0</v>
      </c>
      <c r="E416" s="110">
        <v>1.0</v>
      </c>
      <c r="F416" s="132" t="s">
        <v>31</v>
      </c>
      <c r="G416" s="110" t="s">
        <v>201</v>
      </c>
      <c r="H416" s="110">
        <v>14.0</v>
      </c>
      <c r="I416" s="111"/>
      <c r="J416" s="110" t="s">
        <v>150</v>
      </c>
      <c r="K416" s="112" t="s">
        <v>50</v>
      </c>
      <c r="L416" s="110" t="s">
        <v>576</v>
      </c>
      <c r="M416" s="110" t="s">
        <v>608</v>
      </c>
      <c r="N416" s="110" t="s">
        <v>189</v>
      </c>
      <c r="O416" s="111"/>
      <c r="P416" s="110" t="s">
        <v>306</v>
      </c>
      <c r="Q416" s="134">
        <v>5900.0</v>
      </c>
      <c r="R416" s="29">
        <f t="shared" si="11"/>
        <v>5900</v>
      </c>
      <c r="S416" s="29">
        <f t="shared" si="12"/>
        <v>944</v>
      </c>
      <c r="T416" s="29">
        <f t="shared" si="13"/>
        <v>6844</v>
      </c>
      <c r="U416" s="121" t="s">
        <v>696</v>
      </c>
    </row>
    <row r="417" ht="15.75" hidden="1" customHeight="1">
      <c r="A417" s="108">
        <v>30.0</v>
      </c>
      <c r="B417" s="108">
        <v>8.0</v>
      </c>
      <c r="C417" s="133">
        <v>956.0</v>
      </c>
      <c r="D417" s="109">
        <v>46224.0</v>
      </c>
      <c r="E417" s="110">
        <v>1.0</v>
      </c>
      <c r="F417" s="132" t="s">
        <v>31</v>
      </c>
      <c r="G417" s="110" t="s">
        <v>416</v>
      </c>
      <c r="H417" s="110">
        <v>14.0</v>
      </c>
      <c r="I417" s="111"/>
      <c r="J417" s="110" t="s">
        <v>326</v>
      </c>
      <c r="K417" s="112" t="s">
        <v>50</v>
      </c>
      <c r="L417" s="110" t="s">
        <v>608</v>
      </c>
      <c r="M417" s="110" t="s">
        <v>609</v>
      </c>
      <c r="N417" s="110" t="s">
        <v>189</v>
      </c>
      <c r="O417" s="111"/>
      <c r="P417" s="110" t="s">
        <v>306</v>
      </c>
      <c r="Q417" s="134">
        <v>5900.0</v>
      </c>
      <c r="R417" s="29">
        <f t="shared" si="11"/>
        <v>5900</v>
      </c>
      <c r="S417" s="29">
        <f t="shared" si="12"/>
        <v>944</v>
      </c>
      <c r="T417" s="29">
        <f t="shared" si="13"/>
        <v>6844</v>
      </c>
      <c r="U417" s="121" t="s">
        <v>696</v>
      </c>
    </row>
    <row r="418" ht="15.75" hidden="1" customHeight="1">
      <c r="A418" s="108">
        <v>30.0</v>
      </c>
      <c r="B418" s="108">
        <v>9.0</v>
      </c>
      <c r="C418" s="133">
        <v>957.0</v>
      </c>
      <c r="D418" s="109">
        <v>46224.0</v>
      </c>
      <c r="E418" s="110">
        <v>1.0</v>
      </c>
      <c r="F418" s="132" t="s">
        <v>31</v>
      </c>
      <c r="G418" s="110" t="s">
        <v>560</v>
      </c>
      <c r="H418" s="110">
        <v>14.0</v>
      </c>
      <c r="I418" s="111"/>
      <c r="J418" s="110" t="s">
        <v>288</v>
      </c>
      <c r="K418" s="112" t="s">
        <v>50</v>
      </c>
      <c r="L418" s="110" t="s">
        <v>609</v>
      </c>
      <c r="M418" s="110" t="s">
        <v>585</v>
      </c>
      <c r="N418" s="110" t="s">
        <v>189</v>
      </c>
      <c r="O418" s="111"/>
      <c r="P418" s="110" t="s">
        <v>306</v>
      </c>
      <c r="Q418" s="134">
        <v>5900.0</v>
      </c>
      <c r="R418" s="29">
        <f t="shared" si="11"/>
        <v>5900</v>
      </c>
      <c r="S418" s="29">
        <f t="shared" si="12"/>
        <v>944</v>
      </c>
      <c r="T418" s="29">
        <f t="shared" si="13"/>
        <v>6844</v>
      </c>
      <c r="U418" s="121" t="s">
        <v>696</v>
      </c>
    </row>
    <row r="419" ht="15.75" hidden="1" customHeight="1">
      <c r="A419" s="108">
        <v>30.0</v>
      </c>
      <c r="B419" s="108">
        <v>10.0</v>
      </c>
      <c r="C419" s="133">
        <v>958.0</v>
      </c>
      <c r="D419" s="109">
        <v>46224.0</v>
      </c>
      <c r="E419" s="110">
        <v>1.0</v>
      </c>
      <c r="F419" s="132" t="s">
        <v>31</v>
      </c>
      <c r="G419" s="110" t="s">
        <v>368</v>
      </c>
      <c r="H419" s="110">
        <v>14.0</v>
      </c>
      <c r="I419" s="111"/>
      <c r="J419" s="110" t="s">
        <v>122</v>
      </c>
      <c r="K419" s="112" t="s">
        <v>50</v>
      </c>
      <c r="L419" s="110" t="s">
        <v>585</v>
      </c>
      <c r="M419" s="110" t="s">
        <v>611</v>
      </c>
      <c r="N419" s="110" t="s">
        <v>189</v>
      </c>
      <c r="O419" s="111"/>
      <c r="P419" s="110" t="s">
        <v>306</v>
      </c>
      <c r="Q419" s="134">
        <v>5900.0</v>
      </c>
      <c r="R419" s="29">
        <f t="shared" si="11"/>
        <v>5900</v>
      </c>
      <c r="S419" s="29">
        <f t="shared" si="12"/>
        <v>944</v>
      </c>
      <c r="T419" s="29">
        <f t="shared" si="13"/>
        <v>6844</v>
      </c>
      <c r="U419" s="121" t="s">
        <v>696</v>
      </c>
    </row>
    <row r="420" ht="15.75" hidden="1" customHeight="1">
      <c r="A420" s="108">
        <v>30.0</v>
      </c>
      <c r="B420" s="108">
        <v>11.0</v>
      </c>
      <c r="C420" s="133">
        <v>960.0</v>
      </c>
      <c r="D420" s="109">
        <v>46224.0</v>
      </c>
      <c r="E420" s="110">
        <v>1.0</v>
      </c>
      <c r="F420" s="132" t="s">
        <v>31</v>
      </c>
      <c r="G420" s="110" t="s">
        <v>251</v>
      </c>
      <c r="H420" s="110">
        <v>14.0</v>
      </c>
      <c r="I420" s="111"/>
      <c r="J420" s="110" t="s">
        <v>313</v>
      </c>
      <c r="K420" s="112" t="s">
        <v>50</v>
      </c>
      <c r="L420" s="110" t="s">
        <v>611</v>
      </c>
      <c r="M420" s="110" t="s">
        <v>612</v>
      </c>
      <c r="N420" s="110" t="s">
        <v>189</v>
      </c>
      <c r="O420" s="111"/>
      <c r="P420" s="110" t="s">
        <v>306</v>
      </c>
      <c r="Q420" s="134">
        <v>5900.0</v>
      </c>
      <c r="R420" s="29">
        <f t="shared" si="11"/>
        <v>5900</v>
      </c>
      <c r="S420" s="29">
        <f t="shared" si="12"/>
        <v>944</v>
      </c>
      <c r="T420" s="29">
        <f t="shared" si="13"/>
        <v>6844</v>
      </c>
      <c r="U420" s="121" t="s">
        <v>696</v>
      </c>
    </row>
    <row r="421" ht="15.75" hidden="1" customHeight="1">
      <c r="A421" s="108">
        <v>30.0</v>
      </c>
      <c r="B421" s="108">
        <v>12.0</v>
      </c>
      <c r="C421" s="133">
        <v>959.0</v>
      </c>
      <c r="D421" s="109">
        <v>46224.0</v>
      </c>
      <c r="E421" s="110">
        <v>1.0</v>
      </c>
      <c r="F421" s="132" t="s">
        <v>31</v>
      </c>
      <c r="G421" s="110" t="s">
        <v>248</v>
      </c>
      <c r="H421" s="110">
        <v>14.0</v>
      </c>
      <c r="I421" s="111"/>
      <c r="J421" s="110" t="s">
        <v>146</v>
      </c>
      <c r="K421" s="112" t="s">
        <v>50</v>
      </c>
      <c r="L421" s="110" t="s">
        <v>590</v>
      </c>
      <c r="M421" s="110" t="s">
        <v>613</v>
      </c>
      <c r="N421" s="110" t="s">
        <v>189</v>
      </c>
      <c r="O421" s="111"/>
      <c r="P421" s="110" t="s">
        <v>306</v>
      </c>
      <c r="Q421" s="134">
        <v>5900.0</v>
      </c>
      <c r="R421" s="29">
        <f t="shared" si="11"/>
        <v>5900</v>
      </c>
      <c r="S421" s="29">
        <f t="shared" si="12"/>
        <v>944</v>
      </c>
      <c r="T421" s="29">
        <f t="shared" si="13"/>
        <v>6844</v>
      </c>
      <c r="U421" s="121" t="s">
        <v>696</v>
      </c>
    </row>
    <row r="422" ht="15.75" hidden="1" customHeight="1">
      <c r="A422" s="108">
        <v>30.0</v>
      </c>
      <c r="B422" s="108">
        <v>13.0</v>
      </c>
      <c r="C422" s="133">
        <v>962.0</v>
      </c>
      <c r="D422" s="109">
        <v>46224.0</v>
      </c>
      <c r="E422" s="110">
        <v>1.0</v>
      </c>
      <c r="F422" s="132" t="s">
        <v>31</v>
      </c>
      <c r="G422" s="110" t="s">
        <v>255</v>
      </c>
      <c r="H422" s="110">
        <v>14.0</v>
      </c>
      <c r="I422" s="111"/>
      <c r="J422" s="110" t="s">
        <v>561</v>
      </c>
      <c r="K422" s="112" t="s">
        <v>50</v>
      </c>
      <c r="L422" s="110" t="s">
        <v>613</v>
      </c>
      <c r="M422" s="110" t="s">
        <v>594</v>
      </c>
      <c r="N422" s="110" t="s">
        <v>189</v>
      </c>
      <c r="O422" s="111"/>
      <c r="P422" s="110" t="s">
        <v>306</v>
      </c>
      <c r="Q422" s="134">
        <v>5900.0</v>
      </c>
      <c r="R422" s="29">
        <f t="shared" si="11"/>
        <v>5900</v>
      </c>
      <c r="S422" s="29">
        <f t="shared" si="12"/>
        <v>944</v>
      </c>
      <c r="T422" s="29">
        <f t="shared" si="13"/>
        <v>6844</v>
      </c>
      <c r="U422" s="121" t="s">
        <v>696</v>
      </c>
    </row>
    <row r="423" ht="15.75" hidden="1" customHeight="1">
      <c r="A423" s="108">
        <v>30.0</v>
      </c>
      <c r="B423" s="108">
        <v>14.0</v>
      </c>
      <c r="C423" s="133">
        <v>961.0</v>
      </c>
      <c r="D423" s="109">
        <v>46224.0</v>
      </c>
      <c r="E423" s="110">
        <v>1.0</v>
      </c>
      <c r="F423" s="132" t="s">
        <v>31</v>
      </c>
      <c r="G423" s="110" t="s">
        <v>480</v>
      </c>
      <c r="H423" s="110">
        <v>14.0</v>
      </c>
      <c r="I423" s="111"/>
      <c r="J423" s="110" t="s">
        <v>284</v>
      </c>
      <c r="K423" s="112" t="s">
        <v>50</v>
      </c>
      <c r="L423" s="110" t="s">
        <v>594</v>
      </c>
      <c r="M423" s="110" t="s">
        <v>614</v>
      </c>
      <c r="N423" s="110" t="s">
        <v>189</v>
      </c>
      <c r="O423" s="111"/>
      <c r="P423" s="110" t="s">
        <v>306</v>
      </c>
      <c r="Q423" s="134">
        <v>5900.0</v>
      </c>
      <c r="R423" s="29">
        <f t="shared" si="11"/>
        <v>5900</v>
      </c>
      <c r="S423" s="29">
        <f t="shared" si="12"/>
        <v>944</v>
      </c>
      <c r="T423" s="29">
        <f t="shared" si="13"/>
        <v>6844</v>
      </c>
      <c r="U423" s="121" t="s">
        <v>696</v>
      </c>
    </row>
    <row r="424" ht="15.75" hidden="1" customHeight="1">
      <c r="A424" s="108">
        <v>30.0</v>
      </c>
      <c r="B424" s="108">
        <v>15.0</v>
      </c>
      <c r="C424" s="133">
        <v>963.0</v>
      </c>
      <c r="D424" s="109">
        <v>46224.0</v>
      </c>
      <c r="E424" s="110">
        <v>1.0</v>
      </c>
      <c r="F424" s="132" t="s">
        <v>31</v>
      </c>
      <c r="G424" s="110" t="s">
        <v>461</v>
      </c>
      <c r="H424" s="110">
        <v>14.0</v>
      </c>
      <c r="I424" s="111"/>
      <c r="J424" s="110" t="s">
        <v>208</v>
      </c>
      <c r="K424" s="112" t="s">
        <v>50</v>
      </c>
      <c r="L424" s="110" t="s">
        <v>614</v>
      </c>
      <c r="M424" s="110" t="s">
        <v>615</v>
      </c>
      <c r="N424" s="110" t="s">
        <v>189</v>
      </c>
      <c r="O424" s="111"/>
      <c r="P424" s="110" t="s">
        <v>306</v>
      </c>
      <c r="Q424" s="134">
        <v>5900.0</v>
      </c>
      <c r="R424" s="29">
        <f t="shared" si="11"/>
        <v>5900</v>
      </c>
      <c r="S424" s="29">
        <f t="shared" si="12"/>
        <v>944</v>
      </c>
      <c r="T424" s="29">
        <f t="shared" si="13"/>
        <v>6844</v>
      </c>
      <c r="U424" s="121" t="s">
        <v>696</v>
      </c>
    </row>
    <row r="425" ht="15.75" hidden="1" customHeight="1">
      <c r="A425" s="108">
        <v>30.0</v>
      </c>
      <c r="B425" s="108">
        <v>2.0</v>
      </c>
      <c r="C425" s="133">
        <v>965.0</v>
      </c>
      <c r="D425" s="109">
        <v>46225.0</v>
      </c>
      <c r="E425" s="110">
        <v>1.0</v>
      </c>
      <c r="F425" s="132" t="s">
        <v>31</v>
      </c>
      <c r="G425" s="110" t="s">
        <v>295</v>
      </c>
      <c r="H425" s="110">
        <v>14.0</v>
      </c>
      <c r="I425" s="111"/>
      <c r="J425" s="110" t="s">
        <v>118</v>
      </c>
      <c r="K425" s="112" t="s">
        <v>50</v>
      </c>
      <c r="L425" s="110" t="s">
        <v>615</v>
      </c>
      <c r="M425" s="110" t="s">
        <v>616</v>
      </c>
      <c r="N425" s="110" t="s">
        <v>189</v>
      </c>
      <c r="O425" s="111"/>
      <c r="P425" s="110" t="s">
        <v>306</v>
      </c>
      <c r="Q425" s="134">
        <v>5900.0</v>
      </c>
      <c r="R425" s="29">
        <f t="shared" si="11"/>
        <v>5900</v>
      </c>
      <c r="S425" s="29">
        <f t="shared" si="12"/>
        <v>944</v>
      </c>
      <c r="T425" s="29">
        <f t="shared" si="13"/>
        <v>6844</v>
      </c>
      <c r="U425" s="121" t="s">
        <v>696</v>
      </c>
    </row>
    <row r="426" ht="15.75" hidden="1" customHeight="1">
      <c r="A426" s="108">
        <v>30.0</v>
      </c>
      <c r="B426" s="108">
        <v>3.0</v>
      </c>
      <c r="C426" s="136">
        <v>966.0</v>
      </c>
      <c r="D426" s="118">
        <v>46225.0</v>
      </c>
      <c r="E426" s="31">
        <v>1.0</v>
      </c>
      <c r="F426" s="132" t="s">
        <v>31</v>
      </c>
      <c r="G426" s="31" t="s">
        <v>196</v>
      </c>
      <c r="H426" s="31">
        <v>14.0</v>
      </c>
      <c r="I426" s="18"/>
      <c r="J426" s="31" t="s">
        <v>351</v>
      </c>
      <c r="K426" s="112" t="s">
        <v>50</v>
      </c>
      <c r="L426" s="31" t="s">
        <v>616</v>
      </c>
      <c r="M426" s="31" t="s">
        <v>617</v>
      </c>
      <c r="N426" s="31" t="s">
        <v>189</v>
      </c>
      <c r="O426" s="18"/>
      <c r="P426" s="31" t="s">
        <v>306</v>
      </c>
      <c r="Q426" s="134">
        <v>5900.0</v>
      </c>
      <c r="R426" s="29">
        <f t="shared" si="11"/>
        <v>5900</v>
      </c>
      <c r="S426" s="29">
        <f t="shared" si="12"/>
        <v>944</v>
      </c>
      <c r="T426" s="29">
        <f t="shared" si="13"/>
        <v>6844</v>
      </c>
      <c r="U426" s="121" t="s">
        <v>696</v>
      </c>
    </row>
    <row r="427" ht="15.75" hidden="1" customHeight="1">
      <c r="A427" s="108">
        <v>30.0</v>
      </c>
      <c r="B427" s="108">
        <v>4.0</v>
      </c>
      <c r="C427" s="136">
        <v>967.0</v>
      </c>
      <c r="D427" s="118">
        <v>46225.0</v>
      </c>
      <c r="E427" s="31">
        <v>1.0</v>
      </c>
      <c r="F427" s="132" t="s">
        <v>31</v>
      </c>
      <c r="G427" s="31" t="s">
        <v>618</v>
      </c>
      <c r="H427" s="31">
        <v>14.0</v>
      </c>
      <c r="I427" s="18"/>
      <c r="J427" s="31" t="s">
        <v>155</v>
      </c>
      <c r="K427" s="112" t="s">
        <v>50</v>
      </c>
      <c r="L427" s="31" t="s">
        <v>617</v>
      </c>
      <c r="M427" s="31" t="s">
        <v>619</v>
      </c>
      <c r="N427" s="31" t="s">
        <v>189</v>
      </c>
      <c r="O427" s="18"/>
      <c r="P427" s="31" t="s">
        <v>306</v>
      </c>
      <c r="Q427" s="134">
        <v>5900.0</v>
      </c>
      <c r="R427" s="29">
        <f t="shared" si="11"/>
        <v>5900</v>
      </c>
      <c r="S427" s="29">
        <f t="shared" si="12"/>
        <v>944</v>
      </c>
      <c r="T427" s="29">
        <f t="shared" si="13"/>
        <v>6844</v>
      </c>
      <c r="U427" s="121" t="s">
        <v>696</v>
      </c>
    </row>
    <row r="428" ht="15.75" hidden="1" customHeight="1">
      <c r="A428" s="108">
        <v>30.0</v>
      </c>
      <c r="B428" s="108">
        <v>5.0</v>
      </c>
      <c r="C428" s="136">
        <v>968.0</v>
      </c>
      <c r="D428" s="118">
        <v>46225.0</v>
      </c>
      <c r="E428" s="31">
        <v>1.0</v>
      </c>
      <c r="F428" s="132" t="s">
        <v>31</v>
      </c>
      <c r="G428" s="31" t="s">
        <v>368</v>
      </c>
      <c r="H428" s="31">
        <v>14.0</v>
      </c>
      <c r="I428" s="18"/>
      <c r="J428" s="31" t="s">
        <v>122</v>
      </c>
      <c r="K428" s="112" t="s">
        <v>50</v>
      </c>
      <c r="L428" s="31" t="s">
        <v>619</v>
      </c>
      <c r="M428" s="31" t="s">
        <v>620</v>
      </c>
      <c r="N428" s="31" t="s">
        <v>189</v>
      </c>
      <c r="O428" s="18"/>
      <c r="P428" s="31" t="s">
        <v>306</v>
      </c>
      <c r="Q428" s="134">
        <v>5900.0</v>
      </c>
      <c r="R428" s="29">
        <f t="shared" si="11"/>
        <v>5900</v>
      </c>
      <c r="S428" s="29">
        <f t="shared" si="12"/>
        <v>944</v>
      </c>
      <c r="T428" s="29">
        <f t="shared" si="13"/>
        <v>6844</v>
      </c>
      <c r="U428" s="121" t="s">
        <v>696</v>
      </c>
    </row>
    <row r="429" ht="15.75" hidden="1" customHeight="1">
      <c r="A429" s="108">
        <v>30.0</v>
      </c>
      <c r="B429" s="108">
        <v>1.0</v>
      </c>
      <c r="C429" s="136">
        <v>964.0</v>
      </c>
      <c r="D429" s="118">
        <v>46225.0</v>
      </c>
      <c r="E429" s="31">
        <v>1.0</v>
      </c>
      <c r="F429" s="132" t="s">
        <v>31</v>
      </c>
      <c r="G429" s="31" t="s">
        <v>480</v>
      </c>
      <c r="H429" s="31">
        <v>14.0</v>
      </c>
      <c r="I429" s="18"/>
      <c r="J429" s="31" t="s">
        <v>284</v>
      </c>
      <c r="K429" s="112" t="s">
        <v>50</v>
      </c>
      <c r="L429" s="31" t="s">
        <v>620</v>
      </c>
      <c r="M429" s="31" t="s">
        <v>621</v>
      </c>
      <c r="N429" s="31" t="s">
        <v>189</v>
      </c>
      <c r="O429" s="18"/>
      <c r="P429" s="31" t="s">
        <v>306</v>
      </c>
      <c r="Q429" s="134">
        <v>5900.0</v>
      </c>
      <c r="R429" s="29">
        <f t="shared" si="11"/>
        <v>5900</v>
      </c>
      <c r="S429" s="29">
        <f t="shared" si="12"/>
        <v>944</v>
      </c>
      <c r="T429" s="29">
        <f t="shared" si="13"/>
        <v>6844</v>
      </c>
      <c r="U429" s="121" t="s">
        <v>696</v>
      </c>
    </row>
    <row r="430" ht="15.75" hidden="1" customHeight="1">
      <c r="A430" s="108">
        <v>30.0</v>
      </c>
      <c r="B430" s="108">
        <v>7.0</v>
      </c>
      <c r="C430" s="136">
        <v>972.0</v>
      </c>
      <c r="D430" s="118">
        <v>46225.0</v>
      </c>
      <c r="E430" s="31">
        <v>1.0</v>
      </c>
      <c r="F430" s="132" t="s">
        <v>31</v>
      </c>
      <c r="G430" s="31" t="s">
        <v>251</v>
      </c>
      <c r="H430" s="31">
        <v>14.0</v>
      </c>
      <c r="I430" s="18"/>
      <c r="J430" s="31" t="s">
        <v>313</v>
      </c>
      <c r="K430" s="112" t="s">
        <v>50</v>
      </c>
      <c r="L430" s="31" t="s">
        <v>621</v>
      </c>
      <c r="M430" s="31" t="s">
        <v>622</v>
      </c>
      <c r="N430" s="31" t="s">
        <v>189</v>
      </c>
      <c r="O430" s="18"/>
      <c r="P430" s="31" t="s">
        <v>306</v>
      </c>
      <c r="Q430" s="134">
        <v>5900.0</v>
      </c>
      <c r="R430" s="29">
        <f t="shared" si="11"/>
        <v>5900</v>
      </c>
      <c r="S430" s="29">
        <f t="shared" si="12"/>
        <v>944</v>
      </c>
      <c r="T430" s="29">
        <f t="shared" si="13"/>
        <v>6844</v>
      </c>
      <c r="U430" s="121" t="s">
        <v>696</v>
      </c>
    </row>
    <row r="431" ht="15.75" hidden="1" customHeight="1">
      <c r="A431" s="108">
        <v>30.0</v>
      </c>
      <c r="B431" s="108">
        <v>6.0</v>
      </c>
      <c r="C431" s="136">
        <v>969.0</v>
      </c>
      <c r="D431" s="118">
        <v>46225.0</v>
      </c>
      <c r="E431" s="31">
        <v>1.0</v>
      </c>
      <c r="F431" s="132" t="s">
        <v>31</v>
      </c>
      <c r="G431" s="31" t="s">
        <v>320</v>
      </c>
      <c r="H431" s="31">
        <v>14.0</v>
      </c>
      <c r="I431" s="18"/>
      <c r="J431" s="31" t="s">
        <v>321</v>
      </c>
      <c r="K431" s="112" t="s">
        <v>50</v>
      </c>
      <c r="L431" s="31" t="s">
        <v>622</v>
      </c>
      <c r="M431" s="31" t="s">
        <v>623</v>
      </c>
      <c r="N431" s="31" t="s">
        <v>189</v>
      </c>
      <c r="O431" s="18"/>
      <c r="P431" s="31" t="s">
        <v>306</v>
      </c>
      <c r="Q431" s="134">
        <v>5900.0</v>
      </c>
      <c r="R431" s="29">
        <f t="shared" si="11"/>
        <v>5900</v>
      </c>
      <c r="S431" s="29">
        <f t="shared" si="12"/>
        <v>944</v>
      </c>
      <c r="T431" s="29">
        <f t="shared" si="13"/>
        <v>6844</v>
      </c>
      <c r="U431" s="121" t="s">
        <v>696</v>
      </c>
    </row>
    <row r="432" ht="15.75" hidden="1" customHeight="1">
      <c r="A432" s="108">
        <v>30.0</v>
      </c>
      <c r="B432" s="108">
        <v>8.0</v>
      </c>
      <c r="C432" s="136">
        <v>970.0</v>
      </c>
      <c r="D432" s="118">
        <v>46225.0</v>
      </c>
      <c r="E432" s="31">
        <v>1.0</v>
      </c>
      <c r="F432" s="132" t="s">
        <v>31</v>
      </c>
      <c r="G432" s="31" t="s">
        <v>248</v>
      </c>
      <c r="H432" s="31">
        <v>14.0</v>
      </c>
      <c r="I432" s="18"/>
      <c r="J432" s="31" t="s">
        <v>146</v>
      </c>
      <c r="K432" s="112" t="s">
        <v>50</v>
      </c>
      <c r="L432" s="31" t="s">
        <v>623</v>
      </c>
      <c r="M432" s="31" t="s">
        <v>624</v>
      </c>
      <c r="N432" s="31" t="s">
        <v>189</v>
      </c>
      <c r="O432" s="18"/>
      <c r="P432" s="31" t="s">
        <v>306</v>
      </c>
      <c r="Q432" s="134">
        <v>5900.0</v>
      </c>
      <c r="R432" s="29">
        <f t="shared" si="11"/>
        <v>5900</v>
      </c>
      <c r="S432" s="29">
        <f t="shared" si="12"/>
        <v>944</v>
      </c>
      <c r="T432" s="29">
        <f t="shared" si="13"/>
        <v>6844</v>
      </c>
      <c r="U432" s="121" t="s">
        <v>696</v>
      </c>
    </row>
    <row r="433" ht="15.75" hidden="1" customHeight="1">
      <c r="A433" s="108">
        <v>30.0</v>
      </c>
      <c r="B433" s="108">
        <v>9.0</v>
      </c>
      <c r="C433" s="136">
        <v>971.0</v>
      </c>
      <c r="D433" s="118">
        <v>46225.0</v>
      </c>
      <c r="E433" s="31">
        <v>1.0</v>
      </c>
      <c r="F433" s="132" t="s">
        <v>31</v>
      </c>
      <c r="G433" s="31" t="s">
        <v>357</v>
      </c>
      <c r="H433" s="31">
        <v>14.0</v>
      </c>
      <c r="I433" s="18"/>
      <c r="J433" s="31" t="s">
        <v>288</v>
      </c>
      <c r="K433" s="112" t="s">
        <v>50</v>
      </c>
      <c r="L433" s="31" t="s">
        <v>624</v>
      </c>
      <c r="M433" s="31" t="s">
        <v>626</v>
      </c>
      <c r="N433" s="31" t="s">
        <v>189</v>
      </c>
      <c r="O433" s="18"/>
      <c r="P433" s="31" t="s">
        <v>306</v>
      </c>
      <c r="Q433" s="134">
        <v>5900.0</v>
      </c>
      <c r="R433" s="29">
        <f t="shared" si="11"/>
        <v>5900</v>
      </c>
      <c r="S433" s="29">
        <f t="shared" si="12"/>
        <v>944</v>
      </c>
      <c r="T433" s="29">
        <f t="shared" si="13"/>
        <v>6844</v>
      </c>
      <c r="U433" s="121" t="s">
        <v>696</v>
      </c>
    </row>
    <row r="434" ht="15.75" hidden="1" customHeight="1">
      <c r="A434" s="108">
        <v>30.0</v>
      </c>
      <c r="B434" s="108">
        <v>10.0</v>
      </c>
      <c r="C434" s="136">
        <v>973.0</v>
      </c>
      <c r="D434" s="118">
        <v>46225.0</v>
      </c>
      <c r="E434" s="31">
        <v>1.0</v>
      </c>
      <c r="F434" s="132" t="s">
        <v>31</v>
      </c>
      <c r="G434" s="31" t="s">
        <v>201</v>
      </c>
      <c r="H434" s="31">
        <v>14.0</v>
      </c>
      <c r="I434" s="18"/>
      <c r="J434" s="31" t="s">
        <v>150</v>
      </c>
      <c r="K434" s="112" t="s">
        <v>50</v>
      </c>
      <c r="L434" s="31" t="s">
        <v>626</v>
      </c>
      <c r="M434" s="31" t="s">
        <v>627</v>
      </c>
      <c r="N434" s="31" t="s">
        <v>189</v>
      </c>
      <c r="O434" s="18"/>
      <c r="P434" s="31" t="s">
        <v>306</v>
      </c>
      <c r="Q434" s="134">
        <v>5900.0</v>
      </c>
      <c r="R434" s="29">
        <f t="shared" si="11"/>
        <v>5900</v>
      </c>
      <c r="S434" s="29">
        <f t="shared" si="12"/>
        <v>944</v>
      </c>
      <c r="T434" s="29">
        <f t="shared" si="13"/>
        <v>6844</v>
      </c>
      <c r="U434" s="121" t="s">
        <v>696</v>
      </c>
    </row>
    <row r="435" ht="15.75" hidden="1" customHeight="1">
      <c r="A435" s="108">
        <v>30.0</v>
      </c>
      <c r="B435" s="108">
        <v>11.0</v>
      </c>
      <c r="C435" s="136">
        <v>974.0</v>
      </c>
      <c r="D435" s="118">
        <v>46225.0</v>
      </c>
      <c r="E435" s="31">
        <v>1.0</v>
      </c>
      <c r="F435" s="132" t="s">
        <v>31</v>
      </c>
      <c r="G435" s="31" t="s">
        <v>488</v>
      </c>
      <c r="H435" s="31">
        <v>14.0</v>
      </c>
      <c r="I435" s="18"/>
      <c r="J435" s="31" t="s">
        <v>195</v>
      </c>
      <c r="K435" s="112" t="s">
        <v>50</v>
      </c>
      <c r="L435" s="31" t="s">
        <v>627</v>
      </c>
      <c r="M435" s="31" t="s">
        <v>628</v>
      </c>
      <c r="N435" s="31" t="s">
        <v>189</v>
      </c>
      <c r="O435" s="18"/>
      <c r="P435" s="31" t="s">
        <v>306</v>
      </c>
      <c r="Q435" s="134">
        <v>5900.0</v>
      </c>
      <c r="R435" s="29">
        <f t="shared" si="11"/>
        <v>5900</v>
      </c>
      <c r="S435" s="29">
        <f t="shared" si="12"/>
        <v>944</v>
      </c>
      <c r="T435" s="29">
        <f t="shared" si="13"/>
        <v>6844</v>
      </c>
      <c r="U435" s="121" t="s">
        <v>696</v>
      </c>
    </row>
    <row r="436" ht="15.75" hidden="1" customHeight="1">
      <c r="A436" s="108">
        <v>30.0</v>
      </c>
      <c r="B436" s="108">
        <v>12.0</v>
      </c>
      <c r="C436" s="136">
        <v>975.0</v>
      </c>
      <c r="D436" s="118">
        <v>46225.0</v>
      </c>
      <c r="E436" s="31">
        <v>1.0</v>
      </c>
      <c r="F436" s="132" t="s">
        <v>31</v>
      </c>
      <c r="G436" s="31" t="s">
        <v>295</v>
      </c>
      <c r="H436" s="31">
        <v>14.0</v>
      </c>
      <c r="I436" s="18"/>
      <c r="J436" s="31" t="s">
        <v>118</v>
      </c>
      <c r="K436" s="112" t="s">
        <v>50</v>
      </c>
      <c r="L436" s="31" t="s">
        <v>628</v>
      </c>
      <c r="M436" s="31" t="s">
        <v>629</v>
      </c>
      <c r="N436" s="31" t="s">
        <v>189</v>
      </c>
      <c r="O436" s="18"/>
      <c r="P436" s="31" t="s">
        <v>306</v>
      </c>
      <c r="Q436" s="134">
        <v>5900.0</v>
      </c>
      <c r="R436" s="29">
        <f t="shared" si="11"/>
        <v>5900</v>
      </c>
      <c r="S436" s="29">
        <f t="shared" si="12"/>
        <v>944</v>
      </c>
      <c r="T436" s="29">
        <f t="shared" si="13"/>
        <v>6844</v>
      </c>
      <c r="U436" s="121" t="s">
        <v>696</v>
      </c>
    </row>
    <row r="437" ht="15.75" hidden="1" customHeight="1">
      <c r="A437" s="108">
        <v>30.0</v>
      </c>
      <c r="B437" s="108">
        <v>13.0</v>
      </c>
      <c r="C437" s="136">
        <v>977.0</v>
      </c>
      <c r="D437" s="118">
        <v>46225.0</v>
      </c>
      <c r="E437" s="31">
        <v>1.0</v>
      </c>
      <c r="F437" s="132" t="s">
        <v>31</v>
      </c>
      <c r="G437" s="31" t="s">
        <v>618</v>
      </c>
      <c r="H437" s="31">
        <v>14.0</v>
      </c>
      <c r="I437" s="18"/>
      <c r="J437" s="31" t="s">
        <v>155</v>
      </c>
      <c r="K437" s="112" t="s">
        <v>50</v>
      </c>
      <c r="L437" s="31" t="s">
        <v>629</v>
      </c>
      <c r="M437" s="31" t="s">
        <v>630</v>
      </c>
      <c r="N437" s="31" t="s">
        <v>189</v>
      </c>
      <c r="O437" s="18"/>
      <c r="P437" s="31" t="s">
        <v>306</v>
      </c>
      <c r="Q437" s="134">
        <v>5900.0</v>
      </c>
      <c r="R437" s="29">
        <f t="shared" si="11"/>
        <v>5900</v>
      </c>
      <c r="S437" s="29">
        <f t="shared" si="12"/>
        <v>944</v>
      </c>
      <c r="T437" s="29">
        <f t="shared" si="13"/>
        <v>6844</v>
      </c>
      <c r="U437" s="121" t="s">
        <v>696</v>
      </c>
    </row>
    <row r="438" ht="15.75" hidden="1" customHeight="1">
      <c r="A438" s="108">
        <v>30.0</v>
      </c>
      <c r="B438" s="108">
        <v>14.0</v>
      </c>
      <c r="C438" s="136">
        <v>976.0</v>
      </c>
      <c r="D438" s="118">
        <v>46225.0</v>
      </c>
      <c r="E438" s="31">
        <v>1.0</v>
      </c>
      <c r="F438" s="132" t="s">
        <v>31</v>
      </c>
      <c r="G438" s="31" t="s">
        <v>196</v>
      </c>
      <c r="H438" s="31">
        <v>14.0</v>
      </c>
      <c r="I438" s="18"/>
      <c r="J438" s="31" t="s">
        <v>351</v>
      </c>
      <c r="K438" s="112" t="s">
        <v>50</v>
      </c>
      <c r="L438" s="31" t="s">
        <v>630</v>
      </c>
      <c r="M438" s="31" t="s">
        <v>631</v>
      </c>
      <c r="N438" s="31" t="s">
        <v>189</v>
      </c>
      <c r="O438" s="18"/>
      <c r="P438" s="31" t="s">
        <v>306</v>
      </c>
      <c r="Q438" s="134">
        <v>5900.0</v>
      </c>
      <c r="R438" s="29">
        <f t="shared" si="11"/>
        <v>5900</v>
      </c>
      <c r="S438" s="29">
        <f t="shared" si="12"/>
        <v>944</v>
      </c>
      <c r="T438" s="29">
        <f t="shared" si="13"/>
        <v>6844</v>
      </c>
      <c r="U438" s="121" t="s">
        <v>696</v>
      </c>
    </row>
    <row r="439" ht="15.75" hidden="1" customHeight="1">
      <c r="A439" s="108">
        <v>30.0</v>
      </c>
      <c r="B439" s="108">
        <v>15.0</v>
      </c>
      <c r="C439" s="136">
        <v>978.0</v>
      </c>
      <c r="D439" s="118">
        <v>46225.0</v>
      </c>
      <c r="E439" s="31">
        <v>1.0</v>
      </c>
      <c r="F439" s="132" t="s">
        <v>31</v>
      </c>
      <c r="G439" s="31" t="s">
        <v>368</v>
      </c>
      <c r="H439" s="31">
        <v>14.0</v>
      </c>
      <c r="I439" s="18"/>
      <c r="J439" s="31" t="s">
        <v>122</v>
      </c>
      <c r="K439" s="112" t="s">
        <v>50</v>
      </c>
      <c r="L439" s="31" t="s">
        <v>631</v>
      </c>
      <c r="M439" s="31" t="s">
        <v>632</v>
      </c>
      <c r="N439" s="31" t="s">
        <v>189</v>
      </c>
      <c r="O439" s="18"/>
      <c r="P439" s="31" t="s">
        <v>306</v>
      </c>
      <c r="Q439" s="134">
        <v>5900.0</v>
      </c>
      <c r="R439" s="29">
        <f t="shared" si="11"/>
        <v>5900</v>
      </c>
      <c r="S439" s="29">
        <f t="shared" si="12"/>
        <v>944</v>
      </c>
      <c r="T439" s="29">
        <f t="shared" si="13"/>
        <v>6844</v>
      </c>
      <c r="U439" s="121" t="s">
        <v>696</v>
      </c>
    </row>
    <row r="440" ht="15.75" hidden="1" customHeight="1">
      <c r="A440" s="108">
        <v>30.0</v>
      </c>
      <c r="B440" s="108">
        <v>1.0</v>
      </c>
      <c r="C440" s="136">
        <v>979.0</v>
      </c>
      <c r="D440" s="118">
        <v>46226.0</v>
      </c>
      <c r="E440" s="31">
        <v>1.0</v>
      </c>
      <c r="F440" s="132" t="s">
        <v>31</v>
      </c>
      <c r="G440" s="31" t="s">
        <v>251</v>
      </c>
      <c r="H440" s="31">
        <v>14.0</v>
      </c>
      <c r="I440" s="18"/>
      <c r="J440" s="31" t="s">
        <v>313</v>
      </c>
      <c r="K440" s="112" t="s">
        <v>50</v>
      </c>
      <c r="L440" s="31" t="s">
        <v>600</v>
      </c>
      <c r="M440" s="31" t="s">
        <v>633</v>
      </c>
      <c r="N440" s="31" t="s">
        <v>189</v>
      </c>
      <c r="O440" s="18"/>
      <c r="P440" s="31" t="s">
        <v>283</v>
      </c>
      <c r="Q440" s="134">
        <v>5900.0</v>
      </c>
      <c r="R440" s="29">
        <f t="shared" si="11"/>
        <v>5900</v>
      </c>
      <c r="S440" s="29">
        <f t="shared" si="12"/>
        <v>944</v>
      </c>
      <c r="T440" s="29">
        <f t="shared" si="13"/>
        <v>6844</v>
      </c>
      <c r="U440" s="121" t="s">
        <v>696</v>
      </c>
    </row>
    <row r="441" ht="15.75" hidden="1" customHeight="1">
      <c r="A441" s="108">
        <v>30.0</v>
      </c>
      <c r="B441" s="108">
        <v>2.0</v>
      </c>
      <c r="C441" s="136">
        <v>980.0</v>
      </c>
      <c r="D441" s="118">
        <v>46226.0</v>
      </c>
      <c r="E441" s="31">
        <v>1.0</v>
      </c>
      <c r="F441" s="132" t="s">
        <v>31</v>
      </c>
      <c r="G441" s="31" t="s">
        <v>634</v>
      </c>
      <c r="H441" s="31">
        <v>14.0</v>
      </c>
      <c r="I441" s="18"/>
      <c r="J441" s="31" t="s">
        <v>118</v>
      </c>
      <c r="K441" s="112" t="s">
        <v>50</v>
      </c>
      <c r="L441" s="31" t="s">
        <v>633</v>
      </c>
      <c r="M441" s="31" t="s">
        <v>635</v>
      </c>
      <c r="N441" s="31" t="s">
        <v>189</v>
      </c>
      <c r="O441" s="18"/>
      <c r="P441" s="31" t="s">
        <v>283</v>
      </c>
      <c r="Q441" s="134">
        <v>5900.0</v>
      </c>
      <c r="R441" s="29">
        <f t="shared" si="11"/>
        <v>5900</v>
      </c>
      <c r="S441" s="29">
        <f t="shared" si="12"/>
        <v>944</v>
      </c>
      <c r="T441" s="29">
        <f t="shared" si="13"/>
        <v>6844</v>
      </c>
      <c r="U441" s="121" t="s">
        <v>696</v>
      </c>
    </row>
    <row r="442" ht="15.75" hidden="1" customHeight="1">
      <c r="A442" s="108">
        <v>30.0</v>
      </c>
      <c r="B442" s="108">
        <v>3.0</v>
      </c>
      <c r="C442" s="136">
        <v>981.0</v>
      </c>
      <c r="D442" s="118">
        <v>46226.0</v>
      </c>
      <c r="E442" s="31">
        <v>1.0</v>
      </c>
      <c r="F442" s="132" t="s">
        <v>31</v>
      </c>
      <c r="G442" s="31" t="s">
        <v>201</v>
      </c>
      <c r="H442" s="31">
        <v>14.0</v>
      </c>
      <c r="I442" s="18"/>
      <c r="J442" s="31" t="s">
        <v>150</v>
      </c>
      <c r="K442" s="112" t="s">
        <v>50</v>
      </c>
      <c r="L442" s="31" t="s">
        <v>635</v>
      </c>
      <c r="M442" s="31" t="s">
        <v>636</v>
      </c>
      <c r="N442" s="31" t="s">
        <v>189</v>
      </c>
      <c r="O442" s="18"/>
      <c r="P442" s="31" t="s">
        <v>283</v>
      </c>
      <c r="Q442" s="134">
        <v>5900.0</v>
      </c>
      <c r="R442" s="29">
        <f t="shared" si="11"/>
        <v>5900</v>
      </c>
      <c r="S442" s="29">
        <f t="shared" si="12"/>
        <v>944</v>
      </c>
      <c r="T442" s="29">
        <f t="shared" si="13"/>
        <v>6844</v>
      </c>
      <c r="U442" s="121" t="s">
        <v>696</v>
      </c>
    </row>
    <row r="443" ht="15.75" hidden="1" customHeight="1">
      <c r="A443" s="108">
        <v>30.0</v>
      </c>
      <c r="B443" s="108">
        <v>4.0</v>
      </c>
      <c r="C443" s="136">
        <v>985.0</v>
      </c>
      <c r="D443" s="118">
        <v>46226.0</v>
      </c>
      <c r="E443" s="31">
        <v>1.0</v>
      </c>
      <c r="F443" s="132" t="s">
        <v>31</v>
      </c>
      <c r="G443" s="31" t="s">
        <v>488</v>
      </c>
      <c r="H443" s="31">
        <v>14.0</v>
      </c>
      <c r="I443" s="18"/>
      <c r="J443" s="31" t="s">
        <v>195</v>
      </c>
      <c r="K443" s="112" t="s">
        <v>50</v>
      </c>
      <c r="L443" s="31" t="s">
        <v>636</v>
      </c>
      <c r="M443" s="31" t="s">
        <v>637</v>
      </c>
      <c r="N443" s="31" t="s">
        <v>189</v>
      </c>
      <c r="O443" s="18"/>
      <c r="P443" s="31" t="s">
        <v>283</v>
      </c>
      <c r="Q443" s="134">
        <v>5900.0</v>
      </c>
      <c r="R443" s="29">
        <f t="shared" si="11"/>
        <v>5900</v>
      </c>
      <c r="S443" s="29">
        <f t="shared" si="12"/>
        <v>944</v>
      </c>
      <c r="T443" s="29">
        <f t="shared" si="13"/>
        <v>6844</v>
      </c>
      <c r="U443" s="121" t="s">
        <v>696</v>
      </c>
    </row>
    <row r="444" ht="15.75" hidden="1" customHeight="1">
      <c r="A444" s="108">
        <v>30.0</v>
      </c>
      <c r="B444" s="108">
        <v>5.0</v>
      </c>
      <c r="C444" s="136">
        <v>983.0</v>
      </c>
      <c r="D444" s="118">
        <v>46226.0</v>
      </c>
      <c r="E444" s="31">
        <v>1.0</v>
      </c>
      <c r="F444" s="132" t="s">
        <v>31</v>
      </c>
      <c r="G444" s="31" t="s">
        <v>638</v>
      </c>
      <c r="H444" s="31">
        <v>14.0</v>
      </c>
      <c r="I444" s="18"/>
      <c r="J444" s="31" t="s">
        <v>326</v>
      </c>
      <c r="K444" s="112" t="s">
        <v>50</v>
      </c>
      <c r="L444" s="31" t="s">
        <v>637</v>
      </c>
      <c r="M444" s="31" t="s">
        <v>623</v>
      </c>
      <c r="N444" s="31" t="s">
        <v>189</v>
      </c>
      <c r="O444" s="18"/>
      <c r="P444" s="31" t="s">
        <v>283</v>
      </c>
      <c r="Q444" s="134">
        <v>5900.0</v>
      </c>
      <c r="R444" s="29">
        <f t="shared" si="11"/>
        <v>5900</v>
      </c>
      <c r="S444" s="29">
        <f t="shared" si="12"/>
        <v>944</v>
      </c>
      <c r="T444" s="29">
        <f t="shared" si="13"/>
        <v>6844</v>
      </c>
      <c r="U444" s="121" t="s">
        <v>696</v>
      </c>
    </row>
    <row r="445" ht="15.75" hidden="1" customHeight="1">
      <c r="A445" s="108">
        <v>30.0</v>
      </c>
      <c r="B445" s="108">
        <v>6.0</v>
      </c>
      <c r="C445" s="136">
        <v>982.0</v>
      </c>
      <c r="D445" s="118">
        <v>46226.0</v>
      </c>
      <c r="E445" s="31">
        <v>1.0</v>
      </c>
      <c r="F445" s="132" t="s">
        <v>31</v>
      </c>
      <c r="G445" s="31" t="s">
        <v>474</v>
      </c>
      <c r="H445" s="31">
        <v>14.0</v>
      </c>
      <c r="I445" s="18"/>
      <c r="J445" s="31" t="s">
        <v>593</v>
      </c>
      <c r="K445" s="112" t="s">
        <v>50</v>
      </c>
      <c r="L445" s="31" t="s">
        <v>623</v>
      </c>
      <c r="M445" s="31" t="s">
        <v>639</v>
      </c>
      <c r="N445" s="31" t="s">
        <v>189</v>
      </c>
      <c r="O445" s="18"/>
      <c r="P445" s="31" t="s">
        <v>306</v>
      </c>
      <c r="Q445" s="134">
        <v>5900.0</v>
      </c>
      <c r="R445" s="29">
        <f t="shared" si="11"/>
        <v>5900</v>
      </c>
      <c r="S445" s="29">
        <f t="shared" si="12"/>
        <v>944</v>
      </c>
      <c r="T445" s="29">
        <f t="shared" si="13"/>
        <v>6844</v>
      </c>
      <c r="U445" s="121" t="s">
        <v>696</v>
      </c>
    </row>
    <row r="446" ht="15.75" hidden="1" customHeight="1">
      <c r="A446" s="108">
        <v>30.0</v>
      </c>
      <c r="B446" s="108">
        <v>7.0</v>
      </c>
      <c r="C446" s="136">
        <v>986.0</v>
      </c>
      <c r="D446" s="118">
        <v>46226.0</v>
      </c>
      <c r="E446" s="31">
        <v>1.0</v>
      </c>
      <c r="F446" s="132" t="s">
        <v>31</v>
      </c>
      <c r="G446" s="31" t="s">
        <v>368</v>
      </c>
      <c r="H446" s="31">
        <v>14.0</v>
      </c>
      <c r="I446" s="18"/>
      <c r="J446" s="31" t="s">
        <v>122</v>
      </c>
      <c r="K446" s="112" t="s">
        <v>50</v>
      </c>
      <c r="L446" s="31" t="s">
        <v>639</v>
      </c>
      <c r="M446" s="31" t="s">
        <v>640</v>
      </c>
      <c r="N446" s="31" t="s">
        <v>189</v>
      </c>
      <c r="O446" s="18"/>
      <c r="P446" s="31" t="s">
        <v>283</v>
      </c>
      <c r="Q446" s="134">
        <v>5900.0</v>
      </c>
      <c r="R446" s="29">
        <f t="shared" si="11"/>
        <v>5900</v>
      </c>
      <c r="S446" s="29">
        <f t="shared" si="12"/>
        <v>944</v>
      </c>
      <c r="T446" s="29">
        <f t="shared" si="13"/>
        <v>6844</v>
      </c>
      <c r="U446" s="121" t="s">
        <v>696</v>
      </c>
    </row>
    <row r="447" ht="15.75" hidden="1" customHeight="1">
      <c r="A447" s="108">
        <v>30.0</v>
      </c>
      <c r="B447" s="108">
        <v>8.0</v>
      </c>
      <c r="C447" s="136">
        <v>989.0</v>
      </c>
      <c r="D447" s="118">
        <v>46226.0</v>
      </c>
      <c r="E447" s="31">
        <v>1.0</v>
      </c>
      <c r="F447" s="132" t="s">
        <v>31</v>
      </c>
      <c r="G447" s="31" t="s">
        <v>480</v>
      </c>
      <c r="H447" s="31">
        <v>14.0</v>
      </c>
      <c r="I447" s="18"/>
      <c r="J447" s="31" t="s">
        <v>284</v>
      </c>
      <c r="K447" s="112" t="s">
        <v>50</v>
      </c>
      <c r="L447" s="31" t="s">
        <v>640</v>
      </c>
      <c r="M447" s="31" t="s">
        <v>641</v>
      </c>
      <c r="N447" s="31" t="s">
        <v>189</v>
      </c>
      <c r="O447" s="18"/>
      <c r="P447" s="31" t="s">
        <v>283</v>
      </c>
      <c r="Q447" s="134">
        <v>5900.0</v>
      </c>
      <c r="R447" s="29">
        <f t="shared" si="11"/>
        <v>5900</v>
      </c>
      <c r="S447" s="29">
        <f t="shared" si="12"/>
        <v>944</v>
      </c>
      <c r="T447" s="29">
        <f t="shared" si="13"/>
        <v>6844</v>
      </c>
      <c r="U447" s="121" t="s">
        <v>696</v>
      </c>
    </row>
    <row r="448" ht="15.75" hidden="1" customHeight="1">
      <c r="A448" s="108">
        <v>30.0</v>
      </c>
      <c r="B448" s="108">
        <v>9.0</v>
      </c>
      <c r="C448" s="137">
        <v>984.0</v>
      </c>
      <c r="D448" s="118">
        <v>46226.0</v>
      </c>
      <c r="E448" s="31">
        <v>1.0</v>
      </c>
      <c r="F448" s="132" t="s">
        <v>31</v>
      </c>
      <c r="G448" s="31" t="s">
        <v>427</v>
      </c>
      <c r="H448" s="31">
        <v>14.0</v>
      </c>
      <c r="I448" s="18"/>
      <c r="J448" s="31" t="s">
        <v>344</v>
      </c>
      <c r="K448" s="112" t="s">
        <v>50</v>
      </c>
      <c r="L448" s="31" t="s">
        <v>641</v>
      </c>
      <c r="M448" s="31" t="s">
        <v>643</v>
      </c>
      <c r="N448" s="31" t="s">
        <v>189</v>
      </c>
      <c r="O448" s="18"/>
      <c r="P448" s="31" t="s">
        <v>283</v>
      </c>
      <c r="Q448" s="134">
        <v>5900.0</v>
      </c>
      <c r="R448" s="29">
        <f t="shared" si="11"/>
        <v>5900</v>
      </c>
      <c r="S448" s="29">
        <f t="shared" si="12"/>
        <v>944</v>
      </c>
      <c r="T448" s="29">
        <f t="shared" si="13"/>
        <v>6844</v>
      </c>
      <c r="U448" s="129" t="s">
        <v>697</v>
      </c>
    </row>
    <row r="449" ht="15.75" hidden="1" customHeight="1">
      <c r="A449" s="108">
        <v>30.0</v>
      </c>
      <c r="B449" s="108">
        <v>10.0</v>
      </c>
      <c r="C449" s="136">
        <v>987.0</v>
      </c>
      <c r="D449" s="118">
        <v>46226.0</v>
      </c>
      <c r="E449" s="31">
        <v>1.0</v>
      </c>
      <c r="F449" s="132" t="s">
        <v>31</v>
      </c>
      <c r="G449" s="31" t="s">
        <v>555</v>
      </c>
      <c r="H449" s="31">
        <v>14.0</v>
      </c>
      <c r="I449" s="18"/>
      <c r="J449" s="31" t="s">
        <v>242</v>
      </c>
      <c r="K449" s="112" t="s">
        <v>50</v>
      </c>
      <c r="L449" s="31" t="s">
        <v>643</v>
      </c>
      <c r="M449" s="31" t="s">
        <v>644</v>
      </c>
      <c r="N449" s="31" t="s">
        <v>189</v>
      </c>
      <c r="O449" s="18"/>
      <c r="P449" s="31" t="s">
        <v>283</v>
      </c>
      <c r="Q449" s="134">
        <v>5900.0</v>
      </c>
      <c r="R449" s="29">
        <f t="shared" si="11"/>
        <v>5900</v>
      </c>
      <c r="S449" s="29">
        <f t="shared" si="12"/>
        <v>944</v>
      </c>
      <c r="T449" s="29">
        <f t="shared" si="13"/>
        <v>6844</v>
      </c>
      <c r="U449" s="121" t="s">
        <v>696</v>
      </c>
    </row>
    <row r="450" ht="15.75" hidden="1" customHeight="1">
      <c r="A450" s="108">
        <v>30.0</v>
      </c>
      <c r="B450" s="108">
        <v>11.0</v>
      </c>
      <c r="C450" s="136">
        <v>990.0</v>
      </c>
      <c r="D450" s="118">
        <v>46226.0</v>
      </c>
      <c r="E450" s="31">
        <v>1.0</v>
      </c>
      <c r="F450" s="132" t="s">
        <v>31</v>
      </c>
      <c r="G450" s="31" t="s">
        <v>251</v>
      </c>
      <c r="H450" s="31">
        <v>14.0</v>
      </c>
      <c r="I450" s="18"/>
      <c r="J450" s="31" t="s">
        <v>313</v>
      </c>
      <c r="K450" s="112" t="s">
        <v>50</v>
      </c>
      <c r="L450" s="31" t="s">
        <v>644</v>
      </c>
      <c r="M450" s="31" t="s">
        <v>645</v>
      </c>
      <c r="N450" s="31" t="s">
        <v>189</v>
      </c>
      <c r="O450" s="18"/>
      <c r="P450" s="31" t="s">
        <v>283</v>
      </c>
      <c r="Q450" s="134">
        <v>5900.0</v>
      </c>
      <c r="R450" s="29">
        <f t="shared" si="11"/>
        <v>5900</v>
      </c>
      <c r="S450" s="29">
        <f t="shared" si="12"/>
        <v>944</v>
      </c>
      <c r="T450" s="29">
        <f t="shared" si="13"/>
        <v>6844</v>
      </c>
      <c r="U450" s="121" t="s">
        <v>696</v>
      </c>
    </row>
    <row r="451" ht="15.75" hidden="1" customHeight="1">
      <c r="A451" s="108">
        <v>30.0</v>
      </c>
      <c r="B451" s="108">
        <v>12.0</v>
      </c>
      <c r="C451" s="136">
        <v>991.0</v>
      </c>
      <c r="D451" s="118">
        <v>46226.0</v>
      </c>
      <c r="E451" s="31">
        <v>1.0</v>
      </c>
      <c r="F451" s="132" t="s">
        <v>31</v>
      </c>
      <c r="G451" s="31" t="s">
        <v>295</v>
      </c>
      <c r="H451" s="31">
        <v>14.0</v>
      </c>
      <c r="I451" s="18"/>
      <c r="J451" s="31" t="s">
        <v>118</v>
      </c>
      <c r="K451" s="112" t="s">
        <v>50</v>
      </c>
      <c r="L451" s="31" t="s">
        <v>645</v>
      </c>
      <c r="M451" s="31" t="s">
        <v>632</v>
      </c>
      <c r="N451" s="31" t="s">
        <v>189</v>
      </c>
      <c r="O451" s="18"/>
      <c r="P451" s="31" t="s">
        <v>283</v>
      </c>
      <c r="Q451" s="134">
        <v>5900.0</v>
      </c>
      <c r="R451" s="29">
        <f t="shared" si="11"/>
        <v>5900</v>
      </c>
      <c r="S451" s="29">
        <f t="shared" si="12"/>
        <v>944</v>
      </c>
      <c r="T451" s="29">
        <f t="shared" si="13"/>
        <v>6844</v>
      </c>
      <c r="U451" s="121" t="s">
        <v>696</v>
      </c>
    </row>
    <row r="452" ht="15.75" hidden="1" customHeight="1">
      <c r="A452" s="108">
        <v>30.0</v>
      </c>
      <c r="B452" s="108">
        <v>13.0</v>
      </c>
      <c r="C452" s="136">
        <v>992.0</v>
      </c>
      <c r="D452" s="118">
        <v>46226.0</v>
      </c>
      <c r="E452" s="31">
        <v>1.0</v>
      </c>
      <c r="F452" s="132" t="s">
        <v>31</v>
      </c>
      <c r="G452" s="31" t="s">
        <v>201</v>
      </c>
      <c r="H452" s="31">
        <v>14.0</v>
      </c>
      <c r="I452" s="18"/>
      <c r="J452" s="31" t="s">
        <v>150</v>
      </c>
      <c r="K452" s="112" t="s">
        <v>50</v>
      </c>
      <c r="L452" s="31" t="s">
        <v>632</v>
      </c>
      <c r="M452" s="31" t="s">
        <v>646</v>
      </c>
      <c r="N452" s="31" t="s">
        <v>189</v>
      </c>
      <c r="O452" s="18"/>
      <c r="P452" s="31" t="s">
        <v>283</v>
      </c>
      <c r="Q452" s="134">
        <v>5900.0</v>
      </c>
      <c r="R452" s="29">
        <f t="shared" si="11"/>
        <v>5900</v>
      </c>
      <c r="S452" s="29">
        <f t="shared" si="12"/>
        <v>944</v>
      </c>
      <c r="T452" s="29">
        <f t="shared" si="13"/>
        <v>6844</v>
      </c>
      <c r="U452" s="121" t="s">
        <v>696</v>
      </c>
    </row>
    <row r="453" ht="15.75" hidden="1" customHeight="1">
      <c r="A453" s="108">
        <v>30.0</v>
      </c>
      <c r="B453" s="108">
        <v>14.0</v>
      </c>
      <c r="C453" s="136">
        <v>993.0</v>
      </c>
      <c r="D453" s="118">
        <v>46226.0</v>
      </c>
      <c r="E453" s="31">
        <v>1.0</v>
      </c>
      <c r="F453" s="132" t="s">
        <v>31</v>
      </c>
      <c r="G453" s="31" t="s">
        <v>488</v>
      </c>
      <c r="H453" s="31">
        <v>14.0</v>
      </c>
      <c r="I453" s="18"/>
      <c r="J453" s="31" t="s">
        <v>195</v>
      </c>
      <c r="K453" s="112" t="s">
        <v>50</v>
      </c>
      <c r="L453" s="31" t="s">
        <v>631</v>
      </c>
      <c r="M453" s="31" t="s">
        <v>632</v>
      </c>
      <c r="N453" s="31" t="s">
        <v>189</v>
      </c>
      <c r="O453" s="18"/>
      <c r="P453" s="31" t="s">
        <v>283</v>
      </c>
      <c r="Q453" s="134">
        <v>5900.0</v>
      </c>
      <c r="R453" s="29">
        <f t="shared" si="11"/>
        <v>5900</v>
      </c>
      <c r="S453" s="29">
        <f t="shared" si="12"/>
        <v>944</v>
      </c>
      <c r="T453" s="29">
        <f t="shared" si="13"/>
        <v>6844</v>
      </c>
      <c r="U453" s="121" t="s">
        <v>696</v>
      </c>
    </row>
    <row r="454" ht="15.75" hidden="1" customHeight="1">
      <c r="A454" s="108">
        <v>30.0</v>
      </c>
      <c r="B454" s="108">
        <v>15.0</v>
      </c>
      <c r="C454" s="136">
        <v>994.0</v>
      </c>
      <c r="D454" s="118">
        <v>46226.0</v>
      </c>
      <c r="E454" s="31">
        <v>1.0</v>
      </c>
      <c r="F454" s="132" t="s">
        <v>31</v>
      </c>
      <c r="G454" s="31" t="s">
        <v>416</v>
      </c>
      <c r="H454" s="31">
        <v>14.0</v>
      </c>
      <c r="I454" s="18"/>
      <c r="J454" s="31" t="s">
        <v>326</v>
      </c>
      <c r="K454" s="112" t="s">
        <v>50</v>
      </c>
      <c r="L454" s="31" t="s">
        <v>632</v>
      </c>
      <c r="M454" s="31" t="s">
        <v>647</v>
      </c>
      <c r="N454" s="31" t="s">
        <v>189</v>
      </c>
      <c r="O454" s="18"/>
      <c r="P454" s="31" t="s">
        <v>283</v>
      </c>
      <c r="Q454" s="134">
        <v>5900.0</v>
      </c>
      <c r="R454" s="29">
        <f t="shared" si="11"/>
        <v>5900</v>
      </c>
      <c r="S454" s="29">
        <f t="shared" si="12"/>
        <v>944</v>
      </c>
      <c r="T454" s="29">
        <f t="shared" si="13"/>
        <v>6844</v>
      </c>
      <c r="U454" s="121" t="s">
        <v>696</v>
      </c>
    </row>
    <row r="455" ht="15.75" hidden="1" customHeight="1">
      <c r="A455" s="108">
        <v>30.0</v>
      </c>
      <c r="B455" s="108">
        <v>1.0</v>
      </c>
      <c r="C455" s="136">
        <v>995.0</v>
      </c>
      <c r="D455" s="118">
        <v>46227.0</v>
      </c>
      <c r="E455" s="31">
        <v>1.0</v>
      </c>
      <c r="F455" s="132" t="s">
        <v>31</v>
      </c>
      <c r="G455" s="31" t="s">
        <v>618</v>
      </c>
      <c r="H455" s="31">
        <v>14.0</v>
      </c>
      <c r="I455" s="18"/>
      <c r="J455" s="31" t="s">
        <v>155</v>
      </c>
      <c r="K455" s="112" t="s">
        <v>50</v>
      </c>
      <c r="L455" s="31" t="s">
        <v>632</v>
      </c>
      <c r="M455" s="31" t="s">
        <v>648</v>
      </c>
      <c r="N455" s="31" t="s">
        <v>189</v>
      </c>
      <c r="O455" s="18"/>
      <c r="P455" s="31" t="s">
        <v>306</v>
      </c>
      <c r="Q455" s="134">
        <v>5900.0</v>
      </c>
      <c r="R455" s="29">
        <f t="shared" si="11"/>
        <v>5900</v>
      </c>
      <c r="S455" s="29">
        <f t="shared" si="12"/>
        <v>944</v>
      </c>
      <c r="T455" s="29">
        <f t="shared" si="13"/>
        <v>6844</v>
      </c>
      <c r="U455" s="121" t="s">
        <v>696</v>
      </c>
    </row>
    <row r="456" ht="15.75" hidden="1" customHeight="1">
      <c r="A456" s="108">
        <v>30.0</v>
      </c>
      <c r="B456" s="108">
        <v>2.0</v>
      </c>
      <c r="C456" s="136">
        <v>997.0</v>
      </c>
      <c r="D456" s="118">
        <v>46227.0</v>
      </c>
      <c r="E456" s="31">
        <v>1.0</v>
      </c>
      <c r="F456" s="132" t="s">
        <v>31</v>
      </c>
      <c r="G456" s="31" t="s">
        <v>201</v>
      </c>
      <c r="H456" s="31">
        <v>14.0</v>
      </c>
      <c r="I456" s="18"/>
      <c r="J456" s="31" t="s">
        <v>150</v>
      </c>
      <c r="K456" s="112" t="s">
        <v>50</v>
      </c>
      <c r="L456" s="31" t="s">
        <v>648</v>
      </c>
      <c r="M456" s="31" t="s">
        <v>649</v>
      </c>
      <c r="N456" s="31" t="s">
        <v>189</v>
      </c>
      <c r="O456" s="18"/>
      <c r="P456" s="31" t="s">
        <v>306</v>
      </c>
      <c r="Q456" s="134">
        <v>5900.0</v>
      </c>
      <c r="R456" s="29">
        <f t="shared" si="11"/>
        <v>5900</v>
      </c>
      <c r="S456" s="29">
        <f t="shared" si="12"/>
        <v>944</v>
      </c>
      <c r="T456" s="29">
        <f t="shared" si="13"/>
        <v>6844</v>
      </c>
      <c r="U456" s="121" t="s">
        <v>696</v>
      </c>
    </row>
    <row r="457" ht="15.75" hidden="1" customHeight="1">
      <c r="A457" s="108">
        <v>30.0</v>
      </c>
      <c r="B457" s="108">
        <v>3.0</v>
      </c>
      <c r="C457" s="136">
        <v>996.0</v>
      </c>
      <c r="D457" s="118">
        <v>46227.0</v>
      </c>
      <c r="E457" s="31">
        <v>1.0</v>
      </c>
      <c r="F457" s="132" t="s">
        <v>31</v>
      </c>
      <c r="G457" s="31" t="s">
        <v>651</v>
      </c>
      <c r="H457" s="31">
        <v>14.0</v>
      </c>
      <c r="I457" s="18"/>
      <c r="J457" s="31" t="s">
        <v>652</v>
      </c>
      <c r="K457" s="112" t="s">
        <v>50</v>
      </c>
      <c r="L457" s="31" t="s">
        <v>649</v>
      </c>
      <c r="M457" s="31" t="s">
        <v>653</v>
      </c>
      <c r="N457" s="31" t="s">
        <v>189</v>
      </c>
      <c r="O457" s="18"/>
      <c r="P457" s="31" t="s">
        <v>306</v>
      </c>
      <c r="Q457" s="134">
        <v>5900.0</v>
      </c>
      <c r="R457" s="29">
        <f t="shared" si="11"/>
        <v>5900</v>
      </c>
      <c r="S457" s="29">
        <f t="shared" si="12"/>
        <v>944</v>
      </c>
      <c r="T457" s="29">
        <f t="shared" si="13"/>
        <v>6844</v>
      </c>
      <c r="U457" s="121" t="s">
        <v>696</v>
      </c>
    </row>
    <row r="458" ht="15.75" hidden="1" customHeight="1">
      <c r="A458" s="108">
        <v>30.0</v>
      </c>
      <c r="B458" s="108">
        <v>4.0</v>
      </c>
      <c r="C458" s="136">
        <v>998.0</v>
      </c>
      <c r="D458" s="118">
        <v>46227.0</v>
      </c>
      <c r="E458" s="31">
        <v>1.0</v>
      </c>
      <c r="F458" s="132" t="s">
        <v>31</v>
      </c>
      <c r="G458" s="31" t="s">
        <v>480</v>
      </c>
      <c r="H458" s="31">
        <v>14.0</v>
      </c>
      <c r="I458" s="18"/>
      <c r="J458" s="31" t="s">
        <v>284</v>
      </c>
      <c r="K458" s="112" t="s">
        <v>50</v>
      </c>
      <c r="L458" s="31" t="s">
        <v>653</v>
      </c>
      <c r="M458" s="31" t="s">
        <v>654</v>
      </c>
      <c r="N458" s="31" t="s">
        <v>189</v>
      </c>
      <c r="O458" s="18"/>
      <c r="P458" s="31" t="s">
        <v>306</v>
      </c>
      <c r="Q458" s="134">
        <v>5900.0</v>
      </c>
      <c r="R458" s="29">
        <f t="shared" si="11"/>
        <v>5900</v>
      </c>
      <c r="S458" s="29">
        <f t="shared" si="12"/>
        <v>944</v>
      </c>
      <c r="T458" s="29">
        <f t="shared" si="13"/>
        <v>6844</v>
      </c>
      <c r="U458" s="121" t="s">
        <v>696</v>
      </c>
    </row>
    <row r="459" ht="15.75" hidden="1" customHeight="1">
      <c r="A459" s="108">
        <v>30.0</v>
      </c>
      <c r="B459" s="108">
        <v>5.0</v>
      </c>
      <c r="C459" s="136">
        <v>999.0</v>
      </c>
      <c r="D459" s="118">
        <v>46227.0</v>
      </c>
      <c r="E459" s="31">
        <v>1.0</v>
      </c>
      <c r="F459" s="132" t="s">
        <v>31</v>
      </c>
      <c r="G459" s="31" t="s">
        <v>357</v>
      </c>
      <c r="H459" s="31">
        <v>14.0</v>
      </c>
      <c r="I459" s="18"/>
      <c r="J459" s="31" t="s">
        <v>288</v>
      </c>
      <c r="K459" s="112" t="s">
        <v>50</v>
      </c>
      <c r="L459" s="31" t="s">
        <v>655</v>
      </c>
      <c r="M459" s="31" t="s">
        <v>656</v>
      </c>
      <c r="N459" s="31" t="s">
        <v>189</v>
      </c>
      <c r="O459" s="18"/>
      <c r="P459" s="31" t="s">
        <v>306</v>
      </c>
      <c r="Q459" s="134">
        <v>5900.0</v>
      </c>
      <c r="R459" s="29">
        <f t="shared" si="11"/>
        <v>5900</v>
      </c>
      <c r="S459" s="29">
        <f t="shared" si="12"/>
        <v>944</v>
      </c>
      <c r="T459" s="29">
        <f t="shared" si="13"/>
        <v>6844</v>
      </c>
      <c r="U459" s="121" t="s">
        <v>696</v>
      </c>
    </row>
    <row r="460" ht="15.75" hidden="1" customHeight="1">
      <c r="A460" s="108">
        <v>30.0</v>
      </c>
      <c r="B460" s="108">
        <v>6.0</v>
      </c>
      <c r="C460" s="136">
        <v>1000.0</v>
      </c>
      <c r="D460" s="118">
        <v>46227.0</v>
      </c>
      <c r="E460" s="31">
        <v>1.0</v>
      </c>
      <c r="F460" s="132" t="s">
        <v>31</v>
      </c>
      <c r="G460" s="31" t="s">
        <v>368</v>
      </c>
      <c r="H460" s="31">
        <v>14.0</v>
      </c>
      <c r="I460" s="18"/>
      <c r="J460" s="31" t="s">
        <v>122</v>
      </c>
      <c r="K460" s="112" t="s">
        <v>50</v>
      </c>
      <c r="L460" s="31" t="s">
        <v>656</v>
      </c>
      <c r="M460" s="31" t="s">
        <v>657</v>
      </c>
      <c r="N460" s="31" t="s">
        <v>189</v>
      </c>
      <c r="O460" s="18"/>
      <c r="P460" s="31" t="s">
        <v>306</v>
      </c>
      <c r="Q460" s="134">
        <v>5900.0</v>
      </c>
      <c r="R460" s="29">
        <f t="shared" si="11"/>
        <v>5900</v>
      </c>
      <c r="S460" s="29">
        <f t="shared" si="12"/>
        <v>944</v>
      </c>
      <c r="T460" s="29">
        <f t="shared" si="13"/>
        <v>6844</v>
      </c>
      <c r="U460" s="121" t="s">
        <v>696</v>
      </c>
    </row>
    <row r="461" ht="15.75" hidden="1" customHeight="1">
      <c r="A461" s="108">
        <v>30.0</v>
      </c>
      <c r="B461" s="108">
        <v>7.0</v>
      </c>
      <c r="C461" s="136">
        <v>553.0</v>
      </c>
      <c r="D461" s="118">
        <v>46227.0</v>
      </c>
      <c r="E461" s="31">
        <v>1.0</v>
      </c>
      <c r="F461" s="132" t="s">
        <v>31</v>
      </c>
      <c r="G461" s="31" t="s">
        <v>456</v>
      </c>
      <c r="H461" s="31">
        <v>14.0</v>
      </c>
      <c r="I461" s="18"/>
      <c r="J461" s="31" t="s">
        <v>351</v>
      </c>
      <c r="K461" s="112" t="s">
        <v>50</v>
      </c>
      <c r="L461" s="31" t="s">
        <v>657</v>
      </c>
      <c r="M461" s="31" t="s">
        <v>658</v>
      </c>
      <c r="N461" s="31" t="s">
        <v>189</v>
      </c>
      <c r="O461" s="18"/>
      <c r="P461" s="31" t="s">
        <v>306</v>
      </c>
      <c r="Q461" s="134">
        <v>5900.0</v>
      </c>
      <c r="R461" s="29">
        <f t="shared" si="11"/>
        <v>5900</v>
      </c>
      <c r="S461" s="29">
        <f t="shared" si="12"/>
        <v>944</v>
      </c>
      <c r="T461" s="29">
        <f t="shared" si="13"/>
        <v>6844</v>
      </c>
      <c r="U461" s="121" t="s">
        <v>696</v>
      </c>
    </row>
    <row r="462" ht="15.75" hidden="1" customHeight="1">
      <c r="A462" s="108">
        <v>30.0</v>
      </c>
      <c r="B462" s="108">
        <v>8.0</v>
      </c>
      <c r="C462" s="136">
        <v>552.0</v>
      </c>
      <c r="D462" s="118">
        <v>46227.0</v>
      </c>
      <c r="E462" s="31">
        <v>1.0</v>
      </c>
      <c r="F462" s="132" t="s">
        <v>31</v>
      </c>
      <c r="G462" s="31" t="s">
        <v>461</v>
      </c>
      <c r="H462" s="31">
        <v>14.0</v>
      </c>
      <c r="I462" s="18"/>
      <c r="J462" s="31" t="s">
        <v>208</v>
      </c>
      <c r="K462" s="112" t="s">
        <v>50</v>
      </c>
      <c r="L462" s="31" t="s">
        <v>658</v>
      </c>
      <c r="M462" s="31" t="s">
        <v>659</v>
      </c>
      <c r="N462" s="31" t="s">
        <v>189</v>
      </c>
      <c r="O462" s="18"/>
      <c r="P462" s="31" t="s">
        <v>306</v>
      </c>
      <c r="Q462" s="134">
        <v>5900.0</v>
      </c>
      <c r="R462" s="29">
        <f t="shared" si="11"/>
        <v>5900</v>
      </c>
      <c r="S462" s="29">
        <f t="shared" si="12"/>
        <v>944</v>
      </c>
      <c r="T462" s="29">
        <f t="shared" si="13"/>
        <v>6844</v>
      </c>
      <c r="U462" s="121" t="s">
        <v>696</v>
      </c>
    </row>
    <row r="463" ht="15.75" hidden="1" customHeight="1">
      <c r="A463" s="108">
        <v>30.0</v>
      </c>
      <c r="B463" s="108">
        <v>9.0</v>
      </c>
      <c r="C463" s="137">
        <v>551.0</v>
      </c>
      <c r="D463" s="118">
        <v>46227.0</v>
      </c>
      <c r="E463" s="31">
        <v>1.0</v>
      </c>
      <c r="F463" s="132" t="s">
        <v>31</v>
      </c>
      <c r="G463" s="31" t="s">
        <v>660</v>
      </c>
      <c r="H463" s="31">
        <v>14.0</v>
      </c>
      <c r="I463" s="18"/>
      <c r="J463" s="31" t="s">
        <v>344</v>
      </c>
      <c r="K463" s="112" t="s">
        <v>50</v>
      </c>
      <c r="L463" s="31" t="s">
        <v>659</v>
      </c>
      <c r="M463" s="31" t="s">
        <v>661</v>
      </c>
      <c r="N463" s="31" t="s">
        <v>189</v>
      </c>
      <c r="O463" s="18"/>
      <c r="P463" s="31" t="s">
        <v>306</v>
      </c>
      <c r="Q463" s="134">
        <v>5900.0</v>
      </c>
      <c r="R463" s="29">
        <f t="shared" si="11"/>
        <v>5900</v>
      </c>
      <c r="S463" s="29">
        <f t="shared" si="12"/>
        <v>944</v>
      </c>
      <c r="T463" s="29">
        <f t="shared" si="13"/>
        <v>6844</v>
      </c>
      <c r="U463" s="129" t="s">
        <v>697</v>
      </c>
    </row>
    <row r="464" ht="15.75" hidden="1" customHeight="1">
      <c r="A464" s="108">
        <v>30.0</v>
      </c>
      <c r="B464" s="108">
        <v>10.0</v>
      </c>
      <c r="C464" s="136">
        <v>558.0</v>
      </c>
      <c r="D464" s="118">
        <v>46227.0</v>
      </c>
      <c r="E464" s="31">
        <v>1.0</v>
      </c>
      <c r="F464" s="132" t="s">
        <v>31</v>
      </c>
      <c r="G464" s="31" t="s">
        <v>201</v>
      </c>
      <c r="H464" s="31">
        <v>14.0</v>
      </c>
      <c r="I464" s="18"/>
      <c r="J464" s="31" t="s">
        <v>150</v>
      </c>
      <c r="K464" s="112" t="s">
        <v>50</v>
      </c>
      <c r="L464" s="31" t="s">
        <v>661</v>
      </c>
      <c r="M464" s="31" t="s">
        <v>663</v>
      </c>
      <c r="N464" s="31" t="s">
        <v>189</v>
      </c>
      <c r="O464" s="18"/>
      <c r="P464" s="31" t="s">
        <v>306</v>
      </c>
      <c r="Q464" s="134">
        <v>5900.0</v>
      </c>
      <c r="R464" s="29">
        <f t="shared" si="11"/>
        <v>5900</v>
      </c>
      <c r="S464" s="29">
        <f t="shared" si="12"/>
        <v>944</v>
      </c>
      <c r="T464" s="29">
        <f t="shared" si="13"/>
        <v>6844</v>
      </c>
      <c r="U464" s="121" t="s">
        <v>696</v>
      </c>
    </row>
    <row r="465" ht="15.75" hidden="1" customHeight="1">
      <c r="A465" s="108">
        <v>30.0</v>
      </c>
      <c r="B465" s="108">
        <v>11.0</v>
      </c>
      <c r="C465" s="137">
        <v>554.0</v>
      </c>
      <c r="D465" s="118">
        <v>46227.0</v>
      </c>
      <c r="E465" s="31">
        <v>1.0</v>
      </c>
      <c r="F465" s="132" t="s">
        <v>31</v>
      </c>
      <c r="G465" s="31" t="s">
        <v>533</v>
      </c>
      <c r="H465" s="31">
        <v>14.0</v>
      </c>
      <c r="I465" s="18"/>
      <c r="J465" s="31" t="s">
        <v>664</v>
      </c>
      <c r="K465" s="112" t="s">
        <v>50</v>
      </c>
      <c r="L465" s="31" t="s">
        <v>663</v>
      </c>
      <c r="M465" s="31" t="s">
        <v>665</v>
      </c>
      <c r="N465" s="31" t="s">
        <v>189</v>
      </c>
      <c r="O465" s="18"/>
      <c r="P465" s="31" t="s">
        <v>306</v>
      </c>
      <c r="Q465" s="134">
        <v>5900.0</v>
      </c>
      <c r="R465" s="29">
        <f t="shared" si="11"/>
        <v>5900</v>
      </c>
      <c r="S465" s="29">
        <f t="shared" si="12"/>
        <v>944</v>
      </c>
      <c r="T465" s="29">
        <f t="shared" si="13"/>
        <v>6844</v>
      </c>
      <c r="U465" s="129" t="s">
        <v>697</v>
      </c>
    </row>
    <row r="466" ht="15.75" hidden="1" customHeight="1">
      <c r="A466" s="108">
        <v>30.0</v>
      </c>
      <c r="B466" s="108">
        <v>12.0</v>
      </c>
      <c r="C466" s="136">
        <v>557.0</v>
      </c>
      <c r="D466" s="118">
        <v>46227.0</v>
      </c>
      <c r="E466" s="31">
        <v>1.0</v>
      </c>
      <c r="F466" s="132" t="s">
        <v>31</v>
      </c>
      <c r="G466" s="31" t="s">
        <v>320</v>
      </c>
      <c r="H466" s="31">
        <v>14.0</v>
      </c>
      <c r="I466" s="18"/>
      <c r="J466" s="31" t="s">
        <v>321</v>
      </c>
      <c r="K466" s="112" t="s">
        <v>50</v>
      </c>
      <c r="L466" s="31" t="s">
        <v>665</v>
      </c>
      <c r="M466" s="31" t="s">
        <v>666</v>
      </c>
      <c r="N466" s="31" t="s">
        <v>189</v>
      </c>
      <c r="O466" s="18"/>
      <c r="P466" s="31" t="s">
        <v>306</v>
      </c>
      <c r="Q466" s="134">
        <v>5900.0</v>
      </c>
      <c r="R466" s="29">
        <f t="shared" si="11"/>
        <v>5900</v>
      </c>
      <c r="S466" s="29">
        <f t="shared" si="12"/>
        <v>944</v>
      </c>
      <c r="T466" s="29">
        <f t="shared" si="13"/>
        <v>6844</v>
      </c>
      <c r="U466" s="121" t="s">
        <v>696</v>
      </c>
    </row>
    <row r="467" ht="15.75" hidden="1" customHeight="1">
      <c r="A467" s="108">
        <v>30.0</v>
      </c>
      <c r="B467" s="108">
        <v>13.0</v>
      </c>
      <c r="C467" s="136">
        <v>556.0</v>
      </c>
      <c r="D467" s="118">
        <v>46227.0</v>
      </c>
      <c r="E467" s="31">
        <v>1.0</v>
      </c>
      <c r="F467" s="132" t="s">
        <v>31</v>
      </c>
      <c r="G467" s="31" t="s">
        <v>357</v>
      </c>
      <c r="H467" s="31">
        <v>14.0</v>
      </c>
      <c r="I467" s="18"/>
      <c r="J467" s="31" t="s">
        <v>288</v>
      </c>
      <c r="K467" s="112" t="s">
        <v>50</v>
      </c>
      <c r="L467" s="31" t="s">
        <v>666</v>
      </c>
      <c r="M467" s="31" t="s">
        <v>667</v>
      </c>
      <c r="N467" s="31" t="s">
        <v>189</v>
      </c>
      <c r="O467" s="18"/>
      <c r="P467" s="31" t="s">
        <v>306</v>
      </c>
      <c r="Q467" s="134">
        <v>5900.0</v>
      </c>
      <c r="R467" s="29">
        <f t="shared" si="11"/>
        <v>5900</v>
      </c>
      <c r="S467" s="29">
        <f t="shared" si="12"/>
        <v>944</v>
      </c>
      <c r="T467" s="29">
        <f t="shared" si="13"/>
        <v>6844</v>
      </c>
      <c r="U467" s="121" t="s">
        <v>696</v>
      </c>
    </row>
    <row r="468" ht="15.75" hidden="1" customHeight="1">
      <c r="A468" s="108">
        <v>30.0</v>
      </c>
      <c r="B468" s="108">
        <v>14.0</v>
      </c>
      <c r="C468" s="136">
        <v>560.0</v>
      </c>
      <c r="D468" s="118">
        <v>46227.0</v>
      </c>
      <c r="E468" s="31">
        <v>1.0</v>
      </c>
      <c r="F468" s="132" t="s">
        <v>31</v>
      </c>
      <c r="G468" s="31" t="s">
        <v>480</v>
      </c>
      <c r="H468" s="31">
        <v>14.0</v>
      </c>
      <c r="I468" s="18"/>
      <c r="J468" s="31" t="s">
        <v>284</v>
      </c>
      <c r="K468" s="112" t="s">
        <v>50</v>
      </c>
      <c r="L468" s="31" t="s">
        <v>667</v>
      </c>
      <c r="M468" s="31" t="s">
        <v>668</v>
      </c>
      <c r="N468" s="31" t="s">
        <v>189</v>
      </c>
      <c r="O468" s="18"/>
      <c r="P468" s="31" t="s">
        <v>306</v>
      </c>
      <c r="Q468" s="134">
        <v>5900.0</v>
      </c>
      <c r="R468" s="29">
        <f t="shared" si="11"/>
        <v>5900</v>
      </c>
      <c r="S468" s="29">
        <f t="shared" si="12"/>
        <v>944</v>
      </c>
      <c r="T468" s="29">
        <f t="shared" si="13"/>
        <v>6844</v>
      </c>
      <c r="U468" s="121" t="s">
        <v>696</v>
      </c>
    </row>
    <row r="469" ht="15.75" hidden="1" customHeight="1">
      <c r="A469" s="108">
        <v>30.0</v>
      </c>
      <c r="B469" s="108">
        <v>15.0</v>
      </c>
      <c r="C469" s="136">
        <v>555.0</v>
      </c>
      <c r="D469" s="118">
        <v>46227.0</v>
      </c>
      <c r="E469" s="31">
        <v>1.0</v>
      </c>
      <c r="F469" s="132" t="s">
        <v>31</v>
      </c>
      <c r="G469" s="31" t="s">
        <v>456</v>
      </c>
      <c r="H469" s="31">
        <v>14.0</v>
      </c>
      <c r="I469" s="18"/>
      <c r="J469" s="31" t="s">
        <v>351</v>
      </c>
      <c r="K469" s="112" t="s">
        <v>50</v>
      </c>
      <c r="L469" s="31" t="s">
        <v>668</v>
      </c>
      <c r="M469" s="31" t="s">
        <v>669</v>
      </c>
      <c r="N469" s="31" t="s">
        <v>189</v>
      </c>
      <c r="O469" s="18"/>
      <c r="P469" s="31" t="s">
        <v>306</v>
      </c>
      <c r="Q469" s="134">
        <v>5900.0</v>
      </c>
      <c r="R469" s="29">
        <f t="shared" si="11"/>
        <v>5900</v>
      </c>
      <c r="S469" s="29">
        <f t="shared" si="12"/>
        <v>944</v>
      </c>
      <c r="T469" s="29">
        <f t="shared" si="13"/>
        <v>6844</v>
      </c>
      <c r="U469" s="121" t="s">
        <v>696</v>
      </c>
    </row>
    <row r="470" ht="15.75" hidden="1" customHeight="1">
      <c r="A470" s="138">
        <v>30.0</v>
      </c>
      <c r="B470" s="138">
        <v>16.0</v>
      </c>
      <c r="C470" s="139">
        <v>559.0</v>
      </c>
      <c r="D470" s="118">
        <v>46227.0</v>
      </c>
      <c r="E470" s="140">
        <v>1.0</v>
      </c>
      <c r="F470" s="132" t="s">
        <v>31</v>
      </c>
      <c r="G470" s="140" t="s">
        <v>698</v>
      </c>
      <c r="H470" s="138">
        <v>14.0</v>
      </c>
      <c r="I470" s="141"/>
      <c r="J470" s="140" t="s">
        <v>344</v>
      </c>
      <c r="K470" s="112" t="s">
        <v>50</v>
      </c>
      <c r="L470" s="142"/>
      <c r="M470" s="142"/>
      <c r="N470" s="140"/>
      <c r="O470" s="141"/>
      <c r="P470" s="143"/>
      <c r="Q470" s="134">
        <v>5900.0</v>
      </c>
      <c r="R470" s="29">
        <f t="shared" si="11"/>
        <v>5900</v>
      </c>
      <c r="S470" s="29">
        <f t="shared" si="12"/>
        <v>944</v>
      </c>
      <c r="T470" s="29">
        <f t="shared" si="13"/>
        <v>6844</v>
      </c>
      <c r="U470" s="129" t="s">
        <v>697</v>
      </c>
    </row>
    <row r="471" ht="15.75" hidden="1" customHeight="1">
      <c r="A471" s="138">
        <v>31.0</v>
      </c>
      <c r="B471" s="138">
        <v>1.0</v>
      </c>
      <c r="C471" s="144">
        <v>562.0</v>
      </c>
      <c r="D471" s="145">
        <v>46230.0</v>
      </c>
      <c r="E471" s="140">
        <v>1.0</v>
      </c>
      <c r="F471" s="132" t="s">
        <v>31</v>
      </c>
      <c r="G471" s="140" t="s">
        <v>251</v>
      </c>
      <c r="H471" s="138">
        <v>14.0</v>
      </c>
      <c r="I471" s="141"/>
      <c r="J471" s="140" t="s">
        <v>313</v>
      </c>
      <c r="K471" s="112" t="s">
        <v>50</v>
      </c>
      <c r="L471" s="142" t="s">
        <v>649</v>
      </c>
      <c r="M471" s="142" t="s">
        <v>699</v>
      </c>
      <c r="N471" s="140" t="s">
        <v>189</v>
      </c>
      <c r="O471" s="141"/>
      <c r="P471" s="143" t="s">
        <v>283</v>
      </c>
      <c r="Q471" s="134">
        <v>5900.0</v>
      </c>
      <c r="R471" s="29">
        <f t="shared" si="11"/>
        <v>5900</v>
      </c>
      <c r="S471" s="29">
        <f t="shared" si="12"/>
        <v>944</v>
      </c>
      <c r="T471" s="29">
        <f t="shared" si="13"/>
        <v>6844</v>
      </c>
      <c r="U471" s="121" t="s">
        <v>696</v>
      </c>
    </row>
    <row r="472" ht="15.75" hidden="1" customHeight="1">
      <c r="A472" s="138">
        <v>31.0</v>
      </c>
      <c r="B472" s="138">
        <v>2.0</v>
      </c>
      <c r="C472" s="144">
        <v>664.0</v>
      </c>
      <c r="D472" s="145">
        <v>46230.0</v>
      </c>
      <c r="E472" s="140">
        <v>1.0</v>
      </c>
      <c r="F472" s="132" t="s">
        <v>31</v>
      </c>
      <c r="G472" s="140" t="s">
        <v>700</v>
      </c>
      <c r="H472" s="138">
        <v>14.0</v>
      </c>
      <c r="I472" s="141"/>
      <c r="J472" s="140" t="s">
        <v>701</v>
      </c>
      <c r="K472" s="112" t="s">
        <v>50</v>
      </c>
      <c r="L472" s="142" t="s">
        <v>699</v>
      </c>
      <c r="M472" s="142" t="s">
        <v>702</v>
      </c>
      <c r="N472" s="140" t="s">
        <v>189</v>
      </c>
      <c r="O472" s="141"/>
      <c r="P472" s="143" t="s">
        <v>283</v>
      </c>
      <c r="Q472" s="134">
        <v>5900.0</v>
      </c>
      <c r="R472" s="29">
        <f t="shared" si="11"/>
        <v>5900</v>
      </c>
      <c r="S472" s="29">
        <f t="shared" si="12"/>
        <v>944</v>
      </c>
      <c r="T472" s="29">
        <f t="shared" si="13"/>
        <v>6844</v>
      </c>
      <c r="U472" s="121" t="s">
        <v>696</v>
      </c>
    </row>
    <row r="473" ht="15.75" hidden="1" customHeight="1">
      <c r="A473" s="138">
        <v>31.0</v>
      </c>
      <c r="B473" s="138">
        <v>3.0</v>
      </c>
      <c r="C473" s="139">
        <v>561.0</v>
      </c>
      <c r="D473" s="145">
        <v>46230.0</v>
      </c>
      <c r="E473" s="140">
        <v>1.0</v>
      </c>
      <c r="F473" s="132" t="s">
        <v>31</v>
      </c>
      <c r="G473" s="140" t="s">
        <v>703</v>
      </c>
      <c r="H473" s="138">
        <v>14.0</v>
      </c>
      <c r="I473" s="141"/>
      <c r="J473" s="140" t="s">
        <v>242</v>
      </c>
      <c r="K473" s="112" t="s">
        <v>50</v>
      </c>
      <c r="L473" s="142" t="s">
        <v>702</v>
      </c>
      <c r="M473" s="142" t="s">
        <v>704</v>
      </c>
      <c r="N473" s="140" t="s">
        <v>189</v>
      </c>
      <c r="O473" s="141"/>
      <c r="P473" s="143" t="s">
        <v>283</v>
      </c>
      <c r="Q473" s="134">
        <v>5900.0</v>
      </c>
      <c r="R473" s="29">
        <f t="shared" si="11"/>
        <v>5900</v>
      </c>
      <c r="S473" s="29">
        <f t="shared" si="12"/>
        <v>944</v>
      </c>
      <c r="T473" s="29">
        <f t="shared" si="13"/>
        <v>6844</v>
      </c>
      <c r="U473" s="129" t="s">
        <v>697</v>
      </c>
    </row>
    <row r="474" ht="15.75" hidden="1" customHeight="1">
      <c r="A474" s="138">
        <v>31.0</v>
      </c>
      <c r="B474" s="138">
        <v>4.0</v>
      </c>
      <c r="C474" s="139">
        <v>565.0</v>
      </c>
      <c r="D474" s="145">
        <v>46230.0</v>
      </c>
      <c r="E474" s="140">
        <v>1.0</v>
      </c>
      <c r="F474" s="132" t="s">
        <v>31</v>
      </c>
      <c r="G474" s="140" t="s">
        <v>705</v>
      </c>
      <c r="H474" s="138">
        <v>14.0</v>
      </c>
      <c r="I474" s="141"/>
      <c r="J474" s="140" t="s">
        <v>706</v>
      </c>
      <c r="K474" s="112" t="s">
        <v>50</v>
      </c>
      <c r="L474" s="142" t="s">
        <v>704</v>
      </c>
      <c r="M474" s="142" t="s">
        <v>707</v>
      </c>
      <c r="N474" s="140" t="s">
        <v>189</v>
      </c>
      <c r="O474" s="141"/>
      <c r="P474" s="143" t="s">
        <v>283</v>
      </c>
      <c r="Q474" s="134">
        <v>5900.0</v>
      </c>
      <c r="R474" s="29">
        <f t="shared" si="11"/>
        <v>5900</v>
      </c>
      <c r="S474" s="29">
        <f t="shared" si="12"/>
        <v>944</v>
      </c>
      <c r="T474" s="29">
        <f t="shared" si="13"/>
        <v>6844</v>
      </c>
      <c r="U474" s="129" t="s">
        <v>697</v>
      </c>
    </row>
    <row r="475" ht="15.75" hidden="1" customHeight="1">
      <c r="A475" s="138">
        <v>31.0</v>
      </c>
      <c r="B475" s="138">
        <v>5.0</v>
      </c>
      <c r="C475" s="139">
        <v>566.0</v>
      </c>
      <c r="D475" s="145">
        <v>46230.0</v>
      </c>
      <c r="E475" s="140">
        <v>1.0</v>
      </c>
      <c r="F475" s="132" t="s">
        <v>31</v>
      </c>
      <c r="G475" s="140" t="s">
        <v>357</v>
      </c>
      <c r="H475" s="138">
        <v>14.0</v>
      </c>
      <c r="I475" s="141"/>
      <c r="J475" s="140" t="s">
        <v>288</v>
      </c>
      <c r="K475" s="112" t="s">
        <v>50</v>
      </c>
      <c r="L475" s="142" t="s">
        <v>707</v>
      </c>
      <c r="M475" s="142" t="s">
        <v>659</v>
      </c>
      <c r="N475" s="140" t="s">
        <v>189</v>
      </c>
      <c r="O475" s="141"/>
      <c r="P475" s="143" t="s">
        <v>283</v>
      </c>
      <c r="Q475" s="134">
        <v>5900.0</v>
      </c>
      <c r="R475" s="29">
        <f t="shared" si="11"/>
        <v>5900</v>
      </c>
      <c r="S475" s="29">
        <f t="shared" si="12"/>
        <v>944</v>
      </c>
      <c r="T475" s="29">
        <f t="shared" si="13"/>
        <v>6844</v>
      </c>
      <c r="U475" s="129" t="s">
        <v>697</v>
      </c>
    </row>
    <row r="476" ht="15.75" hidden="1" customHeight="1">
      <c r="A476" s="138">
        <v>31.0</v>
      </c>
      <c r="B476" s="138">
        <v>6.0</v>
      </c>
      <c r="C476" s="144">
        <v>563.0</v>
      </c>
      <c r="D476" s="145">
        <v>46230.0</v>
      </c>
      <c r="E476" s="140">
        <v>1.0</v>
      </c>
      <c r="F476" s="132" t="s">
        <v>31</v>
      </c>
      <c r="G476" s="140" t="s">
        <v>708</v>
      </c>
      <c r="H476" s="138">
        <v>14.0</v>
      </c>
      <c r="I476" s="141"/>
      <c r="J476" s="140" t="s">
        <v>593</v>
      </c>
      <c r="K476" s="112" t="s">
        <v>50</v>
      </c>
      <c r="L476" s="142" t="s">
        <v>659</v>
      </c>
      <c r="M476" s="142" t="s">
        <v>661</v>
      </c>
      <c r="N476" s="140" t="s">
        <v>189</v>
      </c>
      <c r="O476" s="141"/>
      <c r="P476" s="143" t="s">
        <v>283</v>
      </c>
      <c r="Q476" s="134">
        <v>5900.0</v>
      </c>
      <c r="R476" s="29">
        <f t="shared" si="11"/>
        <v>5900</v>
      </c>
      <c r="S476" s="29">
        <f t="shared" si="12"/>
        <v>944</v>
      </c>
      <c r="T476" s="29">
        <f t="shared" si="13"/>
        <v>6844</v>
      </c>
      <c r="U476" s="121" t="s">
        <v>696</v>
      </c>
    </row>
    <row r="477" ht="15.75" hidden="1" customHeight="1">
      <c r="A477" s="138">
        <v>31.0</v>
      </c>
      <c r="B477" s="138">
        <v>7.0</v>
      </c>
      <c r="C477" s="144">
        <v>567.0</v>
      </c>
      <c r="D477" s="145">
        <v>46230.0</v>
      </c>
      <c r="E477" s="140">
        <v>1.0</v>
      </c>
      <c r="F477" s="132" t="s">
        <v>31</v>
      </c>
      <c r="G477" s="140" t="s">
        <v>709</v>
      </c>
      <c r="H477" s="138">
        <v>7.0</v>
      </c>
      <c r="I477" s="141"/>
      <c r="J477" s="140" t="s">
        <v>710</v>
      </c>
      <c r="K477" s="112" t="s">
        <v>50</v>
      </c>
      <c r="L477" s="142" t="s">
        <v>661</v>
      </c>
      <c r="M477" s="142" t="s">
        <v>711</v>
      </c>
      <c r="N477" s="140" t="s">
        <v>189</v>
      </c>
      <c r="O477" s="141"/>
      <c r="P477" s="146" t="s">
        <v>712</v>
      </c>
      <c r="Q477" s="134">
        <v>5900.0</v>
      </c>
      <c r="R477" s="29">
        <f t="shared" si="11"/>
        <v>5900</v>
      </c>
      <c r="S477" s="29">
        <f t="shared" si="12"/>
        <v>944</v>
      </c>
      <c r="T477" s="29">
        <f t="shared" si="13"/>
        <v>6844</v>
      </c>
      <c r="U477" s="121" t="s">
        <v>696</v>
      </c>
    </row>
    <row r="478" ht="15.75" hidden="1" customHeight="1">
      <c r="A478" s="138">
        <v>31.0</v>
      </c>
      <c r="B478" s="138">
        <v>8.0</v>
      </c>
      <c r="C478" s="144">
        <v>569.0</v>
      </c>
      <c r="D478" s="145">
        <v>46230.0</v>
      </c>
      <c r="E478" s="140">
        <v>1.0</v>
      </c>
      <c r="F478" s="132" t="s">
        <v>31</v>
      </c>
      <c r="G478" s="140" t="s">
        <v>713</v>
      </c>
      <c r="H478" s="138">
        <v>14.0</v>
      </c>
      <c r="I478" s="141"/>
      <c r="J478" s="140" t="s">
        <v>714</v>
      </c>
      <c r="K478" s="112" t="s">
        <v>50</v>
      </c>
      <c r="L478" s="142" t="s">
        <v>711</v>
      </c>
      <c r="M478" s="142" t="s">
        <v>665</v>
      </c>
      <c r="N478" s="140" t="s">
        <v>189</v>
      </c>
      <c r="O478" s="141"/>
      <c r="P478" s="143" t="s">
        <v>283</v>
      </c>
      <c r="Q478" s="134">
        <v>5900.0</v>
      </c>
      <c r="R478" s="29">
        <f t="shared" si="11"/>
        <v>5900</v>
      </c>
      <c r="S478" s="29">
        <f t="shared" si="12"/>
        <v>944</v>
      </c>
      <c r="T478" s="29">
        <f t="shared" si="13"/>
        <v>6844</v>
      </c>
      <c r="U478" s="121" t="s">
        <v>696</v>
      </c>
    </row>
    <row r="479" ht="15.75" hidden="1" customHeight="1">
      <c r="A479" s="138">
        <v>31.0</v>
      </c>
      <c r="B479" s="138">
        <v>9.0</v>
      </c>
      <c r="C479" s="144">
        <v>571.0</v>
      </c>
      <c r="D479" s="145">
        <v>46230.0</v>
      </c>
      <c r="E479" s="140">
        <v>1.0</v>
      </c>
      <c r="F479" s="132" t="s">
        <v>31</v>
      </c>
      <c r="G479" s="140" t="s">
        <v>201</v>
      </c>
      <c r="H479" s="138">
        <v>14.0</v>
      </c>
      <c r="I479" s="141"/>
      <c r="J479" s="140" t="s">
        <v>150</v>
      </c>
      <c r="K479" s="112" t="s">
        <v>50</v>
      </c>
      <c r="L479" s="142" t="s">
        <v>665</v>
      </c>
      <c r="M479" s="142" t="s">
        <v>715</v>
      </c>
      <c r="N479" s="140" t="s">
        <v>189</v>
      </c>
      <c r="O479" s="141"/>
      <c r="P479" s="143" t="s">
        <v>283</v>
      </c>
      <c r="Q479" s="134">
        <v>5900.0</v>
      </c>
      <c r="R479" s="29">
        <f t="shared" si="11"/>
        <v>5900</v>
      </c>
      <c r="S479" s="29">
        <f t="shared" si="12"/>
        <v>944</v>
      </c>
      <c r="T479" s="29">
        <f t="shared" si="13"/>
        <v>6844</v>
      </c>
      <c r="U479" s="121" t="s">
        <v>696</v>
      </c>
    </row>
    <row r="480" ht="15.75" hidden="1" customHeight="1">
      <c r="A480" s="138">
        <v>31.0</v>
      </c>
      <c r="B480" s="138">
        <v>10.0</v>
      </c>
      <c r="C480" s="139">
        <v>568.0</v>
      </c>
      <c r="D480" s="145">
        <v>46230.0</v>
      </c>
      <c r="E480" s="140">
        <v>1.0</v>
      </c>
      <c r="F480" s="132" t="s">
        <v>31</v>
      </c>
      <c r="G480" s="140" t="s">
        <v>533</v>
      </c>
      <c r="H480" s="138">
        <v>14.0</v>
      </c>
      <c r="I480" s="141"/>
      <c r="J480" s="140" t="s">
        <v>664</v>
      </c>
      <c r="K480" s="112" t="s">
        <v>50</v>
      </c>
      <c r="L480" s="142" t="s">
        <v>715</v>
      </c>
      <c r="M480" s="142" t="s">
        <v>716</v>
      </c>
      <c r="N480" s="140" t="s">
        <v>189</v>
      </c>
      <c r="O480" s="141"/>
      <c r="P480" s="143" t="s">
        <v>283</v>
      </c>
      <c r="Q480" s="134">
        <v>5900.0</v>
      </c>
      <c r="R480" s="29">
        <f t="shared" si="11"/>
        <v>5900</v>
      </c>
      <c r="S480" s="29">
        <f t="shared" si="12"/>
        <v>944</v>
      </c>
      <c r="T480" s="29">
        <f t="shared" si="13"/>
        <v>6844</v>
      </c>
      <c r="U480" s="129" t="s">
        <v>697</v>
      </c>
    </row>
    <row r="481" ht="15.75" hidden="1" customHeight="1">
      <c r="A481" s="138">
        <v>31.0</v>
      </c>
      <c r="B481" s="138">
        <v>11.0</v>
      </c>
      <c r="C481" s="144">
        <v>572.0</v>
      </c>
      <c r="D481" s="145">
        <v>46230.0</v>
      </c>
      <c r="E481" s="140">
        <v>1.0</v>
      </c>
      <c r="F481" s="132" t="s">
        <v>31</v>
      </c>
      <c r="G481" s="140" t="s">
        <v>488</v>
      </c>
      <c r="H481" s="138">
        <v>14.0</v>
      </c>
      <c r="I481" s="141"/>
      <c r="J481" s="140" t="s">
        <v>195</v>
      </c>
      <c r="K481" s="112" t="s">
        <v>50</v>
      </c>
      <c r="L481" s="142" t="s">
        <v>716</v>
      </c>
      <c r="M481" s="142" t="s">
        <v>717</v>
      </c>
      <c r="N481" s="140" t="s">
        <v>189</v>
      </c>
      <c r="O481" s="141"/>
      <c r="P481" s="143" t="s">
        <v>283</v>
      </c>
      <c r="Q481" s="134">
        <v>5900.0</v>
      </c>
      <c r="R481" s="29">
        <f t="shared" si="11"/>
        <v>5900</v>
      </c>
      <c r="S481" s="29">
        <f t="shared" si="12"/>
        <v>944</v>
      </c>
      <c r="T481" s="29">
        <f t="shared" si="13"/>
        <v>6844</v>
      </c>
      <c r="U481" s="121" t="s">
        <v>696</v>
      </c>
    </row>
    <row r="482" ht="15.75" hidden="1" customHeight="1">
      <c r="A482" s="138">
        <v>31.0</v>
      </c>
      <c r="B482" s="138">
        <v>12.0</v>
      </c>
      <c r="C482" s="144">
        <v>570.0</v>
      </c>
      <c r="D482" s="145">
        <v>46230.0</v>
      </c>
      <c r="E482" s="140">
        <v>1.0</v>
      </c>
      <c r="F482" s="132" t="s">
        <v>31</v>
      </c>
      <c r="G482" s="140" t="s">
        <v>480</v>
      </c>
      <c r="H482" s="138">
        <v>14.0</v>
      </c>
      <c r="I482" s="141"/>
      <c r="J482" s="140" t="s">
        <v>284</v>
      </c>
      <c r="K482" s="112" t="s">
        <v>50</v>
      </c>
      <c r="L482" s="142" t="s">
        <v>717</v>
      </c>
      <c r="M482" s="142" t="s">
        <v>718</v>
      </c>
      <c r="N482" s="140" t="s">
        <v>189</v>
      </c>
      <c r="O482" s="141"/>
      <c r="P482" s="143" t="s">
        <v>283</v>
      </c>
      <c r="Q482" s="134">
        <v>5900.0</v>
      </c>
      <c r="R482" s="29">
        <f t="shared" si="11"/>
        <v>5900</v>
      </c>
      <c r="S482" s="29">
        <f t="shared" si="12"/>
        <v>944</v>
      </c>
      <c r="T482" s="29">
        <f t="shared" si="13"/>
        <v>6844</v>
      </c>
      <c r="U482" s="121" t="s">
        <v>696</v>
      </c>
    </row>
    <row r="483" ht="15.75" hidden="1" customHeight="1">
      <c r="A483" s="138">
        <v>31.0</v>
      </c>
      <c r="B483" s="138">
        <v>13.0</v>
      </c>
      <c r="C483" s="144">
        <v>574.0</v>
      </c>
      <c r="D483" s="145">
        <v>46230.0</v>
      </c>
      <c r="E483" s="140">
        <v>1.0</v>
      </c>
      <c r="F483" s="132" t="s">
        <v>31</v>
      </c>
      <c r="G483" s="140" t="s">
        <v>353</v>
      </c>
      <c r="H483" s="138">
        <v>14.0</v>
      </c>
      <c r="I483" s="141"/>
      <c r="J483" s="140" t="s">
        <v>114</v>
      </c>
      <c r="K483" s="112" t="s">
        <v>50</v>
      </c>
      <c r="L483" s="142" t="s">
        <v>719</v>
      </c>
      <c r="M483" s="142" t="s">
        <v>719</v>
      </c>
      <c r="N483" s="140" t="s">
        <v>189</v>
      </c>
      <c r="O483" s="141"/>
      <c r="P483" s="143" t="s">
        <v>283</v>
      </c>
      <c r="Q483" s="134">
        <v>5900.0</v>
      </c>
      <c r="R483" s="29">
        <f t="shared" si="11"/>
        <v>5900</v>
      </c>
      <c r="S483" s="29">
        <f t="shared" si="12"/>
        <v>944</v>
      </c>
      <c r="T483" s="29">
        <f t="shared" si="13"/>
        <v>6844</v>
      </c>
      <c r="U483" s="121" t="s">
        <v>696</v>
      </c>
    </row>
    <row r="484" ht="15.75" hidden="1" customHeight="1">
      <c r="A484" s="138">
        <v>31.0</v>
      </c>
      <c r="B484" s="138">
        <v>14.0</v>
      </c>
      <c r="C484" s="144">
        <v>573.0</v>
      </c>
      <c r="D484" s="145">
        <v>46230.0</v>
      </c>
      <c r="E484" s="140">
        <v>1.0</v>
      </c>
      <c r="F484" s="132" t="s">
        <v>31</v>
      </c>
      <c r="G484" s="140" t="s">
        <v>248</v>
      </c>
      <c r="H484" s="138">
        <v>14.0</v>
      </c>
      <c r="I484" s="141"/>
      <c r="J484" s="140" t="s">
        <v>146</v>
      </c>
      <c r="K484" s="112" t="s">
        <v>50</v>
      </c>
      <c r="L484" s="142" t="s">
        <v>720</v>
      </c>
      <c r="M484" s="142" t="s">
        <v>721</v>
      </c>
      <c r="N484" s="140" t="s">
        <v>189</v>
      </c>
      <c r="O484" s="141"/>
      <c r="P484" s="143" t="s">
        <v>283</v>
      </c>
      <c r="Q484" s="134">
        <v>5900.0</v>
      </c>
      <c r="R484" s="29">
        <f t="shared" si="11"/>
        <v>5900</v>
      </c>
      <c r="S484" s="29">
        <f t="shared" si="12"/>
        <v>944</v>
      </c>
      <c r="T484" s="29">
        <f t="shared" si="13"/>
        <v>6844</v>
      </c>
      <c r="U484" s="121" t="s">
        <v>696</v>
      </c>
    </row>
    <row r="485" ht="15.75" hidden="1" customHeight="1">
      <c r="A485" s="138">
        <v>31.0</v>
      </c>
      <c r="B485" s="138">
        <v>15.0</v>
      </c>
      <c r="C485" s="139">
        <v>575.0</v>
      </c>
      <c r="D485" s="145">
        <v>46230.0</v>
      </c>
      <c r="E485" s="140">
        <v>1.0</v>
      </c>
      <c r="F485" s="132" t="s">
        <v>31</v>
      </c>
      <c r="G485" s="140" t="s">
        <v>416</v>
      </c>
      <c r="H485" s="138">
        <v>14.0</v>
      </c>
      <c r="I485" s="141"/>
      <c r="J485" s="140" t="s">
        <v>326</v>
      </c>
      <c r="K485" s="112" t="s">
        <v>50</v>
      </c>
      <c r="L485" s="142" t="s">
        <v>721</v>
      </c>
      <c r="M485" s="142" t="s">
        <v>722</v>
      </c>
      <c r="N485" s="140" t="s">
        <v>189</v>
      </c>
      <c r="O485" s="141"/>
      <c r="P485" s="143" t="s">
        <v>283</v>
      </c>
      <c r="Q485" s="134">
        <v>5900.0</v>
      </c>
      <c r="R485" s="29">
        <f t="shared" si="11"/>
        <v>5900</v>
      </c>
      <c r="S485" s="29">
        <f t="shared" si="12"/>
        <v>944</v>
      </c>
      <c r="T485" s="29">
        <f t="shared" si="13"/>
        <v>6844</v>
      </c>
      <c r="U485" s="129" t="s">
        <v>697</v>
      </c>
    </row>
    <row r="486" ht="15.75" hidden="1" customHeight="1">
      <c r="A486" s="138">
        <v>31.0</v>
      </c>
      <c r="B486" s="138">
        <v>1.0</v>
      </c>
      <c r="C486" s="139">
        <v>576.0</v>
      </c>
      <c r="D486" s="145">
        <v>46231.0</v>
      </c>
      <c r="E486" s="140">
        <v>1.0</v>
      </c>
      <c r="F486" s="132" t="s">
        <v>31</v>
      </c>
      <c r="G486" s="140" t="s">
        <v>251</v>
      </c>
      <c r="H486" s="138">
        <v>14.0</v>
      </c>
      <c r="I486" s="141"/>
      <c r="J486" s="140" t="s">
        <v>313</v>
      </c>
      <c r="K486" s="112" t="s">
        <v>50</v>
      </c>
      <c r="L486" s="142" t="s">
        <v>723</v>
      </c>
      <c r="M486" s="142" t="s">
        <v>724</v>
      </c>
      <c r="N486" s="140" t="s">
        <v>189</v>
      </c>
      <c r="O486" s="141"/>
      <c r="P486" s="143" t="s">
        <v>306</v>
      </c>
      <c r="Q486" s="134">
        <v>5900.0</v>
      </c>
      <c r="R486" s="29">
        <f t="shared" si="11"/>
        <v>5900</v>
      </c>
      <c r="S486" s="29">
        <f t="shared" si="12"/>
        <v>944</v>
      </c>
      <c r="T486" s="29">
        <f t="shared" si="13"/>
        <v>6844</v>
      </c>
      <c r="U486" s="129" t="s">
        <v>697</v>
      </c>
    </row>
    <row r="487" ht="15.75" hidden="1" customHeight="1">
      <c r="A487" s="138">
        <v>31.0</v>
      </c>
      <c r="B487" s="138">
        <v>2.0</v>
      </c>
      <c r="C487" s="139">
        <v>577.0</v>
      </c>
      <c r="D487" s="145">
        <v>46231.0</v>
      </c>
      <c r="E487" s="140">
        <v>1.0</v>
      </c>
      <c r="F487" s="132" t="s">
        <v>31</v>
      </c>
      <c r="G487" s="140" t="s">
        <v>416</v>
      </c>
      <c r="H487" s="138">
        <v>14.0</v>
      </c>
      <c r="I487" s="141"/>
      <c r="J487" s="140" t="s">
        <v>326</v>
      </c>
      <c r="K487" s="112" t="s">
        <v>50</v>
      </c>
      <c r="L487" s="142" t="s">
        <v>724</v>
      </c>
      <c r="M487" s="142" t="s">
        <v>725</v>
      </c>
      <c r="N487" s="140" t="s">
        <v>189</v>
      </c>
      <c r="O487" s="141"/>
      <c r="P487" s="143" t="s">
        <v>306</v>
      </c>
      <c r="Q487" s="134">
        <v>5900.0</v>
      </c>
      <c r="R487" s="29">
        <f t="shared" si="11"/>
        <v>5900</v>
      </c>
      <c r="S487" s="29">
        <f t="shared" si="12"/>
        <v>944</v>
      </c>
      <c r="T487" s="29">
        <f t="shared" si="13"/>
        <v>6844</v>
      </c>
      <c r="U487" s="129" t="s">
        <v>697</v>
      </c>
    </row>
    <row r="488" ht="15.75" hidden="1" customHeight="1">
      <c r="A488" s="138">
        <v>31.0</v>
      </c>
      <c r="B488" s="138">
        <v>3.0</v>
      </c>
      <c r="C488" s="139">
        <v>578.0</v>
      </c>
      <c r="D488" s="145">
        <v>46231.0</v>
      </c>
      <c r="E488" s="140">
        <v>1.0</v>
      </c>
      <c r="F488" s="132" t="s">
        <v>31</v>
      </c>
      <c r="G488" s="140" t="s">
        <v>201</v>
      </c>
      <c r="H488" s="138">
        <v>14.0</v>
      </c>
      <c r="I488" s="141"/>
      <c r="J488" s="140" t="s">
        <v>150</v>
      </c>
      <c r="K488" s="112" t="s">
        <v>50</v>
      </c>
      <c r="L488" s="142" t="s">
        <v>725</v>
      </c>
      <c r="M488" s="142" t="s">
        <v>726</v>
      </c>
      <c r="N488" s="140" t="s">
        <v>189</v>
      </c>
      <c r="O488" s="141"/>
      <c r="P488" s="143" t="s">
        <v>306</v>
      </c>
      <c r="Q488" s="134">
        <v>5900.0</v>
      </c>
      <c r="R488" s="29">
        <f t="shared" si="11"/>
        <v>5900</v>
      </c>
      <c r="S488" s="29">
        <f t="shared" si="12"/>
        <v>944</v>
      </c>
      <c r="T488" s="29">
        <f t="shared" si="13"/>
        <v>6844</v>
      </c>
      <c r="U488" s="129" t="s">
        <v>697</v>
      </c>
    </row>
    <row r="489" ht="15.75" hidden="1" customHeight="1">
      <c r="A489" s="138">
        <v>31.0</v>
      </c>
      <c r="B489" s="138">
        <v>4.0</v>
      </c>
      <c r="C489" s="139">
        <v>579.0</v>
      </c>
      <c r="D489" s="145">
        <v>46231.0</v>
      </c>
      <c r="E489" s="140">
        <v>1.0</v>
      </c>
      <c r="F489" s="132" t="s">
        <v>31</v>
      </c>
      <c r="G489" s="140" t="s">
        <v>488</v>
      </c>
      <c r="H489" s="138">
        <v>14.0</v>
      </c>
      <c r="I489" s="141"/>
      <c r="J489" s="140" t="s">
        <v>195</v>
      </c>
      <c r="K489" s="112" t="s">
        <v>50</v>
      </c>
      <c r="L489" s="142" t="s">
        <v>723</v>
      </c>
      <c r="M489" s="142" t="s">
        <v>727</v>
      </c>
      <c r="N489" s="140" t="s">
        <v>189</v>
      </c>
      <c r="O489" s="141"/>
      <c r="P489" s="143" t="s">
        <v>728</v>
      </c>
      <c r="Q489" s="134">
        <v>5900.0</v>
      </c>
      <c r="R489" s="29">
        <f t="shared" si="11"/>
        <v>5900</v>
      </c>
      <c r="S489" s="29">
        <f t="shared" si="12"/>
        <v>944</v>
      </c>
      <c r="T489" s="29">
        <f t="shared" si="13"/>
        <v>6844</v>
      </c>
      <c r="U489" s="129" t="s">
        <v>697</v>
      </c>
    </row>
    <row r="490" ht="15.75" hidden="1" customHeight="1">
      <c r="A490" s="138">
        <v>31.0</v>
      </c>
      <c r="B490" s="138">
        <v>5.0</v>
      </c>
      <c r="C490" s="139">
        <v>580.0</v>
      </c>
      <c r="D490" s="145">
        <v>46231.0</v>
      </c>
      <c r="E490" s="140">
        <v>1.0</v>
      </c>
      <c r="F490" s="132" t="s">
        <v>31</v>
      </c>
      <c r="G490" s="140" t="s">
        <v>517</v>
      </c>
      <c r="H490" s="138">
        <v>14.0</v>
      </c>
      <c r="I490" s="141"/>
      <c r="J490" s="140" t="s">
        <v>114</v>
      </c>
      <c r="K490" s="112" t="s">
        <v>50</v>
      </c>
      <c r="L490" s="142" t="s">
        <v>727</v>
      </c>
      <c r="M490" s="142" t="s">
        <v>729</v>
      </c>
      <c r="N490" s="140" t="s">
        <v>189</v>
      </c>
      <c r="O490" s="141"/>
      <c r="P490" s="143" t="s">
        <v>728</v>
      </c>
      <c r="Q490" s="134">
        <v>5900.0</v>
      </c>
      <c r="R490" s="29">
        <f t="shared" si="11"/>
        <v>5900</v>
      </c>
      <c r="S490" s="29">
        <f t="shared" si="12"/>
        <v>944</v>
      </c>
      <c r="T490" s="29">
        <f t="shared" si="13"/>
        <v>6844</v>
      </c>
      <c r="U490" s="129" t="s">
        <v>697</v>
      </c>
    </row>
    <row r="491" ht="15.75" hidden="1" customHeight="1">
      <c r="A491" s="138">
        <v>31.0</v>
      </c>
      <c r="B491" s="138">
        <v>6.0</v>
      </c>
      <c r="C491" s="139">
        <v>581.0</v>
      </c>
      <c r="D491" s="145">
        <v>46231.0</v>
      </c>
      <c r="E491" s="140">
        <v>1.0</v>
      </c>
      <c r="F491" s="132" t="s">
        <v>31</v>
      </c>
      <c r="G491" s="140" t="s">
        <v>368</v>
      </c>
      <c r="H491" s="138">
        <v>14.0</v>
      </c>
      <c r="I491" s="141"/>
      <c r="J491" s="140" t="s">
        <v>122</v>
      </c>
      <c r="K491" s="112" t="s">
        <v>50</v>
      </c>
      <c r="L491" s="142" t="s">
        <v>726</v>
      </c>
      <c r="M491" s="142" t="s">
        <v>730</v>
      </c>
      <c r="N491" s="140" t="s">
        <v>189</v>
      </c>
      <c r="O491" s="141"/>
      <c r="P491" s="143" t="s">
        <v>306</v>
      </c>
      <c r="Q491" s="134">
        <v>5900.0</v>
      </c>
      <c r="R491" s="29">
        <f t="shared" si="11"/>
        <v>5900</v>
      </c>
      <c r="S491" s="29">
        <f t="shared" si="12"/>
        <v>944</v>
      </c>
      <c r="T491" s="29">
        <f t="shared" si="13"/>
        <v>6844</v>
      </c>
      <c r="U491" s="129" t="s">
        <v>697</v>
      </c>
    </row>
    <row r="492" ht="15.75" hidden="1" customHeight="1">
      <c r="A492" s="138">
        <v>31.0</v>
      </c>
      <c r="B492" s="138">
        <v>7.0</v>
      </c>
      <c r="C492" s="139">
        <v>582.0</v>
      </c>
      <c r="D492" s="145">
        <v>46231.0</v>
      </c>
      <c r="E492" s="140">
        <v>1.0</v>
      </c>
      <c r="F492" s="132" t="s">
        <v>31</v>
      </c>
      <c r="G492" s="140" t="s">
        <v>461</v>
      </c>
      <c r="H492" s="138">
        <v>14.0</v>
      </c>
      <c r="I492" s="141"/>
      <c r="J492" s="140" t="s">
        <v>208</v>
      </c>
      <c r="K492" s="112" t="s">
        <v>50</v>
      </c>
      <c r="L492" s="142" t="s">
        <v>730</v>
      </c>
      <c r="M492" s="142" t="s">
        <v>731</v>
      </c>
      <c r="N492" s="140" t="s">
        <v>189</v>
      </c>
      <c r="O492" s="141"/>
      <c r="P492" s="143" t="s">
        <v>306</v>
      </c>
      <c r="Q492" s="134">
        <v>5900.0</v>
      </c>
      <c r="R492" s="29">
        <f t="shared" si="11"/>
        <v>5900</v>
      </c>
      <c r="S492" s="29">
        <f t="shared" si="12"/>
        <v>944</v>
      </c>
      <c r="T492" s="29">
        <f t="shared" si="13"/>
        <v>6844</v>
      </c>
      <c r="U492" s="129" t="s">
        <v>697</v>
      </c>
    </row>
    <row r="493" ht="15.75" hidden="1" customHeight="1">
      <c r="A493" s="138">
        <v>31.0</v>
      </c>
      <c r="B493" s="138">
        <v>8.0</v>
      </c>
      <c r="C493" s="139">
        <v>584.0</v>
      </c>
      <c r="D493" s="145">
        <v>46231.0</v>
      </c>
      <c r="E493" s="140">
        <v>1.0</v>
      </c>
      <c r="F493" s="132" t="s">
        <v>31</v>
      </c>
      <c r="G493" s="140" t="s">
        <v>732</v>
      </c>
      <c r="H493" s="138">
        <v>14.0</v>
      </c>
      <c r="I493" s="141"/>
      <c r="J493" s="140" t="s">
        <v>664</v>
      </c>
      <c r="K493" s="112" t="s">
        <v>50</v>
      </c>
      <c r="L493" s="142" t="s">
        <v>731</v>
      </c>
      <c r="M493" s="142" t="s">
        <v>733</v>
      </c>
      <c r="N493" s="140" t="s">
        <v>189</v>
      </c>
      <c r="O493" s="141"/>
      <c r="P493" s="143" t="s">
        <v>306</v>
      </c>
      <c r="Q493" s="134">
        <v>5900.0</v>
      </c>
      <c r="R493" s="29">
        <f t="shared" si="11"/>
        <v>5900</v>
      </c>
      <c r="S493" s="29">
        <f t="shared" si="12"/>
        <v>944</v>
      </c>
      <c r="T493" s="29">
        <f t="shared" si="13"/>
        <v>6844</v>
      </c>
      <c r="U493" s="129" t="s">
        <v>697</v>
      </c>
    </row>
    <row r="494" ht="15.75" hidden="1" customHeight="1">
      <c r="A494" s="138">
        <v>31.0</v>
      </c>
      <c r="B494" s="138">
        <v>9.0</v>
      </c>
      <c r="C494" s="139">
        <v>585.0</v>
      </c>
      <c r="D494" s="145">
        <v>46231.0</v>
      </c>
      <c r="E494" s="140">
        <v>1.0</v>
      </c>
      <c r="F494" s="132" t="s">
        <v>31</v>
      </c>
      <c r="G494" s="140" t="s">
        <v>555</v>
      </c>
      <c r="H494" s="138">
        <v>14.0</v>
      </c>
      <c r="I494" s="141"/>
      <c r="J494" s="140" t="s">
        <v>242</v>
      </c>
      <c r="K494" s="112" t="s">
        <v>50</v>
      </c>
      <c r="L494" s="142" t="s">
        <v>733</v>
      </c>
      <c r="M494" s="142" t="s">
        <v>734</v>
      </c>
      <c r="N494" s="140" t="s">
        <v>189</v>
      </c>
      <c r="O494" s="141"/>
      <c r="P494" s="143" t="s">
        <v>306</v>
      </c>
      <c r="Q494" s="134">
        <v>5900.0</v>
      </c>
      <c r="R494" s="29">
        <f t="shared" si="11"/>
        <v>5900</v>
      </c>
      <c r="S494" s="29">
        <f t="shared" si="12"/>
        <v>944</v>
      </c>
      <c r="T494" s="29">
        <f t="shared" si="13"/>
        <v>6844</v>
      </c>
      <c r="U494" s="129" t="s">
        <v>697</v>
      </c>
    </row>
    <row r="495" ht="15.75" hidden="1" customHeight="1">
      <c r="A495" s="138">
        <v>31.0</v>
      </c>
      <c r="B495" s="138">
        <v>10.0</v>
      </c>
      <c r="C495" s="139">
        <v>583.0</v>
      </c>
      <c r="D495" s="145">
        <v>46231.0</v>
      </c>
      <c r="E495" s="140">
        <v>1.0</v>
      </c>
      <c r="F495" s="132" t="s">
        <v>31</v>
      </c>
      <c r="G495" s="140" t="s">
        <v>427</v>
      </c>
      <c r="H495" s="138">
        <v>14.0</v>
      </c>
      <c r="I495" s="141"/>
      <c r="J495" s="140" t="s">
        <v>344</v>
      </c>
      <c r="K495" s="112" t="s">
        <v>50</v>
      </c>
      <c r="L495" s="142" t="s">
        <v>734</v>
      </c>
      <c r="M495" s="142" t="s">
        <v>735</v>
      </c>
      <c r="N495" s="140" t="s">
        <v>189</v>
      </c>
      <c r="O495" s="141"/>
      <c r="P495" s="143" t="s">
        <v>306</v>
      </c>
      <c r="Q495" s="134">
        <v>5900.0</v>
      </c>
      <c r="R495" s="29">
        <f t="shared" si="11"/>
        <v>5900</v>
      </c>
      <c r="S495" s="29">
        <f t="shared" si="12"/>
        <v>944</v>
      </c>
      <c r="T495" s="29">
        <f t="shared" si="13"/>
        <v>6844</v>
      </c>
      <c r="U495" s="129" t="s">
        <v>697</v>
      </c>
    </row>
    <row r="496" ht="15.75" hidden="1" customHeight="1">
      <c r="A496" s="138">
        <v>31.0</v>
      </c>
      <c r="B496" s="138">
        <v>1.0</v>
      </c>
      <c r="C496" s="139">
        <v>586.0</v>
      </c>
      <c r="D496" s="145">
        <v>46232.0</v>
      </c>
      <c r="E496" s="140">
        <v>1.0</v>
      </c>
      <c r="F496" s="132" t="s">
        <v>31</v>
      </c>
      <c r="G496" s="140" t="s">
        <v>382</v>
      </c>
      <c r="H496" s="138">
        <v>14.0</v>
      </c>
      <c r="I496" s="141"/>
      <c r="J496" s="140" t="s">
        <v>200</v>
      </c>
      <c r="K496" s="112" t="s">
        <v>50</v>
      </c>
      <c r="L496" s="140" t="s">
        <v>719</v>
      </c>
      <c r="M496" s="140" t="s">
        <v>720</v>
      </c>
      <c r="N496" s="140" t="s">
        <v>189</v>
      </c>
      <c r="O496" s="141"/>
      <c r="P496" s="143" t="s">
        <v>306</v>
      </c>
      <c r="Q496" s="134">
        <v>5900.0</v>
      </c>
      <c r="R496" s="29">
        <f t="shared" si="11"/>
        <v>5900</v>
      </c>
      <c r="S496" s="29">
        <f t="shared" si="12"/>
        <v>944</v>
      </c>
      <c r="T496" s="29">
        <f t="shared" si="13"/>
        <v>6844</v>
      </c>
      <c r="U496" s="129" t="s">
        <v>697</v>
      </c>
    </row>
    <row r="497" ht="15.75" hidden="1" customHeight="1">
      <c r="A497" s="138">
        <v>31.0</v>
      </c>
      <c r="B497" s="138">
        <v>2.0</v>
      </c>
      <c r="C497" s="139">
        <v>587.0</v>
      </c>
      <c r="D497" s="145">
        <v>46232.0</v>
      </c>
      <c r="E497" s="140">
        <v>1.0</v>
      </c>
      <c r="F497" s="132" t="s">
        <v>31</v>
      </c>
      <c r="G497" s="140" t="s">
        <v>488</v>
      </c>
      <c r="H497" s="138">
        <v>14.0</v>
      </c>
      <c r="I497" s="141"/>
      <c r="J497" s="140" t="s">
        <v>195</v>
      </c>
      <c r="K497" s="112" t="s">
        <v>50</v>
      </c>
      <c r="L497" s="140" t="s">
        <v>720</v>
      </c>
      <c r="M497" s="140" t="s">
        <v>736</v>
      </c>
      <c r="N497" s="140" t="s">
        <v>189</v>
      </c>
      <c r="O497" s="141"/>
      <c r="P497" s="143" t="s">
        <v>306</v>
      </c>
      <c r="Q497" s="134">
        <v>5900.0</v>
      </c>
      <c r="R497" s="29">
        <f t="shared" si="11"/>
        <v>5900</v>
      </c>
      <c r="S497" s="29">
        <f t="shared" si="12"/>
        <v>944</v>
      </c>
      <c r="T497" s="29">
        <f t="shared" si="13"/>
        <v>6844</v>
      </c>
      <c r="U497" s="129" t="s">
        <v>697</v>
      </c>
    </row>
    <row r="498" ht="15.75" hidden="1" customHeight="1">
      <c r="A498" s="138">
        <v>31.0</v>
      </c>
      <c r="B498" s="138">
        <v>3.0</v>
      </c>
      <c r="C498" s="139">
        <v>588.0</v>
      </c>
      <c r="D498" s="145">
        <v>46232.0</v>
      </c>
      <c r="E498" s="140">
        <v>1.0</v>
      </c>
      <c r="F498" s="132" t="s">
        <v>31</v>
      </c>
      <c r="G498" s="140" t="s">
        <v>517</v>
      </c>
      <c r="H498" s="138">
        <v>14.0</v>
      </c>
      <c r="I498" s="141"/>
      <c r="J498" s="140" t="s">
        <v>114</v>
      </c>
      <c r="K498" s="112" t="s">
        <v>50</v>
      </c>
      <c r="L498" s="142" t="s">
        <v>736</v>
      </c>
      <c r="M498" s="142" t="s">
        <v>737</v>
      </c>
      <c r="N498" s="140" t="s">
        <v>189</v>
      </c>
      <c r="O498" s="141"/>
      <c r="P498" s="143" t="s">
        <v>306</v>
      </c>
      <c r="Q498" s="134">
        <v>5900.0</v>
      </c>
      <c r="R498" s="29">
        <f t="shared" si="11"/>
        <v>5900</v>
      </c>
      <c r="S498" s="29">
        <f t="shared" si="12"/>
        <v>944</v>
      </c>
      <c r="T498" s="29">
        <f t="shared" si="13"/>
        <v>6844</v>
      </c>
      <c r="U498" s="129" t="s">
        <v>697</v>
      </c>
    </row>
    <row r="499" ht="15.75" hidden="1" customHeight="1">
      <c r="A499" s="138">
        <v>31.0</v>
      </c>
      <c r="B499" s="138">
        <v>4.0</v>
      </c>
      <c r="C499" s="139">
        <v>590.0</v>
      </c>
      <c r="D499" s="145">
        <v>46232.0</v>
      </c>
      <c r="E499" s="140">
        <v>1.0</v>
      </c>
      <c r="F499" s="132" t="s">
        <v>31</v>
      </c>
      <c r="G499" s="140" t="s">
        <v>357</v>
      </c>
      <c r="H499" s="138">
        <v>14.0</v>
      </c>
      <c r="I499" s="141"/>
      <c r="J499" s="140" t="s">
        <v>288</v>
      </c>
      <c r="K499" s="112" t="s">
        <v>50</v>
      </c>
      <c r="L499" s="142" t="s">
        <v>737</v>
      </c>
      <c r="M499" s="142" t="s">
        <v>738</v>
      </c>
      <c r="N499" s="140" t="s">
        <v>189</v>
      </c>
      <c r="O499" s="141"/>
      <c r="P499" s="143" t="s">
        <v>306</v>
      </c>
      <c r="Q499" s="134">
        <v>5900.0</v>
      </c>
      <c r="R499" s="29">
        <f t="shared" si="11"/>
        <v>5900</v>
      </c>
      <c r="S499" s="29">
        <f t="shared" si="12"/>
        <v>944</v>
      </c>
      <c r="T499" s="29">
        <f t="shared" si="13"/>
        <v>6844</v>
      </c>
      <c r="U499" s="129" t="s">
        <v>697</v>
      </c>
    </row>
    <row r="500" ht="15.75" hidden="1" customHeight="1">
      <c r="A500" s="138">
        <v>31.0</v>
      </c>
      <c r="B500" s="138">
        <v>5.0</v>
      </c>
      <c r="C500" s="139">
        <v>591.0</v>
      </c>
      <c r="D500" s="145">
        <v>46232.0</v>
      </c>
      <c r="E500" s="140">
        <v>1.0</v>
      </c>
      <c r="F500" s="132" t="s">
        <v>31</v>
      </c>
      <c r="G500" s="140" t="s">
        <v>368</v>
      </c>
      <c r="H500" s="138">
        <v>14.0</v>
      </c>
      <c r="I500" s="141"/>
      <c r="J500" s="140" t="s">
        <v>122</v>
      </c>
      <c r="K500" s="112" t="s">
        <v>50</v>
      </c>
      <c r="L500" s="142" t="s">
        <v>739</v>
      </c>
      <c r="M500" s="142" t="s">
        <v>740</v>
      </c>
      <c r="N500" s="140" t="s">
        <v>189</v>
      </c>
      <c r="O500" s="141"/>
      <c r="P500" s="143" t="s">
        <v>306</v>
      </c>
      <c r="Q500" s="134">
        <v>5900.0</v>
      </c>
      <c r="R500" s="29">
        <f t="shared" si="11"/>
        <v>5900</v>
      </c>
      <c r="S500" s="29">
        <f t="shared" si="12"/>
        <v>944</v>
      </c>
      <c r="T500" s="29">
        <f t="shared" si="13"/>
        <v>6844</v>
      </c>
      <c r="U500" s="129" t="s">
        <v>697</v>
      </c>
    </row>
    <row r="501" ht="15.75" hidden="1" customHeight="1">
      <c r="A501" s="138">
        <v>31.0</v>
      </c>
      <c r="B501" s="138">
        <v>6.0</v>
      </c>
      <c r="C501" s="139">
        <v>594.0</v>
      </c>
      <c r="D501" s="145">
        <v>46232.0</v>
      </c>
      <c r="E501" s="140">
        <v>1.0</v>
      </c>
      <c r="F501" s="132" t="s">
        <v>31</v>
      </c>
      <c r="G501" s="140" t="s">
        <v>474</v>
      </c>
      <c r="H501" s="138">
        <v>14.0</v>
      </c>
      <c r="I501" s="141"/>
      <c r="J501" s="140" t="s">
        <v>593</v>
      </c>
      <c r="K501" s="112" t="s">
        <v>50</v>
      </c>
      <c r="L501" s="142" t="s">
        <v>740</v>
      </c>
      <c r="M501" s="142" t="s">
        <v>741</v>
      </c>
      <c r="N501" s="140" t="s">
        <v>189</v>
      </c>
      <c r="O501" s="141"/>
      <c r="P501" s="143" t="s">
        <v>306</v>
      </c>
      <c r="Q501" s="134">
        <v>5900.0</v>
      </c>
      <c r="R501" s="29">
        <f t="shared" si="11"/>
        <v>5900</v>
      </c>
      <c r="S501" s="29">
        <f t="shared" si="12"/>
        <v>944</v>
      </c>
      <c r="T501" s="29">
        <f t="shared" si="13"/>
        <v>6844</v>
      </c>
      <c r="U501" s="129" t="s">
        <v>697</v>
      </c>
    </row>
    <row r="502" ht="15.75" hidden="1" customHeight="1">
      <c r="A502" s="138">
        <v>31.0</v>
      </c>
      <c r="B502" s="138">
        <v>7.0</v>
      </c>
      <c r="C502" s="139">
        <v>589.0</v>
      </c>
      <c r="D502" s="145">
        <v>46232.0</v>
      </c>
      <c r="E502" s="140">
        <v>1.0</v>
      </c>
      <c r="F502" s="132" t="s">
        <v>31</v>
      </c>
      <c r="G502" s="140" t="s">
        <v>248</v>
      </c>
      <c r="H502" s="138">
        <v>14.0</v>
      </c>
      <c r="I502" s="141"/>
      <c r="J502" s="140" t="s">
        <v>146</v>
      </c>
      <c r="K502" s="112" t="s">
        <v>50</v>
      </c>
      <c r="L502" s="142" t="s">
        <v>741</v>
      </c>
      <c r="M502" s="142" t="s">
        <v>742</v>
      </c>
      <c r="N502" s="140" t="s">
        <v>189</v>
      </c>
      <c r="O502" s="141"/>
      <c r="P502" s="143" t="s">
        <v>306</v>
      </c>
      <c r="Q502" s="134">
        <v>5900.0</v>
      </c>
      <c r="R502" s="29">
        <f t="shared" si="11"/>
        <v>5900</v>
      </c>
      <c r="S502" s="29">
        <f t="shared" si="12"/>
        <v>944</v>
      </c>
      <c r="T502" s="29">
        <f t="shared" si="13"/>
        <v>6844</v>
      </c>
      <c r="U502" s="129" t="s">
        <v>697</v>
      </c>
    </row>
    <row r="503" ht="15.75" hidden="1" customHeight="1">
      <c r="A503" s="138">
        <v>31.0</v>
      </c>
      <c r="B503" s="138">
        <v>8.0</v>
      </c>
      <c r="C503" s="139">
        <v>593.0</v>
      </c>
      <c r="D503" s="145">
        <v>46232.0</v>
      </c>
      <c r="E503" s="140">
        <v>1.0</v>
      </c>
      <c r="F503" s="132" t="s">
        <v>31</v>
      </c>
      <c r="G503" s="140" t="s">
        <v>461</v>
      </c>
      <c r="H503" s="138">
        <v>14.0</v>
      </c>
      <c r="I503" s="141"/>
      <c r="J503" s="140" t="s">
        <v>208</v>
      </c>
      <c r="K503" s="112" t="s">
        <v>50</v>
      </c>
      <c r="L503" s="138" t="s">
        <v>742</v>
      </c>
      <c r="M503" s="138" t="s">
        <v>743</v>
      </c>
      <c r="N503" s="140" t="s">
        <v>189</v>
      </c>
      <c r="O503" s="141"/>
      <c r="P503" s="143" t="s">
        <v>306</v>
      </c>
      <c r="Q503" s="134">
        <v>5900.0</v>
      </c>
      <c r="R503" s="29">
        <f t="shared" si="11"/>
        <v>5900</v>
      </c>
      <c r="S503" s="29">
        <f t="shared" si="12"/>
        <v>944</v>
      </c>
      <c r="T503" s="29">
        <f t="shared" si="13"/>
        <v>6844</v>
      </c>
      <c r="U503" s="129" t="s">
        <v>697</v>
      </c>
    </row>
    <row r="504" ht="15.75" hidden="1" customHeight="1">
      <c r="A504" s="138">
        <v>31.0</v>
      </c>
      <c r="B504" s="138">
        <v>9.0</v>
      </c>
      <c r="C504" s="139">
        <v>592.0</v>
      </c>
      <c r="D504" s="145">
        <v>46232.0</v>
      </c>
      <c r="E504" s="140">
        <v>1.0</v>
      </c>
      <c r="F504" s="132" t="s">
        <v>31</v>
      </c>
      <c r="G504" s="140" t="s">
        <v>427</v>
      </c>
      <c r="H504" s="138">
        <v>14.0</v>
      </c>
      <c r="I504" s="141"/>
      <c r="J504" s="140" t="s">
        <v>344</v>
      </c>
      <c r="K504" s="112" t="s">
        <v>50</v>
      </c>
      <c r="L504" s="138" t="s">
        <v>743</v>
      </c>
      <c r="M504" s="138" t="s">
        <v>744</v>
      </c>
      <c r="N504" s="140" t="s">
        <v>189</v>
      </c>
      <c r="O504" s="141"/>
      <c r="P504" s="143" t="s">
        <v>306</v>
      </c>
      <c r="Q504" s="134">
        <v>5900.0</v>
      </c>
      <c r="R504" s="29">
        <f t="shared" si="11"/>
        <v>5900</v>
      </c>
      <c r="S504" s="29">
        <f t="shared" si="12"/>
        <v>944</v>
      </c>
      <c r="T504" s="29">
        <f t="shared" si="13"/>
        <v>6844</v>
      </c>
      <c r="U504" s="129" t="s">
        <v>697</v>
      </c>
    </row>
    <row r="505" ht="15.75" hidden="1" customHeight="1">
      <c r="A505" s="138">
        <v>31.0</v>
      </c>
      <c r="B505" s="138">
        <v>10.0</v>
      </c>
      <c r="C505" s="139">
        <v>596.0</v>
      </c>
      <c r="D505" s="145">
        <v>46232.0</v>
      </c>
      <c r="E505" s="140">
        <v>1.0</v>
      </c>
      <c r="F505" s="132" t="s">
        <v>31</v>
      </c>
      <c r="G505" s="140" t="s">
        <v>745</v>
      </c>
      <c r="H505" s="138">
        <v>14.0</v>
      </c>
      <c r="I505" s="141"/>
      <c r="J505" s="140" t="s">
        <v>242</v>
      </c>
      <c r="K505" s="112" t="s">
        <v>50</v>
      </c>
      <c r="L505" s="138" t="s">
        <v>744</v>
      </c>
      <c r="M505" s="138" t="s">
        <v>746</v>
      </c>
      <c r="N505" s="140" t="s">
        <v>189</v>
      </c>
      <c r="O505" s="141"/>
      <c r="P505" s="143" t="s">
        <v>306</v>
      </c>
      <c r="Q505" s="134">
        <v>5900.0</v>
      </c>
      <c r="R505" s="29">
        <f t="shared" si="11"/>
        <v>5900</v>
      </c>
      <c r="S505" s="29">
        <f t="shared" si="12"/>
        <v>944</v>
      </c>
      <c r="T505" s="29">
        <f t="shared" si="13"/>
        <v>6844</v>
      </c>
      <c r="U505" s="129" t="s">
        <v>697</v>
      </c>
    </row>
    <row r="506" ht="15.75" hidden="1" customHeight="1">
      <c r="A506" s="138">
        <v>31.0</v>
      </c>
      <c r="B506" s="138">
        <v>11.0</v>
      </c>
      <c r="C506" s="139">
        <v>598.0</v>
      </c>
      <c r="D506" s="145">
        <v>46232.0</v>
      </c>
      <c r="E506" s="140">
        <v>1.0</v>
      </c>
      <c r="F506" s="132" t="s">
        <v>31</v>
      </c>
      <c r="G506" s="140" t="s">
        <v>747</v>
      </c>
      <c r="H506" s="138">
        <v>14.0</v>
      </c>
      <c r="I506" s="141"/>
      <c r="J506" s="140" t="s">
        <v>150</v>
      </c>
      <c r="K506" s="112" t="s">
        <v>50</v>
      </c>
      <c r="L506" s="138" t="s">
        <v>746</v>
      </c>
      <c r="M506" s="138" t="s">
        <v>748</v>
      </c>
      <c r="N506" s="140" t="s">
        <v>189</v>
      </c>
      <c r="O506" s="141"/>
      <c r="P506" s="143" t="s">
        <v>306</v>
      </c>
      <c r="Q506" s="134">
        <v>5900.0</v>
      </c>
      <c r="R506" s="29">
        <f t="shared" si="11"/>
        <v>5900</v>
      </c>
      <c r="S506" s="29">
        <f t="shared" si="12"/>
        <v>944</v>
      </c>
      <c r="T506" s="29">
        <f t="shared" si="13"/>
        <v>6844</v>
      </c>
      <c r="U506" s="129" t="s">
        <v>697</v>
      </c>
    </row>
    <row r="507" ht="15.75" hidden="1" customHeight="1">
      <c r="A507" s="138">
        <v>31.0</v>
      </c>
      <c r="B507" s="138">
        <v>12.0</v>
      </c>
      <c r="C507" s="139">
        <v>595.0</v>
      </c>
      <c r="D507" s="145">
        <v>46232.0</v>
      </c>
      <c r="E507" s="140">
        <v>1.0</v>
      </c>
      <c r="F507" s="132" t="s">
        <v>31</v>
      </c>
      <c r="G507" s="140" t="s">
        <v>749</v>
      </c>
      <c r="H507" s="138">
        <v>14.0</v>
      </c>
      <c r="I507" s="141"/>
      <c r="J507" s="140" t="s">
        <v>664</v>
      </c>
      <c r="K507" s="112" t="s">
        <v>50</v>
      </c>
      <c r="L507" s="138" t="s">
        <v>748</v>
      </c>
      <c r="M507" s="138" t="s">
        <v>750</v>
      </c>
      <c r="N507" s="140" t="s">
        <v>189</v>
      </c>
      <c r="O507" s="141"/>
      <c r="P507" s="143" t="s">
        <v>306</v>
      </c>
      <c r="Q507" s="134">
        <v>5900.0</v>
      </c>
      <c r="R507" s="29">
        <f t="shared" si="11"/>
        <v>5900</v>
      </c>
      <c r="S507" s="29">
        <f t="shared" si="12"/>
        <v>944</v>
      </c>
      <c r="T507" s="29">
        <f t="shared" si="13"/>
        <v>6844</v>
      </c>
      <c r="U507" s="129" t="s">
        <v>697</v>
      </c>
    </row>
    <row r="508" ht="15.75" hidden="1" customHeight="1">
      <c r="A508" s="138">
        <v>31.0</v>
      </c>
      <c r="B508" s="138">
        <v>13.0</v>
      </c>
      <c r="C508" s="139">
        <v>599.0</v>
      </c>
      <c r="D508" s="145">
        <v>46232.0</v>
      </c>
      <c r="E508" s="140">
        <v>1.0</v>
      </c>
      <c r="F508" s="132" t="s">
        <v>31</v>
      </c>
      <c r="G508" s="140" t="s">
        <v>251</v>
      </c>
      <c r="H508" s="138">
        <v>14.0</v>
      </c>
      <c r="I508" s="141"/>
      <c r="J508" s="140" t="s">
        <v>313</v>
      </c>
      <c r="K508" s="112" t="s">
        <v>50</v>
      </c>
      <c r="L508" s="138" t="s">
        <v>750</v>
      </c>
      <c r="M508" s="138" t="s">
        <v>751</v>
      </c>
      <c r="N508" s="140" t="s">
        <v>189</v>
      </c>
      <c r="O508" s="141"/>
      <c r="P508" s="143" t="s">
        <v>306</v>
      </c>
      <c r="Q508" s="134">
        <v>5900.0</v>
      </c>
      <c r="R508" s="29">
        <f t="shared" si="11"/>
        <v>5900</v>
      </c>
      <c r="S508" s="29">
        <f t="shared" si="12"/>
        <v>944</v>
      </c>
      <c r="T508" s="29">
        <f t="shared" si="13"/>
        <v>6844</v>
      </c>
      <c r="U508" s="129" t="s">
        <v>697</v>
      </c>
    </row>
    <row r="509" ht="15.75" hidden="1" customHeight="1">
      <c r="A509" s="138">
        <v>31.0</v>
      </c>
      <c r="B509" s="138">
        <v>14.0</v>
      </c>
      <c r="C509" s="139">
        <v>597.0</v>
      </c>
      <c r="D509" s="145">
        <v>46232.0</v>
      </c>
      <c r="E509" s="140">
        <v>1.0</v>
      </c>
      <c r="F509" s="132" t="s">
        <v>31</v>
      </c>
      <c r="G509" s="140" t="s">
        <v>752</v>
      </c>
      <c r="H509" s="138">
        <v>14.0</v>
      </c>
      <c r="I509" s="141"/>
      <c r="J509" s="140" t="s">
        <v>753</v>
      </c>
      <c r="K509" s="112" t="s">
        <v>50</v>
      </c>
      <c r="L509" s="138" t="s">
        <v>751</v>
      </c>
      <c r="M509" s="138" t="s">
        <v>754</v>
      </c>
      <c r="N509" s="140" t="s">
        <v>189</v>
      </c>
      <c r="O509" s="141"/>
      <c r="P509" s="143" t="s">
        <v>306</v>
      </c>
      <c r="Q509" s="134">
        <v>5900.0</v>
      </c>
      <c r="R509" s="29">
        <f t="shared" si="11"/>
        <v>5900</v>
      </c>
      <c r="S509" s="29">
        <f t="shared" si="12"/>
        <v>944</v>
      </c>
      <c r="T509" s="29">
        <f t="shared" si="13"/>
        <v>6844</v>
      </c>
      <c r="U509" s="129" t="s">
        <v>697</v>
      </c>
    </row>
    <row r="510" ht="15.75" hidden="1" customHeight="1">
      <c r="A510" s="138">
        <v>31.0</v>
      </c>
      <c r="B510" s="138">
        <v>15.0</v>
      </c>
      <c r="C510" s="139">
        <v>600.0</v>
      </c>
      <c r="D510" s="145">
        <v>46232.0</v>
      </c>
      <c r="E510" s="140">
        <v>1.0</v>
      </c>
      <c r="F510" s="132" t="s">
        <v>31</v>
      </c>
      <c r="G510" s="140" t="s">
        <v>416</v>
      </c>
      <c r="H510" s="138">
        <v>14.0</v>
      </c>
      <c r="I510" s="141"/>
      <c r="J510" s="140" t="s">
        <v>150</v>
      </c>
      <c r="K510" s="112" t="s">
        <v>50</v>
      </c>
      <c r="L510" s="138" t="s">
        <v>754</v>
      </c>
      <c r="M510" s="138" t="s">
        <v>723</v>
      </c>
      <c r="N510" s="140" t="s">
        <v>189</v>
      </c>
      <c r="O510" s="141"/>
      <c r="P510" s="143" t="s">
        <v>306</v>
      </c>
      <c r="Q510" s="134">
        <v>5900.0</v>
      </c>
      <c r="R510" s="29">
        <f t="shared" si="11"/>
        <v>5900</v>
      </c>
      <c r="S510" s="29">
        <f t="shared" si="12"/>
        <v>944</v>
      </c>
      <c r="T510" s="29">
        <f t="shared" si="13"/>
        <v>6844</v>
      </c>
      <c r="U510" s="129" t="s">
        <v>697</v>
      </c>
    </row>
    <row r="511" ht="15.75" hidden="1" customHeight="1">
      <c r="A511" s="138">
        <v>31.0</v>
      </c>
      <c r="B511" s="138">
        <v>1.0</v>
      </c>
      <c r="C511" s="139">
        <v>854.0</v>
      </c>
      <c r="D511" s="145">
        <v>46233.0</v>
      </c>
      <c r="E511" s="140">
        <v>1.0</v>
      </c>
      <c r="F511" s="132" t="s">
        <v>31</v>
      </c>
      <c r="G511" s="140" t="s">
        <v>705</v>
      </c>
      <c r="H511" s="138">
        <v>14.0</v>
      </c>
      <c r="I511" s="141"/>
      <c r="J511" s="140" t="s">
        <v>706</v>
      </c>
      <c r="K511" s="112" t="s">
        <v>50</v>
      </c>
      <c r="L511" s="138" t="s">
        <v>731</v>
      </c>
      <c r="M511" s="138" t="s">
        <v>755</v>
      </c>
      <c r="N511" s="140" t="s">
        <v>189</v>
      </c>
      <c r="O511" s="141"/>
      <c r="P511" s="143" t="s">
        <v>756</v>
      </c>
      <c r="Q511" s="134">
        <v>5900.0</v>
      </c>
      <c r="R511" s="29">
        <f t="shared" si="11"/>
        <v>5900</v>
      </c>
      <c r="S511" s="29">
        <f t="shared" si="12"/>
        <v>944</v>
      </c>
      <c r="T511" s="29">
        <f t="shared" si="13"/>
        <v>6844</v>
      </c>
      <c r="U511" s="129" t="s">
        <v>697</v>
      </c>
    </row>
    <row r="512" ht="15.75" hidden="1" customHeight="1">
      <c r="A512" s="138">
        <v>31.0</v>
      </c>
      <c r="B512" s="138">
        <v>2.0</v>
      </c>
      <c r="C512" s="139">
        <v>852.0</v>
      </c>
      <c r="D512" s="145">
        <v>46233.0</v>
      </c>
      <c r="E512" s="140">
        <v>1.0</v>
      </c>
      <c r="F512" s="132" t="s">
        <v>31</v>
      </c>
      <c r="G512" s="140" t="s">
        <v>357</v>
      </c>
      <c r="H512" s="138">
        <v>14.0</v>
      </c>
      <c r="I512" s="141"/>
      <c r="J512" s="140" t="s">
        <v>520</v>
      </c>
      <c r="K512" s="112" t="s">
        <v>50</v>
      </c>
      <c r="L512" s="138" t="s">
        <v>755</v>
      </c>
      <c r="M512" s="138" t="s">
        <v>726</v>
      </c>
      <c r="N512" s="140" t="s">
        <v>189</v>
      </c>
      <c r="O512" s="141"/>
      <c r="P512" s="143" t="s">
        <v>756</v>
      </c>
      <c r="Q512" s="134">
        <v>5900.0</v>
      </c>
      <c r="R512" s="29">
        <f t="shared" si="11"/>
        <v>5900</v>
      </c>
      <c r="S512" s="29">
        <f t="shared" si="12"/>
        <v>944</v>
      </c>
      <c r="T512" s="29">
        <f t="shared" si="13"/>
        <v>6844</v>
      </c>
      <c r="U512" s="129" t="s">
        <v>697</v>
      </c>
    </row>
    <row r="513" ht="15.75" hidden="1" customHeight="1">
      <c r="A513" s="138">
        <v>31.0</v>
      </c>
      <c r="B513" s="138">
        <v>3.0</v>
      </c>
      <c r="C513" s="139">
        <v>851.0</v>
      </c>
      <c r="D513" s="145">
        <v>46233.0</v>
      </c>
      <c r="E513" s="140">
        <v>1.0</v>
      </c>
      <c r="F513" s="132" t="s">
        <v>31</v>
      </c>
      <c r="G513" s="140" t="s">
        <v>251</v>
      </c>
      <c r="H513" s="138">
        <v>14.0</v>
      </c>
      <c r="I513" s="141"/>
      <c r="J513" s="140" t="s">
        <v>757</v>
      </c>
      <c r="K513" s="112" t="s">
        <v>50</v>
      </c>
      <c r="L513" s="138" t="s">
        <v>726</v>
      </c>
      <c r="M513" s="138" t="s">
        <v>758</v>
      </c>
      <c r="N513" s="140" t="s">
        <v>189</v>
      </c>
      <c r="O513" s="141"/>
      <c r="P513" s="143" t="s">
        <v>756</v>
      </c>
      <c r="Q513" s="134">
        <v>5900.0</v>
      </c>
      <c r="R513" s="29">
        <f t="shared" si="11"/>
        <v>5900</v>
      </c>
      <c r="S513" s="29">
        <f t="shared" si="12"/>
        <v>944</v>
      </c>
      <c r="T513" s="29">
        <f t="shared" si="13"/>
        <v>6844</v>
      </c>
      <c r="U513" s="129" t="s">
        <v>697</v>
      </c>
    </row>
    <row r="514" ht="15.75" hidden="1" customHeight="1">
      <c r="A514" s="138">
        <v>31.0</v>
      </c>
      <c r="B514" s="138">
        <v>4.0</v>
      </c>
      <c r="C514" s="139">
        <v>853.0</v>
      </c>
      <c r="D514" s="145">
        <v>46233.0</v>
      </c>
      <c r="E514" s="140">
        <v>1.0</v>
      </c>
      <c r="F514" s="132" t="s">
        <v>31</v>
      </c>
      <c r="G514" s="140" t="s">
        <v>700</v>
      </c>
      <c r="H514" s="138">
        <v>14.0</v>
      </c>
      <c r="I514" s="141"/>
      <c r="J514" s="140" t="s">
        <v>701</v>
      </c>
      <c r="K514" s="112" t="s">
        <v>50</v>
      </c>
      <c r="L514" s="138" t="s">
        <v>758</v>
      </c>
      <c r="M514" s="138" t="s">
        <v>759</v>
      </c>
      <c r="N514" s="140" t="s">
        <v>189</v>
      </c>
      <c r="O514" s="141"/>
      <c r="P514" s="143" t="s">
        <v>756</v>
      </c>
      <c r="Q514" s="134">
        <v>5900.0</v>
      </c>
      <c r="R514" s="29">
        <f t="shared" si="11"/>
        <v>5900</v>
      </c>
      <c r="S514" s="29">
        <f t="shared" si="12"/>
        <v>944</v>
      </c>
      <c r="T514" s="29">
        <f t="shared" si="13"/>
        <v>6844</v>
      </c>
      <c r="U514" s="129" t="s">
        <v>697</v>
      </c>
    </row>
    <row r="515" ht="15.75" hidden="1" customHeight="1">
      <c r="A515" s="138">
        <v>31.0</v>
      </c>
      <c r="B515" s="138">
        <v>5.0</v>
      </c>
      <c r="C515" s="139">
        <v>856.0</v>
      </c>
      <c r="D515" s="145">
        <v>46233.0</v>
      </c>
      <c r="E515" s="140">
        <v>1.0</v>
      </c>
      <c r="F515" s="132" t="s">
        <v>31</v>
      </c>
      <c r="G515" s="140" t="s">
        <v>201</v>
      </c>
      <c r="H515" s="138">
        <v>14.0</v>
      </c>
      <c r="I515" s="141"/>
      <c r="J515" s="140" t="s">
        <v>150</v>
      </c>
      <c r="K515" s="112" t="s">
        <v>50</v>
      </c>
      <c r="L515" s="138" t="s">
        <v>759</v>
      </c>
      <c r="M515" s="138" t="s">
        <v>760</v>
      </c>
      <c r="N515" s="140" t="s">
        <v>189</v>
      </c>
      <c r="O515" s="141"/>
      <c r="P515" s="143" t="s">
        <v>756</v>
      </c>
      <c r="Q515" s="134">
        <v>5900.0</v>
      </c>
      <c r="R515" s="29">
        <f t="shared" si="11"/>
        <v>5900</v>
      </c>
      <c r="S515" s="29">
        <f t="shared" si="12"/>
        <v>944</v>
      </c>
      <c r="T515" s="29">
        <f t="shared" si="13"/>
        <v>6844</v>
      </c>
      <c r="U515" s="129" t="s">
        <v>697</v>
      </c>
    </row>
    <row r="516" ht="15.75" hidden="1" customHeight="1">
      <c r="A516" s="138">
        <v>31.0</v>
      </c>
      <c r="B516" s="138">
        <v>6.0</v>
      </c>
      <c r="C516" s="139">
        <v>857.0</v>
      </c>
      <c r="D516" s="145">
        <v>46233.0</v>
      </c>
      <c r="E516" s="140">
        <v>1.0</v>
      </c>
      <c r="F516" s="132" t="s">
        <v>31</v>
      </c>
      <c r="G516" s="140" t="s">
        <v>618</v>
      </c>
      <c r="H516" s="138">
        <v>14.0</v>
      </c>
      <c r="I516" s="141"/>
      <c r="J516" s="140" t="s">
        <v>155</v>
      </c>
      <c r="K516" s="112" t="s">
        <v>50</v>
      </c>
      <c r="L516" s="138" t="s">
        <v>760</v>
      </c>
      <c r="M516" s="138" t="s">
        <v>751</v>
      </c>
      <c r="N516" s="140" t="s">
        <v>189</v>
      </c>
      <c r="O516" s="141"/>
      <c r="P516" s="143" t="s">
        <v>756</v>
      </c>
      <c r="Q516" s="134">
        <v>5900.0</v>
      </c>
      <c r="R516" s="29">
        <f t="shared" si="11"/>
        <v>5900</v>
      </c>
      <c r="S516" s="29">
        <f t="shared" si="12"/>
        <v>944</v>
      </c>
      <c r="T516" s="29">
        <f t="shared" si="13"/>
        <v>6844</v>
      </c>
      <c r="U516" s="129" t="s">
        <v>697</v>
      </c>
    </row>
    <row r="517" ht="15.75" hidden="1" customHeight="1">
      <c r="A517" s="138">
        <v>31.0</v>
      </c>
      <c r="B517" s="138">
        <v>7.0</v>
      </c>
      <c r="C517" s="139">
        <v>855.0</v>
      </c>
      <c r="D517" s="145">
        <v>46233.0</v>
      </c>
      <c r="E517" s="140">
        <v>1.0</v>
      </c>
      <c r="F517" s="132" t="s">
        <v>31</v>
      </c>
      <c r="G517" s="140" t="s">
        <v>211</v>
      </c>
      <c r="H517" s="138">
        <v>14.0</v>
      </c>
      <c r="I517" s="141"/>
      <c r="J517" s="140" t="s">
        <v>664</v>
      </c>
      <c r="K517" s="112" t="s">
        <v>50</v>
      </c>
      <c r="L517" s="138" t="s">
        <v>751</v>
      </c>
      <c r="M517" s="138" t="s">
        <v>761</v>
      </c>
      <c r="N517" s="140" t="s">
        <v>189</v>
      </c>
      <c r="O517" s="141"/>
      <c r="P517" s="143" t="s">
        <v>306</v>
      </c>
      <c r="Q517" s="134">
        <v>5900.0</v>
      </c>
      <c r="R517" s="29">
        <f t="shared" si="11"/>
        <v>5900</v>
      </c>
      <c r="S517" s="29">
        <f t="shared" si="12"/>
        <v>944</v>
      </c>
      <c r="T517" s="29">
        <f t="shared" si="13"/>
        <v>6844</v>
      </c>
      <c r="U517" s="129" t="s">
        <v>697</v>
      </c>
    </row>
    <row r="518" ht="15.75" hidden="1" customHeight="1">
      <c r="A518" s="138">
        <v>31.0</v>
      </c>
      <c r="B518" s="138">
        <v>8.0</v>
      </c>
      <c r="C518" s="139">
        <v>858.0</v>
      </c>
      <c r="D518" s="145">
        <v>46233.0</v>
      </c>
      <c r="E518" s="140">
        <v>1.0</v>
      </c>
      <c r="F518" s="132" t="s">
        <v>31</v>
      </c>
      <c r="G518" s="140" t="s">
        <v>259</v>
      </c>
      <c r="H518" s="138">
        <v>14.0</v>
      </c>
      <c r="I518" s="141"/>
      <c r="J518" s="140" t="s">
        <v>762</v>
      </c>
      <c r="K518" s="112" t="s">
        <v>50</v>
      </c>
      <c r="L518" s="138" t="s">
        <v>763</v>
      </c>
      <c r="M518" s="138" t="s">
        <v>764</v>
      </c>
      <c r="N518" s="140" t="s">
        <v>189</v>
      </c>
      <c r="O518" s="141"/>
      <c r="P518" s="143" t="s">
        <v>306</v>
      </c>
      <c r="Q518" s="134">
        <v>5900.0</v>
      </c>
      <c r="R518" s="29">
        <f t="shared" si="11"/>
        <v>5900</v>
      </c>
      <c r="S518" s="29">
        <f t="shared" si="12"/>
        <v>944</v>
      </c>
      <c r="T518" s="29">
        <f t="shared" si="13"/>
        <v>6844</v>
      </c>
      <c r="U518" s="129" t="s">
        <v>697</v>
      </c>
    </row>
    <row r="519" ht="15.75" hidden="1" customHeight="1">
      <c r="A519" s="138">
        <v>31.0</v>
      </c>
      <c r="B519" s="138">
        <v>9.0</v>
      </c>
      <c r="C519" s="139">
        <v>859.0</v>
      </c>
      <c r="D519" s="145">
        <v>46233.0</v>
      </c>
      <c r="E519" s="140">
        <v>1.0</v>
      </c>
      <c r="F519" s="132" t="s">
        <v>31</v>
      </c>
      <c r="G519" s="140" t="s">
        <v>765</v>
      </c>
      <c r="H519" s="138">
        <v>14.0</v>
      </c>
      <c r="I519" s="141"/>
      <c r="J519" s="140" t="s">
        <v>766</v>
      </c>
      <c r="K519" s="112" t="s">
        <v>50</v>
      </c>
      <c r="L519" s="138" t="s">
        <v>764</v>
      </c>
      <c r="M519" s="138" t="s">
        <v>767</v>
      </c>
      <c r="N519" s="140" t="s">
        <v>189</v>
      </c>
      <c r="O519" s="141"/>
      <c r="P519" s="143" t="s">
        <v>306</v>
      </c>
      <c r="Q519" s="134">
        <v>5900.0</v>
      </c>
      <c r="R519" s="29">
        <f t="shared" si="11"/>
        <v>5900</v>
      </c>
      <c r="S519" s="29">
        <f t="shared" si="12"/>
        <v>944</v>
      </c>
      <c r="T519" s="29">
        <f t="shared" si="13"/>
        <v>6844</v>
      </c>
      <c r="U519" s="129" t="s">
        <v>697</v>
      </c>
    </row>
    <row r="520" ht="15.75" hidden="1" customHeight="1">
      <c r="A520" s="138">
        <v>31.0</v>
      </c>
      <c r="B520" s="138">
        <v>10.0</v>
      </c>
      <c r="C520" s="139">
        <v>860.0</v>
      </c>
      <c r="D520" s="145">
        <v>46233.0</v>
      </c>
      <c r="E520" s="140">
        <v>1.0</v>
      </c>
      <c r="F520" s="132" t="s">
        <v>31</v>
      </c>
      <c r="G520" s="140" t="s">
        <v>768</v>
      </c>
      <c r="H520" s="138">
        <v>14.0</v>
      </c>
      <c r="I520" s="141"/>
      <c r="J520" s="140" t="s">
        <v>769</v>
      </c>
      <c r="K520" s="112" t="s">
        <v>50</v>
      </c>
      <c r="L520" s="138" t="s">
        <v>767</v>
      </c>
      <c r="M520" s="138" t="s">
        <v>770</v>
      </c>
      <c r="N520" s="140" t="s">
        <v>189</v>
      </c>
      <c r="O520" s="141"/>
      <c r="P520" s="143" t="s">
        <v>306</v>
      </c>
      <c r="Q520" s="134">
        <v>5900.0</v>
      </c>
      <c r="R520" s="29">
        <f t="shared" si="11"/>
        <v>5900</v>
      </c>
      <c r="S520" s="29">
        <f t="shared" si="12"/>
        <v>944</v>
      </c>
      <c r="T520" s="29">
        <f t="shared" si="13"/>
        <v>6844</v>
      </c>
      <c r="U520" s="129" t="s">
        <v>697</v>
      </c>
    </row>
    <row r="521" ht="15.75" hidden="1" customHeight="1">
      <c r="A521" s="138">
        <v>31.0</v>
      </c>
      <c r="B521" s="138">
        <v>11.0</v>
      </c>
      <c r="C521" s="139">
        <v>861.0</v>
      </c>
      <c r="D521" s="145">
        <v>46233.0</v>
      </c>
      <c r="E521" s="140">
        <v>1.0</v>
      </c>
      <c r="F521" s="132" t="s">
        <v>31</v>
      </c>
      <c r="G521" s="140" t="s">
        <v>461</v>
      </c>
      <c r="H521" s="138">
        <v>14.0</v>
      </c>
      <c r="I521" s="141"/>
      <c r="J521" s="140" t="s">
        <v>208</v>
      </c>
      <c r="K521" s="112" t="s">
        <v>50</v>
      </c>
      <c r="L521" s="138" t="s">
        <v>770</v>
      </c>
      <c r="M521" s="138" t="s">
        <v>771</v>
      </c>
      <c r="N521" s="140" t="s">
        <v>189</v>
      </c>
      <c r="O521" s="141"/>
      <c r="P521" s="143" t="s">
        <v>306</v>
      </c>
      <c r="Q521" s="134">
        <v>5900.0</v>
      </c>
      <c r="R521" s="29">
        <f t="shared" si="11"/>
        <v>5900</v>
      </c>
      <c r="S521" s="29">
        <f t="shared" si="12"/>
        <v>944</v>
      </c>
      <c r="T521" s="29">
        <f t="shared" si="13"/>
        <v>6844</v>
      </c>
      <c r="U521" s="129" t="s">
        <v>697</v>
      </c>
    </row>
    <row r="522" ht="15.75" hidden="1" customHeight="1">
      <c r="A522" s="138">
        <v>31.0</v>
      </c>
      <c r="B522" s="138">
        <v>12.0</v>
      </c>
      <c r="C522" s="139">
        <v>863.0</v>
      </c>
      <c r="D522" s="145">
        <v>46233.0</v>
      </c>
      <c r="E522" s="140">
        <v>1.0</v>
      </c>
      <c r="F522" s="132" t="s">
        <v>31</v>
      </c>
      <c r="G522" s="140" t="s">
        <v>772</v>
      </c>
      <c r="H522" s="138">
        <v>14.0</v>
      </c>
      <c r="I522" s="141"/>
      <c r="J522" s="140" t="s">
        <v>593</v>
      </c>
      <c r="K522" s="112" t="s">
        <v>50</v>
      </c>
      <c r="L522" s="138" t="s">
        <v>771</v>
      </c>
      <c r="M522" s="138" t="s">
        <v>773</v>
      </c>
      <c r="N522" s="140" t="s">
        <v>189</v>
      </c>
      <c r="O522" s="141"/>
      <c r="P522" s="143" t="s">
        <v>306</v>
      </c>
      <c r="Q522" s="134">
        <v>5900.0</v>
      </c>
      <c r="R522" s="29">
        <f t="shared" si="11"/>
        <v>5900</v>
      </c>
      <c r="S522" s="29">
        <f t="shared" si="12"/>
        <v>944</v>
      </c>
      <c r="T522" s="29">
        <f t="shared" si="13"/>
        <v>6844</v>
      </c>
      <c r="U522" s="129" t="s">
        <v>697</v>
      </c>
    </row>
    <row r="523" ht="15.75" hidden="1" customHeight="1">
      <c r="A523" s="138">
        <v>31.0</v>
      </c>
      <c r="B523" s="138">
        <v>13.0</v>
      </c>
      <c r="C523" s="139">
        <v>862.0</v>
      </c>
      <c r="D523" s="145">
        <v>46233.0</v>
      </c>
      <c r="E523" s="140">
        <v>1.0</v>
      </c>
      <c r="F523" s="132" t="s">
        <v>31</v>
      </c>
      <c r="G523" s="140" t="s">
        <v>774</v>
      </c>
      <c r="H523" s="138">
        <v>14.0</v>
      </c>
      <c r="I523" s="141"/>
      <c r="J523" s="140" t="s">
        <v>775</v>
      </c>
      <c r="K523" s="112" t="s">
        <v>50</v>
      </c>
      <c r="L523" s="138" t="s">
        <v>773</v>
      </c>
      <c r="M523" s="138" t="s">
        <v>776</v>
      </c>
      <c r="N523" s="140" t="s">
        <v>189</v>
      </c>
      <c r="O523" s="141"/>
      <c r="P523" s="143" t="s">
        <v>306</v>
      </c>
      <c r="Q523" s="134">
        <v>5900.0</v>
      </c>
      <c r="R523" s="29">
        <f t="shared" si="11"/>
        <v>5900</v>
      </c>
      <c r="S523" s="29">
        <f t="shared" si="12"/>
        <v>944</v>
      </c>
      <c r="T523" s="29">
        <f t="shared" si="13"/>
        <v>6844</v>
      </c>
      <c r="U523" s="129" t="s">
        <v>697</v>
      </c>
    </row>
    <row r="524" ht="15.75" hidden="1" customHeight="1">
      <c r="A524" s="138">
        <v>31.0</v>
      </c>
      <c r="B524" s="138">
        <v>14.0</v>
      </c>
      <c r="C524" s="139">
        <v>864.0</v>
      </c>
      <c r="D524" s="145">
        <v>46233.0</v>
      </c>
      <c r="E524" s="140">
        <v>1.0</v>
      </c>
      <c r="F524" s="132" t="s">
        <v>31</v>
      </c>
      <c r="G524" s="140" t="s">
        <v>777</v>
      </c>
      <c r="H524" s="138">
        <v>14.0</v>
      </c>
      <c r="I524" s="141"/>
      <c r="J524" s="140" t="s">
        <v>344</v>
      </c>
      <c r="K524" s="112" t="s">
        <v>50</v>
      </c>
      <c r="L524" s="138" t="s">
        <v>776</v>
      </c>
      <c r="M524" s="138" t="s">
        <v>778</v>
      </c>
      <c r="N524" s="140" t="s">
        <v>189</v>
      </c>
      <c r="O524" s="141"/>
      <c r="P524" s="143" t="s">
        <v>306</v>
      </c>
      <c r="Q524" s="134">
        <v>5900.0</v>
      </c>
      <c r="R524" s="29">
        <f t="shared" si="11"/>
        <v>5900</v>
      </c>
      <c r="S524" s="29">
        <f t="shared" si="12"/>
        <v>944</v>
      </c>
      <c r="T524" s="29">
        <f t="shared" si="13"/>
        <v>6844</v>
      </c>
      <c r="U524" s="129" t="s">
        <v>697</v>
      </c>
    </row>
    <row r="525" ht="15.75" hidden="1" customHeight="1">
      <c r="A525" s="138">
        <v>31.0</v>
      </c>
      <c r="B525" s="138">
        <v>15.0</v>
      </c>
      <c r="C525" s="139">
        <v>865.0</v>
      </c>
      <c r="D525" s="145">
        <v>46233.0</v>
      </c>
      <c r="E525" s="140">
        <v>1.0</v>
      </c>
      <c r="F525" s="132" t="s">
        <v>31</v>
      </c>
      <c r="G525" s="140" t="s">
        <v>480</v>
      </c>
      <c r="H525" s="138">
        <v>14.0</v>
      </c>
      <c r="I525" s="141"/>
      <c r="J525" s="140" t="s">
        <v>284</v>
      </c>
      <c r="K525" s="112" t="s">
        <v>50</v>
      </c>
      <c r="L525" s="138" t="s">
        <v>778</v>
      </c>
      <c r="M525" s="138" t="s">
        <v>779</v>
      </c>
      <c r="N525" s="140" t="s">
        <v>189</v>
      </c>
      <c r="O525" s="141"/>
      <c r="P525" s="143" t="s">
        <v>306</v>
      </c>
      <c r="Q525" s="134">
        <v>5900.0</v>
      </c>
      <c r="R525" s="29">
        <f t="shared" si="11"/>
        <v>5900</v>
      </c>
      <c r="S525" s="29">
        <f t="shared" si="12"/>
        <v>944</v>
      </c>
      <c r="T525" s="29">
        <f t="shared" si="13"/>
        <v>6844</v>
      </c>
      <c r="U525" s="129" t="s">
        <v>697</v>
      </c>
    </row>
    <row r="526" ht="15.75" hidden="1" customHeight="1">
      <c r="A526" s="138">
        <v>31.0</v>
      </c>
      <c r="B526" s="138">
        <v>1.0</v>
      </c>
      <c r="C526" s="139">
        <v>866.0</v>
      </c>
      <c r="D526" s="145">
        <v>46234.0</v>
      </c>
      <c r="E526" s="140">
        <v>1.0</v>
      </c>
      <c r="F526" s="132" t="s">
        <v>31</v>
      </c>
      <c r="G526" s="140" t="s">
        <v>382</v>
      </c>
      <c r="H526" s="138">
        <v>14.0</v>
      </c>
      <c r="I526" s="141"/>
      <c r="J526" s="140" t="s">
        <v>118</v>
      </c>
      <c r="K526" s="112" t="s">
        <v>50</v>
      </c>
      <c r="L526" s="138" t="s">
        <v>780</v>
      </c>
      <c r="M526" s="138" t="s">
        <v>740</v>
      </c>
      <c r="N526" s="140" t="s">
        <v>189</v>
      </c>
      <c r="O526" s="141"/>
      <c r="P526" s="143" t="s">
        <v>283</v>
      </c>
      <c r="Q526" s="134">
        <v>5900.0</v>
      </c>
      <c r="R526" s="29">
        <f t="shared" si="11"/>
        <v>5900</v>
      </c>
      <c r="S526" s="29">
        <f t="shared" si="12"/>
        <v>944</v>
      </c>
      <c r="T526" s="29">
        <f t="shared" si="13"/>
        <v>6844</v>
      </c>
      <c r="U526" s="129" t="s">
        <v>697</v>
      </c>
    </row>
    <row r="527" ht="15.75" hidden="1" customHeight="1">
      <c r="A527" s="138">
        <v>31.0</v>
      </c>
      <c r="B527" s="138">
        <v>2.0</v>
      </c>
      <c r="C527" s="139">
        <v>868.0</v>
      </c>
      <c r="D527" s="145">
        <v>46234.0</v>
      </c>
      <c r="E527" s="140">
        <v>1.0</v>
      </c>
      <c r="F527" s="132" t="s">
        <v>31</v>
      </c>
      <c r="G527" s="140" t="s">
        <v>781</v>
      </c>
      <c r="H527" s="138">
        <v>14.0</v>
      </c>
      <c r="I527" s="141"/>
      <c r="J527" s="140" t="s">
        <v>114</v>
      </c>
      <c r="K527" s="112" t="s">
        <v>50</v>
      </c>
      <c r="L527" s="138" t="s">
        <v>740</v>
      </c>
      <c r="M527" s="138" t="s">
        <v>782</v>
      </c>
      <c r="N527" s="140" t="s">
        <v>189</v>
      </c>
      <c r="O527" s="141"/>
      <c r="P527" s="143" t="s">
        <v>283</v>
      </c>
      <c r="Q527" s="134">
        <v>5900.0</v>
      </c>
      <c r="R527" s="29">
        <f t="shared" si="11"/>
        <v>5900</v>
      </c>
      <c r="S527" s="29">
        <f t="shared" si="12"/>
        <v>944</v>
      </c>
      <c r="T527" s="29">
        <f t="shared" si="13"/>
        <v>6844</v>
      </c>
      <c r="U527" s="129" t="s">
        <v>697</v>
      </c>
    </row>
    <row r="528" ht="15.75" hidden="1" customHeight="1">
      <c r="A528" s="138">
        <v>31.0</v>
      </c>
      <c r="B528" s="138">
        <v>3.0</v>
      </c>
      <c r="C528" s="139">
        <v>870.0</v>
      </c>
      <c r="D528" s="145">
        <v>46234.0</v>
      </c>
      <c r="E528" s="140">
        <v>1.0</v>
      </c>
      <c r="F528" s="132" t="s">
        <v>31</v>
      </c>
      <c r="G528" s="140" t="s">
        <v>201</v>
      </c>
      <c r="H528" s="138">
        <v>14.0</v>
      </c>
      <c r="I528" s="141"/>
      <c r="J528" s="140" t="s">
        <v>150</v>
      </c>
      <c r="K528" s="112" t="s">
        <v>50</v>
      </c>
      <c r="L528" s="138" t="s">
        <v>782</v>
      </c>
      <c r="M528" s="138" t="s">
        <v>783</v>
      </c>
      <c r="N528" s="140" t="s">
        <v>189</v>
      </c>
      <c r="O528" s="141"/>
      <c r="P528" s="143" t="s">
        <v>283</v>
      </c>
      <c r="Q528" s="134">
        <v>5900.0</v>
      </c>
      <c r="R528" s="29">
        <f t="shared" si="11"/>
        <v>5900</v>
      </c>
      <c r="S528" s="29">
        <f t="shared" si="12"/>
        <v>944</v>
      </c>
      <c r="T528" s="29">
        <f t="shared" si="13"/>
        <v>6844</v>
      </c>
      <c r="U528" s="129" t="s">
        <v>697</v>
      </c>
    </row>
    <row r="529" ht="15.75" hidden="1" customHeight="1">
      <c r="A529" s="138">
        <v>31.0</v>
      </c>
      <c r="B529" s="138">
        <v>4.0</v>
      </c>
      <c r="C529" s="139">
        <v>867.0</v>
      </c>
      <c r="D529" s="145">
        <v>46234.0</v>
      </c>
      <c r="E529" s="140">
        <v>1.0</v>
      </c>
      <c r="F529" s="132" t="s">
        <v>31</v>
      </c>
      <c r="G529" s="140" t="s">
        <v>708</v>
      </c>
      <c r="H529" s="138">
        <v>14.0</v>
      </c>
      <c r="I529" s="141"/>
      <c r="J529" s="140" t="s">
        <v>593</v>
      </c>
      <c r="K529" s="112" t="s">
        <v>50</v>
      </c>
      <c r="L529" s="138" t="s">
        <v>783</v>
      </c>
      <c r="M529" s="138" t="s">
        <v>784</v>
      </c>
      <c r="N529" s="140" t="s">
        <v>189</v>
      </c>
      <c r="O529" s="141"/>
      <c r="P529" s="143" t="s">
        <v>283</v>
      </c>
      <c r="Q529" s="134">
        <v>5900.0</v>
      </c>
      <c r="R529" s="29">
        <f t="shared" si="11"/>
        <v>5900</v>
      </c>
      <c r="S529" s="29">
        <f t="shared" si="12"/>
        <v>944</v>
      </c>
      <c r="T529" s="29">
        <f t="shared" si="13"/>
        <v>6844</v>
      </c>
      <c r="U529" s="129" t="s">
        <v>697</v>
      </c>
    </row>
    <row r="530" ht="15.75" hidden="1" customHeight="1">
      <c r="A530" s="138">
        <v>31.0</v>
      </c>
      <c r="B530" s="138">
        <v>5.0</v>
      </c>
      <c r="C530" s="139">
        <v>871.0</v>
      </c>
      <c r="D530" s="145">
        <v>46234.0</v>
      </c>
      <c r="E530" s="140">
        <v>1.0</v>
      </c>
      <c r="F530" s="132" t="s">
        <v>31</v>
      </c>
      <c r="G530" s="140" t="s">
        <v>785</v>
      </c>
      <c r="H530" s="138">
        <v>14.0</v>
      </c>
      <c r="I530" s="141"/>
      <c r="J530" s="140" t="s">
        <v>326</v>
      </c>
      <c r="K530" s="112" t="s">
        <v>50</v>
      </c>
      <c r="L530" s="138" t="s">
        <v>784</v>
      </c>
      <c r="M530" s="138" t="s">
        <v>786</v>
      </c>
      <c r="N530" s="140" t="s">
        <v>189</v>
      </c>
      <c r="O530" s="141"/>
      <c r="P530" s="143" t="s">
        <v>283</v>
      </c>
      <c r="Q530" s="134">
        <v>5900.0</v>
      </c>
      <c r="R530" s="29">
        <f t="shared" si="11"/>
        <v>5900</v>
      </c>
      <c r="S530" s="29">
        <f t="shared" si="12"/>
        <v>944</v>
      </c>
      <c r="T530" s="29">
        <f t="shared" si="13"/>
        <v>6844</v>
      </c>
      <c r="U530" s="129" t="s">
        <v>697</v>
      </c>
    </row>
    <row r="531" ht="15.75" hidden="1" customHeight="1">
      <c r="A531" s="138">
        <v>31.0</v>
      </c>
      <c r="B531" s="138">
        <v>6.0</v>
      </c>
      <c r="C531" s="139">
        <v>873.0</v>
      </c>
      <c r="D531" s="145">
        <v>46234.0</v>
      </c>
      <c r="E531" s="140">
        <v>1.0</v>
      </c>
      <c r="F531" s="132" t="s">
        <v>31</v>
      </c>
      <c r="G531" s="140" t="s">
        <v>787</v>
      </c>
      <c r="H531" s="138">
        <v>14.0</v>
      </c>
      <c r="I531" s="141"/>
      <c r="J531" s="140" t="s">
        <v>788</v>
      </c>
      <c r="K531" s="112" t="s">
        <v>50</v>
      </c>
      <c r="L531" s="138" t="s">
        <v>789</v>
      </c>
      <c r="M531" s="138" t="s">
        <v>790</v>
      </c>
      <c r="N531" s="140" t="s">
        <v>189</v>
      </c>
      <c r="O531" s="141"/>
      <c r="P531" s="143" t="s">
        <v>283</v>
      </c>
      <c r="Q531" s="134">
        <v>5900.0</v>
      </c>
      <c r="R531" s="29">
        <f t="shared" si="11"/>
        <v>5900</v>
      </c>
      <c r="S531" s="29">
        <f t="shared" si="12"/>
        <v>944</v>
      </c>
      <c r="T531" s="29">
        <f t="shared" si="13"/>
        <v>6844</v>
      </c>
      <c r="U531" s="129" t="s">
        <v>697</v>
      </c>
    </row>
    <row r="532" ht="15.75" hidden="1" customHeight="1">
      <c r="A532" s="138">
        <v>31.0</v>
      </c>
      <c r="B532" s="138">
        <v>7.0</v>
      </c>
      <c r="C532" s="139">
        <v>872.0</v>
      </c>
      <c r="D532" s="145">
        <v>46234.0</v>
      </c>
      <c r="E532" s="140">
        <v>1.0</v>
      </c>
      <c r="F532" s="132" t="s">
        <v>31</v>
      </c>
      <c r="G532" s="140" t="s">
        <v>357</v>
      </c>
      <c r="H532" s="138">
        <v>14.0</v>
      </c>
      <c r="I532" s="141"/>
      <c r="J532" s="140" t="s">
        <v>288</v>
      </c>
      <c r="K532" s="112" t="s">
        <v>50</v>
      </c>
      <c r="L532" s="138" t="s">
        <v>790</v>
      </c>
      <c r="M532" s="138" t="s">
        <v>791</v>
      </c>
      <c r="N532" s="140" t="s">
        <v>189</v>
      </c>
      <c r="O532" s="141"/>
      <c r="P532" s="143" t="s">
        <v>283</v>
      </c>
      <c r="Q532" s="134">
        <v>5900.0</v>
      </c>
      <c r="R532" s="29">
        <f t="shared" si="11"/>
        <v>5900</v>
      </c>
      <c r="S532" s="29">
        <f t="shared" si="12"/>
        <v>944</v>
      </c>
      <c r="T532" s="29">
        <f t="shared" si="13"/>
        <v>6844</v>
      </c>
      <c r="U532" s="129" t="s">
        <v>697</v>
      </c>
    </row>
    <row r="533" ht="15.75" hidden="1" customHeight="1">
      <c r="A533" s="138">
        <v>31.0</v>
      </c>
      <c r="B533" s="138">
        <v>8.0</v>
      </c>
      <c r="C533" s="139">
        <v>874.0</v>
      </c>
      <c r="D533" s="145">
        <v>46234.0</v>
      </c>
      <c r="E533" s="140">
        <v>1.0</v>
      </c>
      <c r="F533" s="132" t="s">
        <v>31</v>
      </c>
      <c r="G533" s="140" t="s">
        <v>251</v>
      </c>
      <c r="H533" s="138">
        <v>14.0</v>
      </c>
      <c r="I533" s="141"/>
      <c r="J533" s="140" t="s">
        <v>313</v>
      </c>
      <c r="K533" s="112" t="s">
        <v>50</v>
      </c>
      <c r="L533" s="138" t="s">
        <v>791</v>
      </c>
      <c r="M533" s="138" t="s">
        <v>792</v>
      </c>
      <c r="N533" s="140" t="s">
        <v>189</v>
      </c>
      <c r="O533" s="141"/>
      <c r="P533" s="143" t="s">
        <v>283</v>
      </c>
      <c r="Q533" s="134">
        <v>5900.0</v>
      </c>
      <c r="R533" s="29">
        <f t="shared" si="11"/>
        <v>5900</v>
      </c>
      <c r="S533" s="29">
        <f t="shared" si="12"/>
        <v>944</v>
      </c>
      <c r="T533" s="29">
        <f t="shared" si="13"/>
        <v>6844</v>
      </c>
      <c r="U533" s="129" t="s">
        <v>697</v>
      </c>
    </row>
    <row r="534" ht="15.75" hidden="1" customHeight="1">
      <c r="A534" s="138">
        <v>31.0</v>
      </c>
      <c r="B534" s="138">
        <v>9.0</v>
      </c>
      <c r="C534" s="139">
        <v>876.0</v>
      </c>
      <c r="D534" s="145">
        <v>46234.0</v>
      </c>
      <c r="E534" s="140">
        <v>1.0</v>
      </c>
      <c r="F534" s="132" t="s">
        <v>31</v>
      </c>
      <c r="G534" s="140" t="s">
        <v>700</v>
      </c>
      <c r="H534" s="138">
        <v>14.0</v>
      </c>
      <c r="I534" s="141"/>
      <c r="J534" s="140" t="s">
        <v>701</v>
      </c>
      <c r="K534" s="112" t="s">
        <v>50</v>
      </c>
      <c r="L534" s="138" t="s">
        <v>792</v>
      </c>
      <c r="M534" s="138" t="s">
        <v>793</v>
      </c>
      <c r="N534" s="140" t="s">
        <v>189</v>
      </c>
      <c r="O534" s="141"/>
      <c r="P534" s="143" t="s">
        <v>283</v>
      </c>
      <c r="Q534" s="134">
        <v>5900.0</v>
      </c>
      <c r="R534" s="29">
        <f t="shared" si="11"/>
        <v>5900</v>
      </c>
      <c r="S534" s="29">
        <f t="shared" si="12"/>
        <v>944</v>
      </c>
      <c r="T534" s="29">
        <f t="shared" si="13"/>
        <v>6844</v>
      </c>
      <c r="U534" s="129" t="s">
        <v>697</v>
      </c>
    </row>
    <row r="535" ht="15.75" hidden="1" customHeight="1">
      <c r="A535" s="138">
        <v>31.0</v>
      </c>
      <c r="B535" s="138">
        <v>10.0</v>
      </c>
      <c r="C535" s="139">
        <v>875.0</v>
      </c>
      <c r="D535" s="145">
        <v>46234.0</v>
      </c>
      <c r="E535" s="140">
        <v>1.0</v>
      </c>
      <c r="F535" s="132" t="s">
        <v>31</v>
      </c>
      <c r="G535" s="140" t="s">
        <v>368</v>
      </c>
      <c r="H535" s="138">
        <v>14.0</v>
      </c>
      <c r="I535" s="141"/>
      <c r="J535" s="140" t="s">
        <v>122</v>
      </c>
      <c r="K535" s="112" t="s">
        <v>50</v>
      </c>
      <c r="L535" s="138" t="s">
        <v>793</v>
      </c>
      <c r="M535" s="138" t="s">
        <v>723</v>
      </c>
      <c r="N535" s="140" t="s">
        <v>189</v>
      </c>
      <c r="O535" s="141"/>
      <c r="P535" s="143" t="s">
        <v>283</v>
      </c>
      <c r="Q535" s="134">
        <v>5900.0</v>
      </c>
      <c r="R535" s="29">
        <f t="shared" si="11"/>
        <v>5900</v>
      </c>
      <c r="S535" s="29">
        <f t="shared" si="12"/>
        <v>944</v>
      </c>
      <c r="T535" s="29">
        <f t="shared" si="13"/>
        <v>6844</v>
      </c>
      <c r="U535" s="129" t="s">
        <v>697</v>
      </c>
    </row>
    <row r="536" ht="15.75" hidden="1" customHeight="1">
      <c r="A536" s="138">
        <v>31.0</v>
      </c>
      <c r="B536" s="138">
        <v>11.0</v>
      </c>
      <c r="C536" s="139">
        <v>869.0</v>
      </c>
      <c r="D536" s="145">
        <v>46234.0</v>
      </c>
      <c r="E536" s="140">
        <v>1.0</v>
      </c>
      <c r="F536" s="132" t="s">
        <v>31</v>
      </c>
      <c r="G536" s="140" t="s">
        <v>794</v>
      </c>
      <c r="H536" s="138">
        <v>14.0</v>
      </c>
      <c r="I536" s="141"/>
      <c r="J536" s="140" t="s">
        <v>242</v>
      </c>
      <c r="K536" s="112" t="s">
        <v>50</v>
      </c>
      <c r="L536" s="138" t="s">
        <v>723</v>
      </c>
      <c r="M536" s="138" t="s">
        <v>724</v>
      </c>
      <c r="N536" s="140" t="s">
        <v>189</v>
      </c>
      <c r="O536" s="141"/>
      <c r="P536" s="143" t="s">
        <v>283</v>
      </c>
      <c r="Q536" s="134">
        <v>5900.0</v>
      </c>
      <c r="R536" s="29">
        <f t="shared" si="11"/>
        <v>5900</v>
      </c>
      <c r="S536" s="29">
        <f t="shared" si="12"/>
        <v>944</v>
      </c>
      <c r="T536" s="29">
        <f t="shared" si="13"/>
        <v>6844</v>
      </c>
      <c r="U536" s="129" t="s">
        <v>697</v>
      </c>
    </row>
    <row r="537" ht="15.75" hidden="1" customHeight="1">
      <c r="A537" s="138">
        <v>31.0</v>
      </c>
      <c r="B537" s="138">
        <v>12.0</v>
      </c>
      <c r="C537" s="139">
        <v>877.0</v>
      </c>
      <c r="D537" s="145">
        <v>46234.0</v>
      </c>
      <c r="E537" s="140">
        <v>1.0</v>
      </c>
      <c r="F537" s="132" t="s">
        <v>31</v>
      </c>
      <c r="G537" s="140" t="s">
        <v>211</v>
      </c>
      <c r="H537" s="138">
        <v>14.0</v>
      </c>
      <c r="I537" s="141"/>
      <c r="J537" s="140" t="s">
        <v>664</v>
      </c>
      <c r="K537" s="112" t="s">
        <v>50</v>
      </c>
      <c r="L537" s="138" t="s">
        <v>724</v>
      </c>
      <c r="M537" s="138" t="s">
        <v>795</v>
      </c>
      <c r="N537" s="140" t="s">
        <v>189</v>
      </c>
      <c r="O537" s="141"/>
      <c r="P537" s="143" t="s">
        <v>283</v>
      </c>
      <c r="Q537" s="134">
        <v>5900.0</v>
      </c>
      <c r="R537" s="29">
        <f t="shared" si="11"/>
        <v>5900</v>
      </c>
      <c r="S537" s="29">
        <f t="shared" si="12"/>
        <v>944</v>
      </c>
      <c r="T537" s="29">
        <f t="shared" si="13"/>
        <v>6844</v>
      </c>
      <c r="U537" s="129" t="s">
        <v>697</v>
      </c>
    </row>
    <row r="538" ht="15.75" hidden="1" customHeight="1">
      <c r="A538" s="138">
        <v>31.0</v>
      </c>
      <c r="B538" s="138">
        <v>13.0</v>
      </c>
      <c r="C538" s="139">
        <v>879.0</v>
      </c>
      <c r="D538" s="145">
        <v>46234.0</v>
      </c>
      <c r="E538" s="140">
        <v>1.0</v>
      </c>
      <c r="F538" s="132" t="s">
        <v>31</v>
      </c>
      <c r="G538" s="140" t="s">
        <v>713</v>
      </c>
      <c r="H538" s="138">
        <v>14.0</v>
      </c>
      <c r="I538" s="141"/>
      <c r="J538" s="140" t="s">
        <v>41</v>
      </c>
      <c r="K538" s="112" t="s">
        <v>50</v>
      </c>
      <c r="L538" s="138" t="s">
        <v>795</v>
      </c>
      <c r="M538" s="138" t="s">
        <v>796</v>
      </c>
      <c r="N538" s="140" t="s">
        <v>189</v>
      </c>
      <c r="O538" s="141"/>
      <c r="P538" s="143" t="s">
        <v>283</v>
      </c>
      <c r="Q538" s="134">
        <v>5900.0</v>
      </c>
      <c r="R538" s="29">
        <f t="shared" si="11"/>
        <v>5900</v>
      </c>
      <c r="S538" s="29">
        <f t="shared" si="12"/>
        <v>944</v>
      </c>
      <c r="T538" s="29">
        <f t="shared" si="13"/>
        <v>6844</v>
      </c>
      <c r="U538" s="129" t="s">
        <v>697</v>
      </c>
    </row>
    <row r="539" ht="15.75" hidden="1" customHeight="1">
      <c r="A539" s="138">
        <v>31.0</v>
      </c>
      <c r="B539" s="138">
        <v>14.0</v>
      </c>
      <c r="C539" s="139">
        <v>878.0</v>
      </c>
      <c r="D539" s="145">
        <v>46234.0</v>
      </c>
      <c r="E539" s="140">
        <v>1.0</v>
      </c>
      <c r="F539" s="132" t="s">
        <v>31</v>
      </c>
      <c r="G539" s="140" t="s">
        <v>480</v>
      </c>
      <c r="H539" s="138">
        <v>14.0</v>
      </c>
      <c r="I539" s="141"/>
      <c r="J539" s="140" t="s">
        <v>284</v>
      </c>
      <c r="K539" s="112" t="s">
        <v>50</v>
      </c>
      <c r="L539" s="138" t="s">
        <v>796</v>
      </c>
      <c r="M539" s="138" t="s">
        <v>797</v>
      </c>
      <c r="N539" s="140" t="s">
        <v>189</v>
      </c>
      <c r="O539" s="141"/>
      <c r="P539" s="143" t="s">
        <v>283</v>
      </c>
      <c r="Q539" s="134">
        <v>5900.0</v>
      </c>
      <c r="R539" s="29">
        <f t="shared" si="11"/>
        <v>5900</v>
      </c>
      <c r="S539" s="29">
        <f t="shared" si="12"/>
        <v>944</v>
      </c>
      <c r="T539" s="29">
        <f t="shared" si="13"/>
        <v>6844</v>
      </c>
      <c r="U539" s="129" t="s">
        <v>697</v>
      </c>
    </row>
    <row r="540" ht="15.75" hidden="1" customHeight="1">
      <c r="A540" s="138">
        <v>31.0</v>
      </c>
      <c r="B540" s="138">
        <v>15.0</v>
      </c>
      <c r="C540" s="139">
        <v>880.0</v>
      </c>
      <c r="D540" s="145">
        <v>46234.0</v>
      </c>
      <c r="E540" s="140">
        <v>1.0</v>
      </c>
      <c r="F540" s="132" t="s">
        <v>31</v>
      </c>
      <c r="G540" s="140" t="s">
        <v>774</v>
      </c>
      <c r="H540" s="138">
        <v>14.0</v>
      </c>
      <c r="I540" s="141"/>
      <c r="J540" s="140" t="s">
        <v>798</v>
      </c>
      <c r="K540" s="112" t="s">
        <v>50</v>
      </c>
      <c r="L540" s="138" t="s">
        <v>797</v>
      </c>
      <c r="M540" s="138" t="s">
        <v>799</v>
      </c>
      <c r="N540" s="140" t="s">
        <v>189</v>
      </c>
      <c r="O540" s="141"/>
      <c r="P540" s="143" t="s">
        <v>283</v>
      </c>
      <c r="Q540" s="134">
        <v>5900.0</v>
      </c>
      <c r="R540" s="29">
        <f t="shared" si="11"/>
        <v>5900</v>
      </c>
      <c r="S540" s="29">
        <f t="shared" si="12"/>
        <v>944</v>
      </c>
      <c r="T540" s="29">
        <f t="shared" si="13"/>
        <v>6844</v>
      </c>
      <c r="U540" s="129" t="s">
        <v>697</v>
      </c>
    </row>
    <row r="541" ht="15.75" hidden="1" customHeight="1">
      <c r="A541" s="138">
        <v>31.0</v>
      </c>
      <c r="B541" s="138">
        <v>1.0</v>
      </c>
      <c r="C541" s="139">
        <v>881.0</v>
      </c>
      <c r="D541" s="145">
        <v>46235.0</v>
      </c>
      <c r="E541" s="140">
        <v>1.0</v>
      </c>
      <c r="F541" s="132" t="s">
        <v>31</v>
      </c>
      <c r="G541" s="140" t="s">
        <v>618</v>
      </c>
      <c r="H541" s="138">
        <v>14.0</v>
      </c>
      <c r="I541" s="141"/>
      <c r="J541" s="140" t="s">
        <v>155</v>
      </c>
      <c r="K541" s="112" t="s">
        <v>50</v>
      </c>
      <c r="L541" s="138" t="s">
        <v>800</v>
      </c>
      <c r="M541" s="138" t="s">
        <v>801</v>
      </c>
      <c r="N541" s="140" t="s">
        <v>206</v>
      </c>
      <c r="O541" s="141"/>
      <c r="P541" s="143" t="s">
        <v>283</v>
      </c>
      <c r="Q541" s="134">
        <v>5900.0</v>
      </c>
      <c r="R541" s="29">
        <f t="shared" si="11"/>
        <v>5900</v>
      </c>
      <c r="S541" s="29">
        <f t="shared" si="12"/>
        <v>944</v>
      </c>
      <c r="T541" s="29">
        <f t="shared" si="13"/>
        <v>6844</v>
      </c>
      <c r="U541" s="129" t="s">
        <v>697</v>
      </c>
    </row>
    <row r="542" ht="15.75" hidden="1" customHeight="1">
      <c r="A542" s="138">
        <v>31.0</v>
      </c>
      <c r="B542" s="138">
        <v>2.0</v>
      </c>
      <c r="C542" s="139">
        <v>882.0</v>
      </c>
      <c r="D542" s="145">
        <v>46235.0</v>
      </c>
      <c r="E542" s="140">
        <v>1.0</v>
      </c>
      <c r="F542" s="132" t="s">
        <v>31</v>
      </c>
      <c r="G542" s="140" t="s">
        <v>802</v>
      </c>
      <c r="H542" s="138">
        <v>14.0</v>
      </c>
      <c r="I542" s="141"/>
      <c r="J542" s="140" t="s">
        <v>664</v>
      </c>
      <c r="K542" s="112" t="s">
        <v>50</v>
      </c>
      <c r="L542" s="138" t="s">
        <v>801</v>
      </c>
      <c r="M542" s="138" t="s">
        <v>803</v>
      </c>
      <c r="N542" s="140" t="s">
        <v>206</v>
      </c>
      <c r="O542" s="141"/>
      <c r="P542" s="143" t="s">
        <v>283</v>
      </c>
      <c r="Q542" s="134">
        <v>5900.0</v>
      </c>
      <c r="R542" s="29">
        <f t="shared" si="11"/>
        <v>5900</v>
      </c>
      <c r="S542" s="29">
        <f t="shared" si="12"/>
        <v>944</v>
      </c>
      <c r="T542" s="29">
        <f t="shared" si="13"/>
        <v>6844</v>
      </c>
      <c r="U542" s="129" t="s">
        <v>697</v>
      </c>
    </row>
    <row r="543" ht="15.75" hidden="1" customHeight="1">
      <c r="A543" s="108">
        <v>32.0</v>
      </c>
      <c r="B543" s="108">
        <v>1.0</v>
      </c>
      <c r="C543" s="31">
        <v>885.0</v>
      </c>
      <c r="D543" s="118">
        <v>46237.0</v>
      </c>
      <c r="E543" s="31">
        <v>1.0</v>
      </c>
      <c r="F543" s="132" t="s">
        <v>31</v>
      </c>
      <c r="G543" s="31" t="s">
        <v>382</v>
      </c>
      <c r="H543" s="31">
        <v>14.0</v>
      </c>
      <c r="I543" s="18"/>
      <c r="J543" s="31" t="s">
        <v>200</v>
      </c>
      <c r="K543" s="31" t="s">
        <v>50</v>
      </c>
      <c r="L543" s="31" t="s">
        <v>799</v>
      </c>
      <c r="M543" s="31" t="s">
        <v>804</v>
      </c>
      <c r="N543" s="31" t="s">
        <v>189</v>
      </c>
      <c r="O543" s="18"/>
      <c r="P543" s="31" t="s">
        <v>283</v>
      </c>
      <c r="Q543" s="134">
        <v>5900.0</v>
      </c>
      <c r="R543" s="29">
        <f t="shared" si="11"/>
        <v>5900</v>
      </c>
      <c r="S543" s="29">
        <f t="shared" si="12"/>
        <v>944</v>
      </c>
      <c r="T543" s="29">
        <f t="shared" si="13"/>
        <v>6844</v>
      </c>
      <c r="U543" s="147" t="s">
        <v>695</v>
      </c>
    </row>
    <row r="544" ht="15.75" hidden="1" customHeight="1">
      <c r="A544" s="108">
        <v>32.0</v>
      </c>
      <c r="B544" s="108">
        <v>2.0</v>
      </c>
      <c r="C544" s="137">
        <v>884.0</v>
      </c>
      <c r="D544" s="118">
        <v>46237.0</v>
      </c>
      <c r="E544" s="31">
        <v>1.0</v>
      </c>
      <c r="F544" s="132" t="s">
        <v>31</v>
      </c>
      <c r="G544" s="31" t="s">
        <v>713</v>
      </c>
      <c r="H544" s="31">
        <v>14.0</v>
      </c>
      <c r="I544" s="18"/>
      <c r="J544" s="31" t="s">
        <v>543</v>
      </c>
      <c r="K544" s="31" t="s">
        <v>50</v>
      </c>
      <c r="L544" s="31" t="s">
        <v>804</v>
      </c>
      <c r="M544" s="31" t="s">
        <v>763</v>
      </c>
      <c r="N544" s="31" t="s">
        <v>189</v>
      </c>
      <c r="O544" s="18"/>
      <c r="P544" s="31" t="s">
        <v>283</v>
      </c>
      <c r="Q544" s="134">
        <v>5900.0</v>
      </c>
      <c r="R544" s="29">
        <f t="shared" si="11"/>
        <v>5900</v>
      </c>
      <c r="S544" s="29">
        <f t="shared" si="12"/>
        <v>944</v>
      </c>
      <c r="T544" s="29">
        <f t="shared" si="13"/>
        <v>6844</v>
      </c>
      <c r="U544" s="129" t="s">
        <v>697</v>
      </c>
    </row>
    <row r="545" ht="15.75" hidden="1" customHeight="1">
      <c r="A545" s="108">
        <v>32.0</v>
      </c>
      <c r="B545" s="108">
        <v>3.0</v>
      </c>
      <c r="C545" s="137">
        <v>886.0</v>
      </c>
      <c r="D545" s="118">
        <v>46237.0</v>
      </c>
      <c r="E545" s="31">
        <v>1.0</v>
      </c>
      <c r="F545" s="132" t="s">
        <v>31</v>
      </c>
      <c r="G545" s="31" t="s">
        <v>517</v>
      </c>
      <c r="H545" s="31">
        <v>14.0</v>
      </c>
      <c r="I545" s="18"/>
      <c r="J545" s="31" t="s">
        <v>114</v>
      </c>
      <c r="K545" s="31" t="s">
        <v>50</v>
      </c>
      <c r="L545" s="31" t="s">
        <v>763</v>
      </c>
      <c r="M545" s="31" t="s">
        <v>805</v>
      </c>
      <c r="N545" s="31" t="s">
        <v>189</v>
      </c>
      <c r="O545" s="18"/>
      <c r="P545" s="31" t="s">
        <v>283</v>
      </c>
      <c r="Q545" s="134">
        <v>5900.0</v>
      </c>
      <c r="R545" s="29">
        <f t="shared" si="11"/>
        <v>5900</v>
      </c>
      <c r="S545" s="29">
        <f t="shared" si="12"/>
        <v>944</v>
      </c>
      <c r="T545" s="29">
        <f t="shared" si="13"/>
        <v>6844</v>
      </c>
      <c r="U545" s="129" t="s">
        <v>697</v>
      </c>
    </row>
    <row r="546" ht="15.75" hidden="1" customHeight="1">
      <c r="A546" s="108">
        <v>32.0</v>
      </c>
      <c r="B546" s="108">
        <v>4.0</v>
      </c>
      <c r="C546" s="137">
        <v>883.0</v>
      </c>
      <c r="D546" s="118">
        <v>46237.0</v>
      </c>
      <c r="E546" s="31">
        <v>1.0</v>
      </c>
      <c r="F546" s="132" t="s">
        <v>31</v>
      </c>
      <c r="G546" s="31" t="s">
        <v>708</v>
      </c>
      <c r="H546" s="31">
        <v>14.0</v>
      </c>
      <c r="I546" s="18"/>
      <c r="J546" s="31" t="s">
        <v>593</v>
      </c>
      <c r="K546" s="31" t="s">
        <v>50</v>
      </c>
      <c r="L546" s="31" t="s">
        <v>805</v>
      </c>
      <c r="M546" s="31" t="s">
        <v>770</v>
      </c>
      <c r="N546" s="31" t="s">
        <v>189</v>
      </c>
      <c r="O546" s="18"/>
      <c r="P546" s="31" t="s">
        <v>283</v>
      </c>
      <c r="Q546" s="134">
        <v>5900.0</v>
      </c>
      <c r="R546" s="29">
        <f t="shared" si="11"/>
        <v>5900</v>
      </c>
      <c r="S546" s="29">
        <f t="shared" si="12"/>
        <v>944</v>
      </c>
      <c r="T546" s="29">
        <f t="shared" si="13"/>
        <v>6844</v>
      </c>
      <c r="U546" s="129" t="s">
        <v>697</v>
      </c>
    </row>
    <row r="547" ht="15.75" hidden="1" customHeight="1">
      <c r="A547" s="108">
        <v>32.0</v>
      </c>
      <c r="B547" s="108">
        <v>5.0</v>
      </c>
      <c r="C547" s="137">
        <v>887.0</v>
      </c>
      <c r="D547" s="118">
        <v>46237.0</v>
      </c>
      <c r="E547" s="31">
        <v>1.0</v>
      </c>
      <c r="F547" s="132" t="s">
        <v>31</v>
      </c>
      <c r="G547" s="31" t="s">
        <v>248</v>
      </c>
      <c r="H547" s="31">
        <v>14.0</v>
      </c>
      <c r="I547" s="18"/>
      <c r="J547" s="31" t="s">
        <v>146</v>
      </c>
      <c r="K547" s="31" t="s">
        <v>50</v>
      </c>
      <c r="L547" s="31" t="s">
        <v>770</v>
      </c>
      <c r="M547" s="31" t="s">
        <v>771</v>
      </c>
      <c r="N547" s="31" t="s">
        <v>189</v>
      </c>
      <c r="O547" s="18"/>
      <c r="P547" s="31" t="s">
        <v>283</v>
      </c>
      <c r="Q547" s="134">
        <v>5900.0</v>
      </c>
      <c r="R547" s="29">
        <f t="shared" si="11"/>
        <v>5900</v>
      </c>
      <c r="S547" s="29">
        <f t="shared" si="12"/>
        <v>944</v>
      </c>
      <c r="T547" s="29">
        <f t="shared" si="13"/>
        <v>6844</v>
      </c>
      <c r="U547" s="129" t="s">
        <v>697</v>
      </c>
    </row>
    <row r="548" ht="15.75" hidden="1" customHeight="1">
      <c r="A548" s="108">
        <v>32.0</v>
      </c>
      <c r="B548" s="108">
        <v>6.0</v>
      </c>
      <c r="C548" s="31">
        <v>889.0</v>
      </c>
      <c r="D548" s="118">
        <v>46237.0</v>
      </c>
      <c r="E548" s="31">
        <v>1.0</v>
      </c>
      <c r="F548" s="132" t="s">
        <v>31</v>
      </c>
      <c r="G548" s="31" t="s">
        <v>488</v>
      </c>
      <c r="H548" s="31">
        <v>14.0</v>
      </c>
      <c r="I548" s="18"/>
      <c r="J548" s="31" t="s">
        <v>195</v>
      </c>
      <c r="K548" s="31" t="s">
        <v>50</v>
      </c>
      <c r="L548" s="31" t="s">
        <v>771</v>
      </c>
      <c r="M548" s="31" t="s">
        <v>806</v>
      </c>
      <c r="N548" s="31" t="s">
        <v>189</v>
      </c>
      <c r="O548" s="18"/>
      <c r="P548" s="31" t="s">
        <v>283</v>
      </c>
      <c r="Q548" s="134">
        <v>5900.0</v>
      </c>
      <c r="R548" s="29">
        <f t="shared" si="11"/>
        <v>5900</v>
      </c>
      <c r="S548" s="29">
        <f t="shared" si="12"/>
        <v>944</v>
      </c>
      <c r="T548" s="29">
        <f t="shared" si="13"/>
        <v>6844</v>
      </c>
      <c r="U548" s="147" t="s">
        <v>695</v>
      </c>
    </row>
    <row r="549" ht="15.75" hidden="1" customHeight="1">
      <c r="A549" s="108">
        <v>32.0</v>
      </c>
      <c r="B549" s="108">
        <v>7.0</v>
      </c>
      <c r="C549" s="31">
        <v>890.0</v>
      </c>
      <c r="D549" s="118">
        <v>46237.0</v>
      </c>
      <c r="E549" s="31">
        <v>1.0</v>
      </c>
      <c r="F549" s="132" t="s">
        <v>31</v>
      </c>
      <c r="G549" s="31" t="s">
        <v>416</v>
      </c>
      <c r="H549" s="31">
        <v>7.0</v>
      </c>
      <c r="I549" s="18"/>
      <c r="J549" s="31" t="s">
        <v>326</v>
      </c>
      <c r="K549" s="31" t="s">
        <v>50</v>
      </c>
      <c r="L549" s="31" t="s">
        <v>806</v>
      </c>
      <c r="M549" s="31" t="s">
        <v>807</v>
      </c>
      <c r="N549" s="31" t="s">
        <v>189</v>
      </c>
      <c r="O549" s="18"/>
      <c r="P549" s="31" t="s">
        <v>283</v>
      </c>
      <c r="Q549" s="134">
        <v>5900.0</v>
      </c>
      <c r="R549" s="29">
        <f t="shared" si="11"/>
        <v>5900</v>
      </c>
      <c r="S549" s="29">
        <f t="shared" si="12"/>
        <v>944</v>
      </c>
      <c r="T549" s="29">
        <f t="shared" si="13"/>
        <v>6844</v>
      </c>
      <c r="U549" s="147" t="s">
        <v>695</v>
      </c>
    </row>
    <row r="550" ht="15.75" hidden="1" customHeight="1">
      <c r="A550" s="108">
        <v>32.0</v>
      </c>
      <c r="B550" s="108">
        <v>8.0</v>
      </c>
      <c r="C550" s="31">
        <v>891.0</v>
      </c>
      <c r="D550" s="118">
        <v>46237.0</v>
      </c>
      <c r="E550" s="31">
        <v>1.0</v>
      </c>
      <c r="F550" s="132" t="s">
        <v>31</v>
      </c>
      <c r="G550" s="31" t="s">
        <v>357</v>
      </c>
      <c r="H550" s="31">
        <v>14.0</v>
      </c>
      <c r="I550" s="18"/>
      <c r="J550" s="31" t="s">
        <v>288</v>
      </c>
      <c r="K550" s="31" t="s">
        <v>50</v>
      </c>
      <c r="L550" s="31" t="s">
        <v>807</v>
      </c>
      <c r="M550" s="31" t="s">
        <v>779</v>
      </c>
      <c r="N550" s="31" t="s">
        <v>189</v>
      </c>
      <c r="O550" s="18"/>
      <c r="P550" s="31" t="s">
        <v>283</v>
      </c>
      <c r="Q550" s="134">
        <v>5900.0</v>
      </c>
      <c r="R550" s="29">
        <f t="shared" si="11"/>
        <v>5900</v>
      </c>
      <c r="S550" s="29">
        <f t="shared" si="12"/>
        <v>944</v>
      </c>
      <c r="T550" s="29">
        <f t="shared" si="13"/>
        <v>6844</v>
      </c>
      <c r="U550" s="147" t="s">
        <v>695</v>
      </c>
    </row>
    <row r="551" ht="15.75" hidden="1" customHeight="1">
      <c r="A551" s="108">
        <v>32.0</v>
      </c>
      <c r="B551" s="108">
        <v>9.0</v>
      </c>
      <c r="C551" s="31">
        <v>888.0</v>
      </c>
      <c r="D551" s="118">
        <v>46237.0</v>
      </c>
      <c r="E551" s="31">
        <v>1.0</v>
      </c>
      <c r="F551" s="132" t="s">
        <v>31</v>
      </c>
      <c r="G551" s="31" t="s">
        <v>427</v>
      </c>
      <c r="H551" s="31">
        <v>14.0</v>
      </c>
      <c r="I551" s="18"/>
      <c r="J551" s="31" t="s">
        <v>344</v>
      </c>
      <c r="K551" s="31" t="s">
        <v>50</v>
      </c>
      <c r="L551" s="31" t="s">
        <v>779</v>
      </c>
      <c r="M551" s="31" t="s">
        <v>808</v>
      </c>
      <c r="N551" s="31" t="s">
        <v>189</v>
      </c>
      <c r="O551" s="18"/>
      <c r="P551" s="31" t="s">
        <v>283</v>
      </c>
      <c r="Q551" s="134">
        <v>5900.0</v>
      </c>
      <c r="R551" s="29">
        <f t="shared" si="11"/>
        <v>5900</v>
      </c>
      <c r="S551" s="29">
        <f t="shared" si="12"/>
        <v>944</v>
      </c>
      <c r="T551" s="29">
        <f t="shared" si="13"/>
        <v>6844</v>
      </c>
      <c r="U551" s="147" t="s">
        <v>695</v>
      </c>
    </row>
    <row r="552" ht="15.75" hidden="1" customHeight="1">
      <c r="A552" s="108">
        <v>32.0</v>
      </c>
      <c r="B552" s="108">
        <v>10.0</v>
      </c>
      <c r="C552" s="31">
        <v>892.0</v>
      </c>
      <c r="D552" s="118">
        <v>46237.0</v>
      </c>
      <c r="E552" s="31">
        <v>1.0</v>
      </c>
      <c r="F552" s="132" t="s">
        <v>31</v>
      </c>
      <c r="G552" s="31" t="s">
        <v>618</v>
      </c>
      <c r="H552" s="31">
        <v>14.0</v>
      </c>
      <c r="I552" s="18"/>
      <c r="J552" s="31" t="s">
        <v>155</v>
      </c>
      <c r="K552" s="31" t="s">
        <v>50</v>
      </c>
      <c r="L552" s="31" t="s">
        <v>808</v>
      </c>
      <c r="M552" s="31" t="s">
        <v>809</v>
      </c>
      <c r="N552" s="31" t="s">
        <v>189</v>
      </c>
      <c r="O552" s="18"/>
      <c r="P552" s="31" t="s">
        <v>283</v>
      </c>
      <c r="Q552" s="134">
        <v>5900.0</v>
      </c>
      <c r="R552" s="29">
        <f t="shared" si="11"/>
        <v>5900</v>
      </c>
      <c r="S552" s="29">
        <f t="shared" si="12"/>
        <v>944</v>
      </c>
      <c r="T552" s="29">
        <f t="shared" si="13"/>
        <v>6844</v>
      </c>
      <c r="U552" s="147" t="s">
        <v>695</v>
      </c>
    </row>
    <row r="553" ht="15.75" hidden="1" customHeight="1">
      <c r="A553" s="108">
        <v>32.0</v>
      </c>
      <c r="B553" s="108">
        <v>11.0</v>
      </c>
      <c r="C553" s="137">
        <v>894.0</v>
      </c>
      <c r="D553" s="118">
        <v>46237.0</v>
      </c>
      <c r="E553" s="31">
        <v>1.0</v>
      </c>
      <c r="F553" s="132" t="s">
        <v>31</v>
      </c>
      <c r="G553" s="31" t="s">
        <v>251</v>
      </c>
      <c r="H553" s="31">
        <v>14.0</v>
      </c>
      <c r="I553" s="18"/>
      <c r="J553" s="31" t="s">
        <v>313</v>
      </c>
      <c r="K553" s="31" t="s">
        <v>50</v>
      </c>
      <c r="L553" s="31" t="s">
        <v>809</v>
      </c>
      <c r="M553" s="31" t="s">
        <v>810</v>
      </c>
      <c r="N553" s="31" t="s">
        <v>189</v>
      </c>
      <c r="O553" s="18"/>
      <c r="P553" s="31" t="s">
        <v>283</v>
      </c>
      <c r="Q553" s="134">
        <v>5900.0</v>
      </c>
      <c r="R553" s="29">
        <f t="shared" si="11"/>
        <v>5900</v>
      </c>
      <c r="S553" s="29">
        <f t="shared" si="12"/>
        <v>944</v>
      </c>
      <c r="T553" s="29">
        <f t="shared" si="13"/>
        <v>6844</v>
      </c>
      <c r="U553" s="129" t="s">
        <v>697</v>
      </c>
    </row>
    <row r="554" ht="15.75" hidden="1" customHeight="1">
      <c r="A554" s="108">
        <v>32.0</v>
      </c>
      <c r="B554" s="108">
        <v>12.0</v>
      </c>
      <c r="C554" s="31">
        <v>893.0</v>
      </c>
      <c r="D554" s="118">
        <v>46237.0</v>
      </c>
      <c r="E554" s="31">
        <v>1.0</v>
      </c>
      <c r="F554" s="132" t="s">
        <v>31</v>
      </c>
      <c r="G554" s="31" t="s">
        <v>308</v>
      </c>
      <c r="H554" s="31">
        <v>14.0</v>
      </c>
      <c r="I554" s="18"/>
      <c r="J554" s="31" t="s">
        <v>309</v>
      </c>
      <c r="K554" s="31" t="s">
        <v>50</v>
      </c>
      <c r="L554" s="31" t="s">
        <v>810</v>
      </c>
      <c r="M554" s="31" t="s">
        <v>811</v>
      </c>
      <c r="N554" s="31" t="s">
        <v>189</v>
      </c>
      <c r="O554" s="18"/>
      <c r="P554" s="31" t="s">
        <v>283</v>
      </c>
      <c r="Q554" s="134">
        <v>5900.0</v>
      </c>
      <c r="R554" s="29">
        <f t="shared" si="11"/>
        <v>5900</v>
      </c>
      <c r="S554" s="29">
        <f t="shared" si="12"/>
        <v>944</v>
      </c>
      <c r="T554" s="29">
        <f t="shared" si="13"/>
        <v>6844</v>
      </c>
      <c r="U554" s="147" t="s">
        <v>695</v>
      </c>
    </row>
    <row r="555" ht="15.75" hidden="1" customHeight="1">
      <c r="A555" s="108">
        <v>32.0</v>
      </c>
      <c r="B555" s="108">
        <v>13.0</v>
      </c>
      <c r="C555" s="31">
        <v>895.0</v>
      </c>
      <c r="D555" s="118">
        <v>46237.0</v>
      </c>
      <c r="E555" s="31">
        <v>1.0</v>
      </c>
      <c r="F555" s="132" t="s">
        <v>31</v>
      </c>
      <c r="G555" s="31" t="s">
        <v>368</v>
      </c>
      <c r="H555" s="31">
        <v>14.0</v>
      </c>
      <c r="I555" s="18"/>
      <c r="J555" s="31" t="s">
        <v>122</v>
      </c>
      <c r="K555" s="31" t="s">
        <v>50</v>
      </c>
      <c r="L555" s="31" t="s">
        <v>811</v>
      </c>
      <c r="M555" s="31" t="s">
        <v>812</v>
      </c>
      <c r="N555" s="31" t="s">
        <v>189</v>
      </c>
      <c r="O555" s="18"/>
      <c r="P555" s="31" t="s">
        <v>283</v>
      </c>
      <c r="Q555" s="134">
        <v>5900.0</v>
      </c>
      <c r="R555" s="29">
        <f t="shared" si="11"/>
        <v>5900</v>
      </c>
      <c r="S555" s="29">
        <f t="shared" si="12"/>
        <v>944</v>
      </c>
      <c r="T555" s="29">
        <f t="shared" si="13"/>
        <v>6844</v>
      </c>
      <c r="U555" s="147" t="s">
        <v>695</v>
      </c>
    </row>
    <row r="556" ht="15.75" hidden="1" customHeight="1">
      <c r="A556" s="108">
        <v>32.0</v>
      </c>
      <c r="B556" s="108">
        <v>14.0</v>
      </c>
      <c r="C556" s="137">
        <v>896.0</v>
      </c>
      <c r="D556" s="118">
        <v>46237.0</v>
      </c>
      <c r="E556" s="31">
        <v>1.0</v>
      </c>
      <c r="F556" s="132" t="s">
        <v>31</v>
      </c>
      <c r="G556" s="31" t="s">
        <v>533</v>
      </c>
      <c r="H556" s="31">
        <v>14.0</v>
      </c>
      <c r="I556" s="18"/>
      <c r="J556" s="31" t="s">
        <v>664</v>
      </c>
      <c r="K556" s="31" t="s">
        <v>50</v>
      </c>
      <c r="L556" s="31" t="s">
        <v>812</v>
      </c>
      <c r="M556" s="31" t="s">
        <v>813</v>
      </c>
      <c r="N556" s="31" t="s">
        <v>189</v>
      </c>
      <c r="O556" s="18"/>
      <c r="P556" s="31" t="s">
        <v>283</v>
      </c>
      <c r="Q556" s="134">
        <v>5900.0</v>
      </c>
      <c r="R556" s="29">
        <f t="shared" si="11"/>
        <v>5900</v>
      </c>
      <c r="S556" s="29">
        <f t="shared" si="12"/>
        <v>944</v>
      </c>
      <c r="T556" s="29">
        <f t="shared" si="13"/>
        <v>6844</v>
      </c>
      <c r="U556" s="129" t="s">
        <v>697</v>
      </c>
    </row>
    <row r="557" ht="15.75" hidden="1" customHeight="1">
      <c r="A557" s="108">
        <v>32.0</v>
      </c>
      <c r="B557" s="108">
        <v>15.0</v>
      </c>
      <c r="C557" s="31">
        <v>897.0</v>
      </c>
      <c r="D557" s="118">
        <v>46237.0</v>
      </c>
      <c r="E557" s="31">
        <v>1.0</v>
      </c>
      <c r="F557" s="132" t="s">
        <v>31</v>
      </c>
      <c r="G557" s="31" t="s">
        <v>555</v>
      </c>
      <c r="H557" s="31">
        <v>14.0</v>
      </c>
      <c r="I557" s="18"/>
      <c r="J557" s="31" t="s">
        <v>242</v>
      </c>
      <c r="K557" s="31" t="s">
        <v>50</v>
      </c>
      <c r="L557" s="31" t="s">
        <v>813</v>
      </c>
      <c r="M557" s="31" t="s">
        <v>814</v>
      </c>
      <c r="N557" s="31" t="s">
        <v>189</v>
      </c>
      <c r="O557" s="18"/>
      <c r="P557" s="31" t="s">
        <v>283</v>
      </c>
      <c r="Q557" s="134">
        <v>5900.0</v>
      </c>
      <c r="R557" s="29">
        <f t="shared" si="11"/>
        <v>5900</v>
      </c>
      <c r="S557" s="29">
        <f t="shared" si="12"/>
        <v>944</v>
      </c>
      <c r="T557" s="29">
        <f t="shared" si="13"/>
        <v>6844</v>
      </c>
      <c r="U557" s="147" t="s">
        <v>695</v>
      </c>
    </row>
    <row r="558" ht="15.75" hidden="1" customHeight="1">
      <c r="A558" s="108">
        <v>32.0</v>
      </c>
      <c r="B558" s="120"/>
      <c r="C558" s="31">
        <v>899.0</v>
      </c>
      <c r="D558" s="118">
        <v>46207.0</v>
      </c>
      <c r="E558" s="31">
        <v>1.0</v>
      </c>
      <c r="F558" s="132" t="s">
        <v>31</v>
      </c>
      <c r="G558" s="31" t="s">
        <v>488</v>
      </c>
      <c r="H558" s="31">
        <v>14.0</v>
      </c>
      <c r="I558" s="18"/>
      <c r="J558" s="31" t="s">
        <v>195</v>
      </c>
      <c r="K558" s="31" t="s">
        <v>50</v>
      </c>
      <c r="L558" s="31" t="s">
        <v>779</v>
      </c>
      <c r="M558" s="31" t="s">
        <v>815</v>
      </c>
      <c r="N558" s="31" t="s">
        <v>189</v>
      </c>
      <c r="O558" s="18"/>
      <c r="P558" s="31" t="s">
        <v>306</v>
      </c>
      <c r="Q558" s="134">
        <v>5900.0</v>
      </c>
      <c r="R558" s="29">
        <f t="shared" si="11"/>
        <v>5900</v>
      </c>
      <c r="S558" s="29">
        <f t="shared" si="12"/>
        <v>944</v>
      </c>
      <c r="T558" s="29">
        <f t="shared" si="13"/>
        <v>6844</v>
      </c>
      <c r="U558" s="147" t="s">
        <v>695</v>
      </c>
    </row>
    <row r="559" ht="15.75" hidden="1" customHeight="1">
      <c r="A559" s="108">
        <v>32.0</v>
      </c>
      <c r="B559" s="108">
        <v>2.0</v>
      </c>
      <c r="C559" s="31">
        <v>901.0</v>
      </c>
      <c r="D559" s="118">
        <v>46207.0</v>
      </c>
      <c r="E559" s="31">
        <v>1.0</v>
      </c>
      <c r="F559" s="132" t="s">
        <v>31</v>
      </c>
      <c r="G559" s="31" t="s">
        <v>781</v>
      </c>
      <c r="H559" s="31">
        <v>14.0</v>
      </c>
      <c r="I559" s="18"/>
      <c r="J559" s="31" t="s">
        <v>114</v>
      </c>
      <c r="K559" s="31" t="s">
        <v>50</v>
      </c>
      <c r="L559" s="31" t="s">
        <v>815</v>
      </c>
      <c r="M559" s="31" t="s">
        <v>809</v>
      </c>
      <c r="N559" s="31" t="s">
        <v>189</v>
      </c>
      <c r="O559" s="18"/>
      <c r="P559" s="31" t="s">
        <v>306</v>
      </c>
      <c r="Q559" s="134">
        <v>5900.0</v>
      </c>
      <c r="R559" s="29">
        <f t="shared" si="11"/>
        <v>5900</v>
      </c>
      <c r="S559" s="29">
        <f t="shared" si="12"/>
        <v>944</v>
      </c>
      <c r="T559" s="29">
        <f t="shared" si="13"/>
        <v>6844</v>
      </c>
      <c r="U559" s="147" t="s">
        <v>695</v>
      </c>
    </row>
    <row r="560" ht="15.75" hidden="1" customHeight="1">
      <c r="A560" s="108">
        <v>32.0</v>
      </c>
      <c r="B560" s="108">
        <v>3.0</v>
      </c>
      <c r="C560" s="31">
        <v>902.0</v>
      </c>
      <c r="D560" s="118">
        <v>46207.0</v>
      </c>
      <c r="E560" s="31">
        <v>1.0</v>
      </c>
      <c r="F560" s="132" t="s">
        <v>31</v>
      </c>
      <c r="G560" s="31" t="s">
        <v>251</v>
      </c>
      <c r="H560" s="31">
        <v>14.0</v>
      </c>
      <c r="I560" s="18"/>
      <c r="J560" s="31" t="s">
        <v>313</v>
      </c>
      <c r="K560" s="31" t="s">
        <v>50</v>
      </c>
      <c r="L560" s="31" t="s">
        <v>809</v>
      </c>
      <c r="M560" s="31" t="s">
        <v>810</v>
      </c>
      <c r="N560" s="31" t="s">
        <v>189</v>
      </c>
      <c r="O560" s="18"/>
      <c r="P560" s="31" t="s">
        <v>306</v>
      </c>
      <c r="Q560" s="134">
        <v>5900.0</v>
      </c>
      <c r="R560" s="29">
        <f t="shared" si="11"/>
        <v>5900</v>
      </c>
      <c r="S560" s="29">
        <f t="shared" si="12"/>
        <v>944</v>
      </c>
      <c r="T560" s="29">
        <f t="shared" si="13"/>
        <v>6844</v>
      </c>
      <c r="U560" s="147" t="s">
        <v>695</v>
      </c>
    </row>
    <row r="561" ht="15.75" hidden="1" customHeight="1">
      <c r="A561" s="108">
        <v>32.0</v>
      </c>
      <c r="B561" s="108">
        <v>4.0</v>
      </c>
      <c r="C561" s="31">
        <v>898.0</v>
      </c>
      <c r="D561" s="118">
        <v>46207.0</v>
      </c>
      <c r="E561" s="31">
        <v>1.0</v>
      </c>
      <c r="F561" s="132" t="s">
        <v>31</v>
      </c>
      <c r="G561" s="31" t="s">
        <v>708</v>
      </c>
      <c r="H561" s="31">
        <v>14.0</v>
      </c>
      <c r="I561" s="18"/>
      <c r="J561" s="31" t="s">
        <v>593</v>
      </c>
      <c r="K561" s="31" t="s">
        <v>50</v>
      </c>
      <c r="L561" s="31" t="s">
        <v>810</v>
      </c>
      <c r="M561" s="31" t="s">
        <v>811</v>
      </c>
      <c r="N561" s="31" t="s">
        <v>189</v>
      </c>
      <c r="O561" s="18"/>
      <c r="P561" s="31" t="s">
        <v>306</v>
      </c>
      <c r="Q561" s="134">
        <v>5900.0</v>
      </c>
      <c r="R561" s="29">
        <f t="shared" si="11"/>
        <v>5900</v>
      </c>
      <c r="S561" s="29">
        <f t="shared" si="12"/>
        <v>944</v>
      </c>
      <c r="T561" s="29">
        <f t="shared" si="13"/>
        <v>6844</v>
      </c>
      <c r="U561" s="147" t="s">
        <v>695</v>
      </c>
    </row>
    <row r="562" ht="15.75" hidden="1" customHeight="1">
      <c r="A562" s="108">
        <v>32.0</v>
      </c>
      <c r="B562" s="108">
        <v>5.0</v>
      </c>
      <c r="C562" s="31">
        <v>900.0</v>
      </c>
      <c r="D562" s="118">
        <v>46207.0</v>
      </c>
      <c r="E562" s="31">
        <v>1.0</v>
      </c>
      <c r="F562" s="132" t="s">
        <v>31</v>
      </c>
      <c r="G562" s="31" t="s">
        <v>308</v>
      </c>
      <c r="H562" s="31">
        <v>14.0</v>
      </c>
      <c r="I562" s="18"/>
      <c r="J562" s="31" t="s">
        <v>309</v>
      </c>
      <c r="K562" s="31" t="s">
        <v>50</v>
      </c>
      <c r="L562" s="31" t="s">
        <v>811</v>
      </c>
      <c r="M562" s="31" t="s">
        <v>816</v>
      </c>
      <c r="N562" s="31" t="s">
        <v>189</v>
      </c>
      <c r="O562" s="18"/>
      <c r="P562" s="31" t="s">
        <v>728</v>
      </c>
      <c r="Q562" s="134">
        <v>5900.0</v>
      </c>
      <c r="R562" s="29">
        <f t="shared" si="11"/>
        <v>5900</v>
      </c>
      <c r="S562" s="29">
        <f t="shared" si="12"/>
        <v>944</v>
      </c>
      <c r="T562" s="29">
        <f t="shared" si="13"/>
        <v>6844</v>
      </c>
      <c r="U562" s="147" t="s">
        <v>695</v>
      </c>
    </row>
    <row r="563" ht="15.75" hidden="1" customHeight="1">
      <c r="A563" s="108">
        <v>32.0</v>
      </c>
      <c r="B563" s="108">
        <v>6.0</v>
      </c>
      <c r="C563" s="31">
        <v>903.0</v>
      </c>
      <c r="D563" s="118">
        <v>46207.0</v>
      </c>
      <c r="E563" s="31">
        <v>1.0</v>
      </c>
      <c r="F563" s="132" t="s">
        <v>31</v>
      </c>
      <c r="G563" s="31" t="s">
        <v>368</v>
      </c>
      <c r="H563" s="31">
        <v>14.0</v>
      </c>
      <c r="I563" s="18"/>
      <c r="J563" s="31" t="s">
        <v>122</v>
      </c>
      <c r="K563" s="31" t="s">
        <v>50</v>
      </c>
      <c r="L563" s="31" t="s">
        <v>816</v>
      </c>
      <c r="M563" s="31" t="s">
        <v>813</v>
      </c>
      <c r="N563" s="31" t="s">
        <v>189</v>
      </c>
      <c r="O563" s="18"/>
      <c r="P563" s="31" t="s">
        <v>728</v>
      </c>
      <c r="Q563" s="134">
        <v>5900.0</v>
      </c>
      <c r="R563" s="29">
        <f t="shared" si="11"/>
        <v>5900</v>
      </c>
      <c r="S563" s="29">
        <f t="shared" si="12"/>
        <v>944</v>
      </c>
      <c r="T563" s="29">
        <f t="shared" si="13"/>
        <v>6844</v>
      </c>
      <c r="U563" s="147" t="s">
        <v>695</v>
      </c>
    </row>
    <row r="564" ht="15.75" hidden="1" customHeight="1">
      <c r="A564" s="108">
        <v>32.0</v>
      </c>
      <c r="B564" s="108">
        <v>7.0</v>
      </c>
      <c r="C564" s="31">
        <v>905.0</v>
      </c>
      <c r="D564" s="118">
        <v>46207.0</v>
      </c>
      <c r="E564" s="31">
        <v>1.0</v>
      </c>
      <c r="F564" s="132" t="s">
        <v>31</v>
      </c>
      <c r="G564" s="31" t="s">
        <v>461</v>
      </c>
      <c r="H564" s="31">
        <v>14.0</v>
      </c>
      <c r="I564" s="18"/>
      <c r="J564" s="31" t="s">
        <v>208</v>
      </c>
      <c r="K564" s="31" t="s">
        <v>50</v>
      </c>
      <c r="L564" s="31" t="s">
        <v>811</v>
      </c>
      <c r="M564" s="31" t="s">
        <v>816</v>
      </c>
      <c r="N564" s="31" t="s">
        <v>189</v>
      </c>
      <c r="O564" s="18"/>
      <c r="P564" s="31" t="s">
        <v>306</v>
      </c>
      <c r="Q564" s="134">
        <v>5900.0</v>
      </c>
      <c r="R564" s="29">
        <f t="shared" si="11"/>
        <v>5900</v>
      </c>
      <c r="S564" s="29">
        <f t="shared" si="12"/>
        <v>944</v>
      </c>
      <c r="T564" s="29">
        <f t="shared" si="13"/>
        <v>6844</v>
      </c>
      <c r="U564" s="147" t="s">
        <v>695</v>
      </c>
    </row>
    <row r="565" ht="15.75" hidden="1" customHeight="1">
      <c r="A565" s="108">
        <v>32.0</v>
      </c>
      <c r="B565" s="108">
        <v>8.0</v>
      </c>
      <c r="C565" s="31">
        <v>904.0</v>
      </c>
      <c r="D565" s="118">
        <v>46207.0</v>
      </c>
      <c r="E565" s="31">
        <v>1.0</v>
      </c>
      <c r="F565" s="132" t="s">
        <v>31</v>
      </c>
      <c r="G565" s="31" t="s">
        <v>533</v>
      </c>
      <c r="H565" s="31">
        <v>14.0</v>
      </c>
      <c r="I565" s="18"/>
      <c r="J565" s="31" t="s">
        <v>664</v>
      </c>
      <c r="K565" s="31" t="s">
        <v>50</v>
      </c>
      <c r="L565" s="31" t="s">
        <v>816</v>
      </c>
      <c r="M565" s="31" t="s">
        <v>817</v>
      </c>
      <c r="N565" s="31" t="s">
        <v>189</v>
      </c>
      <c r="O565" s="18"/>
      <c r="P565" s="31" t="s">
        <v>306</v>
      </c>
      <c r="Q565" s="134">
        <v>5900.0</v>
      </c>
      <c r="R565" s="29">
        <f t="shared" si="11"/>
        <v>5900</v>
      </c>
      <c r="S565" s="29">
        <f t="shared" si="12"/>
        <v>944</v>
      </c>
      <c r="T565" s="29">
        <f t="shared" si="13"/>
        <v>6844</v>
      </c>
      <c r="U565" s="147" t="s">
        <v>695</v>
      </c>
    </row>
    <row r="566" ht="15.75" hidden="1" customHeight="1">
      <c r="A566" s="108">
        <v>32.0</v>
      </c>
      <c r="B566" s="108">
        <v>9.0</v>
      </c>
      <c r="C566" s="31">
        <v>907.0</v>
      </c>
      <c r="D566" s="118">
        <v>46207.0</v>
      </c>
      <c r="E566" s="31">
        <v>1.0</v>
      </c>
      <c r="F566" s="132" t="s">
        <v>31</v>
      </c>
      <c r="G566" s="31" t="s">
        <v>768</v>
      </c>
      <c r="H566" s="31">
        <v>14.0</v>
      </c>
      <c r="I566" s="18"/>
      <c r="J566" s="31" t="s">
        <v>769</v>
      </c>
      <c r="K566" s="31" t="s">
        <v>50</v>
      </c>
      <c r="L566" s="31" t="s">
        <v>817</v>
      </c>
      <c r="M566" s="31" t="s">
        <v>818</v>
      </c>
      <c r="N566" s="31" t="s">
        <v>189</v>
      </c>
      <c r="O566" s="18"/>
      <c r="P566" s="31" t="s">
        <v>306</v>
      </c>
      <c r="Q566" s="134">
        <v>5900.0</v>
      </c>
      <c r="R566" s="29">
        <f t="shared" si="11"/>
        <v>5900</v>
      </c>
      <c r="S566" s="29">
        <f t="shared" si="12"/>
        <v>944</v>
      </c>
      <c r="T566" s="29">
        <f t="shared" si="13"/>
        <v>6844</v>
      </c>
      <c r="U566" s="147" t="s">
        <v>695</v>
      </c>
    </row>
    <row r="567" ht="15.75" hidden="1" customHeight="1">
      <c r="A567" s="108">
        <v>32.0</v>
      </c>
      <c r="B567" s="108">
        <v>10.0</v>
      </c>
      <c r="C567" s="31">
        <v>906.0</v>
      </c>
      <c r="D567" s="118">
        <v>46207.0</v>
      </c>
      <c r="E567" s="31">
        <v>1.0</v>
      </c>
      <c r="F567" s="132" t="s">
        <v>31</v>
      </c>
      <c r="G567" s="31" t="s">
        <v>819</v>
      </c>
      <c r="H567" s="31">
        <v>14.0</v>
      </c>
      <c r="I567" s="18"/>
      <c r="J567" s="31" t="s">
        <v>820</v>
      </c>
      <c r="K567" s="31" t="s">
        <v>50</v>
      </c>
      <c r="L567" s="31" t="s">
        <v>818</v>
      </c>
      <c r="M567" s="31" t="s">
        <v>821</v>
      </c>
      <c r="N567" s="31" t="s">
        <v>189</v>
      </c>
      <c r="O567" s="18"/>
      <c r="P567" s="31" t="s">
        <v>306</v>
      </c>
      <c r="Q567" s="134">
        <v>5900.0</v>
      </c>
      <c r="R567" s="29">
        <f t="shared" si="11"/>
        <v>5900</v>
      </c>
      <c r="S567" s="29">
        <f t="shared" si="12"/>
        <v>944</v>
      </c>
      <c r="T567" s="29">
        <f t="shared" si="13"/>
        <v>6844</v>
      </c>
      <c r="U567" s="147" t="s">
        <v>695</v>
      </c>
    </row>
    <row r="568" ht="15.75" hidden="1" customHeight="1">
      <c r="A568" s="108">
        <v>32.0</v>
      </c>
      <c r="B568" s="108">
        <v>1.0</v>
      </c>
      <c r="C568" s="31">
        <v>908.0</v>
      </c>
      <c r="D568" s="118">
        <v>46239.0</v>
      </c>
      <c r="E568" s="31">
        <v>1.0</v>
      </c>
      <c r="F568" s="132" t="s">
        <v>31</v>
      </c>
      <c r="G568" s="31" t="s">
        <v>295</v>
      </c>
      <c r="H568" s="31">
        <v>14.0</v>
      </c>
      <c r="I568" s="18"/>
      <c r="J568" s="31" t="s">
        <v>118</v>
      </c>
      <c r="K568" s="31" t="s">
        <v>50</v>
      </c>
      <c r="L568" s="31" t="s">
        <v>821</v>
      </c>
      <c r="M568" s="31" t="s">
        <v>822</v>
      </c>
      <c r="N568" s="31" t="s">
        <v>189</v>
      </c>
      <c r="O568" s="18"/>
      <c r="P568" s="31" t="s">
        <v>306</v>
      </c>
      <c r="Q568" s="134">
        <v>5900.0</v>
      </c>
      <c r="R568" s="29">
        <f t="shared" si="11"/>
        <v>5900</v>
      </c>
      <c r="S568" s="29">
        <f t="shared" si="12"/>
        <v>944</v>
      </c>
      <c r="T568" s="29">
        <f t="shared" si="13"/>
        <v>6844</v>
      </c>
      <c r="U568" s="147" t="s">
        <v>695</v>
      </c>
    </row>
    <row r="569" ht="15.75" hidden="1" customHeight="1">
      <c r="A569" s="108">
        <v>32.0</v>
      </c>
      <c r="B569" s="108">
        <v>2.0</v>
      </c>
      <c r="C569" s="31">
        <v>909.0</v>
      </c>
      <c r="D569" s="118">
        <v>46239.0</v>
      </c>
      <c r="E569" s="31">
        <v>1.0</v>
      </c>
      <c r="F569" s="132" t="s">
        <v>31</v>
      </c>
      <c r="G569" s="31" t="s">
        <v>781</v>
      </c>
      <c r="H569" s="31">
        <v>14.0</v>
      </c>
      <c r="I569" s="18"/>
      <c r="J569" s="31" t="s">
        <v>114</v>
      </c>
      <c r="K569" s="31" t="s">
        <v>50</v>
      </c>
      <c r="L569" s="31" t="s">
        <v>822</v>
      </c>
      <c r="M569" s="31" t="s">
        <v>823</v>
      </c>
      <c r="N569" s="31" t="s">
        <v>189</v>
      </c>
      <c r="O569" s="18"/>
      <c r="P569" s="31" t="s">
        <v>306</v>
      </c>
      <c r="Q569" s="134">
        <v>5900.0</v>
      </c>
      <c r="R569" s="29">
        <f t="shared" si="11"/>
        <v>5900</v>
      </c>
      <c r="S569" s="29">
        <f t="shared" si="12"/>
        <v>944</v>
      </c>
      <c r="T569" s="29">
        <f t="shared" si="13"/>
        <v>6844</v>
      </c>
      <c r="U569" s="147" t="s">
        <v>695</v>
      </c>
    </row>
    <row r="570" ht="15.75" hidden="1" customHeight="1">
      <c r="A570" s="108">
        <v>32.0</v>
      </c>
      <c r="B570" s="108">
        <v>3.0</v>
      </c>
      <c r="C570" s="31">
        <v>910.0</v>
      </c>
      <c r="D570" s="118">
        <v>46239.0</v>
      </c>
      <c r="E570" s="31">
        <v>1.0</v>
      </c>
      <c r="F570" s="132" t="s">
        <v>31</v>
      </c>
      <c r="G570" s="31" t="s">
        <v>251</v>
      </c>
      <c r="H570" s="31">
        <v>14.0</v>
      </c>
      <c r="I570" s="18"/>
      <c r="J570" s="31" t="s">
        <v>757</v>
      </c>
      <c r="K570" s="31" t="s">
        <v>50</v>
      </c>
      <c r="L570" s="31" t="s">
        <v>823</v>
      </c>
      <c r="M570" s="31" t="s">
        <v>824</v>
      </c>
      <c r="N570" s="31" t="s">
        <v>189</v>
      </c>
      <c r="O570" s="18"/>
      <c r="P570" s="31" t="s">
        <v>306</v>
      </c>
      <c r="Q570" s="134">
        <v>5900.0</v>
      </c>
      <c r="R570" s="29">
        <f t="shared" si="11"/>
        <v>5900</v>
      </c>
      <c r="S570" s="29">
        <f t="shared" si="12"/>
        <v>944</v>
      </c>
      <c r="T570" s="29">
        <f t="shared" si="13"/>
        <v>6844</v>
      </c>
      <c r="U570" s="147" t="s">
        <v>695</v>
      </c>
    </row>
    <row r="571" ht="15.75" hidden="1" customHeight="1">
      <c r="A571" s="108">
        <v>32.0</v>
      </c>
      <c r="B571" s="108">
        <v>4.0</v>
      </c>
      <c r="C571" s="31">
        <v>912.0</v>
      </c>
      <c r="D571" s="118">
        <v>46239.0</v>
      </c>
      <c r="E571" s="31">
        <v>1.0</v>
      </c>
      <c r="F571" s="132" t="s">
        <v>31</v>
      </c>
      <c r="G571" s="31" t="s">
        <v>201</v>
      </c>
      <c r="H571" s="31">
        <v>14.0</v>
      </c>
      <c r="I571" s="18"/>
      <c r="J571" s="31" t="s">
        <v>150</v>
      </c>
      <c r="K571" s="31" t="s">
        <v>50</v>
      </c>
      <c r="L571" s="31" t="s">
        <v>824</v>
      </c>
      <c r="M571" s="31" t="s">
        <v>825</v>
      </c>
      <c r="N571" s="31" t="s">
        <v>189</v>
      </c>
      <c r="O571" s="18"/>
      <c r="P571" s="31" t="s">
        <v>306</v>
      </c>
      <c r="Q571" s="134">
        <v>5900.0</v>
      </c>
      <c r="R571" s="29">
        <f t="shared" si="11"/>
        <v>5900</v>
      </c>
      <c r="S571" s="29">
        <f t="shared" si="12"/>
        <v>944</v>
      </c>
      <c r="T571" s="29">
        <f t="shared" si="13"/>
        <v>6844</v>
      </c>
      <c r="U571" s="147" t="s">
        <v>695</v>
      </c>
    </row>
    <row r="572" ht="15.75" hidden="1" customHeight="1">
      <c r="A572" s="108">
        <v>32.0</v>
      </c>
      <c r="B572" s="108">
        <v>5.0</v>
      </c>
      <c r="C572" s="31">
        <v>911.0</v>
      </c>
      <c r="D572" s="118">
        <v>46239.0</v>
      </c>
      <c r="E572" s="31">
        <v>1.0</v>
      </c>
      <c r="F572" s="132" t="s">
        <v>31</v>
      </c>
      <c r="G572" s="31" t="s">
        <v>368</v>
      </c>
      <c r="H572" s="31">
        <v>14.0</v>
      </c>
      <c r="I572" s="18"/>
      <c r="J572" s="31" t="s">
        <v>122</v>
      </c>
      <c r="K572" s="31" t="s">
        <v>50</v>
      </c>
      <c r="L572" s="31" t="s">
        <v>825</v>
      </c>
      <c r="M572" s="31" t="s">
        <v>826</v>
      </c>
      <c r="N572" s="31" t="s">
        <v>189</v>
      </c>
      <c r="O572" s="18"/>
      <c r="P572" s="31" t="s">
        <v>306</v>
      </c>
      <c r="Q572" s="134">
        <v>5900.0</v>
      </c>
      <c r="R572" s="29">
        <f t="shared" si="11"/>
        <v>5900</v>
      </c>
      <c r="S572" s="29">
        <f t="shared" si="12"/>
        <v>944</v>
      </c>
      <c r="T572" s="29">
        <f t="shared" si="13"/>
        <v>6844</v>
      </c>
      <c r="U572" s="147" t="s">
        <v>695</v>
      </c>
    </row>
    <row r="573" ht="15.75" hidden="1" customHeight="1">
      <c r="A573" s="108">
        <v>32.0</v>
      </c>
      <c r="B573" s="108">
        <v>6.0</v>
      </c>
      <c r="C573" s="31">
        <v>913.0</v>
      </c>
      <c r="D573" s="118">
        <v>46239.0</v>
      </c>
      <c r="E573" s="31">
        <v>1.0</v>
      </c>
      <c r="F573" s="132" t="s">
        <v>31</v>
      </c>
      <c r="G573" s="31" t="s">
        <v>357</v>
      </c>
      <c r="H573" s="31">
        <v>14.0</v>
      </c>
      <c r="I573" s="18"/>
      <c r="J573" s="31" t="s">
        <v>520</v>
      </c>
      <c r="K573" s="31" t="s">
        <v>50</v>
      </c>
      <c r="L573" s="31" t="s">
        <v>826</v>
      </c>
      <c r="M573" s="31" t="s">
        <v>827</v>
      </c>
      <c r="N573" s="31" t="s">
        <v>189</v>
      </c>
      <c r="O573" s="18"/>
      <c r="P573" s="31" t="s">
        <v>306</v>
      </c>
      <c r="Q573" s="134">
        <v>5900.0</v>
      </c>
      <c r="R573" s="29">
        <f t="shared" si="11"/>
        <v>5900</v>
      </c>
      <c r="S573" s="29">
        <f t="shared" si="12"/>
        <v>944</v>
      </c>
      <c r="T573" s="29">
        <f t="shared" si="13"/>
        <v>6844</v>
      </c>
      <c r="U573" s="147" t="s">
        <v>695</v>
      </c>
    </row>
    <row r="574" ht="15.75" hidden="1" customHeight="1">
      <c r="A574" s="108">
        <v>32.0</v>
      </c>
      <c r="B574" s="108">
        <v>7.0</v>
      </c>
      <c r="C574" s="31">
        <v>916.0</v>
      </c>
      <c r="D574" s="118">
        <v>46239.0</v>
      </c>
      <c r="E574" s="31">
        <v>1.0</v>
      </c>
      <c r="F574" s="132" t="s">
        <v>31</v>
      </c>
      <c r="G574" s="31" t="s">
        <v>488</v>
      </c>
      <c r="H574" s="31">
        <v>14.0</v>
      </c>
      <c r="I574" s="18"/>
      <c r="J574" s="31" t="s">
        <v>195</v>
      </c>
      <c r="K574" s="31" t="s">
        <v>50</v>
      </c>
      <c r="L574" s="31" t="s">
        <v>827</v>
      </c>
      <c r="M574" s="31" t="s">
        <v>828</v>
      </c>
      <c r="N574" s="31" t="s">
        <v>189</v>
      </c>
      <c r="O574" s="18"/>
      <c r="P574" s="31" t="s">
        <v>306</v>
      </c>
      <c r="Q574" s="134">
        <v>5900.0</v>
      </c>
      <c r="R574" s="29">
        <f t="shared" si="11"/>
        <v>5900</v>
      </c>
      <c r="S574" s="29">
        <f t="shared" si="12"/>
        <v>944</v>
      </c>
      <c r="T574" s="29">
        <f t="shared" si="13"/>
        <v>6844</v>
      </c>
      <c r="U574" s="147" t="s">
        <v>695</v>
      </c>
    </row>
    <row r="575" ht="15.75" hidden="1" customHeight="1">
      <c r="A575" s="108">
        <v>32.0</v>
      </c>
      <c r="B575" s="108">
        <v>8.0</v>
      </c>
      <c r="C575" s="31">
        <v>915.0</v>
      </c>
      <c r="D575" s="118">
        <v>46239.0</v>
      </c>
      <c r="E575" s="31">
        <v>1.0</v>
      </c>
      <c r="F575" s="132" t="s">
        <v>31</v>
      </c>
      <c r="G575" s="31" t="s">
        <v>533</v>
      </c>
      <c r="H575" s="31">
        <v>14.0</v>
      </c>
      <c r="I575" s="18"/>
      <c r="J575" s="31" t="s">
        <v>664</v>
      </c>
      <c r="K575" s="31" t="s">
        <v>50</v>
      </c>
      <c r="L575" s="31" t="s">
        <v>828</v>
      </c>
      <c r="M575" s="31" t="s">
        <v>829</v>
      </c>
      <c r="N575" s="31" t="s">
        <v>189</v>
      </c>
      <c r="O575" s="18"/>
      <c r="P575" s="31" t="s">
        <v>306</v>
      </c>
      <c r="Q575" s="134">
        <v>5900.0</v>
      </c>
      <c r="R575" s="29">
        <f t="shared" si="11"/>
        <v>5900</v>
      </c>
      <c r="S575" s="29">
        <f t="shared" si="12"/>
        <v>944</v>
      </c>
      <c r="T575" s="29">
        <f t="shared" si="13"/>
        <v>6844</v>
      </c>
      <c r="U575" s="147" t="s">
        <v>695</v>
      </c>
    </row>
    <row r="576" ht="15.75" hidden="1" customHeight="1">
      <c r="A576" s="108">
        <v>32.0</v>
      </c>
      <c r="B576" s="108">
        <v>9.0</v>
      </c>
      <c r="C576" s="31">
        <v>914.0</v>
      </c>
      <c r="D576" s="118">
        <v>46239.0</v>
      </c>
      <c r="E576" s="31">
        <v>1.0</v>
      </c>
      <c r="F576" s="132" t="s">
        <v>31</v>
      </c>
      <c r="G576" s="31" t="s">
        <v>427</v>
      </c>
      <c r="H576" s="31">
        <v>14.0</v>
      </c>
      <c r="I576" s="18"/>
      <c r="J576" s="31" t="s">
        <v>344</v>
      </c>
      <c r="K576" s="31" t="s">
        <v>50</v>
      </c>
      <c r="L576" s="31" t="s">
        <v>829</v>
      </c>
      <c r="M576" s="31" t="s">
        <v>830</v>
      </c>
      <c r="N576" s="31" t="s">
        <v>189</v>
      </c>
      <c r="O576" s="18"/>
      <c r="P576" s="31" t="s">
        <v>306</v>
      </c>
      <c r="Q576" s="134">
        <v>5900.0</v>
      </c>
      <c r="R576" s="29">
        <f t="shared" si="11"/>
        <v>5900</v>
      </c>
      <c r="S576" s="29">
        <f t="shared" si="12"/>
        <v>944</v>
      </c>
      <c r="T576" s="29">
        <f t="shared" si="13"/>
        <v>6844</v>
      </c>
      <c r="U576" s="147" t="s">
        <v>695</v>
      </c>
    </row>
    <row r="577" ht="15.75" hidden="1" customHeight="1">
      <c r="A577" s="108">
        <v>32.0</v>
      </c>
      <c r="B577" s="108">
        <v>10.0</v>
      </c>
      <c r="C577" s="31">
        <v>917.0</v>
      </c>
      <c r="D577" s="118">
        <v>46239.0</v>
      </c>
      <c r="E577" s="31">
        <v>1.0</v>
      </c>
      <c r="F577" s="132" t="s">
        <v>31</v>
      </c>
      <c r="G577" s="31" t="s">
        <v>745</v>
      </c>
      <c r="H577" s="31">
        <v>14.0</v>
      </c>
      <c r="I577" s="18"/>
      <c r="J577" s="31" t="s">
        <v>242</v>
      </c>
      <c r="K577" s="31" t="s">
        <v>50</v>
      </c>
      <c r="L577" s="31" t="s">
        <v>830</v>
      </c>
      <c r="M577" s="31" t="s">
        <v>831</v>
      </c>
      <c r="N577" s="31" t="s">
        <v>189</v>
      </c>
      <c r="O577" s="18"/>
      <c r="P577" s="31" t="s">
        <v>306</v>
      </c>
      <c r="Q577" s="134">
        <v>5900.0</v>
      </c>
      <c r="R577" s="29">
        <f t="shared" si="11"/>
        <v>5900</v>
      </c>
      <c r="S577" s="29">
        <f t="shared" si="12"/>
        <v>944</v>
      </c>
      <c r="T577" s="29">
        <f t="shared" si="13"/>
        <v>6844</v>
      </c>
      <c r="U577" s="147" t="s">
        <v>695</v>
      </c>
    </row>
    <row r="578" ht="15.75" hidden="1" customHeight="1">
      <c r="A578" s="108">
        <v>32.0</v>
      </c>
      <c r="B578" s="108">
        <v>11.0</v>
      </c>
      <c r="C578" s="31">
        <v>918.0</v>
      </c>
      <c r="D578" s="118">
        <v>46239.0</v>
      </c>
      <c r="E578" s="31">
        <v>1.0</v>
      </c>
      <c r="F578" s="132" t="s">
        <v>31</v>
      </c>
      <c r="G578" s="31" t="s">
        <v>295</v>
      </c>
      <c r="H578" s="31">
        <v>14.0</v>
      </c>
      <c r="I578" s="18"/>
      <c r="J578" s="31" t="s">
        <v>118</v>
      </c>
      <c r="K578" s="31" t="s">
        <v>50</v>
      </c>
      <c r="L578" s="31" t="s">
        <v>831</v>
      </c>
      <c r="M578" s="31" t="s">
        <v>832</v>
      </c>
      <c r="N578" s="31" t="s">
        <v>189</v>
      </c>
      <c r="O578" s="18"/>
      <c r="P578" s="31" t="s">
        <v>306</v>
      </c>
      <c r="Q578" s="134">
        <v>5900.0</v>
      </c>
      <c r="R578" s="29">
        <f t="shared" si="11"/>
        <v>5900</v>
      </c>
      <c r="S578" s="29">
        <f t="shared" si="12"/>
        <v>944</v>
      </c>
      <c r="T578" s="29">
        <f t="shared" si="13"/>
        <v>6844</v>
      </c>
      <c r="U578" s="147" t="s">
        <v>695</v>
      </c>
    </row>
    <row r="579" ht="15.75" hidden="1" customHeight="1">
      <c r="A579" s="108">
        <v>32.0</v>
      </c>
      <c r="B579" s="108">
        <v>12.0</v>
      </c>
      <c r="C579" s="31">
        <v>919.0</v>
      </c>
      <c r="D579" s="118">
        <v>46239.0</v>
      </c>
      <c r="E579" s="31">
        <v>1.0</v>
      </c>
      <c r="F579" s="132" t="s">
        <v>31</v>
      </c>
      <c r="G579" s="31" t="s">
        <v>781</v>
      </c>
      <c r="H579" s="31">
        <v>14.0</v>
      </c>
      <c r="I579" s="18"/>
      <c r="J579" s="31" t="s">
        <v>114</v>
      </c>
      <c r="K579" s="31" t="s">
        <v>50</v>
      </c>
      <c r="L579" s="31" t="s">
        <v>832</v>
      </c>
      <c r="M579" s="31" t="s">
        <v>833</v>
      </c>
      <c r="N579" s="31" t="s">
        <v>189</v>
      </c>
      <c r="O579" s="18"/>
      <c r="P579" s="31" t="s">
        <v>306</v>
      </c>
      <c r="Q579" s="134">
        <v>5900.0</v>
      </c>
      <c r="R579" s="29">
        <f t="shared" si="11"/>
        <v>5900</v>
      </c>
      <c r="S579" s="29">
        <f t="shared" si="12"/>
        <v>944</v>
      </c>
      <c r="T579" s="29">
        <f t="shared" si="13"/>
        <v>6844</v>
      </c>
      <c r="U579" s="147" t="s">
        <v>695</v>
      </c>
    </row>
    <row r="580" ht="15.75" hidden="1" customHeight="1">
      <c r="A580" s="108">
        <v>32.0</v>
      </c>
      <c r="B580" s="108">
        <v>13.0</v>
      </c>
      <c r="C580" s="31">
        <v>920.0</v>
      </c>
      <c r="D580" s="118">
        <v>46239.0</v>
      </c>
      <c r="E580" s="31">
        <v>1.0</v>
      </c>
      <c r="F580" s="132" t="s">
        <v>31</v>
      </c>
      <c r="G580" s="31" t="s">
        <v>251</v>
      </c>
      <c r="H580" s="31">
        <v>14.0</v>
      </c>
      <c r="I580" s="18"/>
      <c r="J580" s="31" t="s">
        <v>313</v>
      </c>
      <c r="K580" s="31" t="s">
        <v>50</v>
      </c>
      <c r="L580" s="31" t="s">
        <v>833</v>
      </c>
      <c r="M580" s="31" t="s">
        <v>834</v>
      </c>
      <c r="N580" s="31" t="s">
        <v>189</v>
      </c>
      <c r="O580" s="18"/>
      <c r="P580" s="31" t="s">
        <v>306</v>
      </c>
      <c r="Q580" s="134">
        <v>5900.0</v>
      </c>
      <c r="R580" s="29">
        <f t="shared" si="11"/>
        <v>5900</v>
      </c>
      <c r="S580" s="29">
        <f t="shared" si="12"/>
        <v>944</v>
      </c>
      <c r="T580" s="29">
        <f t="shared" si="13"/>
        <v>6844</v>
      </c>
      <c r="U580" s="147" t="s">
        <v>695</v>
      </c>
    </row>
    <row r="581" ht="15.75" hidden="1" customHeight="1">
      <c r="A581" s="108">
        <v>32.0</v>
      </c>
      <c r="B581" s="108">
        <v>14.0</v>
      </c>
      <c r="C581" s="31">
        <v>921.0</v>
      </c>
      <c r="D581" s="118">
        <v>46239.0</v>
      </c>
      <c r="E581" s="31">
        <v>1.0</v>
      </c>
      <c r="F581" s="132" t="s">
        <v>31</v>
      </c>
      <c r="G581" s="31" t="s">
        <v>201</v>
      </c>
      <c r="H581" s="31">
        <v>14.0</v>
      </c>
      <c r="I581" s="18"/>
      <c r="J581" s="31" t="s">
        <v>150</v>
      </c>
      <c r="K581" s="31" t="s">
        <v>50</v>
      </c>
      <c r="L581" s="31" t="s">
        <v>834</v>
      </c>
      <c r="M581" s="31" t="s">
        <v>835</v>
      </c>
      <c r="N581" s="31" t="s">
        <v>189</v>
      </c>
      <c r="O581" s="18"/>
      <c r="P581" s="31" t="s">
        <v>306</v>
      </c>
      <c r="Q581" s="134">
        <v>5900.0</v>
      </c>
      <c r="R581" s="29">
        <f t="shared" si="11"/>
        <v>5900</v>
      </c>
      <c r="S581" s="29">
        <f t="shared" si="12"/>
        <v>944</v>
      </c>
      <c r="T581" s="29">
        <f t="shared" si="13"/>
        <v>6844</v>
      </c>
      <c r="U581" s="147" t="s">
        <v>695</v>
      </c>
    </row>
    <row r="582" ht="15.75" hidden="1" customHeight="1">
      <c r="A582" s="108">
        <v>32.0</v>
      </c>
      <c r="B582" s="108">
        <v>15.0</v>
      </c>
      <c r="C582" s="31">
        <v>922.0</v>
      </c>
      <c r="D582" s="118">
        <v>46239.0</v>
      </c>
      <c r="E582" s="31">
        <v>1.0</v>
      </c>
      <c r="F582" s="132" t="s">
        <v>31</v>
      </c>
      <c r="G582" s="31" t="s">
        <v>368</v>
      </c>
      <c r="H582" s="31">
        <v>14.0</v>
      </c>
      <c r="I582" s="18"/>
      <c r="J582" s="31" t="s">
        <v>122</v>
      </c>
      <c r="K582" s="31" t="s">
        <v>50</v>
      </c>
      <c r="L582" s="31" t="s">
        <v>835</v>
      </c>
      <c r="M582" s="31" t="s">
        <v>836</v>
      </c>
      <c r="N582" s="31" t="s">
        <v>189</v>
      </c>
      <c r="O582" s="18"/>
      <c r="P582" s="31" t="s">
        <v>306</v>
      </c>
      <c r="Q582" s="134">
        <v>5900.0</v>
      </c>
      <c r="R582" s="29">
        <f t="shared" si="11"/>
        <v>5900</v>
      </c>
      <c r="S582" s="29">
        <f t="shared" si="12"/>
        <v>944</v>
      </c>
      <c r="T582" s="29">
        <f t="shared" si="13"/>
        <v>6844</v>
      </c>
      <c r="U582" s="147" t="s">
        <v>695</v>
      </c>
    </row>
    <row r="583" ht="15.75" hidden="1" customHeight="1">
      <c r="A583" s="108">
        <v>32.0</v>
      </c>
      <c r="B583" s="108">
        <v>1.0</v>
      </c>
      <c r="C583" s="31">
        <v>923.0</v>
      </c>
      <c r="D583" s="118">
        <v>46240.0</v>
      </c>
      <c r="E583" s="31">
        <v>1.0</v>
      </c>
      <c r="F583" s="132" t="s">
        <v>31</v>
      </c>
      <c r="G583" s="31" t="s">
        <v>705</v>
      </c>
      <c r="H583" s="31">
        <v>14.0</v>
      </c>
      <c r="I583" s="18"/>
      <c r="J583" s="31" t="s">
        <v>706</v>
      </c>
      <c r="K583" s="31" t="s">
        <v>50</v>
      </c>
      <c r="L583" s="31" t="s">
        <v>837</v>
      </c>
      <c r="M583" s="31" t="s">
        <v>838</v>
      </c>
      <c r="N583" s="31" t="s">
        <v>189</v>
      </c>
      <c r="O583" s="18"/>
      <c r="P583" s="31" t="s">
        <v>283</v>
      </c>
      <c r="Q583" s="134">
        <v>5900.0</v>
      </c>
      <c r="R583" s="29">
        <f t="shared" si="11"/>
        <v>5900</v>
      </c>
      <c r="S583" s="29">
        <f t="shared" si="12"/>
        <v>944</v>
      </c>
      <c r="T583" s="29">
        <f t="shared" si="13"/>
        <v>6844</v>
      </c>
      <c r="U583" s="147" t="s">
        <v>695</v>
      </c>
    </row>
    <row r="584" ht="15.75" hidden="1" customHeight="1">
      <c r="A584" s="108">
        <v>32.0</v>
      </c>
      <c r="B584" s="108">
        <v>2.0</v>
      </c>
      <c r="C584" s="31">
        <v>924.0</v>
      </c>
      <c r="D584" s="118">
        <v>46240.0</v>
      </c>
      <c r="E584" s="31">
        <v>1.0</v>
      </c>
      <c r="F584" s="132" t="s">
        <v>31</v>
      </c>
      <c r="G584" s="31" t="s">
        <v>251</v>
      </c>
      <c r="H584" s="31">
        <v>14.0</v>
      </c>
      <c r="I584" s="18"/>
      <c r="J584" s="31" t="s">
        <v>313</v>
      </c>
      <c r="K584" s="31" t="s">
        <v>50</v>
      </c>
      <c r="L584" s="31" t="s">
        <v>838</v>
      </c>
      <c r="M584" s="31" t="s">
        <v>839</v>
      </c>
      <c r="N584" s="31" t="s">
        <v>189</v>
      </c>
      <c r="O584" s="18"/>
      <c r="P584" s="31" t="s">
        <v>283</v>
      </c>
      <c r="Q584" s="134">
        <v>5900.0</v>
      </c>
      <c r="R584" s="29">
        <f t="shared" si="11"/>
        <v>5900</v>
      </c>
      <c r="S584" s="29">
        <f t="shared" si="12"/>
        <v>944</v>
      </c>
      <c r="T584" s="29">
        <f t="shared" si="13"/>
        <v>6844</v>
      </c>
      <c r="U584" s="147" t="s">
        <v>695</v>
      </c>
    </row>
    <row r="585" ht="15.75" hidden="1" customHeight="1">
      <c r="A585" s="108">
        <v>32.0</v>
      </c>
      <c r="B585" s="108">
        <v>3.0</v>
      </c>
      <c r="C585" s="31">
        <v>925.0</v>
      </c>
      <c r="D585" s="118">
        <v>46240.0</v>
      </c>
      <c r="E585" s="31">
        <v>1.0</v>
      </c>
      <c r="F585" s="132" t="s">
        <v>31</v>
      </c>
      <c r="G585" s="31" t="s">
        <v>713</v>
      </c>
      <c r="H585" s="31">
        <v>14.0</v>
      </c>
      <c r="I585" s="18"/>
      <c r="J585" s="31" t="s">
        <v>840</v>
      </c>
      <c r="K585" s="31" t="s">
        <v>50</v>
      </c>
      <c r="L585" s="31" t="s">
        <v>839</v>
      </c>
      <c r="M585" s="31" t="s">
        <v>841</v>
      </c>
      <c r="N585" s="31" t="s">
        <v>189</v>
      </c>
      <c r="O585" s="18"/>
      <c r="P585" s="31" t="s">
        <v>283</v>
      </c>
      <c r="Q585" s="134">
        <v>5900.0</v>
      </c>
      <c r="R585" s="29">
        <f t="shared" si="11"/>
        <v>5900</v>
      </c>
      <c r="S585" s="29">
        <f t="shared" si="12"/>
        <v>944</v>
      </c>
      <c r="T585" s="29">
        <f t="shared" si="13"/>
        <v>6844</v>
      </c>
      <c r="U585" s="147" t="s">
        <v>695</v>
      </c>
    </row>
    <row r="586" ht="15.75" hidden="1" customHeight="1">
      <c r="A586" s="108">
        <v>32.0</v>
      </c>
      <c r="B586" s="108">
        <v>4.0</v>
      </c>
      <c r="C586" s="31">
        <v>926.0</v>
      </c>
      <c r="D586" s="118">
        <v>46240.0</v>
      </c>
      <c r="E586" s="31">
        <v>1.0</v>
      </c>
      <c r="F586" s="132" t="s">
        <v>31</v>
      </c>
      <c r="G586" s="31" t="s">
        <v>700</v>
      </c>
      <c r="H586" s="31">
        <v>14.0</v>
      </c>
      <c r="I586" s="18"/>
      <c r="J586" s="31" t="s">
        <v>701</v>
      </c>
      <c r="K586" s="31" t="s">
        <v>50</v>
      </c>
      <c r="L586" s="31" t="s">
        <v>841</v>
      </c>
      <c r="M586" s="31" t="s">
        <v>824</v>
      </c>
      <c r="N586" s="31" t="s">
        <v>189</v>
      </c>
      <c r="O586" s="18"/>
      <c r="P586" s="31" t="s">
        <v>283</v>
      </c>
      <c r="Q586" s="134">
        <v>5900.0</v>
      </c>
      <c r="R586" s="29">
        <f t="shared" si="11"/>
        <v>5900</v>
      </c>
      <c r="S586" s="29">
        <f t="shared" si="12"/>
        <v>944</v>
      </c>
      <c r="T586" s="29">
        <f t="shared" si="13"/>
        <v>6844</v>
      </c>
      <c r="U586" s="147" t="s">
        <v>695</v>
      </c>
    </row>
    <row r="587" ht="15.75" hidden="1" customHeight="1">
      <c r="A587" s="108">
        <v>32.0</v>
      </c>
      <c r="B587" s="108">
        <v>5.0</v>
      </c>
      <c r="C587" s="31">
        <v>927.0</v>
      </c>
      <c r="D587" s="118">
        <v>46240.0</v>
      </c>
      <c r="E587" s="31">
        <v>1.0</v>
      </c>
      <c r="F587" s="132" t="s">
        <v>31</v>
      </c>
      <c r="G587" s="31" t="s">
        <v>295</v>
      </c>
      <c r="H587" s="31">
        <v>14.0</v>
      </c>
      <c r="I587" s="18"/>
      <c r="J587" s="31" t="s">
        <v>118</v>
      </c>
      <c r="K587" s="31" t="s">
        <v>50</v>
      </c>
      <c r="L587" s="31" t="s">
        <v>824</v>
      </c>
      <c r="M587" s="31" t="s">
        <v>825</v>
      </c>
      <c r="N587" s="31" t="s">
        <v>189</v>
      </c>
      <c r="O587" s="18"/>
      <c r="P587" s="31" t="s">
        <v>283</v>
      </c>
      <c r="Q587" s="134">
        <v>5900.0</v>
      </c>
      <c r="R587" s="29">
        <f t="shared" si="11"/>
        <v>5900</v>
      </c>
      <c r="S587" s="29">
        <f t="shared" si="12"/>
        <v>944</v>
      </c>
      <c r="T587" s="29">
        <f t="shared" si="13"/>
        <v>6844</v>
      </c>
      <c r="U587" s="147" t="s">
        <v>695</v>
      </c>
    </row>
    <row r="588" ht="15.75" hidden="1" customHeight="1">
      <c r="A588" s="108">
        <v>32.0</v>
      </c>
      <c r="B588" s="108">
        <v>6.0</v>
      </c>
      <c r="C588" s="31">
        <v>929.0</v>
      </c>
      <c r="D588" s="118">
        <v>46240.0</v>
      </c>
      <c r="E588" s="31">
        <v>1.0</v>
      </c>
      <c r="F588" s="132" t="s">
        <v>31</v>
      </c>
      <c r="G588" s="31" t="s">
        <v>488</v>
      </c>
      <c r="H588" s="31">
        <v>14.0</v>
      </c>
      <c r="I588" s="18"/>
      <c r="J588" s="31" t="s">
        <v>195</v>
      </c>
      <c r="K588" s="31" t="s">
        <v>50</v>
      </c>
      <c r="L588" s="31" t="s">
        <v>825</v>
      </c>
      <c r="M588" s="31" t="s">
        <v>826</v>
      </c>
      <c r="N588" s="31" t="s">
        <v>189</v>
      </c>
      <c r="O588" s="18"/>
      <c r="P588" s="31" t="s">
        <v>283</v>
      </c>
      <c r="Q588" s="134">
        <v>5900.0</v>
      </c>
      <c r="R588" s="29">
        <f t="shared" si="11"/>
        <v>5900</v>
      </c>
      <c r="S588" s="29">
        <f t="shared" si="12"/>
        <v>944</v>
      </c>
      <c r="T588" s="29">
        <f t="shared" si="13"/>
        <v>6844</v>
      </c>
      <c r="U588" s="147" t="s">
        <v>695</v>
      </c>
    </row>
    <row r="589" ht="15.75" hidden="1" customHeight="1">
      <c r="A589" s="108">
        <v>32.0</v>
      </c>
      <c r="B589" s="108">
        <v>7.0</v>
      </c>
      <c r="C589" s="31">
        <v>928.0</v>
      </c>
      <c r="D589" s="118">
        <v>46240.0</v>
      </c>
      <c r="E589" s="31">
        <v>1.0</v>
      </c>
      <c r="F589" s="132" t="s">
        <v>31</v>
      </c>
      <c r="G589" s="31" t="s">
        <v>842</v>
      </c>
      <c r="H589" s="31">
        <v>14.0</v>
      </c>
      <c r="I589" s="18"/>
      <c r="J589" s="31" t="s">
        <v>284</v>
      </c>
      <c r="K589" s="31" t="s">
        <v>50</v>
      </c>
      <c r="L589" s="31" t="s">
        <v>826</v>
      </c>
      <c r="M589" s="31" t="s">
        <v>843</v>
      </c>
      <c r="N589" s="31" t="s">
        <v>189</v>
      </c>
      <c r="O589" s="18"/>
      <c r="P589" s="31" t="s">
        <v>283</v>
      </c>
      <c r="Q589" s="134">
        <v>5900.0</v>
      </c>
      <c r="R589" s="29">
        <f t="shared" si="11"/>
        <v>5900</v>
      </c>
      <c r="S589" s="29">
        <f t="shared" si="12"/>
        <v>944</v>
      </c>
      <c r="T589" s="29">
        <f t="shared" si="13"/>
        <v>6844</v>
      </c>
      <c r="U589" s="147" t="s">
        <v>695</v>
      </c>
    </row>
    <row r="590" ht="15.75" hidden="1" customHeight="1">
      <c r="A590" s="108">
        <v>32.0</v>
      </c>
      <c r="B590" s="108">
        <v>8.0</v>
      </c>
      <c r="C590" s="31">
        <v>930.0</v>
      </c>
      <c r="D590" s="118">
        <v>46240.0</v>
      </c>
      <c r="E590" s="31">
        <v>1.0</v>
      </c>
      <c r="F590" s="132" t="s">
        <v>31</v>
      </c>
      <c r="G590" s="31" t="s">
        <v>357</v>
      </c>
      <c r="H590" s="31">
        <v>14.0</v>
      </c>
      <c r="I590" s="18"/>
      <c r="J590" s="31" t="s">
        <v>520</v>
      </c>
      <c r="K590" s="31" t="s">
        <v>50</v>
      </c>
      <c r="L590" s="31" t="s">
        <v>843</v>
      </c>
      <c r="M590" s="31" t="s">
        <v>844</v>
      </c>
      <c r="N590" s="31" t="s">
        <v>189</v>
      </c>
      <c r="O590" s="18"/>
      <c r="P590" s="31" t="s">
        <v>283</v>
      </c>
      <c r="Q590" s="134">
        <v>5900.0</v>
      </c>
      <c r="R590" s="29">
        <f t="shared" si="11"/>
        <v>5900</v>
      </c>
      <c r="S590" s="29">
        <f t="shared" si="12"/>
        <v>944</v>
      </c>
      <c r="T590" s="29">
        <f t="shared" si="13"/>
        <v>6844</v>
      </c>
      <c r="U590" s="147" t="s">
        <v>695</v>
      </c>
    </row>
    <row r="591" ht="15.75" hidden="1" customHeight="1">
      <c r="A591" s="108">
        <v>32.0</v>
      </c>
      <c r="B591" s="108">
        <v>9.0</v>
      </c>
      <c r="C591" s="31">
        <v>931.0</v>
      </c>
      <c r="D591" s="118">
        <v>46240.0</v>
      </c>
      <c r="E591" s="31">
        <v>1.0</v>
      </c>
      <c r="F591" s="132" t="s">
        <v>31</v>
      </c>
      <c r="G591" s="31" t="s">
        <v>201</v>
      </c>
      <c r="H591" s="31">
        <v>14.0</v>
      </c>
      <c r="I591" s="18"/>
      <c r="J591" s="31" t="s">
        <v>150</v>
      </c>
      <c r="K591" s="31" t="s">
        <v>50</v>
      </c>
      <c r="L591" s="31" t="s">
        <v>844</v>
      </c>
      <c r="M591" s="31" t="s">
        <v>845</v>
      </c>
      <c r="N591" s="31" t="s">
        <v>189</v>
      </c>
      <c r="O591" s="18"/>
      <c r="P591" s="31" t="s">
        <v>283</v>
      </c>
      <c r="Q591" s="134">
        <v>5900.0</v>
      </c>
      <c r="R591" s="29">
        <f t="shared" si="11"/>
        <v>5900</v>
      </c>
      <c r="S591" s="29">
        <f t="shared" si="12"/>
        <v>944</v>
      </c>
      <c r="T591" s="29">
        <f t="shared" si="13"/>
        <v>6844</v>
      </c>
      <c r="U591" s="147" t="s">
        <v>695</v>
      </c>
    </row>
    <row r="592" ht="15.75" hidden="1" customHeight="1">
      <c r="A592" s="108">
        <v>32.0</v>
      </c>
      <c r="B592" s="108">
        <v>10.0</v>
      </c>
      <c r="C592" s="31">
        <v>933.0</v>
      </c>
      <c r="D592" s="118">
        <v>46240.0</v>
      </c>
      <c r="E592" s="31">
        <v>1.0</v>
      </c>
      <c r="F592" s="132" t="s">
        <v>31</v>
      </c>
      <c r="G592" s="31" t="s">
        <v>846</v>
      </c>
      <c r="H592" s="31">
        <v>14.0</v>
      </c>
      <c r="I592" s="18"/>
      <c r="J592" s="31" t="s">
        <v>847</v>
      </c>
      <c r="K592" s="31" t="s">
        <v>50</v>
      </c>
      <c r="L592" s="31" t="s">
        <v>845</v>
      </c>
      <c r="M592" s="31" t="s">
        <v>848</v>
      </c>
      <c r="N592" s="31" t="s">
        <v>189</v>
      </c>
      <c r="O592" s="18"/>
      <c r="P592" s="31" t="s">
        <v>283</v>
      </c>
      <c r="Q592" s="134">
        <v>5900.0</v>
      </c>
      <c r="R592" s="29">
        <f t="shared" si="11"/>
        <v>5900</v>
      </c>
      <c r="S592" s="29">
        <f t="shared" si="12"/>
        <v>944</v>
      </c>
      <c r="T592" s="29">
        <f t="shared" si="13"/>
        <v>6844</v>
      </c>
      <c r="U592" s="147" t="s">
        <v>695</v>
      </c>
    </row>
    <row r="593" ht="15.75" hidden="1" customHeight="1">
      <c r="A593" s="108">
        <v>32.0</v>
      </c>
      <c r="B593" s="108">
        <v>11.0</v>
      </c>
      <c r="C593" s="31">
        <v>934.0</v>
      </c>
      <c r="D593" s="118">
        <v>46240.0</v>
      </c>
      <c r="E593" s="31">
        <v>1.0</v>
      </c>
      <c r="F593" s="132" t="s">
        <v>31</v>
      </c>
      <c r="G593" s="31" t="s">
        <v>371</v>
      </c>
      <c r="H593" s="31">
        <v>14.0</v>
      </c>
      <c r="I593" s="18"/>
      <c r="J593" s="31" t="s">
        <v>849</v>
      </c>
      <c r="K593" s="31" t="s">
        <v>50</v>
      </c>
      <c r="L593" s="31" t="s">
        <v>848</v>
      </c>
      <c r="M593" s="31" t="s">
        <v>850</v>
      </c>
      <c r="N593" s="31" t="s">
        <v>189</v>
      </c>
      <c r="O593" s="18"/>
      <c r="P593" s="31" t="s">
        <v>283</v>
      </c>
      <c r="Q593" s="134">
        <v>5900.0</v>
      </c>
      <c r="R593" s="29">
        <f t="shared" si="11"/>
        <v>5900</v>
      </c>
      <c r="S593" s="29">
        <f t="shared" si="12"/>
        <v>944</v>
      </c>
      <c r="T593" s="29">
        <f t="shared" si="13"/>
        <v>6844</v>
      </c>
      <c r="U593" s="147" t="s">
        <v>695</v>
      </c>
    </row>
    <row r="594" ht="15.75" hidden="1" customHeight="1">
      <c r="A594" s="108">
        <v>32.0</v>
      </c>
      <c r="B594" s="108">
        <v>12.0</v>
      </c>
      <c r="C594" s="31">
        <v>932.0</v>
      </c>
      <c r="D594" s="118">
        <v>46240.0</v>
      </c>
      <c r="E594" s="31">
        <v>1.0</v>
      </c>
      <c r="F594" s="132" t="s">
        <v>31</v>
      </c>
      <c r="G594" s="31" t="s">
        <v>851</v>
      </c>
      <c r="H594" s="31">
        <v>14.0</v>
      </c>
      <c r="I594" s="18"/>
      <c r="J594" s="31" t="s">
        <v>664</v>
      </c>
      <c r="K594" s="31" t="s">
        <v>50</v>
      </c>
      <c r="L594" s="31" t="s">
        <v>850</v>
      </c>
      <c r="M594" s="31" t="s">
        <v>832</v>
      </c>
      <c r="N594" s="31" t="s">
        <v>189</v>
      </c>
      <c r="O594" s="18"/>
      <c r="P594" s="31" t="s">
        <v>283</v>
      </c>
      <c r="Q594" s="134">
        <v>5900.0</v>
      </c>
      <c r="R594" s="29">
        <f t="shared" si="11"/>
        <v>5900</v>
      </c>
      <c r="S594" s="29">
        <f t="shared" si="12"/>
        <v>944</v>
      </c>
      <c r="T594" s="29">
        <f t="shared" si="13"/>
        <v>6844</v>
      </c>
      <c r="U594" s="147" t="s">
        <v>695</v>
      </c>
    </row>
    <row r="595" ht="15.75" hidden="1" customHeight="1">
      <c r="A595" s="108">
        <v>32.0</v>
      </c>
      <c r="B595" s="108">
        <v>1.0</v>
      </c>
      <c r="C595" s="31">
        <v>938.0</v>
      </c>
      <c r="D595" s="118">
        <v>46241.0</v>
      </c>
      <c r="E595" s="31">
        <v>1.0</v>
      </c>
      <c r="F595" s="132" t="s">
        <v>31</v>
      </c>
      <c r="G595" s="31" t="s">
        <v>295</v>
      </c>
      <c r="H595" s="31">
        <v>14.0</v>
      </c>
      <c r="I595" s="18"/>
      <c r="J595" s="31" t="s">
        <v>118</v>
      </c>
      <c r="K595" s="31" t="s">
        <v>50</v>
      </c>
      <c r="L595" s="31" t="s">
        <v>832</v>
      </c>
      <c r="M595" s="31" t="s">
        <v>833</v>
      </c>
      <c r="N595" s="31" t="s">
        <v>189</v>
      </c>
      <c r="O595" s="18"/>
      <c r="P595" s="31" t="s">
        <v>283</v>
      </c>
      <c r="Q595" s="134">
        <v>5900.0</v>
      </c>
      <c r="R595" s="29">
        <f t="shared" si="11"/>
        <v>5900</v>
      </c>
      <c r="S595" s="29">
        <f t="shared" si="12"/>
        <v>944</v>
      </c>
      <c r="T595" s="29">
        <f t="shared" si="13"/>
        <v>6844</v>
      </c>
      <c r="U595" s="147" t="s">
        <v>695</v>
      </c>
    </row>
    <row r="596" ht="15.75" hidden="1" customHeight="1">
      <c r="A596" s="108">
        <v>32.0</v>
      </c>
      <c r="B596" s="108">
        <v>2.0</v>
      </c>
      <c r="C596" s="31">
        <v>939.0</v>
      </c>
      <c r="D596" s="118">
        <v>46241.0</v>
      </c>
      <c r="E596" s="31">
        <v>1.0</v>
      </c>
      <c r="F596" s="132" t="s">
        <v>31</v>
      </c>
      <c r="G596" s="31" t="s">
        <v>201</v>
      </c>
      <c r="H596" s="31">
        <v>14.0</v>
      </c>
      <c r="I596" s="18"/>
      <c r="J596" s="31" t="s">
        <v>150</v>
      </c>
      <c r="K596" s="31" t="s">
        <v>50</v>
      </c>
      <c r="L596" s="31" t="s">
        <v>833</v>
      </c>
      <c r="M596" s="31" t="s">
        <v>834</v>
      </c>
      <c r="N596" s="31" t="s">
        <v>189</v>
      </c>
      <c r="O596" s="18"/>
      <c r="P596" s="31" t="s">
        <v>283</v>
      </c>
      <c r="Q596" s="134">
        <v>5900.0</v>
      </c>
      <c r="R596" s="29">
        <f t="shared" si="11"/>
        <v>5900</v>
      </c>
      <c r="S596" s="29">
        <f t="shared" si="12"/>
        <v>944</v>
      </c>
      <c r="T596" s="29">
        <f t="shared" si="13"/>
        <v>6844</v>
      </c>
      <c r="U596" s="147" t="s">
        <v>695</v>
      </c>
    </row>
    <row r="597" ht="15.75" hidden="1" customHeight="1">
      <c r="A597" s="108">
        <v>32.0</v>
      </c>
      <c r="B597" s="108">
        <v>3.0</v>
      </c>
      <c r="C597" s="31">
        <v>940.0</v>
      </c>
      <c r="D597" s="118">
        <v>46241.0</v>
      </c>
      <c r="E597" s="31">
        <v>1.0</v>
      </c>
      <c r="F597" s="132" t="s">
        <v>31</v>
      </c>
      <c r="G597" s="31" t="s">
        <v>852</v>
      </c>
      <c r="H597" s="31">
        <v>14.0</v>
      </c>
      <c r="I597" s="18"/>
      <c r="J597" s="31" t="s">
        <v>326</v>
      </c>
      <c r="K597" s="31" t="s">
        <v>50</v>
      </c>
      <c r="L597" s="31" t="s">
        <v>834</v>
      </c>
      <c r="M597" s="31" t="s">
        <v>853</v>
      </c>
      <c r="N597" s="31" t="s">
        <v>189</v>
      </c>
      <c r="O597" s="18"/>
      <c r="P597" s="31" t="s">
        <v>283</v>
      </c>
      <c r="Q597" s="134">
        <v>5900.0</v>
      </c>
      <c r="R597" s="29">
        <f t="shared" si="11"/>
        <v>5900</v>
      </c>
      <c r="S597" s="29">
        <f t="shared" si="12"/>
        <v>944</v>
      </c>
      <c r="T597" s="29">
        <f t="shared" si="13"/>
        <v>6844</v>
      </c>
      <c r="U597" s="147" t="s">
        <v>695</v>
      </c>
    </row>
    <row r="598" ht="15.75" hidden="1" customHeight="1">
      <c r="A598" s="108">
        <v>32.0</v>
      </c>
      <c r="B598" s="108">
        <v>4.0</v>
      </c>
      <c r="C598" s="31">
        <v>941.0</v>
      </c>
      <c r="D598" s="118">
        <v>46241.0</v>
      </c>
      <c r="E598" s="31">
        <v>1.0</v>
      </c>
      <c r="F598" s="132" t="s">
        <v>31</v>
      </c>
      <c r="G598" s="31" t="s">
        <v>781</v>
      </c>
      <c r="H598" s="31">
        <v>14.0</v>
      </c>
      <c r="I598" s="18"/>
      <c r="J598" s="31" t="s">
        <v>114</v>
      </c>
      <c r="K598" s="31" t="s">
        <v>50</v>
      </c>
      <c r="L598" s="31" t="s">
        <v>853</v>
      </c>
      <c r="M598" s="31" t="s">
        <v>854</v>
      </c>
      <c r="N598" s="31" t="s">
        <v>189</v>
      </c>
      <c r="O598" s="18"/>
      <c r="P598" s="31" t="s">
        <v>283</v>
      </c>
      <c r="Q598" s="134">
        <v>5900.0</v>
      </c>
      <c r="R598" s="29">
        <f t="shared" si="11"/>
        <v>5900</v>
      </c>
      <c r="S598" s="29">
        <f t="shared" si="12"/>
        <v>944</v>
      </c>
      <c r="T598" s="29">
        <f t="shared" si="13"/>
        <v>6844</v>
      </c>
      <c r="U598" s="147" t="s">
        <v>695</v>
      </c>
    </row>
    <row r="599" ht="15.75" hidden="1" customHeight="1">
      <c r="A599" s="108">
        <v>32.0</v>
      </c>
      <c r="B599" s="108">
        <v>5.0</v>
      </c>
      <c r="C599" s="31">
        <v>942.0</v>
      </c>
      <c r="D599" s="118">
        <v>46241.0</v>
      </c>
      <c r="E599" s="31">
        <v>1.0</v>
      </c>
      <c r="F599" s="132" t="s">
        <v>31</v>
      </c>
      <c r="G599" s="31" t="s">
        <v>248</v>
      </c>
      <c r="H599" s="31">
        <v>14.0</v>
      </c>
      <c r="I599" s="18"/>
      <c r="J599" s="31" t="s">
        <v>146</v>
      </c>
      <c r="K599" s="31" t="s">
        <v>50</v>
      </c>
      <c r="L599" s="31" t="s">
        <v>854</v>
      </c>
      <c r="M599" s="31" t="s">
        <v>855</v>
      </c>
      <c r="N599" s="31" t="s">
        <v>189</v>
      </c>
      <c r="O599" s="18"/>
      <c r="P599" s="31" t="s">
        <v>283</v>
      </c>
      <c r="Q599" s="134">
        <v>5900.0</v>
      </c>
      <c r="R599" s="29">
        <f t="shared" si="11"/>
        <v>5900</v>
      </c>
      <c r="S599" s="29">
        <f t="shared" si="12"/>
        <v>944</v>
      </c>
      <c r="T599" s="29">
        <f t="shared" si="13"/>
        <v>6844</v>
      </c>
      <c r="U599" s="147" t="s">
        <v>695</v>
      </c>
    </row>
    <row r="600" ht="15.75" hidden="1" customHeight="1">
      <c r="A600" s="108">
        <v>32.0</v>
      </c>
      <c r="B600" s="108">
        <v>6.0</v>
      </c>
      <c r="C600" s="31">
        <v>944.0</v>
      </c>
      <c r="D600" s="118">
        <v>46241.0</v>
      </c>
      <c r="E600" s="31">
        <v>1.0</v>
      </c>
      <c r="F600" s="132" t="s">
        <v>31</v>
      </c>
      <c r="G600" s="31" t="s">
        <v>357</v>
      </c>
      <c r="H600" s="31">
        <v>14.0</v>
      </c>
      <c r="I600" s="18"/>
      <c r="J600" s="31" t="s">
        <v>520</v>
      </c>
      <c r="K600" s="31" t="s">
        <v>50</v>
      </c>
      <c r="L600" s="31" t="s">
        <v>855</v>
      </c>
      <c r="M600" s="31" t="s">
        <v>856</v>
      </c>
      <c r="N600" s="31" t="s">
        <v>189</v>
      </c>
      <c r="O600" s="18"/>
      <c r="P600" s="31" t="s">
        <v>283</v>
      </c>
      <c r="Q600" s="134">
        <v>5900.0</v>
      </c>
      <c r="R600" s="29">
        <f t="shared" si="11"/>
        <v>5900</v>
      </c>
      <c r="S600" s="29">
        <f t="shared" si="12"/>
        <v>944</v>
      </c>
      <c r="T600" s="29">
        <f t="shared" si="13"/>
        <v>6844</v>
      </c>
      <c r="U600" s="147" t="s">
        <v>695</v>
      </c>
    </row>
    <row r="601" ht="15.75" hidden="1" customHeight="1">
      <c r="A601" s="108">
        <v>32.0</v>
      </c>
      <c r="B601" s="108">
        <v>7.0</v>
      </c>
      <c r="C601" s="31">
        <v>946.0</v>
      </c>
      <c r="D601" s="118">
        <v>46241.0</v>
      </c>
      <c r="E601" s="31">
        <v>1.0</v>
      </c>
      <c r="F601" s="132" t="s">
        <v>31</v>
      </c>
      <c r="G601" s="31" t="s">
        <v>251</v>
      </c>
      <c r="H601" s="31">
        <v>14.0</v>
      </c>
      <c r="I601" s="18"/>
      <c r="J601" s="31" t="s">
        <v>313</v>
      </c>
      <c r="K601" s="31" t="s">
        <v>50</v>
      </c>
      <c r="L601" s="31" t="s">
        <v>856</v>
      </c>
      <c r="M601" s="31" t="s">
        <v>857</v>
      </c>
      <c r="N601" s="31" t="s">
        <v>189</v>
      </c>
      <c r="O601" s="18"/>
      <c r="P601" s="31" t="s">
        <v>283</v>
      </c>
      <c r="Q601" s="134">
        <v>5900.0</v>
      </c>
      <c r="R601" s="29">
        <f t="shared" si="11"/>
        <v>5900</v>
      </c>
      <c r="S601" s="29">
        <f t="shared" si="12"/>
        <v>944</v>
      </c>
      <c r="T601" s="29">
        <f t="shared" si="13"/>
        <v>6844</v>
      </c>
      <c r="U601" s="147" t="s">
        <v>695</v>
      </c>
    </row>
    <row r="602" ht="15.75" hidden="1" customHeight="1">
      <c r="A602" s="108">
        <v>32.0</v>
      </c>
      <c r="B602" s="108">
        <v>8.0</v>
      </c>
      <c r="C602" s="31">
        <v>947.0</v>
      </c>
      <c r="D602" s="118">
        <v>46241.0</v>
      </c>
      <c r="E602" s="31">
        <v>1.0</v>
      </c>
      <c r="F602" s="132" t="s">
        <v>31</v>
      </c>
      <c r="G602" s="31" t="s">
        <v>211</v>
      </c>
      <c r="H602" s="31">
        <v>14.0</v>
      </c>
      <c r="I602" s="18"/>
      <c r="J602" s="31" t="s">
        <v>664</v>
      </c>
      <c r="K602" s="31" t="s">
        <v>50</v>
      </c>
      <c r="L602" s="31" t="s">
        <v>857</v>
      </c>
      <c r="M602" s="31" t="s">
        <v>858</v>
      </c>
      <c r="N602" s="31" t="s">
        <v>189</v>
      </c>
      <c r="O602" s="18"/>
      <c r="P602" s="31" t="s">
        <v>283</v>
      </c>
      <c r="Q602" s="134">
        <v>5900.0</v>
      </c>
      <c r="R602" s="29">
        <f t="shared" si="11"/>
        <v>5900</v>
      </c>
      <c r="S602" s="29">
        <f t="shared" si="12"/>
        <v>944</v>
      </c>
      <c r="T602" s="29">
        <f t="shared" si="13"/>
        <v>6844</v>
      </c>
      <c r="U602" s="147" t="s">
        <v>695</v>
      </c>
    </row>
    <row r="603" ht="15.75" hidden="1" customHeight="1">
      <c r="A603" s="108">
        <v>32.0</v>
      </c>
      <c r="B603" s="108">
        <v>9.0</v>
      </c>
      <c r="C603" s="31">
        <v>943.0</v>
      </c>
      <c r="D603" s="118">
        <v>46241.0</v>
      </c>
      <c r="E603" s="31">
        <v>1.0</v>
      </c>
      <c r="F603" s="132" t="s">
        <v>31</v>
      </c>
      <c r="G603" s="31" t="s">
        <v>859</v>
      </c>
      <c r="H603" s="31">
        <v>14.0</v>
      </c>
      <c r="I603" s="18"/>
      <c r="J603" s="31" t="s">
        <v>344</v>
      </c>
      <c r="K603" s="31" t="s">
        <v>50</v>
      </c>
      <c r="L603" s="31" t="s">
        <v>858</v>
      </c>
      <c r="M603" s="31" t="s">
        <v>860</v>
      </c>
      <c r="N603" s="31" t="s">
        <v>189</v>
      </c>
      <c r="O603" s="18"/>
      <c r="P603" s="31" t="s">
        <v>283</v>
      </c>
      <c r="Q603" s="134">
        <v>5900.0</v>
      </c>
      <c r="R603" s="29">
        <f t="shared" si="11"/>
        <v>5900</v>
      </c>
      <c r="S603" s="29">
        <f t="shared" si="12"/>
        <v>944</v>
      </c>
      <c r="T603" s="29">
        <f t="shared" si="13"/>
        <v>6844</v>
      </c>
      <c r="U603" s="147" t="s">
        <v>695</v>
      </c>
    </row>
    <row r="604" ht="15.75" hidden="1" customHeight="1">
      <c r="A604" s="108">
        <v>32.0</v>
      </c>
      <c r="B604" s="108">
        <v>10.0</v>
      </c>
      <c r="C604" s="31">
        <v>948.0</v>
      </c>
      <c r="D604" s="118">
        <v>46241.0</v>
      </c>
      <c r="E604" s="31">
        <v>1.0</v>
      </c>
      <c r="F604" s="132" t="s">
        <v>31</v>
      </c>
      <c r="G604" s="31" t="s">
        <v>371</v>
      </c>
      <c r="H604" s="31">
        <v>14.0</v>
      </c>
      <c r="I604" s="18"/>
      <c r="J604" s="31" t="s">
        <v>849</v>
      </c>
      <c r="K604" s="31" t="s">
        <v>50</v>
      </c>
      <c r="L604" s="31" t="s">
        <v>860</v>
      </c>
      <c r="M604" s="31" t="s">
        <v>861</v>
      </c>
      <c r="N604" s="31" t="s">
        <v>189</v>
      </c>
      <c r="O604" s="18"/>
      <c r="P604" s="31" t="s">
        <v>283</v>
      </c>
      <c r="Q604" s="134">
        <v>5900.0</v>
      </c>
      <c r="R604" s="29">
        <f t="shared" si="11"/>
        <v>5900</v>
      </c>
      <c r="S604" s="29">
        <f t="shared" si="12"/>
        <v>944</v>
      </c>
      <c r="T604" s="29">
        <f t="shared" si="13"/>
        <v>6844</v>
      </c>
      <c r="U604" s="147" t="s">
        <v>695</v>
      </c>
    </row>
    <row r="605" ht="15.75" hidden="1" customHeight="1">
      <c r="A605" s="108">
        <v>32.0</v>
      </c>
      <c r="B605" s="108">
        <v>11.0</v>
      </c>
      <c r="C605" s="31">
        <v>1252.0</v>
      </c>
      <c r="D605" s="118">
        <v>46241.0</v>
      </c>
      <c r="E605" s="31">
        <v>1.0</v>
      </c>
      <c r="F605" s="132" t="s">
        <v>31</v>
      </c>
      <c r="G605" s="31" t="s">
        <v>862</v>
      </c>
      <c r="H605" s="31">
        <v>14.0</v>
      </c>
      <c r="I605" s="18"/>
      <c r="J605" s="31" t="s">
        <v>863</v>
      </c>
      <c r="K605" s="31" t="s">
        <v>50</v>
      </c>
      <c r="L605" s="31" t="s">
        <v>861</v>
      </c>
      <c r="M605" s="31" t="s">
        <v>864</v>
      </c>
      <c r="N605" s="31" t="s">
        <v>189</v>
      </c>
      <c r="O605" s="18"/>
      <c r="P605" s="31" t="s">
        <v>283</v>
      </c>
      <c r="Q605" s="134">
        <v>5900.0</v>
      </c>
      <c r="R605" s="29">
        <f t="shared" si="11"/>
        <v>5900</v>
      </c>
      <c r="S605" s="29">
        <f t="shared" si="12"/>
        <v>944</v>
      </c>
      <c r="T605" s="29">
        <f t="shared" si="13"/>
        <v>6844</v>
      </c>
      <c r="U605" s="147" t="s">
        <v>695</v>
      </c>
    </row>
    <row r="606" ht="15.75" hidden="1" customHeight="1">
      <c r="A606" s="108">
        <v>32.0</v>
      </c>
      <c r="B606" s="108">
        <v>12.0</v>
      </c>
      <c r="C606" s="31">
        <v>949.0</v>
      </c>
      <c r="D606" s="118">
        <v>46241.0</v>
      </c>
      <c r="E606" s="31">
        <v>1.0</v>
      </c>
      <c r="F606" s="132" t="s">
        <v>31</v>
      </c>
      <c r="G606" s="31" t="s">
        <v>865</v>
      </c>
      <c r="H606" s="31">
        <v>14.0</v>
      </c>
      <c r="I606" s="18"/>
      <c r="J606" s="31" t="s">
        <v>762</v>
      </c>
      <c r="K606" s="31" t="s">
        <v>50</v>
      </c>
      <c r="L606" s="31" t="s">
        <v>864</v>
      </c>
      <c r="M606" s="31" t="s">
        <v>866</v>
      </c>
      <c r="N606" s="31" t="s">
        <v>189</v>
      </c>
      <c r="O606" s="18"/>
      <c r="P606" s="31" t="s">
        <v>283</v>
      </c>
      <c r="Q606" s="134">
        <v>5900.0</v>
      </c>
      <c r="R606" s="29">
        <f t="shared" si="11"/>
        <v>5900</v>
      </c>
      <c r="S606" s="29">
        <f t="shared" si="12"/>
        <v>944</v>
      </c>
      <c r="T606" s="29">
        <f t="shared" si="13"/>
        <v>6844</v>
      </c>
      <c r="U606" s="147" t="s">
        <v>695</v>
      </c>
    </row>
    <row r="607" ht="15.75" hidden="1" customHeight="1">
      <c r="A607" s="108">
        <v>32.0</v>
      </c>
      <c r="B607" s="108">
        <v>13.0</v>
      </c>
      <c r="C607" s="31">
        <v>950.0</v>
      </c>
      <c r="D607" s="118">
        <v>46241.0</v>
      </c>
      <c r="E607" s="31">
        <v>1.0</v>
      </c>
      <c r="F607" s="132" t="s">
        <v>31</v>
      </c>
      <c r="G607" s="31" t="s">
        <v>480</v>
      </c>
      <c r="H607" s="31">
        <v>14.0</v>
      </c>
      <c r="I607" s="18"/>
      <c r="J607" s="31" t="s">
        <v>284</v>
      </c>
      <c r="K607" s="31" t="s">
        <v>50</v>
      </c>
      <c r="L607" s="31" t="s">
        <v>866</v>
      </c>
      <c r="M607" s="31" t="s">
        <v>867</v>
      </c>
      <c r="N607" s="31" t="s">
        <v>189</v>
      </c>
      <c r="O607" s="18"/>
      <c r="P607" s="31" t="s">
        <v>283</v>
      </c>
      <c r="Q607" s="134">
        <v>5900.0</v>
      </c>
      <c r="R607" s="29">
        <f t="shared" si="11"/>
        <v>5900</v>
      </c>
      <c r="S607" s="29">
        <f t="shared" si="12"/>
        <v>944</v>
      </c>
      <c r="T607" s="29">
        <f t="shared" si="13"/>
        <v>6844</v>
      </c>
      <c r="U607" s="147" t="s">
        <v>695</v>
      </c>
    </row>
    <row r="608" ht="15.75" hidden="1" customHeight="1">
      <c r="A608" s="108">
        <v>32.0</v>
      </c>
      <c r="B608" s="108">
        <v>14.0</v>
      </c>
      <c r="C608" s="31">
        <v>945.0</v>
      </c>
      <c r="D608" s="118">
        <v>46241.0</v>
      </c>
      <c r="E608" s="31">
        <v>1.0</v>
      </c>
      <c r="F608" s="132" t="s">
        <v>31</v>
      </c>
      <c r="G608" s="31" t="s">
        <v>555</v>
      </c>
      <c r="H608" s="31">
        <v>14.0</v>
      </c>
      <c r="I608" s="18"/>
      <c r="J608" s="31" t="s">
        <v>242</v>
      </c>
      <c r="K608" s="31" t="s">
        <v>50</v>
      </c>
      <c r="L608" s="31" t="s">
        <v>867</v>
      </c>
      <c r="M608" s="31" t="s">
        <v>868</v>
      </c>
      <c r="N608" s="31" t="s">
        <v>189</v>
      </c>
      <c r="O608" s="18"/>
      <c r="P608" s="31" t="s">
        <v>283</v>
      </c>
      <c r="Q608" s="134">
        <v>5900.0</v>
      </c>
      <c r="R608" s="29">
        <f t="shared" si="11"/>
        <v>5900</v>
      </c>
      <c r="S608" s="29">
        <f t="shared" si="12"/>
        <v>944</v>
      </c>
      <c r="T608" s="29">
        <f t="shared" si="13"/>
        <v>6844</v>
      </c>
      <c r="U608" s="147" t="s">
        <v>695</v>
      </c>
    </row>
    <row r="609" ht="15.75" hidden="1" customHeight="1">
      <c r="A609" s="108">
        <v>32.0</v>
      </c>
      <c r="B609" s="108">
        <v>15.0</v>
      </c>
      <c r="C609" s="31">
        <v>1251.0</v>
      </c>
      <c r="D609" s="118">
        <v>46241.0</v>
      </c>
      <c r="E609" s="31">
        <v>1.0</v>
      </c>
      <c r="F609" s="132" t="s">
        <v>31</v>
      </c>
      <c r="G609" s="31" t="s">
        <v>708</v>
      </c>
      <c r="H609" s="31">
        <v>14.0</v>
      </c>
      <c r="I609" s="18"/>
      <c r="J609" s="31" t="s">
        <v>593</v>
      </c>
      <c r="K609" s="31" t="s">
        <v>50</v>
      </c>
      <c r="L609" s="31" t="s">
        <v>868</v>
      </c>
      <c r="M609" s="31" t="s">
        <v>869</v>
      </c>
      <c r="N609" s="31" t="s">
        <v>189</v>
      </c>
      <c r="O609" s="18"/>
      <c r="P609" s="31" t="s">
        <v>283</v>
      </c>
      <c r="Q609" s="134">
        <v>5900.0</v>
      </c>
      <c r="R609" s="29">
        <f t="shared" si="11"/>
        <v>5900</v>
      </c>
      <c r="S609" s="29">
        <f t="shared" si="12"/>
        <v>944</v>
      </c>
      <c r="T609" s="29">
        <f t="shared" si="13"/>
        <v>6844</v>
      </c>
      <c r="U609" s="147" t="s">
        <v>695</v>
      </c>
    </row>
    <row r="610" ht="15.75" hidden="1" customHeight="1">
      <c r="A610" s="108">
        <v>32.0</v>
      </c>
      <c r="B610" s="108">
        <v>1.0</v>
      </c>
      <c r="C610" s="31">
        <v>1253.0</v>
      </c>
      <c r="D610" s="118">
        <v>46242.0</v>
      </c>
      <c r="E610" s="31">
        <v>1.0</v>
      </c>
      <c r="F610" s="132" t="s">
        <v>31</v>
      </c>
      <c r="G610" s="31" t="s">
        <v>382</v>
      </c>
      <c r="H610" s="31">
        <v>14.0</v>
      </c>
      <c r="I610" s="18"/>
      <c r="J610" s="31" t="s">
        <v>200</v>
      </c>
      <c r="K610" s="31" t="s">
        <v>50</v>
      </c>
      <c r="L610" s="31" t="s">
        <v>870</v>
      </c>
      <c r="M610" s="31" t="s">
        <v>871</v>
      </c>
      <c r="N610" s="31" t="s">
        <v>189</v>
      </c>
      <c r="O610" s="18"/>
      <c r="P610" s="31" t="s">
        <v>306</v>
      </c>
      <c r="Q610" s="134">
        <v>5900.0</v>
      </c>
      <c r="R610" s="29">
        <f t="shared" si="11"/>
        <v>5900</v>
      </c>
      <c r="S610" s="29">
        <f t="shared" si="12"/>
        <v>944</v>
      </c>
      <c r="T610" s="29">
        <f t="shared" si="13"/>
        <v>6844</v>
      </c>
      <c r="U610" s="147" t="s">
        <v>695</v>
      </c>
    </row>
    <row r="611" ht="15.75" hidden="1" customHeight="1">
      <c r="A611" s="108">
        <v>32.0</v>
      </c>
      <c r="B611" s="108">
        <v>2.0</v>
      </c>
      <c r="C611" s="31">
        <v>1255.0</v>
      </c>
      <c r="D611" s="118">
        <v>46242.0</v>
      </c>
      <c r="E611" s="31">
        <v>1.0</v>
      </c>
      <c r="F611" s="132" t="s">
        <v>31</v>
      </c>
      <c r="G611" s="31" t="s">
        <v>229</v>
      </c>
      <c r="H611" s="31">
        <v>14.0</v>
      </c>
      <c r="I611" s="18"/>
      <c r="J611" s="31" t="s">
        <v>872</v>
      </c>
      <c r="K611" s="31" t="s">
        <v>50</v>
      </c>
      <c r="L611" s="31" t="s">
        <v>871</v>
      </c>
      <c r="M611" s="31" t="s">
        <v>873</v>
      </c>
      <c r="N611" s="31" t="s">
        <v>189</v>
      </c>
      <c r="O611" s="18"/>
      <c r="P611" s="31" t="s">
        <v>306</v>
      </c>
      <c r="Q611" s="134">
        <v>5900.0</v>
      </c>
      <c r="R611" s="29">
        <f t="shared" si="11"/>
        <v>5900</v>
      </c>
      <c r="S611" s="29">
        <f t="shared" si="12"/>
        <v>944</v>
      </c>
      <c r="T611" s="29">
        <f t="shared" si="13"/>
        <v>6844</v>
      </c>
      <c r="U611" s="147" t="s">
        <v>695</v>
      </c>
    </row>
    <row r="612" ht="15.75" hidden="1" customHeight="1">
      <c r="A612" s="108">
        <v>32.0</v>
      </c>
      <c r="B612" s="108">
        <v>3.0</v>
      </c>
      <c r="C612" s="31">
        <v>1254.0</v>
      </c>
      <c r="D612" s="118">
        <v>46242.0</v>
      </c>
      <c r="E612" s="31">
        <v>1.0</v>
      </c>
      <c r="F612" s="132" t="s">
        <v>31</v>
      </c>
      <c r="G612" s="31" t="s">
        <v>781</v>
      </c>
      <c r="H612" s="31">
        <v>14.0</v>
      </c>
      <c r="I612" s="18"/>
      <c r="J612" s="31" t="s">
        <v>114</v>
      </c>
      <c r="K612" s="31" t="s">
        <v>50</v>
      </c>
      <c r="L612" s="31" t="s">
        <v>873</v>
      </c>
      <c r="M612" s="31" t="s">
        <v>858</v>
      </c>
      <c r="N612" s="31" t="s">
        <v>189</v>
      </c>
      <c r="O612" s="18"/>
      <c r="P612" s="31" t="s">
        <v>306</v>
      </c>
      <c r="Q612" s="134">
        <v>5900.0</v>
      </c>
      <c r="R612" s="29">
        <f t="shared" si="11"/>
        <v>5900</v>
      </c>
      <c r="S612" s="29">
        <f t="shared" si="12"/>
        <v>944</v>
      </c>
      <c r="T612" s="29">
        <f t="shared" si="13"/>
        <v>6844</v>
      </c>
      <c r="U612" s="147" t="s">
        <v>695</v>
      </c>
    </row>
    <row r="613" ht="15.75" hidden="1" customHeight="1">
      <c r="A613" s="108">
        <v>32.0</v>
      </c>
      <c r="B613" s="108">
        <v>4.0</v>
      </c>
      <c r="C613" s="31">
        <v>1256.0</v>
      </c>
      <c r="D613" s="118">
        <v>46242.0</v>
      </c>
      <c r="E613" s="31">
        <v>1.0</v>
      </c>
      <c r="F613" s="132" t="s">
        <v>31</v>
      </c>
      <c r="G613" s="31" t="s">
        <v>251</v>
      </c>
      <c r="H613" s="31">
        <v>14.0</v>
      </c>
      <c r="I613" s="18"/>
      <c r="J613" s="31" t="s">
        <v>313</v>
      </c>
      <c r="K613" s="31" t="s">
        <v>50</v>
      </c>
      <c r="L613" s="31" t="s">
        <v>858</v>
      </c>
      <c r="M613" s="31" t="s">
        <v>860</v>
      </c>
      <c r="N613" s="31" t="s">
        <v>189</v>
      </c>
      <c r="O613" s="18"/>
      <c r="P613" s="31" t="s">
        <v>306</v>
      </c>
      <c r="Q613" s="134">
        <v>5900.0</v>
      </c>
      <c r="R613" s="29">
        <f t="shared" si="11"/>
        <v>5900</v>
      </c>
      <c r="S613" s="29">
        <f t="shared" si="12"/>
        <v>944</v>
      </c>
      <c r="T613" s="29">
        <f t="shared" si="13"/>
        <v>6844</v>
      </c>
      <c r="U613" s="147" t="s">
        <v>695</v>
      </c>
    </row>
    <row r="614" ht="15.75" hidden="1" customHeight="1">
      <c r="A614" s="108">
        <v>32.0</v>
      </c>
      <c r="B614" s="108">
        <v>5.0</v>
      </c>
      <c r="C614" s="31">
        <v>1257.0</v>
      </c>
      <c r="D614" s="118">
        <v>46242.0</v>
      </c>
      <c r="E614" s="31">
        <v>1.0</v>
      </c>
      <c r="F614" s="132" t="s">
        <v>31</v>
      </c>
      <c r="G614" s="31" t="s">
        <v>488</v>
      </c>
      <c r="H614" s="31">
        <v>14.0</v>
      </c>
      <c r="I614" s="18"/>
      <c r="J614" s="31" t="s">
        <v>195</v>
      </c>
      <c r="K614" s="31" t="s">
        <v>50</v>
      </c>
      <c r="L614" s="31" t="s">
        <v>860</v>
      </c>
      <c r="M614" s="31" t="s">
        <v>874</v>
      </c>
      <c r="N614" s="31" t="s">
        <v>189</v>
      </c>
      <c r="O614" s="18"/>
      <c r="P614" s="31" t="s">
        <v>306</v>
      </c>
      <c r="Q614" s="134">
        <v>5900.0</v>
      </c>
      <c r="R614" s="29">
        <f t="shared" si="11"/>
        <v>5900</v>
      </c>
      <c r="S614" s="29">
        <f t="shared" si="12"/>
        <v>944</v>
      </c>
      <c r="T614" s="29">
        <f t="shared" si="13"/>
        <v>6844</v>
      </c>
      <c r="U614" s="147" t="s">
        <v>695</v>
      </c>
    </row>
    <row r="615" ht="15.75" hidden="1" customHeight="1">
      <c r="A615" s="108">
        <v>32.0</v>
      </c>
      <c r="B615" s="108">
        <v>6.0</v>
      </c>
      <c r="C615" s="31">
        <v>1259.0</v>
      </c>
      <c r="D615" s="118">
        <v>46242.0</v>
      </c>
      <c r="E615" s="31">
        <v>1.0</v>
      </c>
      <c r="F615" s="132" t="s">
        <v>31</v>
      </c>
      <c r="G615" s="31" t="s">
        <v>713</v>
      </c>
      <c r="H615" s="31">
        <v>14.0</v>
      </c>
      <c r="I615" s="18"/>
      <c r="J615" s="31" t="s">
        <v>543</v>
      </c>
      <c r="K615" s="31" t="s">
        <v>50</v>
      </c>
      <c r="L615" s="31" t="s">
        <v>874</v>
      </c>
      <c r="M615" s="31" t="s">
        <v>875</v>
      </c>
      <c r="N615" s="31" t="s">
        <v>189</v>
      </c>
      <c r="O615" s="18"/>
      <c r="P615" s="31" t="s">
        <v>306</v>
      </c>
      <c r="Q615" s="134">
        <v>5900.0</v>
      </c>
      <c r="R615" s="29">
        <f t="shared" si="11"/>
        <v>5900</v>
      </c>
      <c r="S615" s="29">
        <f t="shared" si="12"/>
        <v>944</v>
      </c>
      <c r="T615" s="29">
        <f t="shared" si="13"/>
        <v>6844</v>
      </c>
      <c r="U615" s="147" t="s">
        <v>695</v>
      </c>
    </row>
    <row r="616" ht="15.75" hidden="1" customHeight="1">
      <c r="A616" s="108">
        <v>32.0</v>
      </c>
      <c r="B616" s="108">
        <v>7.0</v>
      </c>
      <c r="C616" s="31">
        <v>1260.0</v>
      </c>
      <c r="D616" s="118">
        <v>46242.0</v>
      </c>
      <c r="E616" s="31">
        <v>1.0</v>
      </c>
      <c r="F616" s="132" t="s">
        <v>31</v>
      </c>
      <c r="G616" s="31" t="s">
        <v>357</v>
      </c>
      <c r="H616" s="31">
        <v>14.0</v>
      </c>
      <c r="I616" s="18"/>
      <c r="J616" s="31" t="s">
        <v>288</v>
      </c>
      <c r="K616" s="31" t="s">
        <v>50</v>
      </c>
      <c r="L616" s="31" t="s">
        <v>875</v>
      </c>
      <c r="M616" s="31" t="s">
        <v>876</v>
      </c>
      <c r="N616" s="31" t="s">
        <v>189</v>
      </c>
      <c r="O616" s="18"/>
      <c r="P616" s="31" t="s">
        <v>306</v>
      </c>
      <c r="Q616" s="134">
        <v>5900.0</v>
      </c>
      <c r="R616" s="29">
        <f t="shared" si="11"/>
        <v>5900</v>
      </c>
      <c r="S616" s="29">
        <f t="shared" si="12"/>
        <v>944</v>
      </c>
      <c r="T616" s="29">
        <f t="shared" si="13"/>
        <v>6844</v>
      </c>
      <c r="U616" s="147" t="s">
        <v>695</v>
      </c>
    </row>
    <row r="617" ht="15.75" hidden="1" customHeight="1">
      <c r="A617" s="108">
        <v>32.0</v>
      </c>
      <c r="B617" s="108">
        <v>8.0</v>
      </c>
      <c r="C617" s="31">
        <v>1261.0</v>
      </c>
      <c r="D617" s="118">
        <v>46242.0</v>
      </c>
      <c r="E617" s="31">
        <v>1.0</v>
      </c>
      <c r="F617" s="132" t="s">
        <v>31</v>
      </c>
      <c r="G617" s="31" t="s">
        <v>416</v>
      </c>
      <c r="H617" s="31">
        <v>14.0</v>
      </c>
      <c r="I617" s="18"/>
      <c r="J617" s="31" t="s">
        <v>326</v>
      </c>
      <c r="K617" s="31" t="s">
        <v>50</v>
      </c>
      <c r="L617" s="31" t="s">
        <v>876</v>
      </c>
      <c r="M617" s="31" t="s">
        <v>877</v>
      </c>
      <c r="N617" s="31" t="s">
        <v>189</v>
      </c>
      <c r="O617" s="18"/>
      <c r="P617" s="31" t="s">
        <v>306</v>
      </c>
      <c r="Q617" s="134">
        <v>5900.0</v>
      </c>
      <c r="R617" s="29">
        <f t="shared" si="11"/>
        <v>5900</v>
      </c>
      <c r="S617" s="29">
        <f t="shared" si="12"/>
        <v>944</v>
      </c>
      <c r="T617" s="29">
        <f t="shared" si="13"/>
        <v>6844</v>
      </c>
      <c r="U617" s="147" t="s">
        <v>695</v>
      </c>
    </row>
    <row r="618" ht="15.75" hidden="1" customHeight="1">
      <c r="A618" s="108">
        <v>32.0</v>
      </c>
      <c r="B618" s="108">
        <v>9.0</v>
      </c>
      <c r="C618" s="31">
        <v>1262.0</v>
      </c>
      <c r="D618" s="118">
        <v>46242.0</v>
      </c>
      <c r="E618" s="31">
        <v>1.0</v>
      </c>
      <c r="F618" s="132" t="s">
        <v>31</v>
      </c>
      <c r="G618" s="31" t="s">
        <v>201</v>
      </c>
      <c r="H618" s="31">
        <v>14.0</v>
      </c>
      <c r="I618" s="18"/>
      <c r="J618" s="31" t="s">
        <v>150</v>
      </c>
      <c r="K618" s="31" t="s">
        <v>50</v>
      </c>
      <c r="L618" s="31" t="s">
        <v>877</v>
      </c>
      <c r="M618" s="31" t="s">
        <v>869</v>
      </c>
      <c r="N618" s="31" t="s">
        <v>189</v>
      </c>
      <c r="O618" s="18"/>
      <c r="P618" s="31" t="s">
        <v>306</v>
      </c>
      <c r="Q618" s="134">
        <v>5900.0</v>
      </c>
      <c r="R618" s="29">
        <f t="shared" si="11"/>
        <v>5900</v>
      </c>
      <c r="S618" s="29">
        <f t="shared" si="12"/>
        <v>944</v>
      </c>
      <c r="T618" s="29">
        <f t="shared" si="13"/>
        <v>6844</v>
      </c>
      <c r="U618" s="147" t="s">
        <v>695</v>
      </c>
    </row>
    <row r="619" ht="15.75" hidden="1" customHeight="1">
      <c r="A619" s="108">
        <v>32.0</v>
      </c>
      <c r="B619" s="108">
        <v>10.0</v>
      </c>
      <c r="C619" s="31">
        <v>1258.0</v>
      </c>
      <c r="D619" s="118">
        <v>46242.0</v>
      </c>
      <c r="E619" s="31">
        <v>1.0</v>
      </c>
      <c r="F619" s="132" t="s">
        <v>31</v>
      </c>
      <c r="G619" s="31" t="s">
        <v>427</v>
      </c>
      <c r="H619" s="31">
        <v>14.0</v>
      </c>
      <c r="I619" s="18"/>
      <c r="J619" s="31" t="s">
        <v>344</v>
      </c>
      <c r="K619" s="31" t="s">
        <v>50</v>
      </c>
      <c r="L619" s="31" t="s">
        <v>869</v>
      </c>
      <c r="M619" s="31" t="s">
        <v>878</v>
      </c>
      <c r="N619" s="31" t="s">
        <v>189</v>
      </c>
      <c r="O619" s="18"/>
      <c r="P619" s="31" t="s">
        <v>306</v>
      </c>
      <c r="Q619" s="134">
        <v>5900.0</v>
      </c>
      <c r="R619" s="29">
        <f t="shared" si="11"/>
        <v>5900</v>
      </c>
      <c r="S619" s="29">
        <f t="shared" si="12"/>
        <v>944</v>
      </c>
      <c r="T619" s="29">
        <f t="shared" si="13"/>
        <v>6844</v>
      </c>
      <c r="U619" s="147" t="s">
        <v>695</v>
      </c>
    </row>
    <row r="620" ht="15.75" hidden="1" customHeight="1">
      <c r="A620" s="108">
        <v>32.0</v>
      </c>
      <c r="B620" s="108">
        <v>11.0</v>
      </c>
      <c r="C620" s="31">
        <v>1263.0</v>
      </c>
      <c r="D620" s="118">
        <v>46242.0</v>
      </c>
      <c r="E620" s="31">
        <v>1.0</v>
      </c>
      <c r="F620" s="132" t="s">
        <v>31</v>
      </c>
      <c r="G620" s="31" t="s">
        <v>368</v>
      </c>
      <c r="H620" s="31">
        <v>14.0</v>
      </c>
      <c r="I620" s="18"/>
      <c r="J620" s="31" t="s">
        <v>114</v>
      </c>
      <c r="K620" s="31" t="s">
        <v>50</v>
      </c>
      <c r="L620" s="31" t="s">
        <v>878</v>
      </c>
      <c r="M620" s="31" t="s">
        <v>879</v>
      </c>
      <c r="N620" s="31" t="s">
        <v>189</v>
      </c>
      <c r="O620" s="18"/>
      <c r="P620" s="31" t="s">
        <v>306</v>
      </c>
      <c r="Q620" s="134">
        <v>5900.0</v>
      </c>
      <c r="R620" s="29">
        <f t="shared" si="11"/>
        <v>5900</v>
      </c>
      <c r="S620" s="29">
        <f t="shared" si="12"/>
        <v>944</v>
      </c>
      <c r="T620" s="29">
        <f t="shared" si="13"/>
        <v>6844</v>
      </c>
      <c r="U620" s="147" t="s">
        <v>695</v>
      </c>
    </row>
    <row r="621" ht="15.75" hidden="1" customHeight="1">
      <c r="A621" s="108">
        <v>32.0</v>
      </c>
      <c r="B621" s="108">
        <v>12.0</v>
      </c>
      <c r="C621" s="31">
        <v>1265.0</v>
      </c>
      <c r="D621" s="118">
        <v>46242.0</v>
      </c>
      <c r="E621" s="31">
        <v>1.0</v>
      </c>
      <c r="F621" s="132" t="s">
        <v>31</v>
      </c>
      <c r="G621" s="31" t="s">
        <v>308</v>
      </c>
      <c r="H621" s="31">
        <v>14.0</v>
      </c>
      <c r="I621" s="18"/>
      <c r="J621" s="31" t="s">
        <v>309</v>
      </c>
      <c r="K621" s="31" t="s">
        <v>50</v>
      </c>
      <c r="L621" s="31" t="s">
        <v>879</v>
      </c>
      <c r="M621" s="31" t="s">
        <v>880</v>
      </c>
      <c r="N621" s="31" t="s">
        <v>189</v>
      </c>
      <c r="O621" s="18"/>
      <c r="P621" s="31" t="s">
        <v>306</v>
      </c>
      <c r="Q621" s="134">
        <v>5900.0</v>
      </c>
      <c r="R621" s="29">
        <f t="shared" si="11"/>
        <v>5900</v>
      </c>
      <c r="S621" s="29">
        <f t="shared" si="12"/>
        <v>944</v>
      </c>
      <c r="T621" s="29">
        <f t="shared" si="13"/>
        <v>6844</v>
      </c>
      <c r="U621" s="147" t="s">
        <v>695</v>
      </c>
    </row>
    <row r="622" ht="15.75" hidden="1" customHeight="1">
      <c r="A622" s="108">
        <v>32.0</v>
      </c>
      <c r="B622" s="108">
        <v>13.0</v>
      </c>
      <c r="C622" s="31">
        <v>1264.0</v>
      </c>
      <c r="D622" s="118">
        <v>46242.0</v>
      </c>
      <c r="E622" s="31">
        <v>1.0</v>
      </c>
      <c r="F622" s="132" t="s">
        <v>31</v>
      </c>
      <c r="G622" s="31" t="s">
        <v>371</v>
      </c>
      <c r="H622" s="31">
        <v>14.0</v>
      </c>
      <c r="I622" s="18"/>
      <c r="J622" s="31" t="s">
        <v>849</v>
      </c>
      <c r="K622" s="31" t="s">
        <v>50</v>
      </c>
      <c r="L622" s="31" t="s">
        <v>880</v>
      </c>
      <c r="M622" s="31" t="s">
        <v>881</v>
      </c>
      <c r="N622" s="31" t="s">
        <v>189</v>
      </c>
      <c r="O622" s="18"/>
      <c r="P622" s="31" t="s">
        <v>306</v>
      </c>
      <c r="Q622" s="134">
        <v>5900.0</v>
      </c>
      <c r="R622" s="29">
        <f t="shared" si="11"/>
        <v>5900</v>
      </c>
      <c r="S622" s="29">
        <f t="shared" si="12"/>
        <v>944</v>
      </c>
      <c r="T622" s="29">
        <f t="shared" si="13"/>
        <v>6844</v>
      </c>
      <c r="U622" s="147" t="s">
        <v>695</v>
      </c>
    </row>
    <row r="623" ht="15.75" hidden="1" customHeight="1">
      <c r="A623" s="108">
        <v>32.0</v>
      </c>
      <c r="B623" s="108">
        <v>14.0</v>
      </c>
      <c r="C623" s="31">
        <v>1266.0</v>
      </c>
      <c r="D623" s="118">
        <v>46242.0</v>
      </c>
      <c r="E623" s="31">
        <v>1.0</v>
      </c>
      <c r="F623" s="132" t="s">
        <v>31</v>
      </c>
      <c r="G623" s="31" t="s">
        <v>555</v>
      </c>
      <c r="H623" s="31">
        <v>14.0</v>
      </c>
      <c r="I623" s="18"/>
      <c r="J623" s="31" t="s">
        <v>242</v>
      </c>
      <c r="K623" s="31" t="s">
        <v>50</v>
      </c>
      <c r="L623" s="31" t="s">
        <v>881</v>
      </c>
      <c r="M623" s="31" t="s">
        <v>882</v>
      </c>
      <c r="N623" s="31" t="s">
        <v>189</v>
      </c>
      <c r="O623" s="18"/>
      <c r="P623" s="31" t="s">
        <v>306</v>
      </c>
      <c r="Q623" s="134">
        <v>5900.0</v>
      </c>
      <c r="R623" s="29">
        <f t="shared" si="11"/>
        <v>5900</v>
      </c>
      <c r="S623" s="29">
        <f t="shared" si="12"/>
        <v>944</v>
      </c>
      <c r="T623" s="29">
        <f t="shared" si="13"/>
        <v>6844</v>
      </c>
      <c r="U623" s="147" t="s">
        <v>695</v>
      </c>
    </row>
    <row r="624" ht="15.75" hidden="1" customHeight="1">
      <c r="A624" s="108">
        <v>32.0</v>
      </c>
      <c r="B624" s="108">
        <v>15.0</v>
      </c>
      <c r="C624" s="31">
        <v>1267.0</v>
      </c>
      <c r="D624" s="118">
        <v>46242.0</v>
      </c>
      <c r="E624" s="31">
        <v>1.0</v>
      </c>
      <c r="F624" s="132" t="s">
        <v>31</v>
      </c>
      <c r="G624" s="31" t="s">
        <v>213</v>
      </c>
      <c r="H624" s="31">
        <v>14.0</v>
      </c>
      <c r="I624" s="18"/>
      <c r="J624" s="31" t="s">
        <v>883</v>
      </c>
      <c r="K624" s="31" t="s">
        <v>50</v>
      </c>
      <c r="L624" s="31" t="s">
        <v>882</v>
      </c>
      <c r="M624" s="31" t="s">
        <v>884</v>
      </c>
      <c r="N624" s="31" t="s">
        <v>189</v>
      </c>
      <c r="O624" s="18"/>
      <c r="P624" s="31" t="s">
        <v>306</v>
      </c>
      <c r="Q624" s="134">
        <v>5900.0</v>
      </c>
      <c r="R624" s="29">
        <f t="shared" si="11"/>
        <v>5900</v>
      </c>
      <c r="S624" s="29">
        <f t="shared" si="12"/>
        <v>944</v>
      </c>
      <c r="T624" s="29">
        <f t="shared" si="13"/>
        <v>6844</v>
      </c>
      <c r="U624" s="147" t="s">
        <v>695</v>
      </c>
    </row>
    <row r="625" ht="15.75" customHeight="1">
      <c r="A625" s="120"/>
      <c r="B625" s="120"/>
      <c r="Q625" s="117"/>
      <c r="R625" s="29"/>
      <c r="S625" s="29"/>
      <c r="T625" s="29"/>
    </row>
    <row r="626" ht="15.75" customHeight="1">
      <c r="A626" s="120"/>
      <c r="B626" s="120"/>
      <c r="Q626" s="117"/>
      <c r="R626" s="29"/>
      <c r="S626" s="29"/>
      <c r="T626" s="29"/>
    </row>
    <row r="627" ht="15.75" customHeight="1">
      <c r="A627" s="120"/>
      <c r="B627" s="120"/>
      <c r="Q627" s="117"/>
      <c r="R627" s="29"/>
      <c r="S627" s="29"/>
      <c r="T627" s="29"/>
    </row>
    <row r="628" ht="15.75" customHeight="1">
      <c r="A628" s="120"/>
      <c r="B628" s="120"/>
      <c r="Q628" s="117"/>
      <c r="R628" s="29"/>
      <c r="S628" s="29"/>
      <c r="T628" s="29"/>
    </row>
    <row r="629" ht="15.75" customHeight="1">
      <c r="A629" s="120"/>
      <c r="B629" s="120"/>
      <c r="Q629" s="117"/>
      <c r="R629" s="29"/>
      <c r="S629" s="29"/>
      <c r="T629" s="29"/>
    </row>
    <row r="630" ht="15.75" customHeight="1">
      <c r="A630" s="120"/>
      <c r="B630" s="120"/>
      <c r="Q630" s="117"/>
      <c r="R630" s="29"/>
      <c r="S630" s="29"/>
      <c r="T630" s="29"/>
    </row>
    <row r="631" ht="15.75" customHeight="1">
      <c r="A631" s="120"/>
      <c r="B631" s="120"/>
      <c r="Q631" s="117"/>
      <c r="R631" s="29"/>
      <c r="S631" s="29"/>
      <c r="T631" s="29"/>
    </row>
    <row r="632" ht="15.75" customHeight="1">
      <c r="A632" s="120"/>
      <c r="B632" s="120"/>
      <c r="Q632" s="117"/>
      <c r="R632" s="29"/>
      <c r="S632" s="29"/>
      <c r="T632" s="29"/>
    </row>
    <row r="633" ht="15.75" customHeight="1">
      <c r="A633" s="120"/>
      <c r="B633" s="120"/>
      <c r="Q633" s="117"/>
      <c r="R633" s="29"/>
      <c r="S633" s="29"/>
      <c r="T633" s="29"/>
    </row>
    <row r="634" ht="15.75" customHeight="1">
      <c r="A634" s="120"/>
      <c r="B634" s="120"/>
      <c r="Q634" s="117"/>
      <c r="R634" s="29"/>
      <c r="S634" s="29"/>
      <c r="T634" s="29"/>
    </row>
    <row r="635" ht="15.75" customHeight="1">
      <c r="A635" s="120"/>
      <c r="B635" s="120"/>
      <c r="Q635" s="117"/>
      <c r="R635" s="29"/>
      <c r="S635" s="29"/>
      <c r="T635" s="29"/>
    </row>
    <row r="636" ht="15.75" customHeight="1">
      <c r="A636" s="120"/>
      <c r="B636" s="120"/>
      <c r="Q636" s="117"/>
      <c r="R636" s="29"/>
      <c r="S636" s="29"/>
      <c r="T636" s="29"/>
    </row>
    <row r="637" ht="15.75" customHeight="1">
      <c r="A637" s="120"/>
      <c r="B637" s="120"/>
      <c r="Q637" s="117"/>
      <c r="R637" s="29"/>
      <c r="S637" s="29"/>
      <c r="T637" s="29"/>
    </row>
    <row r="638" ht="15.75" customHeight="1">
      <c r="A638" s="120"/>
      <c r="B638" s="120"/>
      <c r="Q638" s="117"/>
      <c r="R638" s="29"/>
      <c r="S638" s="29"/>
      <c r="T638" s="29"/>
    </row>
    <row r="639" ht="15.75" customHeight="1">
      <c r="A639" s="120"/>
      <c r="B639" s="120"/>
      <c r="Q639" s="117"/>
      <c r="R639" s="29"/>
      <c r="S639" s="29"/>
      <c r="T639" s="29"/>
    </row>
    <row r="640" ht="15.75" customHeight="1">
      <c r="A640" s="120"/>
      <c r="B640" s="120"/>
      <c r="Q640" s="117"/>
      <c r="R640" s="29"/>
      <c r="S640" s="29"/>
      <c r="T640" s="29"/>
    </row>
    <row r="641" ht="15.75" customHeight="1">
      <c r="A641" s="120"/>
      <c r="B641" s="120"/>
      <c r="Q641" s="117"/>
      <c r="R641" s="29"/>
      <c r="S641" s="29"/>
      <c r="T641" s="29"/>
    </row>
    <row r="642" ht="15.75" customHeight="1">
      <c r="A642" s="120"/>
      <c r="B642" s="120"/>
      <c r="Q642" s="117"/>
      <c r="R642" s="29"/>
      <c r="S642" s="29"/>
      <c r="T642" s="29"/>
    </row>
    <row r="643" ht="15.75" customHeight="1">
      <c r="A643" s="120"/>
      <c r="B643" s="120"/>
      <c r="Q643" s="117"/>
      <c r="R643" s="29"/>
      <c r="S643" s="29"/>
      <c r="T643" s="29"/>
    </row>
    <row r="644" ht="15.75" customHeight="1">
      <c r="A644" s="120"/>
      <c r="B644" s="120"/>
      <c r="Q644" s="117"/>
      <c r="R644" s="29"/>
      <c r="S644" s="29"/>
      <c r="T644" s="29"/>
    </row>
    <row r="645" ht="15.75" customHeight="1">
      <c r="A645" s="120"/>
      <c r="B645" s="120"/>
      <c r="Q645" s="117"/>
      <c r="R645" s="29"/>
      <c r="S645" s="29"/>
      <c r="T645" s="29"/>
    </row>
    <row r="646" ht="15.75" customHeight="1">
      <c r="A646" s="120"/>
      <c r="B646" s="120"/>
      <c r="Q646" s="117"/>
      <c r="R646" s="29"/>
      <c r="S646" s="29"/>
      <c r="T646" s="29"/>
    </row>
    <row r="647" ht="15.75" customHeight="1">
      <c r="A647" s="120"/>
      <c r="B647" s="120"/>
      <c r="Q647" s="117"/>
      <c r="R647" s="29"/>
      <c r="S647" s="29"/>
      <c r="T647" s="29"/>
    </row>
    <row r="648" ht="15.75" customHeight="1">
      <c r="A648" s="120"/>
      <c r="B648" s="120"/>
      <c r="Q648" s="117"/>
      <c r="R648" s="29"/>
      <c r="S648" s="29"/>
      <c r="T648" s="29"/>
    </row>
    <row r="649" ht="15.75" customHeight="1">
      <c r="A649" s="120"/>
      <c r="B649" s="120"/>
      <c r="Q649" s="117"/>
      <c r="R649" s="29"/>
      <c r="S649" s="29"/>
      <c r="T649" s="29"/>
    </row>
    <row r="650" ht="15.75" customHeight="1">
      <c r="A650" s="120"/>
      <c r="B650" s="120"/>
      <c r="Q650" s="117"/>
      <c r="R650" s="29"/>
      <c r="S650" s="29"/>
      <c r="T650" s="29"/>
    </row>
    <row r="651" ht="15.75" customHeight="1">
      <c r="A651" s="120"/>
      <c r="B651" s="120"/>
      <c r="Q651" s="117"/>
      <c r="R651" s="29"/>
      <c r="S651" s="29"/>
      <c r="T651" s="29"/>
    </row>
    <row r="652" ht="15.75" customHeight="1">
      <c r="A652" s="120"/>
      <c r="B652" s="120"/>
      <c r="Q652" s="117"/>
      <c r="R652" s="29"/>
      <c r="S652" s="29"/>
      <c r="T652" s="29"/>
    </row>
    <row r="653" ht="15.75" customHeight="1">
      <c r="A653" s="120"/>
      <c r="B653" s="120"/>
      <c r="Q653" s="117"/>
      <c r="R653" s="29"/>
      <c r="S653" s="29"/>
      <c r="T653" s="29"/>
    </row>
    <row r="654" ht="15.75" customHeight="1">
      <c r="A654" s="120"/>
      <c r="B654" s="120"/>
      <c r="Q654" s="117"/>
      <c r="R654" s="29"/>
      <c r="S654" s="29"/>
      <c r="T654" s="29"/>
    </row>
    <row r="655" ht="15.75" customHeight="1">
      <c r="A655" s="120"/>
      <c r="B655" s="120"/>
      <c r="Q655" s="117"/>
      <c r="R655" s="29"/>
      <c r="S655" s="29"/>
      <c r="T655" s="29"/>
    </row>
    <row r="656" ht="15.75" customHeight="1">
      <c r="A656" s="120"/>
      <c r="B656" s="120"/>
      <c r="Q656" s="117"/>
      <c r="R656" s="29"/>
      <c r="S656" s="29"/>
      <c r="T656" s="29"/>
    </row>
    <row r="657" ht="15.75" customHeight="1">
      <c r="A657" s="120"/>
      <c r="B657" s="120"/>
      <c r="Q657" s="117"/>
      <c r="R657" s="29"/>
      <c r="S657" s="29"/>
      <c r="T657" s="29"/>
    </row>
    <row r="658" ht="15.75" customHeight="1">
      <c r="A658" s="120"/>
      <c r="B658" s="120"/>
      <c r="Q658" s="117"/>
      <c r="R658" s="29"/>
      <c r="S658" s="29"/>
      <c r="T658" s="29"/>
    </row>
    <row r="659" ht="15.75" customHeight="1">
      <c r="A659" s="120"/>
      <c r="B659" s="120"/>
      <c r="Q659" s="117"/>
      <c r="R659" s="29"/>
      <c r="S659" s="29"/>
      <c r="T659" s="29"/>
    </row>
    <row r="660" ht="15.75" customHeight="1">
      <c r="A660" s="120"/>
      <c r="B660" s="120"/>
      <c r="Q660" s="117"/>
      <c r="R660" s="29"/>
      <c r="S660" s="29"/>
      <c r="T660" s="29"/>
    </row>
    <row r="661" ht="15.75" customHeight="1">
      <c r="A661" s="120"/>
      <c r="B661" s="120"/>
      <c r="Q661" s="117"/>
      <c r="R661" s="29"/>
      <c r="S661" s="29"/>
      <c r="T661" s="29"/>
    </row>
    <row r="662" ht="15.75" customHeight="1">
      <c r="A662" s="120"/>
      <c r="B662" s="120"/>
      <c r="Q662" s="117"/>
      <c r="R662" s="29"/>
      <c r="S662" s="29"/>
      <c r="T662" s="29"/>
    </row>
    <row r="663" ht="15.75" customHeight="1">
      <c r="A663" s="120"/>
      <c r="B663" s="120"/>
      <c r="Q663" s="117"/>
      <c r="R663" s="29"/>
      <c r="S663" s="29"/>
      <c r="T663" s="29"/>
    </row>
    <row r="664" ht="15.75" customHeight="1">
      <c r="A664" s="120"/>
      <c r="B664" s="120"/>
      <c r="Q664" s="117"/>
      <c r="R664" s="29"/>
      <c r="S664" s="29"/>
      <c r="T664" s="29"/>
    </row>
    <row r="665" ht="15.75" customHeight="1">
      <c r="A665" s="120"/>
      <c r="B665" s="120"/>
      <c r="Q665" s="117"/>
      <c r="R665" s="29"/>
      <c r="S665" s="29"/>
      <c r="T665" s="29"/>
    </row>
    <row r="666" ht="15.75" customHeight="1">
      <c r="A666" s="120"/>
      <c r="B666" s="120"/>
      <c r="Q666" s="117"/>
      <c r="R666" s="29"/>
      <c r="S666" s="29"/>
      <c r="T666" s="29"/>
    </row>
    <row r="667" ht="15.75" customHeight="1">
      <c r="A667" s="120"/>
      <c r="B667" s="120"/>
      <c r="Q667" s="117"/>
      <c r="R667" s="29"/>
      <c r="S667" s="29"/>
      <c r="T667" s="29"/>
    </row>
    <row r="668" ht="15.75" customHeight="1">
      <c r="A668" s="120"/>
      <c r="B668" s="120"/>
      <c r="Q668" s="117"/>
      <c r="R668" s="29"/>
      <c r="S668" s="29"/>
      <c r="T668" s="29"/>
    </row>
    <row r="669" ht="15.75" customHeight="1">
      <c r="A669" s="120"/>
      <c r="B669" s="120"/>
      <c r="Q669" s="117"/>
      <c r="R669" s="29"/>
      <c r="S669" s="29"/>
      <c r="T669" s="29"/>
    </row>
    <row r="670" ht="15.75" customHeight="1">
      <c r="A670" s="120"/>
      <c r="B670" s="120"/>
      <c r="Q670" s="117"/>
      <c r="R670" s="29"/>
      <c r="S670" s="29"/>
      <c r="T670" s="29"/>
    </row>
    <row r="671" ht="15.75" customHeight="1">
      <c r="A671" s="120"/>
      <c r="B671" s="120"/>
      <c r="Q671" s="117"/>
      <c r="R671" s="29"/>
      <c r="S671" s="29"/>
      <c r="T671" s="29"/>
    </row>
    <row r="672" ht="15.75" customHeight="1">
      <c r="A672" s="120"/>
      <c r="B672" s="120"/>
      <c r="Q672" s="117"/>
      <c r="R672" s="29"/>
      <c r="S672" s="29"/>
      <c r="T672" s="29"/>
    </row>
    <row r="673" ht="15.75" customHeight="1">
      <c r="A673" s="120"/>
      <c r="B673" s="120"/>
      <c r="Q673" s="117"/>
      <c r="R673" s="29"/>
      <c r="S673" s="29"/>
      <c r="T673" s="29"/>
    </row>
    <row r="674" ht="15.75" customHeight="1">
      <c r="A674" s="120"/>
      <c r="B674" s="120"/>
      <c r="Q674" s="117"/>
      <c r="R674" s="29"/>
      <c r="S674" s="29"/>
      <c r="T674" s="29"/>
    </row>
    <row r="675" ht="15.75" customHeight="1">
      <c r="A675" s="120"/>
      <c r="B675" s="120"/>
      <c r="Q675" s="117"/>
      <c r="R675" s="29"/>
      <c r="S675" s="29"/>
      <c r="T675" s="29"/>
    </row>
    <row r="676" ht="15.75" customHeight="1">
      <c r="A676" s="120"/>
      <c r="B676" s="120"/>
      <c r="Q676" s="117"/>
      <c r="R676" s="29"/>
      <c r="S676" s="29"/>
      <c r="T676" s="29"/>
    </row>
    <row r="677" ht="15.75" customHeight="1">
      <c r="A677" s="120"/>
      <c r="B677" s="120"/>
      <c r="Q677" s="117"/>
      <c r="R677" s="29"/>
      <c r="S677" s="29"/>
      <c r="T677" s="29"/>
    </row>
    <row r="678" ht="15.75" customHeight="1">
      <c r="A678" s="120"/>
      <c r="B678" s="120"/>
      <c r="Q678" s="117"/>
      <c r="R678" s="29"/>
      <c r="S678" s="29"/>
      <c r="T678" s="29"/>
    </row>
    <row r="679" ht="15.75" customHeight="1">
      <c r="A679" s="120"/>
      <c r="B679" s="120"/>
      <c r="Q679" s="117"/>
      <c r="R679" s="29"/>
      <c r="S679" s="29"/>
      <c r="T679" s="29"/>
    </row>
    <row r="680" ht="15.75" customHeight="1">
      <c r="A680" s="120"/>
      <c r="B680" s="120"/>
      <c r="Q680" s="117"/>
      <c r="R680" s="29"/>
      <c r="S680" s="29"/>
      <c r="T680" s="29"/>
    </row>
    <row r="681" ht="15.75" customHeight="1">
      <c r="A681" s="120"/>
      <c r="B681" s="120"/>
      <c r="Q681" s="117"/>
      <c r="R681" s="29"/>
      <c r="S681" s="29"/>
      <c r="T681" s="29"/>
    </row>
    <row r="682" ht="15.75" customHeight="1">
      <c r="A682" s="120"/>
      <c r="B682" s="120"/>
      <c r="Q682" s="117"/>
      <c r="R682" s="29"/>
      <c r="S682" s="29"/>
      <c r="T682" s="29"/>
    </row>
    <row r="683" ht="15.75" customHeight="1">
      <c r="A683" s="120"/>
      <c r="B683" s="120"/>
      <c r="Q683" s="117"/>
      <c r="R683" s="29"/>
      <c r="S683" s="29"/>
      <c r="T683" s="29"/>
    </row>
    <row r="684" ht="15.75" customHeight="1">
      <c r="A684" s="120"/>
      <c r="B684" s="120"/>
      <c r="Q684" s="117"/>
      <c r="R684" s="29"/>
      <c r="S684" s="29"/>
      <c r="T684" s="29"/>
    </row>
    <row r="685" ht="15.75" customHeight="1">
      <c r="A685" s="120"/>
      <c r="B685" s="120"/>
      <c r="Q685" s="117"/>
      <c r="R685" s="29"/>
      <c r="S685" s="29"/>
      <c r="T685" s="29"/>
    </row>
    <row r="686" ht="15.75" customHeight="1">
      <c r="A686" s="120"/>
      <c r="B686" s="120"/>
      <c r="Q686" s="117"/>
      <c r="R686" s="29"/>
      <c r="S686" s="29"/>
      <c r="T686" s="29"/>
    </row>
    <row r="687" ht="15.75" customHeight="1">
      <c r="A687" s="120"/>
      <c r="B687" s="120"/>
      <c r="Q687" s="117"/>
      <c r="R687" s="29"/>
      <c r="S687" s="29"/>
      <c r="T687" s="29"/>
    </row>
    <row r="688" ht="15.75" customHeight="1">
      <c r="A688" s="120"/>
      <c r="B688" s="120"/>
      <c r="Q688" s="117"/>
      <c r="R688" s="29"/>
      <c r="S688" s="29"/>
      <c r="T688" s="29"/>
    </row>
    <row r="689" ht="15.75" customHeight="1">
      <c r="A689" s="120"/>
      <c r="B689" s="120"/>
      <c r="Q689" s="117"/>
      <c r="R689" s="29"/>
      <c r="S689" s="29"/>
      <c r="T689" s="29"/>
    </row>
    <row r="690" ht="15.75" customHeight="1">
      <c r="A690" s="120"/>
      <c r="B690" s="120"/>
      <c r="Q690" s="117"/>
      <c r="R690" s="29"/>
      <c r="S690" s="29"/>
      <c r="T690" s="29"/>
    </row>
    <row r="691" ht="15.75" customHeight="1">
      <c r="A691" s="120"/>
      <c r="B691" s="120"/>
      <c r="Q691" s="117"/>
      <c r="R691" s="29"/>
      <c r="S691" s="29"/>
      <c r="T691" s="29"/>
    </row>
    <row r="692" ht="15.75" customHeight="1">
      <c r="A692" s="120"/>
      <c r="B692" s="120"/>
      <c r="Q692" s="117"/>
      <c r="R692" s="29"/>
      <c r="S692" s="29"/>
      <c r="T692" s="29"/>
    </row>
    <row r="693" ht="15.75" customHeight="1">
      <c r="A693" s="120"/>
      <c r="B693" s="120"/>
      <c r="Q693" s="117"/>
      <c r="R693" s="29"/>
      <c r="S693" s="29"/>
      <c r="T693" s="29"/>
    </row>
    <row r="694" ht="15.75" customHeight="1">
      <c r="A694" s="120"/>
      <c r="B694" s="120"/>
      <c r="Q694" s="117"/>
      <c r="R694" s="29"/>
      <c r="S694" s="29"/>
      <c r="T694" s="29"/>
    </row>
    <row r="695" ht="15.75" customHeight="1">
      <c r="A695" s="120"/>
      <c r="B695" s="120"/>
      <c r="Q695" s="117"/>
      <c r="R695" s="29"/>
      <c r="S695" s="29"/>
      <c r="T695" s="29"/>
    </row>
    <row r="696" ht="15.75" customHeight="1">
      <c r="A696" s="120"/>
      <c r="B696" s="120"/>
      <c r="Q696" s="117"/>
      <c r="R696" s="29"/>
      <c r="S696" s="29"/>
      <c r="T696" s="29"/>
    </row>
    <row r="697" ht="15.75" customHeight="1">
      <c r="A697" s="120"/>
      <c r="B697" s="120"/>
      <c r="Q697" s="117"/>
      <c r="R697" s="29"/>
      <c r="S697" s="29"/>
      <c r="T697" s="29"/>
    </row>
    <row r="698" ht="15.75" customHeight="1">
      <c r="A698" s="120"/>
      <c r="B698" s="120"/>
      <c r="Q698" s="117"/>
      <c r="R698" s="29"/>
      <c r="S698" s="29"/>
      <c r="T698" s="29"/>
    </row>
    <row r="699" ht="15.75" customHeight="1">
      <c r="A699" s="120"/>
      <c r="B699" s="120"/>
      <c r="Q699" s="117"/>
      <c r="R699" s="29"/>
      <c r="S699" s="29"/>
      <c r="T699" s="29"/>
    </row>
    <row r="700" ht="15.75" customHeight="1">
      <c r="A700" s="120"/>
      <c r="B700" s="120"/>
      <c r="Q700" s="117"/>
      <c r="R700" s="29"/>
      <c r="S700" s="29"/>
      <c r="T700" s="29"/>
    </row>
    <row r="701" ht="15.75" customHeight="1">
      <c r="A701" s="120"/>
      <c r="B701" s="120"/>
      <c r="Q701" s="117"/>
      <c r="R701" s="29"/>
      <c r="S701" s="29"/>
      <c r="T701" s="29"/>
    </row>
    <row r="702" ht="15.75" customHeight="1">
      <c r="A702" s="120"/>
      <c r="B702" s="120"/>
      <c r="Q702" s="117"/>
      <c r="R702" s="29"/>
      <c r="S702" s="29"/>
      <c r="T702" s="29"/>
    </row>
    <row r="703" ht="15.75" customHeight="1">
      <c r="A703" s="120"/>
      <c r="B703" s="120"/>
      <c r="Q703" s="117"/>
      <c r="R703" s="29"/>
      <c r="S703" s="29"/>
      <c r="T703" s="29"/>
    </row>
    <row r="704" ht="15.75" customHeight="1">
      <c r="A704" s="120"/>
      <c r="B704" s="120"/>
      <c r="Q704" s="117"/>
      <c r="R704" s="29"/>
      <c r="S704" s="29"/>
      <c r="T704" s="29"/>
    </row>
    <row r="705" ht="15.75" customHeight="1">
      <c r="A705" s="120"/>
      <c r="B705" s="120"/>
      <c r="Q705" s="117"/>
      <c r="R705" s="29"/>
      <c r="S705" s="29"/>
      <c r="T705" s="29"/>
    </row>
    <row r="706" ht="15.75" customHeight="1">
      <c r="A706" s="120"/>
      <c r="B706" s="120"/>
      <c r="Q706" s="117"/>
      <c r="R706" s="29"/>
      <c r="S706" s="29"/>
      <c r="T706" s="29"/>
    </row>
    <row r="707" ht="15.75" customHeight="1">
      <c r="A707" s="120"/>
      <c r="B707" s="120"/>
      <c r="Q707" s="117"/>
      <c r="R707" s="29"/>
      <c r="S707" s="29"/>
      <c r="T707" s="29"/>
    </row>
    <row r="708" ht="15.75" customHeight="1">
      <c r="A708" s="120"/>
      <c r="B708" s="120"/>
      <c r="Q708" s="117"/>
      <c r="R708" s="29"/>
      <c r="S708" s="29"/>
      <c r="T708" s="29"/>
    </row>
    <row r="709" ht="15.75" customHeight="1">
      <c r="A709" s="120"/>
      <c r="B709" s="120"/>
      <c r="Q709" s="117"/>
      <c r="R709" s="29"/>
      <c r="S709" s="29"/>
      <c r="T709" s="29"/>
    </row>
    <row r="710" ht="15.75" customHeight="1">
      <c r="A710" s="120"/>
      <c r="B710" s="120"/>
      <c r="Q710" s="117"/>
      <c r="R710" s="29"/>
      <c r="S710" s="29"/>
      <c r="T710" s="29"/>
    </row>
    <row r="711" ht="15.75" customHeight="1">
      <c r="A711" s="120"/>
      <c r="B711" s="120"/>
      <c r="Q711" s="117"/>
      <c r="R711" s="29"/>
      <c r="S711" s="29"/>
      <c r="T711" s="29"/>
    </row>
    <row r="712" ht="15.75" customHeight="1">
      <c r="A712" s="120"/>
      <c r="B712" s="120"/>
      <c r="Q712" s="117"/>
      <c r="R712" s="29"/>
      <c r="S712" s="29"/>
      <c r="T712" s="29"/>
    </row>
    <row r="713" ht="15.75" customHeight="1">
      <c r="A713" s="120"/>
      <c r="B713" s="120"/>
      <c r="Q713" s="117"/>
      <c r="R713" s="29"/>
      <c r="S713" s="29"/>
      <c r="T713" s="29"/>
    </row>
    <row r="714" ht="15.75" customHeight="1">
      <c r="A714" s="120"/>
      <c r="B714" s="120"/>
      <c r="Q714" s="117"/>
      <c r="R714" s="29"/>
      <c r="S714" s="29"/>
      <c r="T714" s="29"/>
    </row>
    <row r="715" ht="15.75" customHeight="1">
      <c r="A715" s="120"/>
      <c r="B715" s="120"/>
      <c r="Q715" s="117"/>
      <c r="R715" s="29"/>
      <c r="S715" s="29"/>
      <c r="T715" s="29"/>
    </row>
    <row r="716" ht="15.75" customHeight="1">
      <c r="A716" s="120"/>
      <c r="B716" s="120"/>
      <c r="Q716" s="117"/>
      <c r="R716" s="29"/>
      <c r="S716" s="29"/>
      <c r="T716" s="29"/>
    </row>
    <row r="717" ht="15.75" customHeight="1">
      <c r="A717" s="120"/>
      <c r="B717" s="120"/>
      <c r="Q717" s="117"/>
      <c r="R717" s="29"/>
      <c r="S717" s="29"/>
      <c r="T717" s="29"/>
    </row>
    <row r="718" ht="15.75" customHeight="1">
      <c r="A718" s="120"/>
      <c r="B718" s="120"/>
      <c r="Q718" s="117"/>
      <c r="R718" s="29"/>
      <c r="S718" s="29"/>
      <c r="T718" s="29"/>
    </row>
    <row r="719" ht="15.75" customHeight="1">
      <c r="A719" s="120"/>
      <c r="B719" s="120"/>
      <c r="Q719" s="117"/>
      <c r="R719" s="29"/>
      <c r="S719" s="29"/>
      <c r="T719" s="29"/>
    </row>
    <row r="720" ht="15.75" customHeight="1">
      <c r="A720" s="120"/>
      <c r="B720" s="120"/>
      <c r="Q720" s="117"/>
      <c r="R720" s="29"/>
      <c r="S720" s="29"/>
      <c r="T720" s="29"/>
    </row>
    <row r="721" ht="15.75" customHeight="1">
      <c r="A721" s="120"/>
      <c r="B721" s="120"/>
      <c r="Q721" s="117"/>
      <c r="R721" s="29"/>
      <c r="S721" s="29"/>
      <c r="T721" s="29"/>
    </row>
    <row r="722" ht="15.75" customHeight="1">
      <c r="A722" s="120"/>
      <c r="B722" s="120"/>
      <c r="Q722" s="117"/>
      <c r="R722" s="29"/>
      <c r="S722" s="29"/>
      <c r="T722" s="29"/>
    </row>
    <row r="723" ht="15.75" customHeight="1">
      <c r="A723" s="120"/>
      <c r="B723" s="120"/>
      <c r="Q723" s="117"/>
      <c r="R723" s="29"/>
      <c r="S723" s="29"/>
      <c r="T723" s="29"/>
    </row>
    <row r="724" ht="15.75" customHeight="1">
      <c r="A724" s="120"/>
      <c r="B724" s="120"/>
      <c r="Q724" s="117"/>
      <c r="R724" s="29"/>
      <c r="S724" s="29"/>
      <c r="T724" s="29"/>
    </row>
    <row r="725" ht="15.75" customHeight="1">
      <c r="A725" s="120"/>
      <c r="B725" s="120"/>
      <c r="Q725" s="117"/>
      <c r="R725" s="29"/>
      <c r="S725" s="29"/>
      <c r="T725" s="29"/>
    </row>
    <row r="726" ht="15.75" customHeight="1">
      <c r="A726" s="120"/>
      <c r="B726" s="120"/>
      <c r="Q726" s="117"/>
      <c r="R726" s="29"/>
      <c r="S726" s="29"/>
      <c r="T726" s="29"/>
    </row>
    <row r="727" ht="15.75" customHeight="1">
      <c r="A727" s="120"/>
      <c r="B727" s="120"/>
      <c r="Q727" s="117"/>
      <c r="R727" s="29"/>
      <c r="S727" s="29"/>
      <c r="T727" s="29"/>
    </row>
    <row r="728" ht="15.75" customHeight="1">
      <c r="A728" s="120"/>
      <c r="B728" s="120"/>
      <c r="Q728" s="117"/>
      <c r="R728" s="29"/>
      <c r="S728" s="29"/>
      <c r="T728" s="29"/>
    </row>
    <row r="729" ht="15.75" customHeight="1">
      <c r="A729" s="120"/>
      <c r="B729" s="120"/>
      <c r="Q729" s="117"/>
      <c r="R729" s="29"/>
      <c r="S729" s="29"/>
      <c r="T729" s="29"/>
    </row>
    <row r="730" ht="15.75" customHeight="1">
      <c r="A730" s="120"/>
      <c r="B730" s="120"/>
      <c r="Q730" s="117"/>
      <c r="R730" s="29"/>
      <c r="S730" s="29"/>
      <c r="T730" s="29"/>
    </row>
    <row r="731" ht="15.75" customHeight="1">
      <c r="A731" s="120"/>
      <c r="B731" s="120"/>
      <c r="Q731" s="117"/>
      <c r="R731" s="29"/>
      <c r="S731" s="29"/>
      <c r="T731" s="29"/>
    </row>
    <row r="732" ht="15.75" customHeight="1">
      <c r="A732" s="120"/>
      <c r="B732" s="120"/>
      <c r="Q732" s="117"/>
      <c r="R732" s="29"/>
      <c r="S732" s="29"/>
      <c r="T732" s="29"/>
    </row>
    <row r="733" ht="15.75" customHeight="1">
      <c r="A733" s="120"/>
      <c r="B733" s="120"/>
      <c r="Q733" s="117"/>
      <c r="R733" s="29"/>
      <c r="S733" s="29"/>
      <c r="T733" s="29"/>
    </row>
    <row r="734" ht="15.75" customHeight="1">
      <c r="A734" s="120"/>
      <c r="B734" s="120"/>
      <c r="Q734" s="117"/>
      <c r="R734" s="29"/>
      <c r="S734" s="29"/>
      <c r="T734" s="29"/>
    </row>
    <row r="735" ht="15.75" customHeight="1">
      <c r="A735" s="120"/>
      <c r="B735" s="120"/>
      <c r="Q735" s="117"/>
      <c r="R735" s="29"/>
      <c r="S735" s="29"/>
      <c r="T735" s="29"/>
    </row>
    <row r="736" ht="15.75" customHeight="1">
      <c r="A736" s="120"/>
      <c r="B736" s="120"/>
      <c r="Q736" s="117"/>
      <c r="R736" s="29"/>
      <c r="S736" s="29"/>
      <c r="T736" s="29"/>
    </row>
    <row r="737" ht="15.75" customHeight="1">
      <c r="A737" s="120"/>
      <c r="B737" s="120"/>
      <c r="Q737" s="117"/>
      <c r="R737" s="29"/>
      <c r="S737" s="29"/>
      <c r="T737" s="29"/>
    </row>
    <row r="738" ht="15.75" customHeight="1">
      <c r="A738" s="120"/>
      <c r="B738" s="120"/>
      <c r="Q738" s="117"/>
      <c r="R738" s="29"/>
      <c r="S738" s="29"/>
      <c r="T738" s="29"/>
    </row>
    <row r="739" ht="15.75" customHeight="1">
      <c r="A739" s="120"/>
      <c r="B739" s="120"/>
      <c r="Q739" s="117"/>
      <c r="R739" s="29"/>
      <c r="S739" s="29"/>
      <c r="T739" s="29"/>
    </row>
    <row r="740" ht="15.75" customHeight="1">
      <c r="A740" s="120"/>
      <c r="B740" s="120"/>
      <c r="Q740" s="117"/>
      <c r="R740" s="29"/>
      <c r="S740" s="29"/>
      <c r="T740" s="29"/>
    </row>
    <row r="741" ht="15.75" customHeight="1">
      <c r="A741" s="120"/>
      <c r="B741" s="120"/>
      <c r="Q741" s="117"/>
      <c r="R741" s="29"/>
      <c r="S741" s="29"/>
      <c r="T741" s="29"/>
    </row>
    <row r="742" ht="15.75" customHeight="1">
      <c r="A742" s="120"/>
      <c r="B742" s="120"/>
      <c r="Q742" s="117"/>
      <c r="R742" s="29"/>
      <c r="S742" s="29"/>
      <c r="T742" s="29"/>
    </row>
    <row r="743" ht="15.75" customHeight="1">
      <c r="A743" s="120"/>
      <c r="B743" s="120"/>
      <c r="Q743" s="117"/>
      <c r="R743" s="29"/>
      <c r="S743" s="29"/>
      <c r="T743" s="29"/>
    </row>
    <row r="744" ht="15.75" customHeight="1">
      <c r="A744" s="120"/>
      <c r="B744" s="120"/>
      <c r="Q744" s="117"/>
      <c r="R744" s="29"/>
      <c r="S744" s="29"/>
      <c r="T744" s="29"/>
    </row>
    <row r="745" ht="15.75" customHeight="1">
      <c r="A745" s="120"/>
      <c r="B745" s="120"/>
      <c r="Q745" s="117"/>
      <c r="R745" s="29"/>
      <c r="S745" s="29"/>
      <c r="T745" s="29"/>
    </row>
    <row r="746" ht="15.75" customHeight="1">
      <c r="A746" s="120"/>
      <c r="B746" s="120"/>
      <c r="Q746" s="117"/>
      <c r="R746" s="29"/>
      <c r="S746" s="29"/>
      <c r="T746" s="29"/>
    </row>
    <row r="747" ht="15.75" customHeight="1">
      <c r="A747" s="120"/>
      <c r="B747" s="120"/>
      <c r="Q747" s="117"/>
      <c r="R747" s="29"/>
      <c r="S747" s="29"/>
      <c r="T747" s="29"/>
    </row>
    <row r="748" ht="15.75" customHeight="1">
      <c r="A748" s="120"/>
      <c r="B748" s="120"/>
      <c r="Q748" s="117"/>
      <c r="R748" s="29"/>
      <c r="S748" s="29"/>
      <c r="T748" s="29"/>
    </row>
    <row r="749" ht="15.75" customHeight="1">
      <c r="A749" s="120"/>
      <c r="B749" s="120"/>
      <c r="Q749" s="117"/>
      <c r="R749" s="29"/>
      <c r="S749" s="29"/>
      <c r="T749" s="29"/>
    </row>
    <row r="750" ht="15.75" customHeight="1">
      <c r="A750" s="120"/>
      <c r="B750" s="120"/>
      <c r="Q750" s="117"/>
      <c r="R750" s="29"/>
      <c r="S750" s="29"/>
      <c r="T750" s="29"/>
    </row>
    <row r="751" ht="15.75" customHeight="1">
      <c r="A751" s="120"/>
      <c r="B751" s="120"/>
      <c r="Q751" s="117"/>
      <c r="R751" s="29"/>
      <c r="S751" s="29"/>
      <c r="T751" s="29"/>
    </row>
    <row r="752" ht="15.75" customHeight="1">
      <c r="A752" s="120"/>
      <c r="B752" s="120"/>
      <c r="Q752" s="117"/>
      <c r="R752" s="29"/>
      <c r="S752" s="29"/>
      <c r="T752" s="29"/>
    </row>
    <row r="753" ht="15.75" customHeight="1">
      <c r="A753" s="120"/>
      <c r="B753" s="120"/>
      <c r="Q753" s="117"/>
      <c r="R753" s="29"/>
      <c r="S753" s="29"/>
      <c r="T753" s="29"/>
    </row>
    <row r="754" ht="15.75" customHeight="1">
      <c r="A754" s="120"/>
      <c r="B754" s="120"/>
      <c r="Q754" s="117"/>
      <c r="R754" s="29"/>
      <c r="S754" s="29"/>
      <c r="T754" s="29"/>
    </row>
    <row r="755" ht="15.75" customHeight="1">
      <c r="A755" s="120"/>
      <c r="B755" s="120"/>
      <c r="Q755" s="117"/>
      <c r="R755" s="29"/>
      <c r="S755" s="29"/>
      <c r="T755" s="29"/>
    </row>
    <row r="756" ht="15.75" customHeight="1">
      <c r="A756" s="120"/>
      <c r="B756" s="120"/>
      <c r="Q756" s="117"/>
      <c r="R756" s="29"/>
      <c r="S756" s="29"/>
      <c r="T756" s="29"/>
    </row>
    <row r="757" ht="15.75" customHeight="1">
      <c r="A757" s="120"/>
      <c r="B757" s="120"/>
      <c r="Q757" s="117"/>
      <c r="R757" s="29"/>
      <c r="S757" s="29"/>
      <c r="T757" s="29"/>
    </row>
    <row r="758" ht="15.75" customHeight="1">
      <c r="A758" s="120"/>
      <c r="B758" s="120"/>
      <c r="Q758" s="117"/>
      <c r="R758" s="29"/>
      <c r="S758" s="29"/>
      <c r="T758" s="29"/>
    </row>
    <row r="759" ht="15.75" customHeight="1">
      <c r="A759" s="120"/>
      <c r="B759" s="120"/>
      <c r="Q759" s="117"/>
      <c r="R759" s="29"/>
      <c r="S759" s="29"/>
      <c r="T759" s="29"/>
    </row>
    <row r="760" ht="15.75" customHeight="1">
      <c r="A760" s="120"/>
      <c r="B760" s="120"/>
      <c r="Q760" s="117"/>
      <c r="R760" s="29"/>
      <c r="S760" s="29"/>
      <c r="T760" s="29"/>
    </row>
    <row r="761" ht="15.75" customHeight="1">
      <c r="A761" s="120"/>
      <c r="B761" s="120"/>
      <c r="Q761" s="117"/>
      <c r="R761" s="29"/>
      <c r="S761" s="29"/>
      <c r="T761" s="29"/>
    </row>
    <row r="762" ht="15.75" customHeight="1">
      <c r="A762" s="120"/>
      <c r="B762" s="120"/>
      <c r="Q762" s="117"/>
      <c r="R762" s="29"/>
      <c r="S762" s="29"/>
      <c r="T762" s="29"/>
    </row>
    <row r="763" ht="15.75" customHeight="1">
      <c r="A763" s="120"/>
      <c r="B763" s="120"/>
      <c r="Q763" s="117"/>
      <c r="R763" s="29"/>
      <c r="S763" s="29"/>
      <c r="T763" s="29"/>
    </row>
    <row r="764" ht="15.75" customHeight="1">
      <c r="A764" s="120"/>
      <c r="B764" s="120"/>
      <c r="Q764" s="117"/>
      <c r="R764" s="29"/>
      <c r="S764" s="29"/>
      <c r="T764" s="29"/>
    </row>
    <row r="765" ht="15.75" customHeight="1">
      <c r="A765" s="120"/>
      <c r="B765" s="120"/>
      <c r="Q765" s="117"/>
      <c r="R765" s="29"/>
      <c r="S765" s="29"/>
      <c r="T765" s="29"/>
    </row>
    <row r="766" ht="15.75" customHeight="1">
      <c r="A766" s="120"/>
      <c r="B766" s="120"/>
      <c r="Q766" s="117"/>
      <c r="R766" s="29"/>
      <c r="S766" s="29"/>
      <c r="T766" s="29"/>
    </row>
    <row r="767" ht="15.75" customHeight="1">
      <c r="A767" s="120"/>
      <c r="B767" s="120"/>
      <c r="Q767" s="117"/>
      <c r="R767" s="29"/>
      <c r="S767" s="29"/>
      <c r="T767" s="29"/>
    </row>
    <row r="768" ht="15.75" customHeight="1">
      <c r="A768" s="120"/>
      <c r="B768" s="120"/>
      <c r="Q768" s="117"/>
      <c r="R768" s="29"/>
      <c r="S768" s="29"/>
      <c r="T768" s="29"/>
    </row>
    <row r="769" ht="15.75" customHeight="1">
      <c r="A769" s="120"/>
      <c r="B769" s="120"/>
      <c r="Q769" s="117"/>
      <c r="R769" s="29"/>
      <c r="S769" s="29"/>
      <c r="T769" s="29"/>
    </row>
    <row r="770" ht="15.75" customHeight="1">
      <c r="A770" s="120"/>
      <c r="B770" s="120"/>
      <c r="Q770" s="117"/>
      <c r="R770" s="29"/>
      <c r="S770" s="29"/>
      <c r="T770" s="29"/>
    </row>
    <row r="771" ht="15.75" customHeight="1">
      <c r="A771" s="120"/>
      <c r="B771" s="120"/>
      <c r="Q771" s="117"/>
      <c r="R771" s="29"/>
      <c r="S771" s="29"/>
      <c r="T771" s="29"/>
    </row>
    <row r="772" ht="15.75" customHeight="1">
      <c r="A772" s="120"/>
      <c r="B772" s="120"/>
      <c r="Q772" s="117"/>
      <c r="R772" s="29"/>
      <c r="S772" s="29"/>
      <c r="T772" s="29"/>
    </row>
    <row r="773" ht="15.75" customHeight="1">
      <c r="A773" s="120"/>
      <c r="B773" s="120"/>
      <c r="Q773" s="117"/>
      <c r="R773" s="29"/>
      <c r="S773" s="29"/>
      <c r="T773" s="29"/>
    </row>
    <row r="774" ht="15.75" customHeight="1">
      <c r="A774" s="120"/>
      <c r="B774" s="120"/>
      <c r="Q774" s="117"/>
      <c r="R774" s="29"/>
      <c r="S774" s="29"/>
      <c r="T774" s="29"/>
    </row>
    <row r="775" ht="15.75" customHeight="1">
      <c r="A775" s="120"/>
      <c r="B775" s="120"/>
      <c r="Q775" s="117"/>
      <c r="R775" s="29"/>
      <c r="S775" s="29"/>
      <c r="T775" s="29"/>
    </row>
    <row r="776" ht="15.75" customHeight="1">
      <c r="A776" s="120"/>
      <c r="B776" s="120"/>
      <c r="Q776" s="117"/>
      <c r="R776" s="29"/>
      <c r="S776" s="29"/>
      <c r="T776" s="29"/>
    </row>
    <row r="777" ht="15.75" customHeight="1">
      <c r="A777" s="120"/>
      <c r="B777" s="120"/>
      <c r="Q777" s="117"/>
      <c r="R777" s="29"/>
      <c r="S777" s="29"/>
      <c r="T777" s="29"/>
    </row>
    <row r="778" ht="15.75" customHeight="1">
      <c r="A778" s="120"/>
      <c r="B778" s="120"/>
      <c r="Q778" s="117"/>
      <c r="R778" s="29"/>
      <c r="S778" s="29"/>
      <c r="T778" s="29"/>
    </row>
    <row r="779" ht="15.75" customHeight="1">
      <c r="A779" s="120"/>
      <c r="B779" s="120"/>
      <c r="Q779" s="117"/>
      <c r="R779" s="29"/>
      <c r="S779" s="29"/>
      <c r="T779" s="29"/>
    </row>
    <row r="780" ht="15.75" customHeight="1">
      <c r="A780" s="120"/>
      <c r="B780" s="120"/>
      <c r="Q780" s="117"/>
      <c r="R780" s="29"/>
      <c r="S780" s="29"/>
      <c r="T780" s="29"/>
    </row>
    <row r="781" ht="15.75" customHeight="1">
      <c r="A781" s="120"/>
      <c r="B781" s="120"/>
      <c r="Q781" s="117"/>
      <c r="R781" s="29"/>
      <c r="S781" s="29"/>
      <c r="T781" s="29"/>
    </row>
    <row r="782" ht="15.75" customHeight="1">
      <c r="A782" s="120"/>
      <c r="B782" s="120"/>
      <c r="Q782" s="117"/>
      <c r="R782" s="29"/>
      <c r="S782" s="29"/>
      <c r="T782" s="29"/>
    </row>
    <row r="783" ht="15.75" customHeight="1">
      <c r="A783" s="120"/>
      <c r="B783" s="120"/>
      <c r="Q783" s="117"/>
      <c r="R783" s="29"/>
      <c r="S783" s="29"/>
      <c r="T783" s="29"/>
    </row>
    <row r="784" ht="15.75" customHeight="1">
      <c r="A784" s="120"/>
      <c r="B784" s="120"/>
      <c r="Q784" s="117"/>
      <c r="R784" s="29"/>
      <c r="S784" s="29"/>
      <c r="T784" s="29"/>
    </row>
    <row r="785" ht="15.75" customHeight="1">
      <c r="A785" s="120"/>
      <c r="B785" s="120"/>
      <c r="Q785" s="117"/>
      <c r="R785" s="29"/>
      <c r="S785" s="29"/>
      <c r="T785" s="29"/>
    </row>
    <row r="786" ht="15.75" customHeight="1">
      <c r="A786" s="120"/>
      <c r="B786" s="120"/>
      <c r="Q786" s="117"/>
      <c r="R786" s="29"/>
      <c r="S786" s="29"/>
      <c r="T786" s="29"/>
    </row>
    <row r="787" ht="15.75" customHeight="1">
      <c r="A787" s="120"/>
      <c r="B787" s="120"/>
      <c r="Q787" s="117"/>
      <c r="R787" s="29"/>
      <c r="S787" s="29"/>
      <c r="T787" s="29"/>
    </row>
    <row r="788" ht="15.75" customHeight="1">
      <c r="A788" s="120"/>
      <c r="B788" s="120"/>
      <c r="Q788" s="117"/>
      <c r="R788" s="29"/>
      <c r="S788" s="29"/>
      <c r="T788" s="29"/>
    </row>
    <row r="789" ht="15.75" customHeight="1">
      <c r="A789" s="120"/>
      <c r="B789" s="120"/>
      <c r="Q789" s="117"/>
      <c r="R789" s="29"/>
      <c r="S789" s="29"/>
      <c r="T789" s="29"/>
    </row>
    <row r="790" ht="15.75" customHeight="1">
      <c r="A790" s="120"/>
      <c r="B790" s="120"/>
      <c r="Q790" s="117"/>
      <c r="R790" s="29"/>
      <c r="S790" s="29"/>
      <c r="T790" s="29"/>
    </row>
    <row r="791" ht="15.75" customHeight="1">
      <c r="A791" s="120"/>
      <c r="B791" s="120"/>
      <c r="Q791" s="117"/>
      <c r="R791" s="29"/>
      <c r="S791" s="29"/>
      <c r="T791" s="29"/>
    </row>
    <row r="792" ht="15.75" customHeight="1">
      <c r="A792" s="120"/>
      <c r="B792" s="120"/>
      <c r="Q792" s="117"/>
      <c r="R792" s="29"/>
      <c r="S792" s="29"/>
      <c r="T792" s="29"/>
    </row>
    <row r="793" ht="15.75" customHeight="1">
      <c r="A793" s="120"/>
      <c r="B793" s="120"/>
      <c r="Q793" s="117"/>
      <c r="R793" s="29"/>
      <c r="S793" s="29"/>
      <c r="T793" s="29"/>
    </row>
    <row r="794" ht="15.75" customHeight="1">
      <c r="A794" s="120"/>
      <c r="B794" s="120"/>
      <c r="Q794" s="117"/>
      <c r="R794" s="29"/>
      <c r="S794" s="29"/>
      <c r="T794" s="29"/>
    </row>
    <row r="795" ht="15.75" customHeight="1">
      <c r="A795" s="120"/>
      <c r="B795" s="120"/>
      <c r="Q795" s="117"/>
      <c r="R795" s="29"/>
      <c r="S795" s="29"/>
      <c r="T795" s="29"/>
    </row>
    <row r="796" ht="15.75" customHeight="1">
      <c r="A796" s="120"/>
      <c r="B796" s="120"/>
      <c r="Q796" s="117"/>
      <c r="R796" s="29"/>
      <c r="S796" s="29"/>
      <c r="T796" s="29"/>
    </row>
    <row r="797" ht="15.75" customHeight="1">
      <c r="A797" s="120"/>
      <c r="B797" s="120"/>
      <c r="Q797" s="117"/>
      <c r="R797" s="29"/>
      <c r="S797" s="29"/>
      <c r="T797" s="29"/>
    </row>
    <row r="798" ht="15.75" customHeight="1">
      <c r="A798" s="120"/>
      <c r="B798" s="120"/>
      <c r="Q798" s="117"/>
      <c r="R798" s="29"/>
      <c r="S798" s="29"/>
      <c r="T798" s="29"/>
    </row>
    <row r="799" ht="15.75" customHeight="1">
      <c r="A799" s="120"/>
      <c r="B799" s="120"/>
      <c r="Q799" s="117"/>
      <c r="R799" s="29"/>
      <c r="S799" s="29"/>
      <c r="T799" s="29"/>
    </row>
    <row r="800" ht="15.75" customHeight="1">
      <c r="A800" s="120"/>
      <c r="B800" s="120"/>
      <c r="Q800" s="117"/>
      <c r="R800" s="29"/>
      <c r="S800" s="29"/>
      <c r="T800" s="29"/>
    </row>
    <row r="801" ht="15.75" customHeight="1">
      <c r="A801" s="120"/>
      <c r="B801" s="120"/>
      <c r="Q801" s="117"/>
      <c r="R801" s="29"/>
      <c r="S801" s="29"/>
      <c r="T801" s="29"/>
    </row>
    <row r="802" ht="15.75" customHeight="1">
      <c r="A802" s="120"/>
      <c r="B802" s="120"/>
      <c r="Q802" s="117"/>
      <c r="R802" s="29"/>
      <c r="S802" s="29"/>
      <c r="T802" s="29"/>
    </row>
    <row r="803" ht="15.75" customHeight="1">
      <c r="A803" s="120"/>
      <c r="B803" s="120"/>
      <c r="Q803" s="117"/>
      <c r="R803" s="29"/>
      <c r="S803" s="29"/>
      <c r="T803" s="29"/>
    </row>
    <row r="804" ht="15.75" customHeight="1">
      <c r="A804" s="120"/>
      <c r="B804" s="120"/>
      <c r="Q804" s="117"/>
      <c r="R804" s="29"/>
      <c r="S804" s="29"/>
      <c r="T804" s="29"/>
    </row>
    <row r="805" ht="15.75" customHeight="1">
      <c r="A805" s="120"/>
      <c r="B805" s="120"/>
      <c r="Q805" s="117"/>
      <c r="R805" s="29"/>
      <c r="S805" s="29"/>
      <c r="T805" s="29"/>
    </row>
    <row r="806" ht="15.75" customHeight="1">
      <c r="A806" s="120"/>
      <c r="B806" s="120"/>
      <c r="Q806" s="117"/>
      <c r="R806" s="29"/>
      <c r="S806" s="29"/>
      <c r="T806" s="29"/>
    </row>
    <row r="807" ht="15.75" customHeight="1">
      <c r="A807" s="120"/>
      <c r="B807" s="120"/>
      <c r="Q807" s="117"/>
      <c r="R807" s="29"/>
      <c r="S807" s="29"/>
      <c r="T807" s="29"/>
    </row>
    <row r="808" ht="15.75" customHeight="1">
      <c r="A808" s="120"/>
      <c r="B808" s="120"/>
      <c r="Q808" s="117"/>
      <c r="R808" s="29"/>
      <c r="S808" s="29"/>
      <c r="T808" s="29"/>
    </row>
    <row r="809" ht="15.75" customHeight="1">
      <c r="A809" s="120"/>
      <c r="B809" s="120"/>
      <c r="Q809" s="117"/>
      <c r="R809" s="29"/>
      <c r="S809" s="29"/>
      <c r="T809" s="29"/>
    </row>
    <row r="810" ht="15.75" customHeight="1">
      <c r="A810" s="120"/>
      <c r="B810" s="120"/>
      <c r="Q810" s="117"/>
      <c r="R810" s="29"/>
      <c r="S810" s="29"/>
      <c r="T810" s="29"/>
    </row>
    <row r="811" ht="15.75" customHeight="1">
      <c r="A811" s="120"/>
      <c r="B811" s="120"/>
      <c r="Q811" s="117"/>
      <c r="R811" s="29"/>
      <c r="S811" s="29"/>
      <c r="T811" s="29"/>
    </row>
    <row r="812" ht="15.75" customHeight="1">
      <c r="A812" s="120"/>
      <c r="B812" s="120"/>
      <c r="Q812" s="117"/>
      <c r="R812" s="29"/>
      <c r="S812" s="29"/>
      <c r="T812" s="29"/>
    </row>
    <row r="813" ht="15.75" customHeight="1">
      <c r="A813" s="120"/>
      <c r="B813" s="120"/>
      <c r="Q813" s="117"/>
      <c r="R813" s="29"/>
      <c r="S813" s="29"/>
      <c r="T813" s="29"/>
    </row>
    <row r="814" ht="15.75" customHeight="1">
      <c r="A814" s="120"/>
      <c r="B814" s="120"/>
      <c r="Q814" s="117"/>
      <c r="R814" s="29"/>
      <c r="S814" s="29"/>
      <c r="T814" s="29"/>
    </row>
    <row r="815" ht="15.75" customHeight="1">
      <c r="A815" s="120"/>
      <c r="B815" s="120"/>
      <c r="Q815" s="117"/>
      <c r="R815" s="29"/>
      <c r="S815" s="29"/>
      <c r="T815" s="29"/>
    </row>
    <row r="816" ht="15.75" customHeight="1">
      <c r="A816" s="120"/>
      <c r="B816" s="120"/>
      <c r="Q816" s="117"/>
      <c r="R816" s="29"/>
      <c r="S816" s="29"/>
      <c r="T816" s="29"/>
    </row>
    <row r="817" ht="15.75" customHeight="1">
      <c r="A817" s="120"/>
      <c r="B817" s="120"/>
      <c r="Q817" s="117"/>
      <c r="R817" s="29"/>
      <c r="S817" s="29"/>
      <c r="T817" s="29"/>
    </row>
    <row r="818" ht="15.75" customHeight="1">
      <c r="A818" s="120"/>
      <c r="B818" s="120"/>
      <c r="Q818" s="117"/>
      <c r="R818" s="29"/>
      <c r="S818" s="29"/>
      <c r="T818" s="29"/>
    </row>
    <row r="819" ht="15.75" customHeight="1">
      <c r="A819" s="120"/>
      <c r="B819" s="120"/>
      <c r="Q819" s="117"/>
      <c r="R819" s="29"/>
      <c r="S819" s="29"/>
      <c r="T819" s="29"/>
    </row>
    <row r="820" ht="15.75" customHeight="1">
      <c r="A820" s="120"/>
      <c r="B820" s="120"/>
      <c r="Q820" s="117"/>
      <c r="R820" s="29"/>
      <c r="S820" s="29"/>
      <c r="T820" s="29"/>
    </row>
    <row r="821" ht="15.75" customHeight="1">
      <c r="A821" s="120"/>
      <c r="B821" s="120"/>
      <c r="Q821" s="117"/>
      <c r="R821" s="29"/>
      <c r="S821" s="29"/>
      <c r="T821" s="29"/>
    </row>
    <row r="822" ht="15.75" customHeight="1">
      <c r="A822" s="120"/>
      <c r="B822" s="120"/>
      <c r="Q822" s="117"/>
      <c r="R822" s="29"/>
      <c r="S822" s="29"/>
      <c r="T822" s="29"/>
    </row>
    <row r="823" ht="15.75" customHeight="1">
      <c r="A823" s="120"/>
      <c r="B823" s="120"/>
      <c r="Q823" s="117"/>
      <c r="R823" s="29"/>
      <c r="S823" s="29"/>
      <c r="T823" s="29"/>
    </row>
    <row r="824" ht="15.75" customHeight="1">
      <c r="A824" s="120"/>
      <c r="B824" s="120"/>
      <c r="Q824" s="117"/>
      <c r="R824" s="29"/>
      <c r="S824" s="29"/>
      <c r="T824" s="29"/>
    </row>
    <row r="825" ht="15.75" customHeight="1">
      <c r="A825" s="120"/>
      <c r="B825" s="120"/>
      <c r="Q825" s="117"/>
      <c r="R825" s="29"/>
      <c r="S825" s="29"/>
      <c r="T825" s="29"/>
    </row>
    <row r="826" ht="15.75" customHeight="1">
      <c r="A826" s="120"/>
      <c r="B826" s="120"/>
      <c r="Q826" s="117"/>
      <c r="R826" s="29"/>
      <c r="S826" s="29"/>
      <c r="T826" s="29"/>
    </row>
    <row r="827" ht="15.75" customHeight="1">
      <c r="A827" s="120"/>
      <c r="B827" s="120"/>
      <c r="Q827" s="117"/>
      <c r="R827" s="29"/>
      <c r="S827" s="29"/>
      <c r="T827" s="29"/>
    </row>
    <row r="828" ht="15.75" customHeight="1">
      <c r="A828" s="120"/>
      <c r="B828" s="120"/>
      <c r="Q828" s="117"/>
      <c r="R828" s="29"/>
      <c r="S828" s="29"/>
      <c r="T828" s="29"/>
    </row>
    <row r="829" ht="15.75" customHeight="1">
      <c r="A829" s="120"/>
      <c r="B829" s="120"/>
      <c r="Q829" s="117"/>
      <c r="R829" s="29"/>
      <c r="S829" s="29"/>
      <c r="T829" s="29"/>
    </row>
    <row r="830" ht="15.75" customHeight="1">
      <c r="A830" s="120"/>
      <c r="B830" s="120"/>
      <c r="Q830" s="117"/>
      <c r="R830" s="29"/>
      <c r="S830" s="29"/>
      <c r="T830" s="29"/>
    </row>
    <row r="831" ht="15.75" customHeight="1">
      <c r="A831" s="120"/>
      <c r="B831" s="120"/>
      <c r="Q831" s="117"/>
      <c r="R831" s="29"/>
      <c r="S831" s="29"/>
      <c r="T831" s="29"/>
    </row>
    <row r="832" ht="15.75" customHeight="1">
      <c r="A832" s="120"/>
      <c r="B832" s="120"/>
      <c r="Q832" s="117"/>
      <c r="R832" s="29"/>
      <c r="S832" s="29"/>
      <c r="T832" s="29"/>
    </row>
    <row r="833" ht="15.75" customHeight="1">
      <c r="A833" s="120"/>
      <c r="B833" s="120"/>
      <c r="Q833" s="117"/>
      <c r="R833" s="29"/>
      <c r="S833" s="29"/>
      <c r="T833" s="29"/>
    </row>
    <row r="834" ht="15.75" customHeight="1">
      <c r="A834" s="120"/>
      <c r="B834" s="120"/>
      <c r="Q834" s="117"/>
      <c r="R834" s="29"/>
      <c r="S834" s="29"/>
      <c r="T834" s="29"/>
    </row>
    <row r="835" ht="15.75" customHeight="1">
      <c r="A835" s="120"/>
      <c r="B835" s="120"/>
      <c r="Q835" s="117"/>
      <c r="R835" s="29"/>
      <c r="S835" s="29"/>
      <c r="T835" s="29"/>
    </row>
    <row r="836" ht="15.75" customHeight="1">
      <c r="A836" s="120"/>
      <c r="B836" s="120"/>
      <c r="Q836" s="117"/>
      <c r="R836" s="29"/>
      <c r="S836" s="29"/>
      <c r="T836" s="29"/>
    </row>
    <row r="837" ht="15.75" customHeight="1">
      <c r="A837" s="120"/>
      <c r="B837" s="120"/>
      <c r="Q837" s="117"/>
      <c r="R837" s="29"/>
      <c r="S837" s="29"/>
      <c r="T837" s="29"/>
    </row>
    <row r="838" ht="15.75" customHeight="1">
      <c r="A838" s="120"/>
      <c r="B838" s="120"/>
      <c r="Q838" s="117"/>
      <c r="R838" s="29"/>
      <c r="S838" s="29"/>
      <c r="T838" s="29"/>
    </row>
    <row r="839" ht="15.75" customHeight="1">
      <c r="A839" s="120"/>
      <c r="B839" s="120"/>
      <c r="Q839" s="117"/>
      <c r="R839" s="29"/>
      <c r="S839" s="29"/>
      <c r="T839" s="29"/>
    </row>
    <row r="840" ht="15.75" customHeight="1">
      <c r="A840" s="120"/>
      <c r="B840" s="120"/>
      <c r="Q840" s="117"/>
      <c r="R840" s="29"/>
      <c r="S840" s="29"/>
      <c r="T840" s="29"/>
    </row>
    <row r="841" ht="15.75" customHeight="1">
      <c r="A841" s="120"/>
      <c r="B841" s="120"/>
      <c r="Q841" s="117"/>
      <c r="R841" s="29"/>
      <c r="S841" s="29"/>
      <c r="T841" s="29"/>
    </row>
    <row r="842" ht="15.75" customHeight="1">
      <c r="A842" s="120"/>
      <c r="B842" s="120"/>
      <c r="Q842" s="117"/>
      <c r="R842" s="29"/>
      <c r="S842" s="29"/>
      <c r="T842" s="29"/>
    </row>
    <row r="843" ht="15.75" customHeight="1">
      <c r="A843" s="120"/>
      <c r="B843" s="120"/>
      <c r="Q843" s="117"/>
      <c r="R843" s="29"/>
      <c r="S843" s="29"/>
      <c r="T843" s="29"/>
    </row>
    <row r="844" ht="15.75" customHeight="1">
      <c r="A844" s="120"/>
      <c r="B844" s="120"/>
      <c r="Q844" s="117"/>
      <c r="R844" s="29"/>
      <c r="S844" s="29"/>
      <c r="T844" s="29"/>
    </row>
    <row r="845" ht="15.75" customHeight="1">
      <c r="A845" s="120"/>
      <c r="B845" s="120"/>
      <c r="Q845" s="117"/>
      <c r="R845" s="29"/>
      <c r="S845" s="29"/>
      <c r="T845" s="29"/>
    </row>
    <row r="846" ht="15.75" customHeight="1">
      <c r="A846" s="120"/>
      <c r="B846" s="120"/>
      <c r="Q846" s="117"/>
      <c r="R846" s="29"/>
      <c r="S846" s="29"/>
      <c r="T846" s="29"/>
    </row>
    <row r="847" ht="15.75" customHeight="1">
      <c r="A847" s="120"/>
      <c r="B847" s="120"/>
      <c r="Q847" s="117"/>
      <c r="R847" s="29"/>
      <c r="S847" s="29"/>
      <c r="T847" s="29"/>
    </row>
    <row r="848" ht="15.75" customHeight="1">
      <c r="A848" s="120"/>
      <c r="B848" s="120"/>
      <c r="Q848" s="117"/>
      <c r="R848" s="29"/>
      <c r="S848" s="29"/>
      <c r="T848" s="29"/>
    </row>
    <row r="849" ht="15.75" customHeight="1">
      <c r="A849" s="120"/>
      <c r="B849" s="120"/>
      <c r="Q849" s="117"/>
      <c r="R849" s="29"/>
      <c r="S849" s="29"/>
      <c r="T849" s="29"/>
    </row>
    <row r="850" ht="15.75" customHeight="1">
      <c r="A850" s="120"/>
      <c r="B850" s="120"/>
      <c r="Q850" s="117"/>
      <c r="R850" s="29"/>
      <c r="S850" s="29"/>
      <c r="T850" s="29"/>
    </row>
    <row r="851" ht="15.75" customHeight="1">
      <c r="A851" s="120"/>
      <c r="B851" s="120"/>
      <c r="Q851" s="117"/>
      <c r="R851" s="29"/>
      <c r="S851" s="29"/>
      <c r="T851" s="29"/>
    </row>
    <row r="852" ht="15.75" customHeight="1">
      <c r="A852" s="120"/>
      <c r="B852" s="120"/>
      <c r="Q852" s="117"/>
      <c r="R852" s="29"/>
      <c r="S852" s="29"/>
      <c r="T852" s="29"/>
    </row>
    <row r="853" ht="15.75" customHeight="1">
      <c r="A853" s="120"/>
      <c r="B853" s="120"/>
      <c r="Q853" s="117"/>
      <c r="R853" s="29"/>
      <c r="S853" s="29"/>
      <c r="T853" s="29"/>
    </row>
    <row r="854" ht="15.75" customHeight="1">
      <c r="A854" s="120"/>
      <c r="B854" s="120"/>
      <c r="Q854" s="117"/>
      <c r="R854" s="29"/>
      <c r="S854" s="29"/>
      <c r="T854" s="29"/>
    </row>
    <row r="855" ht="15.75" customHeight="1">
      <c r="A855" s="120"/>
      <c r="B855" s="120"/>
      <c r="Q855" s="117"/>
      <c r="R855" s="29"/>
      <c r="S855" s="29"/>
      <c r="T855" s="29"/>
    </row>
    <row r="856" ht="15.75" customHeight="1">
      <c r="A856" s="120"/>
      <c r="B856" s="120"/>
      <c r="Q856" s="117"/>
      <c r="R856" s="29"/>
      <c r="S856" s="29"/>
      <c r="T856" s="29"/>
    </row>
    <row r="857" ht="15.75" customHeight="1">
      <c r="A857" s="120"/>
      <c r="B857" s="120"/>
      <c r="Q857" s="117"/>
      <c r="R857" s="29"/>
      <c r="S857" s="29"/>
      <c r="T857" s="29"/>
    </row>
    <row r="858" ht="15.75" customHeight="1">
      <c r="A858" s="120"/>
      <c r="B858" s="120"/>
      <c r="Q858" s="117"/>
      <c r="R858" s="29"/>
      <c r="S858" s="29"/>
      <c r="T858" s="29"/>
    </row>
    <row r="859" ht="15.75" customHeight="1">
      <c r="A859" s="120"/>
      <c r="B859" s="120"/>
      <c r="Q859" s="117"/>
      <c r="R859" s="29"/>
      <c r="S859" s="29"/>
      <c r="T859" s="29"/>
    </row>
    <row r="860" ht="15.75" customHeight="1">
      <c r="A860" s="120"/>
      <c r="B860" s="120"/>
      <c r="Q860" s="117"/>
      <c r="R860" s="29"/>
      <c r="S860" s="29"/>
      <c r="T860" s="29"/>
    </row>
    <row r="861" ht="15.75" customHeight="1">
      <c r="A861" s="120"/>
      <c r="B861" s="120"/>
      <c r="Q861" s="117"/>
      <c r="R861" s="29"/>
      <c r="S861" s="29"/>
      <c r="T861" s="29"/>
    </row>
    <row r="862" ht="15.75" customHeight="1">
      <c r="A862" s="120"/>
      <c r="B862" s="120"/>
      <c r="Q862" s="117"/>
      <c r="R862" s="29"/>
      <c r="S862" s="29"/>
      <c r="T862" s="29"/>
    </row>
    <row r="863" ht="15.75" customHeight="1">
      <c r="A863" s="120"/>
      <c r="B863" s="120"/>
      <c r="Q863" s="117"/>
      <c r="R863" s="29"/>
      <c r="S863" s="29"/>
      <c r="T863" s="29"/>
    </row>
    <row r="864" ht="15.75" customHeight="1">
      <c r="A864" s="120"/>
      <c r="B864" s="120"/>
      <c r="Q864" s="117"/>
      <c r="R864" s="29"/>
      <c r="S864" s="29"/>
      <c r="T864" s="29"/>
    </row>
    <row r="865" ht="15.75" customHeight="1">
      <c r="A865" s="120"/>
      <c r="B865" s="120"/>
      <c r="Q865" s="117"/>
      <c r="R865" s="29"/>
      <c r="S865" s="29"/>
      <c r="T865" s="29"/>
    </row>
    <row r="866" ht="15.75" customHeight="1">
      <c r="A866" s="120"/>
      <c r="B866" s="120"/>
      <c r="Q866" s="117"/>
      <c r="R866" s="29"/>
      <c r="S866" s="29"/>
      <c r="T866" s="29"/>
    </row>
    <row r="867" ht="15.75" customHeight="1">
      <c r="A867" s="120"/>
      <c r="B867" s="120"/>
      <c r="Q867" s="117"/>
      <c r="R867" s="29"/>
      <c r="S867" s="29"/>
      <c r="T867" s="29"/>
    </row>
    <row r="868" ht="15.75" customHeight="1">
      <c r="A868" s="120"/>
      <c r="B868" s="120"/>
      <c r="Q868" s="117"/>
      <c r="R868" s="29"/>
      <c r="S868" s="29"/>
      <c r="T868" s="29"/>
    </row>
    <row r="869" ht="15.75" customHeight="1">
      <c r="A869" s="120"/>
      <c r="B869" s="120"/>
      <c r="Q869" s="117"/>
      <c r="R869" s="29"/>
      <c r="S869" s="29"/>
      <c r="T869" s="29"/>
    </row>
    <row r="870" ht="15.75" customHeight="1">
      <c r="A870" s="120"/>
      <c r="B870" s="120"/>
      <c r="Q870" s="117"/>
      <c r="R870" s="29"/>
      <c r="S870" s="29"/>
      <c r="T870" s="29"/>
    </row>
    <row r="871" ht="15.75" customHeight="1">
      <c r="A871" s="120"/>
      <c r="B871" s="120"/>
      <c r="Q871" s="117"/>
      <c r="R871" s="29"/>
      <c r="S871" s="29"/>
      <c r="T871" s="29"/>
    </row>
    <row r="872" ht="15.75" customHeight="1">
      <c r="A872" s="120"/>
      <c r="B872" s="120"/>
      <c r="Q872" s="117"/>
      <c r="R872" s="29"/>
      <c r="S872" s="29"/>
      <c r="T872" s="29"/>
    </row>
    <row r="873" ht="15.75" customHeight="1">
      <c r="A873" s="120"/>
      <c r="B873" s="120"/>
      <c r="Q873" s="117"/>
      <c r="R873" s="29"/>
      <c r="S873" s="29"/>
      <c r="T873" s="29"/>
    </row>
    <row r="874" ht="15.75" customHeight="1">
      <c r="A874" s="120"/>
      <c r="B874" s="120"/>
      <c r="Q874" s="117"/>
      <c r="R874" s="29"/>
      <c r="S874" s="29"/>
      <c r="T874" s="29"/>
    </row>
    <row r="875" ht="15.75" customHeight="1">
      <c r="A875" s="120"/>
      <c r="B875" s="120"/>
      <c r="Q875" s="117"/>
      <c r="R875" s="29"/>
      <c r="S875" s="29"/>
      <c r="T875" s="29"/>
    </row>
    <row r="876" ht="15.75" customHeight="1">
      <c r="A876" s="120"/>
      <c r="B876" s="120"/>
      <c r="Q876" s="117"/>
      <c r="R876" s="29"/>
      <c r="S876" s="29"/>
      <c r="T876" s="29"/>
    </row>
    <row r="877" ht="15.75" customHeight="1">
      <c r="A877" s="120"/>
      <c r="B877" s="120"/>
      <c r="Q877" s="117"/>
      <c r="R877" s="29"/>
      <c r="S877" s="29"/>
      <c r="T877" s="29"/>
    </row>
    <row r="878" ht="15.75" customHeight="1">
      <c r="A878" s="120"/>
      <c r="B878" s="120"/>
      <c r="Q878" s="117"/>
      <c r="R878" s="29"/>
      <c r="S878" s="29"/>
      <c r="T878" s="29"/>
    </row>
    <row r="879" ht="15.75" customHeight="1">
      <c r="A879" s="120"/>
      <c r="B879" s="120"/>
      <c r="Q879" s="117"/>
      <c r="R879" s="29"/>
      <c r="S879" s="29"/>
      <c r="T879" s="29"/>
    </row>
    <row r="880" ht="15.75" customHeight="1">
      <c r="A880" s="120"/>
      <c r="B880" s="120"/>
      <c r="Q880" s="117"/>
      <c r="R880" s="29"/>
      <c r="S880" s="29"/>
      <c r="T880" s="29"/>
    </row>
    <row r="881" ht="15.75" customHeight="1">
      <c r="A881" s="120"/>
      <c r="B881" s="120"/>
      <c r="Q881" s="117"/>
      <c r="R881" s="29"/>
      <c r="S881" s="29"/>
      <c r="T881" s="29"/>
    </row>
    <row r="882" ht="15.75" customHeight="1">
      <c r="A882" s="120"/>
      <c r="B882" s="120"/>
      <c r="Q882" s="117"/>
      <c r="R882" s="29"/>
      <c r="S882" s="29"/>
      <c r="T882" s="29"/>
    </row>
    <row r="883" ht="15.75" customHeight="1">
      <c r="A883" s="120"/>
      <c r="B883" s="120"/>
      <c r="Q883" s="117"/>
      <c r="R883" s="29"/>
      <c r="S883" s="29"/>
      <c r="T883" s="29"/>
    </row>
    <row r="884" ht="15.75" customHeight="1">
      <c r="A884" s="120"/>
      <c r="B884" s="120"/>
      <c r="Q884" s="117"/>
      <c r="R884" s="29"/>
      <c r="S884" s="29"/>
      <c r="T884" s="29"/>
    </row>
    <row r="885" ht="15.75" customHeight="1">
      <c r="A885" s="120"/>
      <c r="B885" s="120"/>
      <c r="Q885" s="117"/>
      <c r="R885" s="29"/>
      <c r="S885" s="29"/>
      <c r="T885" s="29"/>
    </row>
    <row r="886" ht="15.75" customHeight="1">
      <c r="A886" s="120"/>
      <c r="B886" s="120"/>
      <c r="Q886" s="117"/>
      <c r="R886" s="29"/>
      <c r="S886" s="29"/>
      <c r="T886" s="29"/>
    </row>
    <row r="887" ht="15.75" customHeight="1">
      <c r="A887" s="120"/>
      <c r="B887" s="120"/>
      <c r="Q887" s="117"/>
      <c r="R887" s="29"/>
      <c r="S887" s="29"/>
      <c r="T887" s="29"/>
    </row>
    <row r="888" ht="15.75" customHeight="1">
      <c r="A888" s="120"/>
      <c r="B888" s="120"/>
      <c r="Q888" s="117"/>
      <c r="R888" s="29"/>
      <c r="S888" s="29"/>
      <c r="T888" s="29"/>
    </row>
    <row r="889" ht="15.75" customHeight="1">
      <c r="A889" s="120"/>
      <c r="B889" s="120"/>
      <c r="Q889" s="117"/>
      <c r="R889" s="29"/>
      <c r="S889" s="29"/>
      <c r="T889" s="29"/>
    </row>
    <row r="890" ht="15.75" customHeight="1">
      <c r="A890" s="120"/>
      <c r="B890" s="120"/>
      <c r="Q890" s="117"/>
      <c r="R890" s="29"/>
      <c r="S890" s="29"/>
      <c r="T890" s="29"/>
    </row>
    <row r="891" ht="15.75" customHeight="1">
      <c r="A891" s="120"/>
      <c r="B891" s="120"/>
      <c r="Q891" s="117"/>
      <c r="R891" s="29"/>
      <c r="S891" s="29"/>
      <c r="T891" s="29"/>
    </row>
    <row r="892" ht="15.75" customHeight="1">
      <c r="A892" s="120"/>
      <c r="B892" s="120"/>
      <c r="Q892" s="117"/>
      <c r="R892" s="29"/>
      <c r="S892" s="29"/>
      <c r="T892" s="29"/>
    </row>
    <row r="893" ht="15.75" customHeight="1">
      <c r="A893" s="120"/>
      <c r="B893" s="120"/>
      <c r="Q893" s="117"/>
      <c r="R893" s="29"/>
      <c r="S893" s="29"/>
      <c r="T893" s="29"/>
    </row>
    <row r="894" ht="15.75" customHeight="1">
      <c r="A894" s="120"/>
      <c r="B894" s="120"/>
      <c r="Q894" s="117"/>
      <c r="R894" s="29"/>
      <c r="S894" s="29"/>
      <c r="T894" s="29"/>
    </row>
    <row r="895" ht="15.75" customHeight="1">
      <c r="A895" s="120"/>
      <c r="B895" s="120"/>
      <c r="Q895" s="117"/>
      <c r="R895" s="29"/>
      <c r="S895" s="29"/>
      <c r="T895" s="29"/>
    </row>
    <row r="896" ht="15.75" customHeight="1">
      <c r="A896" s="120"/>
      <c r="B896" s="120"/>
      <c r="Q896" s="117"/>
      <c r="R896" s="29"/>
      <c r="S896" s="29"/>
      <c r="T896" s="29"/>
    </row>
    <row r="897" ht="15.75" customHeight="1">
      <c r="A897" s="120"/>
      <c r="B897" s="120"/>
      <c r="Q897" s="117"/>
      <c r="R897" s="29"/>
      <c r="S897" s="29"/>
      <c r="T897" s="29"/>
    </row>
    <row r="898" ht="15.75" customHeight="1">
      <c r="A898" s="120"/>
      <c r="B898" s="120"/>
      <c r="Q898" s="117"/>
      <c r="R898" s="29"/>
      <c r="S898" s="29"/>
      <c r="T898" s="29"/>
    </row>
    <row r="899" ht="15.75" customHeight="1">
      <c r="A899" s="120"/>
      <c r="B899" s="120"/>
      <c r="Q899" s="117"/>
      <c r="R899" s="29"/>
      <c r="S899" s="29"/>
      <c r="T899" s="29"/>
    </row>
    <row r="900" ht="15.75" customHeight="1">
      <c r="A900" s="120"/>
      <c r="B900" s="120"/>
      <c r="Q900" s="117"/>
      <c r="R900" s="29"/>
      <c r="S900" s="29"/>
      <c r="T900" s="29"/>
    </row>
    <row r="901" ht="15.75" customHeight="1">
      <c r="A901" s="120"/>
      <c r="B901" s="120"/>
      <c r="Q901" s="117"/>
      <c r="R901" s="29"/>
      <c r="S901" s="29"/>
      <c r="T901" s="29"/>
    </row>
    <row r="902" ht="15.75" customHeight="1">
      <c r="A902" s="120"/>
      <c r="B902" s="120"/>
      <c r="Q902" s="117"/>
      <c r="R902" s="29"/>
      <c r="S902" s="29"/>
      <c r="T902" s="29"/>
    </row>
    <row r="903" ht="15.75" customHeight="1">
      <c r="A903" s="120"/>
      <c r="B903" s="120"/>
      <c r="Q903" s="117"/>
      <c r="R903" s="29"/>
      <c r="S903" s="29"/>
      <c r="T903" s="29"/>
    </row>
    <row r="904" ht="15.75" customHeight="1">
      <c r="A904" s="120"/>
      <c r="B904" s="120"/>
      <c r="Q904" s="117"/>
      <c r="R904" s="29"/>
      <c r="S904" s="29"/>
      <c r="T904" s="29"/>
    </row>
    <row r="905" ht="15.75" customHeight="1">
      <c r="A905" s="120"/>
      <c r="B905" s="120"/>
      <c r="Q905" s="117"/>
      <c r="R905" s="29"/>
      <c r="S905" s="29"/>
      <c r="T905" s="29"/>
    </row>
    <row r="906" ht="15.75" customHeight="1">
      <c r="A906" s="120"/>
      <c r="B906" s="120"/>
      <c r="Q906" s="117"/>
      <c r="R906" s="29"/>
      <c r="S906" s="29"/>
      <c r="T906" s="29"/>
    </row>
    <row r="907" ht="15.75" customHeight="1">
      <c r="A907" s="120"/>
      <c r="B907" s="120"/>
      <c r="Q907" s="117"/>
      <c r="R907" s="29"/>
      <c r="S907" s="29"/>
      <c r="T907" s="29"/>
    </row>
    <row r="908" ht="15.75" customHeight="1">
      <c r="A908" s="120"/>
      <c r="B908" s="120"/>
      <c r="Q908" s="117"/>
      <c r="R908" s="29"/>
      <c r="S908" s="29"/>
      <c r="T908" s="29"/>
    </row>
    <row r="909" ht="15.75" customHeight="1">
      <c r="A909" s="120"/>
      <c r="B909" s="120"/>
      <c r="Q909" s="117"/>
      <c r="R909" s="29"/>
      <c r="S909" s="29"/>
      <c r="T909" s="29"/>
    </row>
    <row r="910" ht="15.75" customHeight="1">
      <c r="A910" s="120"/>
      <c r="B910" s="120"/>
      <c r="Q910" s="117"/>
      <c r="R910" s="29"/>
      <c r="S910" s="29"/>
      <c r="T910" s="29"/>
    </row>
    <row r="911" ht="15.75" customHeight="1">
      <c r="A911" s="120"/>
      <c r="B911" s="120"/>
      <c r="Q911" s="117"/>
      <c r="R911" s="29"/>
      <c r="S911" s="29"/>
      <c r="T911" s="29"/>
    </row>
    <row r="912" ht="15.75" customHeight="1">
      <c r="A912" s="120"/>
      <c r="B912" s="120"/>
      <c r="Q912" s="117"/>
      <c r="R912" s="29"/>
      <c r="S912" s="29"/>
      <c r="T912" s="29"/>
    </row>
    <row r="913" ht="15.75" customHeight="1">
      <c r="A913" s="120"/>
      <c r="B913" s="120"/>
      <c r="Q913" s="117"/>
      <c r="R913" s="29"/>
      <c r="S913" s="29"/>
      <c r="T913" s="29"/>
    </row>
    <row r="914" ht="15.75" customHeight="1">
      <c r="A914" s="120"/>
      <c r="B914" s="120"/>
      <c r="Q914" s="117"/>
      <c r="R914" s="29"/>
      <c r="S914" s="29"/>
      <c r="T914" s="29"/>
    </row>
    <row r="915" ht="15.75" customHeight="1">
      <c r="A915" s="120"/>
      <c r="B915" s="120"/>
      <c r="Q915" s="117"/>
      <c r="R915" s="29"/>
      <c r="S915" s="29"/>
      <c r="T915" s="29"/>
    </row>
    <row r="916" ht="15.75" customHeight="1">
      <c r="A916" s="120"/>
      <c r="B916" s="120"/>
      <c r="Q916" s="117"/>
      <c r="R916" s="29"/>
      <c r="S916" s="29"/>
      <c r="T916" s="29"/>
    </row>
    <row r="917" ht="15.75" customHeight="1">
      <c r="A917" s="120"/>
      <c r="B917" s="120"/>
      <c r="Q917" s="117"/>
      <c r="R917" s="29"/>
      <c r="S917" s="29"/>
      <c r="T917" s="29"/>
    </row>
    <row r="918" ht="15.75" customHeight="1">
      <c r="A918" s="120"/>
      <c r="B918" s="120"/>
      <c r="Q918" s="117"/>
      <c r="R918" s="29"/>
      <c r="S918" s="29"/>
      <c r="T918" s="29"/>
    </row>
    <row r="919" ht="15.75" customHeight="1">
      <c r="A919" s="120"/>
      <c r="B919" s="120"/>
      <c r="Q919" s="117"/>
      <c r="R919" s="29"/>
      <c r="S919" s="29"/>
      <c r="T919" s="29"/>
    </row>
    <row r="920" ht="15.75" customHeight="1">
      <c r="A920" s="120"/>
      <c r="B920" s="120"/>
      <c r="Q920" s="117"/>
      <c r="R920" s="29"/>
      <c r="S920" s="29"/>
      <c r="T920" s="29"/>
    </row>
    <row r="921" ht="15.75" customHeight="1">
      <c r="A921" s="120"/>
      <c r="B921" s="120"/>
      <c r="Q921" s="117"/>
      <c r="R921" s="29"/>
      <c r="S921" s="29"/>
      <c r="T921" s="29"/>
    </row>
    <row r="922" ht="15.75" customHeight="1">
      <c r="A922" s="120"/>
      <c r="B922" s="120"/>
      <c r="Q922" s="117"/>
      <c r="R922" s="29"/>
      <c r="S922" s="29"/>
      <c r="T922" s="29"/>
    </row>
    <row r="923" ht="15.75" customHeight="1">
      <c r="A923" s="120"/>
      <c r="B923" s="120"/>
      <c r="Q923" s="117"/>
      <c r="R923" s="29"/>
      <c r="S923" s="29"/>
      <c r="T923" s="29"/>
    </row>
    <row r="924" ht="15.75" customHeight="1">
      <c r="A924" s="120"/>
      <c r="B924" s="120"/>
      <c r="Q924" s="117"/>
      <c r="R924" s="29"/>
      <c r="S924" s="29"/>
      <c r="T924" s="29"/>
    </row>
    <row r="925" ht="15.75" customHeight="1">
      <c r="A925" s="120"/>
      <c r="B925" s="120"/>
      <c r="Q925" s="117"/>
      <c r="R925" s="29"/>
      <c r="S925" s="29"/>
      <c r="T925" s="29"/>
    </row>
    <row r="926" ht="15.75" customHeight="1">
      <c r="A926" s="120"/>
      <c r="B926" s="120"/>
      <c r="Q926" s="117"/>
      <c r="R926" s="29"/>
      <c r="S926" s="29"/>
      <c r="T926" s="29"/>
    </row>
    <row r="927" ht="15.75" customHeight="1">
      <c r="A927" s="120"/>
      <c r="B927" s="120"/>
      <c r="Q927" s="117"/>
      <c r="R927" s="29"/>
      <c r="S927" s="29"/>
      <c r="T927" s="29"/>
    </row>
    <row r="928" ht="15.75" customHeight="1">
      <c r="A928" s="120"/>
      <c r="B928" s="120"/>
      <c r="Q928" s="117"/>
      <c r="R928" s="29"/>
      <c r="S928" s="29"/>
      <c r="T928" s="29"/>
    </row>
    <row r="929" ht="15.75" customHeight="1">
      <c r="A929" s="120"/>
      <c r="B929" s="120"/>
      <c r="Q929" s="117"/>
      <c r="R929" s="29"/>
      <c r="S929" s="29"/>
      <c r="T929" s="29"/>
    </row>
    <row r="930" ht="15.75" customHeight="1">
      <c r="A930" s="120"/>
      <c r="B930" s="120"/>
      <c r="Q930" s="117"/>
      <c r="R930" s="29"/>
      <c r="S930" s="29"/>
      <c r="T930" s="29"/>
    </row>
    <row r="931" ht="15.75" customHeight="1">
      <c r="A931" s="120"/>
      <c r="B931" s="120"/>
      <c r="Q931" s="117"/>
      <c r="R931" s="29"/>
      <c r="S931" s="29"/>
      <c r="T931" s="29"/>
    </row>
    <row r="932" ht="15.75" customHeight="1">
      <c r="A932" s="120"/>
      <c r="B932" s="120"/>
      <c r="Q932" s="117"/>
      <c r="R932" s="29"/>
      <c r="S932" s="29"/>
      <c r="T932" s="29"/>
    </row>
    <row r="933" ht="15.75" customHeight="1">
      <c r="A933" s="120"/>
      <c r="B933" s="120"/>
      <c r="Q933" s="117"/>
      <c r="R933" s="29"/>
      <c r="S933" s="29"/>
      <c r="T933" s="29"/>
    </row>
    <row r="934" ht="15.75" customHeight="1">
      <c r="A934" s="120"/>
      <c r="B934" s="120"/>
      <c r="Q934" s="117"/>
      <c r="R934" s="29"/>
      <c r="S934" s="29"/>
      <c r="T934" s="29"/>
    </row>
    <row r="935" ht="15.75" customHeight="1">
      <c r="A935" s="120"/>
      <c r="B935" s="120"/>
      <c r="Q935" s="117"/>
      <c r="R935" s="29"/>
      <c r="S935" s="29"/>
      <c r="T935" s="29"/>
    </row>
    <row r="936" ht="15.75" customHeight="1">
      <c r="A936" s="120"/>
      <c r="B936" s="120"/>
      <c r="Q936" s="117"/>
      <c r="R936" s="29"/>
      <c r="S936" s="29"/>
      <c r="T936" s="29"/>
    </row>
    <row r="937" ht="15.75" customHeight="1">
      <c r="A937" s="120"/>
      <c r="B937" s="120"/>
      <c r="Q937" s="117"/>
      <c r="R937" s="29"/>
      <c r="S937" s="29"/>
      <c r="T937" s="29"/>
    </row>
    <row r="938" ht="15.75" customHeight="1">
      <c r="A938" s="120"/>
      <c r="B938" s="120"/>
      <c r="Q938" s="117"/>
      <c r="R938" s="29"/>
      <c r="S938" s="29"/>
      <c r="T938" s="29"/>
    </row>
    <row r="939" ht="15.75" customHeight="1">
      <c r="A939" s="120"/>
      <c r="B939" s="120"/>
      <c r="Q939" s="117"/>
      <c r="R939" s="29"/>
      <c r="S939" s="29"/>
      <c r="T939" s="29"/>
    </row>
    <row r="940" ht="15.75" customHeight="1">
      <c r="A940" s="120"/>
      <c r="B940" s="120"/>
      <c r="Q940" s="117"/>
      <c r="R940" s="29"/>
      <c r="S940" s="29"/>
      <c r="T940" s="29"/>
    </row>
    <row r="941" ht="15.75" customHeight="1">
      <c r="A941" s="120"/>
      <c r="B941" s="120"/>
      <c r="Q941" s="117"/>
      <c r="R941" s="29"/>
      <c r="S941" s="29"/>
      <c r="T941" s="29"/>
    </row>
    <row r="942" ht="15.75" customHeight="1">
      <c r="A942" s="120"/>
      <c r="B942" s="120"/>
      <c r="Q942" s="117"/>
      <c r="R942" s="29"/>
      <c r="S942" s="29"/>
      <c r="T942" s="29"/>
    </row>
    <row r="943" ht="15.75" customHeight="1">
      <c r="A943" s="120"/>
      <c r="B943" s="120"/>
      <c r="Q943" s="117"/>
      <c r="R943" s="29"/>
      <c r="S943" s="29"/>
      <c r="T943" s="29"/>
    </row>
    <row r="944" ht="15.75" customHeight="1">
      <c r="A944" s="120"/>
      <c r="B944" s="120"/>
      <c r="Q944" s="117"/>
      <c r="R944" s="29"/>
      <c r="S944" s="29"/>
      <c r="T944" s="29"/>
    </row>
    <row r="945" ht="15.75" customHeight="1">
      <c r="A945" s="120"/>
      <c r="B945" s="120"/>
      <c r="Q945" s="117"/>
      <c r="R945" s="29"/>
      <c r="S945" s="29"/>
      <c r="T945" s="29"/>
    </row>
    <row r="946" ht="15.75" customHeight="1">
      <c r="A946" s="120"/>
      <c r="B946" s="120"/>
      <c r="Q946" s="117"/>
      <c r="R946" s="29"/>
      <c r="S946" s="29"/>
      <c r="T946" s="29"/>
    </row>
    <row r="947" ht="15.75" customHeight="1">
      <c r="A947" s="120"/>
      <c r="B947" s="120"/>
      <c r="Q947" s="117"/>
      <c r="R947" s="29"/>
      <c r="S947" s="29"/>
      <c r="T947" s="29"/>
    </row>
    <row r="948" ht="15.75" customHeight="1">
      <c r="A948" s="120"/>
      <c r="B948" s="120"/>
      <c r="Q948" s="117"/>
      <c r="R948" s="29"/>
      <c r="S948" s="29"/>
      <c r="T948" s="29"/>
    </row>
    <row r="949" ht="15.75" customHeight="1">
      <c r="A949" s="120"/>
      <c r="B949" s="120"/>
      <c r="Q949" s="117"/>
      <c r="R949" s="29"/>
      <c r="S949" s="29"/>
      <c r="T949" s="29"/>
    </row>
    <row r="950" ht="15.75" customHeight="1">
      <c r="A950" s="120"/>
      <c r="B950" s="120"/>
      <c r="Q950" s="117"/>
      <c r="R950" s="29"/>
      <c r="S950" s="29"/>
      <c r="T950" s="29"/>
    </row>
    <row r="951" ht="15.75" customHeight="1">
      <c r="A951" s="120"/>
      <c r="B951" s="120"/>
      <c r="Q951" s="117"/>
      <c r="R951" s="29"/>
      <c r="S951" s="29"/>
      <c r="T951" s="29"/>
    </row>
    <row r="952" ht="15.75" customHeight="1">
      <c r="A952" s="120"/>
      <c r="B952" s="120"/>
      <c r="Q952" s="117"/>
      <c r="R952" s="29"/>
      <c r="S952" s="29"/>
      <c r="T952" s="29"/>
    </row>
    <row r="953" ht="15.75" customHeight="1">
      <c r="A953" s="120"/>
      <c r="B953" s="120"/>
      <c r="Q953" s="117"/>
      <c r="R953" s="29"/>
      <c r="S953" s="29"/>
      <c r="T953" s="29"/>
    </row>
    <row r="954" ht="15.75" customHeight="1">
      <c r="A954" s="120"/>
      <c r="B954" s="120"/>
      <c r="Q954" s="117"/>
      <c r="R954" s="29"/>
      <c r="S954" s="29"/>
      <c r="T954" s="29"/>
    </row>
    <row r="955" ht="15.75" customHeight="1">
      <c r="A955" s="120"/>
      <c r="B955" s="120"/>
      <c r="Q955" s="117"/>
      <c r="R955" s="29"/>
      <c r="S955" s="29"/>
      <c r="T955" s="29"/>
    </row>
    <row r="956" ht="15.75" customHeight="1">
      <c r="A956" s="120"/>
      <c r="B956" s="120"/>
      <c r="Q956" s="117"/>
      <c r="R956" s="29"/>
      <c r="S956" s="29"/>
      <c r="T956" s="29"/>
    </row>
    <row r="957" ht="15.75" customHeight="1">
      <c r="A957" s="120"/>
      <c r="B957" s="120"/>
      <c r="Q957" s="117"/>
      <c r="R957" s="29"/>
      <c r="S957" s="29"/>
      <c r="T957" s="29"/>
    </row>
    <row r="958" ht="15.75" customHeight="1">
      <c r="A958" s="120"/>
      <c r="B958" s="120"/>
      <c r="Q958" s="117"/>
      <c r="R958" s="29"/>
      <c r="S958" s="29"/>
      <c r="T958" s="29"/>
    </row>
    <row r="959" ht="15.75" customHeight="1">
      <c r="A959" s="120"/>
      <c r="B959" s="120"/>
      <c r="Q959" s="117"/>
      <c r="R959" s="29"/>
      <c r="S959" s="29"/>
      <c r="T959" s="29"/>
    </row>
    <row r="960" ht="15.75" customHeight="1">
      <c r="A960" s="120"/>
      <c r="B960" s="120"/>
      <c r="Q960" s="117"/>
      <c r="R960" s="29"/>
      <c r="S960" s="29"/>
      <c r="T960" s="29"/>
    </row>
    <row r="961" ht="15.75" customHeight="1">
      <c r="A961" s="120"/>
      <c r="B961" s="120"/>
      <c r="Q961" s="117"/>
      <c r="R961" s="29"/>
      <c r="S961" s="29"/>
      <c r="T961" s="29"/>
    </row>
    <row r="962" ht="15.75" customHeight="1">
      <c r="A962" s="120"/>
      <c r="B962" s="120"/>
      <c r="Q962" s="117"/>
      <c r="R962" s="29"/>
      <c r="S962" s="29"/>
      <c r="T962" s="29"/>
    </row>
    <row r="963" ht="15.75" customHeight="1">
      <c r="A963" s="120"/>
      <c r="B963" s="120"/>
      <c r="Q963" s="117"/>
      <c r="R963" s="29"/>
      <c r="S963" s="29"/>
      <c r="T963" s="29"/>
    </row>
    <row r="964" ht="15.75" customHeight="1">
      <c r="A964" s="120"/>
      <c r="B964" s="120"/>
      <c r="Q964" s="117"/>
      <c r="R964" s="29"/>
      <c r="S964" s="29"/>
      <c r="T964" s="29"/>
    </row>
    <row r="965" ht="15.75" customHeight="1">
      <c r="A965" s="120"/>
      <c r="B965" s="120"/>
      <c r="Q965" s="117"/>
      <c r="R965" s="29"/>
      <c r="S965" s="29"/>
      <c r="T965" s="29"/>
    </row>
    <row r="966" ht="15.75" customHeight="1">
      <c r="A966" s="120"/>
      <c r="B966" s="120"/>
      <c r="Q966" s="117"/>
      <c r="R966" s="29"/>
      <c r="S966" s="29"/>
      <c r="T966" s="29"/>
    </row>
    <row r="967" ht="15.75" customHeight="1">
      <c r="A967" s="120"/>
      <c r="B967" s="120"/>
      <c r="Q967" s="117"/>
      <c r="R967" s="29"/>
      <c r="S967" s="29"/>
      <c r="T967" s="29"/>
    </row>
    <row r="968" ht="15.75" customHeight="1">
      <c r="A968" s="120"/>
      <c r="B968" s="120"/>
      <c r="Q968" s="117"/>
      <c r="R968" s="29"/>
      <c r="S968" s="29"/>
      <c r="T968" s="29"/>
    </row>
    <row r="969" ht="15.75" customHeight="1">
      <c r="A969" s="120"/>
      <c r="B969" s="120"/>
      <c r="Q969" s="117"/>
      <c r="R969" s="29"/>
      <c r="S969" s="29"/>
      <c r="T969" s="29"/>
    </row>
    <row r="970" ht="15.75" customHeight="1">
      <c r="A970" s="120"/>
      <c r="B970" s="120"/>
      <c r="Q970" s="117"/>
      <c r="R970" s="29"/>
      <c r="S970" s="29"/>
      <c r="T970" s="29"/>
    </row>
    <row r="971" ht="15.75" customHeight="1">
      <c r="A971" s="120"/>
      <c r="B971" s="120"/>
      <c r="Q971" s="117"/>
      <c r="R971" s="29"/>
      <c r="S971" s="29"/>
      <c r="T971" s="29"/>
    </row>
    <row r="972" ht="15.75" customHeight="1">
      <c r="A972" s="120"/>
      <c r="B972" s="120"/>
      <c r="Q972" s="117"/>
      <c r="R972" s="29"/>
      <c r="S972" s="29"/>
      <c r="T972" s="29"/>
    </row>
    <row r="973" ht="15.75" customHeight="1">
      <c r="A973" s="120"/>
      <c r="B973" s="120"/>
      <c r="Q973" s="117"/>
      <c r="R973" s="29"/>
      <c r="S973" s="29"/>
      <c r="T973" s="29"/>
    </row>
    <row r="974" ht="15.75" customHeight="1">
      <c r="A974" s="120"/>
      <c r="B974" s="120"/>
      <c r="Q974" s="117"/>
      <c r="R974" s="29"/>
      <c r="S974" s="29"/>
      <c r="T974" s="29"/>
    </row>
    <row r="975" ht="15.75" customHeight="1">
      <c r="A975" s="120"/>
      <c r="B975" s="120"/>
      <c r="Q975" s="117"/>
      <c r="R975" s="29"/>
      <c r="S975" s="29"/>
      <c r="T975" s="29"/>
    </row>
    <row r="976" ht="15.75" customHeight="1">
      <c r="A976" s="120"/>
      <c r="B976" s="120"/>
      <c r="Q976" s="117"/>
      <c r="R976" s="29"/>
      <c r="S976" s="29"/>
      <c r="T976" s="29"/>
    </row>
    <row r="977" ht="15.75" customHeight="1">
      <c r="A977" s="120"/>
      <c r="B977" s="120"/>
      <c r="Q977" s="117"/>
      <c r="R977" s="29"/>
      <c r="S977" s="29"/>
      <c r="T977" s="29"/>
    </row>
    <row r="978" ht="15.75" customHeight="1">
      <c r="A978" s="120"/>
      <c r="B978" s="120"/>
      <c r="Q978" s="117"/>
      <c r="R978" s="29"/>
      <c r="S978" s="29"/>
      <c r="T978" s="29"/>
    </row>
    <row r="979" ht="15.75" customHeight="1">
      <c r="A979" s="120"/>
      <c r="B979" s="120"/>
      <c r="Q979" s="117"/>
      <c r="R979" s="29"/>
      <c r="S979" s="29"/>
      <c r="T979" s="29"/>
    </row>
    <row r="980" ht="15.75" customHeight="1">
      <c r="A980" s="120"/>
      <c r="B980" s="120"/>
      <c r="Q980" s="117"/>
      <c r="R980" s="29"/>
      <c r="S980" s="29"/>
      <c r="T980" s="29"/>
    </row>
    <row r="981" ht="15.75" customHeight="1">
      <c r="A981" s="120"/>
      <c r="B981" s="120"/>
      <c r="Q981" s="117"/>
      <c r="R981" s="29"/>
      <c r="S981" s="29"/>
      <c r="T981" s="29"/>
    </row>
    <row r="982" ht="15.75" customHeight="1">
      <c r="A982" s="120"/>
      <c r="B982" s="120"/>
      <c r="Q982" s="117"/>
      <c r="R982" s="29"/>
      <c r="S982" s="29"/>
      <c r="T982" s="29"/>
    </row>
    <row r="983" ht="15.75" customHeight="1">
      <c r="A983" s="120"/>
      <c r="B983" s="120"/>
      <c r="Q983" s="117"/>
      <c r="R983" s="29"/>
      <c r="S983" s="29"/>
      <c r="T983" s="29"/>
    </row>
    <row r="984" ht="15.75" customHeight="1">
      <c r="A984" s="120"/>
      <c r="B984" s="120"/>
      <c r="Q984" s="117"/>
      <c r="R984" s="29"/>
      <c r="S984" s="29"/>
      <c r="T984" s="29"/>
    </row>
    <row r="985" ht="15.75" customHeight="1">
      <c r="A985" s="120"/>
      <c r="B985" s="120"/>
      <c r="Q985" s="117"/>
      <c r="R985" s="29"/>
      <c r="S985" s="29"/>
      <c r="T985" s="29"/>
    </row>
    <row r="986" ht="15.75" customHeight="1">
      <c r="A986" s="120"/>
      <c r="B986" s="120"/>
      <c r="Q986" s="117"/>
      <c r="R986" s="29"/>
      <c r="S986" s="29"/>
      <c r="T986" s="29"/>
    </row>
    <row r="987" ht="15.75" customHeight="1">
      <c r="A987" s="120"/>
      <c r="B987" s="120"/>
      <c r="Q987" s="117"/>
      <c r="R987" s="29"/>
      <c r="S987" s="29"/>
      <c r="T987" s="29"/>
    </row>
    <row r="988" ht="15.75" customHeight="1">
      <c r="A988" s="120"/>
      <c r="B988" s="120"/>
      <c r="Q988" s="117"/>
      <c r="R988" s="29"/>
      <c r="S988" s="29"/>
      <c r="T988" s="29"/>
    </row>
    <row r="989" ht="15.75" customHeight="1">
      <c r="A989" s="120"/>
      <c r="B989" s="120"/>
      <c r="Q989" s="117"/>
      <c r="R989" s="29"/>
      <c r="S989" s="29"/>
      <c r="T989" s="29"/>
    </row>
    <row r="990" ht="15.75" customHeight="1">
      <c r="A990" s="120"/>
      <c r="B990" s="120"/>
      <c r="Q990" s="117"/>
      <c r="R990" s="29"/>
      <c r="S990" s="29"/>
      <c r="T990" s="29"/>
    </row>
    <row r="991" ht="15.75" customHeight="1">
      <c r="A991" s="120"/>
      <c r="B991" s="120"/>
      <c r="Q991" s="117"/>
      <c r="R991" s="29"/>
      <c r="S991" s="29"/>
      <c r="T991" s="29"/>
    </row>
    <row r="992" ht="15.75" customHeight="1">
      <c r="A992" s="120"/>
      <c r="B992" s="120"/>
      <c r="Q992" s="117"/>
      <c r="R992" s="29"/>
      <c r="S992" s="29"/>
      <c r="T992" s="29"/>
    </row>
    <row r="993" ht="15.75" customHeight="1">
      <c r="A993" s="120"/>
      <c r="B993" s="120"/>
      <c r="Q993" s="117"/>
      <c r="R993" s="29"/>
      <c r="S993" s="29"/>
      <c r="T993" s="29"/>
    </row>
    <row r="994" ht="15.75" customHeight="1">
      <c r="A994" s="120"/>
      <c r="B994" s="120"/>
      <c r="Q994" s="117"/>
      <c r="R994" s="29"/>
      <c r="S994" s="29"/>
      <c r="T994" s="29"/>
    </row>
    <row r="995" ht="15.75" customHeight="1">
      <c r="A995" s="120"/>
      <c r="B995" s="120"/>
      <c r="Q995" s="117"/>
      <c r="R995" s="29"/>
      <c r="S995" s="29"/>
      <c r="T995" s="29"/>
    </row>
    <row r="996" ht="15.75" customHeight="1">
      <c r="A996" s="120"/>
      <c r="B996" s="120"/>
      <c r="Q996" s="117"/>
      <c r="R996" s="29"/>
      <c r="S996" s="29"/>
      <c r="T996" s="29"/>
    </row>
    <row r="997" ht="15.75" customHeight="1">
      <c r="A997" s="120"/>
      <c r="B997" s="120"/>
      <c r="Q997" s="117"/>
      <c r="R997" s="29"/>
      <c r="S997" s="29"/>
      <c r="T997" s="29"/>
    </row>
    <row r="998" ht="15.75" customHeight="1">
      <c r="A998" s="120"/>
      <c r="B998" s="120"/>
      <c r="Q998" s="117"/>
      <c r="R998" s="29"/>
      <c r="S998" s="29"/>
      <c r="T998" s="29"/>
    </row>
    <row r="999" ht="15.75" customHeight="1">
      <c r="A999" s="120"/>
      <c r="B999" s="120"/>
      <c r="Q999" s="117"/>
      <c r="R999" s="29"/>
      <c r="S999" s="29"/>
      <c r="T999" s="29"/>
    </row>
    <row r="1000" ht="15.75" customHeight="1">
      <c r="A1000" s="120"/>
      <c r="B1000" s="120"/>
      <c r="Q1000" s="117"/>
      <c r="R1000" s="29"/>
      <c r="S1000" s="29"/>
      <c r="T1000" s="29"/>
    </row>
    <row r="1001" ht="15.75" customHeight="1">
      <c r="A1001" s="120"/>
      <c r="B1001" s="120"/>
      <c r="Q1001" s="117"/>
      <c r="R1001" s="29"/>
      <c r="S1001" s="29"/>
      <c r="T1001" s="29"/>
    </row>
    <row r="1002" ht="15.75" customHeight="1">
      <c r="A1002" s="120"/>
      <c r="B1002" s="120"/>
      <c r="Q1002" s="117"/>
      <c r="R1002" s="29"/>
      <c r="S1002" s="29"/>
      <c r="T1002" s="29"/>
    </row>
    <row r="1003" ht="15.75" customHeight="1">
      <c r="A1003" s="120"/>
      <c r="B1003" s="120"/>
      <c r="Q1003" s="117"/>
      <c r="R1003" s="29"/>
      <c r="S1003" s="29"/>
      <c r="T1003" s="29"/>
    </row>
    <row r="1004" ht="15.75" customHeight="1">
      <c r="A1004" s="120"/>
      <c r="B1004" s="120"/>
      <c r="Q1004" s="117"/>
      <c r="R1004" s="29"/>
      <c r="S1004" s="29"/>
      <c r="T1004" s="29"/>
    </row>
    <row r="1005" ht="15.75" customHeight="1">
      <c r="A1005" s="120"/>
      <c r="B1005" s="120"/>
      <c r="Q1005" s="117"/>
      <c r="R1005" s="29"/>
      <c r="S1005" s="29"/>
      <c r="T1005" s="29"/>
    </row>
    <row r="1006" ht="15.75" customHeight="1">
      <c r="A1006" s="120"/>
      <c r="B1006" s="120"/>
      <c r="Q1006" s="117"/>
      <c r="R1006" s="29"/>
      <c r="S1006" s="29"/>
      <c r="T1006" s="29"/>
    </row>
    <row r="1007" ht="15.75" customHeight="1">
      <c r="A1007" s="120"/>
      <c r="B1007" s="120"/>
      <c r="Q1007" s="117"/>
      <c r="R1007" s="29"/>
      <c r="S1007" s="29"/>
      <c r="T1007" s="29"/>
    </row>
    <row r="1008" ht="15.75" customHeight="1">
      <c r="A1008" s="120"/>
      <c r="B1008" s="120"/>
      <c r="Q1008" s="117"/>
      <c r="R1008" s="29"/>
      <c r="S1008" s="29"/>
      <c r="T1008" s="29"/>
    </row>
    <row r="1009" ht="15.75" customHeight="1">
      <c r="A1009" s="120"/>
      <c r="B1009" s="120"/>
      <c r="Q1009" s="117"/>
      <c r="R1009" s="29"/>
      <c r="S1009" s="29"/>
      <c r="T1009" s="29"/>
    </row>
    <row r="1010" ht="15.75" customHeight="1">
      <c r="A1010" s="120"/>
      <c r="B1010" s="120"/>
      <c r="Q1010" s="117"/>
      <c r="R1010" s="29"/>
      <c r="S1010" s="29"/>
      <c r="T1010" s="29"/>
    </row>
    <row r="1011" ht="15.75" customHeight="1">
      <c r="A1011" s="120"/>
      <c r="B1011" s="120"/>
      <c r="Q1011" s="117"/>
      <c r="R1011" s="29"/>
      <c r="S1011" s="29"/>
      <c r="T1011" s="29"/>
    </row>
    <row r="1012" ht="15.75" customHeight="1">
      <c r="A1012" s="120"/>
      <c r="B1012" s="120"/>
      <c r="Q1012" s="117"/>
      <c r="R1012" s="29"/>
      <c r="S1012" s="29"/>
      <c r="T1012" s="29"/>
    </row>
    <row r="1013" ht="15.75" customHeight="1">
      <c r="A1013" s="120"/>
      <c r="B1013" s="120"/>
      <c r="Q1013" s="117"/>
      <c r="R1013" s="29"/>
      <c r="S1013" s="29"/>
      <c r="T1013" s="29"/>
    </row>
    <row r="1014" ht="15.75" customHeight="1">
      <c r="A1014" s="120"/>
      <c r="B1014" s="120"/>
      <c r="Q1014" s="117"/>
      <c r="R1014" s="29"/>
      <c r="S1014" s="29"/>
      <c r="T1014" s="29"/>
    </row>
    <row r="1015" ht="15.75" customHeight="1">
      <c r="A1015" s="120"/>
      <c r="B1015" s="120"/>
      <c r="Q1015" s="117"/>
      <c r="R1015" s="29"/>
      <c r="S1015" s="29"/>
      <c r="T1015" s="29"/>
    </row>
    <row r="1016" ht="15.75" customHeight="1">
      <c r="A1016" s="120"/>
      <c r="B1016" s="120"/>
      <c r="Q1016" s="117"/>
      <c r="R1016" s="29"/>
      <c r="S1016" s="29"/>
      <c r="T1016" s="29"/>
    </row>
    <row r="1017" ht="15.75" customHeight="1">
      <c r="A1017" s="120"/>
      <c r="B1017" s="120"/>
      <c r="Q1017" s="117"/>
      <c r="R1017" s="29"/>
      <c r="S1017" s="29"/>
      <c r="T1017" s="29"/>
    </row>
    <row r="1018" ht="15.75" customHeight="1">
      <c r="A1018" s="120"/>
      <c r="B1018" s="120"/>
      <c r="Q1018" s="117"/>
      <c r="R1018" s="29"/>
      <c r="S1018" s="29"/>
      <c r="T1018" s="29"/>
    </row>
    <row r="1019" ht="15.75" customHeight="1">
      <c r="A1019" s="120"/>
      <c r="B1019" s="120"/>
      <c r="Q1019" s="117"/>
      <c r="R1019" s="29"/>
      <c r="S1019" s="29"/>
      <c r="T1019" s="29"/>
    </row>
    <row r="1020" ht="15.75" customHeight="1">
      <c r="A1020" s="120"/>
      <c r="B1020" s="120"/>
      <c r="Q1020" s="117"/>
      <c r="R1020" s="29"/>
      <c r="S1020" s="29">
        <f>SUBTOTAL(109,T:T)</f>
        <v>1623188</v>
      </c>
      <c r="T1020" s="29"/>
    </row>
    <row r="1021" ht="15.75" customHeight="1">
      <c r="A1021" s="120"/>
      <c r="B1021" s="120"/>
      <c r="Q1021" s="117"/>
      <c r="R1021" s="29"/>
      <c r="S1021" s="29"/>
      <c r="T1021" s="29"/>
    </row>
    <row r="1022" ht="15.75" customHeight="1">
      <c r="A1022" s="120"/>
      <c r="B1022" s="120"/>
      <c r="Q1022" s="117"/>
      <c r="R1022" s="29"/>
      <c r="S1022" s="29">
        <f>S1020+FRESADO!T853</f>
        <v>1623588</v>
      </c>
      <c r="T1022" s="29"/>
    </row>
    <row r="1023" ht="15.75" customHeight="1">
      <c r="A1023" s="120"/>
      <c r="B1023" s="120"/>
      <c r="Q1023" s="117"/>
      <c r="R1023" s="29"/>
      <c r="S1023" s="29"/>
      <c r="T1023" s="29"/>
    </row>
    <row r="1024" ht="15.75" customHeight="1">
      <c r="A1024" s="120"/>
      <c r="B1024" s="120"/>
      <c r="Q1024" s="117"/>
      <c r="R1024" s="29"/>
      <c r="S1024" s="29">
        <f>S1022-1394000</f>
        <v>229588</v>
      </c>
      <c r="T1024" s="29"/>
    </row>
    <row r="1025" ht="15.75" customHeight="1">
      <c r="A1025" s="120"/>
      <c r="B1025" s="120"/>
      <c r="Q1025" s="117"/>
      <c r="R1025" s="29"/>
      <c r="S1025" s="29"/>
      <c r="T1025" s="29"/>
    </row>
    <row r="1026" ht="15.75" customHeight="1">
      <c r="A1026" s="120"/>
      <c r="B1026" s="120"/>
      <c r="Q1026" s="117"/>
      <c r="R1026" s="29"/>
      <c r="S1026" s="29"/>
      <c r="T1026" s="29"/>
    </row>
    <row r="1027" ht="15.75" customHeight="1">
      <c r="A1027" s="120"/>
      <c r="B1027" s="120"/>
      <c r="Q1027" s="117"/>
      <c r="R1027" s="29"/>
      <c r="S1027" s="29"/>
      <c r="T1027" s="29"/>
    </row>
    <row r="1028" ht="15.75" customHeight="1">
      <c r="A1028" s="120"/>
      <c r="B1028" s="120"/>
      <c r="Q1028" s="117"/>
      <c r="R1028" s="29"/>
      <c r="S1028" s="29"/>
      <c r="T1028" s="29"/>
    </row>
    <row r="1029" ht="15.75" customHeight="1">
      <c r="A1029" s="120"/>
      <c r="B1029" s="120"/>
      <c r="Q1029" s="117"/>
      <c r="R1029" s="29"/>
      <c r="S1029" s="29"/>
      <c r="T1029" s="29"/>
    </row>
    <row r="1030" ht="15.75" customHeight="1">
      <c r="A1030" s="120"/>
      <c r="B1030" s="120"/>
      <c r="Q1030" s="117"/>
      <c r="R1030" s="29"/>
      <c r="S1030" s="29"/>
      <c r="T1030" s="29"/>
    </row>
    <row r="1031" ht="15.75" customHeight="1">
      <c r="A1031" s="120"/>
      <c r="B1031" s="120"/>
      <c r="Q1031" s="117"/>
      <c r="R1031" s="29"/>
      <c r="S1031" s="29"/>
      <c r="T1031" s="29"/>
    </row>
    <row r="1032" ht="15.75" customHeight="1">
      <c r="A1032" s="120"/>
      <c r="B1032" s="120"/>
      <c r="Q1032" s="117"/>
      <c r="R1032" s="29"/>
      <c r="S1032" s="29"/>
      <c r="T1032" s="29"/>
    </row>
    <row r="1033" ht="15.75" customHeight="1">
      <c r="A1033" s="120"/>
      <c r="B1033" s="120"/>
      <c r="Q1033" s="117"/>
      <c r="R1033" s="29"/>
      <c r="S1033" s="29"/>
      <c r="T1033" s="29"/>
    </row>
    <row r="1034" ht="15.75" customHeight="1">
      <c r="A1034" s="120"/>
      <c r="B1034" s="120"/>
      <c r="Q1034" s="117"/>
      <c r="R1034" s="29"/>
      <c r="S1034" s="29"/>
      <c r="T1034" s="29"/>
    </row>
    <row r="1035" ht="15.75" customHeight="1">
      <c r="A1035" s="120"/>
      <c r="B1035" s="120"/>
      <c r="Q1035" s="117"/>
      <c r="R1035" s="29"/>
      <c r="S1035" s="29"/>
      <c r="T1035" s="29"/>
    </row>
    <row r="1036" ht="15.75" customHeight="1">
      <c r="A1036" s="120"/>
      <c r="B1036" s="120"/>
      <c r="Q1036" s="117"/>
      <c r="R1036" s="29"/>
      <c r="S1036" s="29"/>
      <c r="T1036" s="29"/>
    </row>
    <row r="1037" ht="15.75" customHeight="1">
      <c r="A1037" s="120"/>
      <c r="B1037" s="120"/>
      <c r="Q1037" s="117"/>
      <c r="R1037" s="29"/>
      <c r="S1037" s="29"/>
      <c r="T1037" s="29"/>
    </row>
    <row r="1038" ht="15.75" customHeight="1">
      <c r="A1038" s="120"/>
      <c r="B1038" s="120"/>
      <c r="Q1038" s="117"/>
      <c r="R1038" s="29"/>
      <c r="S1038" s="29"/>
      <c r="T1038" s="29"/>
    </row>
    <row r="1039" ht="15.75" customHeight="1">
      <c r="A1039" s="120"/>
      <c r="B1039" s="120"/>
      <c r="Q1039" s="117"/>
      <c r="R1039" s="29"/>
      <c r="S1039" s="29"/>
      <c r="T1039" s="29"/>
    </row>
    <row r="1040" ht="15.75" customHeight="1">
      <c r="A1040" s="120"/>
      <c r="B1040" s="120"/>
      <c r="Q1040" s="117"/>
      <c r="R1040" s="29"/>
      <c r="S1040" s="29"/>
      <c r="T1040" s="29"/>
    </row>
    <row r="1041" ht="15.75" customHeight="1">
      <c r="A1041" s="120"/>
      <c r="B1041" s="120"/>
      <c r="Q1041" s="117"/>
      <c r="R1041" s="29"/>
      <c r="S1041" s="29"/>
      <c r="T1041" s="29"/>
    </row>
    <row r="1042" ht="15.75" customHeight="1">
      <c r="A1042" s="120"/>
      <c r="B1042" s="120"/>
      <c r="Q1042" s="117"/>
      <c r="R1042" s="29"/>
      <c r="S1042" s="29"/>
      <c r="T1042" s="29"/>
    </row>
    <row r="1043" ht="15.75" customHeight="1">
      <c r="A1043" s="120"/>
      <c r="B1043" s="120"/>
      <c r="Q1043" s="117"/>
      <c r="R1043" s="29"/>
      <c r="S1043" s="29"/>
      <c r="T1043" s="29"/>
    </row>
    <row r="1044" ht="15.75" customHeight="1">
      <c r="A1044" s="120"/>
      <c r="B1044" s="120"/>
      <c r="Q1044" s="117"/>
      <c r="R1044" s="29"/>
      <c r="S1044" s="29"/>
      <c r="T1044" s="29"/>
    </row>
    <row r="1045" ht="15.75" customHeight="1">
      <c r="A1045" s="120"/>
      <c r="B1045" s="120"/>
      <c r="Q1045" s="117"/>
      <c r="R1045" s="29"/>
      <c r="S1045" s="29"/>
      <c r="T1045" s="29"/>
    </row>
    <row r="1046" ht="15.75" customHeight="1">
      <c r="A1046" s="120"/>
      <c r="B1046" s="120"/>
      <c r="Q1046" s="117"/>
      <c r="R1046" s="29"/>
      <c r="S1046" s="29"/>
      <c r="T1046" s="29"/>
    </row>
    <row r="1047" ht="15.75" customHeight="1">
      <c r="A1047" s="120"/>
      <c r="B1047" s="120"/>
      <c r="Q1047" s="117"/>
      <c r="R1047" s="29"/>
      <c r="S1047" s="29"/>
      <c r="T1047" s="29"/>
    </row>
    <row r="1048" ht="15.75" customHeight="1">
      <c r="A1048" s="120"/>
      <c r="B1048" s="120"/>
      <c r="Q1048" s="117"/>
      <c r="R1048" s="29"/>
      <c r="S1048" s="29"/>
      <c r="T1048" s="29"/>
    </row>
    <row r="1049" ht="15.75" customHeight="1">
      <c r="A1049" s="120"/>
      <c r="B1049" s="120"/>
      <c r="Q1049" s="117"/>
      <c r="R1049" s="29"/>
      <c r="S1049" s="29"/>
      <c r="T1049" s="29"/>
    </row>
    <row r="1050" ht="15.75" customHeight="1">
      <c r="A1050" s="120"/>
      <c r="B1050" s="120"/>
      <c r="Q1050" s="117"/>
      <c r="R1050" s="29"/>
      <c r="S1050" s="29"/>
      <c r="T1050" s="29"/>
    </row>
    <row r="1051" ht="15.75" customHeight="1">
      <c r="A1051" s="120"/>
      <c r="B1051" s="120"/>
      <c r="Q1051" s="117"/>
      <c r="R1051" s="29"/>
      <c r="S1051" s="29"/>
      <c r="T1051" s="29"/>
    </row>
    <row r="1052" ht="15.75" customHeight="1">
      <c r="A1052" s="120"/>
      <c r="B1052" s="120"/>
      <c r="Q1052" s="117"/>
      <c r="R1052" s="29"/>
      <c r="S1052" s="29"/>
      <c r="T1052" s="29"/>
    </row>
    <row r="1053" ht="15.75" customHeight="1">
      <c r="A1053" s="120"/>
      <c r="B1053" s="120"/>
      <c r="Q1053" s="117"/>
      <c r="R1053" s="29"/>
      <c r="S1053" s="29"/>
      <c r="T1053" s="29"/>
    </row>
    <row r="1054" ht="15.75" customHeight="1">
      <c r="A1054" s="120"/>
      <c r="B1054" s="120"/>
      <c r="Q1054" s="117"/>
      <c r="R1054" s="29"/>
      <c r="S1054" s="29"/>
      <c r="T1054" s="29"/>
    </row>
    <row r="1055" ht="15.75" customHeight="1">
      <c r="A1055" s="120"/>
      <c r="B1055" s="120"/>
      <c r="Q1055" s="117"/>
      <c r="R1055" s="29"/>
      <c r="S1055" s="29"/>
      <c r="T1055" s="29"/>
    </row>
    <row r="1056" ht="15.75" customHeight="1">
      <c r="A1056" s="120"/>
      <c r="B1056" s="120"/>
      <c r="Q1056" s="117"/>
      <c r="R1056" s="29"/>
      <c r="S1056" s="29"/>
      <c r="T1056" s="29"/>
    </row>
    <row r="1057" ht="15.75" customHeight="1">
      <c r="A1057" s="120"/>
      <c r="B1057" s="120"/>
      <c r="Q1057" s="117"/>
      <c r="R1057" s="29"/>
      <c r="S1057" s="29"/>
      <c r="T1057" s="29"/>
    </row>
    <row r="1058" ht="15.75" customHeight="1">
      <c r="A1058" s="120"/>
      <c r="B1058" s="120"/>
      <c r="Q1058" s="117"/>
      <c r="R1058" s="29"/>
      <c r="S1058" s="29"/>
      <c r="T1058" s="29"/>
    </row>
    <row r="1059" ht="15.75" customHeight="1">
      <c r="A1059" s="120"/>
      <c r="B1059" s="120"/>
      <c r="Q1059" s="117"/>
      <c r="R1059" s="29"/>
      <c r="S1059" s="29"/>
      <c r="T1059" s="29"/>
    </row>
    <row r="1060" ht="15.75" customHeight="1">
      <c r="A1060" s="120"/>
      <c r="B1060" s="120"/>
      <c r="Q1060" s="117"/>
      <c r="R1060" s="29"/>
      <c r="S1060" s="29"/>
      <c r="T1060" s="29"/>
    </row>
    <row r="1061" ht="15.75" customHeight="1">
      <c r="A1061" s="120"/>
      <c r="B1061" s="120"/>
      <c r="Q1061" s="117"/>
      <c r="R1061" s="29"/>
      <c r="S1061" s="29"/>
      <c r="T1061" s="29"/>
    </row>
    <row r="1062" ht="15.75" customHeight="1">
      <c r="A1062" s="120"/>
      <c r="B1062" s="120"/>
      <c r="Q1062" s="117"/>
      <c r="R1062" s="29"/>
      <c r="S1062" s="29"/>
      <c r="T1062" s="29"/>
    </row>
    <row r="1063" ht="15.75" customHeight="1">
      <c r="A1063" s="120"/>
      <c r="B1063" s="120"/>
      <c r="Q1063" s="117"/>
      <c r="R1063" s="29"/>
      <c r="S1063" s="29"/>
      <c r="T1063" s="29"/>
    </row>
    <row r="1064" ht="15.75" customHeight="1">
      <c r="A1064" s="120"/>
      <c r="B1064" s="120"/>
      <c r="Q1064" s="117"/>
      <c r="R1064" s="29"/>
      <c r="S1064" s="29"/>
      <c r="T1064" s="29"/>
    </row>
    <row r="1065" ht="15.75" customHeight="1">
      <c r="A1065" s="120"/>
      <c r="B1065" s="120"/>
      <c r="Q1065" s="117"/>
      <c r="R1065" s="29"/>
      <c r="S1065" s="29"/>
      <c r="T1065" s="29"/>
    </row>
    <row r="1066" ht="15.75" customHeight="1">
      <c r="A1066" s="120"/>
      <c r="B1066" s="120"/>
      <c r="Q1066" s="117"/>
      <c r="R1066" s="29"/>
      <c r="S1066" s="29"/>
      <c r="T1066" s="29"/>
    </row>
    <row r="1067" ht="15.75" customHeight="1">
      <c r="A1067" s="120"/>
      <c r="B1067" s="120"/>
      <c r="Q1067" s="117"/>
      <c r="R1067" s="29"/>
      <c r="S1067" s="29"/>
      <c r="T1067" s="29"/>
    </row>
    <row r="1068" ht="15.75" customHeight="1">
      <c r="A1068" s="120"/>
      <c r="B1068" s="120"/>
      <c r="Q1068" s="117"/>
      <c r="R1068" s="29"/>
      <c r="S1068" s="29"/>
      <c r="T1068" s="29"/>
    </row>
    <row r="1069" ht="15.75" customHeight="1">
      <c r="A1069" s="120"/>
      <c r="B1069" s="120"/>
      <c r="Q1069" s="117"/>
      <c r="R1069" s="29"/>
      <c r="S1069" s="29"/>
      <c r="T1069" s="29"/>
    </row>
    <row r="1070" ht="15.75" customHeight="1">
      <c r="A1070" s="120"/>
      <c r="B1070" s="120"/>
      <c r="Q1070" s="117"/>
      <c r="R1070" s="29"/>
      <c r="S1070" s="29"/>
      <c r="T1070" s="29"/>
    </row>
    <row r="1071" ht="15.75" customHeight="1">
      <c r="A1071" s="120"/>
      <c r="B1071" s="120"/>
      <c r="Q1071" s="117"/>
      <c r="R1071" s="29"/>
      <c r="S1071" s="29"/>
      <c r="T1071" s="29"/>
    </row>
    <row r="1072" ht="15.75" customHeight="1">
      <c r="A1072" s="120"/>
      <c r="B1072" s="120"/>
      <c r="Q1072" s="117"/>
      <c r="R1072" s="29"/>
      <c r="S1072" s="29"/>
      <c r="T1072" s="29"/>
    </row>
    <row r="1073" ht="15.75" customHeight="1">
      <c r="A1073" s="120"/>
      <c r="B1073" s="120"/>
      <c r="Q1073" s="117"/>
      <c r="R1073" s="29"/>
      <c r="S1073" s="29"/>
      <c r="T1073" s="29"/>
    </row>
    <row r="1074" ht="15.75" customHeight="1">
      <c r="A1074" s="120"/>
      <c r="B1074" s="120"/>
      <c r="Q1074" s="117"/>
      <c r="R1074" s="29"/>
      <c r="S1074" s="29"/>
      <c r="T1074" s="29"/>
    </row>
    <row r="1075" ht="15.75" customHeight="1">
      <c r="A1075" s="120"/>
      <c r="B1075" s="120"/>
      <c r="Q1075" s="117"/>
      <c r="R1075" s="29"/>
      <c r="S1075" s="29"/>
      <c r="T1075" s="29"/>
    </row>
    <row r="1076" ht="15.75" customHeight="1">
      <c r="A1076" s="120"/>
      <c r="B1076" s="120"/>
      <c r="Q1076" s="117"/>
      <c r="R1076" s="29"/>
      <c r="S1076" s="29"/>
      <c r="T1076" s="29"/>
    </row>
    <row r="1077" ht="15.75" customHeight="1">
      <c r="A1077" s="120"/>
      <c r="B1077" s="120"/>
      <c r="Q1077" s="117"/>
      <c r="R1077" s="29"/>
      <c r="S1077" s="29"/>
      <c r="T1077" s="29"/>
    </row>
    <row r="1078" ht="15.75" customHeight="1">
      <c r="A1078" s="120"/>
      <c r="B1078" s="120"/>
      <c r="Q1078" s="117"/>
      <c r="R1078" s="29"/>
      <c r="S1078" s="29"/>
      <c r="T1078" s="29"/>
    </row>
    <row r="1079" ht="15.75" customHeight="1">
      <c r="A1079" s="120"/>
      <c r="B1079" s="120"/>
      <c r="Q1079" s="117"/>
      <c r="R1079" s="29"/>
      <c r="S1079" s="29"/>
      <c r="T1079" s="29"/>
    </row>
    <row r="1080" ht="15.75" customHeight="1">
      <c r="A1080" s="120"/>
      <c r="B1080" s="120"/>
      <c r="Q1080" s="117"/>
      <c r="R1080" s="29"/>
      <c r="S1080" s="29"/>
      <c r="T1080" s="29"/>
    </row>
    <row r="1081" ht="15.75" customHeight="1">
      <c r="A1081" s="120"/>
      <c r="B1081" s="120"/>
      <c r="Q1081" s="117"/>
      <c r="R1081" s="29"/>
      <c r="S1081" s="29"/>
      <c r="T1081" s="29"/>
    </row>
    <row r="1082" ht="15.75" customHeight="1">
      <c r="A1082" s="120"/>
      <c r="B1082" s="120"/>
      <c r="Q1082" s="117"/>
      <c r="R1082" s="29"/>
      <c r="S1082" s="29"/>
      <c r="T1082" s="29"/>
    </row>
    <row r="1083" ht="15.75" customHeight="1">
      <c r="A1083" s="120"/>
      <c r="B1083" s="120"/>
      <c r="Q1083" s="117"/>
      <c r="R1083" s="29"/>
      <c r="S1083" s="29"/>
      <c r="T1083" s="29"/>
    </row>
    <row r="1084" ht="15.75" customHeight="1">
      <c r="A1084" s="120"/>
      <c r="B1084" s="120"/>
      <c r="Q1084" s="117"/>
      <c r="R1084" s="29"/>
      <c r="S1084" s="29"/>
      <c r="T1084" s="29"/>
    </row>
    <row r="1085" ht="15.75" customHeight="1">
      <c r="A1085" s="120"/>
      <c r="B1085" s="120"/>
      <c r="Q1085" s="117"/>
      <c r="R1085" s="29"/>
      <c r="S1085" s="29"/>
      <c r="T1085" s="29"/>
    </row>
    <row r="1086" ht="15.75" customHeight="1">
      <c r="A1086" s="120"/>
      <c r="B1086" s="120"/>
      <c r="Q1086" s="117"/>
      <c r="R1086" s="29"/>
      <c r="S1086" s="29"/>
      <c r="T1086" s="29"/>
    </row>
    <row r="1087" ht="15.75" customHeight="1">
      <c r="A1087" s="120"/>
      <c r="B1087" s="120"/>
      <c r="Q1087" s="117"/>
      <c r="R1087" s="29"/>
      <c r="S1087" s="29"/>
      <c r="T1087" s="29"/>
    </row>
    <row r="1088" ht="15.75" customHeight="1">
      <c r="A1088" s="120"/>
      <c r="B1088" s="120"/>
      <c r="Q1088" s="117"/>
      <c r="R1088" s="29"/>
      <c r="S1088" s="29"/>
      <c r="T1088" s="29"/>
    </row>
    <row r="1089" ht="15.75" customHeight="1">
      <c r="A1089" s="120"/>
      <c r="B1089" s="120"/>
      <c r="Q1089" s="117"/>
      <c r="R1089" s="29"/>
      <c r="S1089" s="29"/>
      <c r="T1089" s="29"/>
    </row>
    <row r="1090" ht="15.75" customHeight="1">
      <c r="A1090" s="120"/>
      <c r="B1090" s="120"/>
      <c r="Q1090" s="117"/>
      <c r="R1090" s="29"/>
      <c r="S1090" s="29"/>
      <c r="T1090" s="29"/>
    </row>
    <row r="1091" ht="15.75" customHeight="1">
      <c r="A1091" s="120"/>
      <c r="B1091" s="120"/>
      <c r="Q1091" s="117"/>
      <c r="R1091" s="29"/>
      <c r="S1091" s="29"/>
      <c r="T1091" s="29"/>
    </row>
    <row r="1092" ht="15.75" customHeight="1">
      <c r="A1092" s="120"/>
      <c r="B1092" s="120"/>
      <c r="Q1092" s="117"/>
      <c r="R1092" s="29"/>
      <c r="S1092" s="29"/>
      <c r="T1092" s="29"/>
    </row>
    <row r="1093" ht="15.75" customHeight="1">
      <c r="A1093" s="120"/>
      <c r="B1093" s="120"/>
      <c r="Q1093" s="117"/>
      <c r="R1093" s="29"/>
      <c r="S1093" s="29"/>
      <c r="T1093" s="29"/>
    </row>
    <row r="1094" ht="15.75" customHeight="1">
      <c r="A1094" s="120"/>
      <c r="B1094" s="120"/>
      <c r="Q1094" s="117"/>
      <c r="R1094" s="29"/>
      <c r="S1094" s="29"/>
      <c r="T1094" s="29"/>
    </row>
    <row r="1095" ht="15.75" customHeight="1">
      <c r="A1095" s="120"/>
      <c r="B1095" s="120"/>
      <c r="Q1095" s="117"/>
      <c r="R1095" s="29"/>
      <c r="S1095" s="29"/>
      <c r="T1095" s="29"/>
    </row>
    <row r="1096" ht="15.75" customHeight="1">
      <c r="A1096" s="120"/>
      <c r="B1096" s="120"/>
      <c r="Q1096" s="117"/>
      <c r="R1096" s="29"/>
      <c r="S1096" s="29"/>
      <c r="T1096" s="29"/>
    </row>
    <row r="1097" ht="15.75" customHeight="1">
      <c r="A1097" s="120"/>
      <c r="B1097" s="120"/>
      <c r="Q1097" s="117"/>
      <c r="R1097" s="29"/>
      <c r="S1097" s="29"/>
      <c r="T1097" s="29"/>
    </row>
    <row r="1098" ht="15.75" customHeight="1">
      <c r="A1098" s="120"/>
      <c r="B1098" s="120"/>
      <c r="Q1098" s="117"/>
      <c r="R1098" s="29"/>
      <c r="S1098" s="29"/>
      <c r="T1098" s="29"/>
    </row>
    <row r="1099" ht="15.75" customHeight="1">
      <c r="A1099" s="120"/>
      <c r="B1099" s="120"/>
      <c r="Q1099" s="117"/>
      <c r="R1099" s="29"/>
      <c r="S1099" s="29"/>
      <c r="T1099" s="29"/>
    </row>
    <row r="1100" ht="15.75" customHeight="1">
      <c r="A1100" s="120"/>
      <c r="B1100" s="120"/>
      <c r="Q1100" s="117"/>
      <c r="R1100" s="29"/>
      <c r="S1100" s="29"/>
      <c r="T1100" s="29"/>
    </row>
    <row r="1101" ht="15.75" customHeight="1">
      <c r="A1101" s="120"/>
      <c r="B1101" s="120"/>
      <c r="Q1101" s="117"/>
      <c r="R1101" s="29"/>
      <c r="S1101" s="29"/>
      <c r="T1101" s="29"/>
    </row>
    <row r="1102" ht="15.75" customHeight="1">
      <c r="A1102" s="120"/>
      <c r="B1102" s="120"/>
      <c r="Q1102" s="117"/>
      <c r="R1102" s="29"/>
      <c r="S1102" s="29"/>
      <c r="T1102" s="29"/>
    </row>
    <row r="1103" ht="15.75" customHeight="1">
      <c r="A1103" s="120"/>
      <c r="B1103" s="120"/>
      <c r="Q1103" s="117"/>
      <c r="R1103" s="29"/>
      <c r="S1103" s="29"/>
      <c r="T1103" s="29"/>
    </row>
    <row r="1104" ht="15.75" customHeight="1">
      <c r="A1104" s="120"/>
      <c r="B1104" s="120"/>
      <c r="Q1104" s="117"/>
      <c r="R1104" s="29"/>
      <c r="S1104" s="29"/>
      <c r="T1104" s="29"/>
    </row>
    <row r="1105" ht="15.75" customHeight="1">
      <c r="A1105" s="120"/>
      <c r="B1105" s="120"/>
      <c r="Q1105" s="117"/>
      <c r="R1105" s="29"/>
      <c r="S1105" s="29"/>
      <c r="T1105" s="29"/>
    </row>
    <row r="1106" ht="15.75" customHeight="1">
      <c r="A1106" s="120"/>
      <c r="B1106" s="120"/>
      <c r="Q1106" s="117"/>
      <c r="R1106" s="29"/>
      <c r="S1106" s="29"/>
      <c r="T1106" s="29"/>
    </row>
    <row r="1107" ht="15.75" customHeight="1">
      <c r="A1107" s="120"/>
      <c r="B1107" s="120"/>
      <c r="Q1107" s="117"/>
      <c r="R1107" s="29"/>
      <c r="S1107" s="29"/>
      <c r="T1107" s="29"/>
    </row>
    <row r="1108" ht="15.75" customHeight="1">
      <c r="A1108" s="120"/>
      <c r="B1108" s="120"/>
      <c r="Q1108" s="117"/>
      <c r="R1108" s="29"/>
      <c r="S1108" s="29"/>
      <c r="T1108" s="29"/>
    </row>
    <row r="1109" ht="15.75" customHeight="1">
      <c r="A1109" s="120"/>
      <c r="B1109" s="120"/>
      <c r="Q1109" s="117"/>
      <c r="R1109" s="29"/>
      <c r="S1109" s="29"/>
      <c r="T1109" s="29"/>
    </row>
    <row r="1110" ht="15.75" customHeight="1">
      <c r="A1110" s="120"/>
      <c r="B1110" s="120"/>
      <c r="Q1110" s="117"/>
      <c r="R1110" s="29"/>
      <c r="S1110" s="29"/>
      <c r="T1110" s="29"/>
    </row>
    <row r="1111" ht="15.75" customHeight="1">
      <c r="A1111" s="120"/>
      <c r="B1111" s="120"/>
      <c r="Q1111" s="117"/>
      <c r="R1111" s="29"/>
      <c r="S1111" s="29"/>
      <c r="T1111" s="29"/>
    </row>
    <row r="1112" ht="15.75" customHeight="1">
      <c r="A1112" s="120"/>
      <c r="B1112" s="120"/>
      <c r="Q1112" s="117"/>
      <c r="R1112" s="29"/>
      <c r="S1112" s="29"/>
      <c r="T1112" s="29"/>
    </row>
    <row r="1113" ht="15.75" customHeight="1">
      <c r="A1113" s="120"/>
      <c r="B1113" s="120"/>
      <c r="Q1113" s="117"/>
      <c r="R1113" s="29"/>
      <c r="S1113" s="29"/>
      <c r="T1113" s="29"/>
    </row>
    <row r="1114" ht="15.75" customHeight="1">
      <c r="A1114" s="120"/>
      <c r="B1114" s="120"/>
      <c r="Q1114" s="117"/>
      <c r="R1114" s="29"/>
      <c r="S1114" s="29"/>
      <c r="T1114" s="29"/>
    </row>
    <row r="1115" ht="15.75" customHeight="1">
      <c r="A1115" s="120"/>
      <c r="B1115" s="120"/>
      <c r="Q1115" s="117"/>
      <c r="R1115" s="29"/>
      <c r="S1115" s="29"/>
      <c r="T1115" s="29"/>
    </row>
    <row r="1116" ht="15.75" customHeight="1">
      <c r="A1116" s="120"/>
      <c r="B1116" s="120"/>
      <c r="Q1116" s="117"/>
      <c r="R1116" s="29"/>
      <c r="S1116" s="29"/>
      <c r="T1116" s="29"/>
    </row>
    <row r="1117" ht="15.75" customHeight="1">
      <c r="A1117" s="120"/>
      <c r="B1117" s="120"/>
      <c r="Q1117" s="117"/>
      <c r="R1117" s="29"/>
      <c r="S1117" s="29"/>
      <c r="T1117" s="29"/>
    </row>
    <row r="1118" ht="15.75" customHeight="1">
      <c r="A1118" s="120"/>
      <c r="B1118" s="120"/>
      <c r="Q1118" s="117"/>
      <c r="R1118" s="29"/>
      <c r="S1118" s="29"/>
      <c r="T1118" s="29"/>
    </row>
    <row r="1119" ht="15.75" customHeight="1">
      <c r="A1119" s="120"/>
      <c r="B1119" s="120"/>
      <c r="Q1119" s="117"/>
      <c r="R1119" s="29"/>
      <c r="S1119" s="29"/>
      <c r="T1119" s="29"/>
    </row>
    <row r="1120" ht="15.75" customHeight="1">
      <c r="A1120" s="120"/>
      <c r="B1120" s="120"/>
      <c r="Q1120" s="117"/>
      <c r="R1120" s="29"/>
      <c r="S1120" s="29"/>
      <c r="T1120" s="29"/>
    </row>
    <row r="1121" ht="15.75" customHeight="1">
      <c r="A1121" s="120"/>
      <c r="B1121" s="120"/>
      <c r="Q1121" s="117"/>
      <c r="R1121" s="29"/>
      <c r="S1121" s="29"/>
      <c r="T1121" s="29"/>
    </row>
    <row r="1122" ht="15.75" customHeight="1">
      <c r="A1122" s="120"/>
      <c r="B1122" s="120"/>
      <c r="Q1122" s="117"/>
      <c r="R1122" s="29"/>
      <c r="S1122" s="29"/>
      <c r="T1122" s="29"/>
    </row>
    <row r="1123" ht="15.75" customHeight="1">
      <c r="A1123" s="120"/>
      <c r="B1123" s="120"/>
      <c r="Q1123" s="117"/>
      <c r="R1123" s="29"/>
      <c r="S1123" s="29"/>
      <c r="T1123" s="29"/>
    </row>
    <row r="1124" ht="15.75" customHeight="1">
      <c r="A1124" s="120"/>
      <c r="B1124" s="120"/>
      <c r="Q1124" s="117"/>
      <c r="R1124" s="29"/>
      <c r="S1124" s="29"/>
      <c r="T1124" s="29"/>
    </row>
    <row r="1125" ht="15.75" customHeight="1">
      <c r="A1125" s="120"/>
      <c r="B1125" s="120"/>
      <c r="Q1125" s="117"/>
      <c r="R1125" s="29"/>
      <c r="S1125" s="29"/>
      <c r="T1125" s="29"/>
    </row>
    <row r="1126" ht="15.75" customHeight="1">
      <c r="A1126" s="120"/>
      <c r="B1126" s="120"/>
      <c r="Q1126" s="117"/>
      <c r="R1126" s="29"/>
      <c r="S1126" s="29"/>
      <c r="T1126" s="29"/>
    </row>
    <row r="1127" ht="15.75" customHeight="1">
      <c r="A1127" s="120"/>
      <c r="B1127" s="120"/>
      <c r="Q1127" s="117"/>
      <c r="R1127" s="29"/>
      <c r="S1127" s="29"/>
      <c r="T1127" s="29"/>
    </row>
    <row r="1128" ht="15.75" customHeight="1">
      <c r="A1128" s="120"/>
      <c r="B1128" s="120"/>
      <c r="Q1128" s="117"/>
      <c r="R1128" s="29"/>
      <c r="S1128" s="29"/>
      <c r="T1128" s="29"/>
    </row>
    <row r="1129" ht="15.75" customHeight="1">
      <c r="A1129" s="120"/>
      <c r="B1129" s="120"/>
      <c r="Q1129" s="117"/>
      <c r="R1129" s="29"/>
      <c r="S1129" s="29"/>
      <c r="T1129" s="29"/>
    </row>
    <row r="1130" ht="15.75" customHeight="1">
      <c r="A1130" s="120"/>
      <c r="B1130" s="120"/>
      <c r="Q1130" s="117"/>
      <c r="R1130" s="29"/>
      <c r="S1130" s="29"/>
      <c r="T1130" s="29"/>
    </row>
    <row r="1131" ht="15.75" customHeight="1">
      <c r="A1131" s="120"/>
      <c r="B1131" s="120"/>
      <c r="Q1131" s="117"/>
      <c r="R1131" s="29"/>
      <c r="S1131" s="29"/>
      <c r="T1131" s="29"/>
    </row>
    <row r="1132" ht="15.75" customHeight="1">
      <c r="A1132" s="120"/>
      <c r="B1132" s="120"/>
      <c r="Q1132" s="117"/>
      <c r="R1132" s="29"/>
      <c r="S1132" s="29"/>
      <c r="T1132" s="29"/>
    </row>
    <row r="1133" ht="15.75" customHeight="1">
      <c r="A1133" s="120"/>
      <c r="B1133" s="120"/>
      <c r="Q1133" s="117"/>
      <c r="R1133" s="29"/>
      <c r="S1133" s="29"/>
      <c r="T1133" s="29"/>
    </row>
    <row r="1134" ht="15.75" customHeight="1">
      <c r="A1134" s="120"/>
      <c r="B1134" s="120"/>
      <c r="Q1134" s="117"/>
      <c r="R1134" s="29"/>
      <c r="S1134" s="29"/>
      <c r="T1134" s="29"/>
    </row>
    <row r="1135" ht="15.75" customHeight="1">
      <c r="A1135" s="120"/>
      <c r="B1135" s="120"/>
      <c r="Q1135" s="117"/>
      <c r="R1135" s="29"/>
      <c r="S1135" s="29"/>
      <c r="T1135" s="29"/>
    </row>
    <row r="1136" ht="15.75" customHeight="1">
      <c r="A1136" s="120"/>
      <c r="B1136" s="120"/>
      <c r="Q1136" s="117"/>
      <c r="R1136" s="29"/>
      <c r="S1136" s="29"/>
      <c r="T1136" s="29"/>
    </row>
    <row r="1137" ht="15.75" customHeight="1">
      <c r="A1137" s="120"/>
      <c r="B1137" s="120"/>
      <c r="Q1137" s="117"/>
      <c r="R1137" s="29"/>
      <c r="S1137" s="29"/>
      <c r="T1137" s="29"/>
    </row>
    <row r="1138" ht="15.75" customHeight="1">
      <c r="A1138" s="120"/>
      <c r="B1138" s="120"/>
      <c r="Q1138" s="117"/>
      <c r="R1138" s="29"/>
      <c r="S1138" s="29"/>
      <c r="T1138" s="29"/>
    </row>
    <row r="1139" ht="15.75" customHeight="1">
      <c r="A1139" s="120"/>
      <c r="B1139" s="120"/>
      <c r="Q1139" s="117"/>
      <c r="R1139" s="29"/>
      <c r="S1139" s="29"/>
      <c r="T1139" s="29"/>
    </row>
    <row r="1140" ht="15.75" customHeight="1">
      <c r="A1140" s="120"/>
      <c r="B1140" s="120"/>
      <c r="Q1140" s="117"/>
      <c r="R1140" s="29"/>
      <c r="S1140" s="29"/>
      <c r="T1140" s="29"/>
    </row>
    <row r="1141" ht="15.75" customHeight="1">
      <c r="A1141" s="120"/>
      <c r="B1141" s="120"/>
      <c r="Q1141" s="117"/>
      <c r="R1141" s="29"/>
      <c r="S1141" s="29"/>
      <c r="T1141" s="29"/>
    </row>
    <row r="1142" ht="15.75" customHeight="1">
      <c r="A1142" s="120"/>
      <c r="B1142" s="120"/>
      <c r="Q1142" s="117"/>
      <c r="R1142" s="29"/>
      <c r="S1142" s="29"/>
      <c r="T1142" s="29"/>
    </row>
    <row r="1143" ht="15.75" customHeight="1">
      <c r="A1143" s="120"/>
      <c r="B1143" s="120"/>
      <c r="Q1143" s="117"/>
      <c r="R1143" s="29"/>
      <c r="S1143" s="29"/>
      <c r="T1143" s="29"/>
    </row>
    <row r="1144" ht="15.75" customHeight="1">
      <c r="A1144" s="120"/>
      <c r="B1144" s="120"/>
      <c r="Q1144" s="117"/>
      <c r="R1144" s="29"/>
      <c r="S1144" s="29"/>
      <c r="T1144" s="29"/>
    </row>
    <row r="1145" ht="15.75" customHeight="1">
      <c r="A1145" s="120"/>
      <c r="B1145" s="120"/>
      <c r="Q1145" s="117"/>
      <c r="R1145" s="29"/>
      <c r="S1145" s="29"/>
      <c r="T1145" s="29"/>
    </row>
    <row r="1146" ht="15.75" customHeight="1">
      <c r="A1146" s="120"/>
      <c r="B1146" s="120"/>
      <c r="Q1146" s="117"/>
      <c r="R1146" s="29"/>
      <c r="S1146" s="29"/>
      <c r="T1146" s="29"/>
    </row>
    <row r="1147" ht="15.75" customHeight="1">
      <c r="A1147" s="120"/>
      <c r="B1147" s="120"/>
      <c r="Q1147" s="117"/>
      <c r="R1147" s="29"/>
      <c r="S1147" s="29"/>
      <c r="T1147" s="29"/>
    </row>
    <row r="1148" ht="15.75" customHeight="1">
      <c r="A1148" s="120"/>
      <c r="B1148" s="120"/>
      <c r="Q1148" s="117"/>
      <c r="R1148" s="29"/>
      <c r="S1148" s="29"/>
      <c r="T1148" s="29"/>
    </row>
    <row r="1149" ht="15.75" customHeight="1">
      <c r="A1149" s="120"/>
      <c r="B1149" s="120"/>
      <c r="Q1149" s="117"/>
      <c r="R1149" s="29"/>
      <c r="S1149" s="29"/>
      <c r="T1149" s="29"/>
    </row>
    <row r="1150" ht="15.75" customHeight="1">
      <c r="A1150" s="120"/>
      <c r="B1150" s="120"/>
      <c r="Q1150" s="117"/>
      <c r="R1150" s="29"/>
      <c r="S1150" s="29"/>
      <c r="T1150" s="29"/>
    </row>
    <row r="1151" ht="15.75" customHeight="1">
      <c r="A1151" s="120"/>
      <c r="B1151" s="120"/>
      <c r="Q1151" s="117"/>
      <c r="R1151" s="29"/>
      <c r="S1151" s="29"/>
      <c r="T1151" s="29"/>
    </row>
    <row r="1152" ht="15.75" customHeight="1">
      <c r="A1152" s="120"/>
      <c r="B1152" s="120"/>
      <c r="Q1152" s="117"/>
      <c r="R1152" s="29"/>
      <c r="S1152" s="29"/>
      <c r="T1152" s="29"/>
    </row>
    <row r="1153" ht="15.75" customHeight="1">
      <c r="A1153" s="120"/>
      <c r="B1153" s="120"/>
      <c r="Q1153" s="117"/>
      <c r="R1153" s="29"/>
      <c r="S1153" s="29"/>
      <c r="T1153" s="29"/>
    </row>
    <row r="1154" ht="15.75" customHeight="1">
      <c r="A1154" s="120"/>
      <c r="B1154" s="120"/>
      <c r="Q1154" s="117"/>
      <c r="R1154" s="29"/>
      <c r="S1154" s="29"/>
      <c r="T1154" s="29"/>
    </row>
    <row r="1155" ht="15.75" customHeight="1">
      <c r="A1155" s="120"/>
      <c r="B1155" s="120"/>
      <c r="Q1155" s="117"/>
      <c r="R1155" s="29"/>
      <c r="S1155" s="29"/>
      <c r="T1155" s="29"/>
    </row>
    <row r="1156" ht="15.75" customHeight="1">
      <c r="A1156" s="120"/>
      <c r="B1156" s="120"/>
      <c r="Q1156" s="117"/>
      <c r="R1156" s="29"/>
      <c r="S1156" s="29"/>
      <c r="T1156" s="29"/>
    </row>
    <row r="1157" ht="15.75" customHeight="1">
      <c r="A1157" s="120"/>
      <c r="B1157" s="120"/>
      <c r="Q1157" s="117"/>
      <c r="R1157" s="29"/>
      <c r="S1157" s="29"/>
      <c r="T1157" s="29"/>
    </row>
    <row r="1158" ht="15.75" customHeight="1">
      <c r="A1158" s="120"/>
      <c r="B1158" s="120"/>
      <c r="Q1158" s="117"/>
      <c r="R1158" s="29"/>
      <c r="S1158" s="29"/>
      <c r="T1158" s="29"/>
    </row>
    <row r="1159" ht="15.75" customHeight="1">
      <c r="A1159" s="120"/>
      <c r="B1159" s="120"/>
      <c r="Q1159" s="117"/>
      <c r="R1159" s="29"/>
      <c r="S1159" s="29"/>
      <c r="T1159" s="29"/>
    </row>
    <row r="1160" ht="15.75" customHeight="1">
      <c r="A1160" s="120"/>
      <c r="B1160" s="120"/>
      <c r="Q1160" s="117"/>
      <c r="R1160" s="29"/>
      <c r="S1160" s="29"/>
      <c r="T1160" s="29"/>
    </row>
    <row r="1161" ht="15.75" customHeight="1">
      <c r="A1161" s="120"/>
      <c r="B1161" s="120"/>
      <c r="Q1161" s="117"/>
      <c r="R1161" s="29"/>
      <c r="S1161" s="29"/>
      <c r="T1161" s="29"/>
    </row>
    <row r="1162" ht="15.75" customHeight="1">
      <c r="A1162" s="120"/>
      <c r="B1162" s="120"/>
      <c r="Q1162" s="117"/>
      <c r="R1162" s="29"/>
      <c r="S1162" s="29"/>
      <c r="T1162" s="29"/>
    </row>
    <row r="1163" ht="15.75" customHeight="1">
      <c r="A1163" s="120"/>
      <c r="B1163" s="120"/>
      <c r="Q1163" s="117"/>
      <c r="R1163" s="29"/>
      <c r="S1163" s="29"/>
      <c r="T1163" s="29"/>
    </row>
    <row r="1164" ht="15.75" customHeight="1">
      <c r="A1164" s="120"/>
      <c r="B1164" s="120"/>
      <c r="Q1164" s="117"/>
      <c r="R1164" s="29"/>
      <c r="S1164" s="29"/>
      <c r="T1164" s="29"/>
    </row>
    <row r="1165" ht="15.75" customHeight="1">
      <c r="A1165" s="120"/>
      <c r="B1165" s="120"/>
      <c r="Q1165" s="117"/>
      <c r="R1165" s="29"/>
      <c r="S1165" s="29"/>
      <c r="T1165" s="29"/>
    </row>
    <row r="1166" ht="15.75" customHeight="1">
      <c r="A1166" s="120"/>
      <c r="B1166" s="120"/>
      <c r="Q1166" s="117"/>
      <c r="R1166" s="29"/>
      <c r="S1166" s="29"/>
      <c r="T1166" s="29"/>
    </row>
    <row r="1167" ht="15.75" customHeight="1">
      <c r="A1167" s="120"/>
      <c r="B1167" s="120"/>
      <c r="Q1167" s="117"/>
      <c r="R1167" s="29"/>
      <c r="S1167" s="29"/>
      <c r="T1167" s="29"/>
    </row>
    <row r="1168" ht="15.75" customHeight="1">
      <c r="A1168" s="120"/>
      <c r="B1168" s="120"/>
      <c r="Q1168" s="117"/>
      <c r="R1168" s="29"/>
      <c r="S1168" s="29"/>
      <c r="T1168" s="29"/>
    </row>
    <row r="1169" ht="15.75" customHeight="1">
      <c r="A1169" s="120"/>
      <c r="B1169" s="120"/>
      <c r="Q1169" s="117"/>
      <c r="R1169" s="29"/>
      <c r="S1169" s="29"/>
      <c r="T1169" s="29"/>
    </row>
    <row r="1170" ht="15.75" customHeight="1">
      <c r="A1170" s="120"/>
      <c r="B1170" s="120"/>
      <c r="Q1170" s="117"/>
      <c r="R1170" s="29"/>
      <c r="S1170" s="29"/>
      <c r="T1170" s="29"/>
    </row>
    <row r="1171" ht="15.75" customHeight="1">
      <c r="A1171" s="120"/>
      <c r="B1171" s="120"/>
      <c r="Q1171" s="117"/>
      <c r="R1171" s="29"/>
      <c r="S1171" s="29"/>
      <c r="T1171" s="29"/>
    </row>
    <row r="1172" ht="15.75" customHeight="1">
      <c r="A1172" s="120"/>
      <c r="B1172" s="120"/>
      <c r="Q1172" s="117"/>
      <c r="R1172" s="29"/>
      <c r="S1172" s="29"/>
      <c r="T1172" s="29"/>
    </row>
    <row r="1173" ht="15.75" customHeight="1">
      <c r="A1173" s="120"/>
      <c r="B1173" s="120"/>
      <c r="Q1173" s="117"/>
      <c r="R1173" s="29"/>
      <c r="S1173" s="29"/>
      <c r="T1173" s="29"/>
    </row>
    <row r="1174" ht="15.75" customHeight="1">
      <c r="A1174" s="120"/>
      <c r="B1174" s="120"/>
      <c r="Q1174" s="117"/>
      <c r="R1174" s="29"/>
      <c r="S1174" s="29"/>
      <c r="T1174" s="29"/>
    </row>
    <row r="1175" ht="15.75" customHeight="1">
      <c r="A1175" s="120"/>
      <c r="B1175" s="120"/>
      <c r="Q1175" s="117"/>
      <c r="R1175" s="29"/>
      <c r="S1175" s="29"/>
      <c r="T1175" s="29"/>
    </row>
    <row r="1176" ht="15.75" customHeight="1">
      <c r="A1176" s="120"/>
      <c r="B1176" s="120"/>
      <c r="Q1176" s="117"/>
      <c r="R1176" s="29"/>
      <c r="S1176" s="29"/>
      <c r="T1176" s="29"/>
    </row>
    <row r="1177" ht="15.75" customHeight="1">
      <c r="A1177" s="120"/>
      <c r="B1177" s="120"/>
      <c r="Q1177" s="117"/>
      <c r="R1177" s="29"/>
      <c r="S1177" s="29"/>
      <c r="T1177" s="29"/>
    </row>
    <row r="1178" ht="15.75" customHeight="1">
      <c r="A1178" s="120"/>
      <c r="B1178" s="120"/>
      <c r="Q1178" s="117"/>
      <c r="R1178" s="29"/>
      <c r="S1178" s="29"/>
      <c r="T1178" s="29"/>
    </row>
    <row r="1179" ht="15.75" customHeight="1">
      <c r="A1179" s="120"/>
      <c r="B1179" s="120"/>
      <c r="Q1179" s="117"/>
      <c r="R1179" s="29"/>
      <c r="S1179" s="29"/>
      <c r="T1179" s="29"/>
    </row>
    <row r="1180" ht="15.75" customHeight="1">
      <c r="A1180" s="120"/>
      <c r="B1180" s="120"/>
      <c r="Q1180" s="117"/>
      <c r="R1180" s="29"/>
      <c r="S1180" s="29"/>
      <c r="T1180" s="29"/>
    </row>
    <row r="1181" ht="15.75" customHeight="1">
      <c r="A1181" s="120"/>
      <c r="B1181" s="120"/>
      <c r="Q1181" s="117"/>
      <c r="R1181" s="29"/>
      <c r="S1181" s="29"/>
      <c r="T1181" s="29"/>
    </row>
    <row r="1182" ht="15.75" customHeight="1">
      <c r="A1182" s="120"/>
      <c r="B1182" s="120"/>
      <c r="Q1182" s="117"/>
      <c r="R1182" s="29"/>
      <c r="S1182" s="29"/>
      <c r="T1182" s="29"/>
    </row>
    <row r="1183" ht="15.75" customHeight="1">
      <c r="A1183" s="120"/>
      <c r="B1183" s="120"/>
      <c r="Q1183" s="117"/>
      <c r="R1183" s="29"/>
      <c r="S1183" s="29"/>
      <c r="T1183" s="29"/>
    </row>
    <row r="1184" ht="15.75" customHeight="1">
      <c r="A1184" s="120"/>
      <c r="B1184" s="120"/>
      <c r="Q1184" s="117"/>
      <c r="R1184" s="29"/>
      <c r="S1184" s="29"/>
      <c r="T1184" s="29"/>
    </row>
    <row r="1185" ht="15.75" customHeight="1">
      <c r="A1185" s="120"/>
      <c r="B1185" s="120"/>
      <c r="Q1185" s="117"/>
      <c r="R1185" s="29"/>
      <c r="S1185" s="29"/>
      <c r="T1185" s="29"/>
    </row>
    <row r="1186" ht="15.75" customHeight="1">
      <c r="A1186" s="120"/>
      <c r="B1186" s="120"/>
      <c r="Q1186" s="117"/>
      <c r="R1186" s="29"/>
      <c r="S1186" s="29"/>
      <c r="T1186" s="29"/>
    </row>
    <row r="1187" ht="15.75" customHeight="1">
      <c r="A1187" s="120"/>
      <c r="B1187" s="120"/>
      <c r="Q1187" s="117"/>
      <c r="R1187" s="29"/>
      <c r="S1187" s="29"/>
      <c r="T1187" s="29"/>
    </row>
    <row r="1188" ht="15.75" customHeight="1">
      <c r="A1188" s="120"/>
      <c r="B1188" s="120"/>
      <c r="Q1188" s="117"/>
      <c r="R1188" s="29"/>
      <c r="S1188" s="29"/>
      <c r="T1188" s="29"/>
    </row>
    <row r="1189" ht="15.75" customHeight="1">
      <c r="A1189" s="120"/>
      <c r="B1189" s="120"/>
      <c r="Q1189" s="117"/>
      <c r="R1189" s="29"/>
      <c r="S1189" s="29"/>
      <c r="T1189" s="29"/>
    </row>
    <row r="1190" ht="15.75" customHeight="1">
      <c r="A1190" s="120"/>
      <c r="B1190" s="120"/>
      <c r="Q1190" s="117"/>
      <c r="R1190" s="29"/>
      <c r="S1190" s="29"/>
      <c r="T1190" s="29"/>
    </row>
    <row r="1191" ht="15.75" customHeight="1">
      <c r="A1191" s="120"/>
      <c r="B1191" s="120"/>
      <c r="Q1191" s="117"/>
      <c r="R1191" s="29"/>
      <c r="S1191" s="29"/>
      <c r="T1191" s="29"/>
    </row>
    <row r="1192" ht="15.75" customHeight="1">
      <c r="A1192" s="120"/>
      <c r="B1192" s="120"/>
      <c r="Q1192" s="117"/>
      <c r="R1192" s="29"/>
      <c r="S1192" s="29"/>
      <c r="T1192" s="29"/>
    </row>
    <row r="1193" ht="15.75" customHeight="1">
      <c r="A1193" s="120"/>
      <c r="B1193" s="120"/>
      <c r="Q1193" s="117"/>
      <c r="R1193" s="29"/>
      <c r="S1193" s="29"/>
      <c r="T1193" s="29"/>
    </row>
    <row r="1194" ht="15.75" customHeight="1">
      <c r="A1194" s="120"/>
      <c r="B1194" s="120"/>
      <c r="Q1194" s="117"/>
      <c r="R1194" s="29"/>
      <c r="S1194" s="29"/>
      <c r="T1194" s="29"/>
    </row>
    <row r="1195" ht="15.75" customHeight="1">
      <c r="A1195" s="120"/>
      <c r="B1195" s="120"/>
      <c r="Q1195" s="117"/>
      <c r="R1195" s="29"/>
      <c r="S1195" s="29"/>
      <c r="T1195" s="29"/>
    </row>
    <row r="1196" ht="15.75" customHeight="1">
      <c r="A1196" s="120"/>
      <c r="B1196" s="120"/>
      <c r="Q1196" s="117"/>
      <c r="R1196" s="29"/>
      <c r="S1196" s="29"/>
      <c r="T1196" s="29"/>
    </row>
    <row r="1197" ht="15.75" customHeight="1">
      <c r="A1197" s="120"/>
      <c r="B1197" s="120"/>
      <c r="Q1197" s="117"/>
      <c r="R1197" s="29"/>
      <c r="S1197" s="29"/>
      <c r="T1197" s="29"/>
    </row>
    <row r="1198" ht="15.75" customHeight="1">
      <c r="A1198" s="120"/>
      <c r="B1198" s="120"/>
      <c r="Q1198" s="117"/>
      <c r="R1198" s="29"/>
      <c r="S1198" s="29"/>
      <c r="T1198" s="29"/>
    </row>
    <row r="1199" ht="15.75" customHeight="1">
      <c r="A1199" s="120"/>
      <c r="B1199" s="120"/>
      <c r="Q1199" s="117"/>
      <c r="R1199" s="29"/>
      <c r="S1199" s="29"/>
      <c r="T1199" s="29"/>
    </row>
    <row r="1200" ht="15.75" customHeight="1">
      <c r="A1200" s="120"/>
      <c r="B1200" s="120"/>
      <c r="Q1200" s="117"/>
      <c r="R1200" s="29"/>
      <c r="S1200" s="29"/>
      <c r="T1200" s="29"/>
    </row>
    <row r="1201" ht="15.75" customHeight="1">
      <c r="A1201" s="120"/>
      <c r="B1201" s="120"/>
      <c r="Q1201" s="117"/>
      <c r="R1201" s="29"/>
      <c r="S1201" s="29"/>
      <c r="T1201" s="29"/>
    </row>
    <row r="1202" ht="15.75" customHeight="1">
      <c r="A1202" s="120"/>
      <c r="B1202" s="120"/>
      <c r="Q1202" s="117"/>
      <c r="R1202" s="29"/>
      <c r="S1202" s="29"/>
      <c r="T1202" s="29"/>
    </row>
    <row r="1203" ht="15.75" customHeight="1">
      <c r="A1203" s="120"/>
      <c r="B1203" s="120"/>
      <c r="Q1203" s="117"/>
      <c r="R1203" s="29"/>
      <c r="S1203" s="29"/>
      <c r="T1203" s="29"/>
    </row>
    <row r="1204" ht="15.75" customHeight="1">
      <c r="A1204" s="120"/>
      <c r="B1204" s="120"/>
      <c r="Q1204" s="117"/>
      <c r="R1204" s="29"/>
      <c r="S1204" s="29"/>
      <c r="T1204" s="29"/>
    </row>
    <row r="1205" ht="15.75" customHeight="1">
      <c r="A1205" s="120"/>
      <c r="B1205" s="120"/>
      <c r="Q1205" s="117"/>
      <c r="R1205" s="29"/>
      <c r="S1205" s="29"/>
      <c r="T1205" s="29"/>
    </row>
    <row r="1206" ht="15.75" customHeight="1">
      <c r="A1206" s="120"/>
      <c r="B1206" s="120"/>
      <c r="Q1206" s="117"/>
      <c r="R1206" s="29"/>
      <c r="S1206" s="29"/>
      <c r="T1206" s="29"/>
    </row>
    <row r="1207" ht="15.75" customHeight="1">
      <c r="A1207" s="120"/>
      <c r="B1207" s="120"/>
      <c r="Q1207" s="117"/>
      <c r="R1207" s="29"/>
      <c r="S1207" s="29"/>
      <c r="T1207" s="29"/>
    </row>
    <row r="1208" ht="15.75" customHeight="1">
      <c r="A1208" s="120"/>
      <c r="B1208" s="120"/>
      <c r="Q1208" s="117"/>
      <c r="R1208" s="29"/>
      <c r="S1208" s="29"/>
      <c r="T1208" s="29"/>
    </row>
    <row r="1209" ht="15.75" customHeight="1">
      <c r="A1209" s="120"/>
      <c r="B1209" s="120"/>
      <c r="Q1209" s="117"/>
      <c r="R1209" s="29"/>
      <c r="S1209" s="29"/>
      <c r="T1209" s="29"/>
    </row>
    <row r="1210" ht="15.75" customHeight="1">
      <c r="A1210" s="120"/>
      <c r="B1210" s="120"/>
      <c r="Q1210" s="117"/>
      <c r="R1210" s="29"/>
      <c r="S1210" s="29"/>
      <c r="T1210" s="29"/>
    </row>
    <row r="1211" ht="15.75" customHeight="1">
      <c r="A1211" s="120"/>
      <c r="B1211" s="120"/>
      <c r="Q1211" s="117"/>
      <c r="R1211" s="29"/>
      <c r="S1211" s="29"/>
      <c r="T1211" s="29"/>
    </row>
    <row r="1212" ht="15.75" customHeight="1">
      <c r="A1212" s="120"/>
      <c r="B1212" s="120"/>
      <c r="Q1212" s="117"/>
      <c r="R1212" s="29"/>
      <c r="S1212" s="29"/>
      <c r="T1212" s="29"/>
    </row>
    <row r="1213" ht="15.75" customHeight="1">
      <c r="A1213" s="120"/>
      <c r="B1213" s="120"/>
      <c r="Q1213" s="117"/>
      <c r="R1213" s="29"/>
      <c r="S1213" s="29"/>
      <c r="T1213" s="29"/>
    </row>
    <row r="1214" ht="15.75" customHeight="1">
      <c r="A1214" s="120"/>
      <c r="B1214" s="120"/>
      <c r="Q1214" s="117"/>
      <c r="R1214" s="29"/>
      <c r="S1214" s="29"/>
      <c r="T1214" s="29"/>
    </row>
    <row r="1215" ht="15.75" customHeight="1">
      <c r="A1215" s="120"/>
      <c r="B1215" s="120"/>
      <c r="Q1215" s="117"/>
      <c r="R1215" s="29"/>
      <c r="S1215" s="29"/>
      <c r="T1215" s="29"/>
    </row>
    <row r="1216" ht="15.75" customHeight="1">
      <c r="A1216" s="120"/>
      <c r="B1216" s="120"/>
      <c r="Q1216" s="117"/>
      <c r="R1216" s="29"/>
      <c r="S1216" s="29"/>
      <c r="T1216" s="29"/>
    </row>
    <row r="1217" ht="15.75" customHeight="1">
      <c r="A1217" s="120"/>
      <c r="B1217" s="120"/>
      <c r="Q1217" s="117"/>
      <c r="R1217" s="29"/>
      <c r="S1217" s="29"/>
      <c r="T1217" s="29"/>
    </row>
    <row r="1218" ht="15.75" customHeight="1">
      <c r="A1218" s="120"/>
      <c r="B1218" s="120"/>
      <c r="Q1218" s="117"/>
      <c r="R1218" s="29"/>
      <c r="S1218" s="29"/>
      <c r="T1218" s="29"/>
    </row>
    <row r="1219" ht="15.75" customHeight="1">
      <c r="A1219" s="120"/>
      <c r="B1219" s="120"/>
      <c r="Q1219" s="117"/>
      <c r="R1219" s="29"/>
      <c r="S1219" s="29"/>
      <c r="T1219" s="29"/>
    </row>
    <row r="1220" ht="15.75" customHeight="1">
      <c r="A1220" s="120"/>
      <c r="B1220" s="120"/>
      <c r="Q1220" s="117"/>
      <c r="R1220" s="29"/>
      <c r="S1220" s="29"/>
      <c r="T1220" s="29"/>
    </row>
    <row r="1221" ht="15.75" customHeight="1">
      <c r="A1221" s="120"/>
      <c r="B1221" s="120"/>
      <c r="Q1221" s="117"/>
      <c r="R1221" s="29"/>
      <c r="S1221" s="29"/>
      <c r="T1221" s="29"/>
    </row>
    <row r="1222" ht="15.75" customHeight="1">
      <c r="A1222" s="120"/>
      <c r="B1222" s="120"/>
      <c r="Q1222" s="117"/>
      <c r="R1222" s="29"/>
      <c r="S1222" s="29"/>
      <c r="T1222" s="29"/>
    </row>
    <row r="1223" ht="15.75" customHeight="1">
      <c r="A1223" s="120"/>
      <c r="B1223" s="120"/>
      <c r="Q1223" s="117"/>
      <c r="R1223" s="29"/>
      <c r="S1223" s="29"/>
      <c r="T1223" s="29"/>
    </row>
    <row r="1224" ht="15.75" customHeight="1">
      <c r="A1224" s="120"/>
      <c r="B1224" s="120"/>
      <c r="Q1224" s="117"/>
      <c r="R1224" s="29"/>
      <c r="S1224" s="29"/>
      <c r="T1224" s="29"/>
    </row>
    <row r="1225" ht="15.75" customHeight="1">
      <c r="A1225" s="120"/>
      <c r="B1225" s="120"/>
      <c r="Q1225" s="117"/>
      <c r="R1225" s="29"/>
      <c r="S1225" s="29"/>
      <c r="T1225" s="29"/>
    </row>
    <row r="1226" ht="15.75" customHeight="1">
      <c r="A1226" s="120"/>
      <c r="B1226" s="120"/>
      <c r="Q1226" s="117"/>
      <c r="R1226" s="29"/>
      <c r="S1226" s="29"/>
      <c r="T1226" s="29"/>
    </row>
    <row r="1227" ht="15.75" customHeight="1">
      <c r="A1227" s="120"/>
      <c r="B1227" s="120"/>
      <c r="Q1227" s="117"/>
      <c r="R1227" s="29"/>
      <c r="S1227" s="29"/>
      <c r="T1227" s="29"/>
    </row>
    <row r="1228" ht="15.75" customHeight="1">
      <c r="A1228" s="120"/>
      <c r="B1228" s="120"/>
      <c r="Q1228" s="117"/>
      <c r="R1228" s="29"/>
      <c r="S1228" s="29"/>
      <c r="T1228" s="29"/>
    </row>
    <row r="1229" ht="15.75" customHeight="1">
      <c r="A1229" s="120"/>
      <c r="B1229" s="120"/>
      <c r="Q1229" s="117"/>
      <c r="R1229" s="29"/>
      <c r="S1229" s="29"/>
      <c r="T1229" s="29"/>
    </row>
    <row r="1230" ht="15.75" customHeight="1">
      <c r="A1230" s="120"/>
      <c r="B1230" s="120"/>
      <c r="Q1230" s="117"/>
      <c r="R1230" s="29"/>
      <c r="S1230" s="29"/>
      <c r="T1230" s="29"/>
    </row>
    <row r="1231" ht="15.75" customHeight="1">
      <c r="A1231" s="120"/>
      <c r="B1231" s="120"/>
      <c r="Q1231" s="117"/>
      <c r="R1231" s="29"/>
      <c r="S1231" s="29"/>
      <c r="T1231" s="29"/>
    </row>
    <row r="1232" ht="15.75" customHeight="1">
      <c r="A1232" s="120"/>
      <c r="B1232" s="120"/>
      <c r="Q1232" s="117"/>
      <c r="R1232" s="29"/>
      <c r="S1232" s="29"/>
      <c r="T1232" s="29"/>
    </row>
    <row r="1233" ht="15.75" customHeight="1">
      <c r="A1233" s="120"/>
      <c r="B1233" s="120"/>
      <c r="Q1233" s="117"/>
      <c r="R1233" s="29"/>
      <c r="S1233" s="29"/>
      <c r="T1233" s="29"/>
    </row>
    <row r="1234" ht="15.75" customHeight="1">
      <c r="A1234" s="120"/>
      <c r="B1234" s="120"/>
      <c r="Q1234" s="117"/>
      <c r="R1234" s="29"/>
      <c r="S1234" s="29"/>
      <c r="T1234" s="29"/>
    </row>
    <row r="1235" ht="15.75" customHeight="1">
      <c r="A1235" s="120"/>
      <c r="B1235" s="120"/>
      <c r="Q1235" s="117"/>
      <c r="R1235" s="29"/>
      <c r="S1235" s="29"/>
      <c r="T1235" s="29"/>
    </row>
    <row r="1236" ht="15.75" customHeight="1">
      <c r="A1236" s="120"/>
      <c r="B1236" s="120"/>
      <c r="Q1236" s="117"/>
      <c r="R1236" s="29"/>
      <c r="S1236" s="29"/>
      <c r="T1236" s="29"/>
    </row>
    <row r="1237" ht="15.75" customHeight="1">
      <c r="A1237" s="120"/>
      <c r="B1237" s="120"/>
      <c r="Q1237" s="117"/>
      <c r="R1237" s="29"/>
      <c r="S1237" s="29"/>
      <c r="T1237" s="29"/>
    </row>
    <row r="1238" ht="15.75" customHeight="1">
      <c r="A1238" s="120"/>
      <c r="B1238" s="120"/>
      <c r="Q1238" s="117"/>
      <c r="R1238" s="29"/>
      <c r="S1238" s="29"/>
      <c r="T1238" s="29"/>
    </row>
    <row r="1239" ht="15.75" customHeight="1">
      <c r="A1239" s="120"/>
      <c r="B1239" s="120"/>
      <c r="Q1239" s="117"/>
      <c r="R1239" s="29"/>
      <c r="S1239" s="29"/>
      <c r="T1239" s="29"/>
    </row>
    <row r="1240" ht="15.75" customHeight="1">
      <c r="A1240" s="120"/>
      <c r="B1240" s="120"/>
      <c r="Q1240" s="117"/>
      <c r="R1240" s="29"/>
      <c r="S1240" s="29"/>
      <c r="T1240" s="29"/>
    </row>
    <row r="1241" ht="15.75" customHeight="1">
      <c r="A1241" s="120"/>
      <c r="B1241" s="120"/>
      <c r="Q1241" s="117"/>
      <c r="R1241" s="29"/>
      <c r="S1241" s="29"/>
      <c r="T1241" s="29"/>
    </row>
    <row r="1242" ht="15.75" customHeight="1">
      <c r="A1242" s="120"/>
      <c r="B1242" s="120"/>
      <c r="Q1242" s="117"/>
      <c r="R1242" s="29"/>
      <c r="S1242" s="29"/>
      <c r="T1242" s="29"/>
    </row>
    <row r="1243" ht="15.75" customHeight="1">
      <c r="A1243" s="120"/>
      <c r="B1243" s="120"/>
      <c r="Q1243" s="117"/>
      <c r="R1243" s="29"/>
      <c r="S1243" s="29"/>
      <c r="T1243" s="29"/>
    </row>
    <row r="1244" ht="15.75" customHeight="1">
      <c r="A1244" s="120"/>
      <c r="B1244" s="120"/>
      <c r="Q1244" s="117"/>
      <c r="R1244" s="29"/>
      <c r="S1244" s="29"/>
      <c r="T1244" s="29"/>
    </row>
    <row r="1245" ht="15.75" customHeight="1">
      <c r="A1245" s="120"/>
      <c r="B1245" s="120"/>
      <c r="Q1245" s="117"/>
      <c r="R1245" s="29"/>
      <c r="S1245" s="29"/>
      <c r="T1245" s="29"/>
    </row>
    <row r="1246" ht="15.75" customHeight="1">
      <c r="A1246" s="120"/>
      <c r="B1246" s="120"/>
      <c r="Q1246" s="117"/>
      <c r="R1246" s="29"/>
      <c r="S1246" s="29"/>
      <c r="T1246" s="29"/>
    </row>
    <row r="1247" ht="15.75" customHeight="1">
      <c r="A1247" s="120"/>
      <c r="B1247" s="120"/>
      <c r="Q1247" s="117"/>
      <c r="R1247" s="29"/>
      <c r="S1247" s="29"/>
      <c r="T1247" s="29"/>
    </row>
    <row r="1248" ht="15.75" customHeight="1">
      <c r="A1248" s="120"/>
      <c r="B1248" s="120"/>
      <c r="Q1248" s="117"/>
      <c r="R1248" s="29"/>
      <c r="S1248" s="29"/>
      <c r="T1248" s="29"/>
    </row>
    <row r="1249" ht="15.75" customHeight="1">
      <c r="A1249" s="120"/>
      <c r="B1249" s="120"/>
      <c r="Q1249" s="117"/>
      <c r="R1249" s="29"/>
      <c r="S1249" s="29"/>
      <c r="T1249" s="29"/>
    </row>
    <row r="1250" ht="15.75" customHeight="1">
      <c r="A1250" s="120"/>
      <c r="B1250" s="120"/>
      <c r="Q1250" s="117"/>
      <c r="R1250" s="29"/>
      <c r="S1250" s="29"/>
      <c r="T1250" s="29"/>
    </row>
    <row r="1251" ht="15.75" customHeight="1">
      <c r="A1251" s="120"/>
      <c r="B1251" s="120"/>
      <c r="Q1251" s="117"/>
      <c r="R1251" s="29"/>
      <c r="S1251" s="29"/>
      <c r="T1251" s="29"/>
    </row>
    <row r="1252" ht="15.75" customHeight="1">
      <c r="A1252" s="120"/>
      <c r="B1252" s="120"/>
      <c r="Q1252" s="117"/>
      <c r="R1252" s="29"/>
      <c r="S1252" s="29"/>
      <c r="T1252" s="29"/>
    </row>
    <row r="1253" ht="15.75" customHeight="1">
      <c r="A1253" s="120"/>
      <c r="B1253" s="120"/>
      <c r="Q1253" s="117"/>
      <c r="R1253" s="29"/>
      <c r="S1253" s="29"/>
      <c r="T1253" s="29"/>
    </row>
    <row r="1254" ht="15.75" customHeight="1">
      <c r="A1254" s="120"/>
      <c r="B1254" s="120"/>
      <c r="Q1254" s="117"/>
      <c r="R1254" s="29"/>
      <c r="S1254" s="29"/>
      <c r="T1254" s="29"/>
    </row>
    <row r="1255" ht="15.75" customHeight="1">
      <c r="A1255" s="120"/>
      <c r="B1255" s="120"/>
      <c r="Q1255" s="117"/>
      <c r="R1255" s="29"/>
      <c r="S1255" s="29"/>
      <c r="T1255" s="29"/>
    </row>
    <row r="1256" ht="15.75" customHeight="1">
      <c r="A1256" s="120"/>
      <c r="B1256" s="120"/>
      <c r="Q1256" s="117"/>
      <c r="R1256" s="29"/>
      <c r="S1256" s="29"/>
      <c r="T1256" s="29"/>
    </row>
    <row r="1257" ht="15.75" customHeight="1">
      <c r="A1257" s="120"/>
      <c r="B1257" s="120"/>
      <c r="Q1257" s="117"/>
      <c r="R1257" s="29"/>
      <c r="S1257" s="29"/>
      <c r="T1257" s="29"/>
    </row>
    <row r="1258" ht="15.75" customHeight="1">
      <c r="A1258" s="120"/>
      <c r="B1258" s="120"/>
      <c r="Q1258" s="117"/>
      <c r="R1258" s="29"/>
      <c r="S1258" s="29"/>
      <c r="T1258" s="29"/>
    </row>
    <row r="1259" ht="15.75" customHeight="1">
      <c r="A1259" s="120"/>
      <c r="B1259" s="120"/>
      <c r="Q1259" s="117"/>
      <c r="R1259" s="29"/>
      <c r="S1259" s="29"/>
      <c r="T1259" s="29"/>
    </row>
    <row r="1260" ht="15.75" customHeight="1">
      <c r="A1260" s="120"/>
      <c r="B1260" s="120"/>
      <c r="Q1260" s="117"/>
      <c r="R1260" s="29"/>
      <c r="S1260" s="29"/>
      <c r="T1260" s="29"/>
    </row>
    <row r="1261" ht="15.75" customHeight="1">
      <c r="A1261" s="120"/>
      <c r="B1261" s="120"/>
      <c r="Q1261" s="117"/>
      <c r="R1261" s="29"/>
      <c r="S1261" s="29"/>
      <c r="T1261" s="29"/>
    </row>
    <row r="1262" ht="15.75" customHeight="1">
      <c r="A1262" s="120"/>
      <c r="B1262" s="120"/>
      <c r="Q1262" s="117"/>
      <c r="R1262" s="29"/>
      <c r="S1262" s="29"/>
      <c r="T1262" s="29"/>
    </row>
    <row r="1263" ht="15.75" customHeight="1">
      <c r="A1263" s="120"/>
      <c r="B1263" s="120"/>
      <c r="Q1263" s="117"/>
      <c r="R1263" s="29"/>
      <c r="S1263" s="29"/>
      <c r="T1263" s="29"/>
    </row>
    <row r="1264" ht="15.75" customHeight="1">
      <c r="A1264" s="120"/>
      <c r="B1264" s="120"/>
      <c r="Q1264" s="117"/>
      <c r="R1264" s="29"/>
      <c r="S1264" s="29"/>
      <c r="T1264" s="29"/>
    </row>
    <row r="1265" ht="15.75" customHeight="1">
      <c r="A1265" s="120"/>
      <c r="B1265" s="120"/>
      <c r="Q1265" s="117"/>
      <c r="R1265" s="29"/>
      <c r="S1265" s="29"/>
      <c r="T1265" s="29"/>
    </row>
    <row r="1266" ht="15.75" customHeight="1">
      <c r="A1266" s="120"/>
      <c r="B1266" s="120"/>
      <c r="Q1266" s="117"/>
      <c r="R1266" s="29"/>
      <c r="S1266" s="29"/>
      <c r="T1266" s="29"/>
    </row>
    <row r="1267" ht="15.75" customHeight="1">
      <c r="A1267" s="120"/>
      <c r="B1267" s="120"/>
      <c r="Q1267" s="117"/>
      <c r="R1267" s="29"/>
      <c r="S1267" s="29"/>
      <c r="T1267" s="29"/>
    </row>
    <row r="1268" ht="15.75" customHeight="1">
      <c r="A1268" s="120"/>
      <c r="B1268" s="120"/>
      <c r="Q1268" s="117"/>
      <c r="R1268" s="29"/>
      <c r="S1268" s="29"/>
      <c r="T1268" s="29"/>
    </row>
    <row r="1269" ht="15.75" customHeight="1">
      <c r="A1269" s="120"/>
      <c r="B1269" s="120"/>
      <c r="Q1269" s="117"/>
      <c r="R1269" s="29"/>
      <c r="S1269" s="29"/>
      <c r="T1269" s="29"/>
    </row>
    <row r="1270" ht="15.75" customHeight="1">
      <c r="A1270" s="120"/>
      <c r="B1270" s="120"/>
      <c r="Q1270" s="117"/>
      <c r="R1270" s="29"/>
      <c r="S1270" s="29"/>
      <c r="T1270" s="29"/>
    </row>
    <row r="1271" ht="15.75" customHeight="1">
      <c r="A1271" s="120"/>
      <c r="B1271" s="120"/>
      <c r="Q1271" s="117"/>
      <c r="R1271" s="29"/>
      <c r="S1271" s="29"/>
      <c r="T1271" s="29"/>
    </row>
    <row r="1272" ht="15.75" customHeight="1">
      <c r="A1272" s="120"/>
      <c r="B1272" s="120"/>
      <c r="Q1272" s="117"/>
      <c r="R1272" s="29"/>
      <c r="S1272" s="29"/>
      <c r="T1272" s="29"/>
    </row>
    <row r="1273" ht="15.75" customHeight="1">
      <c r="A1273" s="120"/>
      <c r="B1273" s="120"/>
      <c r="Q1273" s="117"/>
      <c r="R1273" s="29"/>
      <c r="S1273" s="29"/>
      <c r="T1273" s="29"/>
    </row>
    <row r="1274" ht="15.75" customHeight="1">
      <c r="A1274" s="120"/>
      <c r="B1274" s="120"/>
      <c r="Q1274" s="117"/>
      <c r="R1274" s="29"/>
      <c r="S1274" s="29"/>
      <c r="T1274" s="29"/>
    </row>
    <row r="1275" ht="15.75" customHeight="1">
      <c r="A1275" s="120"/>
      <c r="B1275" s="120"/>
      <c r="Q1275" s="117"/>
      <c r="R1275" s="29"/>
      <c r="S1275" s="29"/>
      <c r="T1275" s="29"/>
    </row>
    <row r="1276" ht="15.75" customHeight="1">
      <c r="A1276" s="120"/>
      <c r="B1276" s="120"/>
      <c r="Q1276" s="117"/>
      <c r="R1276" s="29"/>
      <c r="S1276" s="29"/>
      <c r="T1276" s="29"/>
    </row>
    <row r="1277" ht="15.75" customHeight="1">
      <c r="A1277" s="120"/>
      <c r="B1277" s="120"/>
      <c r="Q1277" s="117"/>
      <c r="R1277" s="29"/>
      <c r="S1277" s="29"/>
      <c r="T1277" s="29"/>
    </row>
    <row r="1278" ht="15.75" customHeight="1">
      <c r="A1278" s="120"/>
      <c r="B1278" s="120"/>
      <c r="Q1278" s="117"/>
      <c r="R1278" s="29"/>
      <c r="S1278" s="29"/>
      <c r="T1278" s="29"/>
    </row>
    <row r="1279" ht="15.75" customHeight="1">
      <c r="A1279" s="120"/>
      <c r="B1279" s="120"/>
      <c r="Q1279" s="117"/>
      <c r="R1279" s="29"/>
      <c r="S1279" s="29"/>
      <c r="T1279" s="29"/>
    </row>
    <row r="1280" ht="15.75" customHeight="1">
      <c r="A1280" s="120"/>
      <c r="B1280" s="120"/>
      <c r="Q1280" s="117"/>
      <c r="R1280" s="29"/>
      <c r="S1280" s="29"/>
      <c r="T1280" s="29"/>
    </row>
    <row r="1281" ht="15.75" customHeight="1">
      <c r="A1281" s="120"/>
      <c r="B1281" s="120"/>
      <c r="Q1281" s="117"/>
      <c r="R1281" s="29"/>
      <c r="S1281" s="29"/>
      <c r="T1281" s="29"/>
    </row>
    <row r="1282" ht="15.75" customHeight="1">
      <c r="A1282" s="120"/>
      <c r="B1282" s="120"/>
      <c r="Q1282" s="117"/>
      <c r="R1282" s="29"/>
      <c r="S1282" s="29"/>
      <c r="T1282" s="29"/>
    </row>
    <row r="1283" ht="15.75" customHeight="1">
      <c r="A1283" s="120"/>
      <c r="B1283" s="120"/>
      <c r="Q1283" s="117"/>
      <c r="R1283" s="29"/>
      <c r="S1283" s="29"/>
      <c r="T1283" s="29"/>
    </row>
    <row r="1284" ht="15.75" customHeight="1">
      <c r="A1284" s="120"/>
      <c r="B1284" s="120"/>
      <c r="Q1284" s="117"/>
      <c r="R1284" s="29"/>
      <c r="S1284" s="29"/>
      <c r="T1284" s="29"/>
    </row>
    <row r="1285" ht="15.75" customHeight="1">
      <c r="A1285" s="120"/>
      <c r="B1285" s="120"/>
      <c r="Q1285" s="117"/>
      <c r="R1285" s="29"/>
      <c r="S1285" s="29"/>
      <c r="T1285" s="29"/>
    </row>
    <row r="1286" ht="15.75" customHeight="1">
      <c r="A1286" s="120"/>
      <c r="B1286" s="120"/>
      <c r="Q1286" s="117"/>
      <c r="R1286" s="29"/>
      <c r="S1286" s="29"/>
      <c r="T1286" s="29"/>
    </row>
    <row r="1287" ht="15.75" customHeight="1">
      <c r="A1287" s="120"/>
      <c r="B1287" s="120"/>
      <c r="Q1287" s="117"/>
      <c r="R1287" s="29"/>
      <c r="S1287" s="29"/>
      <c r="T1287" s="29"/>
    </row>
    <row r="1288" ht="15.75" customHeight="1">
      <c r="A1288" s="120"/>
      <c r="B1288" s="120"/>
      <c r="Q1288" s="117"/>
      <c r="R1288" s="29"/>
      <c r="S1288" s="29"/>
      <c r="T1288" s="29"/>
    </row>
    <row r="1289" ht="15.75" customHeight="1">
      <c r="A1289" s="120"/>
      <c r="B1289" s="120"/>
      <c r="Q1289" s="117"/>
      <c r="R1289" s="29"/>
      <c r="S1289" s="29"/>
      <c r="T1289" s="29"/>
    </row>
    <row r="1290" ht="15.75" customHeight="1">
      <c r="A1290" s="120"/>
      <c r="B1290" s="120"/>
      <c r="Q1290" s="117"/>
      <c r="R1290" s="29"/>
      <c r="S1290" s="29"/>
      <c r="T1290" s="29"/>
    </row>
    <row r="1291" ht="15.75" customHeight="1">
      <c r="A1291" s="120"/>
      <c r="B1291" s="120"/>
      <c r="Q1291" s="117"/>
      <c r="R1291" s="29"/>
      <c r="S1291" s="29"/>
      <c r="T1291" s="29"/>
    </row>
    <row r="1292" ht="15.75" customHeight="1">
      <c r="A1292" s="120"/>
      <c r="B1292" s="120"/>
      <c r="Q1292" s="117"/>
      <c r="R1292" s="29"/>
      <c r="S1292" s="29"/>
      <c r="T1292" s="29"/>
    </row>
    <row r="1293" ht="15.75" customHeight="1">
      <c r="A1293" s="120"/>
      <c r="B1293" s="120"/>
      <c r="Q1293" s="117"/>
      <c r="R1293" s="29"/>
      <c r="S1293" s="29"/>
      <c r="T1293" s="29"/>
    </row>
    <row r="1294" ht="15.75" customHeight="1">
      <c r="A1294" s="120"/>
      <c r="B1294" s="120"/>
      <c r="Q1294" s="117"/>
      <c r="R1294" s="29"/>
      <c r="S1294" s="29"/>
      <c r="T1294" s="29"/>
    </row>
    <row r="1295" ht="15.75" customHeight="1">
      <c r="A1295" s="120"/>
      <c r="B1295" s="120"/>
      <c r="Q1295" s="117"/>
      <c r="R1295" s="29"/>
      <c r="S1295" s="29"/>
      <c r="T1295" s="29"/>
    </row>
    <row r="1296" ht="15.75" customHeight="1">
      <c r="A1296" s="120"/>
      <c r="B1296" s="120"/>
      <c r="Q1296" s="117"/>
      <c r="R1296" s="29"/>
      <c r="S1296" s="29"/>
      <c r="T1296" s="29"/>
    </row>
    <row r="1297" ht="15.75" customHeight="1">
      <c r="A1297" s="120"/>
      <c r="B1297" s="120"/>
      <c r="Q1297" s="117"/>
      <c r="R1297" s="29"/>
      <c r="S1297" s="29"/>
      <c r="T1297" s="29"/>
    </row>
    <row r="1298" ht="15.75" customHeight="1">
      <c r="A1298" s="120"/>
      <c r="B1298" s="120"/>
      <c r="Q1298" s="117"/>
      <c r="R1298" s="29"/>
      <c r="S1298" s="29"/>
      <c r="T1298" s="29"/>
    </row>
    <row r="1299" ht="15.75" customHeight="1">
      <c r="A1299" s="120"/>
      <c r="B1299" s="120"/>
      <c r="Q1299" s="117"/>
      <c r="R1299" s="29"/>
      <c r="S1299" s="29"/>
      <c r="T1299" s="29"/>
    </row>
    <row r="1300" ht="15.75" customHeight="1">
      <c r="A1300" s="120"/>
      <c r="B1300" s="120"/>
      <c r="Q1300" s="117"/>
      <c r="R1300" s="29"/>
      <c r="S1300" s="29"/>
      <c r="T1300" s="29"/>
    </row>
    <row r="1301" ht="15.75" customHeight="1">
      <c r="A1301" s="120"/>
      <c r="B1301" s="120"/>
      <c r="Q1301" s="117"/>
      <c r="R1301" s="29"/>
      <c r="S1301" s="29"/>
      <c r="T1301" s="29"/>
    </row>
    <row r="1302" ht="15.75" customHeight="1">
      <c r="A1302" s="120"/>
      <c r="B1302" s="120"/>
      <c r="Q1302" s="117"/>
      <c r="R1302" s="29"/>
      <c r="S1302" s="29"/>
      <c r="T1302" s="29"/>
    </row>
    <row r="1303" ht="15.75" customHeight="1">
      <c r="A1303" s="120"/>
      <c r="B1303" s="120"/>
      <c r="Q1303" s="117"/>
      <c r="R1303" s="29"/>
      <c r="S1303" s="29"/>
      <c r="T1303" s="29"/>
    </row>
    <row r="1304" ht="15.75" customHeight="1">
      <c r="A1304" s="120"/>
      <c r="B1304" s="120"/>
      <c r="Q1304" s="117"/>
      <c r="R1304" s="29"/>
      <c r="S1304" s="29"/>
      <c r="T1304" s="29"/>
    </row>
    <row r="1305" ht="15.75" customHeight="1">
      <c r="A1305" s="120"/>
      <c r="B1305" s="120"/>
      <c r="Q1305" s="117"/>
      <c r="R1305" s="29"/>
      <c r="S1305" s="29"/>
      <c r="T1305" s="29"/>
    </row>
    <row r="1306" ht="15.75" customHeight="1">
      <c r="A1306" s="120"/>
      <c r="B1306" s="120"/>
      <c r="Q1306" s="117"/>
      <c r="R1306" s="29"/>
      <c r="S1306" s="29"/>
      <c r="T1306" s="29"/>
    </row>
    <row r="1307" ht="15.75" customHeight="1">
      <c r="A1307" s="120"/>
      <c r="B1307" s="120"/>
      <c r="Q1307" s="117"/>
      <c r="R1307" s="29"/>
      <c r="S1307" s="29"/>
      <c r="T1307" s="29"/>
    </row>
    <row r="1308" ht="15.75" customHeight="1">
      <c r="A1308" s="120"/>
      <c r="B1308" s="120"/>
      <c r="Q1308" s="117"/>
      <c r="R1308" s="29"/>
      <c r="S1308" s="29"/>
      <c r="T1308" s="29"/>
    </row>
    <row r="1309" ht="15.75" customHeight="1">
      <c r="A1309" s="120"/>
      <c r="B1309" s="120"/>
      <c r="Q1309" s="117"/>
      <c r="R1309" s="29"/>
      <c r="S1309" s="29"/>
      <c r="T1309" s="29"/>
    </row>
    <row r="1310" ht="15.75" customHeight="1">
      <c r="A1310" s="120"/>
      <c r="B1310" s="120"/>
      <c r="Q1310" s="117"/>
      <c r="R1310" s="29"/>
      <c r="S1310" s="29"/>
      <c r="T1310" s="29"/>
    </row>
    <row r="1311" ht="15.75" customHeight="1">
      <c r="A1311" s="120"/>
      <c r="B1311" s="120"/>
      <c r="Q1311" s="117"/>
      <c r="R1311" s="29"/>
      <c r="S1311" s="29"/>
      <c r="T1311" s="29"/>
    </row>
    <row r="1312" ht="15.75" customHeight="1">
      <c r="A1312" s="120"/>
      <c r="B1312" s="120"/>
      <c r="Q1312" s="117"/>
      <c r="R1312" s="29"/>
      <c r="S1312" s="29"/>
      <c r="T1312" s="29"/>
    </row>
    <row r="1313" ht="15.75" customHeight="1">
      <c r="A1313" s="120"/>
      <c r="B1313" s="120"/>
      <c r="Q1313" s="117"/>
      <c r="R1313" s="29"/>
      <c r="S1313" s="29"/>
      <c r="T1313" s="29"/>
    </row>
    <row r="1314" ht="15.75" customHeight="1">
      <c r="A1314" s="120"/>
      <c r="B1314" s="120"/>
      <c r="Q1314" s="117"/>
      <c r="R1314" s="29"/>
      <c r="S1314" s="29"/>
      <c r="T1314" s="29"/>
    </row>
    <row r="1315" ht="15.75" customHeight="1">
      <c r="A1315" s="120"/>
      <c r="B1315" s="120"/>
      <c r="Q1315" s="117"/>
      <c r="R1315" s="29"/>
      <c r="S1315" s="29"/>
      <c r="T1315" s="29"/>
    </row>
    <row r="1316" ht="15.75" customHeight="1">
      <c r="A1316" s="120"/>
      <c r="B1316" s="120"/>
      <c r="Q1316" s="117"/>
      <c r="R1316" s="29"/>
      <c r="S1316" s="29"/>
      <c r="T1316" s="29"/>
    </row>
    <row r="1317" ht="15.75" customHeight="1">
      <c r="A1317" s="120"/>
      <c r="B1317" s="120"/>
      <c r="Q1317" s="117"/>
      <c r="R1317" s="29"/>
      <c r="S1317" s="29"/>
      <c r="T1317" s="29"/>
    </row>
    <row r="1318" ht="15.75" customHeight="1">
      <c r="A1318" s="120"/>
      <c r="B1318" s="120"/>
      <c r="Q1318" s="117"/>
      <c r="R1318" s="29"/>
      <c r="S1318" s="29"/>
      <c r="T1318" s="29"/>
    </row>
    <row r="1319" ht="15.75" customHeight="1">
      <c r="A1319" s="120"/>
      <c r="B1319" s="120"/>
      <c r="Q1319" s="117"/>
      <c r="R1319" s="29"/>
      <c r="S1319" s="29"/>
      <c r="T1319" s="29"/>
    </row>
    <row r="1320" ht="15.75" customHeight="1">
      <c r="A1320" s="120"/>
      <c r="B1320" s="120"/>
      <c r="Q1320" s="117"/>
      <c r="R1320" s="29"/>
      <c r="S1320" s="29"/>
      <c r="T1320" s="29"/>
    </row>
    <row r="1321" ht="15.75" customHeight="1">
      <c r="A1321" s="120"/>
      <c r="B1321" s="120"/>
      <c r="Q1321" s="117"/>
      <c r="R1321" s="29"/>
      <c r="S1321" s="29"/>
      <c r="T1321" s="29"/>
    </row>
    <row r="1322" ht="15.75" customHeight="1">
      <c r="A1322" s="120"/>
      <c r="B1322" s="120"/>
      <c r="Q1322" s="117"/>
      <c r="R1322" s="29"/>
      <c r="S1322" s="29"/>
      <c r="T1322" s="29"/>
    </row>
    <row r="1323" ht="15.75" customHeight="1">
      <c r="A1323" s="120"/>
      <c r="B1323" s="120"/>
      <c r="Q1323" s="117"/>
      <c r="R1323" s="29"/>
      <c r="S1323" s="29"/>
      <c r="T1323" s="29"/>
    </row>
    <row r="1324" ht="15.75" customHeight="1">
      <c r="A1324" s="120"/>
      <c r="B1324" s="120"/>
      <c r="Q1324" s="117"/>
      <c r="R1324" s="29"/>
      <c r="S1324" s="29"/>
      <c r="T1324" s="29"/>
    </row>
    <row r="1325" ht="15.75" customHeight="1">
      <c r="A1325" s="120"/>
      <c r="B1325" s="120"/>
      <c r="Q1325" s="117"/>
      <c r="R1325" s="29"/>
      <c r="S1325" s="29"/>
      <c r="T1325" s="29"/>
    </row>
    <row r="1326" ht="15.75" customHeight="1">
      <c r="A1326" s="120"/>
      <c r="B1326" s="120"/>
      <c r="Q1326" s="117"/>
      <c r="R1326" s="29"/>
      <c r="S1326" s="29"/>
      <c r="T1326" s="29"/>
    </row>
    <row r="1327" ht="15.75" customHeight="1">
      <c r="A1327" s="120"/>
      <c r="B1327" s="120"/>
      <c r="Q1327" s="117"/>
      <c r="R1327" s="29"/>
      <c r="S1327" s="29"/>
      <c r="T1327" s="29"/>
    </row>
    <row r="1328" ht="15.75" customHeight="1">
      <c r="A1328" s="120"/>
      <c r="B1328" s="120"/>
      <c r="Q1328" s="117"/>
      <c r="R1328" s="29"/>
      <c r="S1328" s="29"/>
      <c r="T1328" s="29"/>
    </row>
    <row r="1329" ht="15.75" customHeight="1">
      <c r="A1329" s="120"/>
      <c r="B1329" s="120"/>
      <c r="Q1329" s="117"/>
      <c r="R1329" s="29"/>
      <c r="S1329" s="29"/>
      <c r="T1329" s="29"/>
    </row>
    <row r="1330" ht="15.75" customHeight="1">
      <c r="A1330" s="120"/>
      <c r="B1330" s="120"/>
      <c r="Q1330" s="117"/>
      <c r="R1330" s="29"/>
      <c r="S1330" s="29"/>
      <c r="T1330" s="29"/>
    </row>
    <row r="1331" ht="15.75" customHeight="1">
      <c r="A1331" s="120"/>
      <c r="B1331" s="120"/>
      <c r="Q1331" s="117"/>
      <c r="R1331" s="29"/>
      <c r="S1331" s="29"/>
      <c r="T1331" s="29"/>
    </row>
    <row r="1332" ht="15.75" customHeight="1">
      <c r="A1332" s="120"/>
      <c r="B1332" s="120"/>
      <c r="Q1332" s="117"/>
      <c r="R1332" s="29"/>
      <c r="S1332" s="29"/>
      <c r="T1332" s="29"/>
    </row>
    <row r="1333" ht="15.75" customHeight="1">
      <c r="A1333" s="120"/>
      <c r="B1333" s="120"/>
      <c r="Q1333" s="117"/>
      <c r="R1333" s="29"/>
      <c r="S1333" s="29"/>
      <c r="T1333" s="29"/>
    </row>
    <row r="1334" ht="15.75" customHeight="1">
      <c r="A1334" s="120"/>
      <c r="B1334" s="120"/>
      <c r="Q1334" s="117"/>
      <c r="R1334" s="29"/>
      <c r="S1334" s="29"/>
      <c r="T1334" s="29"/>
    </row>
    <row r="1335" ht="15.75" customHeight="1">
      <c r="A1335" s="120"/>
      <c r="B1335" s="120"/>
      <c r="Q1335" s="117"/>
      <c r="R1335" s="29"/>
      <c r="S1335" s="29"/>
      <c r="T1335" s="29"/>
    </row>
    <row r="1336" ht="15.75" customHeight="1">
      <c r="A1336" s="120"/>
      <c r="B1336" s="120"/>
      <c r="Q1336" s="117"/>
      <c r="R1336" s="29"/>
      <c r="S1336" s="29"/>
      <c r="T1336" s="29"/>
    </row>
    <row r="1337" ht="15.75" customHeight="1">
      <c r="A1337" s="120"/>
      <c r="B1337" s="120"/>
      <c r="Q1337" s="117"/>
      <c r="R1337" s="29"/>
      <c r="S1337" s="29"/>
      <c r="T1337" s="29"/>
    </row>
    <row r="1338" ht="15.75" customHeight="1">
      <c r="A1338" s="120"/>
      <c r="B1338" s="120"/>
      <c r="Q1338" s="117"/>
      <c r="R1338" s="29"/>
      <c r="S1338" s="29"/>
      <c r="T1338" s="29"/>
    </row>
    <row r="1339" ht="15.75" customHeight="1">
      <c r="A1339" s="120"/>
      <c r="B1339" s="120"/>
      <c r="Q1339" s="117"/>
      <c r="R1339" s="29"/>
      <c r="S1339" s="29"/>
      <c r="T1339" s="29"/>
    </row>
    <row r="1340" ht="15.75" customHeight="1">
      <c r="A1340" s="120"/>
      <c r="B1340" s="120"/>
      <c r="Q1340" s="117"/>
      <c r="R1340" s="29"/>
      <c r="S1340" s="29"/>
      <c r="T1340" s="29"/>
    </row>
    <row r="1341" ht="15.75" customHeight="1">
      <c r="A1341" s="120"/>
      <c r="B1341" s="120"/>
      <c r="Q1341" s="117"/>
      <c r="R1341" s="29"/>
      <c r="S1341" s="29"/>
      <c r="T1341" s="29"/>
    </row>
    <row r="1342" ht="15.75" customHeight="1">
      <c r="A1342" s="120"/>
      <c r="B1342" s="120"/>
      <c r="Q1342" s="117"/>
      <c r="R1342" s="29"/>
      <c r="S1342" s="29"/>
      <c r="T1342" s="29"/>
    </row>
    <row r="1343" ht="15.75" customHeight="1">
      <c r="A1343" s="120"/>
      <c r="B1343" s="120"/>
      <c r="Q1343" s="117"/>
      <c r="R1343" s="29"/>
      <c r="S1343" s="29"/>
      <c r="T1343" s="29"/>
    </row>
    <row r="1344" ht="15.75" customHeight="1">
      <c r="A1344" s="120"/>
      <c r="B1344" s="120"/>
      <c r="Q1344" s="117"/>
      <c r="R1344" s="29"/>
      <c r="S1344" s="29"/>
      <c r="T1344" s="29"/>
    </row>
    <row r="1345" ht="15.75" customHeight="1">
      <c r="A1345" s="120"/>
      <c r="B1345" s="120"/>
      <c r="Q1345" s="117"/>
      <c r="R1345" s="29"/>
      <c r="S1345" s="29"/>
      <c r="T1345" s="29"/>
    </row>
    <row r="1346" ht="15.75" customHeight="1">
      <c r="A1346" s="120"/>
      <c r="B1346" s="120"/>
      <c r="Q1346" s="117"/>
      <c r="R1346" s="29"/>
      <c r="S1346" s="29"/>
      <c r="T1346" s="29"/>
    </row>
    <row r="1347" ht="15.75" customHeight="1">
      <c r="A1347" s="120"/>
      <c r="B1347" s="120"/>
      <c r="Q1347" s="117"/>
      <c r="R1347" s="29"/>
      <c r="S1347" s="29"/>
      <c r="T1347" s="29"/>
    </row>
    <row r="1348" ht="15.75" customHeight="1">
      <c r="A1348" s="120"/>
      <c r="B1348" s="120"/>
      <c r="Q1348" s="117"/>
      <c r="R1348" s="29"/>
      <c r="S1348" s="29"/>
      <c r="T1348" s="29"/>
    </row>
    <row r="1349" ht="15.75" customHeight="1">
      <c r="A1349" s="120"/>
      <c r="B1349" s="120"/>
      <c r="Q1349" s="117"/>
      <c r="R1349" s="29"/>
      <c r="S1349" s="29"/>
      <c r="T1349" s="29"/>
    </row>
    <row r="1350" ht="15.75" customHeight="1">
      <c r="A1350" s="120"/>
      <c r="B1350" s="120"/>
      <c r="Q1350" s="117"/>
      <c r="R1350" s="29"/>
      <c r="S1350" s="29"/>
      <c r="T1350" s="29"/>
    </row>
    <row r="1351" ht="15.75" customHeight="1">
      <c r="A1351" s="120"/>
      <c r="B1351" s="120"/>
      <c r="Q1351" s="117"/>
      <c r="R1351" s="29"/>
      <c r="S1351" s="29"/>
      <c r="T1351" s="29"/>
    </row>
    <row r="1352" ht="15.75" customHeight="1">
      <c r="A1352" s="120"/>
      <c r="B1352" s="120"/>
      <c r="Q1352" s="117"/>
      <c r="R1352" s="29"/>
      <c r="S1352" s="29"/>
      <c r="T1352" s="29"/>
    </row>
    <row r="1353" ht="15.75" customHeight="1">
      <c r="A1353" s="120"/>
      <c r="B1353" s="120"/>
      <c r="Q1353" s="117"/>
      <c r="R1353" s="29"/>
      <c r="S1353" s="29"/>
      <c r="T1353" s="29"/>
    </row>
    <row r="1354" ht="15.75" customHeight="1">
      <c r="A1354" s="120"/>
      <c r="B1354" s="120"/>
      <c r="Q1354" s="117"/>
      <c r="R1354" s="29"/>
      <c r="S1354" s="29"/>
      <c r="T1354" s="29"/>
    </row>
    <row r="1355" ht="15.75" customHeight="1">
      <c r="A1355" s="120"/>
      <c r="B1355" s="120"/>
      <c r="Q1355" s="117"/>
      <c r="R1355" s="29"/>
      <c r="S1355" s="29"/>
      <c r="T1355" s="29"/>
    </row>
    <row r="1356" ht="15.75" customHeight="1">
      <c r="A1356" s="120"/>
      <c r="B1356" s="120"/>
      <c r="Q1356" s="117"/>
      <c r="R1356" s="29"/>
      <c r="S1356" s="29"/>
      <c r="T1356" s="29"/>
    </row>
    <row r="1357" ht="15.75" customHeight="1">
      <c r="A1357" s="120"/>
      <c r="B1357" s="120"/>
      <c r="Q1357" s="117"/>
      <c r="R1357" s="29"/>
      <c r="S1357" s="29"/>
      <c r="T1357" s="29"/>
    </row>
    <row r="1358" ht="15.75" customHeight="1">
      <c r="A1358" s="120"/>
      <c r="B1358" s="120"/>
      <c r="Q1358" s="117"/>
      <c r="R1358" s="29"/>
      <c r="S1358" s="29"/>
      <c r="T1358" s="29"/>
    </row>
    <row r="1359" ht="15.75" customHeight="1">
      <c r="A1359" s="120"/>
      <c r="B1359" s="120"/>
      <c r="Q1359" s="117"/>
      <c r="R1359" s="29"/>
      <c r="S1359" s="29"/>
      <c r="T1359" s="29"/>
    </row>
    <row r="1360" ht="15.75" customHeight="1">
      <c r="A1360" s="120"/>
      <c r="B1360" s="120"/>
      <c r="Q1360" s="117"/>
      <c r="R1360" s="29"/>
      <c r="S1360" s="29"/>
      <c r="T1360" s="29"/>
    </row>
    <row r="1361" ht="15.75" customHeight="1">
      <c r="A1361" s="120"/>
      <c r="B1361" s="120"/>
      <c r="Q1361" s="117"/>
      <c r="R1361" s="29"/>
      <c r="S1361" s="29"/>
      <c r="T1361" s="29"/>
    </row>
    <row r="1362" ht="15.75" customHeight="1">
      <c r="A1362" s="120"/>
      <c r="B1362" s="120"/>
      <c r="Q1362" s="117"/>
      <c r="R1362" s="29"/>
      <c r="S1362" s="29"/>
      <c r="T1362" s="29"/>
    </row>
    <row r="1363" ht="15.75" customHeight="1">
      <c r="A1363" s="120"/>
      <c r="B1363" s="120"/>
      <c r="Q1363" s="117"/>
      <c r="R1363" s="29"/>
      <c r="S1363" s="29"/>
      <c r="T1363" s="29"/>
    </row>
    <row r="1364" ht="15.75" customHeight="1">
      <c r="A1364" s="120"/>
      <c r="B1364" s="120"/>
      <c r="Q1364" s="117"/>
      <c r="R1364" s="29"/>
      <c r="S1364" s="29"/>
      <c r="T1364" s="29"/>
    </row>
    <row r="1365" ht="15.75" customHeight="1">
      <c r="A1365" s="120"/>
      <c r="B1365" s="120"/>
      <c r="Q1365" s="117"/>
      <c r="R1365" s="29"/>
      <c r="S1365" s="29"/>
      <c r="T1365" s="29"/>
    </row>
    <row r="1366" ht="15.75" customHeight="1">
      <c r="A1366" s="120"/>
      <c r="B1366" s="120"/>
      <c r="Q1366" s="117"/>
      <c r="R1366" s="29"/>
      <c r="S1366" s="29"/>
      <c r="T1366" s="29"/>
    </row>
    <row r="1367" ht="15.75" customHeight="1">
      <c r="A1367" s="120"/>
      <c r="B1367" s="120"/>
      <c r="Q1367" s="117"/>
      <c r="R1367" s="29"/>
      <c r="S1367" s="29"/>
      <c r="T1367" s="29"/>
    </row>
    <row r="1368" ht="15.75" customHeight="1">
      <c r="A1368" s="120"/>
      <c r="B1368" s="120"/>
      <c r="Q1368" s="117"/>
      <c r="R1368" s="29"/>
      <c r="S1368" s="29"/>
      <c r="T1368" s="29"/>
    </row>
    <row r="1369" ht="15.75" customHeight="1">
      <c r="A1369" s="120"/>
      <c r="B1369" s="120"/>
      <c r="Q1369" s="117"/>
      <c r="R1369" s="29"/>
      <c r="S1369" s="29"/>
      <c r="T1369" s="29"/>
    </row>
    <row r="1370" ht="15.75" customHeight="1">
      <c r="A1370" s="120"/>
      <c r="B1370" s="120"/>
      <c r="Q1370" s="117"/>
      <c r="R1370" s="29"/>
      <c r="S1370" s="29"/>
      <c r="T1370" s="29"/>
    </row>
    <row r="1371" ht="15.75" customHeight="1">
      <c r="A1371" s="120"/>
      <c r="B1371" s="120"/>
      <c r="Q1371" s="117"/>
      <c r="R1371" s="29"/>
      <c r="S1371" s="29"/>
      <c r="T1371" s="29"/>
    </row>
    <row r="1372" ht="15.75" customHeight="1">
      <c r="A1372" s="120"/>
      <c r="B1372" s="120"/>
      <c r="Q1372" s="117"/>
      <c r="R1372" s="29"/>
      <c r="S1372" s="29"/>
      <c r="T1372" s="29"/>
    </row>
    <row r="1373" ht="15.75" customHeight="1">
      <c r="A1373" s="120"/>
      <c r="B1373" s="120"/>
      <c r="Q1373" s="117"/>
      <c r="R1373" s="29"/>
      <c r="S1373" s="29"/>
      <c r="T1373" s="29"/>
    </row>
    <row r="1374" ht="15.75" customHeight="1">
      <c r="A1374" s="120"/>
      <c r="B1374" s="120"/>
      <c r="Q1374" s="117"/>
      <c r="R1374" s="29"/>
      <c r="S1374" s="29"/>
      <c r="T1374" s="29"/>
    </row>
    <row r="1375" ht="15.75" customHeight="1">
      <c r="A1375" s="120"/>
      <c r="B1375" s="120"/>
      <c r="Q1375" s="117"/>
      <c r="R1375" s="29"/>
      <c r="S1375" s="29"/>
      <c r="T1375" s="29"/>
    </row>
    <row r="1376" ht="15.75" customHeight="1">
      <c r="A1376" s="120"/>
      <c r="B1376" s="120"/>
      <c r="Q1376" s="117"/>
      <c r="R1376" s="29"/>
      <c r="S1376" s="29"/>
      <c r="T1376" s="29"/>
    </row>
    <row r="1377" ht="15.75" customHeight="1">
      <c r="A1377" s="120"/>
      <c r="B1377" s="120"/>
      <c r="Q1377" s="117"/>
      <c r="R1377" s="29"/>
      <c r="S1377" s="29"/>
      <c r="T1377" s="29"/>
    </row>
    <row r="1378" ht="15.75" customHeight="1">
      <c r="A1378" s="120"/>
      <c r="B1378" s="120"/>
      <c r="Q1378" s="117"/>
      <c r="R1378" s="29"/>
      <c r="S1378" s="29"/>
      <c r="T1378" s="29"/>
    </row>
    <row r="1379" ht="15.75" customHeight="1">
      <c r="A1379" s="120"/>
      <c r="B1379" s="120"/>
      <c r="Q1379" s="117"/>
      <c r="R1379" s="29"/>
      <c r="S1379" s="29"/>
      <c r="T1379" s="29"/>
    </row>
    <row r="1380" ht="15.75" customHeight="1">
      <c r="A1380" s="120"/>
      <c r="B1380" s="120"/>
      <c r="Q1380" s="117"/>
      <c r="R1380" s="29"/>
      <c r="S1380" s="29"/>
      <c r="T1380" s="29"/>
    </row>
    <row r="1381" ht="15.75" customHeight="1">
      <c r="A1381" s="120"/>
      <c r="B1381" s="120"/>
      <c r="Q1381" s="117"/>
      <c r="R1381" s="29"/>
      <c r="S1381" s="29"/>
      <c r="T1381" s="29"/>
    </row>
    <row r="1382" ht="15.75" customHeight="1">
      <c r="A1382" s="120"/>
      <c r="B1382" s="120"/>
      <c r="Q1382" s="117"/>
      <c r="R1382" s="29"/>
      <c r="S1382" s="29"/>
      <c r="T1382" s="29"/>
    </row>
    <row r="1383" ht="15.75" customHeight="1">
      <c r="A1383" s="120"/>
      <c r="B1383" s="120"/>
      <c r="Q1383" s="117"/>
      <c r="R1383" s="29"/>
      <c r="S1383" s="29"/>
      <c r="T1383" s="29"/>
    </row>
    <row r="1384" ht="15.75" customHeight="1">
      <c r="A1384" s="120"/>
      <c r="B1384" s="120"/>
      <c r="Q1384" s="117"/>
      <c r="R1384" s="29"/>
      <c r="S1384" s="29"/>
      <c r="T1384" s="29"/>
    </row>
    <row r="1385" ht="15.75" customHeight="1">
      <c r="A1385" s="120"/>
      <c r="B1385" s="120"/>
      <c r="Q1385" s="117"/>
      <c r="R1385" s="29"/>
      <c r="S1385" s="29"/>
      <c r="T1385" s="29"/>
    </row>
    <row r="1386" ht="15.75" customHeight="1">
      <c r="A1386" s="120"/>
      <c r="B1386" s="120"/>
      <c r="Q1386" s="117"/>
      <c r="R1386" s="29"/>
      <c r="S1386" s="29"/>
      <c r="T1386" s="29"/>
    </row>
    <row r="1387" ht="15.75" customHeight="1">
      <c r="A1387" s="120"/>
      <c r="B1387" s="120"/>
      <c r="Q1387" s="117"/>
      <c r="R1387" s="29"/>
      <c r="S1387" s="29"/>
      <c r="T1387" s="29"/>
    </row>
    <row r="1388" ht="15.75" customHeight="1">
      <c r="A1388" s="120"/>
      <c r="B1388" s="120"/>
      <c r="Q1388" s="117"/>
      <c r="R1388" s="29"/>
      <c r="S1388" s="29"/>
      <c r="T1388" s="29"/>
    </row>
    <row r="1389" ht="15.75" customHeight="1">
      <c r="A1389" s="120"/>
      <c r="B1389" s="120"/>
      <c r="Q1389" s="117"/>
      <c r="R1389" s="29"/>
      <c r="S1389" s="29"/>
      <c r="T1389" s="29"/>
    </row>
    <row r="1390" ht="15.75" customHeight="1">
      <c r="A1390" s="120"/>
      <c r="B1390" s="120"/>
      <c r="Q1390" s="117"/>
      <c r="R1390" s="29"/>
      <c r="S1390" s="29"/>
      <c r="T1390" s="29"/>
    </row>
    <row r="1391" ht="15.75" customHeight="1">
      <c r="A1391" s="120"/>
      <c r="B1391" s="120"/>
      <c r="Q1391" s="117"/>
      <c r="R1391" s="29"/>
      <c r="S1391" s="29"/>
      <c r="T1391" s="29"/>
    </row>
    <row r="1392" ht="15.75" customHeight="1">
      <c r="A1392" s="120"/>
      <c r="B1392" s="120"/>
      <c r="Q1392" s="117"/>
      <c r="R1392" s="29"/>
      <c r="S1392" s="29"/>
      <c r="T1392" s="29"/>
    </row>
    <row r="1393" ht="15.75" customHeight="1">
      <c r="A1393" s="120"/>
      <c r="B1393" s="120"/>
      <c r="Q1393" s="117"/>
      <c r="R1393" s="29"/>
      <c r="S1393" s="29"/>
      <c r="T1393" s="29"/>
    </row>
    <row r="1394" ht="15.75" customHeight="1">
      <c r="A1394" s="120"/>
      <c r="B1394" s="120"/>
      <c r="Q1394" s="117"/>
      <c r="R1394" s="29"/>
      <c r="S1394" s="29"/>
      <c r="T1394" s="29"/>
    </row>
    <row r="1395" ht="15.75" customHeight="1">
      <c r="A1395" s="120"/>
      <c r="B1395" s="120"/>
      <c r="Q1395" s="117"/>
      <c r="R1395" s="29"/>
      <c r="S1395" s="29"/>
      <c r="T1395" s="29"/>
    </row>
    <row r="1396" ht="15.75" customHeight="1">
      <c r="A1396" s="120"/>
      <c r="B1396" s="120"/>
      <c r="Q1396" s="117"/>
      <c r="R1396" s="29"/>
      <c r="S1396" s="29"/>
      <c r="T1396" s="29"/>
    </row>
    <row r="1397" ht="15.75" customHeight="1">
      <c r="A1397" s="120"/>
      <c r="B1397" s="120"/>
      <c r="Q1397" s="117"/>
      <c r="R1397" s="29"/>
      <c r="S1397" s="29"/>
      <c r="T1397" s="29"/>
    </row>
    <row r="1398" ht="15.75" customHeight="1">
      <c r="A1398" s="120"/>
      <c r="B1398" s="120"/>
      <c r="Q1398" s="117"/>
      <c r="R1398" s="29"/>
      <c r="S1398" s="29"/>
      <c r="T1398" s="29"/>
    </row>
    <row r="1399" ht="15.75" customHeight="1">
      <c r="A1399" s="120"/>
      <c r="B1399" s="120"/>
      <c r="Q1399" s="117"/>
      <c r="R1399" s="29"/>
      <c r="S1399" s="29"/>
      <c r="T1399" s="29"/>
    </row>
    <row r="1400" ht="15.75" customHeight="1">
      <c r="A1400" s="120"/>
      <c r="B1400" s="120"/>
      <c r="Q1400" s="117"/>
      <c r="R1400" s="29"/>
      <c r="S1400" s="29"/>
      <c r="T1400" s="29"/>
    </row>
    <row r="1401" ht="15.75" customHeight="1">
      <c r="A1401" s="120"/>
      <c r="B1401" s="120"/>
      <c r="Q1401" s="117"/>
      <c r="R1401" s="29"/>
      <c r="S1401" s="29"/>
      <c r="T1401" s="29"/>
    </row>
    <row r="1402" ht="15.75" customHeight="1">
      <c r="A1402" s="120"/>
      <c r="B1402" s="120"/>
      <c r="Q1402" s="117"/>
      <c r="R1402" s="29"/>
      <c r="S1402" s="29"/>
      <c r="T1402" s="29"/>
    </row>
    <row r="1403" ht="15.75" customHeight="1">
      <c r="A1403" s="120"/>
      <c r="B1403" s="120"/>
      <c r="Q1403" s="117"/>
      <c r="R1403" s="29"/>
      <c r="S1403" s="29"/>
      <c r="T1403" s="29"/>
    </row>
    <row r="1404" ht="15.75" customHeight="1">
      <c r="A1404" s="120"/>
      <c r="B1404" s="120"/>
      <c r="Q1404" s="117"/>
      <c r="R1404" s="29"/>
      <c r="S1404" s="29"/>
      <c r="T1404" s="29"/>
    </row>
    <row r="1405" ht="15.75" customHeight="1">
      <c r="A1405" s="120"/>
      <c r="B1405" s="120"/>
      <c r="Q1405" s="117"/>
      <c r="R1405" s="29"/>
      <c r="S1405" s="29"/>
      <c r="T1405" s="29"/>
    </row>
    <row r="1406" ht="15.75" customHeight="1">
      <c r="A1406" s="120"/>
      <c r="B1406" s="120"/>
      <c r="Q1406" s="117"/>
      <c r="R1406" s="29"/>
      <c r="S1406" s="29"/>
      <c r="T1406" s="29"/>
    </row>
    <row r="1407" ht="15.75" customHeight="1">
      <c r="A1407" s="120"/>
      <c r="B1407" s="120"/>
      <c r="Q1407" s="117"/>
      <c r="R1407" s="29"/>
      <c r="S1407" s="29"/>
      <c r="T1407" s="29"/>
    </row>
    <row r="1408" ht="15.75" customHeight="1">
      <c r="A1408" s="120"/>
      <c r="B1408" s="120"/>
      <c r="Q1408" s="117"/>
      <c r="R1408" s="29"/>
      <c r="S1408" s="29"/>
      <c r="T1408" s="29"/>
    </row>
    <row r="1409" ht="15.75" customHeight="1">
      <c r="A1409" s="120"/>
      <c r="B1409" s="120"/>
      <c r="Q1409" s="117"/>
      <c r="R1409" s="29"/>
      <c r="S1409" s="29"/>
      <c r="T1409" s="29"/>
    </row>
    <row r="1410" ht="15.75" customHeight="1">
      <c r="A1410" s="120"/>
      <c r="B1410" s="120"/>
      <c r="Q1410" s="117"/>
      <c r="R1410" s="29"/>
      <c r="S1410" s="29"/>
      <c r="T1410" s="29"/>
    </row>
    <row r="1411" ht="15.75" customHeight="1">
      <c r="A1411" s="120"/>
      <c r="B1411" s="120"/>
      <c r="Q1411" s="117"/>
      <c r="R1411" s="29"/>
      <c r="S1411" s="29"/>
      <c r="T1411" s="29"/>
    </row>
    <row r="1412" ht="15.75" customHeight="1">
      <c r="A1412" s="120"/>
      <c r="B1412" s="120"/>
      <c r="Q1412" s="117"/>
      <c r="R1412" s="29"/>
      <c r="S1412" s="29"/>
      <c r="T1412" s="29"/>
    </row>
    <row r="1413" ht="15.75" customHeight="1">
      <c r="A1413" s="120"/>
      <c r="B1413" s="120"/>
      <c r="Q1413" s="117"/>
      <c r="R1413" s="29"/>
      <c r="S1413" s="29"/>
      <c r="T1413" s="29"/>
    </row>
    <row r="1414" ht="15.75" customHeight="1">
      <c r="A1414" s="120"/>
      <c r="B1414" s="120"/>
      <c r="Q1414" s="117"/>
      <c r="R1414" s="29"/>
      <c r="S1414" s="29"/>
      <c r="T1414" s="29"/>
    </row>
    <row r="1415" ht="15.75" customHeight="1">
      <c r="A1415" s="120"/>
      <c r="B1415" s="120"/>
      <c r="Q1415" s="117"/>
      <c r="R1415" s="29"/>
      <c r="S1415" s="29"/>
      <c r="T1415" s="29"/>
    </row>
    <row r="1416" ht="15.75" customHeight="1">
      <c r="A1416" s="120"/>
      <c r="B1416" s="120"/>
      <c r="Q1416" s="117"/>
      <c r="R1416" s="29"/>
      <c r="S1416" s="29"/>
      <c r="T1416" s="29"/>
    </row>
    <row r="1417" ht="15.75" customHeight="1">
      <c r="A1417" s="120"/>
      <c r="B1417" s="120"/>
      <c r="Q1417" s="117"/>
      <c r="R1417" s="29"/>
      <c r="S1417" s="29"/>
      <c r="T1417" s="29"/>
    </row>
    <row r="1418" ht="15.75" customHeight="1">
      <c r="A1418" s="120"/>
      <c r="B1418" s="120"/>
      <c r="Q1418" s="117"/>
      <c r="R1418" s="29"/>
      <c r="S1418" s="29"/>
      <c r="T1418" s="29"/>
    </row>
    <row r="1419" ht="15.75" customHeight="1">
      <c r="A1419" s="120"/>
      <c r="B1419" s="120"/>
      <c r="Q1419" s="117"/>
      <c r="R1419" s="29"/>
      <c r="S1419" s="29"/>
      <c r="T1419" s="29"/>
    </row>
    <row r="1420" ht="15.75" customHeight="1">
      <c r="A1420" s="120"/>
      <c r="B1420" s="120"/>
      <c r="Q1420" s="117"/>
      <c r="R1420" s="29"/>
      <c r="S1420" s="29"/>
      <c r="T1420" s="29"/>
    </row>
    <row r="1421" ht="15.75" customHeight="1">
      <c r="A1421" s="120"/>
      <c r="B1421" s="120"/>
      <c r="Q1421" s="117"/>
      <c r="R1421" s="29"/>
      <c r="S1421" s="29"/>
      <c r="T1421" s="29"/>
    </row>
    <row r="1422" ht="15.75" customHeight="1">
      <c r="A1422" s="120"/>
      <c r="B1422" s="120"/>
      <c r="Q1422" s="117"/>
      <c r="R1422" s="29"/>
      <c r="S1422" s="29"/>
      <c r="T1422" s="29"/>
    </row>
    <row r="1423" ht="15.75" customHeight="1">
      <c r="A1423" s="120"/>
      <c r="B1423" s="120"/>
      <c r="Q1423" s="117"/>
      <c r="R1423" s="29"/>
      <c r="S1423" s="29"/>
      <c r="T1423" s="29"/>
    </row>
    <row r="1424" ht="15.75" customHeight="1">
      <c r="A1424" s="120"/>
      <c r="B1424" s="120"/>
      <c r="Q1424" s="117"/>
      <c r="R1424" s="29"/>
      <c r="S1424" s="29"/>
      <c r="T1424" s="29"/>
    </row>
    <row r="1425" ht="15.75" customHeight="1">
      <c r="A1425" s="120"/>
      <c r="B1425" s="120"/>
      <c r="Q1425" s="117"/>
      <c r="R1425" s="29"/>
      <c r="S1425" s="29"/>
      <c r="T1425" s="29"/>
    </row>
    <row r="1426" ht="15.75" customHeight="1">
      <c r="A1426" s="120"/>
      <c r="B1426" s="120"/>
      <c r="Q1426" s="117"/>
      <c r="R1426" s="29"/>
      <c r="S1426" s="29"/>
      <c r="T1426" s="29"/>
    </row>
    <row r="1427" ht="15.75" customHeight="1">
      <c r="A1427" s="120"/>
      <c r="B1427" s="120"/>
      <c r="Q1427" s="117"/>
      <c r="R1427" s="29"/>
      <c r="S1427" s="29"/>
      <c r="T1427" s="29"/>
    </row>
    <row r="1428" ht="15.75" customHeight="1">
      <c r="A1428" s="120"/>
      <c r="B1428" s="120"/>
      <c r="Q1428" s="117"/>
      <c r="R1428" s="29"/>
      <c r="S1428" s="29"/>
      <c r="T1428" s="29"/>
    </row>
    <row r="1429" ht="15.75" customHeight="1">
      <c r="A1429" s="120"/>
      <c r="B1429" s="120"/>
      <c r="Q1429" s="117"/>
      <c r="R1429" s="29"/>
      <c r="S1429" s="29"/>
      <c r="T1429" s="29"/>
    </row>
    <row r="1430" ht="15.75" customHeight="1">
      <c r="A1430" s="120"/>
      <c r="B1430" s="120"/>
      <c r="Q1430" s="117"/>
      <c r="R1430" s="29"/>
      <c r="S1430" s="29"/>
      <c r="T1430" s="29"/>
    </row>
    <row r="1431" ht="15.75" customHeight="1">
      <c r="A1431" s="120"/>
      <c r="B1431" s="120"/>
      <c r="Q1431" s="117"/>
      <c r="R1431" s="29"/>
      <c r="S1431" s="29"/>
      <c r="T1431" s="29"/>
    </row>
    <row r="1432" ht="15.75" customHeight="1">
      <c r="A1432" s="120"/>
      <c r="B1432" s="120"/>
      <c r="Q1432" s="117"/>
      <c r="R1432" s="29"/>
      <c r="S1432" s="29"/>
      <c r="T1432" s="29"/>
    </row>
    <row r="1433" ht="15.75" customHeight="1">
      <c r="A1433" s="120"/>
      <c r="B1433" s="120"/>
      <c r="Q1433" s="117"/>
      <c r="R1433" s="29"/>
      <c r="S1433" s="29"/>
      <c r="T1433" s="29"/>
    </row>
    <row r="1434" ht="15.75" customHeight="1">
      <c r="A1434" s="120"/>
      <c r="B1434" s="120"/>
      <c r="Q1434" s="117"/>
      <c r="R1434" s="29"/>
      <c r="S1434" s="29"/>
      <c r="T1434" s="29"/>
    </row>
    <row r="1435" ht="15.75" customHeight="1">
      <c r="A1435" s="120"/>
      <c r="B1435" s="120"/>
      <c r="Q1435" s="117"/>
      <c r="R1435" s="29"/>
      <c r="S1435" s="29"/>
      <c r="T1435" s="29"/>
    </row>
    <row r="1436" ht="15.75" customHeight="1">
      <c r="A1436" s="120"/>
      <c r="B1436" s="120"/>
      <c r="Q1436" s="117"/>
      <c r="R1436" s="29"/>
      <c r="S1436" s="29"/>
      <c r="T1436" s="29"/>
    </row>
    <row r="1437" ht="15.75" customHeight="1">
      <c r="A1437" s="120"/>
      <c r="B1437" s="120"/>
      <c r="Q1437" s="117"/>
      <c r="R1437" s="29"/>
      <c r="S1437" s="29"/>
      <c r="T1437" s="29"/>
    </row>
    <row r="1438" ht="15.75" customHeight="1">
      <c r="A1438" s="120"/>
      <c r="B1438" s="120"/>
      <c r="Q1438" s="117"/>
      <c r="R1438" s="29"/>
      <c r="S1438" s="29"/>
      <c r="T1438" s="29"/>
    </row>
    <row r="1439" ht="15.75" customHeight="1">
      <c r="A1439" s="120"/>
      <c r="B1439" s="120"/>
      <c r="Q1439" s="117"/>
      <c r="R1439" s="29"/>
      <c r="S1439" s="29"/>
      <c r="T1439" s="29"/>
    </row>
    <row r="1440" ht="15.75" customHeight="1">
      <c r="A1440" s="120"/>
      <c r="B1440" s="120"/>
      <c r="Q1440" s="117"/>
      <c r="R1440" s="29"/>
      <c r="S1440" s="29"/>
      <c r="T1440" s="29"/>
    </row>
    <row r="1441" ht="15.75" customHeight="1">
      <c r="A1441" s="120"/>
      <c r="B1441" s="120"/>
      <c r="Q1441" s="117"/>
      <c r="R1441" s="29"/>
      <c r="S1441" s="29"/>
      <c r="T1441" s="29"/>
    </row>
    <row r="1442" ht="15.75" customHeight="1">
      <c r="A1442" s="120"/>
      <c r="B1442" s="120"/>
      <c r="Q1442" s="117"/>
      <c r="R1442" s="29"/>
      <c r="S1442" s="29"/>
      <c r="T1442" s="29"/>
    </row>
    <row r="1443" ht="15.75" customHeight="1">
      <c r="A1443" s="120"/>
      <c r="B1443" s="120"/>
      <c r="Q1443" s="117"/>
      <c r="R1443" s="29"/>
      <c r="S1443" s="29"/>
      <c r="T1443" s="29"/>
    </row>
    <row r="1444" ht="15.75" customHeight="1">
      <c r="A1444" s="120"/>
      <c r="B1444" s="120"/>
      <c r="Q1444" s="117"/>
      <c r="R1444" s="29"/>
      <c r="S1444" s="29"/>
      <c r="T1444" s="29"/>
    </row>
    <row r="1445" ht="15.75" customHeight="1">
      <c r="A1445" s="120"/>
      <c r="B1445" s="120"/>
      <c r="Q1445" s="117"/>
      <c r="R1445" s="29"/>
      <c r="S1445" s="29"/>
      <c r="T1445" s="29"/>
    </row>
    <row r="1446" ht="15.75" customHeight="1">
      <c r="A1446" s="120"/>
      <c r="B1446" s="120"/>
      <c r="Q1446" s="117"/>
      <c r="R1446" s="29"/>
      <c r="S1446" s="29"/>
      <c r="T1446" s="29"/>
    </row>
    <row r="1447" ht="15.75" customHeight="1">
      <c r="A1447" s="120"/>
      <c r="B1447" s="120"/>
      <c r="Q1447" s="117"/>
      <c r="R1447" s="29"/>
      <c r="S1447" s="29"/>
      <c r="T1447" s="29"/>
    </row>
    <row r="1448" ht="15.75" customHeight="1">
      <c r="A1448" s="120"/>
      <c r="B1448" s="120"/>
      <c r="Q1448" s="117"/>
      <c r="R1448" s="29"/>
      <c r="S1448" s="29"/>
      <c r="T1448" s="29"/>
    </row>
    <row r="1449" ht="15.75" customHeight="1">
      <c r="A1449" s="120"/>
      <c r="B1449" s="120"/>
      <c r="Q1449" s="117"/>
      <c r="R1449" s="29"/>
      <c r="S1449" s="29"/>
      <c r="T1449" s="29"/>
    </row>
    <row r="1450" ht="15.75" customHeight="1">
      <c r="A1450" s="120"/>
      <c r="B1450" s="120"/>
      <c r="Q1450" s="117"/>
      <c r="R1450" s="29"/>
      <c r="S1450" s="29"/>
      <c r="T1450" s="29"/>
    </row>
    <row r="1451" ht="15.75" customHeight="1">
      <c r="A1451" s="120"/>
      <c r="B1451" s="120"/>
      <c r="Q1451" s="117"/>
      <c r="R1451" s="29"/>
      <c r="S1451" s="29"/>
      <c r="T1451" s="29"/>
    </row>
    <row r="1452" ht="15.75" customHeight="1">
      <c r="A1452" s="120"/>
      <c r="B1452" s="120"/>
      <c r="Q1452" s="117"/>
      <c r="R1452" s="29"/>
      <c r="S1452" s="29"/>
      <c r="T1452" s="29"/>
    </row>
    <row r="1453" ht="15.75" customHeight="1">
      <c r="A1453" s="120"/>
      <c r="B1453" s="120"/>
      <c r="Q1453" s="117"/>
      <c r="R1453" s="29"/>
      <c r="S1453" s="29"/>
      <c r="T1453" s="29"/>
    </row>
    <row r="1454" ht="15.75" customHeight="1">
      <c r="A1454" s="120"/>
      <c r="B1454" s="120"/>
      <c r="Q1454" s="117"/>
      <c r="R1454" s="29"/>
      <c r="S1454" s="29"/>
      <c r="T1454" s="29"/>
    </row>
    <row r="1455" ht="15.75" customHeight="1">
      <c r="A1455" s="120"/>
      <c r="B1455" s="120"/>
      <c r="Q1455" s="117"/>
      <c r="R1455" s="29"/>
      <c r="S1455" s="29"/>
      <c r="T1455" s="29"/>
    </row>
    <row r="1456" ht="15.75" customHeight="1">
      <c r="A1456" s="120"/>
      <c r="B1456" s="120"/>
      <c r="Q1456" s="117"/>
      <c r="R1456" s="29"/>
      <c r="S1456" s="29"/>
      <c r="T1456" s="29"/>
    </row>
    <row r="1457" ht="15.75" customHeight="1">
      <c r="A1457" s="120"/>
      <c r="B1457" s="120"/>
      <c r="Q1457" s="117"/>
      <c r="R1457" s="29"/>
      <c r="S1457" s="29"/>
      <c r="T1457" s="29"/>
    </row>
    <row r="1458" ht="15.75" customHeight="1">
      <c r="A1458" s="120"/>
      <c r="B1458" s="120"/>
      <c r="Q1458" s="117"/>
      <c r="R1458" s="29"/>
      <c r="S1458" s="29"/>
      <c r="T1458" s="29"/>
    </row>
    <row r="1459" ht="15.75" customHeight="1">
      <c r="A1459" s="120"/>
      <c r="B1459" s="120"/>
      <c r="Q1459" s="117"/>
      <c r="R1459" s="29"/>
      <c r="S1459" s="29"/>
      <c r="T1459" s="29"/>
    </row>
    <row r="1460" ht="15.75" customHeight="1">
      <c r="A1460" s="120"/>
      <c r="B1460" s="120"/>
      <c r="Q1460" s="117"/>
      <c r="R1460" s="29"/>
      <c r="S1460" s="29"/>
      <c r="T1460" s="29"/>
    </row>
    <row r="1461" ht="15.75" customHeight="1">
      <c r="A1461" s="120"/>
      <c r="B1461" s="120"/>
      <c r="Q1461" s="117"/>
      <c r="R1461" s="29"/>
      <c r="S1461" s="29"/>
      <c r="T1461" s="29"/>
    </row>
    <row r="1462" ht="15.75" customHeight="1">
      <c r="A1462" s="120"/>
      <c r="B1462" s="120"/>
      <c r="Q1462" s="117"/>
      <c r="R1462" s="29"/>
      <c r="S1462" s="29"/>
      <c r="T1462" s="29"/>
    </row>
    <row r="1463" ht="15.75" customHeight="1">
      <c r="A1463" s="120"/>
      <c r="B1463" s="120"/>
      <c r="Q1463" s="117"/>
      <c r="R1463" s="29"/>
      <c r="S1463" s="29"/>
      <c r="T1463" s="29"/>
    </row>
    <row r="1464" ht="15.75" customHeight="1">
      <c r="A1464" s="120"/>
      <c r="B1464" s="120"/>
      <c r="Q1464" s="117"/>
      <c r="R1464" s="29"/>
      <c r="S1464" s="29"/>
      <c r="T1464" s="29"/>
    </row>
    <row r="1465" ht="15.75" customHeight="1">
      <c r="A1465" s="120"/>
      <c r="B1465" s="120"/>
      <c r="Q1465" s="117"/>
      <c r="R1465" s="29"/>
      <c r="S1465" s="29"/>
      <c r="T1465" s="29"/>
    </row>
    <row r="1466" ht="15.75" customHeight="1">
      <c r="A1466" s="120"/>
      <c r="B1466" s="120"/>
      <c r="Q1466" s="117"/>
      <c r="R1466" s="29"/>
      <c r="S1466" s="29"/>
      <c r="T1466" s="29"/>
    </row>
    <row r="1467" ht="15.75" customHeight="1">
      <c r="A1467" s="120"/>
      <c r="B1467" s="120"/>
      <c r="Q1467" s="117"/>
      <c r="R1467" s="29"/>
      <c r="S1467" s="29"/>
      <c r="T1467" s="29"/>
    </row>
    <row r="1468" ht="15.75" customHeight="1">
      <c r="A1468" s="120"/>
      <c r="B1468" s="120"/>
      <c r="Q1468" s="117"/>
      <c r="R1468" s="29"/>
      <c r="S1468" s="29"/>
      <c r="T1468" s="29"/>
    </row>
    <row r="1469" ht="15.75" customHeight="1">
      <c r="A1469" s="120"/>
      <c r="B1469" s="120"/>
      <c r="Q1469" s="117"/>
      <c r="R1469" s="29"/>
      <c r="S1469" s="29"/>
      <c r="T1469" s="29"/>
    </row>
    <row r="1470" ht="15.75" customHeight="1">
      <c r="A1470" s="120"/>
      <c r="B1470" s="120"/>
      <c r="Q1470" s="117"/>
      <c r="R1470" s="29"/>
      <c r="S1470" s="29"/>
      <c r="T1470" s="29"/>
    </row>
    <row r="1471" ht="15.75" customHeight="1">
      <c r="A1471" s="120"/>
      <c r="B1471" s="120"/>
      <c r="Q1471" s="117"/>
      <c r="R1471" s="29"/>
      <c r="S1471" s="29"/>
      <c r="T1471" s="29"/>
    </row>
    <row r="1472" ht="15.75" customHeight="1">
      <c r="A1472" s="120"/>
      <c r="B1472" s="120"/>
      <c r="Q1472" s="117"/>
      <c r="R1472" s="29"/>
      <c r="S1472" s="29"/>
      <c r="T1472" s="29"/>
    </row>
    <row r="1473" ht="15.75" customHeight="1">
      <c r="A1473" s="120"/>
      <c r="B1473" s="120"/>
      <c r="Q1473" s="117"/>
      <c r="R1473" s="29"/>
      <c r="S1473" s="29"/>
      <c r="T1473" s="29"/>
    </row>
    <row r="1474" ht="15.75" customHeight="1">
      <c r="A1474" s="120"/>
      <c r="B1474" s="120"/>
      <c r="Q1474" s="117"/>
      <c r="R1474" s="29"/>
      <c r="S1474" s="29"/>
      <c r="T1474" s="29"/>
    </row>
    <row r="1475" ht="15.75" customHeight="1">
      <c r="A1475" s="120"/>
      <c r="B1475" s="120"/>
      <c r="Q1475" s="117"/>
      <c r="R1475" s="29"/>
      <c r="S1475" s="29"/>
      <c r="T1475" s="29"/>
    </row>
    <row r="1476" ht="15.75" customHeight="1">
      <c r="A1476" s="120"/>
      <c r="B1476" s="120"/>
      <c r="Q1476" s="117"/>
      <c r="R1476" s="29"/>
      <c r="S1476" s="29"/>
      <c r="T1476" s="29"/>
    </row>
    <row r="1477" ht="15.75" customHeight="1">
      <c r="A1477" s="120"/>
      <c r="B1477" s="120"/>
      <c r="Q1477" s="117"/>
      <c r="R1477" s="29"/>
      <c r="S1477" s="29"/>
      <c r="T1477" s="29"/>
    </row>
    <row r="1478" ht="15.75" customHeight="1">
      <c r="A1478" s="120"/>
      <c r="B1478" s="120"/>
      <c r="Q1478" s="117"/>
      <c r="R1478" s="29"/>
      <c r="S1478" s="29"/>
      <c r="T1478" s="29"/>
    </row>
    <row r="1479" ht="15.75" customHeight="1">
      <c r="A1479" s="120"/>
      <c r="B1479" s="120"/>
      <c r="Q1479" s="117"/>
      <c r="R1479" s="29"/>
      <c r="S1479" s="29"/>
      <c r="T1479" s="29"/>
    </row>
    <row r="1480" ht="15.75" customHeight="1">
      <c r="A1480" s="120"/>
      <c r="B1480" s="120"/>
      <c r="Q1480" s="117"/>
      <c r="R1480" s="29"/>
      <c r="S1480" s="29"/>
      <c r="T1480" s="29"/>
    </row>
    <row r="1481" ht="15.75" customHeight="1">
      <c r="A1481" s="120"/>
      <c r="B1481" s="120"/>
      <c r="Q1481" s="117"/>
      <c r="R1481" s="29"/>
      <c r="S1481" s="29"/>
      <c r="T1481" s="29"/>
    </row>
    <row r="1482" ht="15.75" customHeight="1">
      <c r="A1482" s="120"/>
      <c r="B1482" s="120"/>
      <c r="Q1482" s="117"/>
      <c r="R1482" s="29"/>
      <c r="S1482" s="29"/>
      <c r="T1482" s="29"/>
    </row>
    <row r="1483" ht="15.75" customHeight="1">
      <c r="A1483" s="120"/>
      <c r="B1483" s="120"/>
      <c r="Q1483" s="117"/>
      <c r="R1483" s="29"/>
      <c r="S1483" s="29"/>
      <c r="T1483" s="29"/>
    </row>
    <row r="1484" ht="15.75" customHeight="1">
      <c r="A1484" s="120"/>
      <c r="B1484" s="120"/>
      <c r="Q1484" s="117"/>
      <c r="R1484" s="29"/>
      <c r="S1484" s="29"/>
      <c r="T1484" s="29"/>
    </row>
    <row r="1485" ht="15.75" customHeight="1">
      <c r="A1485" s="120"/>
      <c r="B1485" s="120"/>
      <c r="Q1485" s="117"/>
      <c r="R1485" s="29"/>
      <c r="S1485" s="29"/>
      <c r="T1485" s="29"/>
    </row>
    <row r="1486" ht="15.75" customHeight="1">
      <c r="A1486" s="120"/>
      <c r="B1486" s="120"/>
      <c r="Q1486" s="117"/>
      <c r="R1486" s="29"/>
      <c r="S1486" s="29"/>
      <c r="T1486" s="29"/>
    </row>
    <row r="1487" ht="15.75" customHeight="1">
      <c r="A1487" s="120"/>
      <c r="B1487" s="120"/>
      <c r="Q1487" s="117"/>
      <c r="R1487" s="29"/>
      <c r="S1487" s="29"/>
      <c r="T1487" s="29"/>
    </row>
    <row r="1488" ht="15.75" customHeight="1">
      <c r="A1488" s="120"/>
      <c r="B1488" s="120"/>
      <c r="Q1488" s="117"/>
      <c r="R1488" s="29"/>
      <c r="S1488" s="29"/>
      <c r="T1488" s="29"/>
    </row>
    <row r="1489" ht="15.75" customHeight="1">
      <c r="A1489" s="120"/>
      <c r="B1489" s="120"/>
      <c r="Q1489" s="117"/>
      <c r="R1489" s="29"/>
      <c r="S1489" s="29"/>
      <c r="T1489" s="29"/>
    </row>
    <row r="1490" ht="15.75" customHeight="1">
      <c r="A1490" s="120"/>
      <c r="B1490" s="120"/>
      <c r="Q1490" s="117"/>
      <c r="R1490" s="29"/>
      <c r="S1490" s="29"/>
      <c r="T1490" s="29"/>
    </row>
    <row r="1491" ht="15.75" customHeight="1">
      <c r="A1491" s="120"/>
      <c r="B1491" s="120"/>
      <c r="Q1491" s="117"/>
      <c r="R1491" s="29"/>
      <c r="S1491" s="29"/>
      <c r="T1491" s="29"/>
    </row>
    <row r="1492" ht="15.75" customHeight="1">
      <c r="A1492" s="120"/>
      <c r="B1492" s="120"/>
      <c r="Q1492" s="117"/>
      <c r="R1492" s="29"/>
      <c r="S1492" s="29"/>
      <c r="T1492" s="29"/>
    </row>
    <row r="1493" ht="15.75" customHeight="1">
      <c r="A1493" s="120"/>
      <c r="B1493" s="120"/>
      <c r="Q1493" s="117"/>
      <c r="R1493" s="29"/>
      <c r="S1493" s="29"/>
      <c r="T1493" s="29"/>
    </row>
    <row r="1494" ht="15.75" customHeight="1">
      <c r="A1494" s="120"/>
      <c r="B1494" s="120"/>
      <c r="Q1494" s="117"/>
      <c r="R1494" s="29"/>
      <c r="S1494" s="29"/>
      <c r="T1494" s="29"/>
    </row>
    <row r="1495" ht="15.75" customHeight="1">
      <c r="A1495" s="120"/>
      <c r="B1495" s="120"/>
      <c r="Q1495" s="117"/>
      <c r="R1495" s="29"/>
      <c r="S1495" s="29"/>
      <c r="T1495" s="29"/>
    </row>
    <row r="1496" ht="15.75" customHeight="1">
      <c r="A1496" s="120"/>
      <c r="B1496" s="120"/>
      <c r="Q1496" s="117"/>
      <c r="R1496" s="29"/>
      <c r="S1496" s="29"/>
      <c r="T1496" s="29"/>
    </row>
    <row r="1497" ht="15.75" customHeight="1">
      <c r="A1497" s="120"/>
      <c r="B1497" s="120"/>
      <c r="Q1497" s="117"/>
      <c r="R1497" s="29"/>
      <c r="S1497" s="29"/>
      <c r="T1497" s="29"/>
    </row>
    <row r="1498" ht="15.75" customHeight="1">
      <c r="A1498" s="120"/>
      <c r="B1498" s="120"/>
      <c r="Q1498" s="117"/>
      <c r="R1498" s="29"/>
      <c r="S1498" s="29"/>
      <c r="T1498" s="29"/>
    </row>
    <row r="1499" ht="15.75" customHeight="1">
      <c r="A1499" s="120"/>
      <c r="B1499" s="120"/>
      <c r="Q1499" s="117"/>
      <c r="R1499" s="29"/>
      <c r="S1499" s="29"/>
      <c r="T1499" s="29"/>
    </row>
    <row r="1500" ht="15.75" customHeight="1">
      <c r="A1500" s="120"/>
      <c r="B1500" s="120"/>
      <c r="Q1500" s="117"/>
      <c r="R1500" s="29"/>
      <c r="S1500" s="29"/>
      <c r="T1500" s="29"/>
    </row>
    <row r="1501" ht="15.75" customHeight="1">
      <c r="A1501" s="120"/>
      <c r="B1501" s="120"/>
      <c r="Q1501" s="117"/>
      <c r="R1501" s="29"/>
      <c r="S1501" s="29"/>
      <c r="T1501" s="29"/>
    </row>
    <row r="1502" ht="15.75" customHeight="1">
      <c r="A1502" s="120"/>
      <c r="B1502" s="120"/>
      <c r="Q1502" s="117"/>
      <c r="R1502" s="29"/>
      <c r="S1502" s="29"/>
      <c r="T1502" s="29"/>
    </row>
    <row r="1503" ht="15.75" customHeight="1">
      <c r="A1503" s="120"/>
      <c r="B1503" s="120"/>
      <c r="Q1503" s="117"/>
      <c r="R1503" s="29"/>
      <c r="S1503" s="29"/>
      <c r="T1503" s="29"/>
    </row>
    <row r="1504" ht="15.75" customHeight="1">
      <c r="A1504" s="120"/>
      <c r="B1504" s="120"/>
      <c r="Q1504" s="117"/>
      <c r="R1504" s="29"/>
      <c r="S1504" s="29"/>
      <c r="T1504" s="29"/>
    </row>
    <row r="1505" ht="15.75" customHeight="1">
      <c r="A1505" s="120"/>
      <c r="B1505" s="120"/>
      <c r="Q1505" s="117"/>
      <c r="R1505" s="29"/>
      <c r="S1505" s="29"/>
      <c r="T1505" s="29"/>
    </row>
    <row r="1506" ht="15.75" customHeight="1">
      <c r="A1506" s="120"/>
      <c r="B1506" s="120"/>
      <c r="Q1506" s="117"/>
      <c r="R1506" s="29"/>
      <c r="S1506" s="29"/>
      <c r="T1506" s="29"/>
    </row>
    <row r="1507" ht="15.75" customHeight="1">
      <c r="A1507" s="120"/>
      <c r="B1507" s="120"/>
      <c r="Q1507" s="117"/>
      <c r="R1507" s="29"/>
      <c r="S1507" s="29"/>
      <c r="T1507" s="29"/>
    </row>
    <row r="1508" ht="15.75" customHeight="1">
      <c r="A1508" s="120"/>
      <c r="B1508" s="120"/>
      <c r="Q1508" s="117"/>
      <c r="R1508" s="29"/>
      <c r="S1508" s="29"/>
      <c r="T1508" s="29"/>
    </row>
    <row r="1509" ht="15.75" customHeight="1">
      <c r="A1509" s="120"/>
      <c r="B1509" s="120"/>
      <c r="Q1509" s="117"/>
      <c r="R1509" s="29"/>
      <c r="S1509" s="29"/>
      <c r="T1509" s="29"/>
    </row>
    <row r="1510" ht="15.75" customHeight="1">
      <c r="A1510" s="120"/>
      <c r="B1510" s="120"/>
      <c r="Q1510" s="117"/>
      <c r="R1510" s="29"/>
      <c r="S1510" s="29"/>
      <c r="T1510" s="29"/>
    </row>
    <row r="1511" ht="15.75" customHeight="1">
      <c r="A1511" s="120"/>
      <c r="B1511" s="120"/>
      <c r="Q1511" s="117"/>
      <c r="R1511" s="29"/>
      <c r="S1511" s="29"/>
      <c r="T1511" s="29"/>
    </row>
    <row r="1512" ht="15.75" customHeight="1">
      <c r="A1512" s="120"/>
      <c r="B1512" s="120"/>
      <c r="Q1512" s="117"/>
      <c r="R1512" s="29"/>
      <c r="S1512" s="29"/>
      <c r="T1512" s="29"/>
    </row>
    <row r="1513" ht="15.75" customHeight="1">
      <c r="A1513" s="120"/>
      <c r="B1513" s="120"/>
      <c r="Q1513" s="117"/>
      <c r="R1513" s="29"/>
      <c r="S1513" s="29"/>
      <c r="T1513" s="29"/>
    </row>
    <row r="1514" ht="15.75" customHeight="1">
      <c r="A1514" s="120"/>
      <c r="B1514" s="120"/>
      <c r="Q1514" s="117"/>
      <c r="R1514" s="29"/>
      <c r="S1514" s="29"/>
      <c r="T1514" s="29"/>
    </row>
    <row r="1515" ht="15.75" customHeight="1">
      <c r="A1515" s="120"/>
      <c r="B1515" s="120"/>
      <c r="Q1515" s="117"/>
      <c r="R1515" s="29"/>
      <c r="S1515" s="29"/>
      <c r="T1515" s="29"/>
    </row>
    <row r="1516" ht="15.75" customHeight="1">
      <c r="A1516" s="120"/>
      <c r="B1516" s="120"/>
      <c r="Q1516" s="117"/>
      <c r="R1516" s="29"/>
      <c r="S1516" s="29"/>
      <c r="T1516" s="29"/>
    </row>
    <row r="1517" ht="15.75" customHeight="1">
      <c r="A1517" s="120"/>
      <c r="B1517" s="120"/>
      <c r="Q1517" s="117"/>
      <c r="R1517" s="29"/>
      <c r="S1517" s="29"/>
      <c r="T1517" s="29"/>
    </row>
    <row r="1518" ht="15.75" customHeight="1">
      <c r="A1518" s="120"/>
      <c r="B1518" s="120"/>
      <c r="Q1518" s="117"/>
      <c r="R1518" s="29"/>
      <c r="S1518" s="29"/>
      <c r="T1518" s="29"/>
    </row>
    <row r="1519" ht="15.75" customHeight="1">
      <c r="A1519" s="120"/>
      <c r="B1519" s="120"/>
      <c r="Q1519" s="117"/>
      <c r="R1519" s="29"/>
      <c r="S1519" s="29"/>
      <c r="T1519" s="29"/>
    </row>
    <row r="1520" ht="15.75" customHeight="1">
      <c r="A1520" s="120"/>
      <c r="B1520" s="120"/>
      <c r="Q1520" s="117"/>
      <c r="R1520" s="29"/>
      <c r="S1520" s="29"/>
      <c r="T1520" s="29"/>
    </row>
    <row r="1521" ht="15.75" customHeight="1">
      <c r="A1521" s="120"/>
      <c r="B1521" s="120"/>
      <c r="Q1521" s="117"/>
      <c r="R1521" s="29"/>
      <c r="S1521" s="29"/>
      <c r="T1521" s="29"/>
    </row>
    <row r="1522" ht="15.75" customHeight="1">
      <c r="A1522" s="120"/>
      <c r="B1522" s="120"/>
      <c r="Q1522" s="117"/>
      <c r="R1522" s="29"/>
      <c r="S1522" s="29"/>
      <c r="T1522" s="29"/>
    </row>
    <row r="1523" ht="15.75" customHeight="1">
      <c r="A1523" s="120"/>
      <c r="B1523" s="120"/>
      <c r="Q1523" s="117"/>
      <c r="R1523" s="29"/>
      <c r="S1523" s="29"/>
      <c r="T1523" s="29"/>
    </row>
    <row r="1524" ht="15.75" customHeight="1">
      <c r="A1524" s="120"/>
      <c r="B1524" s="120"/>
      <c r="Q1524" s="117"/>
      <c r="R1524" s="29"/>
      <c r="S1524" s="29"/>
      <c r="T1524" s="29"/>
    </row>
    <row r="1525" ht="15.75" customHeight="1">
      <c r="A1525" s="120"/>
      <c r="B1525" s="120"/>
      <c r="Q1525" s="117"/>
      <c r="R1525" s="29"/>
      <c r="S1525" s="29"/>
      <c r="T1525" s="29"/>
    </row>
    <row r="1526" ht="15.75" customHeight="1">
      <c r="A1526" s="120"/>
      <c r="B1526" s="120"/>
      <c r="Q1526" s="117"/>
      <c r="R1526" s="29"/>
      <c r="S1526" s="29"/>
      <c r="T1526" s="29"/>
    </row>
    <row r="1527" ht="15.75" customHeight="1">
      <c r="A1527" s="120"/>
      <c r="B1527" s="120"/>
      <c r="Q1527" s="117"/>
      <c r="R1527" s="29"/>
      <c r="S1527" s="29"/>
      <c r="T1527" s="29"/>
    </row>
    <row r="1528" ht="15.75" customHeight="1">
      <c r="A1528" s="120"/>
      <c r="B1528" s="120"/>
      <c r="Q1528" s="117"/>
      <c r="R1528" s="29"/>
      <c r="S1528" s="29"/>
      <c r="T1528" s="29"/>
    </row>
    <row r="1529" ht="15.75" customHeight="1">
      <c r="A1529" s="120"/>
      <c r="B1529" s="120"/>
      <c r="Q1529" s="117"/>
      <c r="R1529" s="29"/>
      <c r="S1529" s="29"/>
      <c r="T1529" s="29"/>
    </row>
    <row r="1530" ht="15.75" customHeight="1">
      <c r="A1530" s="120"/>
      <c r="B1530" s="120"/>
      <c r="Q1530" s="117"/>
      <c r="R1530" s="29"/>
      <c r="S1530" s="29"/>
      <c r="T1530" s="29"/>
    </row>
    <row r="1531" ht="15.75" customHeight="1">
      <c r="A1531" s="120"/>
      <c r="B1531" s="120"/>
      <c r="Q1531" s="117"/>
      <c r="R1531" s="29"/>
      <c r="S1531" s="29"/>
      <c r="T1531" s="29"/>
    </row>
    <row r="1532" ht="15.75" customHeight="1">
      <c r="A1532" s="120"/>
      <c r="B1532" s="120"/>
      <c r="Q1532" s="117"/>
      <c r="R1532" s="29"/>
      <c r="S1532" s="29"/>
      <c r="T1532" s="29"/>
    </row>
    <row r="1533" ht="15.75" customHeight="1">
      <c r="A1533" s="120"/>
      <c r="B1533" s="120"/>
      <c r="Q1533" s="117"/>
      <c r="R1533" s="29"/>
      <c r="S1533" s="29"/>
      <c r="T1533" s="29"/>
    </row>
    <row r="1534" ht="15.75" customHeight="1">
      <c r="A1534" s="120"/>
      <c r="B1534" s="120"/>
      <c r="Q1534" s="117"/>
      <c r="R1534" s="29"/>
      <c r="S1534" s="29"/>
      <c r="T1534" s="29"/>
    </row>
    <row r="1535" ht="15.75" customHeight="1">
      <c r="A1535" s="120"/>
      <c r="B1535" s="120"/>
      <c r="Q1535" s="117"/>
      <c r="R1535" s="29"/>
      <c r="S1535" s="29"/>
      <c r="T1535" s="29"/>
    </row>
    <row r="1536" ht="15.75" customHeight="1">
      <c r="A1536" s="120"/>
      <c r="B1536" s="120"/>
      <c r="Q1536" s="117"/>
      <c r="R1536" s="29"/>
      <c r="S1536" s="29"/>
      <c r="T1536" s="29"/>
    </row>
    <row r="1537" ht="15.75" customHeight="1">
      <c r="A1537" s="120"/>
      <c r="B1537" s="120"/>
      <c r="Q1537" s="117"/>
      <c r="R1537" s="29"/>
      <c r="S1537" s="29"/>
      <c r="T1537" s="29"/>
    </row>
    <row r="1538" ht="15.75" customHeight="1">
      <c r="A1538" s="120"/>
      <c r="B1538" s="120"/>
      <c r="Q1538" s="117"/>
      <c r="R1538" s="29"/>
      <c r="S1538" s="29"/>
      <c r="T1538" s="29"/>
    </row>
    <row r="1539" ht="15.75" customHeight="1">
      <c r="A1539" s="120"/>
      <c r="B1539" s="120"/>
      <c r="Q1539" s="117"/>
      <c r="R1539" s="29"/>
      <c r="S1539" s="29"/>
      <c r="T1539" s="29"/>
    </row>
    <row r="1540" ht="15.75" customHeight="1">
      <c r="A1540" s="120"/>
      <c r="B1540" s="120"/>
      <c r="Q1540" s="117"/>
      <c r="R1540" s="29"/>
      <c r="S1540" s="29"/>
      <c r="T1540" s="29"/>
    </row>
    <row r="1541" ht="15.75" customHeight="1">
      <c r="A1541" s="120"/>
      <c r="B1541" s="120"/>
      <c r="Q1541" s="117"/>
      <c r="R1541" s="29"/>
      <c r="S1541" s="29"/>
      <c r="T1541" s="29"/>
    </row>
    <row r="1542" ht="15.75" customHeight="1">
      <c r="A1542" s="120"/>
      <c r="B1542" s="120"/>
      <c r="Q1542" s="117"/>
      <c r="R1542" s="29"/>
      <c r="S1542" s="29"/>
      <c r="T1542" s="29"/>
    </row>
    <row r="1543" ht="15.75" customHeight="1">
      <c r="A1543" s="120"/>
      <c r="B1543" s="120"/>
      <c r="Q1543" s="117"/>
      <c r="R1543" s="29"/>
      <c r="S1543" s="29"/>
      <c r="T1543" s="29"/>
    </row>
    <row r="1544" ht="15.75" customHeight="1">
      <c r="A1544" s="120"/>
      <c r="B1544" s="120"/>
      <c r="Q1544" s="117"/>
      <c r="R1544" s="29"/>
      <c r="S1544" s="29"/>
      <c r="T1544" s="29"/>
    </row>
    <row r="1545" ht="15.75" customHeight="1">
      <c r="A1545" s="120"/>
      <c r="B1545" s="120"/>
      <c r="Q1545" s="117"/>
      <c r="R1545" s="29"/>
      <c r="S1545" s="29"/>
      <c r="T1545" s="29"/>
    </row>
    <row r="1546" ht="15.75" customHeight="1">
      <c r="A1546" s="120"/>
      <c r="B1546" s="120"/>
      <c r="Q1546" s="117"/>
      <c r="R1546" s="29"/>
      <c r="S1546" s="29"/>
      <c r="T1546" s="29"/>
    </row>
    <row r="1547" ht="15.75" customHeight="1">
      <c r="A1547" s="120"/>
      <c r="B1547" s="120"/>
      <c r="Q1547" s="117"/>
      <c r="R1547" s="29"/>
      <c r="S1547" s="29"/>
      <c r="T1547" s="29"/>
    </row>
    <row r="1548" ht="15.75" customHeight="1">
      <c r="A1548" s="120"/>
      <c r="B1548" s="120"/>
      <c r="Q1548" s="117"/>
      <c r="R1548" s="29"/>
      <c r="S1548" s="29"/>
      <c r="T1548" s="29"/>
    </row>
    <row r="1549" ht="15.75" customHeight="1">
      <c r="A1549" s="120"/>
      <c r="B1549" s="120"/>
      <c r="Q1549" s="117"/>
      <c r="R1549" s="29"/>
      <c r="S1549" s="29"/>
      <c r="T1549" s="29"/>
    </row>
    <row r="1550" ht="15.75" customHeight="1">
      <c r="A1550" s="120"/>
      <c r="B1550" s="120"/>
      <c r="Q1550" s="117"/>
      <c r="R1550" s="29"/>
      <c r="S1550" s="29"/>
      <c r="T1550" s="29"/>
    </row>
    <row r="1551" ht="15.75" customHeight="1">
      <c r="A1551" s="120"/>
      <c r="B1551" s="120"/>
      <c r="Q1551" s="117"/>
      <c r="R1551" s="29"/>
      <c r="S1551" s="29"/>
      <c r="T1551" s="29"/>
    </row>
    <row r="1552" ht="15.75" customHeight="1">
      <c r="A1552" s="120"/>
      <c r="B1552" s="120"/>
      <c r="Q1552" s="117"/>
      <c r="R1552" s="29"/>
      <c r="S1552" s="29"/>
      <c r="T1552" s="29"/>
    </row>
    <row r="1553" ht="15.75" customHeight="1">
      <c r="A1553" s="120"/>
      <c r="B1553" s="120"/>
      <c r="Q1553" s="117"/>
      <c r="R1553" s="29"/>
      <c r="S1553" s="29"/>
      <c r="T1553" s="29"/>
    </row>
    <row r="1554" ht="15.75" customHeight="1">
      <c r="A1554" s="120"/>
      <c r="B1554" s="120"/>
      <c r="Q1554" s="117"/>
      <c r="R1554" s="29"/>
      <c r="S1554" s="29"/>
      <c r="T1554" s="29"/>
    </row>
    <row r="1555" ht="15.75" customHeight="1">
      <c r="A1555" s="120"/>
      <c r="B1555" s="120"/>
      <c r="Q1555" s="117"/>
      <c r="R1555" s="29"/>
      <c r="S1555" s="29"/>
      <c r="T1555" s="29"/>
    </row>
    <row r="1556" ht="15.75" customHeight="1">
      <c r="A1556" s="120"/>
      <c r="B1556" s="120"/>
      <c r="Q1556" s="117"/>
      <c r="R1556" s="29"/>
      <c r="S1556" s="29"/>
      <c r="T1556" s="29"/>
    </row>
    <row r="1557" ht="15.75" customHeight="1">
      <c r="A1557" s="120"/>
      <c r="B1557" s="120"/>
      <c r="Q1557" s="117"/>
      <c r="R1557" s="29"/>
      <c r="S1557" s="29"/>
      <c r="T1557" s="29"/>
    </row>
    <row r="1558" ht="15.75" customHeight="1">
      <c r="A1558" s="120"/>
      <c r="B1558" s="120"/>
      <c r="Q1558" s="117"/>
      <c r="R1558" s="29"/>
      <c r="S1558" s="29"/>
      <c r="T1558" s="29"/>
    </row>
    <row r="1559" ht="15.75" customHeight="1">
      <c r="A1559" s="120"/>
      <c r="B1559" s="120"/>
      <c r="Q1559" s="117"/>
      <c r="R1559" s="29"/>
      <c r="S1559" s="29"/>
      <c r="T1559" s="29"/>
    </row>
    <row r="1560" ht="15.75" customHeight="1">
      <c r="A1560" s="120"/>
      <c r="B1560" s="120"/>
      <c r="Q1560" s="117"/>
      <c r="R1560" s="29"/>
      <c r="S1560" s="29"/>
      <c r="T1560" s="29"/>
    </row>
    <row r="1561" ht="15.75" customHeight="1">
      <c r="A1561" s="120"/>
      <c r="B1561" s="120"/>
      <c r="Q1561" s="117"/>
      <c r="R1561" s="29"/>
      <c r="S1561" s="29"/>
      <c r="T1561" s="29"/>
    </row>
    <row r="1562" ht="15.75" customHeight="1">
      <c r="A1562" s="120"/>
      <c r="B1562" s="120"/>
      <c r="Q1562" s="117"/>
      <c r="R1562" s="29"/>
      <c r="S1562" s="29"/>
      <c r="T1562" s="29"/>
    </row>
    <row r="1563" ht="15.75" customHeight="1">
      <c r="A1563" s="120"/>
      <c r="B1563" s="120"/>
      <c r="Q1563" s="117"/>
      <c r="R1563" s="29"/>
      <c r="S1563" s="29"/>
      <c r="T1563" s="29"/>
    </row>
    <row r="1564" ht="15.75" customHeight="1">
      <c r="A1564" s="120"/>
      <c r="B1564" s="120"/>
      <c r="Q1564" s="117"/>
      <c r="R1564" s="29"/>
      <c r="S1564" s="29"/>
      <c r="T1564" s="29"/>
    </row>
    <row r="1565" ht="15.75" customHeight="1">
      <c r="A1565" s="120"/>
      <c r="B1565" s="120"/>
      <c r="Q1565" s="117"/>
      <c r="R1565" s="29"/>
      <c r="S1565" s="29"/>
      <c r="T1565" s="29"/>
    </row>
    <row r="1566" ht="15.75" customHeight="1">
      <c r="A1566" s="120"/>
      <c r="B1566" s="120"/>
      <c r="Q1566" s="117"/>
      <c r="R1566" s="29"/>
      <c r="S1566" s="29"/>
      <c r="T1566" s="29"/>
    </row>
    <row r="1567" ht="15.75" customHeight="1">
      <c r="A1567" s="120"/>
      <c r="B1567" s="120"/>
      <c r="Q1567" s="117"/>
      <c r="R1567" s="29"/>
      <c r="S1567" s="29"/>
      <c r="T1567" s="29"/>
    </row>
    <row r="1568" ht="15.75" customHeight="1">
      <c r="A1568" s="120"/>
      <c r="B1568" s="120"/>
      <c r="Q1568" s="117"/>
      <c r="R1568" s="29"/>
      <c r="S1568" s="29"/>
      <c r="T1568" s="29"/>
    </row>
    <row r="1569" ht="15.75" customHeight="1">
      <c r="A1569" s="120"/>
      <c r="B1569" s="120"/>
      <c r="Q1569" s="117"/>
      <c r="R1569" s="29"/>
      <c r="S1569" s="29"/>
      <c r="T1569" s="29"/>
    </row>
    <row r="1570" ht="15.75" customHeight="1">
      <c r="A1570" s="120"/>
      <c r="B1570" s="120"/>
      <c r="Q1570" s="117"/>
      <c r="R1570" s="29"/>
      <c r="S1570" s="29"/>
      <c r="T1570" s="29"/>
    </row>
    <row r="1571" ht="15.75" customHeight="1">
      <c r="A1571" s="120"/>
      <c r="B1571" s="120"/>
      <c r="Q1571" s="117"/>
      <c r="R1571" s="29"/>
      <c r="S1571" s="29"/>
      <c r="T1571" s="29"/>
    </row>
    <row r="1572" ht="15.75" customHeight="1">
      <c r="A1572" s="120"/>
      <c r="B1572" s="120"/>
      <c r="Q1572" s="117"/>
      <c r="R1572" s="29"/>
      <c r="S1572" s="29"/>
      <c r="T1572" s="29"/>
    </row>
    <row r="1573" ht="15.75" customHeight="1">
      <c r="A1573" s="120"/>
      <c r="B1573" s="120"/>
      <c r="Q1573" s="117"/>
      <c r="R1573" s="29"/>
      <c r="S1573" s="29"/>
      <c r="T1573" s="29"/>
    </row>
    <row r="1574" ht="15.75" customHeight="1">
      <c r="A1574" s="120"/>
      <c r="B1574" s="120"/>
      <c r="Q1574" s="117"/>
      <c r="R1574" s="29"/>
      <c r="S1574" s="29"/>
      <c r="T1574" s="29"/>
    </row>
    <row r="1575" ht="15.75" customHeight="1">
      <c r="A1575" s="120"/>
      <c r="B1575" s="120"/>
      <c r="Q1575" s="117"/>
      <c r="R1575" s="29"/>
      <c r="S1575" s="29"/>
      <c r="T1575" s="29"/>
    </row>
    <row r="1576" ht="15.75" customHeight="1">
      <c r="A1576" s="120"/>
      <c r="B1576" s="120"/>
      <c r="Q1576" s="117"/>
      <c r="R1576" s="29"/>
      <c r="S1576" s="29"/>
      <c r="T1576" s="29"/>
    </row>
    <row r="1577" ht="15.75" customHeight="1">
      <c r="A1577" s="120"/>
      <c r="B1577" s="120"/>
      <c r="Q1577" s="117"/>
      <c r="R1577" s="29"/>
      <c r="S1577" s="29"/>
      <c r="T1577" s="29"/>
    </row>
    <row r="1578" ht="15.75" customHeight="1">
      <c r="A1578" s="120"/>
      <c r="B1578" s="120"/>
      <c r="Q1578" s="117"/>
      <c r="R1578" s="29"/>
      <c r="S1578" s="29"/>
      <c r="T1578" s="29"/>
    </row>
    <row r="1579" ht="15.75" customHeight="1">
      <c r="A1579" s="120"/>
      <c r="B1579" s="120"/>
      <c r="Q1579" s="117"/>
      <c r="R1579" s="29"/>
      <c r="S1579" s="29"/>
      <c r="T1579" s="29"/>
    </row>
    <row r="1580" ht="15.75" customHeight="1">
      <c r="A1580" s="120"/>
      <c r="B1580" s="120"/>
      <c r="Q1580" s="117"/>
      <c r="R1580" s="29"/>
      <c r="S1580" s="29"/>
      <c r="T1580" s="29"/>
    </row>
    <row r="1581" ht="15.75" customHeight="1">
      <c r="A1581" s="120"/>
      <c r="B1581" s="120"/>
      <c r="Q1581" s="117"/>
      <c r="R1581" s="29"/>
      <c r="S1581" s="29"/>
      <c r="T1581" s="29"/>
    </row>
    <row r="1582" ht="15.75" customHeight="1">
      <c r="A1582" s="120"/>
      <c r="B1582" s="120"/>
      <c r="Q1582" s="117"/>
      <c r="R1582" s="29"/>
      <c r="S1582" s="29"/>
      <c r="T1582" s="29"/>
    </row>
    <row r="1583" ht="15.75" customHeight="1">
      <c r="A1583" s="120"/>
      <c r="B1583" s="120"/>
      <c r="Q1583" s="117"/>
      <c r="R1583" s="29"/>
      <c r="S1583" s="29"/>
      <c r="T1583" s="29"/>
    </row>
    <row r="1584" ht="15.75" customHeight="1">
      <c r="A1584" s="120"/>
      <c r="B1584" s="120"/>
      <c r="Q1584" s="117"/>
      <c r="R1584" s="29"/>
      <c r="S1584" s="29"/>
      <c r="T1584" s="29"/>
    </row>
    <row r="1585" ht="15.75" customHeight="1">
      <c r="A1585" s="120"/>
      <c r="B1585" s="120"/>
      <c r="Q1585" s="117"/>
      <c r="R1585" s="29"/>
      <c r="S1585" s="29"/>
      <c r="T1585" s="29"/>
    </row>
    <row r="1586" ht="15.75" customHeight="1">
      <c r="A1586" s="120"/>
      <c r="B1586" s="120"/>
      <c r="Q1586" s="117"/>
      <c r="R1586" s="29"/>
      <c r="S1586" s="29"/>
      <c r="T1586" s="29"/>
    </row>
    <row r="1587" ht="15.75" customHeight="1">
      <c r="A1587" s="120"/>
      <c r="B1587" s="120"/>
      <c r="Q1587" s="117"/>
      <c r="R1587" s="29"/>
      <c r="S1587" s="29"/>
      <c r="T1587" s="29"/>
    </row>
    <row r="1588" ht="15.75" customHeight="1">
      <c r="A1588" s="120"/>
      <c r="B1588" s="120"/>
      <c r="Q1588" s="117"/>
      <c r="R1588" s="29"/>
      <c r="S1588" s="29"/>
      <c r="T1588" s="29"/>
    </row>
    <row r="1589" ht="15.75" customHeight="1">
      <c r="A1589" s="120"/>
      <c r="B1589" s="120"/>
      <c r="Q1589" s="117"/>
      <c r="R1589" s="29"/>
      <c r="S1589" s="29"/>
      <c r="T1589" s="29"/>
    </row>
    <row r="1590" ht="15.75" customHeight="1">
      <c r="A1590" s="120"/>
      <c r="B1590" s="120"/>
      <c r="Q1590" s="117"/>
      <c r="R1590" s="29"/>
      <c r="S1590" s="29"/>
      <c r="T1590" s="29"/>
    </row>
    <row r="1591" ht="15.75" customHeight="1">
      <c r="A1591" s="120"/>
      <c r="B1591" s="120"/>
      <c r="Q1591" s="117"/>
      <c r="R1591" s="29"/>
      <c r="S1591" s="29"/>
      <c r="T1591" s="29"/>
    </row>
    <row r="1592" ht="15.75" customHeight="1">
      <c r="A1592" s="120"/>
      <c r="B1592" s="120"/>
      <c r="Q1592" s="117"/>
      <c r="R1592" s="29"/>
      <c r="S1592" s="29"/>
      <c r="T1592" s="29"/>
    </row>
    <row r="1593" ht="15.75" customHeight="1">
      <c r="A1593" s="120"/>
      <c r="B1593" s="120"/>
      <c r="Q1593" s="117"/>
      <c r="R1593" s="29"/>
      <c r="S1593" s="29"/>
      <c r="T1593" s="29"/>
    </row>
    <row r="1594" ht="15.75" customHeight="1">
      <c r="A1594" s="120"/>
      <c r="B1594" s="120"/>
      <c r="Q1594" s="117"/>
      <c r="R1594" s="29"/>
      <c r="S1594" s="29"/>
      <c r="T1594" s="29"/>
    </row>
    <row r="1595" ht="15.75" customHeight="1">
      <c r="A1595" s="120"/>
      <c r="B1595" s="120"/>
      <c r="Q1595" s="117"/>
      <c r="R1595" s="29"/>
      <c r="S1595" s="29"/>
      <c r="T1595" s="29"/>
    </row>
    <row r="1596" ht="15.75" customHeight="1">
      <c r="A1596" s="120"/>
      <c r="B1596" s="120"/>
      <c r="Q1596" s="117"/>
      <c r="R1596" s="29"/>
      <c r="S1596" s="29"/>
      <c r="T1596" s="29"/>
    </row>
    <row r="1597" ht="15.75" customHeight="1">
      <c r="A1597" s="120"/>
      <c r="B1597" s="120"/>
      <c r="Q1597" s="117"/>
      <c r="R1597" s="29"/>
      <c r="S1597" s="29"/>
      <c r="T1597" s="29"/>
    </row>
    <row r="1598" ht="15.75" customHeight="1">
      <c r="A1598" s="120"/>
      <c r="B1598" s="120"/>
      <c r="Q1598" s="117"/>
      <c r="R1598" s="29"/>
      <c r="S1598" s="29"/>
      <c r="T1598" s="29"/>
    </row>
    <row r="1599" ht="15.75" customHeight="1">
      <c r="A1599" s="120"/>
      <c r="B1599" s="120"/>
      <c r="Q1599" s="117"/>
      <c r="R1599" s="29"/>
      <c r="S1599" s="29"/>
      <c r="T1599" s="29"/>
    </row>
    <row r="1600" ht="15.75" customHeight="1">
      <c r="A1600" s="120"/>
      <c r="B1600" s="120"/>
      <c r="Q1600" s="117"/>
      <c r="R1600" s="29"/>
      <c r="S1600" s="29"/>
      <c r="T1600" s="29"/>
    </row>
    <row r="1601" ht="15.75" customHeight="1">
      <c r="A1601" s="120"/>
      <c r="B1601" s="120"/>
      <c r="Q1601" s="117"/>
      <c r="R1601" s="29"/>
      <c r="S1601" s="29"/>
      <c r="T1601" s="29"/>
    </row>
    <row r="1602" ht="15.75" customHeight="1">
      <c r="A1602" s="120"/>
      <c r="B1602" s="120"/>
      <c r="Q1602" s="117"/>
      <c r="R1602" s="29"/>
      <c r="S1602" s="29"/>
      <c r="T1602" s="29"/>
    </row>
    <row r="1603" ht="15.75" customHeight="1">
      <c r="A1603" s="120"/>
      <c r="B1603" s="120"/>
      <c r="Q1603" s="117"/>
      <c r="R1603" s="29"/>
      <c r="S1603" s="29"/>
      <c r="T1603" s="29"/>
    </row>
    <row r="1604" ht="15.75" customHeight="1">
      <c r="A1604" s="120"/>
      <c r="B1604" s="120"/>
      <c r="Q1604" s="117"/>
      <c r="R1604" s="29"/>
      <c r="S1604" s="29"/>
      <c r="T1604" s="29"/>
    </row>
    <row r="1605" ht="15.75" customHeight="1">
      <c r="A1605" s="120"/>
      <c r="B1605" s="120"/>
      <c r="Q1605" s="117"/>
      <c r="R1605" s="29"/>
      <c r="S1605" s="29"/>
      <c r="T1605" s="29"/>
    </row>
    <row r="1606" ht="15.75" customHeight="1">
      <c r="A1606" s="120"/>
      <c r="B1606" s="120"/>
      <c r="Q1606" s="117"/>
      <c r="R1606" s="29"/>
      <c r="S1606" s="29"/>
      <c r="T1606" s="29"/>
    </row>
    <row r="1607" ht="15.75" customHeight="1">
      <c r="A1607" s="120"/>
      <c r="B1607" s="120"/>
      <c r="Q1607" s="117"/>
      <c r="R1607" s="29"/>
      <c r="S1607" s="29"/>
      <c r="T1607" s="29"/>
    </row>
    <row r="1608" ht="15.75" customHeight="1">
      <c r="A1608" s="120"/>
      <c r="B1608" s="120"/>
      <c r="Q1608" s="117"/>
      <c r="R1608" s="29"/>
      <c r="S1608" s="29"/>
      <c r="T1608" s="29"/>
    </row>
    <row r="1609" ht="15.75" customHeight="1">
      <c r="A1609" s="120"/>
      <c r="B1609" s="120"/>
      <c r="Q1609" s="117"/>
      <c r="R1609" s="29"/>
      <c r="S1609" s="29"/>
      <c r="T1609" s="29"/>
    </row>
    <row r="1610" ht="15.75" customHeight="1">
      <c r="A1610" s="120"/>
      <c r="B1610" s="120"/>
      <c r="Q1610" s="117"/>
      <c r="R1610" s="29"/>
      <c r="S1610" s="29"/>
      <c r="T1610" s="29"/>
    </row>
    <row r="1611" ht="15.75" customHeight="1">
      <c r="A1611" s="120"/>
      <c r="B1611" s="120"/>
      <c r="Q1611" s="117"/>
      <c r="R1611" s="29"/>
      <c r="S1611" s="29"/>
      <c r="T1611" s="29"/>
    </row>
    <row r="1612" ht="15.75" customHeight="1">
      <c r="A1612" s="120"/>
      <c r="B1612" s="120"/>
      <c r="Q1612" s="117"/>
      <c r="R1612" s="29"/>
      <c r="S1612" s="29"/>
      <c r="T1612" s="29"/>
    </row>
    <row r="1613" ht="15.75" customHeight="1">
      <c r="A1613" s="120"/>
      <c r="B1613" s="120"/>
      <c r="Q1613" s="117"/>
      <c r="R1613" s="29"/>
      <c r="S1613" s="29"/>
      <c r="T1613" s="29"/>
    </row>
    <row r="1614" ht="15.75" customHeight="1">
      <c r="A1614" s="120"/>
      <c r="B1614" s="120"/>
      <c r="Q1614" s="117"/>
      <c r="R1614" s="29"/>
      <c r="S1614" s="29"/>
      <c r="T1614" s="29"/>
    </row>
    <row r="1615" ht="15.75" customHeight="1">
      <c r="A1615" s="120"/>
      <c r="B1615" s="120"/>
      <c r="Q1615" s="117"/>
      <c r="R1615" s="29"/>
      <c r="S1615" s="29"/>
      <c r="T1615" s="29"/>
    </row>
    <row r="1616" ht="15.75" customHeight="1">
      <c r="A1616" s="120"/>
      <c r="B1616" s="120"/>
      <c r="Q1616" s="117"/>
      <c r="R1616" s="29"/>
      <c r="S1616" s="29"/>
      <c r="T1616" s="29"/>
    </row>
    <row r="1617" ht="15.75" customHeight="1">
      <c r="A1617" s="120"/>
      <c r="B1617" s="120"/>
      <c r="Q1617" s="117"/>
      <c r="R1617" s="29"/>
      <c r="S1617" s="29"/>
      <c r="T1617" s="29"/>
    </row>
    <row r="1618" ht="15.75" customHeight="1">
      <c r="A1618" s="120"/>
      <c r="B1618" s="120"/>
      <c r="Q1618" s="117"/>
      <c r="R1618" s="29"/>
      <c r="S1618" s="29"/>
      <c r="T1618" s="29"/>
    </row>
    <row r="1619" ht="15.75" customHeight="1">
      <c r="A1619" s="120"/>
      <c r="B1619" s="120"/>
      <c r="Q1619" s="117"/>
      <c r="R1619" s="29"/>
      <c r="S1619" s="29"/>
      <c r="T1619" s="29"/>
    </row>
    <row r="1620" ht="15.75" customHeight="1">
      <c r="A1620" s="120"/>
      <c r="B1620" s="120"/>
      <c r="Q1620" s="117"/>
      <c r="R1620" s="29"/>
      <c r="S1620" s="29"/>
      <c r="T1620" s="29"/>
    </row>
    <row r="1621" ht="15.75" customHeight="1">
      <c r="A1621" s="120"/>
      <c r="B1621" s="120"/>
      <c r="Q1621" s="117"/>
      <c r="R1621" s="29"/>
      <c r="S1621" s="29"/>
      <c r="T1621" s="29"/>
    </row>
    <row r="1622" ht="15.75" customHeight="1">
      <c r="A1622" s="120"/>
      <c r="B1622" s="120"/>
      <c r="Q1622" s="117"/>
      <c r="R1622" s="29"/>
      <c r="S1622" s="29"/>
      <c r="T1622" s="29"/>
    </row>
    <row r="1623" ht="15.75" customHeight="1">
      <c r="A1623" s="120"/>
      <c r="B1623" s="120"/>
      <c r="Q1623" s="117"/>
      <c r="R1623" s="29"/>
      <c r="S1623" s="29"/>
      <c r="T1623" s="29"/>
    </row>
    <row r="1624" ht="15.75" customHeight="1">
      <c r="A1624" s="120"/>
      <c r="B1624" s="120"/>
      <c r="Q1624" s="117"/>
      <c r="R1624" s="29"/>
      <c r="S1624" s="29"/>
      <c r="T1624" s="29"/>
    </row>
    <row r="1625" ht="15.75" customHeight="1">
      <c r="A1625" s="120"/>
      <c r="B1625" s="120"/>
      <c r="Q1625" s="117"/>
      <c r="R1625" s="29"/>
      <c r="S1625" s="29"/>
      <c r="T1625" s="29"/>
    </row>
    <row r="1626" ht="15.75" customHeight="1">
      <c r="A1626" s="120"/>
      <c r="B1626" s="120"/>
      <c r="Q1626" s="117"/>
      <c r="R1626" s="29"/>
      <c r="S1626" s="29"/>
      <c r="T1626" s="29"/>
    </row>
    <row r="1627" ht="15.75" customHeight="1">
      <c r="A1627" s="120"/>
      <c r="B1627" s="120"/>
      <c r="Q1627" s="117"/>
      <c r="R1627" s="29"/>
      <c r="S1627" s="29"/>
      <c r="T1627" s="29"/>
    </row>
    <row r="1628" ht="15.75" customHeight="1">
      <c r="A1628" s="120"/>
      <c r="B1628" s="120"/>
      <c r="Q1628" s="117"/>
      <c r="R1628" s="29"/>
      <c r="S1628" s="29"/>
      <c r="T1628" s="29"/>
    </row>
    <row r="1629" ht="15.75" customHeight="1">
      <c r="A1629" s="120"/>
      <c r="B1629" s="120"/>
      <c r="Q1629" s="117"/>
      <c r="R1629" s="29"/>
      <c r="S1629" s="29"/>
      <c r="T1629" s="29"/>
    </row>
    <row r="1630" ht="15.75" customHeight="1">
      <c r="A1630" s="120"/>
      <c r="B1630" s="120"/>
      <c r="Q1630" s="117"/>
      <c r="R1630" s="29"/>
      <c r="S1630" s="29"/>
      <c r="T1630" s="29"/>
    </row>
    <row r="1631" ht="15.75" customHeight="1">
      <c r="A1631" s="120"/>
      <c r="B1631" s="120"/>
      <c r="Q1631" s="117"/>
      <c r="R1631" s="29"/>
      <c r="S1631" s="29"/>
      <c r="T1631" s="29"/>
    </row>
    <row r="1632" ht="15.75" customHeight="1">
      <c r="A1632" s="120"/>
      <c r="B1632" s="120"/>
      <c r="Q1632" s="117"/>
      <c r="R1632" s="29"/>
      <c r="S1632" s="29"/>
      <c r="T1632" s="29"/>
    </row>
    <row r="1633" ht="15.75" customHeight="1">
      <c r="A1633" s="120"/>
      <c r="B1633" s="120"/>
      <c r="Q1633" s="117"/>
      <c r="R1633" s="29"/>
      <c r="S1633" s="29"/>
      <c r="T1633" s="29"/>
    </row>
    <row r="1634" ht="15.75" customHeight="1">
      <c r="A1634" s="120"/>
      <c r="B1634" s="120"/>
      <c r="Q1634" s="117"/>
      <c r="R1634" s="29"/>
      <c r="S1634" s="29"/>
      <c r="T1634" s="29"/>
    </row>
    <row r="1635" ht="15.75" customHeight="1">
      <c r="A1635" s="120"/>
      <c r="B1635" s="120"/>
      <c r="Q1635" s="117"/>
      <c r="R1635" s="29"/>
      <c r="S1635" s="29"/>
      <c r="T1635" s="29"/>
    </row>
    <row r="1636" ht="15.75" customHeight="1">
      <c r="A1636" s="120"/>
      <c r="B1636" s="120"/>
      <c r="Q1636" s="117"/>
      <c r="R1636" s="29"/>
      <c r="S1636" s="29"/>
      <c r="T1636" s="29"/>
    </row>
    <row r="1637" ht="15.75" customHeight="1">
      <c r="A1637" s="120"/>
      <c r="B1637" s="120"/>
      <c r="Q1637" s="117"/>
      <c r="R1637" s="29"/>
      <c r="S1637" s="29"/>
      <c r="T1637" s="29"/>
    </row>
    <row r="1638" ht="15.75" customHeight="1">
      <c r="A1638" s="120"/>
      <c r="B1638" s="120"/>
      <c r="Q1638" s="117"/>
      <c r="R1638" s="29"/>
      <c r="S1638" s="29"/>
      <c r="T1638" s="29"/>
    </row>
    <row r="1639" ht="15.75" customHeight="1">
      <c r="A1639" s="120"/>
      <c r="B1639" s="120"/>
      <c r="Q1639" s="117"/>
      <c r="R1639" s="29"/>
      <c r="S1639" s="29"/>
      <c r="T1639" s="29"/>
    </row>
    <row r="1640" ht="15.75" customHeight="1">
      <c r="A1640" s="120"/>
      <c r="B1640" s="120"/>
      <c r="Q1640" s="117"/>
      <c r="R1640" s="29"/>
      <c r="S1640" s="29"/>
      <c r="T1640" s="29"/>
    </row>
    <row r="1641" ht="15.75" customHeight="1">
      <c r="A1641" s="120"/>
      <c r="B1641" s="120"/>
      <c r="Q1641" s="117"/>
      <c r="R1641" s="29"/>
      <c r="S1641" s="29"/>
      <c r="T1641" s="29"/>
    </row>
    <row r="1642" ht="15.75" customHeight="1">
      <c r="A1642" s="120"/>
      <c r="B1642" s="120"/>
      <c r="Q1642" s="117"/>
      <c r="R1642" s="29"/>
      <c r="S1642" s="29"/>
      <c r="T1642" s="29"/>
    </row>
    <row r="1643" ht="15.75" customHeight="1">
      <c r="A1643" s="120"/>
      <c r="B1643" s="120"/>
      <c r="Q1643" s="117"/>
      <c r="R1643" s="29"/>
      <c r="S1643" s="29"/>
      <c r="T1643" s="29"/>
    </row>
    <row r="1644" ht="15.75" customHeight="1">
      <c r="A1644" s="120"/>
      <c r="B1644" s="120"/>
      <c r="Q1644" s="117"/>
      <c r="R1644" s="29"/>
      <c r="S1644" s="29"/>
      <c r="T1644" s="29"/>
    </row>
    <row r="1645" ht="15.75" customHeight="1">
      <c r="A1645" s="120"/>
      <c r="B1645" s="120"/>
      <c r="Q1645" s="117"/>
      <c r="R1645" s="29"/>
      <c r="S1645" s="29"/>
      <c r="T1645" s="29"/>
    </row>
    <row r="1646" ht="15.75" customHeight="1">
      <c r="A1646" s="120"/>
      <c r="B1646" s="120"/>
      <c r="Q1646" s="117"/>
      <c r="R1646" s="29"/>
      <c r="S1646" s="29"/>
      <c r="T1646" s="29"/>
    </row>
    <row r="1647" ht="15.75" customHeight="1">
      <c r="A1647" s="120"/>
      <c r="B1647" s="120"/>
      <c r="Q1647" s="117"/>
      <c r="R1647" s="29"/>
      <c r="S1647" s="29"/>
      <c r="T1647" s="29"/>
    </row>
    <row r="1648" ht="15.75" customHeight="1">
      <c r="A1648" s="120"/>
      <c r="B1648" s="120"/>
      <c r="Q1648" s="117"/>
      <c r="R1648" s="29"/>
      <c r="S1648" s="29"/>
      <c r="T1648" s="29"/>
    </row>
    <row r="1649" ht="15.75" customHeight="1">
      <c r="A1649" s="120"/>
      <c r="B1649" s="120"/>
      <c r="Q1649" s="117"/>
      <c r="R1649" s="29"/>
      <c r="S1649" s="29"/>
      <c r="T1649" s="29"/>
    </row>
    <row r="1650" ht="15.75" customHeight="1">
      <c r="A1650" s="120"/>
      <c r="B1650" s="120"/>
      <c r="Q1650" s="117"/>
      <c r="R1650" s="29"/>
      <c r="S1650" s="29"/>
      <c r="T1650" s="29"/>
    </row>
    <row r="1651" ht="15.75" customHeight="1">
      <c r="A1651" s="120"/>
      <c r="B1651" s="120"/>
      <c r="Q1651" s="117"/>
      <c r="R1651" s="29"/>
      <c r="S1651" s="29"/>
      <c r="T1651" s="29"/>
    </row>
    <row r="1652" ht="15.75" customHeight="1">
      <c r="A1652" s="120"/>
      <c r="B1652" s="120"/>
      <c r="Q1652" s="117"/>
      <c r="R1652" s="29"/>
      <c r="S1652" s="29"/>
      <c r="T1652" s="29"/>
    </row>
    <row r="1653" ht="15.75" customHeight="1">
      <c r="A1653" s="120"/>
      <c r="B1653" s="120"/>
      <c r="Q1653" s="117"/>
      <c r="R1653" s="29"/>
      <c r="S1653" s="29"/>
      <c r="T1653" s="29"/>
    </row>
    <row r="1654" ht="15.75" customHeight="1">
      <c r="A1654" s="120"/>
      <c r="B1654" s="120"/>
      <c r="Q1654" s="117"/>
      <c r="R1654" s="29"/>
      <c r="S1654" s="29"/>
      <c r="T1654" s="29"/>
    </row>
    <row r="1655" ht="15.75" customHeight="1">
      <c r="A1655" s="120"/>
      <c r="B1655" s="120"/>
      <c r="Q1655" s="117"/>
      <c r="R1655" s="29"/>
      <c r="S1655" s="29"/>
      <c r="T1655" s="29"/>
    </row>
    <row r="1656" ht="15.75" customHeight="1">
      <c r="A1656" s="120"/>
      <c r="B1656" s="120"/>
      <c r="Q1656" s="117"/>
      <c r="R1656" s="29"/>
      <c r="S1656" s="29"/>
      <c r="T1656" s="29"/>
    </row>
    <row r="1657" ht="15.75" customHeight="1">
      <c r="A1657" s="120"/>
      <c r="B1657" s="120"/>
      <c r="Q1657" s="117"/>
      <c r="R1657" s="29"/>
      <c r="S1657" s="29"/>
      <c r="T1657" s="29"/>
    </row>
    <row r="1658" ht="15.75" customHeight="1">
      <c r="A1658" s="120"/>
      <c r="B1658" s="120"/>
      <c r="Q1658" s="117"/>
      <c r="R1658" s="29"/>
      <c r="S1658" s="29"/>
      <c r="T1658" s="29"/>
    </row>
    <row r="1659" ht="15.75" customHeight="1">
      <c r="A1659" s="120"/>
      <c r="B1659" s="120"/>
      <c r="Q1659" s="117"/>
      <c r="R1659" s="29"/>
      <c r="S1659" s="29"/>
      <c r="T1659" s="29"/>
    </row>
    <row r="1660" ht="15.75" customHeight="1">
      <c r="A1660" s="120"/>
      <c r="B1660" s="120"/>
      <c r="Q1660" s="117"/>
      <c r="R1660" s="29"/>
      <c r="S1660" s="29"/>
      <c r="T1660" s="29"/>
    </row>
    <row r="1661" ht="15.75" customHeight="1">
      <c r="A1661" s="120"/>
      <c r="B1661" s="120"/>
      <c r="Q1661" s="117"/>
      <c r="R1661" s="29"/>
      <c r="S1661" s="29"/>
      <c r="T1661" s="29"/>
    </row>
    <row r="1662" ht="15.75" customHeight="1">
      <c r="A1662" s="120"/>
      <c r="B1662" s="120"/>
      <c r="Q1662" s="117"/>
      <c r="R1662" s="29"/>
      <c r="S1662" s="29"/>
      <c r="T1662" s="29"/>
    </row>
    <row r="1663" ht="15.75" customHeight="1">
      <c r="A1663" s="120"/>
      <c r="B1663" s="120"/>
      <c r="Q1663" s="117"/>
      <c r="R1663" s="29"/>
      <c r="S1663" s="29"/>
      <c r="T1663" s="29"/>
    </row>
    <row r="1664" ht="15.75" customHeight="1">
      <c r="A1664" s="120"/>
      <c r="B1664" s="120"/>
      <c r="Q1664" s="117"/>
      <c r="R1664" s="29"/>
      <c r="S1664" s="29"/>
      <c r="T1664" s="29"/>
    </row>
    <row r="1665" ht="15.75" customHeight="1">
      <c r="A1665" s="120"/>
      <c r="B1665" s="120"/>
      <c r="Q1665" s="117"/>
      <c r="R1665" s="29"/>
      <c r="S1665" s="29"/>
      <c r="T1665" s="29"/>
    </row>
    <row r="1666" ht="15.75" customHeight="1">
      <c r="A1666" s="120"/>
      <c r="B1666" s="120"/>
      <c r="Q1666" s="117"/>
      <c r="R1666" s="29"/>
      <c r="S1666" s="29"/>
      <c r="T1666" s="29"/>
    </row>
    <row r="1667" ht="15.75" customHeight="1">
      <c r="A1667" s="120"/>
      <c r="B1667" s="120"/>
      <c r="Q1667" s="117"/>
      <c r="R1667" s="29"/>
      <c r="S1667" s="29"/>
      <c r="T1667" s="29"/>
    </row>
    <row r="1668" ht="15.75" customHeight="1">
      <c r="A1668" s="120"/>
      <c r="B1668" s="120"/>
      <c r="Q1668" s="117"/>
      <c r="R1668" s="29"/>
      <c r="S1668" s="29"/>
      <c r="T1668" s="29"/>
    </row>
    <row r="1669" ht="15.75" customHeight="1">
      <c r="A1669" s="120"/>
      <c r="B1669" s="120"/>
      <c r="Q1669" s="117"/>
      <c r="R1669" s="29"/>
      <c r="S1669" s="29"/>
      <c r="T1669" s="29"/>
    </row>
    <row r="1670" ht="15.75" customHeight="1">
      <c r="A1670" s="120"/>
      <c r="B1670" s="120"/>
      <c r="Q1670" s="117"/>
      <c r="R1670" s="29"/>
      <c r="S1670" s="29"/>
      <c r="T1670" s="29"/>
    </row>
    <row r="1671" ht="15.75" customHeight="1">
      <c r="A1671" s="120"/>
      <c r="B1671" s="120"/>
      <c r="Q1671" s="117"/>
      <c r="R1671" s="29"/>
      <c r="S1671" s="29"/>
      <c r="T1671" s="29"/>
    </row>
    <row r="1672" ht="15.75" customHeight="1">
      <c r="A1672" s="120"/>
      <c r="B1672" s="120"/>
      <c r="Q1672" s="117"/>
      <c r="R1672" s="29"/>
      <c r="S1672" s="29"/>
      <c r="T1672" s="29"/>
    </row>
    <row r="1673" ht="15.75" customHeight="1">
      <c r="A1673" s="120"/>
      <c r="B1673" s="120"/>
      <c r="Q1673" s="117"/>
      <c r="R1673" s="29"/>
      <c r="S1673" s="29"/>
      <c r="T1673" s="29"/>
    </row>
    <row r="1674" ht="15.75" customHeight="1">
      <c r="A1674" s="120"/>
      <c r="B1674" s="120"/>
      <c r="Q1674" s="117"/>
      <c r="R1674" s="29"/>
      <c r="S1674" s="29"/>
      <c r="T1674" s="29"/>
    </row>
    <row r="1675" ht="15.75" customHeight="1">
      <c r="A1675" s="120"/>
      <c r="B1675" s="120"/>
      <c r="Q1675" s="117"/>
      <c r="R1675" s="29"/>
      <c r="S1675" s="29"/>
      <c r="T1675" s="29"/>
    </row>
    <row r="1676" ht="15.75" customHeight="1">
      <c r="A1676" s="120"/>
      <c r="B1676" s="120"/>
      <c r="Q1676" s="117"/>
      <c r="R1676" s="29"/>
      <c r="S1676" s="29"/>
      <c r="T1676" s="29"/>
    </row>
    <row r="1677" ht="15.75" customHeight="1">
      <c r="A1677" s="120"/>
      <c r="B1677" s="120"/>
      <c r="Q1677" s="117"/>
      <c r="R1677" s="29"/>
      <c r="S1677" s="29"/>
      <c r="T1677" s="29"/>
    </row>
    <row r="1678" ht="15.75" customHeight="1">
      <c r="A1678" s="120"/>
      <c r="B1678" s="120"/>
      <c r="Q1678" s="117"/>
      <c r="R1678" s="29"/>
      <c r="S1678" s="29"/>
      <c r="T1678" s="29"/>
    </row>
    <row r="1679" ht="15.75" customHeight="1">
      <c r="A1679" s="120"/>
      <c r="B1679" s="120"/>
      <c r="Q1679" s="117"/>
      <c r="R1679" s="29"/>
      <c r="S1679" s="29"/>
      <c r="T1679" s="29"/>
    </row>
    <row r="1680" ht="15.75" customHeight="1">
      <c r="A1680" s="120"/>
      <c r="B1680" s="120"/>
      <c r="Q1680" s="117"/>
      <c r="R1680" s="29"/>
      <c r="S1680" s="29"/>
      <c r="T1680" s="29"/>
    </row>
    <row r="1681" ht="15.75" customHeight="1">
      <c r="A1681" s="120"/>
      <c r="B1681" s="120"/>
      <c r="Q1681" s="117"/>
      <c r="R1681" s="29"/>
      <c r="S1681" s="29"/>
      <c r="T1681" s="29"/>
    </row>
    <row r="1682" ht="15.75" customHeight="1">
      <c r="A1682" s="120"/>
      <c r="B1682" s="120"/>
      <c r="Q1682" s="117"/>
      <c r="R1682" s="29"/>
      <c r="S1682" s="29"/>
      <c r="T1682" s="29"/>
    </row>
    <row r="1683" ht="15.75" customHeight="1">
      <c r="A1683" s="120"/>
      <c r="B1683" s="120"/>
      <c r="Q1683" s="117"/>
      <c r="R1683" s="29"/>
      <c r="S1683" s="29"/>
      <c r="T1683" s="29"/>
    </row>
    <row r="1684" ht="15.75" customHeight="1">
      <c r="A1684" s="120"/>
      <c r="B1684" s="120"/>
      <c r="Q1684" s="117"/>
      <c r="R1684" s="29"/>
      <c r="S1684" s="29"/>
      <c r="T1684" s="29"/>
    </row>
    <row r="1685" ht="15.75" customHeight="1">
      <c r="A1685" s="120"/>
      <c r="B1685" s="120"/>
      <c r="Q1685" s="117"/>
      <c r="R1685" s="29"/>
      <c r="S1685" s="29"/>
      <c r="T1685" s="29"/>
    </row>
    <row r="1686" ht="15.75" customHeight="1">
      <c r="A1686" s="120"/>
      <c r="B1686" s="120"/>
      <c r="Q1686" s="117"/>
      <c r="R1686" s="29"/>
      <c r="S1686" s="29"/>
      <c r="T1686" s="29"/>
    </row>
    <row r="1687" ht="15.75" customHeight="1">
      <c r="A1687" s="120"/>
      <c r="B1687" s="120"/>
      <c r="Q1687" s="117"/>
      <c r="R1687" s="29"/>
      <c r="S1687" s="29"/>
      <c r="T1687" s="29"/>
    </row>
    <row r="1688" ht="15.75" customHeight="1">
      <c r="A1688" s="120"/>
      <c r="B1688" s="120"/>
      <c r="Q1688" s="117"/>
      <c r="R1688" s="29"/>
      <c r="S1688" s="29"/>
      <c r="T1688" s="29"/>
    </row>
    <row r="1689" ht="15.75" customHeight="1">
      <c r="A1689" s="120"/>
      <c r="B1689" s="120"/>
      <c r="Q1689" s="117"/>
      <c r="R1689" s="29"/>
      <c r="S1689" s="29"/>
      <c r="T1689" s="29"/>
    </row>
    <row r="1690" ht="15.75" customHeight="1">
      <c r="A1690" s="120"/>
      <c r="B1690" s="120"/>
      <c r="Q1690" s="117"/>
      <c r="R1690" s="29"/>
      <c r="S1690" s="29"/>
      <c r="T1690" s="29"/>
    </row>
    <row r="1691" ht="15.75" customHeight="1">
      <c r="A1691" s="120"/>
      <c r="B1691" s="120"/>
      <c r="Q1691" s="117"/>
      <c r="R1691" s="29"/>
      <c r="S1691" s="29"/>
      <c r="T1691" s="29"/>
    </row>
    <row r="1692" ht="15.75" customHeight="1">
      <c r="A1692" s="120"/>
      <c r="B1692" s="120"/>
      <c r="Q1692" s="117"/>
      <c r="R1692" s="29"/>
      <c r="S1692" s="29"/>
      <c r="T1692" s="29"/>
    </row>
    <row r="1693" ht="15.75" customHeight="1">
      <c r="A1693" s="120"/>
      <c r="B1693" s="120"/>
      <c r="Q1693" s="117"/>
      <c r="R1693" s="29"/>
      <c r="S1693" s="29"/>
      <c r="T1693" s="29"/>
    </row>
    <row r="1694" ht="15.75" customHeight="1">
      <c r="A1694" s="120"/>
      <c r="B1694" s="120"/>
      <c r="Q1694" s="117"/>
      <c r="R1694" s="29"/>
      <c r="S1694" s="29"/>
      <c r="T1694" s="29"/>
    </row>
    <row r="1695" ht="15.75" customHeight="1">
      <c r="A1695" s="120"/>
      <c r="B1695" s="120"/>
      <c r="Q1695" s="117"/>
      <c r="R1695" s="29"/>
      <c r="S1695" s="29"/>
      <c r="T1695" s="29"/>
    </row>
    <row r="1696" ht="15.75" customHeight="1">
      <c r="A1696" s="120"/>
      <c r="B1696" s="120"/>
      <c r="Q1696" s="117"/>
      <c r="R1696" s="29"/>
      <c r="S1696" s="29"/>
      <c r="T1696" s="29"/>
    </row>
    <row r="1697" ht="15.75" customHeight="1">
      <c r="A1697" s="120"/>
      <c r="B1697" s="120"/>
      <c r="Q1697" s="117"/>
      <c r="R1697" s="29"/>
      <c r="S1697" s="29"/>
      <c r="T1697" s="29"/>
    </row>
    <row r="1698" ht="15.75" customHeight="1">
      <c r="A1698" s="120"/>
      <c r="B1698" s="120"/>
      <c r="Q1698" s="117"/>
      <c r="R1698" s="29"/>
      <c r="S1698" s="29"/>
      <c r="T1698" s="29"/>
    </row>
    <row r="1699" ht="15.75" customHeight="1">
      <c r="A1699" s="120"/>
      <c r="B1699" s="120"/>
      <c r="Q1699" s="117"/>
      <c r="R1699" s="29"/>
      <c r="S1699" s="29"/>
      <c r="T1699" s="29"/>
    </row>
    <row r="1700" ht="15.75" customHeight="1">
      <c r="A1700" s="120"/>
      <c r="B1700" s="120"/>
      <c r="Q1700" s="117"/>
      <c r="R1700" s="29"/>
      <c r="S1700" s="29"/>
      <c r="T1700" s="29"/>
    </row>
    <row r="1701" ht="15.75" customHeight="1">
      <c r="A1701" s="120"/>
      <c r="B1701" s="120"/>
      <c r="Q1701" s="117"/>
      <c r="R1701" s="29"/>
      <c r="S1701" s="29"/>
      <c r="T1701" s="29"/>
    </row>
    <row r="1702" ht="15.75" customHeight="1">
      <c r="A1702" s="120"/>
      <c r="B1702" s="120"/>
      <c r="Q1702" s="117"/>
      <c r="R1702" s="29"/>
      <c r="S1702" s="29"/>
      <c r="T1702" s="29"/>
    </row>
    <row r="1703" ht="15.75" customHeight="1">
      <c r="A1703" s="120"/>
      <c r="B1703" s="120"/>
      <c r="Q1703" s="117"/>
      <c r="R1703" s="29"/>
      <c r="S1703" s="29"/>
      <c r="T1703" s="29"/>
    </row>
    <row r="1704" ht="15.75" customHeight="1">
      <c r="A1704" s="120"/>
      <c r="B1704" s="120"/>
      <c r="Q1704" s="117"/>
      <c r="R1704" s="29"/>
      <c r="S1704" s="29"/>
      <c r="T1704" s="29"/>
    </row>
    <row r="1705" ht="15.75" customHeight="1">
      <c r="A1705" s="120"/>
      <c r="B1705" s="120"/>
      <c r="Q1705" s="117"/>
      <c r="R1705" s="29"/>
      <c r="S1705" s="29"/>
      <c r="T1705" s="29"/>
    </row>
    <row r="1706" ht="15.75" customHeight="1">
      <c r="A1706" s="120"/>
      <c r="B1706" s="120"/>
      <c r="Q1706" s="117"/>
      <c r="R1706" s="29"/>
      <c r="S1706" s="29"/>
      <c r="T1706" s="29"/>
    </row>
    <row r="1707" ht="15.75" customHeight="1">
      <c r="A1707" s="120"/>
      <c r="B1707" s="120"/>
      <c r="Q1707" s="117"/>
      <c r="R1707" s="29"/>
      <c r="S1707" s="29"/>
      <c r="T1707" s="29"/>
    </row>
    <row r="1708" ht="15.75" customHeight="1">
      <c r="A1708" s="120"/>
      <c r="B1708" s="120"/>
      <c r="Q1708" s="117"/>
      <c r="R1708" s="29"/>
      <c r="S1708" s="29"/>
      <c r="T1708" s="29"/>
    </row>
    <row r="1709" ht="15.75" customHeight="1">
      <c r="A1709" s="120"/>
      <c r="B1709" s="120"/>
      <c r="Q1709" s="117"/>
      <c r="R1709" s="29"/>
      <c r="S1709" s="29"/>
      <c r="T1709" s="29"/>
    </row>
    <row r="1710" ht="15.75" customHeight="1">
      <c r="A1710" s="120"/>
      <c r="B1710" s="120"/>
      <c r="Q1710" s="117"/>
      <c r="R1710" s="29"/>
      <c r="S1710" s="29"/>
      <c r="T1710" s="29"/>
    </row>
    <row r="1711" ht="15.75" customHeight="1">
      <c r="A1711" s="120"/>
      <c r="B1711" s="120"/>
      <c r="Q1711" s="117"/>
      <c r="R1711" s="29"/>
      <c r="S1711" s="29"/>
      <c r="T1711" s="29"/>
    </row>
    <row r="1712" ht="15.75" customHeight="1">
      <c r="A1712" s="120"/>
      <c r="B1712" s="120"/>
      <c r="Q1712" s="117"/>
      <c r="R1712" s="29"/>
      <c r="S1712" s="29"/>
      <c r="T1712" s="29"/>
    </row>
    <row r="1713" ht="15.75" customHeight="1">
      <c r="A1713" s="120"/>
      <c r="B1713" s="120"/>
      <c r="Q1713" s="117"/>
      <c r="R1713" s="29"/>
      <c r="S1713" s="29"/>
      <c r="T1713" s="29"/>
    </row>
    <row r="1714" ht="15.75" customHeight="1">
      <c r="A1714" s="120"/>
      <c r="B1714" s="120"/>
      <c r="Q1714" s="117"/>
      <c r="R1714" s="29"/>
      <c r="S1714" s="29"/>
      <c r="T1714" s="29"/>
    </row>
    <row r="1715" ht="15.75" customHeight="1">
      <c r="A1715" s="120"/>
      <c r="B1715" s="120"/>
      <c r="Q1715" s="117"/>
      <c r="R1715" s="29"/>
      <c r="S1715" s="29"/>
      <c r="T1715" s="29"/>
    </row>
    <row r="1716" ht="15.75" customHeight="1">
      <c r="A1716" s="120"/>
      <c r="B1716" s="120"/>
      <c r="Q1716" s="117"/>
      <c r="R1716" s="29"/>
      <c r="S1716" s="29"/>
      <c r="T1716" s="29"/>
    </row>
    <row r="1717" ht="15.75" customHeight="1">
      <c r="A1717" s="120"/>
      <c r="B1717" s="120"/>
      <c r="Q1717" s="117"/>
      <c r="R1717" s="29"/>
      <c r="S1717" s="29"/>
      <c r="T1717" s="29"/>
    </row>
    <row r="1718" ht="15.75" customHeight="1">
      <c r="A1718" s="120"/>
      <c r="B1718" s="120"/>
      <c r="Q1718" s="117"/>
      <c r="R1718" s="29"/>
      <c r="S1718" s="29"/>
      <c r="T1718" s="29"/>
    </row>
    <row r="1719" ht="15.75" customHeight="1">
      <c r="A1719" s="120"/>
      <c r="B1719" s="120"/>
      <c r="Q1719" s="117"/>
      <c r="R1719" s="29"/>
      <c r="S1719" s="29"/>
      <c r="T1719" s="29"/>
    </row>
    <row r="1720" ht="15.75" customHeight="1">
      <c r="A1720" s="120"/>
      <c r="B1720" s="120"/>
      <c r="Q1720" s="117"/>
      <c r="R1720" s="29"/>
      <c r="S1720" s="29"/>
      <c r="T1720" s="29"/>
    </row>
    <row r="1721" ht="15.75" customHeight="1">
      <c r="A1721" s="120"/>
      <c r="B1721" s="120"/>
      <c r="Q1721" s="117"/>
      <c r="R1721" s="29"/>
      <c r="S1721" s="29"/>
      <c r="T1721" s="29"/>
    </row>
    <row r="1722" ht="15.75" customHeight="1">
      <c r="A1722" s="120"/>
      <c r="B1722" s="120"/>
      <c r="Q1722" s="117"/>
      <c r="R1722" s="29"/>
      <c r="S1722" s="29"/>
      <c r="T1722" s="29"/>
    </row>
    <row r="1723" ht="15.75" customHeight="1">
      <c r="A1723" s="120"/>
      <c r="B1723" s="120"/>
      <c r="Q1723" s="117"/>
      <c r="R1723" s="29"/>
      <c r="S1723" s="29"/>
      <c r="T1723" s="29"/>
    </row>
    <row r="1724" ht="15.75" customHeight="1">
      <c r="A1724" s="120"/>
      <c r="B1724" s="120"/>
      <c r="Q1724" s="117"/>
      <c r="R1724" s="29"/>
      <c r="S1724" s="29"/>
      <c r="T1724" s="29"/>
    </row>
    <row r="1725" ht="15.75" customHeight="1">
      <c r="A1725" s="120"/>
      <c r="B1725" s="120"/>
      <c r="Q1725" s="117"/>
      <c r="R1725" s="29"/>
      <c r="S1725" s="29"/>
      <c r="T1725" s="29"/>
    </row>
    <row r="1726" ht="15.75" customHeight="1">
      <c r="A1726" s="120"/>
      <c r="B1726" s="120"/>
      <c r="Q1726" s="117"/>
      <c r="R1726" s="29"/>
      <c r="S1726" s="29"/>
      <c r="T1726" s="29"/>
    </row>
    <row r="1727" ht="15.75" customHeight="1">
      <c r="A1727" s="120"/>
      <c r="B1727" s="120"/>
      <c r="Q1727" s="117"/>
      <c r="R1727" s="29"/>
      <c r="S1727" s="29"/>
      <c r="T1727" s="29"/>
    </row>
    <row r="1728" ht="15.75" customHeight="1">
      <c r="A1728" s="120"/>
      <c r="B1728" s="120"/>
      <c r="Q1728" s="117"/>
      <c r="R1728" s="29"/>
      <c r="S1728" s="29"/>
      <c r="T1728" s="29"/>
    </row>
    <row r="1729" ht="15.75" customHeight="1">
      <c r="A1729" s="120"/>
      <c r="B1729" s="120"/>
      <c r="Q1729" s="117"/>
      <c r="R1729" s="29"/>
      <c r="S1729" s="29"/>
      <c r="T1729" s="29"/>
    </row>
    <row r="1730" ht="15.75" customHeight="1">
      <c r="A1730" s="120"/>
      <c r="B1730" s="120"/>
      <c r="Q1730" s="117"/>
      <c r="R1730" s="29"/>
      <c r="S1730" s="29"/>
      <c r="T1730" s="29"/>
    </row>
    <row r="1731" ht="15.75" customHeight="1">
      <c r="A1731" s="120"/>
      <c r="B1731" s="120"/>
      <c r="Q1731" s="117"/>
      <c r="R1731" s="29"/>
      <c r="S1731" s="29"/>
      <c r="T1731" s="29"/>
    </row>
    <row r="1732" ht="15.75" customHeight="1">
      <c r="A1732" s="120"/>
      <c r="B1732" s="120"/>
      <c r="Q1732" s="117"/>
      <c r="R1732" s="29"/>
      <c r="S1732" s="29"/>
      <c r="T1732" s="29"/>
    </row>
    <row r="1733" ht="15.75" customHeight="1">
      <c r="A1733" s="120"/>
      <c r="B1733" s="120"/>
      <c r="Q1733" s="117"/>
      <c r="R1733" s="29"/>
      <c r="S1733" s="29"/>
      <c r="T1733" s="29"/>
    </row>
    <row r="1734" ht="15.75" customHeight="1">
      <c r="A1734" s="120"/>
      <c r="B1734" s="120"/>
      <c r="Q1734" s="117"/>
      <c r="R1734" s="29"/>
      <c r="S1734" s="29"/>
      <c r="T1734" s="29"/>
    </row>
    <row r="1735" ht="15.75" customHeight="1">
      <c r="A1735" s="120"/>
      <c r="B1735" s="120"/>
      <c r="Q1735" s="117"/>
      <c r="R1735" s="29"/>
      <c r="S1735" s="29"/>
      <c r="T1735" s="29"/>
    </row>
    <row r="1736" ht="15.75" customHeight="1">
      <c r="A1736" s="120"/>
      <c r="B1736" s="120"/>
      <c r="Q1736" s="117"/>
      <c r="R1736" s="29"/>
      <c r="S1736" s="29"/>
      <c r="T1736" s="29"/>
    </row>
    <row r="1737" ht="15.75" customHeight="1">
      <c r="A1737" s="120"/>
      <c r="B1737" s="120"/>
      <c r="Q1737" s="117"/>
      <c r="R1737" s="29"/>
      <c r="S1737" s="29"/>
      <c r="T1737" s="29"/>
    </row>
    <row r="1738" ht="15.75" customHeight="1">
      <c r="A1738" s="120"/>
      <c r="B1738" s="120"/>
      <c r="Q1738" s="117"/>
      <c r="R1738" s="29"/>
      <c r="S1738" s="29"/>
      <c r="T1738" s="29"/>
    </row>
    <row r="1739" ht="15.75" customHeight="1">
      <c r="A1739" s="120"/>
      <c r="B1739" s="120"/>
      <c r="Q1739" s="117"/>
      <c r="R1739" s="29"/>
      <c r="S1739" s="29"/>
      <c r="T1739" s="29"/>
    </row>
    <row r="1740" ht="15.75" customHeight="1">
      <c r="A1740" s="120"/>
      <c r="B1740" s="120"/>
      <c r="Q1740" s="117"/>
      <c r="R1740" s="29"/>
      <c r="S1740" s="29"/>
      <c r="T1740" s="29"/>
    </row>
    <row r="1741" ht="15.75" customHeight="1">
      <c r="A1741" s="120"/>
      <c r="B1741" s="120"/>
      <c r="Q1741" s="117"/>
      <c r="R1741" s="29"/>
      <c r="S1741" s="29"/>
      <c r="T1741" s="29"/>
    </row>
    <row r="1742" ht="15.75" customHeight="1">
      <c r="A1742" s="120"/>
      <c r="B1742" s="120"/>
      <c r="Q1742" s="117"/>
      <c r="R1742" s="29"/>
      <c r="S1742" s="29"/>
      <c r="T1742" s="29"/>
    </row>
    <row r="1743" ht="15.75" customHeight="1">
      <c r="A1743" s="120"/>
      <c r="B1743" s="120"/>
      <c r="Q1743" s="117"/>
      <c r="R1743" s="29"/>
      <c r="S1743" s="29"/>
      <c r="T1743" s="29"/>
    </row>
    <row r="1744" ht="15.75" customHeight="1">
      <c r="A1744" s="120"/>
      <c r="B1744" s="120"/>
      <c r="Q1744" s="117"/>
      <c r="R1744" s="29"/>
      <c r="S1744" s="29"/>
      <c r="T1744" s="29"/>
    </row>
    <row r="1745" ht="15.75" customHeight="1">
      <c r="A1745" s="120"/>
      <c r="B1745" s="120"/>
      <c r="Q1745" s="117"/>
      <c r="R1745" s="29"/>
      <c r="S1745" s="29"/>
      <c r="T1745" s="29"/>
    </row>
    <row r="1746" ht="15.75" customHeight="1">
      <c r="A1746" s="120"/>
      <c r="B1746" s="120"/>
      <c r="Q1746" s="117"/>
      <c r="R1746" s="29"/>
      <c r="S1746" s="29"/>
      <c r="T1746" s="29"/>
    </row>
    <row r="1747" ht="15.75" customHeight="1">
      <c r="A1747" s="120"/>
      <c r="B1747" s="120"/>
      <c r="Q1747" s="117"/>
      <c r="R1747" s="29"/>
      <c r="S1747" s="29"/>
      <c r="T1747" s="29"/>
    </row>
    <row r="1748" ht="15.75" customHeight="1">
      <c r="A1748" s="120"/>
      <c r="B1748" s="120"/>
      <c r="Q1748" s="117"/>
      <c r="R1748" s="29"/>
      <c r="S1748" s="29"/>
      <c r="T1748" s="29"/>
    </row>
    <row r="1749" ht="15.75" customHeight="1">
      <c r="A1749" s="120"/>
      <c r="B1749" s="120"/>
      <c r="Q1749" s="117"/>
      <c r="R1749" s="29"/>
      <c r="S1749" s="29"/>
      <c r="T1749" s="29"/>
    </row>
    <row r="1750" ht="15.75" customHeight="1">
      <c r="A1750" s="120"/>
      <c r="B1750" s="120"/>
      <c r="Q1750" s="117"/>
      <c r="R1750" s="29"/>
      <c r="S1750" s="29"/>
      <c r="T1750" s="29"/>
    </row>
    <row r="1751" ht="15.75" customHeight="1">
      <c r="A1751" s="120"/>
      <c r="B1751" s="120"/>
      <c r="Q1751" s="117"/>
      <c r="R1751" s="29"/>
      <c r="S1751" s="29"/>
      <c r="T1751" s="29"/>
    </row>
    <row r="1752" ht="15.75" customHeight="1">
      <c r="A1752" s="120"/>
      <c r="B1752" s="120"/>
      <c r="Q1752" s="117"/>
      <c r="R1752" s="29"/>
      <c r="S1752" s="29"/>
      <c r="T1752" s="29"/>
    </row>
    <row r="1753" ht="15.75" customHeight="1">
      <c r="A1753" s="120"/>
      <c r="B1753" s="120"/>
      <c r="Q1753" s="117"/>
      <c r="R1753" s="29"/>
      <c r="S1753" s="29"/>
      <c r="T1753" s="29"/>
    </row>
    <row r="1754" ht="15.75" customHeight="1">
      <c r="A1754" s="120"/>
      <c r="B1754" s="120"/>
      <c r="Q1754" s="117"/>
      <c r="R1754" s="29"/>
      <c r="S1754" s="29"/>
      <c r="T1754" s="29"/>
    </row>
    <row r="1755" ht="15.75" customHeight="1">
      <c r="A1755" s="120"/>
      <c r="B1755" s="120"/>
      <c r="Q1755" s="117"/>
      <c r="R1755" s="29"/>
      <c r="S1755" s="29"/>
      <c r="T1755" s="29"/>
    </row>
    <row r="1756" ht="15.75" customHeight="1">
      <c r="A1756" s="120"/>
      <c r="B1756" s="120"/>
      <c r="Q1756" s="117"/>
      <c r="R1756" s="29"/>
      <c r="S1756" s="29"/>
      <c r="T1756" s="29"/>
    </row>
    <row r="1757" ht="15.75" customHeight="1">
      <c r="A1757" s="120"/>
      <c r="B1757" s="120"/>
      <c r="Q1757" s="117"/>
      <c r="R1757" s="29"/>
      <c r="S1757" s="29"/>
      <c r="T1757" s="29"/>
    </row>
    <row r="1758" ht="15.75" customHeight="1">
      <c r="A1758" s="120"/>
      <c r="B1758" s="120"/>
      <c r="Q1758" s="117"/>
      <c r="R1758" s="29"/>
      <c r="S1758" s="29"/>
      <c r="T1758" s="29"/>
    </row>
    <row r="1759" ht="15.75" customHeight="1">
      <c r="A1759" s="120"/>
      <c r="B1759" s="120"/>
      <c r="Q1759" s="117"/>
      <c r="R1759" s="29"/>
      <c r="S1759" s="29"/>
      <c r="T1759" s="29"/>
    </row>
    <row r="1760" ht="15.75" customHeight="1">
      <c r="A1760" s="120"/>
      <c r="B1760" s="120"/>
      <c r="Q1760" s="117"/>
      <c r="R1760" s="29"/>
      <c r="S1760" s="29"/>
      <c r="T1760" s="29"/>
    </row>
    <row r="1761" ht="15.75" customHeight="1">
      <c r="A1761" s="120"/>
      <c r="B1761" s="120"/>
      <c r="Q1761" s="117"/>
      <c r="R1761" s="29"/>
      <c r="S1761" s="29"/>
      <c r="T1761" s="29"/>
    </row>
    <row r="1762" ht="15.75" customHeight="1">
      <c r="A1762" s="120"/>
      <c r="B1762" s="120"/>
      <c r="Q1762" s="117"/>
      <c r="R1762" s="29"/>
      <c r="S1762" s="29"/>
      <c r="T1762" s="29"/>
    </row>
    <row r="1763" ht="15.75" customHeight="1">
      <c r="A1763" s="120"/>
      <c r="B1763" s="120"/>
      <c r="Q1763" s="117"/>
      <c r="R1763" s="29"/>
      <c r="S1763" s="29"/>
      <c r="T1763" s="29"/>
    </row>
    <row r="1764" ht="15.75" customHeight="1">
      <c r="A1764" s="120"/>
      <c r="B1764" s="120"/>
      <c r="Q1764" s="117"/>
      <c r="R1764" s="29"/>
      <c r="S1764" s="29"/>
      <c r="T1764" s="29"/>
    </row>
    <row r="1765" ht="15.75" customHeight="1">
      <c r="A1765" s="120"/>
      <c r="B1765" s="120"/>
      <c r="Q1765" s="117"/>
      <c r="R1765" s="29"/>
      <c r="S1765" s="29"/>
      <c r="T1765" s="29"/>
    </row>
    <row r="1766" ht="15.75" customHeight="1">
      <c r="A1766" s="120"/>
      <c r="B1766" s="120"/>
      <c r="Q1766" s="117"/>
      <c r="R1766" s="29"/>
      <c r="S1766" s="29"/>
      <c r="T1766" s="29"/>
    </row>
    <row r="1767" ht="15.75" customHeight="1">
      <c r="A1767" s="120"/>
      <c r="B1767" s="120"/>
      <c r="Q1767" s="117"/>
      <c r="R1767" s="29"/>
      <c r="S1767" s="29"/>
      <c r="T1767" s="29"/>
    </row>
    <row r="1768" ht="15.75" customHeight="1">
      <c r="A1768" s="120"/>
      <c r="B1768" s="120"/>
      <c r="Q1768" s="117"/>
      <c r="R1768" s="29"/>
      <c r="S1768" s="29"/>
      <c r="T1768" s="29"/>
    </row>
    <row r="1769" ht="15.75" customHeight="1">
      <c r="A1769" s="120"/>
      <c r="B1769" s="120"/>
      <c r="Q1769" s="117"/>
      <c r="R1769" s="29"/>
      <c r="S1769" s="29"/>
      <c r="T1769" s="29"/>
    </row>
    <row r="1770" ht="15.75" customHeight="1">
      <c r="A1770" s="120"/>
      <c r="B1770" s="120"/>
      <c r="Q1770" s="117"/>
      <c r="R1770" s="29"/>
      <c r="S1770" s="29"/>
      <c r="T1770" s="29"/>
    </row>
    <row r="1771" ht="15.75" customHeight="1">
      <c r="A1771" s="120"/>
      <c r="B1771" s="120"/>
      <c r="Q1771" s="117"/>
      <c r="R1771" s="29"/>
      <c r="S1771" s="29"/>
      <c r="T1771" s="29"/>
    </row>
    <row r="1772" ht="15.75" customHeight="1">
      <c r="A1772" s="120"/>
      <c r="B1772" s="120"/>
      <c r="Q1772" s="117"/>
      <c r="R1772" s="29"/>
      <c r="S1772" s="29"/>
      <c r="T1772" s="29"/>
    </row>
    <row r="1773" ht="15.75" customHeight="1">
      <c r="A1773" s="120"/>
      <c r="B1773" s="120"/>
      <c r="Q1773" s="117"/>
      <c r="R1773" s="29"/>
      <c r="S1773" s="29"/>
      <c r="T1773" s="29"/>
    </row>
    <row r="1774" ht="15.75" customHeight="1">
      <c r="A1774" s="120"/>
      <c r="B1774" s="120"/>
      <c r="Q1774" s="117"/>
      <c r="R1774" s="29"/>
      <c r="S1774" s="29"/>
      <c r="T1774" s="29"/>
    </row>
    <row r="1775" ht="15.75" customHeight="1">
      <c r="A1775" s="120"/>
      <c r="B1775" s="120"/>
      <c r="Q1775" s="117"/>
      <c r="R1775" s="29"/>
      <c r="S1775" s="29"/>
      <c r="T1775" s="29"/>
    </row>
    <row r="1776" ht="15.75" customHeight="1">
      <c r="A1776" s="120"/>
      <c r="B1776" s="120"/>
      <c r="Q1776" s="117"/>
      <c r="R1776" s="29"/>
      <c r="S1776" s="29"/>
      <c r="T1776" s="29"/>
    </row>
    <row r="1777" ht="15.75" customHeight="1">
      <c r="A1777" s="120"/>
      <c r="B1777" s="120"/>
      <c r="Q1777" s="117"/>
      <c r="R1777" s="29"/>
      <c r="S1777" s="29"/>
      <c r="T1777" s="29"/>
    </row>
    <row r="1778" ht="15.75" customHeight="1">
      <c r="A1778" s="120"/>
      <c r="B1778" s="120"/>
      <c r="Q1778" s="117"/>
      <c r="R1778" s="29"/>
      <c r="S1778" s="29"/>
      <c r="T1778" s="29"/>
    </row>
    <row r="1779" ht="15.75" customHeight="1">
      <c r="A1779" s="120"/>
      <c r="B1779" s="120"/>
      <c r="Q1779" s="117"/>
      <c r="R1779" s="29"/>
      <c r="S1779" s="29"/>
      <c r="T1779" s="29"/>
    </row>
    <row r="1780" ht="15.75" customHeight="1">
      <c r="A1780" s="120"/>
      <c r="B1780" s="120"/>
      <c r="Q1780" s="117"/>
      <c r="R1780" s="29"/>
      <c r="S1780" s="29"/>
      <c r="T1780" s="29"/>
    </row>
    <row r="1781" ht="15.75" customHeight="1">
      <c r="A1781" s="120"/>
      <c r="B1781" s="120"/>
      <c r="Q1781" s="117"/>
      <c r="R1781" s="29"/>
      <c r="S1781" s="29"/>
      <c r="T1781" s="29"/>
    </row>
    <row r="1782" ht="15.75" customHeight="1">
      <c r="A1782" s="120"/>
      <c r="B1782" s="120"/>
      <c r="Q1782" s="117"/>
      <c r="R1782" s="29"/>
      <c r="S1782" s="29"/>
      <c r="T1782" s="29"/>
    </row>
    <row r="1783" ht="15.75" customHeight="1">
      <c r="A1783" s="120"/>
      <c r="B1783" s="120"/>
      <c r="Q1783" s="117"/>
      <c r="R1783" s="29"/>
      <c r="S1783" s="29"/>
      <c r="T1783" s="29"/>
    </row>
    <row r="1784" ht="15.75" customHeight="1">
      <c r="A1784" s="120"/>
      <c r="B1784" s="120"/>
      <c r="Q1784" s="117"/>
      <c r="R1784" s="29"/>
      <c r="S1784" s="29"/>
      <c r="T1784" s="29"/>
    </row>
    <row r="1785" ht="15.75" customHeight="1">
      <c r="A1785" s="120"/>
      <c r="B1785" s="120"/>
      <c r="Q1785" s="117"/>
      <c r="R1785" s="29"/>
      <c r="S1785" s="29"/>
      <c r="T1785" s="29"/>
    </row>
    <row r="1786" ht="15.75" customHeight="1">
      <c r="A1786" s="120"/>
      <c r="B1786" s="120"/>
      <c r="Q1786" s="117"/>
      <c r="R1786" s="29"/>
      <c r="S1786" s="29"/>
      <c r="T1786" s="29"/>
    </row>
    <row r="1787" ht="15.75" customHeight="1">
      <c r="A1787" s="120"/>
      <c r="B1787" s="120"/>
      <c r="Q1787" s="117"/>
      <c r="R1787" s="29"/>
      <c r="S1787" s="29"/>
      <c r="T1787" s="29"/>
    </row>
    <row r="1788" ht="15.75" customHeight="1">
      <c r="A1788" s="120"/>
      <c r="B1788" s="120"/>
      <c r="Q1788" s="117"/>
      <c r="R1788" s="29"/>
      <c r="S1788" s="29"/>
      <c r="T1788" s="29"/>
    </row>
    <row r="1789" ht="15.75" customHeight="1">
      <c r="A1789" s="120"/>
      <c r="B1789" s="120"/>
      <c r="Q1789" s="117"/>
      <c r="R1789" s="29"/>
      <c r="S1789" s="29"/>
      <c r="T1789" s="29"/>
    </row>
    <row r="1790" ht="15.75" customHeight="1">
      <c r="A1790" s="120"/>
      <c r="B1790" s="120"/>
      <c r="Q1790" s="117"/>
      <c r="R1790" s="29"/>
      <c r="S1790" s="29"/>
      <c r="T1790" s="29"/>
    </row>
    <row r="1791" ht="15.75" customHeight="1">
      <c r="A1791" s="120"/>
      <c r="B1791" s="120"/>
      <c r="Q1791" s="117"/>
      <c r="R1791" s="29"/>
      <c r="S1791" s="29"/>
      <c r="T1791" s="29"/>
    </row>
    <row r="1792" ht="15.75" customHeight="1">
      <c r="A1792" s="120"/>
      <c r="B1792" s="120"/>
      <c r="Q1792" s="117"/>
      <c r="R1792" s="29"/>
      <c r="S1792" s="29"/>
      <c r="T1792" s="29"/>
    </row>
    <row r="1793" ht="15.75" customHeight="1">
      <c r="A1793" s="120"/>
      <c r="B1793" s="120"/>
      <c r="Q1793" s="117"/>
      <c r="R1793" s="29"/>
      <c r="S1793" s="29"/>
      <c r="T1793" s="29"/>
    </row>
    <row r="1794" ht="15.75" customHeight="1">
      <c r="A1794" s="120"/>
      <c r="B1794" s="120"/>
      <c r="Q1794" s="117"/>
      <c r="R1794" s="29"/>
      <c r="S1794" s="29"/>
      <c r="T1794" s="29"/>
    </row>
    <row r="1795" ht="15.75" customHeight="1">
      <c r="A1795" s="120"/>
      <c r="B1795" s="120"/>
      <c r="Q1795" s="117"/>
      <c r="R1795" s="29"/>
      <c r="S1795" s="29"/>
      <c r="T1795" s="29"/>
    </row>
    <row r="1796" ht="15.75" customHeight="1">
      <c r="A1796" s="120"/>
      <c r="B1796" s="120"/>
      <c r="Q1796" s="117"/>
      <c r="R1796" s="29"/>
      <c r="S1796" s="29"/>
      <c r="T1796" s="29"/>
    </row>
    <row r="1797" ht="15.75" customHeight="1">
      <c r="A1797" s="120"/>
      <c r="B1797" s="120"/>
      <c r="Q1797" s="117"/>
      <c r="R1797" s="29"/>
      <c r="S1797" s="29"/>
      <c r="T1797" s="29"/>
    </row>
    <row r="1798" ht="15.75" customHeight="1">
      <c r="A1798" s="120"/>
      <c r="B1798" s="120"/>
      <c r="Q1798" s="117"/>
      <c r="R1798" s="29"/>
      <c r="S1798" s="29"/>
      <c r="T1798" s="29"/>
    </row>
    <row r="1799" ht="15.75" customHeight="1">
      <c r="A1799" s="120"/>
      <c r="B1799" s="120"/>
      <c r="Q1799" s="117"/>
      <c r="R1799" s="29"/>
      <c r="S1799" s="29"/>
      <c r="T1799" s="29"/>
    </row>
    <row r="1800" ht="15.75" customHeight="1">
      <c r="A1800" s="120"/>
      <c r="B1800" s="120"/>
      <c r="Q1800" s="117"/>
      <c r="R1800" s="29"/>
      <c r="S1800" s="29"/>
      <c r="T1800" s="29"/>
    </row>
    <row r="1801" ht="15.75" customHeight="1">
      <c r="A1801" s="120"/>
      <c r="B1801" s="120"/>
      <c r="Q1801" s="117"/>
      <c r="R1801" s="29"/>
      <c r="S1801" s="29"/>
      <c r="T1801" s="29"/>
    </row>
    <row r="1802" ht="15.75" customHeight="1">
      <c r="A1802" s="120"/>
      <c r="B1802" s="120"/>
      <c r="Q1802" s="117"/>
      <c r="R1802" s="29"/>
      <c r="S1802" s="29"/>
      <c r="T1802" s="29"/>
    </row>
    <row r="1803" ht="15.75" customHeight="1">
      <c r="A1803" s="120"/>
      <c r="B1803" s="120"/>
      <c r="Q1803" s="117"/>
      <c r="R1803" s="29"/>
      <c r="S1803" s="29"/>
      <c r="T1803" s="29"/>
    </row>
    <row r="1804" ht="15.75" customHeight="1">
      <c r="A1804" s="120"/>
      <c r="B1804" s="120"/>
      <c r="Q1804" s="117"/>
      <c r="R1804" s="29"/>
      <c r="S1804" s="29"/>
      <c r="T1804" s="29"/>
    </row>
    <row r="1805" ht="15.75" customHeight="1">
      <c r="A1805" s="120"/>
      <c r="B1805" s="120"/>
      <c r="Q1805" s="117"/>
      <c r="R1805" s="29"/>
      <c r="S1805" s="29"/>
      <c r="T1805" s="29"/>
    </row>
    <row r="1806" ht="15.75" customHeight="1">
      <c r="A1806" s="120"/>
      <c r="B1806" s="120"/>
      <c r="Q1806" s="117"/>
      <c r="R1806" s="29"/>
      <c r="S1806" s="29"/>
      <c r="T1806" s="29"/>
    </row>
    <row r="1807" ht="15.75" customHeight="1">
      <c r="A1807" s="120"/>
      <c r="B1807" s="120"/>
      <c r="Q1807" s="117"/>
      <c r="R1807" s="29"/>
      <c r="S1807" s="29"/>
      <c r="T1807" s="29"/>
    </row>
    <row r="1808" ht="15.75" customHeight="1">
      <c r="A1808" s="120"/>
      <c r="B1808" s="120"/>
      <c r="Q1808" s="117"/>
      <c r="R1808" s="29"/>
      <c r="S1808" s="29"/>
      <c r="T1808" s="29"/>
    </row>
    <row r="1809" ht="15.75" customHeight="1">
      <c r="A1809" s="120"/>
      <c r="B1809" s="120"/>
      <c r="Q1809" s="117"/>
      <c r="R1809" s="29"/>
      <c r="S1809" s="29"/>
      <c r="T1809" s="29"/>
    </row>
    <row r="1810" ht="15.75" customHeight="1">
      <c r="A1810" s="120"/>
      <c r="B1810" s="120"/>
      <c r="Q1810" s="117"/>
      <c r="R1810" s="29"/>
      <c r="S1810" s="29"/>
      <c r="T1810" s="29"/>
    </row>
    <row r="1811" ht="15.75" customHeight="1">
      <c r="A1811" s="120"/>
      <c r="B1811" s="120"/>
      <c r="Q1811" s="117"/>
      <c r="R1811" s="29"/>
      <c r="S1811" s="29"/>
      <c r="T1811" s="29"/>
    </row>
    <row r="1812" ht="15.75" customHeight="1">
      <c r="A1812" s="120"/>
      <c r="B1812" s="120"/>
      <c r="Q1812" s="117"/>
      <c r="R1812" s="29"/>
      <c r="S1812" s="29"/>
      <c r="T1812" s="29"/>
    </row>
    <row r="1813" ht="15.75" customHeight="1">
      <c r="A1813" s="120"/>
      <c r="B1813" s="120"/>
      <c r="Q1813" s="117"/>
      <c r="R1813" s="29"/>
      <c r="S1813" s="29"/>
      <c r="T1813" s="29"/>
    </row>
    <row r="1814" ht="15.75" customHeight="1">
      <c r="A1814" s="120"/>
      <c r="B1814" s="120"/>
      <c r="Q1814" s="117"/>
      <c r="R1814" s="29"/>
      <c r="S1814" s="29"/>
      <c r="T1814" s="29"/>
    </row>
    <row r="1815" ht="15.75" customHeight="1">
      <c r="A1815" s="120"/>
      <c r="B1815" s="120"/>
      <c r="Q1815" s="117"/>
      <c r="R1815" s="29"/>
      <c r="S1815" s="29"/>
      <c r="T1815" s="29"/>
    </row>
    <row r="1816" ht="15.75" customHeight="1">
      <c r="A1816" s="120"/>
      <c r="B1816" s="120"/>
      <c r="Q1816" s="117"/>
      <c r="R1816" s="29"/>
      <c r="S1816" s="29"/>
      <c r="T1816" s="29"/>
    </row>
    <row r="1817" ht="15.75" customHeight="1">
      <c r="A1817" s="120"/>
      <c r="B1817" s="120"/>
      <c r="Q1817" s="117"/>
      <c r="R1817" s="29"/>
      <c r="S1817" s="29"/>
      <c r="T1817" s="29"/>
    </row>
    <row r="1818" ht="15.75" customHeight="1">
      <c r="A1818" s="120"/>
      <c r="B1818" s="120"/>
      <c r="Q1818" s="117"/>
      <c r="R1818" s="29"/>
      <c r="S1818" s="29"/>
      <c r="T1818" s="29"/>
    </row>
    <row r="1819" ht="15.75" customHeight="1">
      <c r="A1819" s="120"/>
      <c r="B1819" s="120"/>
      <c r="Q1819" s="117"/>
      <c r="R1819" s="29"/>
      <c r="S1819" s="29"/>
      <c r="T1819" s="29"/>
    </row>
    <row r="1820" ht="15.75" customHeight="1">
      <c r="A1820" s="120"/>
      <c r="B1820" s="120"/>
      <c r="Q1820" s="117"/>
      <c r="R1820" s="29"/>
      <c r="S1820" s="29"/>
      <c r="T1820" s="29"/>
    </row>
    <row r="1821" ht="15.75" customHeight="1">
      <c r="A1821" s="120"/>
      <c r="B1821" s="120"/>
      <c r="Q1821" s="117"/>
      <c r="R1821" s="29"/>
      <c r="S1821" s="29"/>
      <c r="T1821" s="29"/>
    </row>
    <row r="1822" ht="15.75" customHeight="1">
      <c r="A1822" s="120"/>
      <c r="B1822" s="120"/>
      <c r="Q1822" s="117"/>
      <c r="R1822" s="29"/>
      <c r="S1822" s="29"/>
      <c r="T1822" s="29"/>
    </row>
    <row r="1823" ht="15.75" customHeight="1">
      <c r="A1823" s="120"/>
      <c r="B1823" s="120"/>
      <c r="Q1823" s="117"/>
      <c r="R1823" s="29"/>
      <c r="S1823" s="29"/>
      <c r="T1823" s="29"/>
    </row>
    <row r="1824" ht="15.75" customHeight="1">
      <c r="A1824" s="120"/>
      <c r="B1824" s="120"/>
      <c r="Q1824" s="117"/>
      <c r="R1824" s="29"/>
      <c r="S1824" s="29"/>
      <c r="T1824" s="29"/>
    </row>
    <row r="1825" ht="15.75" customHeight="1">
      <c r="A1825" s="120"/>
      <c r="B1825" s="120"/>
      <c r="Q1825" s="117"/>
      <c r="R1825" s="29"/>
      <c r="S1825" s="29"/>
      <c r="T1825" s="29"/>
    </row>
    <row r="1826" ht="15.75" customHeight="1">
      <c r="A1826" s="120"/>
      <c r="B1826" s="120"/>
      <c r="Q1826" s="117"/>
      <c r="R1826" s="29"/>
      <c r="S1826" s="29"/>
      <c r="T1826" s="29"/>
    </row>
    <row r="1827" ht="15.75" customHeight="1">
      <c r="A1827" s="120"/>
      <c r="B1827" s="120"/>
      <c r="Q1827" s="117"/>
      <c r="R1827" s="29"/>
      <c r="S1827" s="29"/>
      <c r="T1827" s="29"/>
    </row>
    <row r="1828" ht="15.75" customHeight="1">
      <c r="A1828" s="120"/>
      <c r="B1828" s="120"/>
      <c r="Q1828" s="117"/>
      <c r="R1828" s="29"/>
      <c r="S1828" s="29"/>
      <c r="T1828" s="29"/>
    </row>
    <row r="1829" ht="15.75" customHeight="1">
      <c r="A1829" s="120"/>
      <c r="B1829" s="120"/>
      <c r="Q1829" s="117"/>
      <c r="R1829" s="29"/>
      <c r="S1829" s="29"/>
      <c r="T1829" s="29"/>
    </row>
    <row r="1830" ht="15.75" customHeight="1">
      <c r="A1830" s="120"/>
      <c r="B1830" s="120"/>
      <c r="Q1830" s="117"/>
      <c r="R1830" s="29"/>
      <c r="S1830" s="29"/>
      <c r="T1830" s="29"/>
    </row>
    <row r="1831" ht="15.75" customHeight="1">
      <c r="A1831" s="120"/>
      <c r="B1831" s="120"/>
      <c r="Q1831" s="117"/>
      <c r="R1831" s="29"/>
      <c r="S1831" s="29"/>
      <c r="T1831" s="29"/>
    </row>
    <row r="1832" ht="15.75" customHeight="1">
      <c r="A1832" s="120"/>
      <c r="B1832" s="120"/>
      <c r="Q1832" s="117"/>
      <c r="R1832" s="29"/>
      <c r="S1832" s="29"/>
      <c r="T1832" s="29"/>
    </row>
    <row r="1833" ht="15.75" customHeight="1">
      <c r="A1833" s="120"/>
      <c r="B1833" s="120"/>
      <c r="Q1833" s="117"/>
      <c r="R1833" s="29"/>
      <c r="S1833" s="29"/>
      <c r="T1833" s="29"/>
    </row>
    <row r="1834" ht="15.75" customHeight="1">
      <c r="A1834" s="120"/>
      <c r="B1834" s="120"/>
      <c r="Q1834" s="117"/>
      <c r="R1834" s="29"/>
      <c r="S1834" s="29"/>
      <c r="T1834" s="29"/>
    </row>
    <row r="1835" ht="15.75" customHeight="1">
      <c r="A1835" s="120"/>
      <c r="B1835" s="120"/>
      <c r="Q1835" s="117"/>
      <c r="R1835" s="29"/>
      <c r="S1835" s="29"/>
      <c r="T1835" s="29"/>
    </row>
    <row r="1836" ht="15.75" customHeight="1">
      <c r="A1836" s="120"/>
      <c r="B1836" s="120"/>
      <c r="Q1836" s="117"/>
      <c r="R1836" s="29"/>
      <c r="S1836" s="29"/>
      <c r="T1836" s="29"/>
    </row>
    <row r="1837" ht="15.75" customHeight="1">
      <c r="A1837" s="120"/>
      <c r="B1837" s="120"/>
      <c r="Q1837" s="117"/>
      <c r="R1837" s="29"/>
      <c r="S1837" s="29"/>
      <c r="T1837" s="29"/>
    </row>
    <row r="1838" ht="15.75" customHeight="1">
      <c r="A1838" s="120"/>
      <c r="B1838" s="120"/>
      <c r="Q1838" s="117"/>
      <c r="R1838" s="29"/>
      <c r="S1838" s="29"/>
      <c r="T1838" s="29"/>
    </row>
    <row r="1839" ht="15.75" customHeight="1">
      <c r="A1839" s="120"/>
      <c r="B1839" s="120"/>
      <c r="Q1839" s="117"/>
      <c r="R1839" s="29"/>
      <c r="S1839" s="29"/>
      <c r="T1839" s="29"/>
    </row>
    <row r="1840" ht="15.75" customHeight="1">
      <c r="A1840" s="120"/>
      <c r="B1840" s="120"/>
      <c r="Q1840" s="117"/>
      <c r="R1840" s="29"/>
      <c r="S1840" s="29"/>
      <c r="T1840" s="29"/>
    </row>
    <row r="1841" ht="15.75" customHeight="1">
      <c r="A1841" s="120"/>
      <c r="B1841" s="120"/>
      <c r="Q1841" s="117"/>
      <c r="R1841" s="29"/>
      <c r="S1841" s="29"/>
      <c r="T1841" s="29"/>
    </row>
    <row r="1842" ht="15.75" customHeight="1">
      <c r="A1842" s="120"/>
      <c r="B1842" s="120"/>
      <c r="Q1842" s="117"/>
      <c r="R1842" s="29"/>
      <c r="S1842" s="29"/>
      <c r="T1842" s="29"/>
    </row>
    <row r="1843" ht="15.75" customHeight="1">
      <c r="A1843" s="120"/>
      <c r="B1843" s="120"/>
      <c r="Q1843" s="117"/>
      <c r="R1843" s="29"/>
      <c r="S1843" s="29"/>
      <c r="T1843" s="29"/>
    </row>
    <row r="1844" ht="15.75" customHeight="1">
      <c r="A1844" s="120"/>
      <c r="B1844" s="120"/>
      <c r="Q1844" s="117"/>
      <c r="R1844" s="29"/>
      <c r="S1844" s="29"/>
      <c r="T1844" s="29"/>
    </row>
    <row r="1845" ht="15.75" customHeight="1">
      <c r="A1845" s="120"/>
      <c r="B1845" s="120"/>
      <c r="Q1845" s="117"/>
      <c r="R1845" s="29"/>
      <c r="S1845" s="29"/>
      <c r="T1845" s="29"/>
    </row>
    <row r="1846" ht="15.75" customHeight="1">
      <c r="A1846" s="120"/>
      <c r="B1846" s="120"/>
      <c r="Q1846" s="117"/>
      <c r="R1846" s="29"/>
      <c r="S1846" s="29"/>
      <c r="T1846" s="29"/>
    </row>
    <row r="1847" ht="15.75" customHeight="1">
      <c r="A1847" s="120"/>
      <c r="B1847" s="120"/>
      <c r="Q1847" s="117"/>
      <c r="R1847" s="29"/>
      <c r="S1847" s="29"/>
      <c r="T1847" s="29"/>
    </row>
    <row r="1848" ht="15.75" customHeight="1">
      <c r="A1848" s="120"/>
      <c r="B1848" s="120"/>
      <c r="Q1848" s="117"/>
      <c r="R1848" s="29"/>
      <c r="S1848" s="29"/>
      <c r="T1848" s="29"/>
    </row>
    <row r="1849" ht="15.75" customHeight="1">
      <c r="A1849" s="120"/>
      <c r="B1849" s="120"/>
      <c r="Q1849" s="117"/>
      <c r="R1849" s="29"/>
      <c r="S1849" s="29"/>
      <c r="T1849" s="29"/>
    </row>
    <row r="1850" ht="15.75" customHeight="1">
      <c r="A1850" s="120"/>
      <c r="B1850" s="120"/>
      <c r="Q1850" s="117"/>
      <c r="R1850" s="29"/>
      <c r="S1850" s="29"/>
      <c r="T1850" s="29"/>
    </row>
    <row r="1851" ht="15.75" customHeight="1">
      <c r="A1851" s="120"/>
      <c r="B1851" s="120"/>
      <c r="Q1851" s="117"/>
      <c r="R1851" s="29"/>
      <c r="S1851" s="29"/>
      <c r="T1851" s="29"/>
    </row>
    <row r="1852" ht="15.75" customHeight="1">
      <c r="A1852" s="120"/>
      <c r="B1852" s="120"/>
      <c r="Q1852" s="117"/>
      <c r="R1852" s="29"/>
      <c r="S1852" s="29"/>
      <c r="T1852" s="29"/>
    </row>
    <row r="1853" ht="15.75" customHeight="1">
      <c r="A1853" s="120"/>
      <c r="B1853" s="120"/>
      <c r="Q1853" s="117"/>
      <c r="R1853" s="29"/>
      <c r="S1853" s="29"/>
      <c r="T1853" s="29"/>
    </row>
    <row r="1854" ht="15.75" customHeight="1">
      <c r="A1854" s="120"/>
      <c r="B1854" s="120"/>
      <c r="Q1854" s="117"/>
      <c r="R1854" s="29"/>
      <c r="S1854" s="29"/>
      <c r="T1854" s="29"/>
    </row>
    <row r="1855" ht="15.75" customHeight="1">
      <c r="A1855" s="120"/>
      <c r="B1855" s="120"/>
      <c r="Q1855" s="117"/>
      <c r="R1855" s="29"/>
      <c r="S1855" s="29"/>
      <c r="T1855" s="29"/>
    </row>
    <row r="1856" ht="15.75" customHeight="1">
      <c r="A1856" s="120"/>
      <c r="B1856" s="120"/>
      <c r="Q1856" s="117"/>
      <c r="R1856" s="29"/>
      <c r="S1856" s="29"/>
      <c r="T1856" s="29"/>
    </row>
    <row r="1857" ht="15.75" customHeight="1">
      <c r="A1857" s="120"/>
      <c r="B1857" s="120"/>
      <c r="Q1857" s="117"/>
      <c r="R1857" s="29"/>
      <c r="S1857" s="29"/>
      <c r="T1857" s="29"/>
    </row>
    <row r="1858" ht="15.75" customHeight="1">
      <c r="A1858" s="120"/>
      <c r="B1858" s="120"/>
      <c r="Q1858" s="117"/>
      <c r="R1858" s="29"/>
      <c r="S1858" s="29"/>
      <c r="T1858" s="29"/>
    </row>
    <row r="1859" ht="15.75" customHeight="1">
      <c r="A1859" s="120"/>
      <c r="B1859" s="120"/>
      <c r="Q1859" s="117"/>
      <c r="R1859" s="29"/>
      <c r="S1859" s="29"/>
      <c r="T1859" s="29"/>
    </row>
    <row r="1860" ht="15.75" customHeight="1">
      <c r="A1860" s="120"/>
      <c r="B1860" s="120"/>
      <c r="Q1860" s="117"/>
      <c r="R1860" s="29"/>
      <c r="S1860" s="29"/>
      <c r="T1860" s="29"/>
    </row>
    <row r="1861" ht="15.75" customHeight="1">
      <c r="A1861" s="120"/>
      <c r="B1861" s="120"/>
      <c r="Q1861" s="117"/>
      <c r="R1861" s="29"/>
      <c r="S1861" s="29"/>
      <c r="T1861" s="29"/>
    </row>
    <row r="1862" ht="15.75" customHeight="1">
      <c r="A1862" s="120"/>
      <c r="B1862" s="120"/>
      <c r="Q1862" s="117"/>
      <c r="R1862" s="29"/>
      <c r="S1862" s="29"/>
      <c r="T1862" s="29"/>
    </row>
    <row r="1863" ht="15.75" customHeight="1">
      <c r="A1863" s="120"/>
      <c r="B1863" s="120"/>
      <c r="Q1863" s="117"/>
      <c r="R1863" s="29"/>
      <c r="S1863" s="29"/>
      <c r="T1863" s="29"/>
    </row>
    <row r="1864" ht="15.75" customHeight="1">
      <c r="A1864" s="120"/>
      <c r="B1864" s="120"/>
      <c r="Q1864" s="117"/>
      <c r="R1864" s="29"/>
      <c r="S1864" s="29"/>
      <c r="T1864" s="29"/>
    </row>
    <row r="1865" ht="15.75" customHeight="1">
      <c r="A1865" s="120"/>
      <c r="B1865" s="120"/>
      <c r="Q1865" s="117"/>
      <c r="R1865" s="29"/>
      <c r="S1865" s="29"/>
      <c r="T1865" s="29"/>
    </row>
    <row r="1866" ht="15.75" customHeight="1">
      <c r="A1866" s="120"/>
      <c r="B1866" s="120"/>
      <c r="Q1866" s="117"/>
      <c r="R1866" s="29"/>
      <c r="S1866" s="29"/>
      <c r="T1866" s="29"/>
    </row>
    <row r="1867" ht="15.75" customHeight="1">
      <c r="A1867" s="120"/>
      <c r="B1867" s="120"/>
      <c r="Q1867" s="117"/>
      <c r="R1867" s="29"/>
      <c r="S1867" s="29"/>
      <c r="T1867" s="29"/>
    </row>
    <row r="1868" ht="15.75" customHeight="1">
      <c r="A1868" s="120"/>
      <c r="B1868" s="120"/>
      <c r="Q1868" s="117"/>
      <c r="R1868" s="29"/>
      <c r="S1868" s="29"/>
      <c r="T1868" s="29"/>
    </row>
    <row r="1869" ht="15.75" customHeight="1">
      <c r="A1869" s="120"/>
      <c r="B1869" s="120"/>
      <c r="Q1869" s="117"/>
      <c r="R1869" s="29"/>
      <c r="S1869" s="29"/>
      <c r="T1869" s="29"/>
    </row>
    <row r="1870" ht="15.75" customHeight="1">
      <c r="A1870" s="120"/>
      <c r="B1870" s="120"/>
      <c r="Q1870" s="117"/>
      <c r="R1870" s="29"/>
      <c r="S1870" s="29"/>
      <c r="T1870" s="29"/>
    </row>
    <row r="1871" ht="15.75" customHeight="1">
      <c r="A1871" s="120"/>
      <c r="B1871" s="120"/>
      <c r="Q1871" s="117"/>
      <c r="R1871" s="29"/>
      <c r="S1871" s="29"/>
      <c r="T1871" s="29"/>
    </row>
    <row r="1872" ht="15.75" customHeight="1">
      <c r="A1872" s="120"/>
      <c r="B1872" s="120"/>
      <c r="Q1872" s="117"/>
      <c r="R1872" s="29"/>
      <c r="S1872" s="29"/>
      <c r="T1872" s="29"/>
    </row>
    <row r="1873" ht="15.75" customHeight="1">
      <c r="A1873" s="120"/>
      <c r="B1873" s="120"/>
      <c r="Q1873" s="117"/>
      <c r="R1873" s="29"/>
      <c r="S1873" s="29"/>
      <c r="T1873" s="29"/>
    </row>
    <row r="1874" ht="15.75" customHeight="1">
      <c r="A1874" s="120"/>
      <c r="B1874" s="120"/>
      <c r="Q1874" s="117"/>
      <c r="R1874" s="29"/>
      <c r="S1874" s="29"/>
      <c r="T1874" s="29"/>
    </row>
    <row r="1875" ht="15.75" customHeight="1">
      <c r="A1875" s="120"/>
      <c r="B1875" s="120"/>
      <c r="Q1875" s="117"/>
      <c r="R1875" s="29"/>
      <c r="S1875" s="29"/>
      <c r="T1875" s="29"/>
    </row>
    <row r="1876" ht="15.75" customHeight="1">
      <c r="A1876" s="120"/>
      <c r="B1876" s="120"/>
      <c r="Q1876" s="117"/>
      <c r="R1876" s="29"/>
      <c r="S1876" s="29"/>
      <c r="T1876" s="29"/>
    </row>
    <row r="1877" ht="15.75" customHeight="1">
      <c r="A1877" s="120"/>
      <c r="B1877" s="120"/>
      <c r="Q1877" s="117"/>
      <c r="R1877" s="29"/>
      <c r="S1877" s="29"/>
      <c r="T1877" s="29"/>
    </row>
    <row r="1878" ht="15.75" customHeight="1">
      <c r="A1878" s="120"/>
      <c r="B1878" s="120"/>
      <c r="Q1878" s="117"/>
      <c r="R1878" s="29"/>
      <c r="S1878" s="29"/>
      <c r="T1878" s="29"/>
    </row>
    <row r="1879" ht="15.75" customHeight="1">
      <c r="A1879" s="120"/>
      <c r="B1879" s="120"/>
      <c r="Q1879" s="117"/>
      <c r="R1879" s="29"/>
      <c r="S1879" s="29"/>
      <c r="T1879" s="29"/>
    </row>
    <row r="1880" ht="15.75" customHeight="1">
      <c r="A1880" s="120"/>
      <c r="B1880" s="120"/>
      <c r="Q1880" s="117"/>
      <c r="R1880" s="29"/>
      <c r="S1880" s="29"/>
      <c r="T1880" s="29"/>
    </row>
    <row r="1881" ht="15.75" customHeight="1">
      <c r="A1881" s="120"/>
      <c r="B1881" s="120"/>
      <c r="Q1881" s="117"/>
      <c r="R1881" s="29"/>
      <c r="S1881" s="29"/>
      <c r="T1881" s="29"/>
    </row>
    <row r="1882" ht="15.75" customHeight="1">
      <c r="A1882" s="120"/>
      <c r="B1882" s="120"/>
      <c r="Q1882" s="117"/>
      <c r="R1882" s="29"/>
      <c r="S1882" s="29"/>
      <c r="T1882" s="29"/>
    </row>
    <row r="1883" ht="15.75" customHeight="1">
      <c r="A1883" s="120"/>
      <c r="B1883" s="120"/>
      <c r="Q1883" s="117"/>
      <c r="R1883" s="29"/>
      <c r="S1883" s="29"/>
      <c r="T1883" s="29"/>
    </row>
    <row r="1884" ht="15.75" customHeight="1">
      <c r="A1884" s="120"/>
      <c r="B1884" s="120"/>
      <c r="Q1884" s="117"/>
      <c r="R1884" s="29"/>
      <c r="S1884" s="29"/>
      <c r="T1884" s="29"/>
    </row>
    <row r="1885" ht="15.75" customHeight="1">
      <c r="A1885" s="120"/>
      <c r="B1885" s="120"/>
      <c r="Q1885" s="117"/>
      <c r="R1885" s="29"/>
      <c r="S1885" s="29"/>
      <c r="T1885" s="29"/>
    </row>
    <row r="1886" ht="15.75" customHeight="1">
      <c r="A1886" s="120"/>
      <c r="B1886" s="120"/>
      <c r="Q1886" s="117"/>
      <c r="R1886" s="29"/>
      <c r="S1886" s="29"/>
      <c r="T1886" s="29"/>
    </row>
    <row r="1887" ht="15.75" customHeight="1">
      <c r="A1887" s="120"/>
      <c r="B1887" s="120"/>
      <c r="Q1887" s="117"/>
      <c r="R1887" s="29"/>
      <c r="S1887" s="29"/>
      <c r="T1887" s="29"/>
    </row>
    <row r="1888" ht="15.75" customHeight="1">
      <c r="A1888" s="120"/>
      <c r="B1888" s="120"/>
      <c r="Q1888" s="117"/>
      <c r="R1888" s="29"/>
      <c r="S1888" s="29"/>
      <c r="T1888" s="29"/>
    </row>
    <row r="1889" ht="15.75" customHeight="1">
      <c r="A1889" s="120"/>
      <c r="B1889" s="120"/>
      <c r="Q1889" s="117"/>
      <c r="R1889" s="29"/>
      <c r="S1889" s="29"/>
      <c r="T1889" s="29"/>
    </row>
    <row r="1890" ht="15.75" customHeight="1">
      <c r="A1890" s="120"/>
      <c r="B1890" s="120"/>
      <c r="Q1890" s="117"/>
      <c r="R1890" s="29"/>
      <c r="S1890" s="29"/>
      <c r="T1890" s="29"/>
    </row>
    <row r="1891" ht="15.75" customHeight="1">
      <c r="A1891" s="120"/>
      <c r="B1891" s="120"/>
      <c r="Q1891" s="117"/>
      <c r="R1891" s="29"/>
      <c r="S1891" s="29"/>
      <c r="T1891" s="29"/>
    </row>
    <row r="1892" ht="15.75" customHeight="1">
      <c r="A1892" s="120"/>
      <c r="B1892" s="120"/>
      <c r="Q1892" s="117"/>
      <c r="R1892" s="29"/>
      <c r="S1892" s="29"/>
      <c r="T1892" s="29"/>
    </row>
    <row r="1893" ht="15.75" customHeight="1">
      <c r="A1893" s="120"/>
      <c r="B1893" s="120"/>
      <c r="Q1893" s="117"/>
      <c r="R1893" s="29"/>
      <c r="S1893" s="29"/>
      <c r="T1893" s="29"/>
    </row>
    <row r="1894" ht="15.75" customHeight="1">
      <c r="A1894" s="120"/>
      <c r="B1894" s="120"/>
      <c r="Q1894" s="117"/>
      <c r="R1894" s="29"/>
      <c r="S1894" s="29"/>
      <c r="T1894" s="29"/>
    </row>
    <row r="1895" ht="15.75" customHeight="1">
      <c r="A1895" s="120"/>
      <c r="B1895" s="120"/>
      <c r="Q1895" s="117"/>
      <c r="R1895" s="29"/>
      <c r="S1895" s="29"/>
      <c r="T1895" s="29"/>
    </row>
    <row r="1896" ht="15.75" customHeight="1">
      <c r="A1896" s="120"/>
      <c r="B1896" s="120"/>
      <c r="Q1896" s="117"/>
      <c r="R1896" s="29"/>
      <c r="S1896" s="29"/>
      <c r="T1896" s="29"/>
    </row>
    <row r="1897" ht="15.75" customHeight="1">
      <c r="A1897" s="120"/>
      <c r="B1897" s="120"/>
      <c r="Q1897" s="117"/>
      <c r="R1897" s="29"/>
      <c r="S1897" s="29"/>
      <c r="T1897" s="29"/>
    </row>
    <row r="1898" ht="15.75" customHeight="1">
      <c r="A1898" s="120"/>
      <c r="B1898" s="120"/>
      <c r="Q1898" s="117"/>
      <c r="R1898" s="29"/>
      <c r="S1898" s="29"/>
      <c r="T1898" s="29"/>
    </row>
    <row r="1899" ht="15.75" customHeight="1">
      <c r="A1899" s="120"/>
      <c r="B1899" s="120"/>
      <c r="Q1899" s="117"/>
      <c r="R1899" s="29"/>
      <c r="S1899" s="29"/>
      <c r="T1899" s="29"/>
    </row>
    <row r="1900" ht="15.75" customHeight="1">
      <c r="A1900" s="120"/>
      <c r="B1900" s="120"/>
      <c r="Q1900" s="117"/>
      <c r="R1900" s="29"/>
      <c r="S1900" s="29"/>
      <c r="T1900" s="29"/>
    </row>
    <row r="1901" ht="15.75" customHeight="1">
      <c r="A1901" s="120"/>
      <c r="B1901" s="120"/>
      <c r="Q1901" s="117"/>
      <c r="R1901" s="29"/>
      <c r="S1901" s="29"/>
      <c r="T1901" s="29"/>
    </row>
    <row r="1902" ht="15.75" customHeight="1">
      <c r="A1902" s="120"/>
      <c r="B1902" s="120"/>
      <c r="Q1902" s="117"/>
      <c r="R1902" s="29"/>
      <c r="S1902" s="29"/>
      <c r="T1902" s="29"/>
    </row>
    <row r="1903" ht="15.75" customHeight="1">
      <c r="A1903" s="120"/>
      <c r="B1903" s="120"/>
      <c r="Q1903" s="117"/>
      <c r="R1903" s="29"/>
      <c r="S1903" s="29"/>
      <c r="T1903" s="29"/>
    </row>
    <row r="1904" ht="15.75" customHeight="1">
      <c r="A1904" s="120"/>
      <c r="B1904" s="120"/>
      <c r="Q1904" s="117"/>
      <c r="R1904" s="29"/>
      <c r="S1904" s="29"/>
      <c r="T1904" s="29"/>
    </row>
    <row r="1905" ht="15.75" customHeight="1">
      <c r="A1905" s="120"/>
      <c r="B1905" s="120"/>
      <c r="Q1905" s="117"/>
      <c r="R1905" s="29"/>
      <c r="S1905" s="29"/>
      <c r="T1905" s="29"/>
    </row>
    <row r="1906" ht="15.75" customHeight="1">
      <c r="A1906" s="120"/>
      <c r="B1906" s="120"/>
      <c r="Q1906" s="117"/>
      <c r="R1906" s="29"/>
      <c r="S1906" s="29"/>
      <c r="T1906" s="29"/>
    </row>
    <row r="1907" ht="15.75" customHeight="1">
      <c r="A1907" s="120"/>
      <c r="B1907" s="120"/>
      <c r="Q1907" s="117"/>
      <c r="R1907" s="29"/>
      <c r="S1907" s="29"/>
      <c r="T1907" s="29"/>
    </row>
    <row r="1908" ht="15.75" customHeight="1">
      <c r="A1908" s="120"/>
      <c r="B1908" s="120"/>
      <c r="Q1908" s="117"/>
      <c r="R1908" s="29"/>
      <c r="S1908" s="29"/>
      <c r="T1908" s="29"/>
    </row>
    <row r="1909" ht="15.75" customHeight="1">
      <c r="A1909" s="120"/>
      <c r="B1909" s="120"/>
      <c r="Q1909" s="117"/>
      <c r="R1909" s="29"/>
      <c r="S1909" s="29"/>
      <c r="T1909" s="29"/>
    </row>
    <row r="1910" ht="15.75" customHeight="1">
      <c r="A1910" s="120"/>
      <c r="B1910" s="120"/>
      <c r="Q1910" s="117"/>
      <c r="R1910" s="29"/>
      <c r="S1910" s="29"/>
      <c r="T1910" s="29"/>
    </row>
    <row r="1911" ht="15.75" customHeight="1">
      <c r="A1911" s="120"/>
      <c r="B1911" s="120"/>
      <c r="Q1911" s="117"/>
      <c r="R1911" s="29"/>
      <c r="S1911" s="29"/>
      <c r="T1911" s="29"/>
    </row>
    <row r="1912" ht="15.75" customHeight="1">
      <c r="A1912" s="120"/>
      <c r="B1912" s="120"/>
      <c r="Q1912" s="117"/>
      <c r="R1912" s="29"/>
      <c r="S1912" s="29"/>
      <c r="T1912" s="29"/>
    </row>
    <row r="1913" ht="15.75" customHeight="1">
      <c r="A1913" s="120"/>
      <c r="B1913" s="120"/>
      <c r="Q1913" s="117"/>
      <c r="R1913" s="29"/>
      <c r="S1913" s="29"/>
      <c r="T1913" s="29"/>
    </row>
    <row r="1914" ht="15.75" customHeight="1">
      <c r="A1914" s="120"/>
      <c r="B1914" s="120"/>
      <c r="Q1914" s="117"/>
      <c r="R1914" s="29"/>
      <c r="S1914" s="29"/>
      <c r="T1914" s="29"/>
    </row>
    <row r="1915" ht="15.75" customHeight="1">
      <c r="A1915" s="120"/>
      <c r="B1915" s="120"/>
      <c r="Q1915" s="117"/>
      <c r="R1915" s="29"/>
      <c r="S1915" s="29"/>
      <c r="T1915" s="29"/>
    </row>
    <row r="1916" ht="15.75" customHeight="1">
      <c r="A1916" s="120"/>
      <c r="B1916" s="120"/>
      <c r="Q1916" s="117"/>
      <c r="R1916" s="29"/>
      <c r="S1916" s="29"/>
      <c r="T1916" s="29"/>
    </row>
    <row r="1917" ht="15.75" customHeight="1">
      <c r="A1917" s="120"/>
      <c r="B1917" s="120"/>
      <c r="Q1917" s="117"/>
      <c r="R1917" s="29"/>
      <c r="S1917" s="29"/>
      <c r="T1917" s="29"/>
    </row>
    <row r="1918" ht="15.75" customHeight="1">
      <c r="A1918" s="120"/>
      <c r="B1918" s="120"/>
      <c r="Q1918" s="117"/>
      <c r="R1918" s="29"/>
      <c r="S1918" s="29"/>
      <c r="T1918" s="29"/>
    </row>
    <row r="1919" ht="15.75" customHeight="1">
      <c r="A1919" s="120"/>
      <c r="B1919" s="120"/>
      <c r="Q1919" s="117"/>
      <c r="R1919" s="29"/>
      <c r="S1919" s="29"/>
      <c r="T1919" s="29"/>
    </row>
    <row r="1920" ht="15.75" customHeight="1">
      <c r="A1920" s="120"/>
      <c r="B1920" s="120"/>
      <c r="Q1920" s="117"/>
      <c r="R1920" s="29"/>
      <c r="S1920" s="29"/>
      <c r="T1920" s="29"/>
    </row>
    <row r="1921" ht="15.75" customHeight="1">
      <c r="A1921" s="120"/>
      <c r="B1921" s="120"/>
      <c r="Q1921" s="117"/>
      <c r="R1921" s="29"/>
      <c r="S1921" s="29"/>
      <c r="T1921" s="29"/>
    </row>
    <row r="1922" ht="15.75" customHeight="1">
      <c r="A1922" s="120"/>
      <c r="B1922" s="120"/>
      <c r="Q1922" s="117"/>
      <c r="R1922" s="29"/>
      <c r="S1922" s="29"/>
      <c r="T1922" s="29"/>
    </row>
    <row r="1923" ht="15.75" customHeight="1">
      <c r="A1923" s="120"/>
      <c r="B1923" s="120"/>
      <c r="Q1923" s="117"/>
      <c r="R1923" s="29"/>
      <c r="S1923" s="29"/>
      <c r="T1923" s="29"/>
    </row>
    <row r="1924" ht="15.75" customHeight="1">
      <c r="A1924" s="120"/>
      <c r="B1924" s="120"/>
      <c r="Q1924" s="117"/>
      <c r="R1924" s="29"/>
      <c r="S1924" s="29"/>
      <c r="T1924" s="29"/>
    </row>
    <row r="1925" ht="15.75" customHeight="1">
      <c r="A1925" s="120"/>
      <c r="B1925" s="120"/>
      <c r="Q1925" s="117"/>
      <c r="R1925" s="29"/>
      <c r="S1925" s="29"/>
      <c r="T1925" s="29"/>
    </row>
    <row r="1926" ht="15.75" customHeight="1">
      <c r="A1926" s="120"/>
      <c r="B1926" s="120"/>
      <c r="Q1926" s="117"/>
      <c r="R1926" s="29"/>
      <c r="S1926" s="29"/>
      <c r="T1926" s="29"/>
    </row>
    <row r="1927" ht="15.75" customHeight="1">
      <c r="A1927" s="120"/>
      <c r="B1927" s="120"/>
      <c r="Q1927" s="117"/>
      <c r="R1927" s="29"/>
      <c r="S1927" s="29"/>
      <c r="T1927" s="29"/>
    </row>
    <row r="1928" ht="15.75" customHeight="1">
      <c r="A1928" s="120"/>
      <c r="B1928" s="120"/>
      <c r="Q1928" s="117"/>
      <c r="R1928" s="29"/>
      <c r="S1928" s="29"/>
      <c r="T1928" s="29"/>
    </row>
    <row r="1929" ht="15.75" customHeight="1">
      <c r="A1929" s="120"/>
      <c r="B1929" s="120"/>
      <c r="Q1929" s="117"/>
      <c r="R1929" s="29"/>
      <c r="S1929" s="29"/>
      <c r="T1929" s="29"/>
    </row>
    <row r="1930" ht="15.75" customHeight="1">
      <c r="A1930" s="120"/>
      <c r="B1930" s="120"/>
      <c r="Q1930" s="117"/>
      <c r="R1930" s="29"/>
      <c r="S1930" s="29"/>
      <c r="T1930" s="29"/>
    </row>
    <row r="1931" ht="15.75" customHeight="1">
      <c r="A1931" s="120"/>
      <c r="B1931" s="120"/>
      <c r="Q1931" s="117"/>
      <c r="R1931" s="29"/>
      <c r="S1931" s="29"/>
      <c r="T1931" s="29"/>
    </row>
    <row r="1932" ht="15.75" customHeight="1">
      <c r="A1932" s="120"/>
      <c r="B1932" s="120"/>
      <c r="Q1932" s="117"/>
      <c r="R1932" s="29"/>
      <c r="S1932" s="29"/>
      <c r="T1932" s="29"/>
    </row>
    <row r="1933" ht="15.75" customHeight="1">
      <c r="A1933" s="120"/>
      <c r="B1933" s="120"/>
      <c r="Q1933" s="117"/>
      <c r="R1933" s="29"/>
      <c r="S1933" s="29"/>
      <c r="T1933" s="29"/>
    </row>
    <row r="1934" ht="15.75" customHeight="1">
      <c r="A1934" s="120"/>
      <c r="B1934" s="120"/>
      <c r="Q1934" s="117"/>
      <c r="R1934" s="29"/>
      <c r="S1934" s="29"/>
      <c r="T1934" s="29"/>
    </row>
    <row r="1935" ht="15.75" customHeight="1">
      <c r="A1935" s="120"/>
      <c r="B1935" s="120"/>
      <c r="Q1935" s="117"/>
      <c r="R1935" s="29"/>
      <c r="S1935" s="29"/>
      <c r="T1935" s="29"/>
    </row>
    <row r="1936" ht="15.75" customHeight="1">
      <c r="A1936" s="120"/>
      <c r="B1936" s="120"/>
      <c r="Q1936" s="117"/>
      <c r="R1936" s="29"/>
      <c r="S1936" s="29"/>
      <c r="T1936" s="29"/>
    </row>
    <row r="1937" ht="15.75" customHeight="1">
      <c r="A1937" s="120"/>
      <c r="B1937" s="120"/>
      <c r="Q1937" s="117"/>
      <c r="R1937" s="29"/>
      <c r="S1937" s="29"/>
      <c r="T1937" s="29"/>
    </row>
    <row r="1938" ht="15.75" customHeight="1">
      <c r="A1938" s="120"/>
      <c r="B1938" s="120"/>
      <c r="Q1938" s="117"/>
      <c r="R1938" s="29"/>
      <c r="S1938" s="29"/>
      <c r="T1938" s="29"/>
    </row>
    <row r="1939" ht="15.75" customHeight="1">
      <c r="A1939" s="120"/>
      <c r="B1939" s="120"/>
      <c r="Q1939" s="117"/>
      <c r="R1939" s="29"/>
      <c r="S1939" s="29"/>
      <c r="T1939" s="29"/>
    </row>
    <row r="1940" ht="15.75" customHeight="1">
      <c r="A1940" s="120"/>
      <c r="B1940" s="120"/>
      <c r="Q1940" s="117"/>
      <c r="R1940" s="29"/>
      <c r="S1940" s="29"/>
      <c r="T1940" s="29"/>
    </row>
    <row r="1941" ht="15.75" customHeight="1">
      <c r="A1941" s="120"/>
      <c r="B1941" s="120"/>
      <c r="Q1941" s="117"/>
      <c r="R1941" s="29"/>
      <c r="S1941" s="29"/>
      <c r="T1941" s="29"/>
    </row>
    <row r="1942" ht="15.75" customHeight="1">
      <c r="A1942" s="120"/>
      <c r="B1942" s="120"/>
      <c r="Q1942" s="117"/>
      <c r="R1942" s="29"/>
      <c r="S1942" s="29"/>
      <c r="T1942" s="29"/>
    </row>
    <row r="1943" ht="15.75" customHeight="1">
      <c r="A1943" s="120"/>
      <c r="B1943" s="120"/>
      <c r="Q1943" s="117"/>
      <c r="R1943" s="29"/>
      <c r="S1943" s="29"/>
      <c r="T1943" s="29"/>
    </row>
    <row r="1944" ht="15.75" customHeight="1">
      <c r="A1944" s="120"/>
      <c r="B1944" s="120"/>
      <c r="Q1944" s="117"/>
      <c r="R1944" s="29"/>
      <c r="S1944" s="29"/>
      <c r="T1944" s="29"/>
    </row>
    <row r="1945" ht="15.75" customHeight="1">
      <c r="A1945" s="120"/>
      <c r="B1945" s="120"/>
      <c r="Q1945" s="117"/>
      <c r="R1945" s="29"/>
      <c r="S1945" s="29"/>
      <c r="T1945" s="29"/>
    </row>
    <row r="1946" ht="15.75" customHeight="1">
      <c r="A1946" s="120"/>
      <c r="B1946" s="120"/>
      <c r="Q1946" s="117"/>
      <c r="R1946" s="29"/>
      <c r="S1946" s="29"/>
      <c r="T1946" s="29"/>
    </row>
    <row r="1947" ht="15.75" customHeight="1">
      <c r="A1947" s="120"/>
      <c r="B1947" s="120"/>
      <c r="Q1947" s="117"/>
      <c r="R1947" s="29"/>
      <c r="S1947" s="29"/>
      <c r="T1947" s="29"/>
    </row>
    <row r="1948" ht="15.75" customHeight="1">
      <c r="A1948" s="120"/>
      <c r="B1948" s="120"/>
      <c r="Q1948" s="117"/>
      <c r="R1948" s="29"/>
      <c r="S1948" s="29"/>
      <c r="T1948" s="29"/>
    </row>
    <row r="1949" ht="15.75" customHeight="1">
      <c r="A1949" s="120"/>
      <c r="B1949" s="120"/>
      <c r="Q1949" s="117"/>
      <c r="R1949" s="29"/>
      <c r="S1949" s="29"/>
      <c r="T1949" s="29"/>
    </row>
    <row r="1950" ht="15.75" customHeight="1">
      <c r="A1950" s="120"/>
      <c r="B1950" s="120"/>
      <c r="Q1950" s="117"/>
      <c r="R1950" s="29"/>
      <c r="S1950" s="29"/>
      <c r="T1950" s="29"/>
    </row>
    <row r="1951" ht="15.75" customHeight="1">
      <c r="A1951" s="120"/>
      <c r="B1951" s="120"/>
      <c r="Q1951" s="117"/>
      <c r="R1951" s="29"/>
      <c r="S1951" s="29"/>
      <c r="T1951" s="29"/>
    </row>
    <row r="1952" ht="15.75" customHeight="1">
      <c r="A1952" s="120"/>
      <c r="B1952" s="120"/>
      <c r="Q1952" s="117"/>
      <c r="R1952" s="29"/>
      <c r="S1952" s="29"/>
      <c r="T1952" s="29"/>
    </row>
    <row r="1953" ht="15.75" customHeight="1">
      <c r="A1953" s="120"/>
      <c r="B1953" s="120"/>
      <c r="Q1953" s="117"/>
      <c r="R1953" s="29"/>
      <c r="S1953" s="29"/>
      <c r="T1953" s="29"/>
    </row>
    <row r="1954" ht="15.75" customHeight="1">
      <c r="A1954" s="120"/>
      <c r="B1954" s="120"/>
      <c r="Q1954" s="117"/>
      <c r="R1954" s="29"/>
      <c r="S1954" s="29"/>
      <c r="T1954" s="29"/>
    </row>
    <row r="1955" ht="15.75" customHeight="1">
      <c r="A1955" s="120"/>
      <c r="B1955" s="120"/>
      <c r="Q1955" s="117"/>
      <c r="R1955" s="29"/>
      <c r="S1955" s="29"/>
      <c r="T1955" s="29"/>
    </row>
    <row r="1956" ht="15.75" customHeight="1">
      <c r="A1956" s="120"/>
      <c r="B1956" s="120"/>
      <c r="Q1956" s="117"/>
      <c r="R1956" s="29"/>
      <c r="S1956" s="29"/>
      <c r="T1956" s="29"/>
    </row>
    <row r="1957" ht="15.75" customHeight="1">
      <c r="A1957" s="120"/>
      <c r="B1957" s="120"/>
      <c r="Q1957" s="117"/>
      <c r="R1957" s="29"/>
      <c r="S1957" s="29"/>
      <c r="T1957" s="29"/>
    </row>
    <row r="1958" ht="15.75" customHeight="1">
      <c r="A1958" s="120"/>
      <c r="B1958" s="120"/>
      <c r="Q1958" s="117"/>
      <c r="R1958" s="29"/>
      <c r="S1958" s="29"/>
      <c r="T1958" s="29"/>
    </row>
    <row r="1959" ht="15.75" customHeight="1">
      <c r="A1959" s="120"/>
      <c r="B1959" s="120"/>
      <c r="Q1959" s="117"/>
      <c r="R1959" s="29"/>
      <c r="S1959" s="29"/>
      <c r="T1959" s="29"/>
    </row>
    <row r="1960" ht="15.75" customHeight="1">
      <c r="A1960" s="120"/>
      <c r="B1960" s="120"/>
      <c r="Q1960" s="117"/>
      <c r="R1960" s="29"/>
      <c r="S1960" s="29"/>
      <c r="T1960" s="29"/>
    </row>
    <row r="1961" ht="15.75" customHeight="1">
      <c r="A1961" s="120"/>
      <c r="B1961" s="120"/>
      <c r="Q1961" s="117"/>
      <c r="R1961" s="29"/>
      <c r="S1961" s="29"/>
      <c r="T1961" s="29"/>
    </row>
    <row r="1962" ht="15.75" customHeight="1">
      <c r="A1962" s="120"/>
      <c r="B1962" s="120"/>
      <c r="Q1962" s="117"/>
      <c r="R1962" s="29"/>
      <c r="S1962" s="29"/>
      <c r="T1962" s="29"/>
    </row>
    <row r="1963" ht="15.75" customHeight="1">
      <c r="A1963" s="120"/>
      <c r="B1963" s="120"/>
      <c r="Q1963" s="117"/>
      <c r="R1963" s="29"/>
      <c r="S1963" s="29"/>
      <c r="T1963" s="29"/>
    </row>
    <row r="1964" ht="15.75" customHeight="1">
      <c r="A1964" s="120"/>
      <c r="B1964" s="120"/>
      <c r="Q1964" s="117"/>
      <c r="R1964" s="29"/>
      <c r="S1964" s="29"/>
      <c r="T1964" s="29"/>
    </row>
    <row r="1965" ht="15.75" customHeight="1">
      <c r="A1965" s="120"/>
      <c r="B1965" s="120"/>
      <c r="Q1965" s="117"/>
      <c r="R1965" s="29"/>
      <c r="S1965" s="29"/>
      <c r="T1965" s="29"/>
    </row>
    <row r="1966" ht="15.75" customHeight="1">
      <c r="A1966" s="120"/>
      <c r="B1966" s="120"/>
      <c r="Q1966" s="117"/>
      <c r="R1966" s="29"/>
      <c r="S1966" s="29"/>
      <c r="T1966" s="29"/>
    </row>
    <row r="1967" ht="15.75" customHeight="1">
      <c r="A1967" s="120"/>
      <c r="B1967" s="120"/>
      <c r="Q1967" s="117"/>
      <c r="R1967" s="29"/>
      <c r="S1967" s="29"/>
      <c r="T1967" s="29"/>
    </row>
    <row r="1968" ht="15.75" customHeight="1">
      <c r="A1968" s="120"/>
      <c r="B1968" s="120"/>
      <c r="Q1968" s="117"/>
      <c r="R1968" s="29"/>
      <c r="S1968" s="29"/>
      <c r="T1968" s="29"/>
    </row>
    <row r="1969" ht="15.75" customHeight="1">
      <c r="A1969" s="120"/>
      <c r="B1969" s="120"/>
      <c r="Q1969" s="117"/>
      <c r="R1969" s="29"/>
      <c r="S1969" s="29"/>
      <c r="T1969" s="29"/>
    </row>
    <row r="1970" ht="15.75" customHeight="1">
      <c r="A1970" s="120"/>
      <c r="B1970" s="120"/>
      <c r="Q1970" s="117"/>
      <c r="R1970" s="29"/>
      <c r="S1970" s="29"/>
      <c r="T1970" s="29"/>
    </row>
    <row r="1971" ht="15.75" customHeight="1">
      <c r="A1971" s="120"/>
      <c r="B1971" s="120"/>
      <c r="Q1971" s="117"/>
      <c r="R1971" s="29"/>
      <c r="S1971" s="29"/>
      <c r="T1971" s="29"/>
    </row>
    <row r="1972" ht="15.75" customHeight="1">
      <c r="A1972" s="120"/>
      <c r="B1972" s="120"/>
      <c r="Q1972" s="117"/>
      <c r="R1972" s="29"/>
      <c r="S1972" s="29"/>
      <c r="T1972" s="29"/>
    </row>
    <row r="1973" ht="15.75" customHeight="1">
      <c r="A1973" s="120"/>
      <c r="B1973" s="120"/>
      <c r="Q1973" s="117"/>
      <c r="R1973" s="29"/>
      <c r="S1973" s="29"/>
      <c r="T1973" s="29"/>
    </row>
    <row r="1974" ht="15.75" customHeight="1">
      <c r="A1974" s="120"/>
      <c r="B1974" s="120"/>
      <c r="Q1974" s="117"/>
      <c r="R1974" s="29"/>
      <c r="S1974" s="29"/>
      <c r="T1974" s="29"/>
    </row>
    <row r="1975" ht="15.75" customHeight="1">
      <c r="A1975" s="120"/>
      <c r="B1975" s="120"/>
      <c r="Q1975" s="117"/>
      <c r="R1975" s="29"/>
      <c r="S1975" s="29"/>
      <c r="T1975" s="29"/>
    </row>
    <row r="1976" ht="15.75" customHeight="1">
      <c r="A1976" s="120"/>
      <c r="B1976" s="120"/>
      <c r="Q1976" s="117"/>
      <c r="R1976" s="29"/>
      <c r="S1976" s="29"/>
      <c r="T1976" s="29"/>
    </row>
    <row r="1977" ht="15.75" customHeight="1">
      <c r="A1977" s="120"/>
      <c r="B1977" s="120"/>
      <c r="Q1977" s="117"/>
      <c r="R1977" s="29"/>
      <c r="S1977" s="29"/>
      <c r="T1977" s="29"/>
    </row>
    <row r="1978" ht="15.75" customHeight="1">
      <c r="A1978" s="120"/>
      <c r="B1978" s="120"/>
      <c r="Q1978" s="117"/>
      <c r="R1978" s="29"/>
      <c r="S1978" s="29"/>
      <c r="T1978" s="29"/>
    </row>
    <row r="1979" ht="15.75" customHeight="1">
      <c r="A1979" s="120"/>
      <c r="B1979" s="120"/>
      <c r="Q1979" s="117"/>
      <c r="R1979" s="29"/>
      <c r="S1979" s="29"/>
      <c r="T1979" s="29"/>
    </row>
    <row r="1980" ht="15.75" customHeight="1">
      <c r="A1980" s="120"/>
      <c r="B1980" s="120"/>
      <c r="Q1980" s="117"/>
      <c r="R1980" s="29"/>
      <c r="S1980" s="29"/>
      <c r="T1980" s="29"/>
    </row>
    <row r="1981" ht="15.75" customHeight="1">
      <c r="A1981" s="120"/>
      <c r="B1981" s="120"/>
      <c r="Q1981" s="117"/>
      <c r="R1981" s="29"/>
      <c r="S1981" s="29"/>
      <c r="T1981" s="29"/>
    </row>
    <row r="1982" ht="15.75" customHeight="1">
      <c r="A1982" s="120"/>
      <c r="B1982" s="120"/>
      <c r="Q1982" s="117"/>
      <c r="R1982" s="29"/>
      <c r="S1982" s="29"/>
      <c r="T1982" s="29"/>
    </row>
    <row r="1983" ht="15.75" customHeight="1">
      <c r="A1983" s="120"/>
      <c r="B1983" s="120"/>
      <c r="Q1983" s="117"/>
      <c r="R1983" s="29"/>
      <c r="S1983" s="29"/>
      <c r="T1983" s="29"/>
    </row>
    <row r="1984" ht="15.75" customHeight="1">
      <c r="A1984" s="120"/>
      <c r="B1984" s="120"/>
      <c r="Q1984" s="117"/>
      <c r="R1984" s="29"/>
      <c r="S1984" s="29"/>
      <c r="T1984" s="29"/>
    </row>
    <row r="1985" ht="15.75" customHeight="1">
      <c r="A1985" s="120"/>
      <c r="B1985" s="120"/>
      <c r="Q1985" s="117"/>
      <c r="R1985" s="29"/>
      <c r="S1985" s="29"/>
      <c r="T1985" s="29"/>
    </row>
    <row r="1986" ht="15.75" customHeight="1">
      <c r="A1986" s="120"/>
      <c r="B1986" s="120"/>
      <c r="Q1986" s="117"/>
      <c r="R1986" s="29"/>
      <c r="S1986" s="29"/>
      <c r="T1986" s="29"/>
    </row>
    <row r="1987" ht="15.75" customHeight="1">
      <c r="A1987" s="120"/>
      <c r="B1987" s="120"/>
      <c r="Q1987" s="117"/>
      <c r="R1987" s="29"/>
      <c r="S1987" s="29"/>
      <c r="T1987" s="29"/>
    </row>
    <row r="1988" ht="15.75" customHeight="1">
      <c r="A1988" s="120"/>
      <c r="B1988" s="120"/>
      <c r="Q1988" s="117"/>
      <c r="R1988" s="29"/>
      <c r="S1988" s="29"/>
      <c r="T1988" s="29"/>
    </row>
    <row r="1989" ht="15.75" customHeight="1">
      <c r="A1989" s="120"/>
      <c r="B1989" s="120"/>
      <c r="Q1989" s="117"/>
      <c r="R1989" s="29"/>
      <c r="S1989" s="29"/>
      <c r="T1989" s="29"/>
    </row>
    <row r="1990" ht="15.75" customHeight="1">
      <c r="A1990" s="120"/>
      <c r="B1990" s="120"/>
      <c r="Q1990" s="117"/>
      <c r="R1990" s="29"/>
      <c r="S1990" s="29"/>
      <c r="T1990" s="29"/>
    </row>
    <row r="1991" ht="15.75" customHeight="1">
      <c r="A1991" s="120"/>
      <c r="B1991" s="120"/>
      <c r="Q1991" s="117"/>
      <c r="R1991" s="29"/>
      <c r="S1991" s="29"/>
      <c r="T1991" s="29"/>
    </row>
    <row r="1992" ht="15.75" customHeight="1">
      <c r="A1992" s="120"/>
      <c r="B1992" s="120"/>
      <c r="Q1992" s="117"/>
      <c r="R1992" s="29"/>
      <c r="S1992" s="29"/>
      <c r="T1992" s="29"/>
    </row>
    <row r="1993" ht="15.75" customHeight="1">
      <c r="A1993" s="120"/>
      <c r="B1993" s="120"/>
      <c r="Q1993" s="117"/>
      <c r="R1993" s="29"/>
      <c r="S1993" s="29"/>
      <c r="T1993" s="29"/>
    </row>
    <row r="1994" ht="15.75" customHeight="1">
      <c r="A1994" s="120"/>
      <c r="B1994" s="120"/>
      <c r="Q1994" s="117"/>
      <c r="R1994" s="29"/>
      <c r="S1994" s="29"/>
      <c r="T1994" s="29"/>
    </row>
    <row r="1995" ht="15.75" customHeight="1">
      <c r="A1995" s="120"/>
      <c r="B1995" s="120"/>
      <c r="Q1995" s="117"/>
      <c r="R1995" s="29"/>
      <c r="S1995" s="29"/>
      <c r="T1995" s="29"/>
    </row>
    <row r="1996" ht="15.75" customHeight="1">
      <c r="A1996" s="120"/>
      <c r="B1996" s="120"/>
      <c r="Q1996" s="117"/>
      <c r="R1996" s="29"/>
      <c r="S1996" s="29"/>
      <c r="T1996" s="29"/>
    </row>
    <row r="1997" ht="15.75" customHeight="1">
      <c r="A1997" s="120"/>
      <c r="B1997" s="120"/>
      <c r="Q1997" s="117"/>
      <c r="R1997" s="29"/>
      <c r="S1997" s="29"/>
      <c r="T1997" s="29"/>
    </row>
    <row r="1998" ht="15.75" customHeight="1">
      <c r="A1998" s="120"/>
      <c r="B1998" s="120"/>
      <c r="Q1998" s="117"/>
      <c r="R1998" s="29"/>
      <c r="S1998" s="29"/>
      <c r="T1998" s="29"/>
    </row>
    <row r="1999" ht="15.75" customHeight="1">
      <c r="A1999" s="120"/>
      <c r="B1999" s="120"/>
      <c r="Q1999" s="117"/>
      <c r="R1999" s="29"/>
      <c r="S1999" s="29"/>
      <c r="T1999" s="29"/>
    </row>
    <row r="2000" ht="15.75" customHeight="1">
      <c r="A2000" s="120"/>
      <c r="B2000" s="120"/>
      <c r="Q2000" s="117"/>
      <c r="R2000" s="29"/>
      <c r="S2000" s="29"/>
      <c r="T2000" s="29"/>
    </row>
    <row r="2001" ht="15.75" customHeight="1">
      <c r="A2001" s="120"/>
      <c r="B2001" s="120"/>
      <c r="Q2001" s="117"/>
      <c r="R2001" s="29"/>
      <c r="S2001" s="29"/>
      <c r="T2001" s="29"/>
    </row>
    <row r="2002" ht="15.75" customHeight="1">
      <c r="A2002" s="120"/>
      <c r="B2002" s="120"/>
      <c r="Q2002" s="117"/>
      <c r="R2002" s="29"/>
      <c r="S2002" s="29"/>
      <c r="T2002" s="29"/>
    </row>
    <row r="2003" ht="15.75" customHeight="1">
      <c r="A2003" s="120"/>
      <c r="B2003" s="120"/>
      <c r="Q2003" s="117"/>
      <c r="R2003" s="29"/>
      <c r="S2003" s="29"/>
      <c r="T2003" s="29"/>
    </row>
    <row r="2004" ht="15.75" customHeight="1">
      <c r="A2004" s="120"/>
      <c r="B2004" s="120"/>
      <c r="Q2004" s="117"/>
      <c r="R2004" s="29"/>
      <c r="S2004" s="29"/>
      <c r="T2004" s="29"/>
    </row>
    <row r="2005" ht="15.75" customHeight="1">
      <c r="A2005" s="120"/>
      <c r="B2005" s="120"/>
      <c r="Q2005" s="117"/>
      <c r="R2005" s="29"/>
      <c r="S2005" s="29"/>
      <c r="T2005" s="29"/>
    </row>
    <row r="2006" ht="15.75" customHeight="1">
      <c r="A2006" s="120"/>
      <c r="B2006" s="120"/>
      <c r="Q2006" s="117"/>
      <c r="R2006" s="29"/>
      <c r="S2006" s="29"/>
      <c r="T2006" s="29"/>
    </row>
    <row r="2007" ht="15.75" customHeight="1">
      <c r="A2007" s="120"/>
      <c r="B2007" s="120"/>
      <c r="Q2007" s="117"/>
      <c r="R2007" s="29"/>
      <c r="S2007" s="29"/>
      <c r="T2007" s="29"/>
    </row>
    <row r="2008" ht="15.75" customHeight="1">
      <c r="A2008" s="120"/>
      <c r="B2008" s="120"/>
      <c r="Q2008" s="117"/>
      <c r="R2008" s="29"/>
      <c r="S2008" s="29"/>
      <c r="T2008" s="29"/>
    </row>
    <row r="2009" ht="15.75" customHeight="1">
      <c r="A2009" s="120"/>
      <c r="B2009" s="120"/>
      <c r="Q2009" s="117"/>
      <c r="R2009" s="29"/>
      <c r="S2009" s="29"/>
      <c r="T2009" s="29"/>
    </row>
    <row r="2010" ht="15.75" customHeight="1">
      <c r="A2010" s="120"/>
      <c r="B2010" s="120"/>
      <c r="Q2010" s="117"/>
      <c r="R2010" s="29"/>
      <c r="S2010" s="29"/>
      <c r="T2010" s="29"/>
    </row>
    <row r="2011" ht="15.75" customHeight="1">
      <c r="A2011" s="120"/>
      <c r="B2011" s="120"/>
      <c r="Q2011" s="117"/>
      <c r="R2011" s="29"/>
      <c r="S2011" s="29"/>
      <c r="T2011" s="29"/>
    </row>
    <row r="2012" ht="15.75" customHeight="1">
      <c r="A2012" s="120"/>
      <c r="B2012" s="120"/>
      <c r="Q2012" s="117"/>
      <c r="R2012" s="29"/>
      <c r="S2012" s="29"/>
      <c r="T2012" s="29"/>
    </row>
    <row r="2013" ht="15.75" customHeight="1">
      <c r="A2013" s="120"/>
      <c r="B2013" s="120"/>
      <c r="Q2013" s="117"/>
      <c r="R2013" s="29"/>
      <c r="S2013" s="29"/>
      <c r="T2013" s="29"/>
    </row>
    <row r="2014" ht="15.75" customHeight="1">
      <c r="A2014" s="120"/>
      <c r="B2014" s="120"/>
      <c r="Q2014" s="117"/>
      <c r="R2014" s="29"/>
      <c r="S2014" s="29"/>
      <c r="T2014" s="29"/>
    </row>
    <row r="2015" ht="15.75" customHeight="1">
      <c r="A2015" s="120"/>
      <c r="B2015" s="120"/>
      <c r="Q2015" s="117"/>
      <c r="R2015" s="29"/>
      <c r="S2015" s="29"/>
      <c r="T2015" s="29"/>
    </row>
    <row r="2016" ht="15.75" customHeight="1">
      <c r="A2016" s="120"/>
      <c r="B2016" s="120"/>
      <c r="Q2016" s="117"/>
      <c r="R2016" s="29"/>
      <c r="S2016" s="29"/>
      <c r="T2016" s="29"/>
    </row>
    <row r="2017" ht="15.75" customHeight="1">
      <c r="A2017" s="120"/>
      <c r="B2017" s="120"/>
      <c r="Q2017" s="117"/>
      <c r="R2017" s="29"/>
      <c r="S2017" s="29"/>
      <c r="T2017" s="29"/>
    </row>
  </sheetData>
  <autoFilter ref="$A$1:$W$624">
    <filterColumn colId="2">
      <colorFilter dxfId="2"/>
    </filterColumn>
    <filterColumn colId="5">
      <filters>
        <filter val="PIPA DE AGUA"/>
        <filter val="CARPETA"/>
        <filter val="REGRESO PIPA"/>
        <filter val="ASFALTO"/>
        <filter val="REGRESO CAMION"/>
        <filter val="CARPETA DENSA"/>
      </filters>
    </filterColumn>
  </autoFilter>
  <printOptions/>
  <pageMargins bottom="0.7480314960629921" footer="0.0" header="0.0" left="0.7086614173228347" right="0.7086614173228347" top="0.7480314960629921"/>
  <pageSetup scale="4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9.86"/>
    <col customWidth="1" min="4" max="4" width="11.43"/>
    <col customWidth="1" min="5" max="5" width="7.43"/>
    <col customWidth="1" min="6" max="6" width="18.71"/>
    <col customWidth="1" hidden="1" min="7" max="7" width="10.71"/>
    <col customWidth="1" hidden="1" min="8" max="8" width="18.43"/>
    <col customWidth="1" hidden="1" min="9" max="9" width="14.43"/>
    <col customWidth="1" hidden="1" min="10" max="10" width="25.14"/>
    <col customWidth="1" hidden="1" min="11" max="11" width="18.71"/>
    <col customWidth="1" hidden="1" min="12" max="14" width="14.43"/>
    <col customWidth="1" hidden="1" min="15" max="15" width="16.29"/>
    <col customWidth="1" min="16" max="16" width="31.57"/>
    <col customWidth="1" min="17" max="17" width="26.14"/>
    <col customWidth="1" min="18" max="18" width="15.43"/>
    <col customWidth="1" min="19" max="19" width="11.43"/>
    <col customWidth="1" min="20" max="20" width="15.43"/>
    <col customWidth="1" min="21" max="21" width="18.71"/>
    <col customWidth="1" min="22" max="22" width="14.14"/>
    <col customWidth="1" min="23" max="26" width="10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17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24</v>
      </c>
      <c r="W1" s="1" t="s">
        <v>26</v>
      </c>
      <c r="X1" s="5"/>
      <c r="Y1" s="5"/>
      <c r="Z1" s="5"/>
    </row>
    <row r="2" hidden="1">
      <c r="A2" s="6">
        <v>23.0</v>
      </c>
      <c r="B2" s="6"/>
      <c r="C2" s="8">
        <v>4979.0</v>
      </c>
      <c r="D2" s="32">
        <v>46174.0</v>
      </c>
      <c r="E2" s="33">
        <v>1.0</v>
      </c>
      <c r="F2" s="33" t="s">
        <v>31</v>
      </c>
      <c r="G2" s="33" t="s">
        <v>32</v>
      </c>
      <c r="H2" s="33">
        <v>14.0</v>
      </c>
      <c r="I2" s="33" t="s">
        <v>34</v>
      </c>
      <c r="J2" s="33" t="s">
        <v>35</v>
      </c>
      <c r="K2" s="33"/>
      <c r="L2" s="33"/>
      <c r="M2" s="33"/>
      <c r="N2" s="33"/>
      <c r="O2" s="33"/>
      <c r="P2" s="33"/>
      <c r="Q2" s="14">
        <v>3350.0</v>
      </c>
      <c r="R2" s="15">
        <f>'VICENTE LOMBARDO'!$Q2*'VICENTE LOMBARDO'!$E2</f>
        <v>3350</v>
      </c>
      <c r="S2" s="15">
        <f>'VICENTE LOMBARDO'!$R2*16%</f>
        <v>536</v>
      </c>
      <c r="T2" s="15">
        <f>'VICENTE LOMBARDO'!$R2+'VICENTE LOMBARDO'!$S2</f>
        <v>3886</v>
      </c>
      <c r="U2" s="8" t="s">
        <v>43</v>
      </c>
      <c r="V2" s="17" t="s">
        <v>44</v>
      </c>
      <c r="W2" s="15" t="s">
        <v>45</v>
      </c>
    </row>
    <row r="3" hidden="1">
      <c r="A3" s="6">
        <v>23.0</v>
      </c>
      <c r="B3" s="6"/>
      <c r="C3" s="8">
        <v>4980.0</v>
      </c>
      <c r="D3" s="9">
        <v>46174.0</v>
      </c>
      <c r="E3" s="8">
        <v>1.0</v>
      </c>
      <c r="F3" s="8" t="s">
        <v>31</v>
      </c>
      <c r="G3" s="8" t="s">
        <v>39</v>
      </c>
      <c r="H3" s="8">
        <v>14.0</v>
      </c>
      <c r="I3" s="8" t="s">
        <v>34</v>
      </c>
      <c r="J3" s="8" t="s">
        <v>41</v>
      </c>
      <c r="K3" s="8"/>
      <c r="L3" s="8"/>
      <c r="M3" s="8"/>
      <c r="N3" s="8"/>
      <c r="O3" s="8"/>
      <c r="P3" s="8"/>
      <c r="Q3" s="14">
        <v>3350.0</v>
      </c>
      <c r="R3" s="15">
        <f>'VICENTE LOMBARDO'!$Q3*'VICENTE LOMBARDO'!$E3</f>
        <v>3350</v>
      </c>
      <c r="S3" s="15">
        <f>'VICENTE LOMBARDO'!$R3*16%</f>
        <v>536</v>
      </c>
      <c r="T3" s="15">
        <f>'VICENTE LOMBARDO'!$R3+'VICENTE LOMBARDO'!$S3</f>
        <v>3886</v>
      </c>
      <c r="U3" s="8" t="s">
        <v>43</v>
      </c>
      <c r="V3" s="17" t="s">
        <v>44</v>
      </c>
      <c r="W3" s="15" t="s">
        <v>45</v>
      </c>
    </row>
    <row r="4" hidden="1">
      <c r="A4" s="6">
        <v>23.0</v>
      </c>
      <c r="B4" s="6"/>
      <c r="C4" s="8">
        <v>4981.0</v>
      </c>
      <c r="D4" s="9">
        <v>46174.0</v>
      </c>
      <c r="E4" s="8">
        <v>1.0</v>
      </c>
      <c r="F4" s="8" t="s">
        <v>31</v>
      </c>
      <c r="G4" s="8" t="s">
        <v>52</v>
      </c>
      <c r="H4" s="8">
        <v>14.0</v>
      </c>
      <c r="I4" s="8" t="s">
        <v>34</v>
      </c>
      <c r="J4" s="8" t="s">
        <v>55</v>
      </c>
      <c r="K4" s="8"/>
      <c r="L4" s="8"/>
      <c r="M4" s="8"/>
      <c r="N4" s="8"/>
      <c r="O4" s="8"/>
      <c r="P4" s="8"/>
      <c r="Q4" s="15">
        <v>3350.0</v>
      </c>
      <c r="R4" s="15">
        <f>'VICENTE LOMBARDO'!$Q4*'VICENTE LOMBARDO'!$E4</f>
        <v>3350</v>
      </c>
      <c r="S4" s="15">
        <f>'VICENTE LOMBARDO'!$R4*16%</f>
        <v>536</v>
      </c>
      <c r="T4" s="15">
        <f>'VICENTE LOMBARDO'!$R4+'VICENTE LOMBARDO'!$S4</f>
        <v>3886</v>
      </c>
      <c r="U4" s="8" t="s">
        <v>59</v>
      </c>
      <c r="V4" s="17" t="s">
        <v>44</v>
      </c>
      <c r="W4" s="15" t="s">
        <v>60</v>
      </c>
    </row>
    <row r="5" hidden="1">
      <c r="A5" s="6">
        <v>23.0</v>
      </c>
      <c r="B5" s="6"/>
      <c r="C5" s="8">
        <v>4982.0</v>
      </c>
      <c r="D5" s="9">
        <v>46174.0</v>
      </c>
      <c r="E5" s="8">
        <v>1.0</v>
      </c>
      <c r="F5" s="8" t="s">
        <v>31</v>
      </c>
      <c r="G5" s="8" t="s">
        <v>65</v>
      </c>
      <c r="H5" s="8">
        <v>14.0</v>
      </c>
      <c r="I5" s="8" t="s">
        <v>34</v>
      </c>
      <c r="J5" s="8" t="s">
        <v>67</v>
      </c>
      <c r="K5" s="8"/>
      <c r="L5" s="8"/>
      <c r="M5" s="8"/>
      <c r="N5" s="8"/>
      <c r="O5" s="8"/>
      <c r="P5" s="8"/>
      <c r="Q5" s="15">
        <v>3350.0</v>
      </c>
      <c r="R5" s="15">
        <f>'VICENTE LOMBARDO'!$Q5*'VICENTE LOMBARDO'!$E5</f>
        <v>3350</v>
      </c>
      <c r="S5" s="15">
        <f>'VICENTE LOMBARDO'!$R5*16%</f>
        <v>536</v>
      </c>
      <c r="T5" s="15">
        <f>'VICENTE LOMBARDO'!$R5+'VICENTE LOMBARDO'!$S5</f>
        <v>3886</v>
      </c>
      <c r="U5" s="8" t="s">
        <v>59</v>
      </c>
      <c r="V5" s="17" t="s">
        <v>44</v>
      </c>
      <c r="W5" s="15" t="s">
        <v>60</v>
      </c>
    </row>
    <row r="6" hidden="1">
      <c r="A6" s="6">
        <v>23.0</v>
      </c>
      <c r="B6" s="6"/>
      <c r="C6" s="8">
        <v>4983.0</v>
      </c>
      <c r="D6" s="9">
        <v>46174.0</v>
      </c>
      <c r="E6" s="8">
        <v>1.0</v>
      </c>
      <c r="F6" s="8" t="s">
        <v>31</v>
      </c>
      <c r="G6" s="8" t="s">
        <v>71</v>
      </c>
      <c r="H6" s="8">
        <v>14.0</v>
      </c>
      <c r="I6" s="8" t="s">
        <v>34</v>
      </c>
      <c r="J6" s="8" t="s">
        <v>70</v>
      </c>
      <c r="K6" s="8"/>
      <c r="L6" s="8"/>
      <c r="M6" s="8"/>
      <c r="N6" s="8"/>
      <c r="O6" s="8"/>
      <c r="P6" s="8"/>
      <c r="Q6" s="14">
        <v>3350.0</v>
      </c>
      <c r="R6" s="15">
        <f>'VICENTE LOMBARDO'!$Q6*'VICENTE LOMBARDO'!$E6</f>
        <v>3350</v>
      </c>
      <c r="S6" s="15">
        <f>'VICENTE LOMBARDO'!$R6*16%</f>
        <v>536</v>
      </c>
      <c r="T6" s="15">
        <f>'VICENTE LOMBARDO'!$R6+'VICENTE LOMBARDO'!$S6</f>
        <v>3886</v>
      </c>
      <c r="U6" s="8" t="s">
        <v>43</v>
      </c>
      <c r="V6" s="17" t="s">
        <v>44</v>
      </c>
      <c r="W6" s="15" t="s">
        <v>45</v>
      </c>
    </row>
    <row r="7" hidden="1">
      <c r="A7" s="6">
        <v>23.0</v>
      </c>
      <c r="B7" s="6"/>
      <c r="C7" s="8" t="s">
        <v>72</v>
      </c>
      <c r="D7" s="9">
        <v>46174.0</v>
      </c>
      <c r="E7" s="8">
        <v>1.0</v>
      </c>
      <c r="F7" s="8" t="s">
        <v>73</v>
      </c>
      <c r="G7" s="8"/>
      <c r="H7" s="8">
        <v>10.0</v>
      </c>
      <c r="I7" s="8" t="s">
        <v>34</v>
      </c>
      <c r="J7" s="8"/>
      <c r="K7" s="8"/>
      <c r="L7" s="8"/>
      <c r="M7" s="8"/>
      <c r="N7" s="8"/>
      <c r="O7" s="8"/>
      <c r="P7" s="8"/>
      <c r="Q7" s="14">
        <v>4700.0</v>
      </c>
      <c r="R7" s="15">
        <f>'VICENTE LOMBARDO'!$Q7*'VICENTE LOMBARDO'!$E7</f>
        <v>4700</v>
      </c>
      <c r="S7" s="15">
        <f>'VICENTE LOMBARDO'!$R7*16%</f>
        <v>752</v>
      </c>
      <c r="T7" s="15">
        <f>'VICENTE LOMBARDO'!$R7+'VICENTE LOMBARDO'!$S7</f>
        <v>5452</v>
      </c>
      <c r="U7" s="8" t="s">
        <v>43</v>
      </c>
      <c r="V7" s="17" t="s">
        <v>44</v>
      </c>
      <c r="W7" s="15" t="s">
        <v>45</v>
      </c>
    </row>
    <row r="8" hidden="1">
      <c r="A8" s="6">
        <v>23.0</v>
      </c>
      <c r="B8" s="6"/>
      <c r="C8" s="8" t="s">
        <v>72</v>
      </c>
      <c r="D8" s="9">
        <v>46175.0</v>
      </c>
      <c r="E8" s="8">
        <v>1.0</v>
      </c>
      <c r="F8" s="8" t="s">
        <v>75</v>
      </c>
      <c r="G8" s="8"/>
      <c r="H8" s="8">
        <v>0.0</v>
      </c>
      <c r="I8" s="8" t="s">
        <v>34</v>
      </c>
      <c r="J8" s="8"/>
      <c r="K8" s="8"/>
      <c r="L8" s="8"/>
      <c r="M8" s="8"/>
      <c r="N8" s="8"/>
      <c r="O8" s="8"/>
      <c r="P8" s="8" t="s">
        <v>76</v>
      </c>
      <c r="Q8" s="14">
        <v>1000.0</v>
      </c>
      <c r="R8" s="15">
        <f>'VICENTE LOMBARDO'!$Q8*'VICENTE LOMBARDO'!$E8</f>
        <v>1000</v>
      </c>
      <c r="S8" s="15">
        <f>'VICENTE LOMBARDO'!$R8*16%</f>
        <v>160</v>
      </c>
      <c r="T8" s="15">
        <f>'VICENTE LOMBARDO'!$R8+'VICENTE LOMBARDO'!$S8</f>
        <v>1160</v>
      </c>
      <c r="U8" s="8" t="s">
        <v>43</v>
      </c>
      <c r="V8" s="17" t="s">
        <v>44</v>
      </c>
      <c r="W8" s="15" t="s">
        <v>45</v>
      </c>
    </row>
    <row r="9" hidden="1">
      <c r="A9" s="6">
        <v>23.0</v>
      </c>
      <c r="B9" s="6"/>
      <c r="C9" s="8">
        <v>5568.0</v>
      </c>
      <c r="D9" s="9">
        <v>46176.0</v>
      </c>
      <c r="E9" s="8">
        <v>1.0</v>
      </c>
      <c r="F9" s="8" t="s">
        <v>31</v>
      </c>
      <c r="G9" s="8" t="s">
        <v>32</v>
      </c>
      <c r="H9" s="8">
        <v>15.0</v>
      </c>
      <c r="I9" s="8" t="s">
        <v>34</v>
      </c>
      <c r="J9" s="8" t="s">
        <v>35</v>
      </c>
      <c r="K9" s="8"/>
      <c r="L9" s="8"/>
      <c r="M9" s="8"/>
      <c r="N9" s="8"/>
      <c r="O9" s="8"/>
      <c r="P9" s="8"/>
      <c r="Q9" s="14">
        <v>3350.0</v>
      </c>
      <c r="R9" s="15">
        <f>'VICENTE LOMBARDO'!$Q9*'VICENTE LOMBARDO'!$E9</f>
        <v>3350</v>
      </c>
      <c r="S9" s="15">
        <f>'VICENTE LOMBARDO'!$R9*16%</f>
        <v>536</v>
      </c>
      <c r="T9" s="15">
        <f>'VICENTE LOMBARDO'!$R9+'VICENTE LOMBARDO'!$S9</f>
        <v>3886</v>
      </c>
      <c r="U9" s="8" t="s">
        <v>43</v>
      </c>
      <c r="V9" s="17" t="s">
        <v>44</v>
      </c>
      <c r="W9" s="15" t="s">
        <v>45</v>
      </c>
    </row>
    <row r="10" hidden="1">
      <c r="A10" s="6">
        <v>23.0</v>
      </c>
      <c r="B10" s="6"/>
      <c r="C10" s="8">
        <v>5569.0</v>
      </c>
      <c r="D10" s="9">
        <v>46176.0</v>
      </c>
      <c r="E10" s="8">
        <v>1.0</v>
      </c>
      <c r="F10" s="8" t="s">
        <v>31</v>
      </c>
      <c r="G10" s="8" t="s">
        <v>78</v>
      </c>
      <c r="H10" s="8">
        <v>15.0</v>
      </c>
      <c r="I10" s="8" t="s">
        <v>34</v>
      </c>
      <c r="J10" s="8" t="s">
        <v>79</v>
      </c>
      <c r="K10" s="8"/>
      <c r="L10" s="8"/>
      <c r="M10" s="8"/>
      <c r="N10" s="8"/>
      <c r="O10" s="8"/>
      <c r="P10" s="8"/>
      <c r="Q10" s="14">
        <v>3350.0</v>
      </c>
      <c r="R10" s="15">
        <f>'VICENTE LOMBARDO'!$Q10*'VICENTE LOMBARDO'!$E10</f>
        <v>3350</v>
      </c>
      <c r="S10" s="15">
        <f>'VICENTE LOMBARDO'!$R10*16%</f>
        <v>536</v>
      </c>
      <c r="T10" s="15">
        <f>'VICENTE LOMBARDO'!$R10+'VICENTE LOMBARDO'!$S10</f>
        <v>3886</v>
      </c>
      <c r="U10" s="8" t="s">
        <v>43</v>
      </c>
      <c r="V10" s="17" t="s">
        <v>44</v>
      </c>
      <c r="W10" s="15" t="s">
        <v>45</v>
      </c>
    </row>
    <row r="11" hidden="1">
      <c r="A11" s="6">
        <v>23.0</v>
      </c>
      <c r="B11" s="6"/>
      <c r="C11" s="8">
        <v>5570.0</v>
      </c>
      <c r="D11" s="9">
        <v>46176.0</v>
      </c>
      <c r="E11" s="8">
        <v>1.0</v>
      </c>
      <c r="F11" s="8" t="s">
        <v>31</v>
      </c>
      <c r="G11" s="8" t="s">
        <v>80</v>
      </c>
      <c r="H11" s="8">
        <v>15.0</v>
      </c>
      <c r="I11" s="8" t="s">
        <v>34</v>
      </c>
      <c r="J11" s="8" t="s">
        <v>81</v>
      </c>
      <c r="K11" s="8"/>
      <c r="L11" s="8"/>
      <c r="M11" s="8"/>
      <c r="N11" s="8"/>
      <c r="O11" s="8"/>
      <c r="P11" s="8"/>
      <c r="Q11" s="14">
        <v>3350.0</v>
      </c>
      <c r="R11" s="15">
        <f>'VICENTE LOMBARDO'!$Q11*'VICENTE LOMBARDO'!$E11</f>
        <v>3350</v>
      </c>
      <c r="S11" s="15">
        <f>'VICENTE LOMBARDO'!$R11*16%</f>
        <v>536</v>
      </c>
      <c r="T11" s="15">
        <f>'VICENTE LOMBARDO'!$R11+'VICENTE LOMBARDO'!$S11</f>
        <v>3886</v>
      </c>
      <c r="U11" s="8" t="s">
        <v>43</v>
      </c>
      <c r="V11" s="17" t="s">
        <v>44</v>
      </c>
      <c r="W11" s="15" t="s">
        <v>45</v>
      </c>
    </row>
    <row r="12" hidden="1">
      <c r="A12" s="6">
        <v>23.0</v>
      </c>
      <c r="B12" s="6"/>
      <c r="C12" s="8">
        <v>5571.0</v>
      </c>
      <c r="D12" s="9">
        <v>46176.0</v>
      </c>
      <c r="E12" s="8">
        <v>1.0</v>
      </c>
      <c r="F12" s="8" t="s">
        <v>31</v>
      </c>
      <c r="G12" s="8" t="s">
        <v>82</v>
      </c>
      <c r="H12" s="8">
        <v>15.0</v>
      </c>
      <c r="I12" s="8" t="s">
        <v>34</v>
      </c>
      <c r="J12" s="8" t="s">
        <v>83</v>
      </c>
      <c r="K12" s="8"/>
      <c r="L12" s="8"/>
      <c r="M12" s="8"/>
      <c r="N12" s="8"/>
      <c r="O12" s="8"/>
      <c r="P12" s="8"/>
      <c r="Q12" s="14">
        <v>3350.0</v>
      </c>
      <c r="R12" s="15">
        <f>'VICENTE LOMBARDO'!$Q12*'VICENTE LOMBARDO'!$E12</f>
        <v>3350</v>
      </c>
      <c r="S12" s="15">
        <f>'VICENTE LOMBARDO'!$R12*16%</f>
        <v>536</v>
      </c>
      <c r="T12" s="15">
        <f>'VICENTE LOMBARDO'!$R12+'VICENTE LOMBARDO'!$S12</f>
        <v>3886</v>
      </c>
      <c r="U12" s="8" t="s">
        <v>43</v>
      </c>
      <c r="V12" s="17" t="s">
        <v>44</v>
      </c>
      <c r="W12" s="15" t="s">
        <v>45</v>
      </c>
    </row>
    <row r="13" hidden="1">
      <c r="A13" s="6">
        <v>23.0</v>
      </c>
      <c r="B13" s="6"/>
      <c r="C13" s="8">
        <v>5572.0</v>
      </c>
      <c r="D13" s="9">
        <v>46176.0</v>
      </c>
      <c r="E13" s="8">
        <v>1.0</v>
      </c>
      <c r="F13" s="8" t="s">
        <v>31</v>
      </c>
      <c r="G13" s="8" t="s">
        <v>84</v>
      </c>
      <c r="H13" s="8">
        <v>15.0</v>
      </c>
      <c r="I13" s="8" t="s">
        <v>34</v>
      </c>
      <c r="J13" s="8" t="s">
        <v>85</v>
      </c>
      <c r="K13" s="8"/>
      <c r="L13" s="8"/>
      <c r="M13" s="8"/>
      <c r="N13" s="8"/>
      <c r="O13" s="8"/>
      <c r="P13" s="8"/>
      <c r="Q13" s="14">
        <v>3350.0</v>
      </c>
      <c r="R13" s="15">
        <f>'VICENTE LOMBARDO'!$Q13*'VICENTE LOMBARDO'!$E13</f>
        <v>3350</v>
      </c>
      <c r="S13" s="15">
        <f>'VICENTE LOMBARDO'!$R13*16%</f>
        <v>536</v>
      </c>
      <c r="T13" s="15">
        <f>'VICENTE LOMBARDO'!$R13+'VICENTE LOMBARDO'!$S13</f>
        <v>3886</v>
      </c>
      <c r="U13" s="8" t="s">
        <v>43</v>
      </c>
      <c r="V13" s="17" t="s">
        <v>44</v>
      </c>
      <c r="W13" s="15" t="s">
        <v>45</v>
      </c>
    </row>
    <row r="14" hidden="1">
      <c r="A14" s="6">
        <v>23.0</v>
      </c>
      <c r="B14" s="6"/>
      <c r="C14" s="8">
        <v>5573.0</v>
      </c>
      <c r="D14" s="9">
        <v>46176.0</v>
      </c>
      <c r="E14" s="8">
        <v>1.0</v>
      </c>
      <c r="F14" s="8" t="s">
        <v>31</v>
      </c>
      <c r="G14" s="8" t="s">
        <v>86</v>
      </c>
      <c r="H14" s="8">
        <v>15.0</v>
      </c>
      <c r="I14" s="8" t="s">
        <v>34</v>
      </c>
      <c r="J14" s="8" t="s">
        <v>87</v>
      </c>
      <c r="K14" s="8"/>
      <c r="L14" s="8"/>
      <c r="M14" s="8"/>
      <c r="N14" s="8"/>
      <c r="O14" s="8"/>
      <c r="P14" s="8"/>
      <c r="Q14" s="14">
        <v>3350.0</v>
      </c>
      <c r="R14" s="15">
        <f>'VICENTE LOMBARDO'!$Q14*'VICENTE LOMBARDO'!$E14</f>
        <v>3350</v>
      </c>
      <c r="S14" s="15">
        <f>'VICENTE LOMBARDO'!$R14*16%</f>
        <v>536</v>
      </c>
      <c r="T14" s="15">
        <f>'VICENTE LOMBARDO'!$R14+'VICENTE LOMBARDO'!$S14</f>
        <v>3886</v>
      </c>
      <c r="U14" s="8" t="s">
        <v>43</v>
      </c>
      <c r="V14" s="17" t="s">
        <v>44</v>
      </c>
      <c r="W14" s="15" t="s">
        <v>45</v>
      </c>
    </row>
    <row r="15" hidden="1">
      <c r="A15" s="6">
        <v>23.0</v>
      </c>
      <c r="B15" s="6"/>
      <c r="C15" s="8">
        <v>5574.0</v>
      </c>
      <c r="D15" s="9">
        <v>46176.0</v>
      </c>
      <c r="E15" s="8">
        <v>1.0</v>
      </c>
      <c r="F15" s="8" t="s">
        <v>31</v>
      </c>
      <c r="G15" s="8" t="s">
        <v>69</v>
      </c>
      <c r="H15" s="8">
        <v>15.0</v>
      </c>
      <c r="I15" s="8" t="s">
        <v>34</v>
      </c>
      <c r="J15" s="8" t="s">
        <v>70</v>
      </c>
      <c r="K15" s="8"/>
      <c r="L15" s="8"/>
      <c r="M15" s="8"/>
      <c r="N15" s="8"/>
      <c r="O15" s="8"/>
      <c r="P15" s="8"/>
      <c r="Q15" s="14">
        <v>3350.0</v>
      </c>
      <c r="R15" s="15">
        <f>'VICENTE LOMBARDO'!$Q15*'VICENTE LOMBARDO'!$E15</f>
        <v>3350</v>
      </c>
      <c r="S15" s="15">
        <f>'VICENTE LOMBARDO'!$R15*16%</f>
        <v>536</v>
      </c>
      <c r="T15" s="15">
        <f>'VICENTE LOMBARDO'!$R15+'VICENTE LOMBARDO'!$S15</f>
        <v>3886</v>
      </c>
      <c r="U15" s="8" t="s">
        <v>43</v>
      </c>
      <c r="V15" s="17" t="s">
        <v>44</v>
      </c>
      <c r="W15" s="15" t="s">
        <v>45</v>
      </c>
    </row>
    <row r="16" hidden="1">
      <c r="A16" s="6">
        <v>23.0</v>
      </c>
      <c r="B16" s="6"/>
      <c r="C16" s="8">
        <v>5575.0</v>
      </c>
      <c r="D16" s="9">
        <v>46176.0</v>
      </c>
      <c r="E16" s="8">
        <v>1.0</v>
      </c>
      <c r="F16" s="8" t="s">
        <v>31</v>
      </c>
      <c r="G16" s="8" t="s">
        <v>39</v>
      </c>
      <c r="H16" s="8">
        <v>15.0</v>
      </c>
      <c r="I16" s="8" t="s">
        <v>34</v>
      </c>
      <c r="J16" s="8" t="s">
        <v>88</v>
      </c>
      <c r="K16" s="8"/>
      <c r="L16" s="8"/>
      <c r="M16" s="8"/>
      <c r="N16" s="8"/>
      <c r="O16" s="8"/>
      <c r="P16" s="8"/>
      <c r="Q16" s="14">
        <v>3350.0</v>
      </c>
      <c r="R16" s="15">
        <f>'VICENTE LOMBARDO'!$Q16*'VICENTE LOMBARDO'!$E16</f>
        <v>3350</v>
      </c>
      <c r="S16" s="15">
        <f>'VICENTE LOMBARDO'!$R16*16%</f>
        <v>536</v>
      </c>
      <c r="T16" s="15">
        <f>'VICENTE LOMBARDO'!$R16+'VICENTE LOMBARDO'!$S16</f>
        <v>3886</v>
      </c>
      <c r="U16" s="8" t="s">
        <v>43</v>
      </c>
      <c r="V16" s="17" t="s">
        <v>44</v>
      </c>
      <c r="W16" s="15" t="s">
        <v>45</v>
      </c>
    </row>
    <row r="17" hidden="1">
      <c r="A17" s="6">
        <v>23.0</v>
      </c>
      <c r="B17" s="6"/>
      <c r="C17" s="8" t="s">
        <v>72</v>
      </c>
      <c r="D17" s="9">
        <v>46176.0</v>
      </c>
      <c r="E17" s="8">
        <v>1.0</v>
      </c>
      <c r="F17" s="8" t="s">
        <v>73</v>
      </c>
      <c r="G17" s="8"/>
      <c r="H17" s="8">
        <v>10.0</v>
      </c>
      <c r="I17" s="8" t="s">
        <v>34</v>
      </c>
      <c r="J17" s="8"/>
      <c r="K17" s="8"/>
      <c r="L17" s="8"/>
      <c r="M17" s="8"/>
      <c r="N17" s="8"/>
      <c r="O17" s="8"/>
      <c r="P17" s="8"/>
      <c r="Q17" s="14">
        <v>4700.0</v>
      </c>
      <c r="R17" s="15">
        <f>'VICENTE LOMBARDO'!$Q17*'VICENTE LOMBARDO'!$E17</f>
        <v>4700</v>
      </c>
      <c r="S17" s="15">
        <f>'VICENTE LOMBARDO'!$R17*16%</f>
        <v>752</v>
      </c>
      <c r="T17" s="15">
        <f>'VICENTE LOMBARDO'!$R17+'VICENTE LOMBARDO'!$S17</f>
        <v>5452</v>
      </c>
      <c r="U17" s="8" t="s">
        <v>43</v>
      </c>
      <c r="V17" s="17" t="s">
        <v>44</v>
      </c>
      <c r="W17" s="15" t="s">
        <v>45</v>
      </c>
    </row>
    <row r="18" hidden="1">
      <c r="A18" s="6">
        <v>23.0</v>
      </c>
      <c r="B18" s="6"/>
      <c r="C18" s="8">
        <v>5585.0</v>
      </c>
      <c r="D18" s="9">
        <v>46177.0</v>
      </c>
      <c r="E18" s="8">
        <v>1.0</v>
      </c>
      <c r="F18" s="8" t="s">
        <v>31</v>
      </c>
      <c r="G18" s="8" t="s">
        <v>32</v>
      </c>
      <c r="H18" s="8">
        <v>15.0</v>
      </c>
      <c r="I18" s="8" t="s">
        <v>34</v>
      </c>
      <c r="J18" s="8" t="s">
        <v>35</v>
      </c>
      <c r="K18" s="8"/>
      <c r="L18" s="8"/>
      <c r="M18" s="8"/>
      <c r="N18" s="8"/>
      <c r="O18" s="8"/>
      <c r="P18" s="8"/>
      <c r="Q18" s="14">
        <v>3350.0</v>
      </c>
      <c r="R18" s="15">
        <f>'VICENTE LOMBARDO'!$Q18*'VICENTE LOMBARDO'!$E18</f>
        <v>3350</v>
      </c>
      <c r="S18" s="15">
        <f>'VICENTE LOMBARDO'!$R18*16%</f>
        <v>536</v>
      </c>
      <c r="T18" s="15">
        <f>'VICENTE LOMBARDO'!$R18+'VICENTE LOMBARDO'!$S18</f>
        <v>3886</v>
      </c>
      <c r="U18" s="8" t="s">
        <v>43</v>
      </c>
      <c r="V18" s="17" t="s">
        <v>44</v>
      </c>
      <c r="W18" s="15" t="s">
        <v>45</v>
      </c>
    </row>
    <row r="19" hidden="1">
      <c r="A19" s="6">
        <v>23.0</v>
      </c>
      <c r="B19" s="6"/>
      <c r="C19" s="8">
        <v>5586.0</v>
      </c>
      <c r="D19" s="9">
        <v>46177.0</v>
      </c>
      <c r="E19" s="8">
        <v>1.0</v>
      </c>
      <c r="F19" s="8" t="s">
        <v>31</v>
      </c>
      <c r="G19" s="8" t="s">
        <v>80</v>
      </c>
      <c r="H19" s="8">
        <v>15.0</v>
      </c>
      <c r="I19" s="8" t="s">
        <v>34</v>
      </c>
      <c r="J19" s="8" t="s">
        <v>81</v>
      </c>
      <c r="K19" s="8"/>
      <c r="L19" s="8"/>
      <c r="M19" s="8"/>
      <c r="N19" s="8"/>
      <c r="O19" s="8"/>
      <c r="P19" s="8"/>
      <c r="Q19" s="14">
        <v>3350.0</v>
      </c>
      <c r="R19" s="15">
        <f>'VICENTE LOMBARDO'!$Q19*'VICENTE LOMBARDO'!$E19</f>
        <v>3350</v>
      </c>
      <c r="S19" s="15">
        <f>'VICENTE LOMBARDO'!$R19*16%</f>
        <v>536</v>
      </c>
      <c r="T19" s="15">
        <f>'VICENTE LOMBARDO'!$R19+'VICENTE LOMBARDO'!$S19</f>
        <v>3886</v>
      </c>
      <c r="U19" s="8" t="s">
        <v>43</v>
      </c>
      <c r="V19" s="17" t="s">
        <v>44</v>
      </c>
      <c r="W19" s="15" t="s">
        <v>45</v>
      </c>
    </row>
    <row r="20" hidden="1">
      <c r="A20" s="6">
        <v>23.0</v>
      </c>
      <c r="B20" s="6"/>
      <c r="C20" s="8">
        <v>5587.0</v>
      </c>
      <c r="D20" s="9">
        <v>46177.0</v>
      </c>
      <c r="E20" s="8">
        <v>1.0</v>
      </c>
      <c r="F20" s="8" t="s">
        <v>31</v>
      </c>
      <c r="G20" s="8" t="s">
        <v>82</v>
      </c>
      <c r="H20" s="8">
        <v>15.0</v>
      </c>
      <c r="I20" s="8" t="s">
        <v>34</v>
      </c>
      <c r="J20" s="8" t="s">
        <v>83</v>
      </c>
      <c r="K20" s="8"/>
      <c r="L20" s="8"/>
      <c r="M20" s="8"/>
      <c r="N20" s="8"/>
      <c r="O20" s="8"/>
      <c r="P20" s="8"/>
      <c r="Q20" s="14">
        <v>3350.0</v>
      </c>
      <c r="R20" s="15">
        <f>'VICENTE LOMBARDO'!$Q20*'VICENTE LOMBARDO'!$E20</f>
        <v>3350</v>
      </c>
      <c r="S20" s="15">
        <f>'VICENTE LOMBARDO'!$R20*16%</f>
        <v>536</v>
      </c>
      <c r="T20" s="15">
        <f>'VICENTE LOMBARDO'!$R20+'VICENTE LOMBARDO'!$S20</f>
        <v>3886</v>
      </c>
      <c r="U20" s="8" t="s">
        <v>43</v>
      </c>
      <c r="V20" s="17" t="s">
        <v>44</v>
      </c>
      <c r="W20" s="15" t="s">
        <v>45</v>
      </c>
    </row>
    <row r="21" ht="15.75" hidden="1" customHeight="1">
      <c r="A21" s="6">
        <v>23.0</v>
      </c>
      <c r="B21" s="6"/>
      <c r="C21" s="8">
        <v>5588.0</v>
      </c>
      <c r="D21" s="9">
        <v>46177.0</v>
      </c>
      <c r="E21" s="8">
        <v>1.0</v>
      </c>
      <c r="F21" s="8" t="s">
        <v>31</v>
      </c>
      <c r="G21" s="8" t="s">
        <v>78</v>
      </c>
      <c r="H21" s="8">
        <v>15.0</v>
      </c>
      <c r="I21" s="8" t="s">
        <v>34</v>
      </c>
      <c r="J21" s="8" t="s">
        <v>79</v>
      </c>
      <c r="K21" s="8"/>
      <c r="L21" s="8"/>
      <c r="M21" s="8"/>
      <c r="N21" s="8"/>
      <c r="O21" s="8"/>
      <c r="P21" s="8"/>
      <c r="Q21" s="14">
        <v>3350.0</v>
      </c>
      <c r="R21" s="15">
        <f>'VICENTE LOMBARDO'!$Q21*'VICENTE LOMBARDO'!$E21</f>
        <v>3350</v>
      </c>
      <c r="S21" s="15">
        <f>'VICENTE LOMBARDO'!$R21*16%</f>
        <v>536</v>
      </c>
      <c r="T21" s="15">
        <f>'VICENTE LOMBARDO'!$R21+'VICENTE LOMBARDO'!$S21</f>
        <v>3886</v>
      </c>
      <c r="U21" s="8" t="s">
        <v>43</v>
      </c>
      <c r="V21" s="17" t="s">
        <v>44</v>
      </c>
      <c r="W21" s="15" t="s">
        <v>45</v>
      </c>
    </row>
    <row r="22" ht="15.75" hidden="1" customHeight="1">
      <c r="A22" s="6">
        <v>23.0</v>
      </c>
      <c r="B22" s="6"/>
      <c r="C22" s="8">
        <v>5589.0</v>
      </c>
      <c r="D22" s="9">
        <v>46177.0</v>
      </c>
      <c r="E22" s="8">
        <v>1.0</v>
      </c>
      <c r="F22" s="8" t="s">
        <v>31</v>
      </c>
      <c r="G22" s="8" t="s">
        <v>86</v>
      </c>
      <c r="H22" s="8">
        <v>15.0</v>
      </c>
      <c r="I22" s="8" t="s">
        <v>34</v>
      </c>
      <c r="J22" s="8" t="s">
        <v>87</v>
      </c>
      <c r="K22" s="8"/>
      <c r="L22" s="8"/>
      <c r="M22" s="8"/>
      <c r="N22" s="8"/>
      <c r="O22" s="8"/>
      <c r="P22" s="8"/>
      <c r="Q22" s="14">
        <v>3350.0</v>
      </c>
      <c r="R22" s="15">
        <f>'VICENTE LOMBARDO'!$Q22*'VICENTE LOMBARDO'!$E22</f>
        <v>3350</v>
      </c>
      <c r="S22" s="15">
        <f>'VICENTE LOMBARDO'!$R22*16%</f>
        <v>536</v>
      </c>
      <c r="T22" s="15">
        <f>'VICENTE LOMBARDO'!$R22+'VICENTE LOMBARDO'!$S22</f>
        <v>3886</v>
      </c>
      <c r="U22" s="8" t="s">
        <v>43</v>
      </c>
      <c r="V22" s="17" t="s">
        <v>44</v>
      </c>
      <c r="W22" s="15" t="s">
        <v>45</v>
      </c>
    </row>
    <row r="23" ht="15.75" hidden="1" customHeight="1">
      <c r="A23" s="6">
        <v>23.0</v>
      </c>
      <c r="B23" s="6"/>
      <c r="C23" s="8">
        <v>5590.0</v>
      </c>
      <c r="D23" s="9">
        <v>46177.0</v>
      </c>
      <c r="E23" s="8">
        <v>1.0</v>
      </c>
      <c r="F23" s="8" t="s">
        <v>31</v>
      </c>
      <c r="G23" s="8" t="s">
        <v>92</v>
      </c>
      <c r="H23" s="8">
        <v>15.0</v>
      </c>
      <c r="I23" s="8" t="s">
        <v>34</v>
      </c>
      <c r="J23" s="8" t="s">
        <v>55</v>
      </c>
      <c r="K23" s="8"/>
      <c r="L23" s="8"/>
      <c r="M23" s="8"/>
      <c r="N23" s="8"/>
      <c r="O23" s="8"/>
      <c r="P23" s="8"/>
      <c r="Q23" s="15">
        <v>3350.0</v>
      </c>
      <c r="R23" s="15">
        <f>'VICENTE LOMBARDO'!$Q23*'VICENTE LOMBARDO'!$E23</f>
        <v>3350</v>
      </c>
      <c r="S23" s="15">
        <f>'VICENTE LOMBARDO'!$R23*16%</f>
        <v>536</v>
      </c>
      <c r="T23" s="15">
        <f>'VICENTE LOMBARDO'!$R23+'VICENTE LOMBARDO'!$S23</f>
        <v>3886</v>
      </c>
      <c r="U23" s="8" t="s">
        <v>59</v>
      </c>
      <c r="V23" s="17" t="s">
        <v>44</v>
      </c>
      <c r="W23" s="15" t="s">
        <v>60</v>
      </c>
    </row>
    <row r="24" ht="15.75" hidden="1" customHeight="1">
      <c r="A24" s="6">
        <v>23.0</v>
      </c>
      <c r="B24" s="6"/>
      <c r="C24" s="8">
        <v>5591.0</v>
      </c>
      <c r="D24" s="9">
        <v>46177.0</v>
      </c>
      <c r="E24" s="8">
        <v>1.0</v>
      </c>
      <c r="F24" s="8" t="s">
        <v>31</v>
      </c>
      <c r="G24" s="8" t="s">
        <v>39</v>
      </c>
      <c r="H24" s="8">
        <v>15.0</v>
      </c>
      <c r="I24" s="8" t="s">
        <v>34</v>
      </c>
      <c r="J24" s="8" t="s">
        <v>88</v>
      </c>
      <c r="K24" s="8"/>
      <c r="L24" s="8"/>
      <c r="M24" s="8"/>
      <c r="N24" s="8"/>
      <c r="O24" s="8"/>
      <c r="P24" s="8"/>
      <c r="Q24" s="14">
        <v>3350.0</v>
      </c>
      <c r="R24" s="15">
        <f>'VICENTE LOMBARDO'!$Q24*'VICENTE LOMBARDO'!$E24</f>
        <v>3350</v>
      </c>
      <c r="S24" s="15">
        <f>'VICENTE LOMBARDO'!$R24*16%</f>
        <v>536</v>
      </c>
      <c r="T24" s="15">
        <f>'VICENTE LOMBARDO'!$R24+'VICENTE LOMBARDO'!$S24</f>
        <v>3886</v>
      </c>
      <c r="U24" s="8" t="s">
        <v>43</v>
      </c>
      <c r="V24" s="17" t="s">
        <v>44</v>
      </c>
      <c r="W24" s="15" t="s">
        <v>45</v>
      </c>
    </row>
    <row r="25" ht="15.75" hidden="1" customHeight="1">
      <c r="A25" s="6">
        <v>23.0</v>
      </c>
      <c r="B25" s="6"/>
      <c r="C25" s="8">
        <v>5592.0</v>
      </c>
      <c r="D25" s="9">
        <v>46177.0</v>
      </c>
      <c r="E25" s="8">
        <v>1.0</v>
      </c>
      <c r="F25" s="8" t="s">
        <v>31</v>
      </c>
      <c r="G25" s="8" t="s">
        <v>93</v>
      </c>
      <c r="H25" s="8">
        <v>15.0</v>
      </c>
      <c r="I25" s="8" t="s">
        <v>34</v>
      </c>
      <c r="J25" s="8" t="s">
        <v>94</v>
      </c>
      <c r="K25" s="8"/>
      <c r="L25" s="8"/>
      <c r="M25" s="8"/>
      <c r="N25" s="8"/>
      <c r="O25" s="8"/>
      <c r="P25" s="8"/>
      <c r="Q25" s="14">
        <v>3350.0</v>
      </c>
      <c r="R25" s="15">
        <f>'VICENTE LOMBARDO'!$Q25*'VICENTE LOMBARDO'!$E25</f>
        <v>3350</v>
      </c>
      <c r="S25" s="15">
        <f>'VICENTE LOMBARDO'!$R25*16%</f>
        <v>536</v>
      </c>
      <c r="T25" s="15">
        <f>'VICENTE LOMBARDO'!$R25+'VICENTE LOMBARDO'!$S25</f>
        <v>3886</v>
      </c>
      <c r="U25" s="8" t="s">
        <v>43</v>
      </c>
      <c r="V25" s="17" t="s">
        <v>44</v>
      </c>
      <c r="W25" s="15" t="s">
        <v>45</v>
      </c>
    </row>
    <row r="26" ht="15.75" hidden="1" customHeight="1">
      <c r="A26" s="6">
        <v>23.0</v>
      </c>
      <c r="B26" s="6"/>
      <c r="C26" s="8">
        <v>5593.0</v>
      </c>
      <c r="D26" s="9">
        <v>46177.0</v>
      </c>
      <c r="E26" s="8">
        <v>1.0</v>
      </c>
      <c r="F26" s="8" t="s">
        <v>31</v>
      </c>
      <c r="G26" s="8" t="s">
        <v>95</v>
      </c>
      <c r="H26" s="8">
        <v>15.0</v>
      </c>
      <c r="I26" s="8" t="s">
        <v>34</v>
      </c>
      <c r="J26" s="8" t="s">
        <v>96</v>
      </c>
      <c r="K26" s="8"/>
      <c r="L26" s="8"/>
      <c r="M26" s="8"/>
      <c r="N26" s="8"/>
      <c r="O26" s="8"/>
      <c r="P26" s="8"/>
      <c r="Q26" s="14">
        <v>3350.0</v>
      </c>
      <c r="R26" s="15">
        <f>'VICENTE LOMBARDO'!$Q26*'VICENTE LOMBARDO'!$E26</f>
        <v>3350</v>
      </c>
      <c r="S26" s="15">
        <f>'VICENTE LOMBARDO'!$R26*16%</f>
        <v>536</v>
      </c>
      <c r="T26" s="15">
        <f>'VICENTE LOMBARDO'!$R26+'VICENTE LOMBARDO'!$S26</f>
        <v>3886</v>
      </c>
      <c r="U26" s="8" t="s">
        <v>43</v>
      </c>
      <c r="V26" s="17" t="s">
        <v>44</v>
      </c>
      <c r="W26" s="15" t="s">
        <v>45</v>
      </c>
    </row>
    <row r="27" ht="15.75" hidden="1" customHeight="1">
      <c r="A27" s="6">
        <v>23.0</v>
      </c>
      <c r="B27" s="6"/>
      <c r="C27" s="8">
        <v>5594.0</v>
      </c>
      <c r="D27" s="9">
        <v>46177.0</v>
      </c>
      <c r="E27" s="8">
        <v>1.0</v>
      </c>
      <c r="F27" s="8" t="s">
        <v>31</v>
      </c>
      <c r="G27" s="8" t="s">
        <v>32</v>
      </c>
      <c r="H27" s="8">
        <v>15.0</v>
      </c>
      <c r="I27" s="8" t="s">
        <v>34</v>
      </c>
      <c r="J27" s="8" t="s">
        <v>35</v>
      </c>
      <c r="K27" s="8"/>
      <c r="L27" s="8"/>
      <c r="M27" s="8"/>
      <c r="N27" s="8"/>
      <c r="O27" s="8"/>
      <c r="P27" s="8"/>
      <c r="Q27" s="14">
        <v>3350.0</v>
      </c>
      <c r="R27" s="15">
        <f>'VICENTE LOMBARDO'!$Q27*'VICENTE LOMBARDO'!$E27</f>
        <v>3350</v>
      </c>
      <c r="S27" s="15">
        <f>'VICENTE LOMBARDO'!$R27*16%</f>
        <v>536</v>
      </c>
      <c r="T27" s="15">
        <f>'VICENTE LOMBARDO'!$R27+'VICENTE LOMBARDO'!$S27</f>
        <v>3886</v>
      </c>
      <c r="U27" s="8" t="s">
        <v>43</v>
      </c>
      <c r="V27" s="17" t="s">
        <v>44</v>
      </c>
      <c r="W27" s="15" t="s">
        <v>45</v>
      </c>
    </row>
    <row r="28" ht="15.75" hidden="1" customHeight="1">
      <c r="A28" s="6">
        <v>23.0</v>
      </c>
      <c r="B28" s="6"/>
      <c r="C28" s="8" t="s">
        <v>72</v>
      </c>
      <c r="D28" s="9">
        <v>46177.0</v>
      </c>
      <c r="E28" s="8">
        <v>1.0</v>
      </c>
      <c r="F28" s="8" t="s">
        <v>73</v>
      </c>
      <c r="G28" s="8"/>
      <c r="H28" s="8">
        <v>10.0</v>
      </c>
      <c r="I28" s="8" t="s">
        <v>34</v>
      </c>
      <c r="J28" s="8"/>
      <c r="K28" s="8"/>
      <c r="L28" s="8"/>
      <c r="M28" s="8"/>
      <c r="N28" s="8"/>
      <c r="O28" s="8"/>
      <c r="P28" s="8"/>
      <c r="Q28" s="14">
        <v>4700.0</v>
      </c>
      <c r="R28" s="15">
        <f>'VICENTE LOMBARDO'!$Q28*'VICENTE LOMBARDO'!$E28</f>
        <v>4700</v>
      </c>
      <c r="S28" s="15">
        <f>'VICENTE LOMBARDO'!$R28*16%</f>
        <v>752</v>
      </c>
      <c r="T28" s="15">
        <f>'VICENTE LOMBARDO'!$R28+'VICENTE LOMBARDO'!$S28</f>
        <v>5452</v>
      </c>
      <c r="U28" s="8" t="s">
        <v>43</v>
      </c>
      <c r="V28" s="17" t="s">
        <v>44</v>
      </c>
      <c r="W28" s="15" t="s">
        <v>45</v>
      </c>
    </row>
    <row r="29" ht="15.75" hidden="1" customHeight="1">
      <c r="A29" s="6">
        <v>23.0</v>
      </c>
      <c r="B29" s="6"/>
      <c r="C29" s="8">
        <v>5604.0</v>
      </c>
      <c r="D29" s="9">
        <v>46178.0</v>
      </c>
      <c r="E29" s="8">
        <v>1.0</v>
      </c>
      <c r="F29" s="8" t="s">
        <v>31</v>
      </c>
      <c r="G29" s="8" t="s">
        <v>80</v>
      </c>
      <c r="H29" s="8">
        <v>15.0</v>
      </c>
      <c r="I29" s="8" t="s">
        <v>34</v>
      </c>
      <c r="J29" s="8" t="s">
        <v>81</v>
      </c>
      <c r="K29" s="8"/>
      <c r="L29" s="8"/>
      <c r="M29" s="8"/>
      <c r="N29" s="8"/>
      <c r="O29" s="8"/>
      <c r="P29" s="8"/>
      <c r="Q29" s="14">
        <v>3350.0</v>
      </c>
      <c r="R29" s="15">
        <f>'VICENTE LOMBARDO'!$Q29*'VICENTE LOMBARDO'!$E29</f>
        <v>3350</v>
      </c>
      <c r="S29" s="15">
        <f>'VICENTE LOMBARDO'!$R29*16%</f>
        <v>536</v>
      </c>
      <c r="T29" s="15">
        <f>'VICENTE LOMBARDO'!$R29+'VICENTE LOMBARDO'!$S29</f>
        <v>3886</v>
      </c>
      <c r="U29" s="8" t="s">
        <v>43</v>
      </c>
      <c r="V29" s="17" t="s">
        <v>44</v>
      </c>
      <c r="W29" s="15" t="s">
        <v>45</v>
      </c>
    </row>
    <row r="30" ht="15.75" hidden="1" customHeight="1">
      <c r="A30" s="6">
        <v>23.0</v>
      </c>
      <c r="B30" s="6"/>
      <c r="C30" s="8">
        <v>5605.0</v>
      </c>
      <c r="D30" s="9">
        <v>46178.0</v>
      </c>
      <c r="E30" s="8">
        <v>1.0</v>
      </c>
      <c r="F30" s="8" t="s">
        <v>31</v>
      </c>
      <c r="G30" s="8" t="s">
        <v>86</v>
      </c>
      <c r="H30" s="8">
        <v>15.0</v>
      </c>
      <c r="I30" s="8" t="s">
        <v>34</v>
      </c>
      <c r="J30" s="8" t="s">
        <v>87</v>
      </c>
      <c r="K30" s="8"/>
      <c r="L30" s="8"/>
      <c r="M30" s="8"/>
      <c r="N30" s="8"/>
      <c r="O30" s="8"/>
      <c r="P30" s="8"/>
      <c r="Q30" s="14">
        <v>3350.0</v>
      </c>
      <c r="R30" s="15">
        <f>'VICENTE LOMBARDO'!$Q30*'VICENTE LOMBARDO'!$E30</f>
        <v>3350</v>
      </c>
      <c r="S30" s="15">
        <f>'VICENTE LOMBARDO'!$R30*16%</f>
        <v>536</v>
      </c>
      <c r="T30" s="15">
        <f>'VICENTE LOMBARDO'!$R30+'VICENTE LOMBARDO'!$S30</f>
        <v>3886</v>
      </c>
      <c r="U30" s="8" t="s">
        <v>43</v>
      </c>
      <c r="V30" s="17" t="s">
        <v>44</v>
      </c>
      <c r="W30" s="15" t="s">
        <v>45</v>
      </c>
    </row>
    <row r="31" ht="15.75" hidden="1" customHeight="1">
      <c r="A31" s="6">
        <v>23.0</v>
      </c>
      <c r="B31" s="6"/>
      <c r="C31" s="8">
        <v>5606.0</v>
      </c>
      <c r="D31" s="9">
        <v>46178.0</v>
      </c>
      <c r="E31" s="8">
        <v>1.0</v>
      </c>
      <c r="F31" s="8" t="s">
        <v>31</v>
      </c>
      <c r="G31" s="8" t="s">
        <v>82</v>
      </c>
      <c r="H31" s="8">
        <v>15.0</v>
      </c>
      <c r="I31" s="8" t="s">
        <v>34</v>
      </c>
      <c r="J31" s="8" t="s">
        <v>83</v>
      </c>
      <c r="K31" s="8"/>
      <c r="L31" s="8"/>
      <c r="M31" s="8"/>
      <c r="N31" s="8"/>
      <c r="O31" s="8"/>
      <c r="P31" s="8"/>
      <c r="Q31" s="14">
        <v>3350.0</v>
      </c>
      <c r="R31" s="15">
        <f>'VICENTE LOMBARDO'!$Q31*'VICENTE LOMBARDO'!$E31</f>
        <v>3350</v>
      </c>
      <c r="S31" s="15">
        <f>'VICENTE LOMBARDO'!$R31*16%</f>
        <v>536</v>
      </c>
      <c r="T31" s="15">
        <f>'VICENTE LOMBARDO'!$R31+'VICENTE LOMBARDO'!$S31</f>
        <v>3886</v>
      </c>
      <c r="U31" s="8" t="s">
        <v>43</v>
      </c>
      <c r="V31" s="17" t="s">
        <v>44</v>
      </c>
      <c r="W31" s="15" t="s">
        <v>45</v>
      </c>
    </row>
    <row r="32" ht="15.75" hidden="1" customHeight="1">
      <c r="A32" s="6">
        <v>23.0</v>
      </c>
      <c r="B32" s="6"/>
      <c r="C32" s="8">
        <v>5607.0</v>
      </c>
      <c r="D32" s="9">
        <v>46178.0</v>
      </c>
      <c r="E32" s="8">
        <v>1.0</v>
      </c>
      <c r="F32" s="8" t="s">
        <v>31</v>
      </c>
      <c r="G32" s="8" t="s">
        <v>78</v>
      </c>
      <c r="H32" s="8">
        <v>15.0</v>
      </c>
      <c r="I32" s="8" t="s">
        <v>34</v>
      </c>
      <c r="J32" s="8" t="s">
        <v>79</v>
      </c>
      <c r="K32" s="8"/>
      <c r="L32" s="8"/>
      <c r="M32" s="8"/>
      <c r="N32" s="8"/>
      <c r="O32" s="8"/>
      <c r="P32" s="8"/>
      <c r="Q32" s="14">
        <v>3350.0</v>
      </c>
      <c r="R32" s="15">
        <f>'VICENTE LOMBARDO'!$Q32*'VICENTE LOMBARDO'!$E32</f>
        <v>3350</v>
      </c>
      <c r="S32" s="15">
        <f>'VICENTE LOMBARDO'!$R32*16%</f>
        <v>536</v>
      </c>
      <c r="T32" s="15">
        <f>'VICENTE LOMBARDO'!$R32+'VICENTE LOMBARDO'!$S32</f>
        <v>3886</v>
      </c>
      <c r="U32" s="8" t="s">
        <v>43</v>
      </c>
      <c r="V32" s="17" t="s">
        <v>44</v>
      </c>
      <c r="W32" s="15" t="s">
        <v>45</v>
      </c>
    </row>
    <row r="33" ht="15.75" hidden="1" customHeight="1">
      <c r="A33" s="6">
        <v>23.0</v>
      </c>
      <c r="B33" s="6"/>
      <c r="C33" s="8">
        <v>5608.0</v>
      </c>
      <c r="D33" s="9">
        <v>46178.0</v>
      </c>
      <c r="E33" s="8">
        <v>1.0</v>
      </c>
      <c r="F33" s="8" t="s">
        <v>31</v>
      </c>
      <c r="G33" s="8" t="s">
        <v>39</v>
      </c>
      <c r="H33" s="8">
        <v>15.0</v>
      </c>
      <c r="I33" s="8" t="s">
        <v>34</v>
      </c>
      <c r="J33" s="8" t="s">
        <v>88</v>
      </c>
      <c r="K33" s="8"/>
      <c r="L33" s="8"/>
      <c r="M33" s="8"/>
      <c r="N33" s="8"/>
      <c r="O33" s="8"/>
      <c r="P33" s="8"/>
      <c r="Q33" s="14">
        <v>3350.0</v>
      </c>
      <c r="R33" s="15">
        <f>'VICENTE LOMBARDO'!$Q33*'VICENTE LOMBARDO'!$E33</f>
        <v>3350</v>
      </c>
      <c r="S33" s="15">
        <f>'VICENTE LOMBARDO'!$R33*16%</f>
        <v>536</v>
      </c>
      <c r="T33" s="15">
        <f>'VICENTE LOMBARDO'!$R33+'VICENTE LOMBARDO'!$S33</f>
        <v>3886</v>
      </c>
      <c r="U33" s="8" t="s">
        <v>43</v>
      </c>
      <c r="V33" s="17" t="s">
        <v>44</v>
      </c>
      <c r="W33" s="15" t="s">
        <v>45</v>
      </c>
    </row>
    <row r="34" ht="15.75" hidden="1" customHeight="1">
      <c r="A34" s="6">
        <v>23.0</v>
      </c>
      <c r="B34" s="6"/>
      <c r="C34" s="8">
        <v>5609.0</v>
      </c>
      <c r="D34" s="9">
        <v>46178.0</v>
      </c>
      <c r="E34" s="8">
        <v>1.0</v>
      </c>
      <c r="F34" s="8" t="s">
        <v>31</v>
      </c>
      <c r="G34" s="8" t="s">
        <v>95</v>
      </c>
      <c r="H34" s="8">
        <v>15.0</v>
      </c>
      <c r="I34" s="8" t="s">
        <v>34</v>
      </c>
      <c r="J34" s="8" t="s">
        <v>96</v>
      </c>
      <c r="K34" s="8"/>
      <c r="L34" s="8"/>
      <c r="M34" s="8"/>
      <c r="N34" s="8"/>
      <c r="O34" s="8"/>
      <c r="P34" s="8"/>
      <c r="Q34" s="14">
        <v>3350.0</v>
      </c>
      <c r="R34" s="15">
        <f>'VICENTE LOMBARDO'!$Q34*'VICENTE LOMBARDO'!$E34</f>
        <v>3350</v>
      </c>
      <c r="S34" s="15">
        <f>'VICENTE LOMBARDO'!$R34*16%</f>
        <v>536</v>
      </c>
      <c r="T34" s="15">
        <f>'VICENTE LOMBARDO'!$R34+'VICENTE LOMBARDO'!$S34</f>
        <v>3886</v>
      </c>
      <c r="U34" s="8" t="s">
        <v>43</v>
      </c>
      <c r="V34" s="17" t="s">
        <v>44</v>
      </c>
      <c r="W34" s="15" t="s">
        <v>45</v>
      </c>
    </row>
    <row r="35" ht="15.75" hidden="1" customHeight="1">
      <c r="A35" s="6">
        <v>23.0</v>
      </c>
      <c r="B35" s="6"/>
      <c r="C35" s="8">
        <v>5610.0</v>
      </c>
      <c r="D35" s="9">
        <v>46178.0</v>
      </c>
      <c r="E35" s="8">
        <v>1.0</v>
      </c>
      <c r="F35" s="8" t="s">
        <v>31</v>
      </c>
      <c r="G35" s="8" t="s">
        <v>32</v>
      </c>
      <c r="H35" s="8">
        <v>15.0</v>
      </c>
      <c r="I35" s="8" t="s">
        <v>34</v>
      </c>
      <c r="J35" s="8" t="s">
        <v>35</v>
      </c>
      <c r="K35" s="8"/>
      <c r="L35" s="8"/>
      <c r="M35" s="8"/>
      <c r="N35" s="8"/>
      <c r="O35" s="8"/>
      <c r="P35" s="8"/>
      <c r="Q35" s="14">
        <v>3350.0</v>
      </c>
      <c r="R35" s="15">
        <f>'VICENTE LOMBARDO'!$Q35*'VICENTE LOMBARDO'!$E35</f>
        <v>3350</v>
      </c>
      <c r="S35" s="15">
        <f>'VICENTE LOMBARDO'!$R35*16%</f>
        <v>536</v>
      </c>
      <c r="T35" s="15">
        <f>'VICENTE LOMBARDO'!$R35+'VICENTE LOMBARDO'!$S35</f>
        <v>3886</v>
      </c>
      <c r="U35" s="8" t="s">
        <v>43</v>
      </c>
      <c r="V35" s="17" t="s">
        <v>44</v>
      </c>
      <c r="W35" s="15" t="s">
        <v>45</v>
      </c>
    </row>
    <row r="36" ht="15.75" hidden="1" customHeight="1">
      <c r="A36" s="6">
        <v>23.0</v>
      </c>
      <c r="B36" s="6"/>
      <c r="C36" s="8">
        <v>5611.0</v>
      </c>
      <c r="D36" s="9">
        <v>46178.0</v>
      </c>
      <c r="E36" s="8">
        <v>1.0</v>
      </c>
      <c r="F36" s="8" t="s">
        <v>31</v>
      </c>
      <c r="G36" s="8" t="s">
        <v>69</v>
      </c>
      <c r="H36" s="8">
        <v>15.0</v>
      </c>
      <c r="I36" s="8" t="s">
        <v>34</v>
      </c>
      <c r="J36" s="8" t="s">
        <v>70</v>
      </c>
      <c r="K36" s="8"/>
      <c r="L36" s="8"/>
      <c r="M36" s="8"/>
      <c r="N36" s="8"/>
      <c r="O36" s="8"/>
      <c r="P36" s="8"/>
      <c r="Q36" s="14">
        <v>3350.0</v>
      </c>
      <c r="R36" s="15">
        <f>'VICENTE LOMBARDO'!$Q36*'VICENTE LOMBARDO'!$E36</f>
        <v>3350</v>
      </c>
      <c r="S36" s="15">
        <f>'VICENTE LOMBARDO'!$R36*16%</f>
        <v>536</v>
      </c>
      <c r="T36" s="15">
        <f>'VICENTE LOMBARDO'!$R36+'VICENTE LOMBARDO'!$S36</f>
        <v>3886</v>
      </c>
      <c r="U36" s="8" t="s">
        <v>43</v>
      </c>
      <c r="V36" s="17" t="s">
        <v>44</v>
      </c>
      <c r="W36" s="15" t="s">
        <v>45</v>
      </c>
    </row>
    <row r="37" ht="15.75" hidden="1" customHeight="1">
      <c r="A37" s="6">
        <v>23.0</v>
      </c>
      <c r="B37" s="6"/>
      <c r="C37" s="8">
        <v>5612.0</v>
      </c>
      <c r="D37" s="9">
        <v>46178.0</v>
      </c>
      <c r="E37" s="8">
        <v>1.0</v>
      </c>
      <c r="F37" s="8" t="s">
        <v>31</v>
      </c>
      <c r="G37" s="8" t="s">
        <v>92</v>
      </c>
      <c r="H37" s="8">
        <v>15.0</v>
      </c>
      <c r="I37" s="8" t="s">
        <v>34</v>
      </c>
      <c r="J37" s="8" t="s">
        <v>55</v>
      </c>
      <c r="K37" s="8"/>
      <c r="L37" s="8"/>
      <c r="M37" s="8"/>
      <c r="N37" s="8"/>
      <c r="O37" s="8"/>
      <c r="P37" s="8"/>
      <c r="Q37" s="15">
        <v>3350.0</v>
      </c>
      <c r="R37" s="15">
        <f>'VICENTE LOMBARDO'!$Q37*'VICENTE LOMBARDO'!$E37</f>
        <v>3350</v>
      </c>
      <c r="S37" s="15">
        <f>'VICENTE LOMBARDO'!$R37*16%</f>
        <v>536</v>
      </c>
      <c r="T37" s="15">
        <f>'VICENTE LOMBARDO'!$R37+'VICENTE LOMBARDO'!$S37</f>
        <v>3886</v>
      </c>
      <c r="U37" s="8" t="s">
        <v>59</v>
      </c>
      <c r="V37" s="17" t="s">
        <v>44</v>
      </c>
      <c r="W37" s="15" t="s">
        <v>60</v>
      </c>
    </row>
    <row r="38" ht="15.75" hidden="1" customHeight="1">
      <c r="A38" s="6">
        <v>23.0</v>
      </c>
      <c r="B38" s="6"/>
      <c r="C38" s="8">
        <v>5613.0</v>
      </c>
      <c r="D38" s="9">
        <v>46178.0</v>
      </c>
      <c r="E38" s="8">
        <v>1.0</v>
      </c>
      <c r="F38" s="8" t="s">
        <v>31</v>
      </c>
      <c r="G38" s="8" t="s">
        <v>90</v>
      </c>
      <c r="H38" s="8">
        <v>15.0</v>
      </c>
      <c r="I38" s="8" t="s">
        <v>34</v>
      </c>
      <c r="J38" s="8" t="s">
        <v>91</v>
      </c>
      <c r="K38" s="8"/>
      <c r="L38" s="8"/>
      <c r="M38" s="8"/>
      <c r="N38" s="8"/>
      <c r="O38" s="8"/>
      <c r="P38" s="8"/>
      <c r="Q38" s="14">
        <v>3350.0</v>
      </c>
      <c r="R38" s="15">
        <f>'VICENTE LOMBARDO'!$Q38*'VICENTE LOMBARDO'!$E38</f>
        <v>3350</v>
      </c>
      <c r="S38" s="15">
        <f>'VICENTE LOMBARDO'!$R38*16%</f>
        <v>536</v>
      </c>
      <c r="T38" s="15">
        <f>'VICENTE LOMBARDO'!$R38+'VICENTE LOMBARDO'!$S38</f>
        <v>3886</v>
      </c>
      <c r="U38" s="8" t="s">
        <v>43</v>
      </c>
      <c r="V38" s="17" t="s">
        <v>44</v>
      </c>
      <c r="W38" s="15" t="s">
        <v>45</v>
      </c>
    </row>
    <row r="39" ht="15.75" hidden="1" customHeight="1">
      <c r="A39" s="6">
        <v>24.0</v>
      </c>
      <c r="B39" s="6"/>
      <c r="C39" s="8">
        <v>5626.0</v>
      </c>
      <c r="D39" s="9">
        <v>46181.0</v>
      </c>
      <c r="E39" s="8">
        <v>1.0</v>
      </c>
      <c r="F39" s="8" t="s">
        <v>31</v>
      </c>
      <c r="G39" s="8" t="s">
        <v>100</v>
      </c>
      <c r="H39" s="8">
        <v>15.0</v>
      </c>
      <c r="I39" s="8" t="s">
        <v>34</v>
      </c>
      <c r="J39" s="8" t="s">
        <v>87</v>
      </c>
      <c r="K39" s="8"/>
      <c r="L39" s="8"/>
      <c r="M39" s="8"/>
      <c r="N39" s="8"/>
      <c r="O39" s="8"/>
      <c r="P39" s="8"/>
      <c r="Q39" s="14">
        <v>3350.0</v>
      </c>
      <c r="R39" s="15">
        <f>'VICENTE LOMBARDO'!$Q39*'VICENTE LOMBARDO'!$E39</f>
        <v>3350</v>
      </c>
      <c r="S39" s="15">
        <f>'VICENTE LOMBARDO'!$R39*16%</f>
        <v>536</v>
      </c>
      <c r="T39" s="15">
        <f>'VICENTE LOMBARDO'!$R39+'VICENTE LOMBARDO'!$S39</f>
        <v>3886</v>
      </c>
      <c r="U39" s="17" t="s">
        <v>59</v>
      </c>
      <c r="V39" s="17" t="s">
        <v>44</v>
      </c>
      <c r="W39" s="15" t="s">
        <v>60</v>
      </c>
    </row>
    <row r="40" ht="15.75" hidden="1" customHeight="1">
      <c r="A40" s="6">
        <v>24.0</v>
      </c>
      <c r="B40" s="6"/>
      <c r="C40" s="8">
        <v>5627.0</v>
      </c>
      <c r="D40" s="9">
        <v>46181.0</v>
      </c>
      <c r="E40" s="8">
        <v>1.0</v>
      </c>
      <c r="F40" s="8" t="s">
        <v>31</v>
      </c>
      <c r="G40" s="8" t="s">
        <v>80</v>
      </c>
      <c r="H40" s="8">
        <v>15.0</v>
      </c>
      <c r="I40" s="8" t="s">
        <v>34</v>
      </c>
      <c r="J40" s="8" t="s">
        <v>81</v>
      </c>
      <c r="K40" s="8"/>
      <c r="L40" s="8"/>
      <c r="M40" s="8"/>
      <c r="N40" s="8"/>
      <c r="O40" s="8"/>
      <c r="P40" s="8"/>
      <c r="Q40" s="14">
        <v>3350.0</v>
      </c>
      <c r="R40" s="15">
        <f>'VICENTE LOMBARDO'!$Q40*'VICENTE LOMBARDO'!$E40</f>
        <v>3350</v>
      </c>
      <c r="S40" s="15">
        <f>'VICENTE LOMBARDO'!$R40*16%</f>
        <v>536</v>
      </c>
      <c r="T40" s="15">
        <f>'VICENTE LOMBARDO'!$R40+'VICENTE LOMBARDO'!$S40</f>
        <v>3886</v>
      </c>
      <c r="U40" s="17" t="s">
        <v>59</v>
      </c>
      <c r="V40" s="17" t="s">
        <v>44</v>
      </c>
      <c r="W40" s="15" t="s">
        <v>60</v>
      </c>
    </row>
    <row r="41" ht="15.75" hidden="1" customHeight="1">
      <c r="A41" s="6">
        <v>24.0</v>
      </c>
      <c r="B41" s="6"/>
      <c r="C41" s="8">
        <v>5628.0</v>
      </c>
      <c r="D41" s="9">
        <v>46181.0</v>
      </c>
      <c r="E41" s="8">
        <v>1.0</v>
      </c>
      <c r="F41" s="8" t="s">
        <v>31</v>
      </c>
      <c r="G41" s="8" t="s">
        <v>71</v>
      </c>
      <c r="H41" s="8">
        <v>15.0</v>
      </c>
      <c r="I41" s="8" t="s">
        <v>34</v>
      </c>
      <c r="J41" s="8" t="s">
        <v>83</v>
      </c>
      <c r="K41" s="8"/>
      <c r="L41" s="8"/>
      <c r="M41" s="8"/>
      <c r="N41" s="8"/>
      <c r="O41" s="8"/>
      <c r="P41" s="8"/>
      <c r="Q41" s="14">
        <v>3350.0</v>
      </c>
      <c r="R41" s="15">
        <f>'VICENTE LOMBARDO'!$Q41*'VICENTE LOMBARDO'!$E41</f>
        <v>3350</v>
      </c>
      <c r="S41" s="15">
        <f>'VICENTE LOMBARDO'!$R41*16%</f>
        <v>536</v>
      </c>
      <c r="T41" s="15">
        <f>'VICENTE LOMBARDO'!$R41+'VICENTE LOMBARDO'!$S41</f>
        <v>3886</v>
      </c>
      <c r="U41" s="17" t="s">
        <v>59</v>
      </c>
      <c r="V41" s="17" t="s">
        <v>44</v>
      </c>
      <c r="W41" s="15" t="s">
        <v>60</v>
      </c>
    </row>
    <row r="42" ht="15.75" hidden="1" customHeight="1">
      <c r="A42" s="6">
        <v>24.0</v>
      </c>
      <c r="B42" s="6"/>
      <c r="C42" s="8">
        <v>5629.0</v>
      </c>
      <c r="D42" s="9">
        <v>46181.0</v>
      </c>
      <c r="E42" s="8">
        <v>1.0</v>
      </c>
      <c r="F42" s="8" t="s">
        <v>31</v>
      </c>
      <c r="G42" s="8" t="s">
        <v>78</v>
      </c>
      <c r="H42" s="8">
        <v>15.0</v>
      </c>
      <c r="I42" s="8" t="s">
        <v>34</v>
      </c>
      <c r="J42" s="8" t="s">
        <v>101</v>
      </c>
      <c r="K42" s="8"/>
      <c r="L42" s="8"/>
      <c r="M42" s="8"/>
      <c r="N42" s="8"/>
      <c r="O42" s="8"/>
      <c r="P42" s="8"/>
      <c r="Q42" s="14">
        <v>3350.0</v>
      </c>
      <c r="R42" s="15">
        <f>'VICENTE LOMBARDO'!$Q42*'VICENTE LOMBARDO'!$E42</f>
        <v>3350</v>
      </c>
      <c r="S42" s="15">
        <f>'VICENTE LOMBARDO'!$R42*16%</f>
        <v>536</v>
      </c>
      <c r="T42" s="15">
        <f>'VICENTE LOMBARDO'!$R42+'VICENTE LOMBARDO'!$S42</f>
        <v>3886</v>
      </c>
      <c r="U42" s="17" t="s">
        <v>59</v>
      </c>
      <c r="V42" s="17" t="s">
        <v>44</v>
      </c>
      <c r="W42" s="15" t="s">
        <v>60</v>
      </c>
    </row>
    <row r="43" ht="15.75" hidden="1" customHeight="1">
      <c r="A43" s="6">
        <v>24.0</v>
      </c>
      <c r="B43" s="6"/>
      <c r="C43" s="8">
        <v>5630.0</v>
      </c>
      <c r="D43" s="9">
        <v>46181.0</v>
      </c>
      <c r="E43" s="8">
        <v>1.0</v>
      </c>
      <c r="F43" s="8" t="s">
        <v>31</v>
      </c>
      <c r="G43" s="8" t="s">
        <v>71</v>
      </c>
      <c r="H43" s="8">
        <v>15.0</v>
      </c>
      <c r="I43" s="8" t="s">
        <v>34</v>
      </c>
      <c r="J43" s="8" t="s">
        <v>70</v>
      </c>
      <c r="K43" s="8"/>
      <c r="L43" s="8"/>
      <c r="M43" s="8"/>
      <c r="N43" s="8"/>
      <c r="O43" s="8"/>
      <c r="P43" s="8"/>
      <c r="Q43" s="14">
        <v>3350.0</v>
      </c>
      <c r="R43" s="15">
        <f>'VICENTE LOMBARDO'!$Q43*'VICENTE LOMBARDO'!$E43</f>
        <v>3350</v>
      </c>
      <c r="S43" s="15">
        <f>'VICENTE LOMBARDO'!$R43*16%</f>
        <v>536</v>
      </c>
      <c r="T43" s="15">
        <f>'VICENTE LOMBARDO'!$R43+'VICENTE LOMBARDO'!$S43</f>
        <v>3886</v>
      </c>
      <c r="U43" s="17" t="s">
        <v>59</v>
      </c>
      <c r="V43" s="17" t="s">
        <v>44</v>
      </c>
      <c r="W43" s="15" t="s">
        <v>60</v>
      </c>
    </row>
    <row r="44" ht="15.75" hidden="1" customHeight="1">
      <c r="A44" s="6">
        <v>24.0</v>
      </c>
      <c r="B44" s="6"/>
      <c r="C44" s="8">
        <v>5631.0</v>
      </c>
      <c r="D44" s="9">
        <v>46181.0</v>
      </c>
      <c r="E44" s="8">
        <v>1.0</v>
      </c>
      <c r="F44" s="8" t="s">
        <v>31</v>
      </c>
      <c r="G44" s="8" t="s">
        <v>39</v>
      </c>
      <c r="H44" s="8">
        <v>15.0</v>
      </c>
      <c r="I44" s="8" t="s">
        <v>34</v>
      </c>
      <c r="J44" s="8" t="s">
        <v>41</v>
      </c>
      <c r="K44" s="8"/>
      <c r="L44" s="8"/>
      <c r="M44" s="8"/>
      <c r="N44" s="8"/>
      <c r="O44" s="8"/>
      <c r="P44" s="8"/>
      <c r="Q44" s="14">
        <v>3350.0</v>
      </c>
      <c r="R44" s="15">
        <f>'VICENTE LOMBARDO'!$Q44*'VICENTE LOMBARDO'!$E44</f>
        <v>3350</v>
      </c>
      <c r="S44" s="15">
        <f>'VICENTE LOMBARDO'!$R44*16%</f>
        <v>536</v>
      </c>
      <c r="T44" s="15">
        <f>'VICENTE LOMBARDO'!$R44+'VICENTE LOMBARDO'!$S44</f>
        <v>3886</v>
      </c>
      <c r="U44" s="17" t="s">
        <v>59</v>
      </c>
      <c r="V44" s="17" t="s">
        <v>44</v>
      </c>
      <c r="W44" s="15" t="s">
        <v>60</v>
      </c>
    </row>
    <row r="45" ht="15.75" hidden="1" customHeight="1">
      <c r="A45" s="6">
        <v>24.0</v>
      </c>
      <c r="B45" s="6"/>
      <c r="C45" s="8">
        <v>5664.0</v>
      </c>
      <c r="D45" s="9">
        <v>46184.0</v>
      </c>
      <c r="E45" s="8">
        <v>1.0</v>
      </c>
      <c r="F45" s="8" t="s">
        <v>31</v>
      </c>
      <c r="G45" s="8" t="s">
        <v>100</v>
      </c>
      <c r="H45" s="8">
        <v>15.0</v>
      </c>
      <c r="I45" s="8" t="s">
        <v>34</v>
      </c>
      <c r="J45" s="8" t="s">
        <v>87</v>
      </c>
      <c r="K45" s="8"/>
      <c r="L45" s="8"/>
      <c r="M45" s="8"/>
      <c r="N45" s="8"/>
      <c r="O45" s="8"/>
      <c r="P45" s="8"/>
      <c r="Q45" s="14">
        <v>4020.0</v>
      </c>
      <c r="R45" s="15">
        <f>'VICENTE LOMBARDO'!$Q45*'VICENTE LOMBARDO'!$E45</f>
        <v>4020</v>
      </c>
      <c r="S45" s="15">
        <f>'VICENTE LOMBARDO'!$R45*16%</f>
        <v>643.2</v>
      </c>
      <c r="T45" s="15">
        <f>'VICENTE LOMBARDO'!$R45+'VICENTE LOMBARDO'!$S45</f>
        <v>4663.2</v>
      </c>
      <c r="U45" s="8" t="s">
        <v>59</v>
      </c>
      <c r="V45" s="17" t="s">
        <v>44</v>
      </c>
      <c r="W45" s="15" t="s">
        <v>60</v>
      </c>
    </row>
    <row r="46" ht="15.75" hidden="1" customHeight="1">
      <c r="A46" s="6">
        <v>24.0</v>
      </c>
      <c r="B46" s="6"/>
      <c r="C46" s="8">
        <v>5665.0</v>
      </c>
      <c r="D46" s="9">
        <v>46184.0</v>
      </c>
      <c r="E46" s="8">
        <v>1.0</v>
      </c>
      <c r="F46" s="8" t="s">
        <v>31</v>
      </c>
      <c r="G46" s="8" t="s">
        <v>80</v>
      </c>
      <c r="H46" s="8">
        <v>15.0</v>
      </c>
      <c r="I46" s="8" t="s">
        <v>34</v>
      </c>
      <c r="J46" s="8" t="s">
        <v>81</v>
      </c>
      <c r="K46" s="8"/>
      <c r="L46" s="8"/>
      <c r="M46" s="8"/>
      <c r="N46" s="8"/>
      <c r="O46" s="8"/>
      <c r="P46" s="8"/>
      <c r="Q46" s="14">
        <v>4020.0</v>
      </c>
      <c r="R46" s="15">
        <f>'VICENTE LOMBARDO'!$Q46*'VICENTE LOMBARDO'!$E46</f>
        <v>4020</v>
      </c>
      <c r="S46" s="15">
        <f>'VICENTE LOMBARDO'!$R46*16%</f>
        <v>643.2</v>
      </c>
      <c r="T46" s="15">
        <f>'VICENTE LOMBARDO'!$R46+'VICENTE LOMBARDO'!$S46</f>
        <v>4663.2</v>
      </c>
      <c r="U46" s="8" t="s">
        <v>59</v>
      </c>
      <c r="V46" s="17" t="s">
        <v>44</v>
      </c>
      <c r="W46" s="15" t="s">
        <v>60</v>
      </c>
    </row>
    <row r="47" ht="15.75" hidden="1" customHeight="1">
      <c r="A47" s="6">
        <v>24.0</v>
      </c>
      <c r="B47" s="6"/>
      <c r="C47" s="8">
        <v>5666.0</v>
      </c>
      <c r="D47" s="9">
        <v>46184.0</v>
      </c>
      <c r="E47" s="8">
        <v>1.0</v>
      </c>
      <c r="F47" s="8" t="s">
        <v>31</v>
      </c>
      <c r="G47" s="8" t="s">
        <v>71</v>
      </c>
      <c r="H47" s="8">
        <v>15.0</v>
      </c>
      <c r="I47" s="8" t="s">
        <v>34</v>
      </c>
      <c r="J47" s="8" t="s">
        <v>83</v>
      </c>
      <c r="K47" s="8"/>
      <c r="L47" s="8"/>
      <c r="M47" s="8"/>
      <c r="N47" s="8"/>
      <c r="O47" s="8"/>
      <c r="P47" s="8"/>
      <c r="Q47" s="14">
        <v>4020.0</v>
      </c>
      <c r="R47" s="15">
        <f>'VICENTE LOMBARDO'!$Q47*'VICENTE LOMBARDO'!$E47</f>
        <v>4020</v>
      </c>
      <c r="S47" s="15">
        <f>'VICENTE LOMBARDO'!$R47*16%</f>
        <v>643.2</v>
      </c>
      <c r="T47" s="15">
        <f>'VICENTE LOMBARDO'!$R47+'VICENTE LOMBARDO'!$S47</f>
        <v>4663.2</v>
      </c>
      <c r="U47" s="8" t="s">
        <v>59</v>
      </c>
      <c r="V47" s="17" t="s">
        <v>44</v>
      </c>
      <c r="W47" s="15" t="s">
        <v>60</v>
      </c>
    </row>
    <row r="48" ht="15.75" hidden="1" customHeight="1">
      <c r="A48" s="6">
        <v>24.0</v>
      </c>
      <c r="B48" s="6"/>
      <c r="C48" s="8">
        <v>5667.0</v>
      </c>
      <c r="D48" s="9">
        <v>46184.0</v>
      </c>
      <c r="E48" s="8">
        <v>1.0</v>
      </c>
      <c r="F48" s="8" t="s">
        <v>31</v>
      </c>
      <c r="G48" s="8" t="s">
        <v>105</v>
      </c>
      <c r="H48" s="8">
        <v>15.0</v>
      </c>
      <c r="I48" s="8" t="s">
        <v>34</v>
      </c>
      <c r="J48" s="8" t="s">
        <v>106</v>
      </c>
      <c r="K48" s="8"/>
      <c r="L48" s="8"/>
      <c r="M48" s="8"/>
      <c r="N48" s="8"/>
      <c r="O48" s="8"/>
      <c r="P48" s="8"/>
      <c r="Q48" s="14">
        <v>4020.0</v>
      </c>
      <c r="R48" s="15">
        <f>'VICENTE LOMBARDO'!$Q48*'VICENTE LOMBARDO'!$E48</f>
        <v>4020</v>
      </c>
      <c r="S48" s="15">
        <f>'VICENTE LOMBARDO'!$R48*16%</f>
        <v>643.2</v>
      </c>
      <c r="T48" s="15">
        <f>'VICENTE LOMBARDO'!$R48+'VICENTE LOMBARDO'!$S48</f>
        <v>4663.2</v>
      </c>
      <c r="U48" s="8" t="s">
        <v>59</v>
      </c>
      <c r="V48" s="17" t="s">
        <v>44</v>
      </c>
      <c r="W48" s="15" t="s">
        <v>60</v>
      </c>
    </row>
    <row r="49" ht="15.75" hidden="1" customHeight="1">
      <c r="A49" s="6">
        <v>24.0</v>
      </c>
      <c r="B49" s="6"/>
      <c r="C49" s="8">
        <v>5668.0</v>
      </c>
      <c r="D49" s="9">
        <v>46184.0</v>
      </c>
      <c r="E49" s="8">
        <v>1.0</v>
      </c>
      <c r="F49" s="8" t="s">
        <v>31</v>
      </c>
      <c r="G49" s="8" t="s">
        <v>78</v>
      </c>
      <c r="H49" s="8">
        <v>15.0</v>
      </c>
      <c r="I49" s="8" t="s">
        <v>34</v>
      </c>
      <c r="J49" s="8" t="s">
        <v>101</v>
      </c>
      <c r="K49" s="8"/>
      <c r="L49" s="8"/>
      <c r="M49" s="8"/>
      <c r="N49" s="8"/>
      <c r="O49" s="8"/>
      <c r="P49" s="8"/>
      <c r="Q49" s="14">
        <v>4020.0</v>
      </c>
      <c r="R49" s="15">
        <f>'VICENTE LOMBARDO'!$Q49*'VICENTE LOMBARDO'!$E49</f>
        <v>4020</v>
      </c>
      <c r="S49" s="15">
        <f>'VICENTE LOMBARDO'!$R49*16%</f>
        <v>643.2</v>
      </c>
      <c r="T49" s="15">
        <f>'VICENTE LOMBARDO'!$R49+'VICENTE LOMBARDO'!$S49</f>
        <v>4663.2</v>
      </c>
      <c r="U49" s="8" t="s">
        <v>59</v>
      </c>
      <c r="V49" s="17" t="s">
        <v>44</v>
      </c>
      <c r="W49" s="15" t="s">
        <v>60</v>
      </c>
    </row>
    <row r="50" ht="15.75" hidden="1" customHeight="1">
      <c r="A50" s="6">
        <v>24.0</v>
      </c>
      <c r="B50" s="6"/>
      <c r="C50" s="8">
        <v>5677.0</v>
      </c>
      <c r="D50" s="9">
        <v>46185.0</v>
      </c>
      <c r="E50" s="8">
        <v>1.0</v>
      </c>
      <c r="F50" s="8" t="s">
        <v>31</v>
      </c>
      <c r="G50" s="8" t="s">
        <v>39</v>
      </c>
      <c r="H50" s="8">
        <v>15.0</v>
      </c>
      <c r="I50" s="8" t="s">
        <v>34</v>
      </c>
      <c r="J50" s="8" t="s">
        <v>41</v>
      </c>
      <c r="K50" s="8"/>
      <c r="L50" s="8"/>
      <c r="M50" s="8"/>
      <c r="N50" s="8"/>
      <c r="O50" s="8"/>
      <c r="P50" s="8"/>
      <c r="Q50" s="14">
        <v>4020.0</v>
      </c>
      <c r="R50" s="15">
        <f>'VICENTE LOMBARDO'!$Q50*'VICENTE LOMBARDO'!$E50</f>
        <v>4020</v>
      </c>
      <c r="S50" s="15">
        <f>'VICENTE LOMBARDO'!$R50*16%</f>
        <v>643.2</v>
      </c>
      <c r="T50" s="15">
        <f>'VICENTE LOMBARDO'!$R50+'VICENTE LOMBARDO'!$S50</f>
        <v>4663.2</v>
      </c>
      <c r="U50" s="17" t="s">
        <v>59</v>
      </c>
      <c r="V50" s="17" t="s">
        <v>44</v>
      </c>
      <c r="W50" s="15" t="s">
        <v>60</v>
      </c>
    </row>
    <row r="51" ht="15.75" hidden="1" customHeight="1">
      <c r="A51" s="6">
        <v>24.0</v>
      </c>
      <c r="B51" s="6"/>
      <c r="C51" s="8">
        <v>5678.0</v>
      </c>
      <c r="D51" s="9">
        <v>46185.0</v>
      </c>
      <c r="E51" s="8">
        <v>1.0</v>
      </c>
      <c r="F51" s="8" t="s">
        <v>31</v>
      </c>
      <c r="G51" s="8" t="s">
        <v>71</v>
      </c>
      <c r="H51" s="8">
        <v>15.0</v>
      </c>
      <c r="I51" s="8" t="s">
        <v>34</v>
      </c>
      <c r="J51" s="8" t="s">
        <v>89</v>
      </c>
      <c r="K51" s="8"/>
      <c r="L51" s="8"/>
      <c r="M51" s="8"/>
      <c r="N51" s="8"/>
      <c r="O51" s="8"/>
      <c r="P51" s="8"/>
      <c r="Q51" s="14">
        <v>4020.0</v>
      </c>
      <c r="R51" s="15">
        <f>'VICENTE LOMBARDO'!$Q51*'VICENTE LOMBARDO'!$E51</f>
        <v>4020</v>
      </c>
      <c r="S51" s="15">
        <f>'VICENTE LOMBARDO'!$R51*16%</f>
        <v>643.2</v>
      </c>
      <c r="T51" s="15">
        <f>'VICENTE LOMBARDO'!$R51+'VICENTE LOMBARDO'!$S51</f>
        <v>4663.2</v>
      </c>
      <c r="U51" s="17" t="s">
        <v>59</v>
      </c>
      <c r="V51" s="17" t="s">
        <v>44</v>
      </c>
      <c r="W51" s="15" t="s">
        <v>60</v>
      </c>
    </row>
    <row r="52" ht="15.75" hidden="1" customHeight="1">
      <c r="A52" s="6">
        <v>24.0</v>
      </c>
      <c r="B52" s="6"/>
      <c r="C52" s="8">
        <v>5679.0</v>
      </c>
      <c r="D52" s="9">
        <v>46185.0</v>
      </c>
      <c r="E52" s="8">
        <v>1.0</v>
      </c>
      <c r="F52" s="8" t="s">
        <v>31</v>
      </c>
      <c r="G52" s="8" t="s">
        <v>126</v>
      </c>
      <c r="H52" s="8">
        <v>15.0</v>
      </c>
      <c r="I52" s="8" t="s">
        <v>34</v>
      </c>
      <c r="J52" s="8" t="s">
        <v>127</v>
      </c>
      <c r="K52" s="8"/>
      <c r="L52" s="8"/>
      <c r="M52" s="8"/>
      <c r="N52" s="8"/>
      <c r="O52" s="8"/>
      <c r="P52" s="8"/>
      <c r="Q52" s="14">
        <v>4020.0</v>
      </c>
      <c r="R52" s="15">
        <f>'VICENTE LOMBARDO'!$Q52*'VICENTE LOMBARDO'!$E52</f>
        <v>4020</v>
      </c>
      <c r="S52" s="15">
        <f>'VICENTE LOMBARDO'!$R52*16%</f>
        <v>643.2</v>
      </c>
      <c r="T52" s="15">
        <f>'VICENTE LOMBARDO'!$R52+'VICENTE LOMBARDO'!$S52</f>
        <v>4663.2</v>
      </c>
      <c r="U52" s="17" t="s">
        <v>59</v>
      </c>
      <c r="V52" s="17" t="s">
        <v>44</v>
      </c>
      <c r="W52" s="15" t="s">
        <v>60</v>
      </c>
    </row>
    <row r="53" ht="15.75" hidden="1" customHeight="1">
      <c r="A53" s="6">
        <v>24.0</v>
      </c>
      <c r="B53" s="6">
        <v>1.0</v>
      </c>
      <c r="C53" s="8">
        <v>5680.0</v>
      </c>
      <c r="D53" s="9">
        <v>46185.0</v>
      </c>
      <c r="E53" s="8">
        <v>1.0</v>
      </c>
      <c r="F53" s="8" t="s">
        <v>128</v>
      </c>
      <c r="G53" s="8" t="s">
        <v>100</v>
      </c>
      <c r="H53" s="8">
        <v>14.0</v>
      </c>
      <c r="I53" s="8" t="s">
        <v>34</v>
      </c>
      <c r="J53" s="8" t="s">
        <v>87</v>
      </c>
      <c r="K53" s="8"/>
      <c r="L53" s="8" t="s">
        <v>129</v>
      </c>
      <c r="M53" s="8" t="s">
        <v>130</v>
      </c>
      <c r="N53" s="8"/>
      <c r="O53" s="8"/>
      <c r="P53" s="8"/>
      <c r="Q53" s="14">
        <v>4205.0</v>
      </c>
      <c r="R53" s="15">
        <f>'VICENTE LOMBARDO'!$Q53*'VICENTE LOMBARDO'!$E53</f>
        <v>4205</v>
      </c>
      <c r="S53" s="15">
        <f>'VICENTE LOMBARDO'!$R53*16%</f>
        <v>672.8</v>
      </c>
      <c r="T53" s="15">
        <f>'VICENTE LOMBARDO'!$R53+'VICENTE LOMBARDO'!$S53</f>
        <v>4877.8</v>
      </c>
      <c r="U53" s="8" t="s">
        <v>131</v>
      </c>
      <c r="V53" s="15" t="s">
        <v>44</v>
      </c>
      <c r="W53" s="15" t="s">
        <v>45</v>
      </c>
    </row>
    <row r="54" ht="15.75" hidden="1" customHeight="1">
      <c r="A54" s="6">
        <v>24.0</v>
      </c>
      <c r="B54" s="6">
        <v>2.0</v>
      </c>
      <c r="C54" s="8">
        <v>5681.0</v>
      </c>
      <c r="D54" s="9">
        <v>46185.0</v>
      </c>
      <c r="E54" s="8">
        <v>1.0</v>
      </c>
      <c r="F54" s="8" t="s">
        <v>128</v>
      </c>
      <c r="G54" s="8" t="s">
        <v>132</v>
      </c>
      <c r="H54" s="8">
        <v>14.0</v>
      </c>
      <c r="I54" s="8" t="s">
        <v>34</v>
      </c>
      <c r="J54" s="8" t="s">
        <v>133</v>
      </c>
      <c r="K54" s="8"/>
      <c r="L54" s="8" t="s">
        <v>130</v>
      </c>
      <c r="M54" s="8" t="s">
        <v>134</v>
      </c>
      <c r="N54" s="8"/>
      <c r="O54" s="8"/>
      <c r="P54" s="8"/>
      <c r="Q54" s="14">
        <v>4205.0</v>
      </c>
      <c r="R54" s="15">
        <f>'VICENTE LOMBARDO'!$Q54*'VICENTE LOMBARDO'!$E54</f>
        <v>4205</v>
      </c>
      <c r="S54" s="15">
        <f>'VICENTE LOMBARDO'!$R54*16%</f>
        <v>672.8</v>
      </c>
      <c r="T54" s="15">
        <f>'VICENTE LOMBARDO'!$R54+'VICENTE LOMBARDO'!$S54</f>
        <v>4877.8</v>
      </c>
      <c r="U54" s="8" t="s">
        <v>131</v>
      </c>
      <c r="V54" s="15" t="s">
        <v>44</v>
      </c>
      <c r="W54" s="15" t="s">
        <v>45</v>
      </c>
    </row>
    <row r="55" ht="15.75" hidden="1" customHeight="1">
      <c r="A55" s="6">
        <v>24.0</v>
      </c>
      <c r="B55" s="6">
        <v>9.0</v>
      </c>
      <c r="C55" s="8">
        <v>5682.0</v>
      </c>
      <c r="D55" s="9">
        <v>46185.0</v>
      </c>
      <c r="E55" s="8">
        <v>1.0</v>
      </c>
      <c r="F55" s="8" t="s">
        <v>128</v>
      </c>
      <c r="G55" s="8" t="s">
        <v>71</v>
      </c>
      <c r="H55" s="8">
        <v>15.0</v>
      </c>
      <c r="I55" s="8" t="s">
        <v>34</v>
      </c>
      <c r="J55" s="8" t="s">
        <v>83</v>
      </c>
      <c r="K55" s="8"/>
      <c r="L55" s="8" t="s">
        <v>49</v>
      </c>
      <c r="M55" s="8" t="s">
        <v>49</v>
      </c>
      <c r="N55" s="8"/>
      <c r="O55" s="8"/>
      <c r="P55" s="8" t="s">
        <v>135</v>
      </c>
      <c r="Q55" s="51"/>
      <c r="R55" s="15">
        <f>'VICENTE LOMBARDO'!$Q55*'VICENTE LOMBARDO'!$E55</f>
        <v>0</v>
      </c>
      <c r="S55" s="15">
        <f>'VICENTE LOMBARDO'!$R55*16%</f>
        <v>0</v>
      </c>
      <c r="T55" s="15">
        <f>'VICENTE LOMBARDO'!$R55+'VICENTE LOMBARDO'!$S55</f>
        <v>0</v>
      </c>
      <c r="U55" s="8"/>
      <c r="V55" s="15"/>
      <c r="W55" s="15"/>
    </row>
    <row r="56" ht="15.75" hidden="1" customHeight="1">
      <c r="A56" s="6">
        <v>24.0</v>
      </c>
      <c r="B56" s="6">
        <v>8.0</v>
      </c>
      <c r="C56" s="8">
        <v>5683.0</v>
      </c>
      <c r="D56" s="9">
        <v>46185.0</v>
      </c>
      <c r="E56" s="8">
        <v>1.0</v>
      </c>
      <c r="F56" s="8" t="s">
        <v>31</v>
      </c>
      <c r="G56" s="8" t="s">
        <v>137</v>
      </c>
      <c r="H56" s="8">
        <v>14.0</v>
      </c>
      <c r="I56" s="8" t="s">
        <v>34</v>
      </c>
      <c r="J56" s="8" t="s">
        <v>138</v>
      </c>
      <c r="K56" s="8"/>
      <c r="L56" s="8" t="s">
        <v>139</v>
      </c>
      <c r="M56" s="8" t="s">
        <v>140</v>
      </c>
      <c r="N56" s="8"/>
      <c r="O56" s="8"/>
      <c r="P56" s="8"/>
      <c r="Q56" s="14">
        <v>4205.0</v>
      </c>
      <c r="R56" s="15">
        <f>'VICENTE LOMBARDO'!$Q56*'VICENTE LOMBARDO'!$E56</f>
        <v>4205</v>
      </c>
      <c r="S56" s="15">
        <f>'VICENTE LOMBARDO'!$R56*16%</f>
        <v>672.8</v>
      </c>
      <c r="T56" s="15">
        <f>'VICENTE LOMBARDO'!$R56+'VICENTE LOMBARDO'!$S56</f>
        <v>4877.8</v>
      </c>
      <c r="U56" s="8" t="s">
        <v>131</v>
      </c>
      <c r="V56" s="15"/>
      <c r="W56" s="15" t="s">
        <v>45</v>
      </c>
    </row>
    <row r="57" ht="15.75" hidden="1" customHeight="1">
      <c r="A57" s="6">
        <v>24.0</v>
      </c>
      <c r="B57" s="6">
        <v>7.0</v>
      </c>
      <c r="C57" s="8">
        <v>5684.0</v>
      </c>
      <c r="D57" s="9">
        <v>46185.0</v>
      </c>
      <c r="E57" s="8">
        <v>1.0</v>
      </c>
      <c r="F57" s="8" t="s">
        <v>31</v>
      </c>
      <c r="G57" s="8" t="s">
        <v>105</v>
      </c>
      <c r="H57" s="8">
        <v>14.0</v>
      </c>
      <c r="I57" s="8" t="s">
        <v>34</v>
      </c>
      <c r="J57" s="8" t="s">
        <v>106</v>
      </c>
      <c r="K57" s="8"/>
      <c r="L57" s="8" t="s">
        <v>141</v>
      </c>
      <c r="M57" s="8" t="s">
        <v>139</v>
      </c>
      <c r="N57" s="8"/>
      <c r="O57" s="8"/>
      <c r="P57" s="8"/>
      <c r="Q57" s="14">
        <v>4205.0</v>
      </c>
      <c r="R57" s="15">
        <f>'VICENTE LOMBARDO'!$Q57*'VICENTE LOMBARDO'!$E57</f>
        <v>4205</v>
      </c>
      <c r="S57" s="15">
        <f>'VICENTE LOMBARDO'!$R57*16%</f>
        <v>672.8</v>
      </c>
      <c r="T57" s="15">
        <f>'VICENTE LOMBARDO'!$R57+'VICENTE LOMBARDO'!$S57</f>
        <v>4877.8</v>
      </c>
      <c r="U57" s="8" t="s">
        <v>131</v>
      </c>
      <c r="V57" s="15"/>
      <c r="W57" s="15" t="s">
        <v>45</v>
      </c>
    </row>
    <row r="58" ht="15.75" hidden="1" customHeight="1">
      <c r="A58" s="6">
        <v>24.0</v>
      </c>
      <c r="B58" s="6">
        <v>4.0</v>
      </c>
      <c r="C58" s="8">
        <v>5685.0</v>
      </c>
      <c r="D58" s="9">
        <v>46185.0</v>
      </c>
      <c r="E58" s="8">
        <v>1.0</v>
      </c>
      <c r="F58" s="8" t="s">
        <v>31</v>
      </c>
      <c r="G58" s="8" t="s">
        <v>39</v>
      </c>
      <c r="H58" s="8">
        <v>14.0</v>
      </c>
      <c r="I58" s="8" t="s">
        <v>34</v>
      </c>
      <c r="J58" s="8" t="s">
        <v>41</v>
      </c>
      <c r="K58" s="8"/>
      <c r="L58" s="8" t="s">
        <v>142</v>
      </c>
      <c r="M58" s="8" t="s">
        <v>143</v>
      </c>
      <c r="N58" s="8"/>
      <c r="O58" s="8"/>
      <c r="P58" s="8"/>
      <c r="Q58" s="14">
        <v>4205.0</v>
      </c>
      <c r="R58" s="15">
        <f>'VICENTE LOMBARDO'!$Q58*'VICENTE LOMBARDO'!$E58</f>
        <v>4205</v>
      </c>
      <c r="S58" s="15">
        <f>'VICENTE LOMBARDO'!$R58*16%</f>
        <v>672.8</v>
      </c>
      <c r="T58" s="15">
        <f>'VICENTE LOMBARDO'!$R58+'VICENTE LOMBARDO'!$S58</f>
        <v>4877.8</v>
      </c>
      <c r="U58" s="8" t="s">
        <v>131</v>
      </c>
      <c r="V58" s="15"/>
      <c r="W58" s="15" t="s">
        <v>45</v>
      </c>
    </row>
    <row r="59" ht="15.75" hidden="1" customHeight="1">
      <c r="A59" s="6">
        <v>24.0</v>
      </c>
      <c r="B59" s="6">
        <v>3.0</v>
      </c>
      <c r="C59" s="8">
        <v>5686.0</v>
      </c>
      <c r="D59" s="9">
        <v>46185.0</v>
      </c>
      <c r="E59" s="8">
        <v>1.0</v>
      </c>
      <c r="F59" s="8" t="s">
        <v>31</v>
      </c>
      <c r="G59" s="8" t="s">
        <v>71</v>
      </c>
      <c r="H59" s="8">
        <v>14.0</v>
      </c>
      <c r="I59" s="8" t="s">
        <v>34</v>
      </c>
      <c r="J59" s="8" t="s">
        <v>89</v>
      </c>
      <c r="K59" s="8"/>
      <c r="L59" s="8" t="s">
        <v>134</v>
      </c>
      <c r="M59" s="8" t="s">
        <v>142</v>
      </c>
      <c r="N59" s="8"/>
      <c r="O59" s="8"/>
      <c r="P59" s="8"/>
      <c r="Q59" s="14">
        <v>4205.0</v>
      </c>
      <c r="R59" s="15">
        <f>'VICENTE LOMBARDO'!$Q59*'VICENTE LOMBARDO'!$E59</f>
        <v>4205</v>
      </c>
      <c r="S59" s="15">
        <f>'VICENTE LOMBARDO'!$R59*16%</f>
        <v>672.8</v>
      </c>
      <c r="T59" s="15">
        <f>'VICENTE LOMBARDO'!$R59+'VICENTE LOMBARDO'!$S59</f>
        <v>4877.8</v>
      </c>
      <c r="U59" s="8" t="s">
        <v>131</v>
      </c>
      <c r="V59" s="15"/>
      <c r="W59" s="15" t="s">
        <v>45</v>
      </c>
    </row>
    <row r="60" ht="15.75" hidden="1" customHeight="1">
      <c r="A60" s="6">
        <v>24.0</v>
      </c>
      <c r="B60" s="6">
        <v>5.0</v>
      </c>
      <c r="C60" s="8">
        <v>5687.0</v>
      </c>
      <c r="D60" s="9">
        <v>46185.0</v>
      </c>
      <c r="E60" s="8">
        <v>1.0</v>
      </c>
      <c r="F60" s="8" t="s">
        <v>31</v>
      </c>
      <c r="G60" s="8" t="s">
        <v>126</v>
      </c>
      <c r="H60" s="8">
        <v>14.0</v>
      </c>
      <c r="I60" s="8" t="s">
        <v>34</v>
      </c>
      <c r="J60" s="8" t="s">
        <v>127</v>
      </c>
      <c r="K60" s="8"/>
      <c r="L60" s="8" t="s">
        <v>143</v>
      </c>
      <c r="M60" s="8" t="s">
        <v>144</v>
      </c>
      <c r="N60" s="8"/>
      <c r="O60" s="8"/>
      <c r="P60" s="8"/>
      <c r="Q60" s="14">
        <v>4205.0</v>
      </c>
      <c r="R60" s="15">
        <f>'VICENTE LOMBARDO'!$Q60*'VICENTE LOMBARDO'!$E60</f>
        <v>4205</v>
      </c>
      <c r="S60" s="15">
        <f>'VICENTE LOMBARDO'!$R60*16%</f>
        <v>672.8</v>
      </c>
      <c r="T60" s="15">
        <f>'VICENTE LOMBARDO'!$R60+'VICENTE LOMBARDO'!$S60</f>
        <v>4877.8</v>
      </c>
      <c r="U60" s="8" t="s">
        <v>131</v>
      </c>
      <c r="V60" s="15"/>
      <c r="W60" s="15" t="s">
        <v>45</v>
      </c>
    </row>
    <row r="61" ht="15.75" hidden="1" customHeight="1">
      <c r="A61" s="6">
        <v>24.0</v>
      </c>
      <c r="B61" s="6">
        <v>6.0</v>
      </c>
      <c r="C61" s="8">
        <v>5688.0</v>
      </c>
      <c r="D61" s="9">
        <v>46185.0</v>
      </c>
      <c r="E61" s="8">
        <v>1.0</v>
      </c>
      <c r="F61" s="8" t="s">
        <v>31</v>
      </c>
      <c r="G61" s="8" t="s">
        <v>71</v>
      </c>
      <c r="H61" s="8">
        <v>14.0</v>
      </c>
      <c r="I61" s="8" t="s">
        <v>34</v>
      </c>
      <c r="J61" s="8" t="s">
        <v>70</v>
      </c>
      <c r="K61" s="8"/>
      <c r="L61" s="8" t="s">
        <v>144</v>
      </c>
      <c r="M61" s="8" t="s">
        <v>141</v>
      </c>
      <c r="N61" s="8"/>
      <c r="O61" s="8"/>
      <c r="P61" s="8"/>
      <c r="Q61" s="14">
        <v>4205.0</v>
      </c>
      <c r="R61" s="15">
        <f>'VICENTE LOMBARDO'!$Q61*'VICENTE LOMBARDO'!$E61</f>
        <v>4205</v>
      </c>
      <c r="S61" s="15">
        <f>'VICENTE LOMBARDO'!$R61*16%</f>
        <v>672.8</v>
      </c>
      <c r="T61" s="15">
        <f>'VICENTE LOMBARDO'!$R61+'VICENTE LOMBARDO'!$S61</f>
        <v>4877.8</v>
      </c>
      <c r="U61" s="8" t="s">
        <v>131</v>
      </c>
      <c r="V61" s="15"/>
      <c r="W61" s="15" t="s">
        <v>45</v>
      </c>
    </row>
    <row r="62" ht="15.75" hidden="1" customHeight="1">
      <c r="A62" s="6">
        <v>24.0</v>
      </c>
      <c r="B62" s="6"/>
      <c r="C62" s="8">
        <v>5697.0</v>
      </c>
      <c r="D62" s="9">
        <v>46186.0</v>
      </c>
      <c r="E62" s="8">
        <v>1.0</v>
      </c>
      <c r="F62" s="8" t="s">
        <v>148</v>
      </c>
      <c r="G62" s="8" t="s">
        <v>149</v>
      </c>
      <c r="H62" s="8">
        <v>0.0</v>
      </c>
      <c r="I62" s="8" t="s">
        <v>34</v>
      </c>
      <c r="J62" s="8" t="s">
        <v>148</v>
      </c>
      <c r="K62" s="8"/>
      <c r="L62" s="8"/>
      <c r="M62" s="8"/>
      <c r="N62" s="8"/>
      <c r="O62" s="8"/>
      <c r="P62" s="8"/>
      <c r="Q62" s="14">
        <v>4020.0</v>
      </c>
      <c r="R62" s="15">
        <f>'VICENTE LOMBARDO'!$Q62*'VICENTE LOMBARDO'!$E62</f>
        <v>4020</v>
      </c>
      <c r="S62" s="15">
        <f>'VICENTE LOMBARDO'!$R62*16%</f>
        <v>643.2</v>
      </c>
      <c r="T62" s="15">
        <f>'VICENTE LOMBARDO'!$R62+'VICENTE LOMBARDO'!$S62</f>
        <v>4663.2</v>
      </c>
      <c r="U62" s="17" t="s">
        <v>59</v>
      </c>
      <c r="V62" s="17" t="s">
        <v>44</v>
      </c>
      <c r="W62" s="15" t="s">
        <v>60</v>
      </c>
    </row>
    <row r="63" ht="15.75" hidden="1" customHeight="1">
      <c r="A63" s="6">
        <v>24.0</v>
      </c>
      <c r="B63" s="6"/>
      <c r="C63" s="8">
        <v>5698.0</v>
      </c>
      <c r="D63" s="9">
        <v>46186.0</v>
      </c>
      <c r="E63" s="8">
        <v>1.0</v>
      </c>
      <c r="F63" s="8" t="s">
        <v>148</v>
      </c>
      <c r="G63" s="8" t="s">
        <v>71</v>
      </c>
      <c r="H63" s="8">
        <v>0.0</v>
      </c>
      <c r="I63" s="8" t="s">
        <v>34</v>
      </c>
      <c r="J63" s="8" t="s">
        <v>148</v>
      </c>
      <c r="K63" s="8"/>
      <c r="L63" s="8"/>
      <c r="M63" s="8"/>
      <c r="N63" s="8"/>
      <c r="O63" s="8"/>
      <c r="P63" s="8"/>
      <c r="Q63" s="14">
        <v>4020.0</v>
      </c>
      <c r="R63" s="15">
        <f>'VICENTE LOMBARDO'!$Q63*'VICENTE LOMBARDO'!$E63</f>
        <v>4020</v>
      </c>
      <c r="S63" s="15">
        <f>'VICENTE LOMBARDO'!$R63*16%</f>
        <v>643.2</v>
      </c>
      <c r="T63" s="15">
        <f>'VICENTE LOMBARDO'!$R63+'VICENTE LOMBARDO'!$S63</f>
        <v>4663.2</v>
      </c>
      <c r="U63" s="17" t="s">
        <v>59</v>
      </c>
      <c r="V63" s="17" t="s">
        <v>44</v>
      </c>
      <c r="W63" s="15" t="s">
        <v>60</v>
      </c>
    </row>
    <row r="64" ht="15.75" hidden="1" customHeight="1">
      <c r="A64" s="6">
        <v>24.0</v>
      </c>
      <c r="B64" s="6"/>
      <c r="C64" s="8">
        <v>5699.0</v>
      </c>
      <c r="D64" s="9">
        <v>46186.0</v>
      </c>
      <c r="E64" s="8">
        <v>1.0</v>
      </c>
      <c r="F64" s="8" t="s">
        <v>148</v>
      </c>
      <c r="G64" s="8" t="s">
        <v>80</v>
      </c>
      <c r="H64" s="8">
        <v>0.0</v>
      </c>
      <c r="I64" s="8" t="s">
        <v>34</v>
      </c>
      <c r="J64" s="8" t="s">
        <v>148</v>
      </c>
      <c r="K64" s="8"/>
      <c r="L64" s="8"/>
      <c r="M64" s="8"/>
      <c r="N64" s="8"/>
      <c r="O64" s="8"/>
      <c r="P64" s="8"/>
      <c r="Q64" s="14">
        <v>4020.0</v>
      </c>
      <c r="R64" s="15">
        <f>'VICENTE LOMBARDO'!$Q64*'VICENTE LOMBARDO'!$E64</f>
        <v>4020</v>
      </c>
      <c r="S64" s="15">
        <f>'VICENTE LOMBARDO'!$R64*16%</f>
        <v>643.2</v>
      </c>
      <c r="T64" s="15">
        <f>'VICENTE LOMBARDO'!$R64+'VICENTE LOMBARDO'!$S64</f>
        <v>4663.2</v>
      </c>
      <c r="U64" s="17" t="s">
        <v>59</v>
      </c>
      <c r="V64" s="17" t="s">
        <v>44</v>
      </c>
      <c r="W64" s="15" t="s">
        <v>60</v>
      </c>
    </row>
    <row r="65" ht="15.75" hidden="1" customHeight="1">
      <c r="A65" s="6">
        <v>24.0</v>
      </c>
      <c r="B65" s="6"/>
      <c r="C65" s="8">
        <v>5700.0</v>
      </c>
      <c r="D65" s="9">
        <v>46186.0</v>
      </c>
      <c r="E65" s="8">
        <v>1.0</v>
      </c>
      <c r="F65" s="8" t="s">
        <v>148</v>
      </c>
      <c r="G65" s="8" t="s">
        <v>78</v>
      </c>
      <c r="H65" s="8">
        <v>0.0</v>
      </c>
      <c r="I65" s="8" t="s">
        <v>34</v>
      </c>
      <c r="J65" s="8" t="s">
        <v>148</v>
      </c>
      <c r="K65" s="8"/>
      <c r="L65" s="8"/>
      <c r="M65" s="8"/>
      <c r="N65" s="8"/>
      <c r="O65" s="8"/>
      <c r="P65" s="8"/>
      <c r="Q65" s="14">
        <v>4020.0</v>
      </c>
      <c r="R65" s="15">
        <f>'VICENTE LOMBARDO'!$Q65*'VICENTE LOMBARDO'!$E65</f>
        <v>4020</v>
      </c>
      <c r="S65" s="15">
        <f>'VICENTE LOMBARDO'!$R65*16%</f>
        <v>643.2</v>
      </c>
      <c r="T65" s="15">
        <f>'VICENTE LOMBARDO'!$R65+'VICENTE LOMBARDO'!$S65</f>
        <v>4663.2</v>
      </c>
      <c r="U65" s="17" t="s">
        <v>59</v>
      </c>
      <c r="V65" s="17" t="s">
        <v>44</v>
      </c>
      <c r="W65" s="15" t="s">
        <v>60</v>
      </c>
    </row>
    <row r="66" ht="15.75" hidden="1" customHeight="1">
      <c r="A66" s="6">
        <v>24.0</v>
      </c>
      <c r="B66" s="6"/>
      <c r="C66" s="8">
        <v>5701.0</v>
      </c>
      <c r="D66" s="9">
        <v>46186.0</v>
      </c>
      <c r="E66" s="8">
        <v>1.0</v>
      </c>
      <c r="F66" s="8" t="s">
        <v>148</v>
      </c>
      <c r="G66" s="8" t="s">
        <v>105</v>
      </c>
      <c r="H66" s="8">
        <v>0.0</v>
      </c>
      <c r="I66" s="8" t="s">
        <v>34</v>
      </c>
      <c r="J66" s="8" t="s">
        <v>148</v>
      </c>
      <c r="K66" s="8"/>
      <c r="L66" s="8"/>
      <c r="M66" s="8"/>
      <c r="N66" s="8"/>
      <c r="O66" s="8"/>
      <c r="P66" s="8"/>
      <c r="Q66" s="14">
        <v>4020.0</v>
      </c>
      <c r="R66" s="15">
        <f>'VICENTE LOMBARDO'!$Q66*'VICENTE LOMBARDO'!$E66</f>
        <v>4020</v>
      </c>
      <c r="S66" s="15">
        <f>'VICENTE LOMBARDO'!$R66*16%</f>
        <v>643.2</v>
      </c>
      <c r="T66" s="15">
        <f>'VICENTE LOMBARDO'!$R66+'VICENTE LOMBARDO'!$S66</f>
        <v>4663.2</v>
      </c>
      <c r="U66" s="17" t="s">
        <v>59</v>
      </c>
      <c r="V66" s="17" t="s">
        <v>44</v>
      </c>
      <c r="W66" s="15" t="s">
        <v>60</v>
      </c>
    </row>
    <row r="67" ht="15.75" hidden="1" customHeight="1">
      <c r="A67" s="6">
        <v>24.0</v>
      </c>
      <c r="B67" s="6"/>
      <c r="C67" s="8">
        <v>5702.0</v>
      </c>
      <c r="D67" s="9">
        <v>46186.0</v>
      </c>
      <c r="E67" s="8">
        <v>1.0</v>
      </c>
      <c r="F67" s="8" t="s">
        <v>148</v>
      </c>
      <c r="G67" s="8" t="s">
        <v>39</v>
      </c>
      <c r="H67" s="8">
        <v>0.0</v>
      </c>
      <c r="I67" s="8" t="s">
        <v>34</v>
      </c>
      <c r="J67" s="8" t="s">
        <v>148</v>
      </c>
      <c r="K67" s="8"/>
      <c r="L67" s="8"/>
      <c r="M67" s="8"/>
      <c r="N67" s="8"/>
      <c r="O67" s="8"/>
      <c r="P67" s="8"/>
      <c r="Q67" s="14">
        <v>4020.0</v>
      </c>
      <c r="R67" s="15">
        <f>'VICENTE LOMBARDO'!$Q67*'VICENTE LOMBARDO'!$E67</f>
        <v>4020</v>
      </c>
      <c r="S67" s="15">
        <f>'VICENTE LOMBARDO'!$R67*16%</f>
        <v>643.2</v>
      </c>
      <c r="T67" s="15">
        <f>'VICENTE LOMBARDO'!$R67+'VICENTE LOMBARDO'!$S67</f>
        <v>4663.2</v>
      </c>
      <c r="U67" s="17" t="s">
        <v>59</v>
      </c>
      <c r="V67" s="17" t="s">
        <v>44</v>
      </c>
      <c r="W67" s="15" t="s">
        <v>60</v>
      </c>
    </row>
    <row r="68" ht="15.75" hidden="1" customHeight="1">
      <c r="A68" s="6">
        <v>24.0</v>
      </c>
      <c r="B68" s="6"/>
      <c r="C68" s="8">
        <v>5703.0</v>
      </c>
      <c r="D68" s="9">
        <v>46186.0</v>
      </c>
      <c r="E68" s="8">
        <v>1.0</v>
      </c>
      <c r="F68" s="8" t="s">
        <v>148</v>
      </c>
      <c r="G68" s="8" t="s">
        <v>100</v>
      </c>
      <c r="H68" s="8">
        <v>0.0</v>
      </c>
      <c r="I68" s="8" t="s">
        <v>34</v>
      </c>
      <c r="J68" s="8" t="s">
        <v>148</v>
      </c>
      <c r="K68" s="8"/>
      <c r="L68" s="8"/>
      <c r="M68" s="8"/>
      <c r="N68" s="8"/>
      <c r="O68" s="8"/>
      <c r="P68" s="8"/>
      <c r="Q68" s="14">
        <v>4020.0</v>
      </c>
      <c r="R68" s="15">
        <f>'VICENTE LOMBARDO'!$Q68*'VICENTE LOMBARDO'!$E68</f>
        <v>4020</v>
      </c>
      <c r="S68" s="15">
        <f>'VICENTE LOMBARDO'!$R68*16%</f>
        <v>643.2</v>
      </c>
      <c r="T68" s="15">
        <f>'VICENTE LOMBARDO'!$R68+'VICENTE LOMBARDO'!$S68</f>
        <v>4663.2</v>
      </c>
      <c r="U68" s="17" t="s">
        <v>59</v>
      </c>
      <c r="V68" s="17" t="s">
        <v>44</v>
      </c>
      <c r="W68" s="15" t="s">
        <v>60</v>
      </c>
    </row>
    <row r="69" ht="15.75" hidden="1" customHeight="1">
      <c r="A69" s="6">
        <v>25.0</v>
      </c>
      <c r="B69" s="6">
        <v>1.0</v>
      </c>
      <c r="C69" s="8">
        <v>5704.0</v>
      </c>
      <c r="D69" s="9">
        <v>46188.0</v>
      </c>
      <c r="E69" s="8">
        <v>1.0</v>
      </c>
      <c r="F69" s="8" t="s">
        <v>157</v>
      </c>
      <c r="G69" s="8" t="s">
        <v>80</v>
      </c>
      <c r="H69" s="8">
        <v>14.0</v>
      </c>
      <c r="I69" s="8"/>
      <c r="J69" s="8" t="s">
        <v>81</v>
      </c>
      <c r="K69" s="8" t="s">
        <v>158</v>
      </c>
      <c r="L69" s="8" t="s">
        <v>159</v>
      </c>
      <c r="M69" s="8" t="s">
        <v>160</v>
      </c>
      <c r="N69" s="8"/>
      <c r="O69" s="8"/>
      <c r="P69" s="8"/>
      <c r="Q69" s="15">
        <v>4205.0</v>
      </c>
      <c r="R69" s="15">
        <f>'VICENTE LOMBARDO'!$Q69*'VICENTE LOMBARDO'!$E69</f>
        <v>4205</v>
      </c>
      <c r="S69" s="15">
        <f>'VICENTE LOMBARDO'!$R69*16%</f>
        <v>672.8</v>
      </c>
      <c r="T69" s="15">
        <f>'VICENTE LOMBARDO'!$R69+'VICENTE LOMBARDO'!$S69</f>
        <v>4877.8</v>
      </c>
      <c r="U69" s="8" t="s">
        <v>161</v>
      </c>
      <c r="V69" s="15"/>
      <c r="W69" s="15"/>
    </row>
    <row r="70" ht="15.75" hidden="1" customHeight="1">
      <c r="A70" s="6">
        <v>25.0</v>
      </c>
      <c r="B70" s="6">
        <v>2.0</v>
      </c>
      <c r="C70" s="8">
        <v>5705.0</v>
      </c>
      <c r="D70" s="9">
        <v>46188.0</v>
      </c>
      <c r="E70" s="8">
        <v>1.0</v>
      </c>
      <c r="F70" s="8" t="s">
        <v>157</v>
      </c>
      <c r="G70" s="8" t="s">
        <v>162</v>
      </c>
      <c r="H70" s="8">
        <v>14.0</v>
      </c>
      <c r="I70" s="8"/>
      <c r="J70" s="8" t="s">
        <v>83</v>
      </c>
      <c r="K70" s="8" t="s">
        <v>158</v>
      </c>
      <c r="L70" s="8" t="s">
        <v>160</v>
      </c>
      <c r="M70" s="8" t="s">
        <v>163</v>
      </c>
      <c r="N70" s="8"/>
      <c r="O70" s="8"/>
      <c r="P70" s="8"/>
      <c r="Q70" s="15">
        <v>4205.0</v>
      </c>
      <c r="R70" s="15">
        <f>'VICENTE LOMBARDO'!$Q70*'VICENTE LOMBARDO'!$E70</f>
        <v>4205</v>
      </c>
      <c r="S70" s="15">
        <f>'VICENTE LOMBARDO'!$R70*16%</f>
        <v>672.8</v>
      </c>
      <c r="T70" s="15">
        <f>'VICENTE LOMBARDO'!$R70+'VICENTE LOMBARDO'!$S70</f>
        <v>4877.8</v>
      </c>
      <c r="U70" s="8" t="s">
        <v>161</v>
      </c>
      <c r="V70" s="15"/>
      <c r="W70" s="15"/>
    </row>
    <row r="71" ht="15.75" hidden="1" customHeight="1">
      <c r="A71" s="6">
        <v>25.0</v>
      </c>
      <c r="B71" s="6">
        <v>3.0</v>
      </c>
      <c r="C71" s="8">
        <v>5706.0</v>
      </c>
      <c r="D71" s="9">
        <v>46188.0</v>
      </c>
      <c r="E71" s="8">
        <v>1.0</v>
      </c>
      <c r="F71" s="8" t="s">
        <v>157</v>
      </c>
      <c r="G71" s="8" t="s">
        <v>164</v>
      </c>
      <c r="H71" s="8">
        <v>14.0</v>
      </c>
      <c r="I71" s="8"/>
      <c r="J71" s="8" t="s">
        <v>106</v>
      </c>
      <c r="K71" s="8" t="s">
        <v>158</v>
      </c>
      <c r="L71" s="8" t="s">
        <v>165</v>
      </c>
      <c r="M71" s="8" t="s">
        <v>166</v>
      </c>
      <c r="N71" s="8"/>
      <c r="O71" s="8"/>
      <c r="P71" s="8"/>
      <c r="Q71" s="15">
        <v>4205.0</v>
      </c>
      <c r="R71" s="15">
        <f>'VICENTE LOMBARDO'!$Q71*'VICENTE LOMBARDO'!$E71</f>
        <v>4205</v>
      </c>
      <c r="S71" s="15">
        <f>'VICENTE LOMBARDO'!$R71*16%</f>
        <v>672.8</v>
      </c>
      <c r="T71" s="15">
        <f>'VICENTE LOMBARDO'!$R71+'VICENTE LOMBARDO'!$S71</f>
        <v>4877.8</v>
      </c>
      <c r="U71" s="8" t="s">
        <v>161</v>
      </c>
      <c r="V71" s="15"/>
      <c r="W71" s="15"/>
    </row>
    <row r="72" ht="15.75" hidden="1" customHeight="1">
      <c r="A72" s="6">
        <v>25.0</v>
      </c>
      <c r="B72" s="6">
        <v>4.0</v>
      </c>
      <c r="C72" s="8">
        <v>5707.0</v>
      </c>
      <c r="D72" s="9">
        <v>46188.0</v>
      </c>
      <c r="E72" s="8">
        <v>1.0</v>
      </c>
      <c r="F72" s="8" t="s">
        <v>157</v>
      </c>
      <c r="G72" s="8" t="s">
        <v>167</v>
      </c>
      <c r="H72" s="8">
        <v>14.0</v>
      </c>
      <c r="I72" s="8"/>
      <c r="J72" s="8" t="s">
        <v>106</v>
      </c>
      <c r="K72" s="8" t="s">
        <v>158</v>
      </c>
      <c r="L72" s="8" t="s">
        <v>163</v>
      </c>
      <c r="M72" s="8" t="s">
        <v>165</v>
      </c>
      <c r="N72" s="8"/>
      <c r="O72" s="8"/>
      <c r="P72" s="8"/>
      <c r="Q72" s="15">
        <v>4205.0</v>
      </c>
      <c r="R72" s="15">
        <f>'VICENTE LOMBARDO'!$Q72*'VICENTE LOMBARDO'!$E72</f>
        <v>4205</v>
      </c>
      <c r="S72" s="15">
        <f>'VICENTE LOMBARDO'!$R72*16%</f>
        <v>672.8</v>
      </c>
      <c r="T72" s="15">
        <f>'VICENTE LOMBARDO'!$R72+'VICENTE LOMBARDO'!$S72</f>
        <v>4877.8</v>
      </c>
      <c r="U72" s="8" t="s">
        <v>161</v>
      </c>
      <c r="V72" s="15"/>
      <c r="W72" s="15"/>
    </row>
    <row r="73" ht="15.75" hidden="1" customHeight="1">
      <c r="A73" s="6">
        <v>25.0</v>
      </c>
      <c r="B73" s="6">
        <v>5.0</v>
      </c>
      <c r="C73" s="8">
        <v>5708.0</v>
      </c>
      <c r="D73" s="9">
        <v>46188.0</v>
      </c>
      <c r="E73" s="8">
        <v>1.0</v>
      </c>
      <c r="F73" s="8" t="s">
        <v>157</v>
      </c>
      <c r="G73" s="8" t="s">
        <v>168</v>
      </c>
      <c r="H73" s="8">
        <v>14.0</v>
      </c>
      <c r="I73" s="8"/>
      <c r="J73" s="8" t="s">
        <v>89</v>
      </c>
      <c r="K73" s="8" t="s">
        <v>158</v>
      </c>
      <c r="L73" s="8" t="s">
        <v>166</v>
      </c>
      <c r="M73" s="8" t="s">
        <v>169</v>
      </c>
      <c r="N73" s="8"/>
      <c r="O73" s="8"/>
      <c r="P73" s="8"/>
      <c r="Q73" s="15">
        <v>4205.0</v>
      </c>
      <c r="R73" s="15">
        <f>'VICENTE LOMBARDO'!$Q73*'VICENTE LOMBARDO'!$E73</f>
        <v>4205</v>
      </c>
      <c r="S73" s="15">
        <f>'VICENTE LOMBARDO'!$R73*16%</f>
        <v>672.8</v>
      </c>
      <c r="T73" s="15">
        <f>'VICENTE LOMBARDO'!$R73+'VICENTE LOMBARDO'!$S73</f>
        <v>4877.8</v>
      </c>
      <c r="U73" s="8" t="s">
        <v>161</v>
      </c>
      <c r="V73" s="15"/>
      <c r="W73" s="15"/>
    </row>
    <row r="74" ht="15.75" hidden="1" customHeight="1">
      <c r="A74" s="6">
        <v>25.0</v>
      </c>
      <c r="B74" s="6">
        <v>6.0</v>
      </c>
      <c r="C74" s="8">
        <v>5709.0</v>
      </c>
      <c r="D74" s="9">
        <v>46188.0</v>
      </c>
      <c r="E74" s="8">
        <v>1.0</v>
      </c>
      <c r="F74" s="8" t="s">
        <v>157</v>
      </c>
      <c r="G74" s="8" t="s">
        <v>170</v>
      </c>
      <c r="H74" s="8">
        <v>14.0</v>
      </c>
      <c r="I74" s="8"/>
      <c r="J74" s="8" t="s">
        <v>87</v>
      </c>
      <c r="K74" s="8" t="s">
        <v>158</v>
      </c>
      <c r="L74" s="8" t="s">
        <v>171</v>
      </c>
      <c r="M74" s="8" t="s">
        <v>172</v>
      </c>
      <c r="N74" s="8"/>
      <c r="O74" s="8"/>
      <c r="P74" s="8"/>
      <c r="Q74" s="15">
        <v>4205.0</v>
      </c>
      <c r="R74" s="15">
        <f>'VICENTE LOMBARDO'!$Q74*'VICENTE LOMBARDO'!$E74</f>
        <v>4205</v>
      </c>
      <c r="S74" s="15">
        <f>'VICENTE LOMBARDO'!$R74*16%</f>
        <v>672.8</v>
      </c>
      <c r="T74" s="15">
        <f>'VICENTE LOMBARDO'!$R74+'VICENTE LOMBARDO'!$S74</f>
        <v>4877.8</v>
      </c>
      <c r="U74" s="8" t="s">
        <v>161</v>
      </c>
      <c r="V74" s="15"/>
      <c r="W74" s="15"/>
    </row>
    <row r="75" ht="15.75" hidden="1" customHeight="1">
      <c r="A75" s="6">
        <v>25.0</v>
      </c>
      <c r="B75" s="6">
        <v>7.0</v>
      </c>
      <c r="C75" s="8">
        <v>5710.0</v>
      </c>
      <c r="D75" s="9">
        <v>46188.0</v>
      </c>
      <c r="E75" s="8">
        <v>1.0</v>
      </c>
      <c r="F75" s="8" t="s">
        <v>157</v>
      </c>
      <c r="G75" s="8" t="s">
        <v>90</v>
      </c>
      <c r="H75" s="8">
        <v>14.0</v>
      </c>
      <c r="I75" s="8"/>
      <c r="J75" s="8" t="s">
        <v>173</v>
      </c>
      <c r="K75" s="8" t="s">
        <v>158</v>
      </c>
      <c r="L75" s="8" t="s">
        <v>169</v>
      </c>
      <c r="M75" s="8" t="s">
        <v>174</v>
      </c>
      <c r="N75" s="8"/>
      <c r="O75" s="8"/>
      <c r="P75" s="8"/>
      <c r="Q75" s="15">
        <v>4205.0</v>
      </c>
      <c r="R75" s="15">
        <f>'VICENTE LOMBARDO'!$Q75*'VICENTE LOMBARDO'!$E75</f>
        <v>4205</v>
      </c>
      <c r="S75" s="15">
        <f>'VICENTE LOMBARDO'!$R75*16%</f>
        <v>672.8</v>
      </c>
      <c r="T75" s="15">
        <f>'VICENTE LOMBARDO'!$R75+'VICENTE LOMBARDO'!$S75</f>
        <v>4877.8</v>
      </c>
      <c r="U75" s="8" t="s">
        <v>161</v>
      </c>
      <c r="V75" s="15"/>
      <c r="W75" s="15"/>
    </row>
    <row r="76" ht="15.75" hidden="1" customHeight="1">
      <c r="A76" s="6">
        <v>25.0</v>
      </c>
      <c r="B76" s="6">
        <v>8.0</v>
      </c>
      <c r="C76" s="8">
        <v>5711.0</v>
      </c>
      <c r="D76" s="9">
        <v>46188.0</v>
      </c>
      <c r="E76" s="8">
        <v>1.0</v>
      </c>
      <c r="F76" s="8" t="s">
        <v>157</v>
      </c>
      <c r="G76" s="8" t="s">
        <v>39</v>
      </c>
      <c r="H76" s="8">
        <v>14.0</v>
      </c>
      <c r="I76" s="8"/>
      <c r="J76" s="8" t="s">
        <v>41</v>
      </c>
      <c r="K76" s="8" t="s">
        <v>158</v>
      </c>
      <c r="L76" s="8" t="s">
        <v>176</v>
      </c>
      <c r="M76" s="8" t="s">
        <v>177</v>
      </c>
      <c r="N76" s="8"/>
      <c r="O76" s="8"/>
      <c r="P76" s="8"/>
      <c r="Q76" s="15">
        <v>4205.0</v>
      </c>
      <c r="R76" s="15">
        <f>'VICENTE LOMBARDO'!$Q76*'VICENTE LOMBARDO'!$E76</f>
        <v>4205</v>
      </c>
      <c r="S76" s="15">
        <f>'VICENTE LOMBARDO'!$R76*16%</f>
        <v>672.8</v>
      </c>
      <c r="T76" s="15">
        <f>'VICENTE LOMBARDO'!$R76+'VICENTE LOMBARDO'!$S76</f>
        <v>4877.8</v>
      </c>
      <c r="U76" s="8" t="s">
        <v>161</v>
      </c>
      <c r="V76" s="15"/>
      <c r="W76" s="15"/>
    </row>
    <row r="77" ht="15.75" hidden="1" customHeight="1">
      <c r="A77" s="6">
        <v>25.0</v>
      </c>
      <c r="B77" s="6">
        <v>9.0</v>
      </c>
      <c r="C77" s="8">
        <v>5712.0</v>
      </c>
      <c r="D77" s="9">
        <v>46188.0</v>
      </c>
      <c r="E77" s="8">
        <v>1.0</v>
      </c>
      <c r="F77" s="8" t="s">
        <v>157</v>
      </c>
      <c r="G77" s="8" t="s">
        <v>52</v>
      </c>
      <c r="H77" s="8">
        <v>14.0</v>
      </c>
      <c r="I77" s="8"/>
      <c r="J77" s="8" t="s">
        <v>55</v>
      </c>
      <c r="K77" s="8" t="s">
        <v>158</v>
      </c>
      <c r="L77" s="8" t="s">
        <v>177</v>
      </c>
      <c r="M77" s="8" t="s">
        <v>178</v>
      </c>
      <c r="N77" s="8"/>
      <c r="O77" s="8"/>
      <c r="P77" s="8"/>
      <c r="Q77" s="15">
        <v>4205.0</v>
      </c>
      <c r="R77" s="15">
        <f>'VICENTE LOMBARDO'!$Q77*'VICENTE LOMBARDO'!$E77</f>
        <v>4205</v>
      </c>
      <c r="S77" s="15">
        <f>'VICENTE LOMBARDO'!$R77*16%</f>
        <v>672.8</v>
      </c>
      <c r="T77" s="15">
        <f>'VICENTE LOMBARDO'!$R77+'VICENTE LOMBARDO'!$S77</f>
        <v>4877.8</v>
      </c>
      <c r="U77" s="8" t="s">
        <v>161</v>
      </c>
      <c r="V77" s="15"/>
      <c r="W77" s="15"/>
    </row>
    <row r="78" ht="15.75" hidden="1" customHeight="1">
      <c r="A78" s="6">
        <v>25.0</v>
      </c>
      <c r="B78" s="6">
        <v>10.0</v>
      </c>
      <c r="C78" s="8">
        <v>5713.0</v>
      </c>
      <c r="D78" s="9">
        <v>46188.0</v>
      </c>
      <c r="E78" s="8">
        <v>1.0</v>
      </c>
      <c r="F78" s="8" t="s">
        <v>157</v>
      </c>
      <c r="G78" s="8" t="s">
        <v>162</v>
      </c>
      <c r="H78" s="8">
        <v>14.0</v>
      </c>
      <c r="I78" s="8"/>
      <c r="J78" s="8" t="s">
        <v>83</v>
      </c>
      <c r="K78" s="8" t="s">
        <v>158</v>
      </c>
      <c r="L78" s="8" t="s">
        <v>172</v>
      </c>
      <c r="M78" s="8" t="s">
        <v>179</v>
      </c>
      <c r="N78" s="8"/>
      <c r="O78" s="8"/>
      <c r="P78" s="8"/>
      <c r="Q78" s="15">
        <v>4205.0</v>
      </c>
      <c r="R78" s="15">
        <f>'VICENTE LOMBARDO'!$Q78*'VICENTE LOMBARDO'!$E78</f>
        <v>4205</v>
      </c>
      <c r="S78" s="15">
        <f>'VICENTE LOMBARDO'!$R78*16%</f>
        <v>672.8</v>
      </c>
      <c r="T78" s="15">
        <f>'VICENTE LOMBARDO'!$R78+'VICENTE LOMBARDO'!$S78</f>
        <v>4877.8</v>
      </c>
      <c r="U78" s="8" t="s">
        <v>161</v>
      </c>
      <c r="V78" s="15"/>
      <c r="W78" s="15"/>
    </row>
    <row r="79" ht="15.75" hidden="1" customHeight="1">
      <c r="A79" s="6">
        <v>25.0</v>
      </c>
      <c r="B79" s="6">
        <v>11.0</v>
      </c>
      <c r="C79" s="8">
        <v>5714.0</v>
      </c>
      <c r="D79" s="9">
        <v>46188.0</v>
      </c>
      <c r="E79" s="8">
        <v>1.0</v>
      </c>
      <c r="F79" s="8" t="s">
        <v>157</v>
      </c>
      <c r="G79" s="8" t="s">
        <v>80</v>
      </c>
      <c r="H79" s="8">
        <v>14.0</v>
      </c>
      <c r="I79" s="8"/>
      <c r="J79" s="8" t="s">
        <v>81</v>
      </c>
      <c r="K79" s="8" t="s">
        <v>158</v>
      </c>
      <c r="L79" s="8" t="s">
        <v>180</v>
      </c>
      <c r="M79" s="8" t="s">
        <v>181</v>
      </c>
      <c r="N79" s="8"/>
      <c r="O79" s="8"/>
      <c r="P79" s="8"/>
      <c r="Q79" s="15">
        <v>4205.0</v>
      </c>
      <c r="R79" s="15">
        <f>'VICENTE LOMBARDO'!$Q79*'VICENTE LOMBARDO'!$E79</f>
        <v>4205</v>
      </c>
      <c r="S79" s="15">
        <f>'VICENTE LOMBARDO'!$R79*16%</f>
        <v>672.8</v>
      </c>
      <c r="T79" s="15">
        <f>'VICENTE LOMBARDO'!$R79+'VICENTE LOMBARDO'!$S79</f>
        <v>4877.8</v>
      </c>
      <c r="U79" s="8" t="s">
        <v>161</v>
      </c>
      <c r="V79" s="15"/>
      <c r="W79" s="15"/>
    </row>
    <row r="80" ht="15.75" hidden="1" customHeight="1">
      <c r="A80" s="6">
        <v>25.0</v>
      </c>
      <c r="B80" s="6">
        <v>12.0</v>
      </c>
      <c r="C80" s="8">
        <v>5715.0</v>
      </c>
      <c r="D80" s="9">
        <v>46188.0</v>
      </c>
      <c r="E80" s="8">
        <v>1.0</v>
      </c>
      <c r="F80" s="8" t="s">
        <v>157</v>
      </c>
      <c r="G80" s="8" t="s">
        <v>168</v>
      </c>
      <c r="H80" s="8">
        <v>14.0</v>
      </c>
      <c r="I80" s="8"/>
      <c r="J80" s="8" t="s">
        <v>89</v>
      </c>
      <c r="K80" s="8" t="s">
        <v>158</v>
      </c>
      <c r="L80" s="8" t="s">
        <v>181</v>
      </c>
      <c r="M80" s="8" t="s">
        <v>184</v>
      </c>
      <c r="N80" s="8"/>
      <c r="O80" s="8"/>
      <c r="P80" s="8"/>
      <c r="Q80" s="15">
        <v>4205.0</v>
      </c>
      <c r="R80" s="15">
        <f>'VICENTE LOMBARDO'!$Q80*'VICENTE LOMBARDO'!$E80</f>
        <v>4205</v>
      </c>
      <c r="S80" s="15">
        <f>'VICENTE LOMBARDO'!$R80*16%</f>
        <v>672.8</v>
      </c>
      <c r="T80" s="15">
        <f>'VICENTE LOMBARDO'!$R80+'VICENTE LOMBARDO'!$S80</f>
        <v>4877.8</v>
      </c>
      <c r="U80" s="8" t="s">
        <v>161</v>
      </c>
      <c r="V80" s="15"/>
      <c r="W80" s="15"/>
    </row>
    <row r="81" ht="15.75" hidden="1" customHeight="1">
      <c r="A81" s="6">
        <v>25.0</v>
      </c>
      <c r="B81" s="6"/>
      <c r="C81" s="8">
        <v>5716.0</v>
      </c>
      <c r="D81" s="9">
        <v>46188.0</v>
      </c>
      <c r="E81" s="8">
        <v>1.0</v>
      </c>
      <c r="F81" s="8" t="s">
        <v>185</v>
      </c>
      <c r="G81" s="8" t="s">
        <v>90</v>
      </c>
      <c r="H81" s="8">
        <v>14.0</v>
      </c>
      <c r="I81" s="8"/>
      <c r="J81" s="8"/>
      <c r="K81" s="8" t="s">
        <v>158</v>
      </c>
      <c r="L81" s="8"/>
      <c r="M81" s="8"/>
      <c r="N81" s="8"/>
      <c r="O81" s="8"/>
      <c r="P81" s="8"/>
      <c r="Q81" s="15">
        <v>1000.0</v>
      </c>
      <c r="R81" s="15">
        <f>'VICENTE LOMBARDO'!$Q81*'VICENTE LOMBARDO'!$E81</f>
        <v>1000</v>
      </c>
      <c r="S81" s="15">
        <f>'VICENTE LOMBARDO'!$R81*16%</f>
        <v>160</v>
      </c>
      <c r="T81" s="15">
        <f>'VICENTE LOMBARDO'!$R81+'VICENTE LOMBARDO'!$S81</f>
        <v>1160</v>
      </c>
      <c r="U81" s="8" t="s">
        <v>161</v>
      </c>
      <c r="V81" s="15"/>
      <c r="W81" s="15"/>
    </row>
    <row r="82" ht="15.75" hidden="1" customHeight="1">
      <c r="A82" s="6">
        <v>25.0</v>
      </c>
      <c r="B82" s="6"/>
      <c r="C82" s="8">
        <v>5717.0</v>
      </c>
      <c r="D82" s="9">
        <v>46188.0</v>
      </c>
      <c r="E82" s="8">
        <v>1.0</v>
      </c>
      <c r="F82" s="8" t="s">
        <v>185</v>
      </c>
      <c r="G82" s="8" t="s">
        <v>164</v>
      </c>
      <c r="H82" s="8">
        <v>14.0</v>
      </c>
      <c r="I82" s="8"/>
      <c r="J82" s="8"/>
      <c r="K82" s="8" t="s">
        <v>158</v>
      </c>
      <c r="L82" s="8"/>
      <c r="M82" s="8"/>
      <c r="N82" s="8"/>
      <c r="O82" s="8"/>
      <c r="P82" s="8"/>
      <c r="Q82" s="15">
        <v>1000.0</v>
      </c>
      <c r="R82" s="15">
        <f>'VICENTE LOMBARDO'!$Q82*'VICENTE LOMBARDO'!$E82</f>
        <v>1000</v>
      </c>
      <c r="S82" s="15">
        <f>'VICENTE LOMBARDO'!$R82*16%</f>
        <v>160</v>
      </c>
      <c r="T82" s="15">
        <f>'VICENTE LOMBARDO'!$R82+'VICENTE LOMBARDO'!$S82</f>
        <v>1160</v>
      </c>
      <c r="U82" s="8" t="s">
        <v>161</v>
      </c>
      <c r="V82" s="15"/>
      <c r="W82" s="15"/>
    </row>
    <row r="83" ht="15.75" hidden="1" customHeight="1">
      <c r="A83" s="6">
        <v>25.0</v>
      </c>
      <c r="B83" s="6"/>
      <c r="C83" s="8">
        <v>5718.0</v>
      </c>
      <c r="D83" s="9">
        <v>46188.0</v>
      </c>
      <c r="E83" s="8">
        <v>1.0</v>
      </c>
      <c r="F83" s="8" t="s">
        <v>185</v>
      </c>
      <c r="G83" s="8" t="s">
        <v>105</v>
      </c>
      <c r="H83" s="8">
        <v>14.0</v>
      </c>
      <c r="I83" s="8"/>
      <c r="J83" s="8"/>
      <c r="K83" s="8" t="s">
        <v>158</v>
      </c>
      <c r="L83" s="8"/>
      <c r="M83" s="8"/>
      <c r="N83" s="8"/>
      <c r="O83" s="8"/>
      <c r="P83" s="8"/>
      <c r="Q83" s="15">
        <v>1000.0</v>
      </c>
      <c r="R83" s="15">
        <f>'VICENTE LOMBARDO'!$Q83*'VICENTE LOMBARDO'!$E83</f>
        <v>1000</v>
      </c>
      <c r="S83" s="15">
        <f>'VICENTE LOMBARDO'!$R83*16%</f>
        <v>160</v>
      </c>
      <c r="T83" s="15">
        <f>'VICENTE LOMBARDO'!$R83+'VICENTE LOMBARDO'!$S83</f>
        <v>1160</v>
      </c>
      <c r="U83" s="8" t="s">
        <v>161</v>
      </c>
      <c r="V83" s="15"/>
      <c r="W83" s="15"/>
    </row>
    <row r="84" ht="15.75" hidden="1" customHeight="1">
      <c r="A84" s="6">
        <v>25.0</v>
      </c>
      <c r="B84" s="61">
        <v>1.0</v>
      </c>
      <c r="C84" s="8" t="s">
        <v>72</v>
      </c>
      <c r="D84" s="9">
        <v>46188.0</v>
      </c>
      <c r="E84" s="8">
        <v>1.0</v>
      </c>
      <c r="F84" s="8" t="s">
        <v>73</v>
      </c>
      <c r="G84" s="8" t="s">
        <v>98</v>
      </c>
      <c r="H84" s="8">
        <v>10.0</v>
      </c>
      <c r="I84" s="8"/>
      <c r="J84" s="8" t="s">
        <v>186</v>
      </c>
      <c r="K84" s="8" t="s">
        <v>158</v>
      </c>
      <c r="L84" s="62">
        <v>0.0</v>
      </c>
      <c r="M84" s="62">
        <v>0.0</v>
      </c>
      <c r="N84" s="8"/>
      <c r="O84" s="8"/>
      <c r="P84" s="63" t="s">
        <v>187</v>
      </c>
      <c r="Q84" s="15">
        <v>4500.0</v>
      </c>
      <c r="R84" s="15">
        <f>'VICENTE LOMBARDO'!$Q84*'VICENTE LOMBARDO'!$E84</f>
        <v>4500</v>
      </c>
      <c r="S84" s="15">
        <f>'VICENTE LOMBARDO'!$R84*16%</f>
        <v>720</v>
      </c>
      <c r="T84" s="15">
        <f>'VICENTE LOMBARDO'!$R84+'VICENTE LOMBARDO'!$S84</f>
        <v>5220</v>
      </c>
      <c r="U84" s="8" t="s">
        <v>161</v>
      </c>
      <c r="V84" s="15"/>
      <c r="W84" s="15"/>
    </row>
    <row r="85" ht="15.75" hidden="1" customHeight="1">
      <c r="A85" s="6">
        <v>25.0</v>
      </c>
      <c r="B85" s="6">
        <v>1.0</v>
      </c>
      <c r="C85" s="8">
        <v>5719.0</v>
      </c>
      <c r="D85" s="9">
        <v>46189.0</v>
      </c>
      <c r="E85" s="8">
        <v>1.0</v>
      </c>
      <c r="F85" s="8" t="s">
        <v>157</v>
      </c>
      <c r="G85" s="8" t="s">
        <v>188</v>
      </c>
      <c r="H85" s="6">
        <v>14.0</v>
      </c>
      <c r="I85" s="8"/>
      <c r="J85" s="8" t="s">
        <v>106</v>
      </c>
      <c r="K85" s="8" t="s">
        <v>158</v>
      </c>
      <c r="L85" s="64">
        <v>34360.0</v>
      </c>
      <c r="M85" s="64">
        <f>'VICENTE LOMBARDO'!$L85-30</f>
        <v>34330</v>
      </c>
      <c r="N85" s="65" t="s">
        <v>189</v>
      </c>
      <c r="O85" s="8"/>
      <c r="P85" s="8"/>
      <c r="Q85" s="15">
        <v>4205.0</v>
      </c>
      <c r="R85" s="15">
        <f>'VICENTE LOMBARDO'!$Q85*'VICENTE LOMBARDO'!$E85</f>
        <v>4205</v>
      </c>
      <c r="S85" s="15">
        <f>'VICENTE LOMBARDO'!$R85*16%</f>
        <v>672.8</v>
      </c>
      <c r="T85" s="15">
        <f>'VICENTE LOMBARDO'!$R85+'VICENTE LOMBARDO'!$S85</f>
        <v>4877.8</v>
      </c>
      <c r="U85" s="8" t="s">
        <v>161</v>
      </c>
      <c r="V85" s="15"/>
      <c r="W85" s="15"/>
    </row>
    <row r="86" ht="15.75" hidden="1" customHeight="1">
      <c r="A86" s="6">
        <v>25.0</v>
      </c>
      <c r="B86" s="6">
        <v>2.0</v>
      </c>
      <c r="C86" s="8">
        <v>5720.0</v>
      </c>
      <c r="D86" s="9">
        <v>46189.0</v>
      </c>
      <c r="E86" s="8">
        <v>1.0</v>
      </c>
      <c r="F86" s="8" t="s">
        <v>157</v>
      </c>
      <c r="G86" s="8" t="s">
        <v>167</v>
      </c>
      <c r="H86" s="6">
        <v>14.0</v>
      </c>
      <c r="I86" s="8"/>
      <c r="J86" s="8" t="s">
        <v>190</v>
      </c>
      <c r="K86" s="8" t="s">
        <v>158</v>
      </c>
      <c r="L86" s="64">
        <f t="shared" ref="L86:L90" si="1">M85</f>
        <v>34330</v>
      </c>
      <c r="M86" s="64">
        <f>'VICENTE LOMBARDO'!$L86-35</f>
        <v>34295</v>
      </c>
      <c r="N86" s="65" t="s">
        <v>189</v>
      </c>
      <c r="O86" s="8"/>
      <c r="P86" s="8"/>
      <c r="Q86" s="15">
        <v>4205.0</v>
      </c>
      <c r="R86" s="15">
        <f>'VICENTE LOMBARDO'!$Q86*'VICENTE LOMBARDO'!$E86</f>
        <v>4205</v>
      </c>
      <c r="S86" s="15">
        <f>'VICENTE LOMBARDO'!$R86*16%</f>
        <v>672.8</v>
      </c>
      <c r="T86" s="15">
        <f>'VICENTE LOMBARDO'!$R86+'VICENTE LOMBARDO'!$S86</f>
        <v>4877.8</v>
      </c>
      <c r="U86" s="8" t="s">
        <v>161</v>
      </c>
      <c r="V86" s="15"/>
      <c r="W86" s="15"/>
    </row>
    <row r="87" ht="15.75" hidden="1" customHeight="1">
      <c r="A87" s="6">
        <v>25.0</v>
      </c>
      <c r="B87" s="6">
        <v>3.0</v>
      </c>
      <c r="C87" s="8">
        <v>5721.0</v>
      </c>
      <c r="D87" s="9">
        <v>46189.0</v>
      </c>
      <c r="E87" s="8">
        <v>1.0</v>
      </c>
      <c r="F87" s="8" t="s">
        <v>157</v>
      </c>
      <c r="G87" s="8" t="s">
        <v>191</v>
      </c>
      <c r="H87" s="6">
        <v>14.0</v>
      </c>
      <c r="I87" s="8"/>
      <c r="J87" s="8" t="s">
        <v>173</v>
      </c>
      <c r="K87" s="8" t="s">
        <v>158</v>
      </c>
      <c r="L87" s="62">
        <f t="shared" si="1"/>
        <v>34295</v>
      </c>
      <c r="M87" s="62">
        <f>'VICENTE LOMBARDO'!$L87-38</f>
        <v>34257</v>
      </c>
      <c r="N87" s="65" t="s">
        <v>189</v>
      </c>
      <c r="O87" s="8"/>
      <c r="P87" s="8"/>
      <c r="Q87" s="15">
        <v>4205.0</v>
      </c>
      <c r="R87" s="15">
        <f>'VICENTE LOMBARDO'!$Q87*'VICENTE LOMBARDO'!$E87</f>
        <v>4205</v>
      </c>
      <c r="S87" s="15">
        <f>'VICENTE LOMBARDO'!$R87*16%</f>
        <v>672.8</v>
      </c>
      <c r="T87" s="15">
        <f>'VICENTE LOMBARDO'!$R87+'VICENTE LOMBARDO'!$S87</f>
        <v>4877.8</v>
      </c>
      <c r="U87" s="8" t="s">
        <v>161</v>
      </c>
      <c r="V87" s="15"/>
      <c r="W87" s="15"/>
    </row>
    <row r="88" ht="15.75" hidden="1" customHeight="1">
      <c r="A88" s="6">
        <v>25.0</v>
      </c>
      <c r="B88" s="6">
        <v>4.0</v>
      </c>
      <c r="C88" s="8">
        <v>5722.0</v>
      </c>
      <c r="D88" s="9">
        <v>46189.0</v>
      </c>
      <c r="E88" s="8">
        <v>1.0</v>
      </c>
      <c r="F88" s="8" t="s">
        <v>157</v>
      </c>
      <c r="G88" s="8" t="s">
        <v>192</v>
      </c>
      <c r="H88" s="6">
        <v>14.0</v>
      </c>
      <c r="I88" s="8"/>
      <c r="J88" s="8" t="s">
        <v>41</v>
      </c>
      <c r="K88" s="8" t="s">
        <v>158</v>
      </c>
      <c r="L88" s="62">
        <f t="shared" si="1"/>
        <v>34257</v>
      </c>
      <c r="M88" s="62">
        <f>'VICENTE LOMBARDO'!$L88-35</f>
        <v>34222</v>
      </c>
      <c r="N88" s="65" t="s">
        <v>189</v>
      </c>
      <c r="O88" s="8"/>
      <c r="P88" s="8"/>
      <c r="Q88" s="15">
        <v>4205.0</v>
      </c>
      <c r="R88" s="15">
        <f>'VICENTE LOMBARDO'!$Q88*'VICENTE LOMBARDO'!$E88</f>
        <v>4205</v>
      </c>
      <c r="S88" s="15">
        <f>'VICENTE LOMBARDO'!$R88*16%</f>
        <v>672.8</v>
      </c>
      <c r="T88" s="15">
        <f>'VICENTE LOMBARDO'!$R88+'VICENTE LOMBARDO'!$S88</f>
        <v>4877.8</v>
      </c>
      <c r="U88" s="8" t="s">
        <v>161</v>
      </c>
      <c r="V88" s="15"/>
      <c r="W88" s="15"/>
    </row>
    <row r="89" ht="15.75" hidden="1" customHeight="1">
      <c r="A89" s="6">
        <v>25.0</v>
      </c>
      <c r="B89" s="6">
        <v>5.0</v>
      </c>
      <c r="C89" s="8">
        <v>5723.0</v>
      </c>
      <c r="D89" s="9">
        <v>46189.0</v>
      </c>
      <c r="E89" s="8">
        <v>1.0</v>
      </c>
      <c r="F89" s="8" t="s">
        <v>157</v>
      </c>
      <c r="G89" s="8" t="s">
        <v>168</v>
      </c>
      <c r="H89" s="6">
        <v>14.0</v>
      </c>
      <c r="I89" s="8"/>
      <c r="J89" s="8" t="s">
        <v>89</v>
      </c>
      <c r="K89" s="8" t="s">
        <v>158</v>
      </c>
      <c r="L89" s="62">
        <f t="shared" si="1"/>
        <v>34222</v>
      </c>
      <c r="M89" s="62">
        <f>'VICENTE LOMBARDO'!$L89-30</f>
        <v>34192</v>
      </c>
      <c r="N89" s="65" t="s">
        <v>189</v>
      </c>
      <c r="O89" s="8"/>
      <c r="P89" s="8"/>
      <c r="Q89" s="15">
        <v>4205.0</v>
      </c>
      <c r="R89" s="15">
        <f>'VICENTE LOMBARDO'!$Q89*'VICENTE LOMBARDO'!$E89</f>
        <v>4205</v>
      </c>
      <c r="S89" s="15">
        <f>'VICENTE LOMBARDO'!$R89*16%</f>
        <v>672.8</v>
      </c>
      <c r="T89" s="15">
        <f>'VICENTE LOMBARDO'!$R89+'VICENTE LOMBARDO'!$S89</f>
        <v>4877.8</v>
      </c>
      <c r="U89" s="8" t="s">
        <v>161</v>
      </c>
      <c r="V89" s="15"/>
      <c r="W89" s="15"/>
    </row>
    <row r="90" ht="15.75" hidden="1" customHeight="1">
      <c r="A90" s="6">
        <v>25.0</v>
      </c>
      <c r="B90" s="6">
        <v>6.0</v>
      </c>
      <c r="C90" s="8">
        <v>5724.0</v>
      </c>
      <c r="D90" s="9">
        <v>46189.0</v>
      </c>
      <c r="E90" s="8">
        <v>1.0</v>
      </c>
      <c r="F90" s="8" t="s">
        <v>157</v>
      </c>
      <c r="G90" s="8" t="s">
        <v>162</v>
      </c>
      <c r="H90" s="6">
        <v>14.0</v>
      </c>
      <c r="I90" s="8"/>
      <c r="J90" s="8" t="s">
        <v>83</v>
      </c>
      <c r="K90" s="8" t="s">
        <v>158</v>
      </c>
      <c r="L90" s="62">
        <f t="shared" si="1"/>
        <v>34192</v>
      </c>
      <c r="M90" s="62">
        <f>'VICENTE LOMBARDO'!$L90-32</f>
        <v>34160</v>
      </c>
      <c r="N90" s="65" t="s">
        <v>189</v>
      </c>
      <c r="O90" s="8"/>
      <c r="P90" s="8"/>
      <c r="Q90" s="15">
        <v>4205.0</v>
      </c>
      <c r="R90" s="15">
        <f>'VICENTE LOMBARDO'!$Q90*'VICENTE LOMBARDO'!$E90</f>
        <v>4205</v>
      </c>
      <c r="S90" s="15">
        <f>'VICENTE LOMBARDO'!$R90*16%</f>
        <v>672.8</v>
      </c>
      <c r="T90" s="15">
        <f>'VICENTE LOMBARDO'!$R90+'VICENTE LOMBARDO'!$S90</f>
        <v>4877.8</v>
      </c>
      <c r="U90" s="8" t="s">
        <v>161</v>
      </c>
      <c r="V90" s="15"/>
      <c r="W90" s="15"/>
    </row>
    <row r="91" ht="15.75" hidden="1" customHeight="1">
      <c r="A91" s="6">
        <v>25.0</v>
      </c>
      <c r="B91" s="6">
        <v>7.0</v>
      </c>
      <c r="C91" s="8">
        <v>5725.0</v>
      </c>
      <c r="D91" s="9">
        <v>46189.0</v>
      </c>
      <c r="E91" s="8">
        <v>1.0</v>
      </c>
      <c r="F91" s="8" t="s">
        <v>157</v>
      </c>
      <c r="G91" s="8" t="s">
        <v>193</v>
      </c>
      <c r="H91" s="6">
        <v>14.0</v>
      </c>
      <c r="I91" s="8"/>
      <c r="J91" s="8" t="s">
        <v>81</v>
      </c>
      <c r="K91" s="8" t="s">
        <v>158</v>
      </c>
      <c r="L91" s="62">
        <v>35000.0</v>
      </c>
      <c r="M91" s="62">
        <f>'VICENTE LOMBARDO'!$L91-35</f>
        <v>34965</v>
      </c>
      <c r="N91" s="65" t="s">
        <v>189</v>
      </c>
      <c r="O91" s="8"/>
      <c r="P91" s="8"/>
      <c r="Q91" s="15">
        <v>4205.0</v>
      </c>
      <c r="R91" s="15">
        <f>'VICENTE LOMBARDO'!$Q91*'VICENTE LOMBARDO'!$E91</f>
        <v>4205</v>
      </c>
      <c r="S91" s="15">
        <f>'VICENTE LOMBARDO'!$R91*16%</f>
        <v>672.8</v>
      </c>
      <c r="T91" s="15">
        <f>'VICENTE LOMBARDO'!$R91+'VICENTE LOMBARDO'!$S91</f>
        <v>4877.8</v>
      </c>
      <c r="U91" s="8" t="s">
        <v>161</v>
      </c>
      <c r="V91" s="15"/>
      <c r="W91" s="15"/>
    </row>
    <row r="92" ht="15.75" hidden="1" customHeight="1">
      <c r="A92" s="6">
        <v>25.0</v>
      </c>
      <c r="B92" s="6"/>
      <c r="C92" s="8">
        <v>5736.0</v>
      </c>
      <c r="D92" s="9">
        <v>46189.0</v>
      </c>
      <c r="E92" s="8">
        <v>1.0</v>
      </c>
      <c r="F92" s="8" t="s">
        <v>185</v>
      </c>
      <c r="G92" s="8" t="s">
        <v>86</v>
      </c>
      <c r="H92" s="6">
        <v>14.0</v>
      </c>
      <c r="I92" s="8"/>
      <c r="J92" s="8"/>
      <c r="K92" s="8" t="s">
        <v>158</v>
      </c>
      <c r="L92" s="62"/>
      <c r="M92" s="62"/>
      <c r="N92" s="62"/>
      <c r="O92" s="8"/>
      <c r="P92" s="8"/>
      <c r="Q92" s="15">
        <v>1000.0</v>
      </c>
      <c r="R92" s="15">
        <f>'VICENTE LOMBARDO'!$Q92*'VICENTE LOMBARDO'!$E92</f>
        <v>1000</v>
      </c>
      <c r="S92" s="15">
        <f>'VICENTE LOMBARDO'!$R92*16%</f>
        <v>160</v>
      </c>
      <c r="T92" s="15">
        <f>'VICENTE LOMBARDO'!$R92+'VICENTE LOMBARDO'!$S92</f>
        <v>1160</v>
      </c>
      <c r="U92" s="8" t="s">
        <v>161</v>
      </c>
      <c r="V92" s="15"/>
      <c r="W92" s="15"/>
    </row>
    <row r="93" ht="15.75" hidden="1" customHeight="1">
      <c r="A93" s="6">
        <v>25.0</v>
      </c>
      <c r="B93" s="61">
        <v>1.0</v>
      </c>
      <c r="C93" s="8" t="s">
        <v>72</v>
      </c>
      <c r="D93" s="9">
        <v>46189.0</v>
      </c>
      <c r="E93" s="8">
        <v>1.0</v>
      </c>
      <c r="F93" s="8" t="s">
        <v>73</v>
      </c>
      <c r="G93" s="8" t="s">
        <v>98</v>
      </c>
      <c r="H93" s="8">
        <v>10.0</v>
      </c>
      <c r="I93" s="8"/>
      <c r="J93" s="8" t="s">
        <v>186</v>
      </c>
      <c r="K93" s="8" t="s">
        <v>158</v>
      </c>
      <c r="L93" s="62">
        <v>0.0</v>
      </c>
      <c r="M93" s="62">
        <v>0.0</v>
      </c>
      <c r="N93" s="65" t="s">
        <v>189</v>
      </c>
      <c r="O93" s="8"/>
      <c r="P93" s="63" t="s">
        <v>187</v>
      </c>
      <c r="Q93" s="15">
        <v>4900.0</v>
      </c>
      <c r="R93" s="15">
        <f>'VICENTE LOMBARDO'!$Q93*'VICENTE LOMBARDO'!$E93</f>
        <v>4900</v>
      </c>
      <c r="S93" s="15">
        <f>'VICENTE LOMBARDO'!$R93*16%</f>
        <v>784</v>
      </c>
      <c r="T93" s="15">
        <f>'VICENTE LOMBARDO'!$R93+'VICENTE LOMBARDO'!$S93</f>
        <v>5684</v>
      </c>
      <c r="U93" s="8" t="s">
        <v>161</v>
      </c>
      <c r="V93" s="15"/>
      <c r="W93" s="15"/>
    </row>
    <row r="94" ht="15.75" hidden="1" customHeight="1">
      <c r="A94" s="6">
        <v>25.0</v>
      </c>
      <c r="B94" s="6">
        <v>1.0</v>
      </c>
      <c r="C94" s="8">
        <v>5738.0</v>
      </c>
      <c r="D94" s="9">
        <v>46190.0</v>
      </c>
      <c r="E94" s="8">
        <v>1.0</v>
      </c>
      <c r="F94" s="8" t="s">
        <v>157</v>
      </c>
      <c r="G94" s="8" t="s">
        <v>167</v>
      </c>
      <c r="H94" s="6">
        <v>14.0</v>
      </c>
      <c r="I94" s="8"/>
      <c r="J94" s="8" t="s">
        <v>190</v>
      </c>
      <c r="K94" s="8" t="s">
        <v>158</v>
      </c>
      <c r="L94" s="62">
        <v>35000.0</v>
      </c>
      <c r="M94" s="62">
        <f>'VICENTE LOMBARDO'!$L94-33</f>
        <v>34967</v>
      </c>
      <c r="N94" s="65" t="s">
        <v>189</v>
      </c>
      <c r="O94" s="8"/>
      <c r="P94" s="8"/>
      <c r="Q94" s="15">
        <v>4205.0</v>
      </c>
      <c r="R94" s="15">
        <f>'VICENTE LOMBARDO'!$Q94*'VICENTE LOMBARDO'!$E94</f>
        <v>4205</v>
      </c>
      <c r="S94" s="15">
        <f>'VICENTE LOMBARDO'!$R94*16%</f>
        <v>672.8</v>
      </c>
      <c r="T94" s="15">
        <f>'VICENTE LOMBARDO'!$R94+'VICENTE LOMBARDO'!$S94</f>
        <v>4877.8</v>
      </c>
      <c r="U94" s="8" t="s">
        <v>161</v>
      </c>
      <c r="V94" s="15"/>
      <c r="W94" s="15"/>
    </row>
    <row r="95" ht="15.75" hidden="1" customHeight="1">
      <c r="A95" s="6">
        <v>25.0</v>
      </c>
      <c r="B95" s="6">
        <v>3.0</v>
      </c>
      <c r="C95" s="8">
        <v>5740.0</v>
      </c>
      <c r="D95" s="9">
        <v>46190.0</v>
      </c>
      <c r="E95" s="8">
        <v>1.0</v>
      </c>
      <c r="F95" s="8" t="s">
        <v>157</v>
      </c>
      <c r="G95" s="8" t="s">
        <v>198</v>
      </c>
      <c r="H95" s="6">
        <v>14.0</v>
      </c>
      <c r="I95" s="8"/>
      <c r="J95" s="8" t="s">
        <v>106</v>
      </c>
      <c r="K95" s="8" t="s">
        <v>158</v>
      </c>
      <c r="L95" s="62" t="str">
        <f>#REF!</f>
        <v>#REF!</v>
      </c>
      <c r="M95" s="62" t="str">
        <f>'VICENTE LOMBARDO'!$L95-34</f>
        <v>#REF!</v>
      </c>
      <c r="N95" s="65" t="s">
        <v>189</v>
      </c>
      <c r="O95" s="8"/>
      <c r="P95" s="8"/>
      <c r="Q95" s="15">
        <v>4205.0</v>
      </c>
      <c r="R95" s="15">
        <f>'VICENTE LOMBARDO'!$Q95*'VICENTE LOMBARDO'!$E95</f>
        <v>4205</v>
      </c>
      <c r="S95" s="15">
        <f>'VICENTE LOMBARDO'!$R95*16%</f>
        <v>672.8</v>
      </c>
      <c r="T95" s="15">
        <f>'VICENTE LOMBARDO'!$R95+'VICENTE LOMBARDO'!$S95</f>
        <v>4877.8</v>
      </c>
      <c r="U95" s="8" t="s">
        <v>161</v>
      </c>
      <c r="V95" s="15"/>
      <c r="W95" s="15"/>
    </row>
    <row r="96" ht="15.75" hidden="1" customHeight="1">
      <c r="A96" s="6">
        <v>25.0</v>
      </c>
      <c r="B96" s="61">
        <v>1.0</v>
      </c>
      <c r="C96" s="8" t="s">
        <v>72</v>
      </c>
      <c r="D96" s="9">
        <v>46190.0</v>
      </c>
      <c r="E96" s="8">
        <v>1.0</v>
      </c>
      <c r="F96" s="8" t="s">
        <v>73</v>
      </c>
      <c r="G96" s="8" t="s">
        <v>98</v>
      </c>
      <c r="H96" s="8">
        <v>10.0</v>
      </c>
      <c r="I96" s="8"/>
      <c r="J96" s="8" t="s">
        <v>186</v>
      </c>
      <c r="K96" s="8" t="s">
        <v>158</v>
      </c>
      <c r="L96" s="62">
        <v>0.0</v>
      </c>
      <c r="M96" s="62">
        <v>0.0</v>
      </c>
      <c r="N96" s="65" t="s">
        <v>189</v>
      </c>
      <c r="O96" s="8"/>
      <c r="P96" s="63" t="s">
        <v>187</v>
      </c>
      <c r="Q96" s="15">
        <v>4500.0</v>
      </c>
      <c r="R96" s="15">
        <f>'VICENTE LOMBARDO'!$Q96*'VICENTE LOMBARDO'!$E96</f>
        <v>4500</v>
      </c>
      <c r="S96" s="15">
        <f>'VICENTE LOMBARDO'!$R96*16%</f>
        <v>720</v>
      </c>
      <c r="T96" s="15">
        <f>'VICENTE LOMBARDO'!$R96+'VICENTE LOMBARDO'!$S96</f>
        <v>5220</v>
      </c>
      <c r="U96" s="8" t="s">
        <v>161</v>
      </c>
      <c r="V96" s="15"/>
      <c r="W96" s="15"/>
    </row>
    <row r="97" ht="15.75" hidden="1" customHeight="1">
      <c r="A97" s="6">
        <v>25.0</v>
      </c>
      <c r="B97" s="61">
        <v>1.0</v>
      </c>
      <c r="C97" s="8" t="s">
        <v>72</v>
      </c>
      <c r="D97" s="9">
        <v>46191.0</v>
      </c>
      <c r="E97" s="8">
        <v>1.0</v>
      </c>
      <c r="F97" s="8" t="s">
        <v>73</v>
      </c>
      <c r="G97" s="8" t="s">
        <v>98</v>
      </c>
      <c r="H97" s="8">
        <v>10.0</v>
      </c>
      <c r="I97" s="8"/>
      <c r="J97" s="8" t="s">
        <v>186</v>
      </c>
      <c r="K97" s="8" t="s">
        <v>158</v>
      </c>
      <c r="L97" s="62">
        <v>0.0</v>
      </c>
      <c r="M97" s="62">
        <v>0.0</v>
      </c>
      <c r="N97" s="65" t="s">
        <v>189</v>
      </c>
      <c r="O97" s="8"/>
      <c r="P97" s="63" t="s">
        <v>187</v>
      </c>
      <c r="Q97" s="15">
        <v>5132.0</v>
      </c>
      <c r="R97" s="15">
        <f>'VICENTE LOMBARDO'!$Q97*'VICENTE LOMBARDO'!$E97</f>
        <v>5132</v>
      </c>
      <c r="S97" s="15">
        <f>'VICENTE LOMBARDO'!$R97*16%</f>
        <v>821.12</v>
      </c>
      <c r="T97" s="15">
        <f>'VICENTE LOMBARDO'!$R97+'VICENTE LOMBARDO'!$S97</f>
        <v>5953.12</v>
      </c>
      <c r="U97" s="8" t="s">
        <v>161</v>
      </c>
      <c r="V97" s="15"/>
      <c r="W97" s="15"/>
    </row>
    <row r="98" ht="15.75" hidden="1" customHeight="1">
      <c r="A98" s="6">
        <v>25.0</v>
      </c>
      <c r="B98" s="6">
        <v>2.0</v>
      </c>
      <c r="C98" s="8">
        <v>266.0</v>
      </c>
      <c r="D98" s="9" t="str">
        <f t="shared" ref="D98:D99" si="2">#REF!</f>
        <v>#REF!</v>
      </c>
      <c r="E98" s="8">
        <v>1.0</v>
      </c>
      <c r="F98" s="8" t="s">
        <v>157</v>
      </c>
      <c r="G98" s="8" t="s">
        <v>198</v>
      </c>
      <c r="H98" s="6">
        <v>14.0</v>
      </c>
      <c r="I98" s="8"/>
      <c r="J98" s="8" t="s">
        <v>106</v>
      </c>
      <c r="K98" s="35" t="s">
        <v>50</v>
      </c>
      <c r="L98" s="62" t="str">
        <f t="shared" ref="L98:L99" si="3">#REF!</f>
        <v>#REF!</v>
      </c>
      <c r="M98" s="62" t="str">
        <f>'VICENTE LOMBARDO'!$L98+35</f>
        <v>#REF!</v>
      </c>
      <c r="N98" s="62" t="s">
        <v>206</v>
      </c>
      <c r="O98" s="8"/>
      <c r="P98" s="8"/>
      <c r="Q98" s="15">
        <v>4205.0</v>
      </c>
      <c r="R98" s="15">
        <f>'VICENTE LOMBARDO'!$Q98*'VICENTE LOMBARDO'!$E98</f>
        <v>4205</v>
      </c>
      <c r="S98" s="15">
        <f>'VICENTE LOMBARDO'!$R98*16%</f>
        <v>672.8</v>
      </c>
      <c r="T98" s="15">
        <f>'VICENTE LOMBARDO'!$R98+'VICENTE LOMBARDO'!$S98</f>
        <v>4877.8</v>
      </c>
      <c r="U98" s="8" t="s">
        <v>161</v>
      </c>
      <c r="V98" s="15"/>
      <c r="W98" s="15"/>
    </row>
    <row r="99" ht="15.75" hidden="1" customHeight="1">
      <c r="A99" s="6">
        <v>25.0</v>
      </c>
      <c r="B99" s="6">
        <v>4.0</v>
      </c>
      <c r="C99" s="8">
        <v>268.0</v>
      </c>
      <c r="D99" s="9" t="str">
        <f t="shared" si="2"/>
        <v>#REF!</v>
      </c>
      <c r="E99" s="8">
        <v>1.0</v>
      </c>
      <c r="F99" s="8" t="s">
        <v>157</v>
      </c>
      <c r="G99" s="8" t="s">
        <v>162</v>
      </c>
      <c r="H99" s="6">
        <v>14.0</v>
      </c>
      <c r="I99" s="8"/>
      <c r="J99" s="8" t="s">
        <v>83</v>
      </c>
      <c r="K99" s="8" t="s">
        <v>158</v>
      </c>
      <c r="L99" s="62" t="str">
        <f t="shared" si="3"/>
        <v>#REF!</v>
      </c>
      <c r="M99" s="62" t="str">
        <f>'VICENTE LOMBARDO'!$L99+39</f>
        <v>#REF!</v>
      </c>
      <c r="N99" s="62" t="s">
        <v>206</v>
      </c>
      <c r="O99" s="8"/>
      <c r="P99" s="8"/>
      <c r="Q99" s="15">
        <v>4205.0</v>
      </c>
      <c r="R99" s="15">
        <f>'VICENTE LOMBARDO'!$Q99*'VICENTE LOMBARDO'!$E99</f>
        <v>4205</v>
      </c>
      <c r="S99" s="15">
        <f>'VICENTE LOMBARDO'!$R99*16%</f>
        <v>672.8</v>
      </c>
      <c r="T99" s="15">
        <f>'VICENTE LOMBARDO'!$R99+'VICENTE LOMBARDO'!$S99</f>
        <v>4877.8</v>
      </c>
      <c r="U99" s="8" t="s">
        <v>161</v>
      </c>
      <c r="V99" s="15"/>
      <c r="W99" s="15"/>
    </row>
    <row r="100" ht="15.75" hidden="1" customHeight="1">
      <c r="A100" s="6">
        <v>25.0</v>
      </c>
      <c r="B100" s="6">
        <v>5.0</v>
      </c>
      <c r="C100" s="8">
        <v>269.0</v>
      </c>
      <c r="D100" s="9" t="str">
        <f t="shared" ref="D100:D101" si="4">D99</f>
        <v>#REF!</v>
      </c>
      <c r="E100" s="8">
        <v>1.0</v>
      </c>
      <c r="F100" s="8" t="s">
        <v>157</v>
      </c>
      <c r="G100" s="8" t="s">
        <v>167</v>
      </c>
      <c r="H100" s="6">
        <v>14.0</v>
      </c>
      <c r="I100" s="8"/>
      <c r="J100" s="8" t="s">
        <v>190</v>
      </c>
      <c r="K100" s="8" t="s">
        <v>158</v>
      </c>
      <c r="L100" s="62" t="str">
        <f t="shared" ref="L100:L101" si="5">M99</f>
        <v>#REF!</v>
      </c>
      <c r="M100" s="62" t="str">
        <f>'VICENTE LOMBARDO'!$L100+35</f>
        <v>#REF!</v>
      </c>
      <c r="N100" s="62" t="s">
        <v>206</v>
      </c>
      <c r="O100" s="8"/>
      <c r="P100" s="8"/>
      <c r="Q100" s="15">
        <v>4205.0</v>
      </c>
      <c r="R100" s="15">
        <f>'VICENTE LOMBARDO'!$Q100*'VICENTE LOMBARDO'!$E100</f>
        <v>4205</v>
      </c>
      <c r="S100" s="15">
        <f>'VICENTE LOMBARDO'!$R100*16%</f>
        <v>672.8</v>
      </c>
      <c r="T100" s="15">
        <f>'VICENTE LOMBARDO'!$R100+'VICENTE LOMBARDO'!$S100</f>
        <v>4877.8</v>
      </c>
      <c r="U100" s="8" t="s">
        <v>161</v>
      </c>
      <c r="V100" s="15"/>
      <c r="W100" s="15"/>
    </row>
    <row r="101" ht="15.75" hidden="1" customHeight="1">
      <c r="A101" s="6">
        <v>25.0</v>
      </c>
      <c r="B101" s="6">
        <v>6.0</v>
      </c>
      <c r="C101" s="8">
        <v>270.0</v>
      </c>
      <c r="D101" s="9" t="str">
        <f t="shared" si="4"/>
        <v>#REF!</v>
      </c>
      <c r="E101" s="8">
        <v>1.0</v>
      </c>
      <c r="F101" s="8" t="s">
        <v>157</v>
      </c>
      <c r="G101" s="8" t="s">
        <v>193</v>
      </c>
      <c r="H101" s="6">
        <v>14.0</v>
      </c>
      <c r="I101" s="8"/>
      <c r="J101" s="8" t="s">
        <v>81</v>
      </c>
      <c r="K101" s="8" t="s">
        <v>158</v>
      </c>
      <c r="L101" s="62" t="str">
        <f t="shared" si="5"/>
        <v>#REF!</v>
      </c>
      <c r="M101" s="62" t="str">
        <f>'VICENTE LOMBARDO'!$L101+37</f>
        <v>#REF!</v>
      </c>
      <c r="N101" s="62" t="s">
        <v>206</v>
      </c>
      <c r="O101" s="8"/>
      <c r="P101" s="8"/>
      <c r="Q101" s="15">
        <v>4205.0</v>
      </c>
      <c r="R101" s="15">
        <f>'VICENTE LOMBARDO'!$Q101*'VICENTE LOMBARDO'!$E101</f>
        <v>4205</v>
      </c>
      <c r="S101" s="15">
        <f>'VICENTE LOMBARDO'!$R101*16%</f>
        <v>672.8</v>
      </c>
      <c r="T101" s="15">
        <f>'VICENTE LOMBARDO'!$R101+'VICENTE LOMBARDO'!$S101</f>
        <v>4877.8</v>
      </c>
      <c r="U101" s="8" t="s">
        <v>161</v>
      </c>
      <c r="V101" s="15"/>
      <c r="W101" s="15"/>
    </row>
    <row r="102" ht="15.75" hidden="1" customHeight="1">
      <c r="A102" s="6">
        <v>26.0</v>
      </c>
      <c r="B102" s="6">
        <v>6.0</v>
      </c>
      <c r="C102" s="8">
        <v>284.0</v>
      </c>
      <c r="D102" s="9">
        <v>46195.0</v>
      </c>
      <c r="E102" s="8">
        <v>1.0</v>
      </c>
      <c r="F102" s="8" t="s">
        <v>157</v>
      </c>
      <c r="G102" s="8" t="s">
        <v>198</v>
      </c>
      <c r="H102" s="6">
        <v>14.0</v>
      </c>
      <c r="I102" s="8"/>
      <c r="J102" s="8" t="s">
        <v>106</v>
      </c>
      <c r="K102" s="8" t="s">
        <v>158</v>
      </c>
      <c r="L102" s="62">
        <v>34508.0</v>
      </c>
      <c r="M102" s="62">
        <v>34465.0</v>
      </c>
      <c r="N102" s="62" t="s">
        <v>189</v>
      </c>
      <c r="O102" s="8"/>
      <c r="P102" s="8"/>
      <c r="Q102" s="15">
        <v>4205.0</v>
      </c>
      <c r="R102" s="15">
        <f>'VICENTE LOMBARDO'!$Q102*'VICENTE LOMBARDO'!$E102</f>
        <v>4205</v>
      </c>
      <c r="S102" s="15">
        <f>'VICENTE LOMBARDO'!$R102*16%</f>
        <v>672.8</v>
      </c>
      <c r="T102" s="15">
        <f>'VICENTE LOMBARDO'!$R102+'VICENTE LOMBARDO'!$S102</f>
        <v>4877.8</v>
      </c>
      <c r="U102" s="8" t="s">
        <v>215</v>
      </c>
      <c r="V102" s="15"/>
      <c r="W102" s="15"/>
    </row>
    <row r="103" ht="15.75" hidden="1" customHeight="1">
      <c r="A103" s="6">
        <v>26.0</v>
      </c>
      <c r="B103" s="6">
        <v>7.0</v>
      </c>
      <c r="C103" s="8">
        <v>285.0</v>
      </c>
      <c r="D103" s="9">
        <v>46195.0</v>
      </c>
      <c r="E103" s="8">
        <v>1.0</v>
      </c>
      <c r="F103" s="8" t="s">
        <v>157</v>
      </c>
      <c r="G103" s="8" t="s">
        <v>193</v>
      </c>
      <c r="H103" s="6">
        <v>14.0</v>
      </c>
      <c r="I103" s="8"/>
      <c r="J103" s="8" t="s">
        <v>216</v>
      </c>
      <c r="K103" s="8" t="s">
        <v>158</v>
      </c>
      <c r="L103" s="62">
        <v>34465.0</v>
      </c>
      <c r="M103" s="62">
        <v>34424.0</v>
      </c>
      <c r="N103" s="62" t="s">
        <v>189</v>
      </c>
      <c r="O103" s="8"/>
      <c r="P103" s="8"/>
      <c r="Q103" s="15">
        <v>4205.0</v>
      </c>
      <c r="R103" s="15">
        <f>'VICENTE LOMBARDO'!$Q103*'VICENTE LOMBARDO'!$E103</f>
        <v>4205</v>
      </c>
      <c r="S103" s="15">
        <f>'VICENTE LOMBARDO'!$R103*16%</f>
        <v>672.8</v>
      </c>
      <c r="T103" s="15">
        <f>'VICENTE LOMBARDO'!$R103+'VICENTE LOMBARDO'!$S103</f>
        <v>4877.8</v>
      </c>
      <c r="U103" s="8" t="s">
        <v>215</v>
      </c>
      <c r="V103" s="15"/>
      <c r="W103" s="15"/>
    </row>
    <row r="104" ht="15.75" hidden="1" customHeight="1">
      <c r="A104" s="6">
        <v>26.0</v>
      </c>
      <c r="B104" s="6">
        <v>8.0</v>
      </c>
      <c r="C104" s="8">
        <v>286.0</v>
      </c>
      <c r="D104" s="9">
        <v>46195.0</v>
      </c>
      <c r="E104" s="8">
        <v>1.0</v>
      </c>
      <c r="F104" s="8" t="s">
        <v>157</v>
      </c>
      <c r="G104" s="8" t="s">
        <v>218</v>
      </c>
      <c r="H104" s="6">
        <v>14.0</v>
      </c>
      <c r="I104" s="8"/>
      <c r="J104" s="8" t="s">
        <v>83</v>
      </c>
      <c r="K104" s="8" t="s">
        <v>158</v>
      </c>
      <c r="L104" s="62">
        <v>34424.0</v>
      </c>
      <c r="M104" s="62">
        <v>34387.0</v>
      </c>
      <c r="N104" s="62" t="s">
        <v>189</v>
      </c>
      <c r="O104" s="8"/>
      <c r="P104" s="8"/>
      <c r="Q104" s="15">
        <v>4205.0</v>
      </c>
      <c r="R104" s="15">
        <f>'VICENTE LOMBARDO'!$Q104*'VICENTE LOMBARDO'!$E104</f>
        <v>4205</v>
      </c>
      <c r="S104" s="15">
        <f>'VICENTE LOMBARDO'!$R104*16%</f>
        <v>672.8</v>
      </c>
      <c r="T104" s="15">
        <f>'VICENTE LOMBARDO'!$R104+'VICENTE LOMBARDO'!$S104</f>
        <v>4877.8</v>
      </c>
      <c r="U104" s="8" t="s">
        <v>215</v>
      </c>
      <c r="V104" s="15"/>
      <c r="W104" s="15"/>
    </row>
    <row r="105" ht="15.75" hidden="1" customHeight="1">
      <c r="A105" s="6">
        <v>26.0</v>
      </c>
      <c r="B105" s="6"/>
      <c r="C105" s="8">
        <v>220.0</v>
      </c>
      <c r="D105" s="9">
        <v>46196.0</v>
      </c>
      <c r="E105" s="8">
        <v>1.0</v>
      </c>
      <c r="F105" s="8" t="s">
        <v>219</v>
      </c>
      <c r="G105" s="8"/>
      <c r="H105" s="6"/>
      <c r="I105" s="8"/>
      <c r="J105" s="8"/>
      <c r="K105" s="8"/>
      <c r="L105" s="62"/>
      <c r="M105" s="62"/>
      <c r="N105" s="62"/>
      <c r="O105" s="8"/>
      <c r="P105" s="8"/>
      <c r="Q105" s="15">
        <v>1000.0</v>
      </c>
      <c r="R105" s="15">
        <f>'VICENTE LOMBARDO'!$Q105*'VICENTE LOMBARDO'!$E105</f>
        <v>1000</v>
      </c>
      <c r="S105" s="15">
        <f>'VICENTE LOMBARDO'!$R105*16%</f>
        <v>160</v>
      </c>
      <c r="T105" s="15">
        <f>'VICENTE LOMBARDO'!$R105+'VICENTE LOMBARDO'!$S105</f>
        <v>1160</v>
      </c>
      <c r="U105" s="8" t="s">
        <v>215</v>
      </c>
      <c r="V105" s="15"/>
      <c r="W105" s="15"/>
    </row>
    <row r="106" ht="15.75" hidden="1" customHeight="1">
      <c r="A106" s="6">
        <v>26.0</v>
      </c>
      <c r="B106" s="6">
        <v>6.0</v>
      </c>
      <c r="C106" s="8">
        <v>226.0</v>
      </c>
      <c r="D106" s="9">
        <v>46196.0</v>
      </c>
      <c r="E106" s="8">
        <v>1.0</v>
      </c>
      <c r="F106" s="8" t="s">
        <v>157</v>
      </c>
      <c r="G106" s="8" t="s">
        <v>192</v>
      </c>
      <c r="H106" s="6">
        <v>14.0</v>
      </c>
      <c r="I106" s="67">
        <v>24320.0</v>
      </c>
      <c r="J106" s="8" t="s">
        <v>220</v>
      </c>
      <c r="K106" s="8" t="s">
        <v>158</v>
      </c>
      <c r="L106" s="62">
        <v>23221.0</v>
      </c>
      <c r="M106" s="62">
        <v>23257.0</v>
      </c>
      <c r="N106" s="62" t="s">
        <v>206</v>
      </c>
      <c r="O106" s="8"/>
      <c r="P106" s="8" t="s">
        <v>221</v>
      </c>
      <c r="Q106" s="15">
        <v>7340.0</v>
      </c>
      <c r="R106" s="15">
        <f>'VICENTE LOMBARDO'!$Q106*'VICENTE LOMBARDO'!$E106</f>
        <v>7340</v>
      </c>
      <c r="S106" s="15">
        <f>'VICENTE LOMBARDO'!$R106*16%</f>
        <v>1174.4</v>
      </c>
      <c r="T106" s="15">
        <f>'VICENTE LOMBARDO'!$R106+'VICENTE LOMBARDO'!$S106</f>
        <v>8514.4</v>
      </c>
      <c r="U106" s="8" t="s">
        <v>215</v>
      </c>
      <c r="V106" s="15"/>
      <c r="W106" s="15"/>
    </row>
    <row r="107" ht="15.75" hidden="1" customHeight="1">
      <c r="A107" s="6">
        <v>26.0</v>
      </c>
      <c r="B107" s="6">
        <v>7.0</v>
      </c>
      <c r="C107" s="8">
        <v>227.0</v>
      </c>
      <c r="D107" s="9">
        <v>46196.0</v>
      </c>
      <c r="E107" s="8">
        <v>1.0</v>
      </c>
      <c r="F107" s="8" t="s">
        <v>157</v>
      </c>
      <c r="G107" s="8" t="s">
        <v>222</v>
      </c>
      <c r="H107" s="6">
        <v>14.0</v>
      </c>
      <c r="I107" s="67">
        <v>23740.0</v>
      </c>
      <c r="J107" s="8" t="s">
        <v>223</v>
      </c>
      <c r="K107" s="8" t="s">
        <v>158</v>
      </c>
      <c r="L107" s="62">
        <v>23257.0</v>
      </c>
      <c r="M107" s="62">
        <v>23298.0</v>
      </c>
      <c r="N107" s="62" t="s">
        <v>206</v>
      </c>
      <c r="O107" s="8"/>
      <c r="P107" s="8" t="s">
        <v>221</v>
      </c>
      <c r="Q107" s="15">
        <v>7340.0</v>
      </c>
      <c r="R107" s="15">
        <f>'VICENTE LOMBARDO'!$Q107*'VICENTE LOMBARDO'!$E107</f>
        <v>7340</v>
      </c>
      <c r="S107" s="15">
        <f>'VICENTE LOMBARDO'!$R107*16%</f>
        <v>1174.4</v>
      </c>
      <c r="T107" s="15">
        <f>'VICENTE LOMBARDO'!$R107+'VICENTE LOMBARDO'!$S107</f>
        <v>8514.4</v>
      </c>
      <c r="U107" s="8" t="s">
        <v>215</v>
      </c>
      <c r="V107" s="15"/>
      <c r="W107" s="15"/>
    </row>
    <row r="108" ht="15.75" hidden="1" customHeight="1">
      <c r="A108" s="6">
        <v>26.0</v>
      </c>
      <c r="B108" s="6">
        <v>11.0</v>
      </c>
      <c r="C108" s="8">
        <v>231.0</v>
      </c>
      <c r="D108" s="9">
        <v>46196.0</v>
      </c>
      <c r="E108" s="8">
        <v>1.0</v>
      </c>
      <c r="F108" s="8" t="s">
        <v>157</v>
      </c>
      <c r="G108" s="8" t="s">
        <v>218</v>
      </c>
      <c r="H108" s="6">
        <v>14.0</v>
      </c>
      <c r="I108" s="67">
        <v>24180.0</v>
      </c>
      <c r="J108" s="8" t="s">
        <v>83</v>
      </c>
      <c r="K108" s="8" t="s">
        <v>158</v>
      </c>
      <c r="L108" s="62">
        <v>23407.0</v>
      </c>
      <c r="M108" s="62">
        <v>23448.0</v>
      </c>
      <c r="N108" s="62" t="s">
        <v>206</v>
      </c>
      <c r="O108" s="8"/>
      <c r="P108" s="8" t="s">
        <v>221</v>
      </c>
      <c r="Q108" s="15">
        <v>7340.0</v>
      </c>
      <c r="R108" s="15">
        <f>'VICENTE LOMBARDO'!$Q108*'VICENTE LOMBARDO'!$E108</f>
        <v>7340</v>
      </c>
      <c r="S108" s="15">
        <f>'VICENTE LOMBARDO'!$R108*16%</f>
        <v>1174.4</v>
      </c>
      <c r="T108" s="15">
        <f>'VICENTE LOMBARDO'!$R108+'VICENTE LOMBARDO'!$S108</f>
        <v>8514.4</v>
      </c>
      <c r="U108" s="8" t="s">
        <v>215</v>
      </c>
      <c r="V108" s="15"/>
      <c r="W108" s="15"/>
    </row>
    <row r="109" ht="15.75" hidden="1" customHeight="1">
      <c r="A109" s="6">
        <v>26.0</v>
      </c>
      <c r="B109" s="6">
        <v>12.0</v>
      </c>
      <c r="C109" s="8">
        <v>232.0</v>
      </c>
      <c r="D109" s="9">
        <v>46196.0</v>
      </c>
      <c r="E109" s="8">
        <v>1.0</v>
      </c>
      <c r="F109" s="8" t="s">
        <v>157</v>
      </c>
      <c r="G109" s="8" t="s">
        <v>224</v>
      </c>
      <c r="H109" s="6">
        <v>14.0</v>
      </c>
      <c r="I109" s="67">
        <v>23040.0</v>
      </c>
      <c r="J109" s="8" t="s">
        <v>225</v>
      </c>
      <c r="K109" s="8" t="s">
        <v>158</v>
      </c>
      <c r="L109" s="62">
        <v>23448.0</v>
      </c>
      <c r="M109" s="62">
        <v>23488.0</v>
      </c>
      <c r="N109" s="62" t="s">
        <v>206</v>
      </c>
      <c r="O109" s="8"/>
      <c r="P109" s="8" t="s">
        <v>221</v>
      </c>
      <c r="Q109" s="15">
        <v>7340.0</v>
      </c>
      <c r="R109" s="15">
        <f>'VICENTE LOMBARDO'!$Q109*'VICENTE LOMBARDO'!$E109</f>
        <v>7340</v>
      </c>
      <c r="S109" s="15">
        <f>'VICENTE LOMBARDO'!$R109*16%</f>
        <v>1174.4</v>
      </c>
      <c r="T109" s="15">
        <f>'VICENTE LOMBARDO'!$R109+'VICENTE LOMBARDO'!$S109</f>
        <v>8514.4</v>
      </c>
      <c r="U109" s="8" t="s">
        <v>215</v>
      </c>
      <c r="V109" s="15"/>
      <c r="W109" s="15"/>
    </row>
    <row r="110" ht="15.75" hidden="1" customHeight="1">
      <c r="A110" s="6">
        <v>26.0</v>
      </c>
      <c r="B110" s="6">
        <v>13.0</v>
      </c>
      <c r="C110" s="8">
        <v>233.0</v>
      </c>
      <c r="D110" s="9">
        <v>46196.0</v>
      </c>
      <c r="E110" s="8">
        <v>1.0</v>
      </c>
      <c r="F110" s="8" t="s">
        <v>157</v>
      </c>
      <c r="G110" s="8" t="s">
        <v>193</v>
      </c>
      <c r="H110" s="6">
        <v>14.0</v>
      </c>
      <c r="I110" s="67">
        <v>24300.0</v>
      </c>
      <c r="J110" s="8" t="s">
        <v>216</v>
      </c>
      <c r="K110" s="8" t="s">
        <v>158</v>
      </c>
      <c r="L110" s="62">
        <v>23488.0</v>
      </c>
      <c r="M110" s="62">
        <v>23526.0</v>
      </c>
      <c r="N110" s="62" t="s">
        <v>206</v>
      </c>
      <c r="O110" s="8"/>
      <c r="P110" s="8" t="s">
        <v>221</v>
      </c>
      <c r="Q110" s="15">
        <v>7340.0</v>
      </c>
      <c r="R110" s="15">
        <f>'VICENTE LOMBARDO'!$Q110*'VICENTE LOMBARDO'!$E110</f>
        <v>7340</v>
      </c>
      <c r="S110" s="15">
        <f>'VICENTE LOMBARDO'!$R110*16%</f>
        <v>1174.4</v>
      </c>
      <c r="T110" s="15">
        <f>'VICENTE LOMBARDO'!$R110+'VICENTE LOMBARDO'!$S110</f>
        <v>8514.4</v>
      </c>
      <c r="U110" s="8" t="s">
        <v>215</v>
      </c>
      <c r="V110" s="15"/>
      <c r="W110" s="15"/>
    </row>
    <row r="111" ht="15.75" hidden="1" customHeight="1">
      <c r="A111" s="6">
        <v>26.0</v>
      </c>
      <c r="B111" s="6">
        <v>14.0</v>
      </c>
      <c r="C111" s="8">
        <v>234.0</v>
      </c>
      <c r="D111" s="9">
        <v>46196.0</v>
      </c>
      <c r="E111" s="8">
        <v>1.0</v>
      </c>
      <c r="F111" s="8" t="s">
        <v>157</v>
      </c>
      <c r="G111" s="8" t="s">
        <v>227</v>
      </c>
      <c r="H111" s="6">
        <v>14.0</v>
      </c>
      <c r="I111" s="67">
        <v>25040.0</v>
      </c>
      <c r="J111" s="8" t="s">
        <v>81</v>
      </c>
      <c r="K111" s="8" t="s">
        <v>158</v>
      </c>
      <c r="L111" s="62">
        <v>23526.0</v>
      </c>
      <c r="M111" s="62">
        <v>23560.0</v>
      </c>
      <c r="N111" s="8" t="s">
        <v>206</v>
      </c>
      <c r="O111" s="8"/>
      <c r="P111" s="8" t="s">
        <v>221</v>
      </c>
      <c r="Q111" s="15">
        <v>7340.0</v>
      </c>
      <c r="R111" s="15">
        <f>'VICENTE LOMBARDO'!$Q111*'VICENTE LOMBARDO'!$E111</f>
        <v>7340</v>
      </c>
      <c r="S111" s="15">
        <f>'VICENTE LOMBARDO'!$R111*16%</f>
        <v>1174.4</v>
      </c>
      <c r="T111" s="15">
        <f>'VICENTE LOMBARDO'!$R111+'VICENTE LOMBARDO'!$S111</f>
        <v>8514.4</v>
      </c>
      <c r="U111" s="8" t="s">
        <v>215</v>
      </c>
      <c r="V111" s="15"/>
      <c r="W111" s="15"/>
    </row>
    <row r="112" ht="15.75" hidden="1" customHeight="1">
      <c r="A112" s="6">
        <v>26.0</v>
      </c>
      <c r="B112" s="6"/>
      <c r="C112" s="8">
        <v>264.0</v>
      </c>
      <c r="D112" s="9">
        <v>46197.0</v>
      </c>
      <c r="E112" s="8">
        <v>1.0</v>
      </c>
      <c r="F112" s="8" t="s">
        <v>219</v>
      </c>
      <c r="G112" s="8"/>
      <c r="H112" s="6"/>
      <c r="I112" s="67"/>
      <c r="J112" s="8"/>
      <c r="K112" s="8"/>
      <c r="L112" s="62"/>
      <c r="M112" s="62"/>
      <c r="N112" s="8"/>
      <c r="O112" s="8"/>
      <c r="P112" s="8"/>
      <c r="Q112" s="15">
        <v>1000.0</v>
      </c>
      <c r="R112" s="15">
        <f>'VICENTE LOMBARDO'!$Q112*'VICENTE LOMBARDO'!$E112</f>
        <v>1000</v>
      </c>
      <c r="S112" s="15">
        <f>'VICENTE LOMBARDO'!$R112*16%</f>
        <v>160</v>
      </c>
      <c r="T112" s="15">
        <f>'VICENTE LOMBARDO'!$R112+'VICENTE LOMBARDO'!$S112</f>
        <v>1160</v>
      </c>
      <c r="U112" s="8" t="s">
        <v>215</v>
      </c>
      <c r="V112" s="15"/>
      <c r="W112" s="15"/>
    </row>
    <row r="113" ht="15.75" hidden="1" customHeight="1">
      <c r="A113" s="6">
        <v>26.0</v>
      </c>
      <c r="B113" s="6"/>
      <c r="C113" s="8">
        <v>265.0</v>
      </c>
      <c r="D113" s="9">
        <v>46197.0</v>
      </c>
      <c r="E113" s="8">
        <v>1.0</v>
      </c>
      <c r="F113" s="8" t="s">
        <v>219</v>
      </c>
      <c r="G113" s="8"/>
      <c r="H113" s="6"/>
      <c r="I113" s="67"/>
      <c r="J113" s="8"/>
      <c r="K113" s="8"/>
      <c r="L113" s="62"/>
      <c r="M113" s="62"/>
      <c r="N113" s="8"/>
      <c r="O113" s="8"/>
      <c r="P113" s="8"/>
      <c r="Q113" s="15">
        <v>1000.0</v>
      </c>
      <c r="R113" s="15">
        <f>'VICENTE LOMBARDO'!$Q113*'VICENTE LOMBARDO'!$E113</f>
        <v>1000</v>
      </c>
      <c r="S113" s="15">
        <f>'VICENTE LOMBARDO'!$R113*16%</f>
        <v>160</v>
      </c>
      <c r="T113" s="15">
        <f>'VICENTE LOMBARDO'!$R113+'VICENTE LOMBARDO'!$S113</f>
        <v>1160</v>
      </c>
      <c r="U113" s="8" t="s">
        <v>215</v>
      </c>
      <c r="V113" s="15"/>
      <c r="W113" s="15"/>
    </row>
    <row r="114" ht="15.75" hidden="1" customHeight="1">
      <c r="A114" s="6">
        <v>26.0</v>
      </c>
      <c r="B114" s="6">
        <v>1.0</v>
      </c>
      <c r="C114" s="8">
        <v>287.0</v>
      </c>
      <c r="D114" s="9">
        <v>46198.0</v>
      </c>
      <c r="E114" s="8">
        <v>1.0</v>
      </c>
      <c r="F114" s="8" t="s">
        <v>157</v>
      </c>
      <c r="G114" s="8" t="s">
        <v>198</v>
      </c>
      <c r="H114" s="6">
        <v>15.0</v>
      </c>
      <c r="I114" s="67"/>
      <c r="J114" s="8" t="s">
        <v>106</v>
      </c>
      <c r="K114" s="8" t="s">
        <v>158</v>
      </c>
      <c r="L114" s="62" t="s">
        <v>230</v>
      </c>
      <c r="M114" s="62" t="s">
        <v>231</v>
      </c>
      <c r="N114" s="8" t="s">
        <v>189</v>
      </c>
      <c r="O114" s="8"/>
      <c r="P114" s="8"/>
      <c r="Q114" s="15">
        <v>4205.0</v>
      </c>
      <c r="R114" s="15">
        <f>'VICENTE LOMBARDO'!$Q114*'VICENTE LOMBARDO'!$E114</f>
        <v>4205</v>
      </c>
      <c r="S114" s="15">
        <f>'VICENTE LOMBARDO'!$R114*16%</f>
        <v>672.8</v>
      </c>
      <c r="T114" s="15">
        <f>'VICENTE LOMBARDO'!$R114+'VICENTE LOMBARDO'!$S114</f>
        <v>4877.8</v>
      </c>
      <c r="U114" s="8" t="s">
        <v>215</v>
      </c>
      <c r="V114" s="15"/>
      <c r="W114" s="15"/>
    </row>
    <row r="115" ht="15.75" hidden="1" customHeight="1">
      <c r="A115" s="6">
        <v>26.0</v>
      </c>
      <c r="B115" s="6">
        <v>2.0</v>
      </c>
      <c r="C115" s="8">
        <v>288.0</v>
      </c>
      <c r="D115" s="9">
        <v>46198.0</v>
      </c>
      <c r="E115" s="8">
        <v>1.0</v>
      </c>
      <c r="F115" s="8" t="s">
        <v>157</v>
      </c>
      <c r="G115" s="8" t="s">
        <v>193</v>
      </c>
      <c r="H115" s="6">
        <v>15.0</v>
      </c>
      <c r="I115" s="67"/>
      <c r="J115" s="8" t="s">
        <v>216</v>
      </c>
      <c r="K115" s="8" t="s">
        <v>158</v>
      </c>
      <c r="L115" s="62" t="s">
        <v>231</v>
      </c>
      <c r="M115" s="62" t="s">
        <v>232</v>
      </c>
      <c r="N115" s="62" t="s">
        <v>189</v>
      </c>
      <c r="O115" s="8"/>
      <c r="P115" s="8"/>
      <c r="Q115" s="15">
        <v>4205.0</v>
      </c>
      <c r="R115" s="15">
        <f>'VICENTE LOMBARDO'!$Q115*'VICENTE LOMBARDO'!$E115</f>
        <v>4205</v>
      </c>
      <c r="S115" s="15">
        <f>'VICENTE LOMBARDO'!$R115*16%</f>
        <v>672.8</v>
      </c>
      <c r="T115" s="15">
        <f>'VICENTE LOMBARDO'!$R115+'VICENTE LOMBARDO'!$S115</f>
        <v>4877.8</v>
      </c>
      <c r="U115" s="8" t="s">
        <v>215</v>
      </c>
      <c r="V115" s="15"/>
      <c r="W115" s="15"/>
    </row>
    <row r="116" ht="15.75" hidden="1" customHeight="1">
      <c r="A116" s="6">
        <v>26.0</v>
      </c>
      <c r="B116" s="6">
        <v>3.0</v>
      </c>
      <c r="C116" s="8">
        <v>289.0</v>
      </c>
      <c r="D116" s="9">
        <v>46198.0</v>
      </c>
      <c r="E116" s="8">
        <v>1.0</v>
      </c>
      <c r="F116" s="8" t="s">
        <v>157</v>
      </c>
      <c r="G116" s="8" t="s">
        <v>224</v>
      </c>
      <c r="H116" s="6">
        <v>15.0</v>
      </c>
      <c r="I116" s="67"/>
      <c r="J116" s="8" t="s">
        <v>106</v>
      </c>
      <c r="K116" s="8" t="s">
        <v>158</v>
      </c>
      <c r="L116" s="62" t="s">
        <v>232</v>
      </c>
      <c r="M116" s="62" t="s">
        <v>233</v>
      </c>
      <c r="N116" s="8" t="s">
        <v>189</v>
      </c>
      <c r="O116" s="8"/>
      <c r="P116" s="8"/>
      <c r="Q116" s="15">
        <v>4205.0</v>
      </c>
      <c r="R116" s="15">
        <f>'VICENTE LOMBARDO'!$Q116*'VICENTE LOMBARDO'!$E116</f>
        <v>4205</v>
      </c>
      <c r="S116" s="15">
        <f>'VICENTE LOMBARDO'!$R116*16%</f>
        <v>672.8</v>
      </c>
      <c r="T116" s="15">
        <f>'VICENTE LOMBARDO'!$R116+'VICENTE LOMBARDO'!$S116</f>
        <v>4877.8</v>
      </c>
      <c r="U116" s="8" t="s">
        <v>215</v>
      </c>
      <c r="V116" s="15"/>
      <c r="W116" s="15"/>
    </row>
    <row r="117" ht="15.75" hidden="1" customHeight="1">
      <c r="A117" s="6">
        <v>26.0</v>
      </c>
      <c r="B117" s="6">
        <v>4.0</v>
      </c>
      <c r="C117" s="8">
        <v>290.0</v>
      </c>
      <c r="D117" s="9">
        <v>46198.0</v>
      </c>
      <c r="E117" s="8">
        <v>1.0</v>
      </c>
      <c r="F117" s="8" t="s">
        <v>157</v>
      </c>
      <c r="G117" s="8" t="s">
        <v>227</v>
      </c>
      <c r="H117" s="6">
        <v>15.0</v>
      </c>
      <c r="I117" s="67"/>
      <c r="J117" s="8" t="s">
        <v>81</v>
      </c>
      <c r="K117" s="8" t="s">
        <v>158</v>
      </c>
      <c r="L117" s="62" t="s">
        <v>233</v>
      </c>
      <c r="M117" s="62" t="s">
        <v>234</v>
      </c>
      <c r="N117" s="8" t="s">
        <v>189</v>
      </c>
      <c r="O117" s="8"/>
      <c r="P117" s="8"/>
      <c r="Q117" s="15">
        <v>4205.0</v>
      </c>
      <c r="R117" s="15">
        <f>'VICENTE LOMBARDO'!$Q117*'VICENTE LOMBARDO'!$E117</f>
        <v>4205</v>
      </c>
      <c r="S117" s="15">
        <f>'VICENTE LOMBARDO'!$R117*16%</f>
        <v>672.8</v>
      </c>
      <c r="T117" s="15">
        <f>'VICENTE LOMBARDO'!$R117+'VICENTE LOMBARDO'!$S117</f>
        <v>4877.8</v>
      </c>
      <c r="U117" s="8" t="s">
        <v>215</v>
      </c>
      <c r="V117" s="15"/>
      <c r="W117" s="15"/>
    </row>
    <row r="118" ht="15.75" hidden="1" customHeight="1">
      <c r="A118" s="6">
        <v>26.0</v>
      </c>
      <c r="B118" s="6"/>
      <c r="C118" s="8">
        <v>291.0</v>
      </c>
      <c r="D118" s="9">
        <v>46198.0</v>
      </c>
      <c r="E118" s="8">
        <v>1.0</v>
      </c>
      <c r="F118" s="8" t="s">
        <v>219</v>
      </c>
      <c r="G118" s="8"/>
      <c r="H118" s="6"/>
      <c r="I118" s="67"/>
      <c r="J118" s="8"/>
      <c r="K118" s="8"/>
      <c r="L118" s="62"/>
      <c r="M118" s="62"/>
      <c r="N118" s="8"/>
      <c r="O118" s="8"/>
      <c r="P118" s="8"/>
      <c r="Q118" s="15">
        <v>1500.0</v>
      </c>
      <c r="R118" s="15">
        <f>'VICENTE LOMBARDO'!$Q118*'VICENTE LOMBARDO'!$E118</f>
        <v>1500</v>
      </c>
      <c r="S118" s="15">
        <f>'VICENTE LOMBARDO'!$R118*16%</f>
        <v>240</v>
      </c>
      <c r="T118" s="15">
        <f>'VICENTE LOMBARDO'!$R118+'VICENTE LOMBARDO'!$S118</f>
        <v>1740</v>
      </c>
      <c r="U118" s="8" t="s">
        <v>215</v>
      </c>
      <c r="V118" s="15"/>
      <c r="W118" s="15"/>
    </row>
    <row r="119" ht="15.75" hidden="1" customHeight="1">
      <c r="A119" s="6">
        <v>26.0</v>
      </c>
      <c r="B119" s="6">
        <v>5.0</v>
      </c>
      <c r="C119" s="8">
        <v>292.0</v>
      </c>
      <c r="D119" s="9">
        <v>46198.0</v>
      </c>
      <c r="E119" s="8">
        <v>1.0</v>
      </c>
      <c r="F119" s="8" t="s">
        <v>157</v>
      </c>
      <c r="G119" s="8" t="s">
        <v>162</v>
      </c>
      <c r="H119" s="6">
        <v>15.0</v>
      </c>
      <c r="I119" s="67"/>
      <c r="J119" s="8" t="s">
        <v>83</v>
      </c>
      <c r="K119" s="8" t="s">
        <v>158</v>
      </c>
      <c r="L119" s="62" t="s">
        <v>235</v>
      </c>
      <c r="M119" s="62" t="s">
        <v>236</v>
      </c>
      <c r="N119" s="8" t="s">
        <v>189</v>
      </c>
      <c r="O119" s="8"/>
      <c r="P119" s="8"/>
      <c r="Q119" s="15">
        <v>4205.0</v>
      </c>
      <c r="R119" s="15">
        <f>'VICENTE LOMBARDO'!$Q119*'VICENTE LOMBARDO'!$E119</f>
        <v>4205</v>
      </c>
      <c r="S119" s="15">
        <f>'VICENTE LOMBARDO'!$R119*16%</f>
        <v>672.8</v>
      </c>
      <c r="T119" s="15">
        <f>'VICENTE LOMBARDO'!$R119+'VICENTE LOMBARDO'!$S119</f>
        <v>4877.8</v>
      </c>
      <c r="U119" s="8" t="s">
        <v>215</v>
      </c>
      <c r="V119" s="15"/>
      <c r="W119" s="15"/>
    </row>
    <row r="120" ht="15.75" hidden="1" customHeight="1">
      <c r="A120" s="6">
        <v>26.0</v>
      </c>
      <c r="B120" s="6"/>
      <c r="C120" s="8">
        <v>293.0</v>
      </c>
      <c r="D120" s="9">
        <v>46198.0</v>
      </c>
      <c r="E120" s="8">
        <v>1.0</v>
      </c>
      <c r="F120" s="8" t="s">
        <v>219</v>
      </c>
      <c r="G120" s="8"/>
      <c r="H120" s="6"/>
      <c r="I120" s="67"/>
      <c r="J120" s="8"/>
      <c r="K120" s="8"/>
      <c r="L120" s="62"/>
      <c r="M120" s="62"/>
      <c r="N120" s="8"/>
      <c r="O120" s="8"/>
      <c r="P120" s="8"/>
      <c r="Q120" s="15">
        <v>1500.0</v>
      </c>
      <c r="R120" s="15">
        <f>'VICENTE LOMBARDO'!$Q120*'VICENTE LOMBARDO'!$E120</f>
        <v>1500</v>
      </c>
      <c r="S120" s="15">
        <f>'VICENTE LOMBARDO'!$R120*16%</f>
        <v>240</v>
      </c>
      <c r="T120" s="15">
        <f>'VICENTE LOMBARDO'!$R120+'VICENTE LOMBARDO'!$S120</f>
        <v>1740</v>
      </c>
      <c r="U120" s="8" t="s">
        <v>215</v>
      </c>
      <c r="V120" s="15"/>
      <c r="W120" s="15"/>
    </row>
    <row r="121" ht="15.75" hidden="1" customHeight="1">
      <c r="A121" s="6">
        <v>26.0</v>
      </c>
      <c r="B121" s="6"/>
      <c r="C121" s="8">
        <v>297.0</v>
      </c>
      <c r="D121" s="9">
        <v>46198.0</v>
      </c>
      <c r="E121" s="8">
        <v>1.0</v>
      </c>
      <c r="F121" s="8" t="s">
        <v>219</v>
      </c>
      <c r="G121" s="8"/>
      <c r="H121" s="6"/>
      <c r="I121" s="67"/>
      <c r="J121" s="8"/>
      <c r="K121" s="8" t="s">
        <v>158</v>
      </c>
      <c r="L121" s="62"/>
      <c r="M121" s="62"/>
      <c r="N121" s="8"/>
      <c r="O121" s="8"/>
      <c r="P121" s="8"/>
      <c r="Q121" s="15">
        <v>1000.0</v>
      </c>
      <c r="R121" s="15">
        <f>'VICENTE LOMBARDO'!$Q121*'VICENTE LOMBARDO'!$E121</f>
        <v>1000</v>
      </c>
      <c r="S121" s="15">
        <f>'VICENTE LOMBARDO'!$R121*16%</f>
        <v>160</v>
      </c>
      <c r="T121" s="15">
        <f>'VICENTE LOMBARDO'!$R121+'VICENTE LOMBARDO'!$S121</f>
        <v>1160</v>
      </c>
      <c r="U121" s="8" t="s">
        <v>215</v>
      </c>
      <c r="V121" s="15"/>
      <c r="W121" s="15"/>
    </row>
    <row r="122" ht="15.75" hidden="1" customHeight="1">
      <c r="A122" s="6">
        <v>26.0</v>
      </c>
      <c r="B122" s="6">
        <v>7.0</v>
      </c>
      <c r="C122" s="8">
        <v>296.0</v>
      </c>
      <c r="D122" s="9">
        <v>46198.0</v>
      </c>
      <c r="E122" s="8">
        <v>1.0</v>
      </c>
      <c r="F122" s="8" t="s">
        <v>157</v>
      </c>
      <c r="G122" s="8" t="s">
        <v>238</v>
      </c>
      <c r="H122" s="6">
        <v>15.0</v>
      </c>
      <c r="I122" s="67"/>
      <c r="J122" s="8" t="s">
        <v>70</v>
      </c>
      <c r="K122" s="8" t="s">
        <v>158</v>
      </c>
      <c r="L122" s="8" t="s">
        <v>239</v>
      </c>
      <c r="M122" s="62" t="s">
        <v>240</v>
      </c>
      <c r="N122" s="8" t="s">
        <v>189</v>
      </c>
      <c r="O122" s="8"/>
      <c r="P122" s="8"/>
      <c r="Q122" s="15">
        <v>3000.0</v>
      </c>
      <c r="R122" s="15">
        <f>'VICENTE LOMBARDO'!$Q122*'VICENTE LOMBARDO'!$E122</f>
        <v>3000</v>
      </c>
      <c r="S122" s="15">
        <f>'VICENTE LOMBARDO'!$R122*16%</f>
        <v>480</v>
      </c>
      <c r="T122" s="15">
        <f>'VICENTE LOMBARDO'!$R122+'VICENTE LOMBARDO'!$S122</f>
        <v>3480</v>
      </c>
      <c r="U122" s="8" t="s">
        <v>215</v>
      </c>
      <c r="V122" s="15"/>
      <c r="W122" s="15"/>
    </row>
    <row r="123" ht="15.75" hidden="1" customHeight="1">
      <c r="A123" s="6">
        <v>26.0</v>
      </c>
      <c r="B123" s="6"/>
      <c r="C123" s="35" t="s">
        <v>243</v>
      </c>
      <c r="D123" s="9">
        <v>46198.0</v>
      </c>
      <c r="E123" s="8">
        <v>1.0</v>
      </c>
      <c r="F123" s="8" t="s">
        <v>219</v>
      </c>
      <c r="G123" s="8"/>
      <c r="H123" s="6"/>
      <c r="I123" s="67"/>
      <c r="J123" s="8"/>
      <c r="K123" s="8" t="s">
        <v>158</v>
      </c>
      <c r="L123" s="8"/>
      <c r="M123" s="8"/>
      <c r="N123" s="8"/>
      <c r="O123" s="8"/>
      <c r="P123" s="8"/>
      <c r="Q123" s="15">
        <v>1000.0</v>
      </c>
      <c r="R123" s="15">
        <f>'VICENTE LOMBARDO'!$Q123*'VICENTE LOMBARDO'!$E123</f>
        <v>1000</v>
      </c>
      <c r="S123" s="15">
        <f>'VICENTE LOMBARDO'!$R123*16%</f>
        <v>160</v>
      </c>
      <c r="T123" s="15">
        <f>'VICENTE LOMBARDO'!$R123+'VICENTE LOMBARDO'!$S123</f>
        <v>1160</v>
      </c>
      <c r="U123" s="8" t="s">
        <v>215</v>
      </c>
      <c r="V123" s="15"/>
      <c r="W123" s="15"/>
    </row>
    <row r="124" ht="15.75" hidden="1" customHeight="1">
      <c r="A124" s="6">
        <v>26.0</v>
      </c>
      <c r="B124" s="6"/>
      <c r="C124" s="35" t="s">
        <v>244</v>
      </c>
      <c r="D124" s="9">
        <v>46198.0</v>
      </c>
      <c r="E124" s="8">
        <v>1.0</v>
      </c>
      <c r="F124" s="8" t="s">
        <v>219</v>
      </c>
      <c r="G124" s="8"/>
      <c r="H124" s="6"/>
      <c r="I124" s="67"/>
      <c r="J124" s="8"/>
      <c r="K124" s="8" t="s">
        <v>158</v>
      </c>
      <c r="L124" s="8"/>
      <c r="M124" s="8"/>
      <c r="N124" s="8"/>
      <c r="O124" s="8"/>
      <c r="P124" s="8"/>
      <c r="Q124" s="15">
        <v>1000.0</v>
      </c>
      <c r="R124" s="15">
        <f>'VICENTE LOMBARDO'!$Q124*'VICENTE LOMBARDO'!$E124</f>
        <v>1000</v>
      </c>
      <c r="S124" s="15">
        <f>'VICENTE LOMBARDO'!$R124*16%</f>
        <v>160</v>
      </c>
      <c r="T124" s="15">
        <f>'VICENTE LOMBARDO'!$R124+'VICENTE LOMBARDO'!$S124</f>
        <v>1160</v>
      </c>
      <c r="U124" s="8" t="s">
        <v>215</v>
      </c>
      <c r="V124" s="15"/>
      <c r="W124" s="15"/>
    </row>
    <row r="125" ht="15.75" hidden="1" customHeight="1">
      <c r="A125" s="6">
        <v>26.0</v>
      </c>
      <c r="B125" s="6"/>
      <c r="C125" s="35" t="s">
        <v>245</v>
      </c>
      <c r="D125" s="9">
        <v>46198.0</v>
      </c>
      <c r="E125" s="8">
        <v>1.0</v>
      </c>
      <c r="F125" s="8" t="s">
        <v>219</v>
      </c>
      <c r="G125" s="8"/>
      <c r="H125" s="6"/>
      <c r="I125" s="67"/>
      <c r="J125" s="8"/>
      <c r="K125" s="8" t="s">
        <v>158</v>
      </c>
      <c r="L125" s="8"/>
      <c r="M125" s="8"/>
      <c r="N125" s="8"/>
      <c r="O125" s="8"/>
      <c r="P125" s="8"/>
      <c r="Q125" s="15">
        <v>1500.0</v>
      </c>
      <c r="R125" s="15">
        <f>'VICENTE LOMBARDO'!$Q125*'VICENTE LOMBARDO'!$E125</f>
        <v>1500</v>
      </c>
      <c r="S125" s="15">
        <f>'VICENTE LOMBARDO'!$R125*16%</f>
        <v>240</v>
      </c>
      <c r="T125" s="15">
        <f>'VICENTE LOMBARDO'!$R125+'VICENTE LOMBARDO'!$S125</f>
        <v>1740</v>
      </c>
      <c r="U125" s="8" t="s">
        <v>215</v>
      </c>
      <c r="V125" s="15"/>
      <c r="W125" s="15"/>
    </row>
    <row r="126" ht="15.75" hidden="1" customHeight="1">
      <c r="A126" s="6">
        <v>26.0</v>
      </c>
      <c r="B126" s="6"/>
      <c r="C126" s="35" t="s">
        <v>247</v>
      </c>
      <c r="D126" s="9">
        <v>46198.0</v>
      </c>
      <c r="E126" s="8">
        <v>1.0</v>
      </c>
      <c r="F126" s="8" t="s">
        <v>219</v>
      </c>
      <c r="G126" s="8"/>
      <c r="H126" s="6"/>
      <c r="I126" s="67"/>
      <c r="J126" s="8"/>
      <c r="K126" s="8" t="s">
        <v>158</v>
      </c>
      <c r="L126" s="8"/>
      <c r="M126" s="8"/>
      <c r="N126" s="8"/>
      <c r="O126" s="8"/>
      <c r="P126" s="8"/>
      <c r="Q126" s="15">
        <v>1500.0</v>
      </c>
      <c r="R126" s="15">
        <f>'VICENTE LOMBARDO'!$Q126*'VICENTE LOMBARDO'!$E126</f>
        <v>1500</v>
      </c>
      <c r="S126" s="15">
        <f>'VICENTE LOMBARDO'!$R126*16%</f>
        <v>240</v>
      </c>
      <c r="T126" s="15">
        <f>'VICENTE LOMBARDO'!$R126+'VICENTE LOMBARDO'!$S126</f>
        <v>1740</v>
      </c>
      <c r="U126" s="8" t="s">
        <v>215</v>
      </c>
      <c r="V126" s="15"/>
      <c r="W126" s="15"/>
    </row>
    <row r="127" ht="15.75" customHeight="1">
      <c r="A127" s="68">
        <v>26.0</v>
      </c>
      <c r="B127" s="68"/>
      <c r="C127" s="69" t="s">
        <v>249</v>
      </c>
      <c r="D127" s="70">
        <v>46200.0</v>
      </c>
      <c r="E127" s="71">
        <v>1.0</v>
      </c>
      <c r="F127" s="69" t="s">
        <v>148</v>
      </c>
      <c r="G127" s="71"/>
      <c r="H127" s="68"/>
      <c r="I127" s="71"/>
      <c r="J127" s="71"/>
      <c r="K127" s="69" t="s">
        <v>50</v>
      </c>
      <c r="L127" s="72"/>
      <c r="M127" s="72"/>
      <c r="N127" s="72"/>
      <c r="O127" s="71"/>
      <c r="P127" s="69" t="s">
        <v>250</v>
      </c>
      <c r="Q127" s="73">
        <v>3750.0</v>
      </c>
      <c r="R127" s="74">
        <f>'VICENTE LOMBARDO'!$Q127*'VICENTE LOMBARDO'!$E127</f>
        <v>3750</v>
      </c>
      <c r="S127" s="74">
        <f>'VICENTE LOMBARDO'!$R127*16%</f>
        <v>600</v>
      </c>
      <c r="T127" s="74">
        <f>'VICENTE LOMBARDO'!$R127+'VICENTE LOMBARDO'!$S127</f>
        <v>4350</v>
      </c>
      <c r="U127" s="75" t="s">
        <v>110</v>
      </c>
      <c r="V127" s="74"/>
      <c r="W127" s="74"/>
      <c r="X127" s="76"/>
      <c r="Y127" s="76"/>
      <c r="Z127" s="76"/>
    </row>
    <row r="128" ht="15.75" customHeight="1">
      <c r="A128" s="68">
        <v>26.0</v>
      </c>
      <c r="B128" s="68"/>
      <c r="C128" s="69" t="s">
        <v>252</v>
      </c>
      <c r="D128" s="70">
        <v>46200.0</v>
      </c>
      <c r="E128" s="71">
        <v>1.0</v>
      </c>
      <c r="F128" s="69" t="s">
        <v>148</v>
      </c>
      <c r="G128" s="71"/>
      <c r="H128" s="68"/>
      <c r="I128" s="71"/>
      <c r="J128" s="71"/>
      <c r="K128" s="69" t="s">
        <v>50</v>
      </c>
      <c r="L128" s="72"/>
      <c r="M128" s="72"/>
      <c r="N128" s="72"/>
      <c r="O128" s="71"/>
      <c r="P128" s="69" t="s">
        <v>250</v>
      </c>
      <c r="Q128" s="73">
        <v>3750.0</v>
      </c>
      <c r="R128" s="74">
        <f>'VICENTE LOMBARDO'!$Q128*'VICENTE LOMBARDO'!$E128</f>
        <v>3750</v>
      </c>
      <c r="S128" s="74">
        <f>'VICENTE LOMBARDO'!$R128*16%</f>
        <v>600</v>
      </c>
      <c r="T128" s="74">
        <f>'VICENTE LOMBARDO'!$R128+'VICENTE LOMBARDO'!$S128</f>
        <v>4350</v>
      </c>
      <c r="U128" s="75" t="s">
        <v>110</v>
      </c>
      <c r="V128" s="74"/>
      <c r="W128" s="74"/>
      <c r="X128" s="76"/>
      <c r="Y128" s="76"/>
      <c r="Z128" s="76"/>
    </row>
    <row r="129" ht="15.75" customHeight="1">
      <c r="A129" s="68">
        <v>26.0</v>
      </c>
      <c r="B129" s="68"/>
      <c r="C129" s="69" t="s">
        <v>257</v>
      </c>
      <c r="D129" s="70">
        <v>46200.0</v>
      </c>
      <c r="E129" s="71">
        <v>1.0</v>
      </c>
      <c r="F129" s="69" t="s">
        <v>148</v>
      </c>
      <c r="G129" s="71"/>
      <c r="H129" s="68"/>
      <c r="I129" s="71"/>
      <c r="J129" s="71"/>
      <c r="K129" s="69" t="s">
        <v>50</v>
      </c>
      <c r="L129" s="72"/>
      <c r="M129" s="72"/>
      <c r="N129" s="72"/>
      <c r="O129" s="71"/>
      <c r="P129" s="69" t="s">
        <v>250</v>
      </c>
      <c r="Q129" s="73">
        <v>3750.0</v>
      </c>
      <c r="R129" s="74">
        <f>'VICENTE LOMBARDO'!$Q129*'VICENTE LOMBARDO'!$E129</f>
        <v>3750</v>
      </c>
      <c r="S129" s="74">
        <f>'VICENTE LOMBARDO'!$R129*16%</f>
        <v>600</v>
      </c>
      <c r="T129" s="74">
        <f>'VICENTE LOMBARDO'!$R129+'VICENTE LOMBARDO'!$S129</f>
        <v>4350</v>
      </c>
      <c r="U129" s="75" t="s">
        <v>110</v>
      </c>
      <c r="V129" s="74"/>
      <c r="W129" s="74"/>
      <c r="X129" s="76"/>
      <c r="Y129" s="76"/>
      <c r="Z129" s="76"/>
    </row>
    <row r="130" ht="15.75" customHeight="1">
      <c r="A130" s="68">
        <v>26.0</v>
      </c>
      <c r="B130" s="68"/>
      <c r="C130" s="69" t="s">
        <v>261</v>
      </c>
      <c r="D130" s="70">
        <v>46200.0</v>
      </c>
      <c r="E130" s="71">
        <v>1.0</v>
      </c>
      <c r="F130" s="69" t="s">
        <v>148</v>
      </c>
      <c r="G130" s="71"/>
      <c r="H130" s="68"/>
      <c r="I130" s="71"/>
      <c r="J130" s="71"/>
      <c r="K130" s="69" t="s">
        <v>50</v>
      </c>
      <c r="L130" s="72"/>
      <c r="M130" s="72"/>
      <c r="N130" s="72"/>
      <c r="O130" s="71"/>
      <c r="P130" s="69" t="s">
        <v>250</v>
      </c>
      <c r="Q130" s="73">
        <v>3750.0</v>
      </c>
      <c r="R130" s="74">
        <f>'VICENTE LOMBARDO'!$Q130*'VICENTE LOMBARDO'!$E130</f>
        <v>3750</v>
      </c>
      <c r="S130" s="74">
        <f>'VICENTE LOMBARDO'!$R130*16%</f>
        <v>600</v>
      </c>
      <c r="T130" s="74">
        <f>'VICENTE LOMBARDO'!$R130+'VICENTE LOMBARDO'!$S130</f>
        <v>4350</v>
      </c>
      <c r="U130" s="75" t="s">
        <v>110</v>
      </c>
      <c r="V130" s="74"/>
      <c r="W130" s="74"/>
      <c r="X130" s="76"/>
      <c r="Y130" s="76"/>
      <c r="Z130" s="76"/>
    </row>
    <row r="131" ht="15.75" customHeight="1">
      <c r="A131" s="68">
        <v>26.0</v>
      </c>
      <c r="B131" s="68"/>
      <c r="C131" s="69" t="s">
        <v>262</v>
      </c>
      <c r="D131" s="70">
        <v>46200.0</v>
      </c>
      <c r="E131" s="71">
        <v>1.0</v>
      </c>
      <c r="F131" s="69" t="s">
        <v>148</v>
      </c>
      <c r="G131" s="71"/>
      <c r="H131" s="68"/>
      <c r="I131" s="71"/>
      <c r="J131" s="71"/>
      <c r="K131" s="69" t="s">
        <v>50</v>
      </c>
      <c r="L131" s="72"/>
      <c r="M131" s="72"/>
      <c r="N131" s="72"/>
      <c r="O131" s="71"/>
      <c r="P131" s="69" t="s">
        <v>250</v>
      </c>
      <c r="Q131" s="73">
        <v>3750.0</v>
      </c>
      <c r="R131" s="74">
        <f>'VICENTE LOMBARDO'!$Q131*'VICENTE LOMBARDO'!$E131</f>
        <v>3750</v>
      </c>
      <c r="S131" s="74">
        <f>'VICENTE LOMBARDO'!$R131*16%</f>
        <v>600</v>
      </c>
      <c r="T131" s="74">
        <f>'VICENTE LOMBARDO'!$R131+'VICENTE LOMBARDO'!$S131</f>
        <v>4350</v>
      </c>
      <c r="U131" s="75" t="s">
        <v>110</v>
      </c>
      <c r="V131" s="74"/>
      <c r="W131" s="74"/>
      <c r="X131" s="76"/>
      <c r="Y131" s="76"/>
      <c r="Z131" s="76"/>
    </row>
    <row r="132" ht="15.75" customHeight="1">
      <c r="A132" s="68">
        <v>26.0</v>
      </c>
      <c r="B132" s="68"/>
      <c r="C132" s="69" t="s">
        <v>263</v>
      </c>
      <c r="D132" s="70">
        <v>46200.0</v>
      </c>
      <c r="E132" s="71">
        <v>1.0</v>
      </c>
      <c r="F132" s="69" t="s">
        <v>148</v>
      </c>
      <c r="G132" s="71"/>
      <c r="H132" s="68"/>
      <c r="I132" s="71"/>
      <c r="J132" s="71"/>
      <c r="K132" s="69" t="s">
        <v>50</v>
      </c>
      <c r="L132" s="72"/>
      <c r="M132" s="72"/>
      <c r="N132" s="72"/>
      <c r="O132" s="71"/>
      <c r="P132" s="69" t="s">
        <v>250</v>
      </c>
      <c r="Q132" s="73">
        <v>3750.0</v>
      </c>
      <c r="R132" s="74">
        <f>'VICENTE LOMBARDO'!$Q132*'VICENTE LOMBARDO'!$E132</f>
        <v>3750</v>
      </c>
      <c r="S132" s="74">
        <f>'VICENTE LOMBARDO'!$R132*16%</f>
        <v>600</v>
      </c>
      <c r="T132" s="74">
        <f>'VICENTE LOMBARDO'!$R132+'VICENTE LOMBARDO'!$S132</f>
        <v>4350</v>
      </c>
      <c r="U132" s="75" t="s">
        <v>110</v>
      </c>
      <c r="V132" s="74"/>
      <c r="W132" s="74"/>
      <c r="X132" s="76"/>
      <c r="Y132" s="76"/>
      <c r="Z132" s="76"/>
    </row>
    <row r="133" ht="15.75" customHeight="1">
      <c r="A133" s="68">
        <v>26.0</v>
      </c>
      <c r="B133" s="68"/>
      <c r="C133" s="69" t="s">
        <v>264</v>
      </c>
      <c r="D133" s="70">
        <v>46200.0</v>
      </c>
      <c r="E133" s="71">
        <v>1.0</v>
      </c>
      <c r="F133" s="69" t="s">
        <v>148</v>
      </c>
      <c r="G133" s="71"/>
      <c r="H133" s="68"/>
      <c r="I133" s="71"/>
      <c r="J133" s="71"/>
      <c r="K133" s="69" t="s">
        <v>50</v>
      </c>
      <c r="L133" s="72"/>
      <c r="M133" s="72"/>
      <c r="N133" s="72"/>
      <c r="O133" s="71"/>
      <c r="P133" s="69" t="s">
        <v>250</v>
      </c>
      <c r="Q133" s="73">
        <v>3750.0</v>
      </c>
      <c r="R133" s="74">
        <f>'VICENTE LOMBARDO'!$Q133*'VICENTE LOMBARDO'!$E133</f>
        <v>3750</v>
      </c>
      <c r="S133" s="74">
        <f>'VICENTE LOMBARDO'!$R133*16%</f>
        <v>600</v>
      </c>
      <c r="T133" s="74">
        <f>'VICENTE LOMBARDO'!$R133+'VICENTE LOMBARDO'!$S133</f>
        <v>4350</v>
      </c>
      <c r="U133" s="75" t="s">
        <v>110</v>
      </c>
      <c r="V133" s="74"/>
      <c r="W133" s="74"/>
      <c r="X133" s="76"/>
      <c r="Y133" s="76"/>
      <c r="Z133" s="76"/>
    </row>
    <row r="134" ht="15.75" customHeight="1">
      <c r="A134" s="68">
        <v>26.0</v>
      </c>
      <c r="B134" s="68"/>
      <c r="C134" s="69" t="s">
        <v>265</v>
      </c>
      <c r="D134" s="70">
        <v>46200.0</v>
      </c>
      <c r="E134" s="71">
        <v>1.0</v>
      </c>
      <c r="F134" s="69" t="s">
        <v>148</v>
      </c>
      <c r="G134" s="71"/>
      <c r="H134" s="68"/>
      <c r="I134" s="71"/>
      <c r="J134" s="71"/>
      <c r="K134" s="69" t="s">
        <v>50</v>
      </c>
      <c r="L134" s="72"/>
      <c r="M134" s="72"/>
      <c r="N134" s="72"/>
      <c r="O134" s="71"/>
      <c r="P134" s="69" t="s">
        <v>250</v>
      </c>
      <c r="Q134" s="73">
        <v>3750.0</v>
      </c>
      <c r="R134" s="74">
        <f>'VICENTE LOMBARDO'!$Q134*'VICENTE LOMBARDO'!$E134</f>
        <v>3750</v>
      </c>
      <c r="S134" s="74">
        <f>'VICENTE LOMBARDO'!$R134*16%</f>
        <v>600</v>
      </c>
      <c r="T134" s="74">
        <f>'VICENTE LOMBARDO'!$R134+'VICENTE LOMBARDO'!$S134</f>
        <v>4350</v>
      </c>
      <c r="U134" s="75" t="s">
        <v>110</v>
      </c>
      <c r="V134" s="74"/>
      <c r="W134" s="74"/>
      <c r="X134" s="76"/>
      <c r="Y134" s="76"/>
      <c r="Z134" s="76"/>
    </row>
    <row r="135" ht="15.75" customHeight="1">
      <c r="A135" s="68">
        <v>26.0</v>
      </c>
      <c r="B135" s="68"/>
      <c r="C135" s="69" t="s">
        <v>266</v>
      </c>
      <c r="D135" s="70">
        <v>46200.0</v>
      </c>
      <c r="E135" s="71">
        <v>1.0</v>
      </c>
      <c r="F135" s="69" t="s">
        <v>148</v>
      </c>
      <c r="G135" s="71"/>
      <c r="H135" s="68"/>
      <c r="I135" s="71"/>
      <c r="J135" s="71"/>
      <c r="K135" s="69" t="s">
        <v>50</v>
      </c>
      <c r="L135" s="72"/>
      <c r="M135" s="72"/>
      <c r="N135" s="72"/>
      <c r="O135" s="71"/>
      <c r="P135" s="69" t="s">
        <v>250</v>
      </c>
      <c r="Q135" s="73">
        <v>3750.0</v>
      </c>
      <c r="R135" s="74">
        <f>'VICENTE LOMBARDO'!$Q135*'VICENTE LOMBARDO'!$E135</f>
        <v>3750</v>
      </c>
      <c r="S135" s="74">
        <f>'VICENTE LOMBARDO'!$R135*16%</f>
        <v>600</v>
      </c>
      <c r="T135" s="74">
        <f>'VICENTE LOMBARDO'!$R135+'VICENTE LOMBARDO'!$S135</f>
        <v>4350</v>
      </c>
      <c r="U135" s="75" t="s">
        <v>110</v>
      </c>
      <c r="V135" s="74"/>
      <c r="W135" s="74"/>
      <c r="X135" s="76"/>
      <c r="Y135" s="76"/>
      <c r="Z135" s="76"/>
    </row>
    <row r="136" ht="15.75" customHeight="1">
      <c r="A136" s="68">
        <v>26.0</v>
      </c>
      <c r="B136" s="68"/>
      <c r="C136" s="69" t="s">
        <v>267</v>
      </c>
      <c r="D136" s="70">
        <v>46200.0</v>
      </c>
      <c r="E136" s="71">
        <v>1.0</v>
      </c>
      <c r="F136" s="69" t="s">
        <v>148</v>
      </c>
      <c r="G136" s="71"/>
      <c r="H136" s="68"/>
      <c r="I136" s="71"/>
      <c r="J136" s="71"/>
      <c r="K136" s="69" t="s">
        <v>50</v>
      </c>
      <c r="L136" s="72"/>
      <c r="M136" s="72"/>
      <c r="N136" s="72"/>
      <c r="O136" s="71"/>
      <c r="P136" s="69" t="s">
        <v>250</v>
      </c>
      <c r="Q136" s="73">
        <v>3750.0</v>
      </c>
      <c r="R136" s="74">
        <f>'VICENTE LOMBARDO'!$Q136*'VICENTE LOMBARDO'!$E136</f>
        <v>3750</v>
      </c>
      <c r="S136" s="74">
        <f>'VICENTE LOMBARDO'!$R136*16%</f>
        <v>600</v>
      </c>
      <c r="T136" s="74">
        <f>'VICENTE LOMBARDO'!$R136+'VICENTE LOMBARDO'!$S136</f>
        <v>4350</v>
      </c>
      <c r="U136" s="75" t="s">
        <v>110</v>
      </c>
      <c r="V136" s="74"/>
      <c r="W136" s="74"/>
      <c r="X136" s="76"/>
      <c r="Y136" s="76"/>
      <c r="Z136" s="76"/>
    </row>
    <row r="137" ht="15.75" customHeight="1">
      <c r="A137" s="68">
        <v>26.0</v>
      </c>
      <c r="B137" s="68"/>
      <c r="C137" s="69" t="s">
        <v>270</v>
      </c>
      <c r="D137" s="70">
        <v>46200.0</v>
      </c>
      <c r="E137" s="71">
        <v>1.0</v>
      </c>
      <c r="F137" s="69" t="s">
        <v>148</v>
      </c>
      <c r="G137" s="71"/>
      <c r="H137" s="68"/>
      <c r="I137" s="71"/>
      <c r="J137" s="71"/>
      <c r="K137" s="69" t="s">
        <v>50</v>
      </c>
      <c r="L137" s="72"/>
      <c r="M137" s="72"/>
      <c r="N137" s="72"/>
      <c r="O137" s="71"/>
      <c r="P137" s="69" t="s">
        <v>250</v>
      </c>
      <c r="Q137" s="73">
        <v>3750.0</v>
      </c>
      <c r="R137" s="74">
        <f>'VICENTE LOMBARDO'!$Q137*'VICENTE LOMBARDO'!$E137</f>
        <v>3750</v>
      </c>
      <c r="S137" s="74">
        <f>'VICENTE LOMBARDO'!$R137*16%</f>
        <v>600</v>
      </c>
      <c r="T137" s="74">
        <f>'VICENTE LOMBARDO'!$R137+'VICENTE LOMBARDO'!$S137</f>
        <v>4350</v>
      </c>
      <c r="U137" s="75" t="s">
        <v>110</v>
      </c>
      <c r="V137" s="74"/>
      <c r="W137" s="74"/>
      <c r="X137" s="76"/>
      <c r="Y137" s="76"/>
      <c r="Z137" s="76"/>
    </row>
    <row r="138" ht="15.75" customHeight="1">
      <c r="A138" s="68">
        <v>26.0</v>
      </c>
      <c r="B138" s="68"/>
      <c r="C138" s="69" t="s">
        <v>271</v>
      </c>
      <c r="D138" s="70">
        <v>46200.0</v>
      </c>
      <c r="E138" s="71">
        <v>1.0</v>
      </c>
      <c r="F138" s="69" t="s">
        <v>148</v>
      </c>
      <c r="G138" s="71"/>
      <c r="H138" s="68"/>
      <c r="I138" s="71"/>
      <c r="J138" s="71"/>
      <c r="K138" s="69" t="s">
        <v>50</v>
      </c>
      <c r="L138" s="72"/>
      <c r="M138" s="72"/>
      <c r="N138" s="72"/>
      <c r="O138" s="71"/>
      <c r="P138" s="69" t="s">
        <v>250</v>
      </c>
      <c r="Q138" s="73">
        <v>3750.0</v>
      </c>
      <c r="R138" s="74">
        <f>'VICENTE LOMBARDO'!$Q138*'VICENTE LOMBARDO'!$E138</f>
        <v>3750</v>
      </c>
      <c r="S138" s="74">
        <f>'VICENTE LOMBARDO'!$R138*16%</f>
        <v>600</v>
      </c>
      <c r="T138" s="74">
        <f>'VICENTE LOMBARDO'!$R138+'VICENTE LOMBARDO'!$S138</f>
        <v>4350</v>
      </c>
      <c r="U138" s="75" t="s">
        <v>110</v>
      </c>
      <c r="V138" s="74"/>
      <c r="W138" s="74"/>
      <c r="X138" s="76"/>
      <c r="Y138" s="76"/>
      <c r="Z138" s="76"/>
    </row>
    <row r="139" ht="15.75" hidden="1" customHeight="1">
      <c r="A139" s="6">
        <v>27.0</v>
      </c>
      <c r="B139" s="6">
        <v>11.0</v>
      </c>
      <c r="C139" s="77">
        <v>778.0</v>
      </c>
      <c r="D139" s="9">
        <v>46203.0</v>
      </c>
      <c r="E139" s="8">
        <v>1.0</v>
      </c>
      <c r="F139" s="8" t="s">
        <v>157</v>
      </c>
      <c r="G139" s="8" t="s">
        <v>273</v>
      </c>
      <c r="H139" s="6">
        <v>14.0</v>
      </c>
      <c r="I139" s="67"/>
      <c r="J139" s="8" t="s">
        <v>274</v>
      </c>
      <c r="K139" s="35" t="s">
        <v>50</v>
      </c>
      <c r="L139" s="62" t="s">
        <v>275</v>
      </c>
      <c r="M139" s="62" t="s">
        <v>276</v>
      </c>
      <c r="N139" s="62" t="s">
        <v>189</v>
      </c>
      <c r="O139" s="8"/>
      <c r="P139" s="8"/>
      <c r="Q139" s="41">
        <v>5900.0</v>
      </c>
      <c r="R139" s="15">
        <f>'VICENTE LOMBARDO'!$Q139*'VICENTE LOMBARDO'!$E139</f>
        <v>5900</v>
      </c>
      <c r="S139" s="15">
        <f>'VICENTE LOMBARDO'!$R139*16%</f>
        <v>944</v>
      </c>
      <c r="T139" s="15">
        <f>'VICENTE LOMBARDO'!$R139+'VICENTE LOMBARDO'!$S139</f>
        <v>6844</v>
      </c>
      <c r="U139" s="8"/>
      <c r="V139" s="15"/>
      <c r="W139" s="15"/>
    </row>
    <row r="140" ht="15.75" hidden="1" customHeight="1">
      <c r="A140" s="34">
        <v>27.0</v>
      </c>
      <c r="B140" s="6"/>
      <c r="C140" s="78">
        <v>790.0</v>
      </c>
      <c r="D140" s="9">
        <v>46204.0</v>
      </c>
      <c r="E140" s="35">
        <v>1.0</v>
      </c>
      <c r="F140" s="35" t="s">
        <v>148</v>
      </c>
      <c r="G140" s="8"/>
      <c r="H140" s="6"/>
      <c r="I140" s="67"/>
      <c r="J140" s="8"/>
      <c r="K140" s="35" t="s">
        <v>50</v>
      </c>
      <c r="L140" s="62"/>
      <c r="M140" s="62"/>
      <c r="N140" s="8"/>
      <c r="O140" s="8"/>
      <c r="P140" s="8"/>
      <c r="Q140" s="41">
        <v>3750.0</v>
      </c>
      <c r="R140" s="15">
        <f>'VICENTE LOMBARDO'!$Q140*'VICENTE LOMBARDO'!$E140</f>
        <v>3750</v>
      </c>
      <c r="S140" s="15">
        <f>'VICENTE LOMBARDO'!$R140*16%</f>
        <v>600</v>
      </c>
      <c r="T140" s="15">
        <f>'VICENTE LOMBARDO'!$R140+'VICENTE LOMBARDO'!$S140</f>
        <v>4350</v>
      </c>
      <c r="U140" s="52"/>
      <c r="V140" s="15"/>
      <c r="W140" s="15"/>
    </row>
    <row r="141" ht="15.75" hidden="1" customHeight="1">
      <c r="A141" s="6">
        <v>27.0</v>
      </c>
      <c r="B141" s="6">
        <v>7.0</v>
      </c>
      <c r="C141" s="77">
        <v>801.0</v>
      </c>
      <c r="D141" s="9">
        <v>46205.0</v>
      </c>
      <c r="E141" s="8">
        <v>1.0</v>
      </c>
      <c r="F141" s="8" t="s">
        <v>157</v>
      </c>
      <c r="G141" s="8" t="s">
        <v>279</v>
      </c>
      <c r="H141" s="6">
        <v>14.0</v>
      </c>
      <c r="I141" s="67"/>
      <c r="J141" s="8" t="s">
        <v>195</v>
      </c>
      <c r="K141" s="35" t="s">
        <v>50</v>
      </c>
      <c r="L141" s="62" t="s">
        <v>281</v>
      </c>
      <c r="M141" s="62" t="s">
        <v>282</v>
      </c>
      <c r="N141" s="8" t="s">
        <v>189</v>
      </c>
      <c r="O141" s="8"/>
      <c r="P141" s="8" t="s">
        <v>283</v>
      </c>
      <c r="Q141" s="41">
        <v>5900.0</v>
      </c>
      <c r="R141" s="15">
        <f>'VICENTE LOMBARDO'!$Q141*'VICENTE LOMBARDO'!$E141</f>
        <v>5900</v>
      </c>
      <c r="S141" s="15">
        <f>'VICENTE LOMBARDO'!$R141*16%</f>
        <v>944</v>
      </c>
      <c r="T141" s="15">
        <f>'VICENTE LOMBARDO'!$R141+'VICENTE LOMBARDO'!$S141</f>
        <v>6844</v>
      </c>
      <c r="U141" s="8"/>
      <c r="V141" s="15"/>
      <c r="W141" s="15"/>
    </row>
    <row r="142" ht="15.75" hidden="1" customHeight="1">
      <c r="A142" s="6">
        <v>27.0</v>
      </c>
      <c r="B142" s="6">
        <v>11.0</v>
      </c>
      <c r="C142" s="77">
        <v>805.0</v>
      </c>
      <c r="D142" s="9">
        <v>46205.0</v>
      </c>
      <c r="E142" s="8">
        <v>1.0</v>
      </c>
      <c r="F142" s="8" t="s">
        <v>157</v>
      </c>
      <c r="G142" s="8" t="s">
        <v>273</v>
      </c>
      <c r="H142" s="6">
        <v>14.0</v>
      </c>
      <c r="I142" s="8"/>
      <c r="J142" s="8" t="s">
        <v>284</v>
      </c>
      <c r="K142" s="35" t="s">
        <v>50</v>
      </c>
      <c r="L142" s="8" t="s">
        <v>285</v>
      </c>
      <c r="M142" s="8" t="s">
        <v>286</v>
      </c>
      <c r="N142" s="8" t="s">
        <v>189</v>
      </c>
      <c r="O142" s="8"/>
      <c r="P142" s="8" t="s">
        <v>283</v>
      </c>
      <c r="Q142" s="41">
        <v>5900.0</v>
      </c>
      <c r="R142" s="15">
        <f>'VICENTE LOMBARDO'!$Q142*'VICENTE LOMBARDO'!$E142</f>
        <v>5900</v>
      </c>
      <c r="S142" s="15">
        <f>'VICENTE LOMBARDO'!$R142*16%</f>
        <v>944</v>
      </c>
      <c r="T142" s="15">
        <f>'VICENTE LOMBARDO'!$R142+'VICENTE LOMBARDO'!$S142</f>
        <v>6844</v>
      </c>
      <c r="U142" s="8"/>
      <c r="V142" s="15"/>
      <c r="W142" s="15"/>
    </row>
    <row r="143" ht="15.75" hidden="1" customHeight="1">
      <c r="A143" s="6">
        <v>27.0</v>
      </c>
      <c r="B143" s="6">
        <v>12.0</v>
      </c>
      <c r="C143" s="8">
        <v>806.0</v>
      </c>
      <c r="D143" s="9">
        <v>46205.0</v>
      </c>
      <c r="E143" s="8">
        <v>1.0</v>
      </c>
      <c r="F143" s="8" t="s">
        <v>157</v>
      </c>
      <c r="G143" s="8" t="s">
        <v>289</v>
      </c>
      <c r="H143" s="6">
        <v>14.0</v>
      </c>
      <c r="I143" s="67"/>
      <c r="J143" s="8" t="s">
        <v>83</v>
      </c>
      <c r="K143" s="8" t="s">
        <v>158</v>
      </c>
      <c r="L143" s="62" t="s">
        <v>286</v>
      </c>
      <c r="M143" s="62" t="s">
        <v>290</v>
      </c>
      <c r="N143" s="8" t="s">
        <v>189</v>
      </c>
      <c r="O143" s="8"/>
      <c r="P143" s="8" t="s">
        <v>283</v>
      </c>
      <c r="Q143" s="41">
        <v>4205.0</v>
      </c>
      <c r="R143" s="15">
        <f>'VICENTE LOMBARDO'!$Q143*'VICENTE LOMBARDO'!$E143</f>
        <v>4205</v>
      </c>
      <c r="S143" s="15">
        <f>'VICENTE LOMBARDO'!$R143*16%</f>
        <v>672.8</v>
      </c>
      <c r="T143" s="15">
        <f>'VICENTE LOMBARDO'!$R143+'VICENTE LOMBARDO'!$S143</f>
        <v>4877.8</v>
      </c>
      <c r="U143" s="35" t="s">
        <v>291</v>
      </c>
      <c r="V143" s="15"/>
      <c r="W143" s="15"/>
    </row>
    <row r="144" ht="15.75" hidden="1" customHeight="1">
      <c r="A144" s="6">
        <v>27.0</v>
      </c>
      <c r="B144" s="6">
        <v>13.0</v>
      </c>
      <c r="C144" s="8">
        <v>807.0</v>
      </c>
      <c r="D144" s="9">
        <v>46205.0</v>
      </c>
      <c r="E144" s="8">
        <v>1.0</v>
      </c>
      <c r="F144" s="8" t="s">
        <v>157</v>
      </c>
      <c r="G144" s="8" t="s">
        <v>193</v>
      </c>
      <c r="H144" s="6">
        <v>14.0</v>
      </c>
      <c r="I144" s="67"/>
      <c r="J144" s="8" t="s">
        <v>216</v>
      </c>
      <c r="K144" s="8" t="s">
        <v>158</v>
      </c>
      <c r="L144" s="62" t="s">
        <v>290</v>
      </c>
      <c r="M144" s="62" t="s">
        <v>292</v>
      </c>
      <c r="N144" s="8" t="s">
        <v>189</v>
      </c>
      <c r="O144" s="8"/>
      <c r="P144" s="8" t="s">
        <v>283</v>
      </c>
      <c r="Q144" s="41">
        <v>4205.0</v>
      </c>
      <c r="R144" s="15">
        <f>'VICENTE LOMBARDO'!$Q144*'VICENTE LOMBARDO'!$E144</f>
        <v>4205</v>
      </c>
      <c r="S144" s="15">
        <f>'VICENTE LOMBARDO'!$R144*16%</f>
        <v>672.8</v>
      </c>
      <c r="T144" s="15">
        <f>'VICENTE LOMBARDO'!$R144+'VICENTE LOMBARDO'!$S144</f>
        <v>4877.8</v>
      </c>
      <c r="U144" s="35" t="s">
        <v>291</v>
      </c>
      <c r="V144" s="15"/>
      <c r="W144" s="15"/>
    </row>
    <row r="145" ht="15.75" hidden="1" customHeight="1">
      <c r="A145" s="6">
        <v>27.0</v>
      </c>
      <c r="B145" s="6">
        <v>14.0</v>
      </c>
      <c r="C145" s="8">
        <v>808.0</v>
      </c>
      <c r="D145" s="9">
        <v>46205.0</v>
      </c>
      <c r="E145" s="8">
        <v>1.0</v>
      </c>
      <c r="F145" s="8" t="s">
        <v>157</v>
      </c>
      <c r="G145" s="8" t="s">
        <v>293</v>
      </c>
      <c r="H145" s="6">
        <v>14.0</v>
      </c>
      <c r="I145" s="67"/>
      <c r="J145" s="8" t="s">
        <v>294</v>
      </c>
      <c r="K145" s="8" t="s">
        <v>158</v>
      </c>
      <c r="L145" s="62" t="s">
        <v>292</v>
      </c>
      <c r="M145" s="62" t="s">
        <v>296</v>
      </c>
      <c r="N145" s="8" t="s">
        <v>189</v>
      </c>
      <c r="O145" s="8"/>
      <c r="P145" s="8" t="s">
        <v>283</v>
      </c>
      <c r="Q145" s="41">
        <v>4205.0</v>
      </c>
      <c r="R145" s="15">
        <f>'VICENTE LOMBARDO'!$Q145*'VICENTE LOMBARDO'!$E145</f>
        <v>4205</v>
      </c>
      <c r="S145" s="15">
        <f>'VICENTE LOMBARDO'!$R145*16%</f>
        <v>672.8</v>
      </c>
      <c r="T145" s="15">
        <f>'VICENTE LOMBARDO'!$R145+'VICENTE LOMBARDO'!$S145</f>
        <v>4877.8</v>
      </c>
      <c r="U145" s="35" t="s">
        <v>291</v>
      </c>
      <c r="V145" s="15"/>
      <c r="W145" s="15"/>
    </row>
    <row r="146" ht="15.75" hidden="1" customHeight="1">
      <c r="A146" s="6">
        <v>27.0</v>
      </c>
      <c r="B146" s="6">
        <v>15.0</v>
      </c>
      <c r="C146" s="8">
        <v>809.0</v>
      </c>
      <c r="D146" s="9">
        <v>46205.0</v>
      </c>
      <c r="E146" s="8">
        <v>1.0</v>
      </c>
      <c r="F146" s="8" t="s">
        <v>157</v>
      </c>
      <c r="G146" s="8" t="s">
        <v>297</v>
      </c>
      <c r="H146" s="6">
        <v>14.0</v>
      </c>
      <c r="I146" s="67"/>
      <c r="J146" s="8" t="s">
        <v>81</v>
      </c>
      <c r="K146" s="8" t="s">
        <v>158</v>
      </c>
      <c r="L146" s="62" t="s">
        <v>290</v>
      </c>
      <c r="M146" s="62" t="s">
        <v>298</v>
      </c>
      <c r="N146" s="8" t="s">
        <v>189</v>
      </c>
      <c r="O146" s="8"/>
      <c r="P146" s="8" t="s">
        <v>299</v>
      </c>
      <c r="Q146" s="41">
        <v>4205.0</v>
      </c>
      <c r="R146" s="15">
        <f>'VICENTE LOMBARDO'!$Q146*'VICENTE LOMBARDO'!$E146</f>
        <v>4205</v>
      </c>
      <c r="S146" s="15">
        <f>'VICENTE LOMBARDO'!$R146*16%</f>
        <v>672.8</v>
      </c>
      <c r="T146" s="15">
        <f>'VICENTE LOMBARDO'!$R146+'VICENTE LOMBARDO'!$S146</f>
        <v>4877.8</v>
      </c>
      <c r="U146" s="35" t="s">
        <v>291</v>
      </c>
      <c r="V146" s="15"/>
      <c r="W146" s="15"/>
    </row>
    <row r="147" ht="15.75" hidden="1" customHeight="1">
      <c r="A147" s="6">
        <v>27.0</v>
      </c>
      <c r="B147" s="6">
        <v>5.0</v>
      </c>
      <c r="C147" s="77">
        <v>814.0</v>
      </c>
      <c r="D147" s="9">
        <v>46206.0</v>
      </c>
      <c r="E147" s="8">
        <v>1.0</v>
      </c>
      <c r="F147" s="8" t="s">
        <v>157</v>
      </c>
      <c r="G147" s="8" t="s">
        <v>279</v>
      </c>
      <c r="H147" s="6">
        <v>14.0</v>
      </c>
      <c r="I147" s="67"/>
      <c r="J147" s="8" t="s">
        <v>195</v>
      </c>
      <c r="K147" s="35" t="s">
        <v>50</v>
      </c>
      <c r="L147" s="62" t="s">
        <v>301</v>
      </c>
      <c r="M147" s="62" t="s">
        <v>302</v>
      </c>
      <c r="N147" s="8" t="s">
        <v>189</v>
      </c>
      <c r="O147" s="8"/>
      <c r="P147" s="8"/>
      <c r="Q147" s="41">
        <v>5900.0</v>
      </c>
      <c r="R147" s="15">
        <f>'VICENTE LOMBARDO'!$Q147*'VICENTE LOMBARDO'!$E147</f>
        <v>5900</v>
      </c>
      <c r="S147" s="15">
        <f>'VICENTE LOMBARDO'!$R147*16%</f>
        <v>944</v>
      </c>
      <c r="T147" s="15">
        <f>'VICENTE LOMBARDO'!$R147+'VICENTE LOMBARDO'!$S147</f>
        <v>6844</v>
      </c>
      <c r="U147" s="8"/>
      <c r="V147" s="15"/>
      <c r="W147" s="15"/>
    </row>
    <row r="148" ht="15.75" hidden="1" customHeight="1">
      <c r="A148" s="6">
        <v>27.0</v>
      </c>
      <c r="B148" s="6">
        <v>12.0</v>
      </c>
      <c r="C148" s="77">
        <v>821.0</v>
      </c>
      <c r="D148" s="9">
        <v>46206.0</v>
      </c>
      <c r="E148" s="8">
        <v>1.0</v>
      </c>
      <c r="F148" s="8" t="s">
        <v>157</v>
      </c>
      <c r="G148" s="8" t="s">
        <v>273</v>
      </c>
      <c r="H148" s="6">
        <v>14.0</v>
      </c>
      <c r="I148" s="8"/>
      <c r="J148" s="8" t="s">
        <v>284</v>
      </c>
      <c r="K148" s="35" t="s">
        <v>50</v>
      </c>
      <c r="L148" s="8" t="s">
        <v>304</v>
      </c>
      <c r="M148" s="62" t="s">
        <v>305</v>
      </c>
      <c r="N148" s="8" t="s">
        <v>189</v>
      </c>
      <c r="O148" s="8"/>
      <c r="P148" s="8"/>
      <c r="Q148" s="41">
        <v>5900.0</v>
      </c>
      <c r="R148" s="15">
        <f>'VICENTE LOMBARDO'!$Q148*'VICENTE LOMBARDO'!$E148</f>
        <v>5900</v>
      </c>
      <c r="S148" s="15">
        <f>'VICENTE LOMBARDO'!$R148*16%</f>
        <v>944</v>
      </c>
      <c r="T148" s="15">
        <f>'VICENTE LOMBARDO'!$R148+'VICENTE LOMBARDO'!$S148</f>
        <v>6844</v>
      </c>
      <c r="U148" s="8"/>
      <c r="V148" s="15"/>
      <c r="W148" s="15"/>
    </row>
    <row r="149" ht="15.75" hidden="1" customHeight="1">
      <c r="A149" s="6">
        <v>27.0</v>
      </c>
      <c r="B149" s="6">
        <v>8.0</v>
      </c>
      <c r="C149" s="77">
        <v>830.0</v>
      </c>
      <c r="D149" s="9">
        <v>46207.0</v>
      </c>
      <c r="E149" s="8">
        <v>1.0</v>
      </c>
      <c r="F149" s="8" t="s">
        <v>157</v>
      </c>
      <c r="G149" s="8" t="s">
        <v>273</v>
      </c>
      <c r="H149" s="6">
        <v>14.0</v>
      </c>
      <c r="I149" s="8"/>
      <c r="J149" s="8" t="s">
        <v>284</v>
      </c>
      <c r="K149" s="35" t="s">
        <v>50</v>
      </c>
      <c r="L149" s="8" t="s">
        <v>285</v>
      </c>
      <c r="M149" s="62" t="s">
        <v>286</v>
      </c>
      <c r="N149" s="8" t="s">
        <v>189</v>
      </c>
      <c r="O149" s="8"/>
      <c r="P149" s="8" t="s">
        <v>283</v>
      </c>
      <c r="Q149" s="41">
        <v>5900.0</v>
      </c>
      <c r="R149" s="15">
        <f>'VICENTE LOMBARDO'!$Q149*'VICENTE LOMBARDO'!$E149</f>
        <v>5900</v>
      </c>
      <c r="S149" s="15">
        <f>'VICENTE LOMBARDO'!$R149*16%</f>
        <v>944</v>
      </c>
      <c r="T149" s="15">
        <f>'VICENTE LOMBARDO'!$R149+'VICENTE LOMBARDO'!$S149</f>
        <v>6844</v>
      </c>
      <c r="U149" s="8"/>
      <c r="V149" s="15"/>
      <c r="W149" s="15"/>
    </row>
    <row r="150" ht="15.75" hidden="1" customHeight="1">
      <c r="A150" s="6">
        <v>28.0</v>
      </c>
      <c r="B150" s="6">
        <v>1.0</v>
      </c>
      <c r="C150" s="77">
        <v>838.0</v>
      </c>
      <c r="D150" s="9">
        <v>46209.0</v>
      </c>
      <c r="E150" s="8">
        <v>1.0</v>
      </c>
      <c r="F150" s="8" t="s">
        <v>157</v>
      </c>
      <c r="G150" s="8" t="s">
        <v>295</v>
      </c>
      <c r="H150" s="6">
        <v>14.0</v>
      </c>
      <c r="I150" s="8"/>
      <c r="J150" s="8" t="s">
        <v>118</v>
      </c>
      <c r="K150" s="35" t="s">
        <v>50</v>
      </c>
      <c r="L150" s="62" t="s">
        <v>292</v>
      </c>
      <c r="M150" s="62" t="s">
        <v>296</v>
      </c>
      <c r="N150" s="62" t="s">
        <v>189</v>
      </c>
      <c r="O150" s="8"/>
      <c r="P150" s="8" t="s">
        <v>306</v>
      </c>
      <c r="Q150" s="41">
        <v>5900.0</v>
      </c>
      <c r="R150" s="15">
        <f>'VICENTE LOMBARDO'!$Q150*'VICENTE LOMBARDO'!$E150</f>
        <v>5900</v>
      </c>
      <c r="S150" s="15">
        <f>'VICENTE LOMBARDO'!$R150*16%</f>
        <v>944</v>
      </c>
      <c r="T150" s="15">
        <f>'VICENTE LOMBARDO'!$R150+'VICENTE LOMBARDO'!$S150</f>
        <v>6844</v>
      </c>
      <c r="U150" s="8"/>
      <c r="V150" s="15"/>
      <c r="W150" s="15"/>
    </row>
    <row r="151" ht="15.75" hidden="1" customHeight="1">
      <c r="A151" s="6">
        <v>28.0</v>
      </c>
      <c r="B151" s="6">
        <v>2.0</v>
      </c>
      <c r="C151" s="77">
        <v>839.0</v>
      </c>
      <c r="D151" s="9">
        <v>46209.0</v>
      </c>
      <c r="E151" s="8">
        <v>1.0</v>
      </c>
      <c r="F151" s="8" t="s">
        <v>157</v>
      </c>
      <c r="G151" s="8" t="s">
        <v>248</v>
      </c>
      <c r="H151" s="6">
        <v>14.0</v>
      </c>
      <c r="I151" s="8"/>
      <c r="J151" s="8" t="s">
        <v>146</v>
      </c>
      <c r="K151" s="35" t="s">
        <v>50</v>
      </c>
      <c r="L151" s="62" t="s">
        <v>296</v>
      </c>
      <c r="M151" s="62" t="s">
        <v>307</v>
      </c>
      <c r="N151" s="62" t="s">
        <v>189</v>
      </c>
      <c r="O151" s="8"/>
      <c r="P151" s="8" t="s">
        <v>306</v>
      </c>
      <c r="Q151" s="41">
        <v>5900.0</v>
      </c>
      <c r="R151" s="15">
        <f>'VICENTE LOMBARDO'!$Q151*'VICENTE LOMBARDO'!$E151</f>
        <v>5900</v>
      </c>
      <c r="S151" s="15">
        <f>'VICENTE LOMBARDO'!$R151*16%</f>
        <v>944</v>
      </c>
      <c r="T151" s="15">
        <f>'VICENTE LOMBARDO'!$R151+'VICENTE LOMBARDO'!$S151</f>
        <v>6844</v>
      </c>
      <c r="U151" s="8"/>
      <c r="V151" s="15"/>
      <c r="W151" s="15"/>
    </row>
    <row r="152" ht="15.75" hidden="1" customHeight="1">
      <c r="A152" s="6">
        <v>28.0</v>
      </c>
      <c r="B152" s="6">
        <v>3.0</v>
      </c>
      <c r="C152" s="77">
        <v>840.0</v>
      </c>
      <c r="D152" s="9">
        <v>46209.0</v>
      </c>
      <c r="E152" s="8">
        <v>1.0</v>
      </c>
      <c r="F152" s="8" t="s">
        <v>157</v>
      </c>
      <c r="G152" s="8" t="s">
        <v>308</v>
      </c>
      <c r="H152" s="6">
        <v>14.0</v>
      </c>
      <c r="I152" s="8"/>
      <c r="J152" s="8" t="s">
        <v>309</v>
      </c>
      <c r="K152" s="35" t="s">
        <v>50</v>
      </c>
      <c r="L152" s="62" t="s">
        <v>310</v>
      </c>
      <c r="M152" s="62" t="s">
        <v>311</v>
      </c>
      <c r="N152" s="62" t="s">
        <v>189</v>
      </c>
      <c r="O152" s="8"/>
      <c r="P152" s="8" t="s">
        <v>306</v>
      </c>
      <c r="Q152" s="41">
        <v>5900.0</v>
      </c>
      <c r="R152" s="15">
        <f>'VICENTE LOMBARDO'!$Q152*'VICENTE LOMBARDO'!$E152</f>
        <v>5900</v>
      </c>
      <c r="S152" s="15">
        <f>'VICENTE LOMBARDO'!$R152*16%</f>
        <v>944</v>
      </c>
      <c r="T152" s="15">
        <f>'VICENTE LOMBARDO'!$R152+'VICENTE LOMBARDO'!$S152</f>
        <v>6844</v>
      </c>
      <c r="U152" s="8"/>
      <c r="V152" s="15"/>
      <c r="W152" s="15"/>
    </row>
    <row r="153" ht="15.75" hidden="1" customHeight="1">
      <c r="A153" s="6">
        <v>28.0</v>
      </c>
      <c r="B153" s="6">
        <v>4.0</v>
      </c>
      <c r="C153" s="77">
        <v>841.0</v>
      </c>
      <c r="D153" s="9">
        <v>46209.0</v>
      </c>
      <c r="E153" s="8">
        <v>1.0</v>
      </c>
      <c r="F153" s="8" t="s">
        <v>157</v>
      </c>
      <c r="G153" s="8" t="s">
        <v>251</v>
      </c>
      <c r="H153" s="6">
        <v>14.0</v>
      </c>
      <c r="I153" s="8"/>
      <c r="J153" s="8" t="s">
        <v>313</v>
      </c>
      <c r="K153" s="35" t="s">
        <v>50</v>
      </c>
      <c r="L153" s="62" t="s">
        <v>310</v>
      </c>
      <c r="M153" s="62" t="s">
        <v>296</v>
      </c>
      <c r="N153" s="62" t="s">
        <v>189</v>
      </c>
      <c r="O153" s="8"/>
      <c r="P153" s="8" t="s">
        <v>306</v>
      </c>
      <c r="Q153" s="41">
        <v>5900.0</v>
      </c>
      <c r="R153" s="15">
        <f>'VICENTE LOMBARDO'!$Q153*'VICENTE LOMBARDO'!$E153</f>
        <v>5900</v>
      </c>
      <c r="S153" s="15">
        <f>'VICENTE LOMBARDO'!$R153*16%</f>
        <v>944</v>
      </c>
      <c r="T153" s="15">
        <f>'VICENTE LOMBARDO'!$R153+'VICENTE LOMBARDO'!$S153</f>
        <v>6844</v>
      </c>
      <c r="U153" s="8"/>
      <c r="V153" s="15"/>
      <c r="W153" s="15"/>
    </row>
    <row r="154" ht="15.75" hidden="1" customHeight="1">
      <c r="A154" s="6">
        <v>28.0</v>
      </c>
      <c r="B154" s="6">
        <v>5.0</v>
      </c>
      <c r="C154" s="77">
        <v>842.0</v>
      </c>
      <c r="D154" s="9">
        <v>46209.0</v>
      </c>
      <c r="E154" s="8">
        <v>1.0</v>
      </c>
      <c r="F154" s="8" t="s">
        <v>157</v>
      </c>
      <c r="G154" s="8" t="s">
        <v>316</v>
      </c>
      <c r="H154" s="6">
        <v>14.0</v>
      </c>
      <c r="I154" s="8"/>
      <c r="J154" s="8" t="s">
        <v>122</v>
      </c>
      <c r="K154" s="35" t="s">
        <v>50</v>
      </c>
      <c r="L154" s="62" t="s">
        <v>296</v>
      </c>
      <c r="M154" s="62" t="s">
        <v>307</v>
      </c>
      <c r="N154" s="62" t="s">
        <v>189</v>
      </c>
      <c r="O154" s="8"/>
      <c r="P154" s="8" t="s">
        <v>306</v>
      </c>
      <c r="Q154" s="41">
        <v>5900.0</v>
      </c>
      <c r="R154" s="15">
        <f>'VICENTE LOMBARDO'!$Q154*'VICENTE LOMBARDO'!$E154</f>
        <v>5900</v>
      </c>
      <c r="S154" s="15">
        <f>'VICENTE LOMBARDO'!$R154*16%</f>
        <v>944</v>
      </c>
      <c r="T154" s="15">
        <f>'VICENTE LOMBARDO'!$R154+'VICENTE LOMBARDO'!$S154</f>
        <v>6844</v>
      </c>
      <c r="U154" s="8"/>
      <c r="V154" s="15"/>
      <c r="W154" s="15"/>
    </row>
    <row r="155" ht="15.75" hidden="1" customHeight="1">
      <c r="A155" s="6">
        <v>28.0</v>
      </c>
      <c r="B155" s="6">
        <v>6.0</v>
      </c>
      <c r="C155" s="77">
        <v>843.0</v>
      </c>
      <c r="D155" s="9">
        <v>46209.0</v>
      </c>
      <c r="E155" s="8">
        <v>1.0</v>
      </c>
      <c r="F155" s="8" t="s">
        <v>157</v>
      </c>
      <c r="G155" s="8" t="s">
        <v>317</v>
      </c>
      <c r="H155" s="6">
        <v>14.0</v>
      </c>
      <c r="I155" s="8"/>
      <c r="J155" s="8" t="s">
        <v>318</v>
      </c>
      <c r="K155" s="35" t="s">
        <v>50</v>
      </c>
      <c r="L155" s="62" t="s">
        <v>307</v>
      </c>
      <c r="M155" s="62" t="s">
        <v>319</v>
      </c>
      <c r="N155" s="62" t="s">
        <v>189</v>
      </c>
      <c r="O155" s="8"/>
      <c r="P155" s="8" t="s">
        <v>306</v>
      </c>
      <c r="Q155" s="41">
        <v>5900.0</v>
      </c>
      <c r="R155" s="15">
        <f>'VICENTE LOMBARDO'!$Q155*'VICENTE LOMBARDO'!$E155</f>
        <v>5900</v>
      </c>
      <c r="S155" s="15">
        <f>'VICENTE LOMBARDO'!$R155*16%</f>
        <v>944</v>
      </c>
      <c r="T155" s="15">
        <f>'VICENTE LOMBARDO'!$R155+'VICENTE LOMBARDO'!$S155</f>
        <v>6844</v>
      </c>
      <c r="U155" s="8"/>
      <c r="V155" s="15"/>
      <c r="W155" s="15"/>
    </row>
    <row r="156" ht="15.75" hidden="1" customHeight="1">
      <c r="A156" s="6">
        <v>28.0</v>
      </c>
      <c r="B156" s="6">
        <v>7.0</v>
      </c>
      <c r="C156" s="77">
        <v>844.0</v>
      </c>
      <c r="D156" s="9">
        <v>46209.0</v>
      </c>
      <c r="E156" s="8">
        <v>1.0</v>
      </c>
      <c r="F156" s="8" t="s">
        <v>157</v>
      </c>
      <c r="G156" s="8" t="s">
        <v>320</v>
      </c>
      <c r="H156" s="6">
        <v>14.0</v>
      </c>
      <c r="I156" s="8"/>
      <c r="J156" s="8" t="s">
        <v>321</v>
      </c>
      <c r="K156" s="35" t="s">
        <v>50</v>
      </c>
      <c r="L156" s="62" t="s">
        <v>319</v>
      </c>
      <c r="M156" s="62" t="s">
        <v>322</v>
      </c>
      <c r="N156" s="62" t="s">
        <v>189</v>
      </c>
      <c r="O156" s="8"/>
      <c r="P156" s="8" t="s">
        <v>306</v>
      </c>
      <c r="Q156" s="41">
        <v>5900.0</v>
      </c>
      <c r="R156" s="15">
        <f>'VICENTE LOMBARDO'!$Q156*'VICENTE LOMBARDO'!$E156</f>
        <v>5900</v>
      </c>
      <c r="S156" s="15">
        <f>'VICENTE LOMBARDO'!$R156*16%</f>
        <v>944</v>
      </c>
      <c r="T156" s="15">
        <f>'VICENTE LOMBARDO'!$R156+'VICENTE LOMBARDO'!$S156</f>
        <v>6844</v>
      </c>
      <c r="U156" s="8"/>
      <c r="V156" s="15"/>
      <c r="W156" s="15"/>
    </row>
    <row r="157" ht="15.75" hidden="1" customHeight="1">
      <c r="A157" s="6">
        <v>28.0</v>
      </c>
      <c r="B157" s="6">
        <v>8.0</v>
      </c>
      <c r="C157" s="77">
        <v>845.0</v>
      </c>
      <c r="D157" s="9">
        <v>46209.0</v>
      </c>
      <c r="E157" s="8">
        <v>1.0</v>
      </c>
      <c r="F157" s="8" t="s">
        <v>157</v>
      </c>
      <c r="G157" s="8" t="s">
        <v>323</v>
      </c>
      <c r="H157" s="6">
        <v>14.0</v>
      </c>
      <c r="I157" s="8"/>
      <c r="J157" s="8" t="s">
        <v>150</v>
      </c>
      <c r="K157" s="35" t="s">
        <v>50</v>
      </c>
      <c r="L157" s="62" t="s">
        <v>322</v>
      </c>
      <c r="M157" s="62" t="s">
        <v>324</v>
      </c>
      <c r="N157" s="62" t="s">
        <v>189</v>
      </c>
      <c r="O157" s="8"/>
      <c r="P157" s="8" t="s">
        <v>306</v>
      </c>
      <c r="Q157" s="41">
        <v>5900.0</v>
      </c>
      <c r="R157" s="15">
        <f>'VICENTE LOMBARDO'!$Q157*'VICENTE LOMBARDO'!$E157</f>
        <v>5900</v>
      </c>
      <c r="S157" s="15">
        <f>'VICENTE LOMBARDO'!$R157*16%</f>
        <v>944</v>
      </c>
      <c r="T157" s="15">
        <f>'VICENTE LOMBARDO'!$R157+'VICENTE LOMBARDO'!$S157</f>
        <v>6844</v>
      </c>
      <c r="U157" s="8"/>
      <c r="V157" s="15"/>
      <c r="W157" s="15"/>
    </row>
    <row r="158" ht="15.75" hidden="1" customHeight="1">
      <c r="A158" s="6">
        <v>28.0</v>
      </c>
      <c r="B158" s="6">
        <v>9.0</v>
      </c>
      <c r="C158" s="77">
        <v>846.0</v>
      </c>
      <c r="D158" s="9">
        <v>46209.0</v>
      </c>
      <c r="E158" s="8">
        <v>1.0</v>
      </c>
      <c r="F158" s="8" t="s">
        <v>157</v>
      </c>
      <c r="G158" s="8" t="s">
        <v>325</v>
      </c>
      <c r="H158" s="6">
        <v>14.0</v>
      </c>
      <c r="I158" s="67"/>
      <c r="J158" s="8" t="s">
        <v>326</v>
      </c>
      <c r="K158" s="35" t="s">
        <v>50</v>
      </c>
      <c r="L158" s="62" t="s">
        <v>324</v>
      </c>
      <c r="M158" s="62" t="s">
        <v>327</v>
      </c>
      <c r="N158" s="62" t="s">
        <v>189</v>
      </c>
      <c r="O158" s="8"/>
      <c r="P158" s="8" t="s">
        <v>306</v>
      </c>
      <c r="Q158" s="41">
        <v>5900.0</v>
      </c>
      <c r="R158" s="15">
        <f>'VICENTE LOMBARDO'!$Q158*'VICENTE LOMBARDO'!$E158</f>
        <v>5900</v>
      </c>
      <c r="S158" s="15">
        <f>'VICENTE LOMBARDO'!$R158*16%</f>
        <v>944</v>
      </c>
      <c r="T158" s="15">
        <f>'VICENTE LOMBARDO'!$R158+'VICENTE LOMBARDO'!$S158</f>
        <v>6844</v>
      </c>
      <c r="U158" s="8"/>
      <c r="V158" s="15"/>
      <c r="W158" s="15"/>
    </row>
    <row r="159" ht="15.75" hidden="1" customHeight="1">
      <c r="A159" s="6">
        <v>28.0</v>
      </c>
      <c r="B159" s="6">
        <v>10.0</v>
      </c>
      <c r="C159" s="77">
        <v>847.0</v>
      </c>
      <c r="D159" s="9">
        <v>46209.0</v>
      </c>
      <c r="E159" s="8">
        <v>1.0</v>
      </c>
      <c r="F159" s="8" t="s">
        <v>157</v>
      </c>
      <c r="G159" s="8" t="s">
        <v>273</v>
      </c>
      <c r="H159" s="6">
        <v>14.0</v>
      </c>
      <c r="I159" s="67"/>
      <c r="J159" s="8" t="s">
        <v>274</v>
      </c>
      <c r="K159" s="35" t="s">
        <v>50</v>
      </c>
      <c r="L159" s="62" t="s">
        <v>327</v>
      </c>
      <c r="M159" s="62" t="s">
        <v>328</v>
      </c>
      <c r="N159" s="62" t="s">
        <v>189</v>
      </c>
      <c r="O159" s="8"/>
      <c r="P159" s="8" t="s">
        <v>306</v>
      </c>
      <c r="Q159" s="41">
        <v>5900.0</v>
      </c>
      <c r="R159" s="15">
        <f>'VICENTE LOMBARDO'!$Q159*'VICENTE LOMBARDO'!$E159</f>
        <v>5900</v>
      </c>
      <c r="S159" s="15">
        <f>'VICENTE LOMBARDO'!$R159*16%</f>
        <v>944</v>
      </c>
      <c r="T159" s="15">
        <f>'VICENTE LOMBARDO'!$R159+'VICENTE LOMBARDO'!$S159</f>
        <v>6844</v>
      </c>
      <c r="U159" s="8"/>
      <c r="V159" s="15"/>
      <c r="W159" s="15"/>
    </row>
    <row r="160" ht="15.75" hidden="1" customHeight="1">
      <c r="A160" s="6">
        <v>28.0</v>
      </c>
      <c r="B160" s="6">
        <v>1.0</v>
      </c>
      <c r="C160" s="77">
        <v>848.0</v>
      </c>
      <c r="D160" s="9">
        <v>46210.0</v>
      </c>
      <c r="E160" s="8">
        <v>1.0</v>
      </c>
      <c r="F160" s="8" t="s">
        <v>157</v>
      </c>
      <c r="G160" s="8" t="s">
        <v>308</v>
      </c>
      <c r="H160" s="6">
        <v>14.0</v>
      </c>
      <c r="I160" s="67"/>
      <c r="J160" s="8" t="s">
        <v>309</v>
      </c>
      <c r="K160" s="35" t="s">
        <v>50</v>
      </c>
      <c r="L160" s="62" t="s">
        <v>329</v>
      </c>
      <c r="M160" s="62" t="s">
        <v>330</v>
      </c>
      <c r="N160" s="62" t="s">
        <v>189</v>
      </c>
      <c r="O160" s="8"/>
      <c r="P160" s="8" t="s">
        <v>283</v>
      </c>
      <c r="Q160" s="41">
        <v>5900.0</v>
      </c>
      <c r="R160" s="15">
        <f>'VICENTE LOMBARDO'!$Q160*'VICENTE LOMBARDO'!$E160</f>
        <v>5900</v>
      </c>
      <c r="S160" s="15">
        <f>'VICENTE LOMBARDO'!$R160*16%</f>
        <v>944</v>
      </c>
      <c r="T160" s="15">
        <f>'VICENTE LOMBARDO'!$R160+'VICENTE LOMBARDO'!$S160</f>
        <v>6844</v>
      </c>
      <c r="U160" s="8"/>
      <c r="V160" s="15"/>
      <c r="W160" s="15"/>
    </row>
    <row r="161" ht="15.75" hidden="1" customHeight="1">
      <c r="A161" s="6">
        <v>28.0</v>
      </c>
      <c r="B161" s="6">
        <v>2.0</v>
      </c>
      <c r="C161" s="77">
        <v>849.0</v>
      </c>
      <c r="D161" s="9">
        <v>46210.0</v>
      </c>
      <c r="E161" s="8">
        <v>1.0</v>
      </c>
      <c r="F161" s="8" t="s">
        <v>157</v>
      </c>
      <c r="G161" s="8" t="s">
        <v>332</v>
      </c>
      <c r="H161" s="6">
        <v>14.0</v>
      </c>
      <c r="I161" s="67"/>
      <c r="J161" s="8" t="s">
        <v>242</v>
      </c>
      <c r="K161" s="35" t="s">
        <v>50</v>
      </c>
      <c r="L161" s="62" t="s">
        <v>330</v>
      </c>
      <c r="M161" s="62" t="s">
        <v>333</v>
      </c>
      <c r="N161" s="62" t="s">
        <v>189</v>
      </c>
      <c r="O161" s="8"/>
      <c r="P161" s="8" t="s">
        <v>283</v>
      </c>
      <c r="Q161" s="41">
        <v>5900.0</v>
      </c>
      <c r="R161" s="15">
        <f>'VICENTE LOMBARDO'!$Q161*'VICENTE LOMBARDO'!$E161</f>
        <v>5900</v>
      </c>
      <c r="S161" s="15">
        <f>'VICENTE LOMBARDO'!$R161*16%</f>
        <v>944</v>
      </c>
      <c r="T161" s="15">
        <f>'VICENTE LOMBARDO'!$R161+'VICENTE LOMBARDO'!$S161</f>
        <v>6844</v>
      </c>
      <c r="U161" s="8"/>
      <c r="V161" s="15"/>
      <c r="W161" s="15"/>
    </row>
    <row r="162" ht="15.75" hidden="1" customHeight="1">
      <c r="A162" s="6">
        <v>28.0</v>
      </c>
      <c r="B162" s="6">
        <v>3.0</v>
      </c>
      <c r="C162" s="77">
        <v>321.0</v>
      </c>
      <c r="D162" s="9">
        <v>46210.0</v>
      </c>
      <c r="E162" s="8">
        <v>1.0</v>
      </c>
      <c r="F162" s="8" t="s">
        <v>157</v>
      </c>
      <c r="G162" s="8" t="s">
        <v>201</v>
      </c>
      <c r="H162" s="6">
        <v>14.0</v>
      </c>
      <c r="I162" s="67"/>
      <c r="J162" s="8" t="s">
        <v>150</v>
      </c>
      <c r="K162" s="35" t="s">
        <v>50</v>
      </c>
      <c r="L162" s="62" t="s">
        <v>333</v>
      </c>
      <c r="M162" s="62" t="s">
        <v>338</v>
      </c>
      <c r="N162" s="62" t="s">
        <v>189</v>
      </c>
      <c r="O162" s="8"/>
      <c r="P162" s="8" t="s">
        <v>283</v>
      </c>
      <c r="Q162" s="41">
        <v>5900.0</v>
      </c>
      <c r="R162" s="15">
        <f>'VICENTE LOMBARDO'!$Q162*'VICENTE LOMBARDO'!$E162</f>
        <v>5900</v>
      </c>
      <c r="S162" s="15">
        <f>'VICENTE LOMBARDO'!$R162*16%</f>
        <v>944</v>
      </c>
      <c r="T162" s="15">
        <f>'VICENTE LOMBARDO'!$R162+'VICENTE LOMBARDO'!$S162</f>
        <v>6844</v>
      </c>
      <c r="U162" s="8"/>
      <c r="V162" s="15"/>
      <c r="W162" s="15"/>
    </row>
    <row r="163" ht="15.75" hidden="1" customHeight="1">
      <c r="A163" s="6">
        <v>28.0</v>
      </c>
      <c r="B163" s="6">
        <v>4.0</v>
      </c>
      <c r="C163" s="77">
        <v>850.0</v>
      </c>
      <c r="D163" s="9">
        <v>46210.0</v>
      </c>
      <c r="E163" s="8">
        <v>1.0</v>
      </c>
      <c r="F163" s="8" t="s">
        <v>157</v>
      </c>
      <c r="G163" s="8" t="s">
        <v>343</v>
      </c>
      <c r="H163" s="6">
        <v>14.0</v>
      </c>
      <c r="I163" s="67"/>
      <c r="J163" s="8" t="s">
        <v>344</v>
      </c>
      <c r="K163" s="35" t="s">
        <v>50</v>
      </c>
      <c r="L163" s="62" t="s">
        <v>338</v>
      </c>
      <c r="M163" s="62" t="s">
        <v>345</v>
      </c>
      <c r="N163" s="62" t="s">
        <v>189</v>
      </c>
      <c r="O163" s="8"/>
      <c r="P163" s="8" t="s">
        <v>283</v>
      </c>
      <c r="Q163" s="41">
        <v>5900.0</v>
      </c>
      <c r="R163" s="15">
        <f>'VICENTE LOMBARDO'!$Q163*'VICENTE LOMBARDO'!$E163</f>
        <v>5900</v>
      </c>
      <c r="S163" s="15">
        <f>'VICENTE LOMBARDO'!$R163*16%</f>
        <v>944</v>
      </c>
      <c r="T163" s="15">
        <f>'VICENTE LOMBARDO'!$R163+'VICENTE LOMBARDO'!$S163</f>
        <v>6844</v>
      </c>
      <c r="U163" s="8"/>
      <c r="V163" s="15"/>
      <c r="W163" s="15"/>
    </row>
    <row r="164" ht="15.75" hidden="1" customHeight="1">
      <c r="A164" s="6">
        <v>28.0</v>
      </c>
      <c r="B164" s="6">
        <v>5.0</v>
      </c>
      <c r="C164" s="77">
        <v>320.0</v>
      </c>
      <c r="D164" s="9">
        <v>46210.0</v>
      </c>
      <c r="E164" s="8">
        <v>1.0</v>
      </c>
      <c r="F164" s="8" t="s">
        <v>157</v>
      </c>
      <c r="G164" s="8" t="s">
        <v>348</v>
      </c>
      <c r="H164" s="6">
        <v>14.0</v>
      </c>
      <c r="I164" s="67"/>
      <c r="J164" s="8" t="s">
        <v>326</v>
      </c>
      <c r="K164" s="35" t="s">
        <v>50</v>
      </c>
      <c r="L164" s="62" t="s">
        <v>345</v>
      </c>
      <c r="M164" s="62" t="s">
        <v>349</v>
      </c>
      <c r="N164" s="62" t="s">
        <v>189</v>
      </c>
      <c r="O164" s="8"/>
      <c r="P164" s="8" t="s">
        <v>283</v>
      </c>
      <c r="Q164" s="41">
        <v>5900.0</v>
      </c>
      <c r="R164" s="15">
        <f>'VICENTE LOMBARDO'!$Q164*'VICENTE LOMBARDO'!$E164</f>
        <v>5900</v>
      </c>
      <c r="S164" s="15">
        <f>'VICENTE LOMBARDO'!$R164*16%</f>
        <v>944</v>
      </c>
      <c r="T164" s="15">
        <f>'VICENTE LOMBARDO'!$R164+'VICENTE LOMBARDO'!$S164</f>
        <v>6844</v>
      </c>
      <c r="U164" s="8"/>
      <c r="V164" s="15"/>
      <c r="W164" s="15"/>
    </row>
    <row r="165" ht="15.75" hidden="1" customHeight="1">
      <c r="A165" s="6">
        <v>28.0</v>
      </c>
      <c r="B165" s="6">
        <v>6.0</v>
      </c>
      <c r="C165" s="77">
        <v>322.0</v>
      </c>
      <c r="D165" s="9">
        <v>46210.0</v>
      </c>
      <c r="E165" s="8">
        <v>1.0</v>
      </c>
      <c r="F165" s="8" t="s">
        <v>157</v>
      </c>
      <c r="G165" s="8" t="s">
        <v>300</v>
      </c>
      <c r="H165" s="6">
        <v>14.0</v>
      </c>
      <c r="I165" s="67"/>
      <c r="J165" s="8" t="s">
        <v>114</v>
      </c>
      <c r="K165" s="35" t="s">
        <v>50</v>
      </c>
      <c r="L165" s="62" t="s">
        <v>349</v>
      </c>
      <c r="M165" s="62" t="s">
        <v>352</v>
      </c>
      <c r="N165" s="62" t="s">
        <v>189</v>
      </c>
      <c r="O165" s="8"/>
      <c r="P165" s="8" t="s">
        <v>283</v>
      </c>
      <c r="Q165" s="41">
        <v>5900.0</v>
      </c>
      <c r="R165" s="15">
        <f>'VICENTE LOMBARDO'!$Q165*'VICENTE LOMBARDO'!$E165</f>
        <v>5900</v>
      </c>
      <c r="S165" s="15">
        <f>'VICENTE LOMBARDO'!$R165*16%</f>
        <v>944</v>
      </c>
      <c r="T165" s="15">
        <f>'VICENTE LOMBARDO'!$R165+'VICENTE LOMBARDO'!$S165</f>
        <v>6844</v>
      </c>
      <c r="U165" s="8"/>
      <c r="V165" s="15"/>
      <c r="W165" s="15"/>
    </row>
    <row r="166" ht="15.75" hidden="1" customHeight="1">
      <c r="A166" s="6">
        <v>28.0</v>
      </c>
      <c r="B166" s="6">
        <v>7.0</v>
      </c>
      <c r="C166" s="77">
        <v>323.0</v>
      </c>
      <c r="D166" s="9">
        <v>46210.0</v>
      </c>
      <c r="E166" s="8">
        <v>1.0</v>
      </c>
      <c r="F166" s="8" t="s">
        <v>157</v>
      </c>
      <c r="G166" s="8" t="s">
        <v>353</v>
      </c>
      <c r="H166" s="6">
        <v>14.0</v>
      </c>
      <c r="I166" s="67"/>
      <c r="J166" s="8" t="s">
        <v>114</v>
      </c>
      <c r="K166" s="35" t="s">
        <v>50</v>
      </c>
      <c r="L166" s="62" t="s">
        <v>352</v>
      </c>
      <c r="M166" s="62" t="s">
        <v>354</v>
      </c>
      <c r="N166" s="62" t="s">
        <v>189</v>
      </c>
      <c r="O166" s="8"/>
      <c r="P166" s="8" t="s">
        <v>283</v>
      </c>
      <c r="Q166" s="41">
        <v>5900.0</v>
      </c>
      <c r="R166" s="15">
        <f>'VICENTE LOMBARDO'!$Q166*'VICENTE LOMBARDO'!$E166</f>
        <v>5900</v>
      </c>
      <c r="S166" s="15">
        <f>'VICENTE LOMBARDO'!$R166*16%</f>
        <v>944</v>
      </c>
      <c r="T166" s="15">
        <f>'VICENTE LOMBARDO'!$R166+'VICENTE LOMBARDO'!$S166</f>
        <v>6844</v>
      </c>
      <c r="U166" s="8"/>
      <c r="V166" s="15"/>
      <c r="W166" s="15"/>
    </row>
    <row r="167" ht="15.75" hidden="1" customHeight="1">
      <c r="A167" s="6">
        <v>28.0</v>
      </c>
      <c r="B167" s="6">
        <v>8.0</v>
      </c>
      <c r="C167" s="77">
        <v>325.0</v>
      </c>
      <c r="D167" s="9">
        <v>46210.0</v>
      </c>
      <c r="E167" s="8">
        <v>1.0</v>
      </c>
      <c r="F167" s="8" t="s">
        <v>157</v>
      </c>
      <c r="G167" s="8" t="s">
        <v>251</v>
      </c>
      <c r="H167" s="6">
        <v>14.0</v>
      </c>
      <c r="I167" s="67"/>
      <c r="J167" s="8" t="s">
        <v>313</v>
      </c>
      <c r="K167" s="35" t="s">
        <v>50</v>
      </c>
      <c r="L167" s="62" t="s">
        <v>354</v>
      </c>
      <c r="M167" s="62" t="s">
        <v>355</v>
      </c>
      <c r="N167" s="62" t="s">
        <v>189</v>
      </c>
      <c r="O167" s="8"/>
      <c r="P167" s="8" t="s">
        <v>283</v>
      </c>
      <c r="Q167" s="41">
        <v>5900.0</v>
      </c>
      <c r="R167" s="15">
        <f>'VICENTE LOMBARDO'!$Q167*'VICENTE LOMBARDO'!$E167</f>
        <v>5900</v>
      </c>
      <c r="S167" s="15">
        <f>'VICENTE LOMBARDO'!$R167*16%</f>
        <v>944</v>
      </c>
      <c r="T167" s="15">
        <f>'VICENTE LOMBARDO'!$R167+'VICENTE LOMBARDO'!$S167</f>
        <v>6844</v>
      </c>
      <c r="U167" s="8"/>
      <c r="V167" s="15"/>
      <c r="W167" s="15"/>
    </row>
    <row r="168" ht="15.75" hidden="1" customHeight="1">
      <c r="A168" s="6">
        <v>28.0</v>
      </c>
      <c r="B168" s="6">
        <v>9.0</v>
      </c>
      <c r="C168" s="77">
        <v>324.0</v>
      </c>
      <c r="D168" s="9">
        <v>46210.0</v>
      </c>
      <c r="E168" s="8">
        <v>1.0</v>
      </c>
      <c r="F168" s="8" t="s">
        <v>157</v>
      </c>
      <c r="G168" s="8" t="s">
        <v>357</v>
      </c>
      <c r="H168" s="6">
        <v>14.0</v>
      </c>
      <c r="I168" s="67"/>
      <c r="J168" s="8" t="s">
        <v>288</v>
      </c>
      <c r="K168" s="35" t="s">
        <v>50</v>
      </c>
      <c r="L168" s="62" t="s">
        <v>355</v>
      </c>
      <c r="M168" s="62" t="s">
        <v>358</v>
      </c>
      <c r="N168" s="62" t="s">
        <v>189</v>
      </c>
      <c r="O168" s="8"/>
      <c r="P168" s="8" t="s">
        <v>283</v>
      </c>
      <c r="Q168" s="41">
        <v>5900.0</v>
      </c>
      <c r="R168" s="15">
        <f>'VICENTE LOMBARDO'!$Q168*'VICENTE LOMBARDO'!$E168</f>
        <v>5900</v>
      </c>
      <c r="S168" s="15">
        <f>'VICENTE LOMBARDO'!$R168*16%</f>
        <v>944</v>
      </c>
      <c r="T168" s="15">
        <f>'VICENTE LOMBARDO'!$R168+'VICENTE LOMBARDO'!$S168</f>
        <v>6844</v>
      </c>
      <c r="U168" s="8"/>
      <c r="V168" s="15"/>
      <c r="W168" s="15"/>
    </row>
    <row r="169" ht="15.75" hidden="1" customHeight="1">
      <c r="A169" s="6">
        <v>28.0</v>
      </c>
      <c r="B169" s="6">
        <v>10.0</v>
      </c>
      <c r="C169" s="77">
        <v>326.0</v>
      </c>
      <c r="D169" s="9">
        <v>46210.0</v>
      </c>
      <c r="E169" s="8">
        <v>1.0</v>
      </c>
      <c r="F169" s="8" t="s">
        <v>157</v>
      </c>
      <c r="G169" s="8" t="s">
        <v>361</v>
      </c>
      <c r="H169" s="6">
        <v>14.0</v>
      </c>
      <c r="I169" s="67"/>
      <c r="J169" s="8" t="s">
        <v>362</v>
      </c>
      <c r="K169" s="35" t="s">
        <v>50</v>
      </c>
      <c r="L169" s="62" t="s">
        <v>358</v>
      </c>
      <c r="M169" s="62" t="s">
        <v>363</v>
      </c>
      <c r="N169" s="62" t="s">
        <v>189</v>
      </c>
      <c r="O169" s="8"/>
      <c r="P169" s="8" t="s">
        <v>283</v>
      </c>
      <c r="Q169" s="41">
        <v>5900.0</v>
      </c>
      <c r="R169" s="15">
        <f>'VICENTE LOMBARDO'!$Q169*'VICENTE LOMBARDO'!$E169</f>
        <v>5900</v>
      </c>
      <c r="S169" s="15">
        <f>'VICENTE LOMBARDO'!$R169*16%</f>
        <v>944</v>
      </c>
      <c r="T169" s="15">
        <f>'VICENTE LOMBARDO'!$R169+'VICENTE LOMBARDO'!$S169</f>
        <v>6844</v>
      </c>
      <c r="U169" s="8"/>
      <c r="V169" s="15"/>
      <c r="W169" s="15"/>
    </row>
    <row r="170" ht="15.75" hidden="1" customHeight="1">
      <c r="A170" s="6">
        <v>28.0</v>
      </c>
      <c r="B170" s="6">
        <v>11.0</v>
      </c>
      <c r="C170" s="77">
        <v>327.0</v>
      </c>
      <c r="D170" s="9">
        <v>46210.0</v>
      </c>
      <c r="E170" s="8">
        <v>1.0</v>
      </c>
      <c r="F170" s="8" t="s">
        <v>157</v>
      </c>
      <c r="G170" s="8" t="s">
        <v>365</v>
      </c>
      <c r="H170" s="6">
        <v>14.0</v>
      </c>
      <c r="I170" s="67"/>
      <c r="J170" s="8" t="s">
        <v>366</v>
      </c>
      <c r="K170" s="35" t="s">
        <v>50</v>
      </c>
      <c r="L170" s="62" t="s">
        <v>363</v>
      </c>
      <c r="M170" s="62" t="s">
        <v>367</v>
      </c>
      <c r="N170" s="8" t="s">
        <v>189</v>
      </c>
      <c r="O170" s="8"/>
      <c r="P170" s="8" t="s">
        <v>283</v>
      </c>
      <c r="Q170" s="41">
        <v>5900.0</v>
      </c>
      <c r="R170" s="15">
        <f>'VICENTE LOMBARDO'!$Q170*'VICENTE LOMBARDO'!$E170</f>
        <v>5900</v>
      </c>
      <c r="S170" s="15">
        <f>'VICENTE LOMBARDO'!$R170*16%</f>
        <v>944</v>
      </c>
      <c r="T170" s="15">
        <f>'VICENTE LOMBARDO'!$R170+'VICENTE LOMBARDO'!$S170</f>
        <v>6844</v>
      </c>
      <c r="U170" s="8"/>
      <c r="V170" s="15"/>
      <c r="W170" s="15"/>
    </row>
    <row r="171" ht="15.75" hidden="1" customHeight="1">
      <c r="A171" s="6">
        <v>28.0</v>
      </c>
      <c r="B171" s="6">
        <v>12.0</v>
      </c>
      <c r="C171" s="77">
        <v>328.0</v>
      </c>
      <c r="D171" s="9">
        <v>46210.0</v>
      </c>
      <c r="E171" s="8">
        <v>1.0</v>
      </c>
      <c r="F171" s="8" t="s">
        <v>157</v>
      </c>
      <c r="G171" s="8" t="s">
        <v>368</v>
      </c>
      <c r="H171" s="6">
        <v>14.0</v>
      </c>
      <c r="I171" s="67"/>
      <c r="J171" s="8" t="s">
        <v>122</v>
      </c>
      <c r="K171" s="35" t="s">
        <v>50</v>
      </c>
      <c r="L171" s="62" t="s">
        <v>367</v>
      </c>
      <c r="M171" s="62" t="s">
        <v>369</v>
      </c>
      <c r="N171" s="8" t="s">
        <v>189</v>
      </c>
      <c r="O171" s="8"/>
      <c r="P171" s="8" t="s">
        <v>283</v>
      </c>
      <c r="Q171" s="41">
        <v>5900.0</v>
      </c>
      <c r="R171" s="15">
        <f>'VICENTE LOMBARDO'!$Q171*'VICENTE LOMBARDO'!$E171</f>
        <v>5900</v>
      </c>
      <c r="S171" s="15">
        <f>'VICENTE LOMBARDO'!$R171*16%</f>
        <v>944</v>
      </c>
      <c r="T171" s="15">
        <f>'VICENTE LOMBARDO'!$R171+'VICENTE LOMBARDO'!$S171</f>
        <v>6844</v>
      </c>
      <c r="U171" s="8"/>
      <c r="V171" s="15"/>
      <c r="W171" s="15"/>
    </row>
    <row r="172" ht="15.75" hidden="1" customHeight="1">
      <c r="A172" s="6">
        <v>28.0</v>
      </c>
      <c r="B172" s="6">
        <v>13.0</v>
      </c>
      <c r="C172" s="77">
        <v>329.0</v>
      </c>
      <c r="D172" s="9">
        <v>46210.0</v>
      </c>
      <c r="E172" s="8">
        <v>1.0</v>
      </c>
      <c r="F172" s="8" t="s">
        <v>157</v>
      </c>
      <c r="G172" s="8" t="s">
        <v>317</v>
      </c>
      <c r="H172" s="6">
        <v>14.0</v>
      </c>
      <c r="I172" s="67"/>
      <c r="J172" s="8" t="s">
        <v>318</v>
      </c>
      <c r="K172" s="35" t="s">
        <v>50</v>
      </c>
      <c r="L172" s="62" t="s">
        <v>369</v>
      </c>
      <c r="M172" s="62" t="s">
        <v>370</v>
      </c>
      <c r="N172" s="8" t="s">
        <v>189</v>
      </c>
      <c r="O172" s="8"/>
      <c r="P172" s="8" t="s">
        <v>283</v>
      </c>
      <c r="Q172" s="41">
        <v>5900.0</v>
      </c>
      <c r="R172" s="15">
        <f>'VICENTE LOMBARDO'!$Q172*'VICENTE LOMBARDO'!$E172</f>
        <v>5900</v>
      </c>
      <c r="S172" s="15">
        <f>'VICENTE LOMBARDO'!$R172*16%</f>
        <v>944</v>
      </c>
      <c r="T172" s="15">
        <f>'VICENTE LOMBARDO'!$R172+'VICENTE LOMBARDO'!$S172</f>
        <v>6844</v>
      </c>
      <c r="U172" s="8"/>
      <c r="V172" s="15"/>
      <c r="W172" s="15"/>
    </row>
    <row r="173" ht="15.75" hidden="1" customHeight="1">
      <c r="A173" s="6">
        <v>28.0</v>
      </c>
      <c r="B173" s="6">
        <v>14.0</v>
      </c>
      <c r="C173" s="77">
        <v>330.0</v>
      </c>
      <c r="D173" s="9">
        <v>46210.0</v>
      </c>
      <c r="E173" s="8">
        <v>1.0</v>
      </c>
      <c r="F173" s="8" t="s">
        <v>157</v>
      </c>
      <c r="G173" s="8" t="s">
        <v>371</v>
      </c>
      <c r="H173" s="6">
        <v>14.0</v>
      </c>
      <c r="I173" s="67"/>
      <c r="J173" s="8" t="s">
        <v>372</v>
      </c>
      <c r="K173" s="35" t="s">
        <v>50</v>
      </c>
      <c r="L173" s="62" t="s">
        <v>370</v>
      </c>
      <c r="M173" s="62" t="s">
        <v>373</v>
      </c>
      <c r="N173" s="62" t="s">
        <v>189</v>
      </c>
      <c r="O173" s="8"/>
      <c r="P173" s="8" t="s">
        <v>283</v>
      </c>
      <c r="Q173" s="41">
        <v>5900.0</v>
      </c>
      <c r="R173" s="15">
        <f>'VICENTE LOMBARDO'!$Q173*'VICENTE LOMBARDO'!$E173</f>
        <v>5900</v>
      </c>
      <c r="S173" s="15">
        <f>'VICENTE LOMBARDO'!$R173*16%</f>
        <v>944</v>
      </c>
      <c r="T173" s="15">
        <f>'VICENTE LOMBARDO'!$R173+'VICENTE LOMBARDO'!$S173</f>
        <v>6844</v>
      </c>
      <c r="U173" s="8"/>
      <c r="V173" s="15"/>
      <c r="W173" s="15"/>
    </row>
    <row r="174" ht="15.75" hidden="1" customHeight="1">
      <c r="A174" s="6">
        <v>28.0</v>
      </c>
      <c r="B174" s="6">
        <v>15.0</v>
      </c>
      <c r="C174" s="39">
        <v>331.0</v>
      </c>
      <c r="D174" s="9">
        <v>46210.0</v>
      </c>
      <c r="E174" s="8">
        <v>1.0</v>
      </c>
      <c r="F174" s="8" t="s">
        <v>31</v>
      </c>
      <c r="G174" s="8" t="s">
        <v>374</v>
      </c>
      <c r="H174" s="6">
        <v>14.0</v>
      </c>
      <c r="I174" s="67"/>
      <c r="J174" s="8" t="s">
        <v>81</v>
      </c>
      <c r="K174" s="8" t="s">
        <v>158</v>
      </c>
      <c r="L174" s="62" t="s">
        <v>373</v>
      </c>
      <c r="M174" s="62" t="s">
        <v>375</v>
      </c>
      <c r="N174" s="8" t="s">
        <v>189</v>
      </c>
      <c r="O174" s="8"/>
      <c r="P174" s="35" t="s">
        <v>109</v>
      </c>
      <c r="Q174" s="41">
        <v>5900.0</v>
      </c>
      <c r="R174" s="41">
        <v>4205.0</v>
      </c>
      <c r="S174" s="15">
        <f>'VICENTE LOMBARDO'!$R174*16%</f>
        <v>672.8</v>
      </c>
      <c r="T174" s="15">
        <f>'VICENTE LOMBARDO'!$R174+'VICENTE LOMBARDO'!$S174</f>
        <v>4877.8</v>
      </c>
      <c r="U174" s="35" t="s">
        <v>376</v>
      </c>
      <c r="V174" s="15"/>
      <c r="W174" s="15"/>
    </row>
    <row r="175" ht="15.75" hidden="1" customHeight="1">
      <c r="A175" s="6">
        <v>28.0</v>
      </c>
      <c r="B175" s="6">
        <v>1.0</v>
      </c>
      <c r="C175" s="77">
        <v>332.0</v>
      </c>
      <c r="D175" s="9">
        <v>46211.0</v>
      </c>
      <c r="E175" s="8">
        <v>1.0</v>
      </c>
      <c r="F175" s="8" t="s">
        <v>157</v>
      </c>
      <c r="G175" s="8" t="s">
        <v>279</v>
      </c>
      <c r="H175" s="6">
        <v>14.0</v>
      </c>
      <c r="I175" s="67"/>
      <c r="J175" s="8" t="s">
        <v>195</v>
      </c>
      <c r="K175" s="35" t="s">
        <v>50</v>
      </c>
      <c r="L175" s="62" t="s">
        <v>377</v>
      </c>
      <c r="M175" s="62" t="s">
        <v>378</v>
      </c>
      <c r="N175" s="8" t="s">
        <v>189</v>
      </c>
      <c r="O175" s="8"/>
      <c r="P175" s="8" t="s">
        <v>306</v>
      </c>
      <c r="Q175" s="41">
        <v>5900.0</v>
      </c>
      <c r="R175" s="15">
        <f>'VICENTE LOMBARDO'!$Q175*'VICENTE LOMBARDO'!$E175</f>
        <v>5900</v>
      </c>
      <c r="S175" s="15">
        <f>'VICENTE LOMBARDO'!$R175*16%</f>
        <v>944</v>
      </c>
      <c r="T175" s="15">
        <f>'VICENTE LOMBARDO'!$R175+'VICENTE LOMBARDO'!$S175</f>
        <v>6844</v>
      </c>
      <c r="U175" s="8"/>
      <c r="V175" s="15"/>
      <c r="W175" s="15"/>
    </row>
    <row r="176" ht="15.75" hidden="1" customHeight="1">
      <c r="A176" s="6">
        <v>28.0</v>
      </c>
      <c r="B176" s="6">
        <v>2.0</v>
      </c>
      <c r="C176" s="77">
        <v>334.0</v>
      </c>
      <c r="D176" s="9">
        <v>46211.0</v>
      </c>
      <c r="E176" s="8">
        <v>1.0</v>
      </c>
      <c r="F176" s="8" t="s">
        <v>157</v>
      </c>
      <c r="G176" s="8" t="s">
        <v>295</v>
      </c>
      <c r="H176" s="6">
        <v>14.0</v>
      </c>
      <c r="I176" s="67"/>
      <c r="J176" s="8" t="s">
        <v>118</v>
      </c>
      <c r="K176" s="35" t="s">
        <v>50</v>
      </c>
      <c r="L176" s="8" t="s">
        <v>378</v>
      </c>
      <c r="M176" s="62" t="s">
        <v>379</v>
      </c>
      <c r="N176" s="8" t="s">
        <v>189</v>
      </c>
      <c r="O176" s="8"/>
      <c r="P176" s="8" t="s">
        <v>306</v>
      </c>
      <c r="Q176" s="41">
        <v>5900.0</v>
      </c>
      <c r="R176" s="15">
        <f>'VICENTE LOMBARDO'!$Q176*'VICENTE LOMBARDO'!$E176</f>
        <v>5900</v>
      </c>
      <c r="S176" s="15">
        <f>'VICENTE LOMBARDO'!$R176*16%</f>
        <v>944</v>
      </c>
      <c r="T176" s="15">
        <f>'VICENTE LOMBARDO'!$R176+'VICENTE LOMBARDO'!$S176</f>
        <v>6844</v>
      </c>
      <c r="U176" s="8"/>
      <c r="V176" s="15"/>
      <c r="W176" s="15"/>
    </row>
    <row r="177" ht="15.75" hidden="1" customHeight="1">
      <c r="A177" s="6">
        <v>28.0</v>
      </c>
      <c r="B177" s="6">
        <v>3.0</v>
      </c>
      <c r="C177" s="77">
        <v>335.0</v>
      </c>
      <c r="D177" s="9">
        <v>46211.0</v>
      </c>
      <c r="E177" s="8">
        <v>1.0</v>
      </c>
      <c r="F177" s="8" t="s">
        <v>157</v>
      </c>
      <c r="G177" s="8" t="s">
        <v>382</v>
      </c>
      <c r="H177" s="6">
        <v>14.0</v>
      </c>
      <c r="I177" s="67"/>
      <c r="J177" s="8" t="s">
        <v>200</v>
      </c>
      <c r="K177" s="35" t="s">
        <v>50</v>
      </c>
      <c r="L177" s="62" t="s">
        <v>379</v>
      </c>
      <c r="M177" s="8" t="s">
        <v>383</v>
      </c>
      <c r="N177" s="62" t="s">
        <v>189</v>
      </c>
      <c r="O177" s="8"/>
      <c r="P177" s="8" t="s">
        <v>306</v>
      </c>
      <c r="Q177" s="41">
        <v>5900.0</v>
      </c>
      <c r="R177" s="15">
        <f>'VICENTE LOMBARDO'!$Q177*'VICENTE LOMBARDO'!$E177</f>
        <v>5900</v>
      </c>
      <c r="S177" s="15">
        <f>'VICENTE LOMBARDO'!$R177*16%</f>
        <v>944</v>
      </c>
      <c r="T177" s="15">
        <f>'VICENTE LOMBARDO'!$R177+'VICENTE LOMBARDO'!$S177</f>
        <v>6844</v>
      </c>
      <c r="U177" s="8"/>
      <c r="V177" s="15"/>
      <c r="W177" s="15"/>
    </row>
    <row r="178" ht="15.75" hidden="1" customHeight="1">
      <c r="A178" s="6">
        <v>28.0</v>
      </c>
      <c r="B178" s="6">
        <v>4.0</v>
      </c>
      <c r="C178" s="77">
        <v>336.0</v>
      </c>
      <c r="D178" s="9">
        <v>46211.0</v>
      </c>
      <c r="E178" s="8">
        <v>1.0</v>
      </c>
      <c r="F178" s="8" t="s">
        <v>157</v>
      </c>
      <c r="G178" s="8" t="s">
        <v>300</v>
      </c>
      <c r="H178" s="6">
        <v>14.0</v>
      </c>
      <c r="I178" s="67"/>
      <c r="J178" s="8" t="s">
        <v>114</v>
      </c>
      <c r="K178" s="35" t="s">
        <v>50</v>
      </c>
      <c r="L178" s="8" t="s">
        <v>383</v>
      </c>
      <c r="M178" s="8" t="s">
        <v>367</v>
      </c>
      <c r="N178" s="8" t="s">
        <v>189</v>
      </c>
      <c r="O178" s="8"/>
      <c r="P178" s="8" t="s">
        <v>306</v>
      </c>
      <c r="Q178" s="41">
        <v>5900.0</v>
      </c>
      <c r="R178" s="15">
        <f>'VICENTE LOMBARDO'!$Q178*'VICENTE LOMBARDO'!$E178</f>
        <v>5900</v>
      </c>
      <c r="S178" s="15">
        <f>'VICENTE LOMBARDO'!$R178*16%</f>
        <v>944</v>
      </c>
      <c r="T178" s="15">
        <f>'VICENTE LOMBARDO'!$R178+'VICENTE LOMBARDO'!$S178</f>
        <v>6844</v>
      </c>
      <c r="U178" s="8"/>
      <c r="V178" s="15"/>
      <c r="W178" s="15"/>
    </row>
    <row r="179" ht="15.75" hidden="1" customHeight="1">
      <c r="A179" s="6">
        <v>28.0</v>
      </c>
      <c r="B179" s="6">
        <v>5.0</v>
      </c>
      <c r="C179" s="77">
        <v>333.0</v>
      </c>
      <c r="D179" s="9">
        <v>46211.0</v>
      </c>
      <c r="E179" s="8">
        <v>1.0</v>
      </c>
      <c r="F179" s="8" t="s">
        <v>157</v>
      </c>
      <c r="G179" s="8" t="s">
        <v>386</v>
      </c>
      <c r="H179" s="6">
        <v>14.0</v>
      </c>
      <c r="I179" s="67"/>
      <c r="J179" s="8" t="s">
        <v>344</v>
      </c>
      <c r="K179" s="35" t="s">
        <v>50</v>
      </c>
      <c r="L179" s="8" t="s">
        <v>367</v>
      </c>
      <c r="M179" s="62" t="s">
        <v>387</v>
      </c>
      <c r="N179" s="8" t="s">
        <v>189</v>
      </c>
      <c r="O179" s="8"/>
      <c r="P179" s="8" t="s">
        <v>306</v>
      </c>
      <c r="Q179" s="41">
        <v>5900.0</v>
      </c>
      <c r="R179" s="15">
        <f>'VICENTE LOMBARDO'!$Q179*'VICENTE LOMBARDO'!$E179</f>
        <v>5900</v>
      </c>
      <c r="S179" s="15">
        <f>'VICENTE LOMBARDO'!$R179*16%</f>
        <v>944</v>
      </c>
      <c r="T179" s="15">
        <f>'VICENTE LOMBARDO'!$R179+'VICENTE LOMBARDO'!$S179</f>
        <v>6844</v>
      </c>
      <c r="U179" s="8"/>
      <c r="V179" s="15"/>
      <c r="W179" s="15"/>
    </row>
    <row r="180" ht="15.75" hidden="1" customHeight="1">
      <c r="A180" s="6">
        <v>28.0</v>
      </c>
      <c r="B180" s="6">
        <v>6.0</v>
      </c>
      <c r="C180" s="77">
        <v>337.0</v>
      </c>
      <c r="D180" s="9">
        <v>46211.0</v>
      </c>
      <c r="E180" s="8">
        <v>1.0</v>
      </c>
      <c r="F180" s="8" t="s">
        <v>157</v>
      </c>
      <c r="G180" s="8" t="s">
        <v>248</v>
      </c>
      <c r="H180" s="6">
        <v>14.0</v>
      </c>
      <c r="I180" s="67"/>
      <c r="J180" s="8" t="s">
        <v>146</v>
      </c>
      <c r="K180" s="35" t="s">
        <v>50</v>
      </c>
      <c r="L180" s="62" t="s">
        <v>387</v>
      </c>
      <c r="M180" s="62" t="s">
        <v>391</v>
      </c>
      <c r="N180" s="8" t="s">
        <v>189</v>
      </c>
      <c r="O180" s="8"/>
      <c r="P180" s="8" t="s">
        <v>306</v>
      </c>
      <c r="Q180" s="41">
        <v>5900.0</v>
      </c>
      <c r="R180" s="15">
        <f>'VICENTE LOMBARDO'!$Q180*'VICENTE LOMBARDO'!$E180</f>
        <v>5900</v>
      </c>
      <c r="S180" s="15">
        <f>'VICENTE LOMBARDO'!$R180*16%</f>
        <v>944</v>
      </c>
      <c r="T180" s="15">
        <f>'VICENTE LOMBARDO'!$R180+'VICENTE LOMBARDO'!$S180</f>
        <v>6844</v>
      </c>
      <c r="U180" s="8"/>
      <c r="V180" s="15"/>
      <c r="W180" s="15"/>
    </row>
    <row r="181" ht="15.75" hidden="1" customHeight="1">
      <c r="A181" s="6">
        <v>28.0</v>
      </c>
      <c r="B181" s="6">
        <v>7.0</v>
      </c>
      <c r="C181" s="77">
        <v>340.0</v>
      </c>
      <c r="D181" s="9">
        <v>46211.0</v>
      </c>
      <c r="E181" s="8">
        <v>1.0</v>
      </c>
      <c r="F181" s="8" t="s">
        <v>157</v>
      </c>
      <c r="G181" s="8" t="s">
        <v>251</v>
      </c>
      <c r="H181" s="6">
        <v>14.0</v>
      </c>
      <c r="I181" s="67"/>
      <c r="J181" s="8" t="s">
        <v>313</v>
      </c>
      <c r="K181" s="35" t="s">
        <v>50</v>
      </c>
      <c r="L181" s="62" t="s">
        <v>391</v>
      </c>
      <c r="M181" s="62" t="s">
        <v>393</v>
      </c>
      <c r="N181" s="8" t="s">
        <v>189</v>
      </c>
      <c r="O181" s="8"/>
      <c r="P181" s="8" t="s">
        <v>306</v>
      </c>
      <c r="Q181" s="41">
        <v>5900.0</v>
      </c>
      <c r="R181" s="15">
        <f>'VICENTE LOMBARDO'!$Q181*'VICENTE LOMBARDO'!$E181</f>
        <v>5900</v>
      </c>
      <c r="S181" s="15">
        <f>'VICENTE LOMBARDO'!$R181*16%</f>
        <v>944</v>
      </c>
      <c r="T181" s="15">
        <f>'VICENTE LOMBARDO'!$R181+'VICENTE LOMBARDO'!$S181</f>
        <v>6844</v>
      </c>
      <c r="U181" s="8"/>
      <c r="V181" s="15"/>
      <c r="W181" s="15"/>
    </row>
    <row r="182" ht="15.75" hidden="1" customHeight="1">
      <c r="A182" s="6">
        <v>28.0</v>
      </c>
      <c r="B182" s="6">
        <v>8.0</v>
      </c>
      <c r="C182" s="77">
        <v>338.0</v>
      </c>
      <c r="D182" s="9">
        <v>46211.0</v>
      </c>
      <c r="E182" s="8">
        <v>1.0</v>
      </c>
      <c r="F182" s="8" t="s">
        <v>157</v>
      </c>
      <c r="G182" s="8" t="s">
        <v>308</v>
      </c>
      <c r="H182" s="6">
        <v>14.0</v>
      </c>
      <c r="I182" s="67"/>
      <c r="J182" s="8" t="s">
        <v>309</v>
      </c>
      <c r="K182" s="35" t="s">
        <v>50</v>
      </c>
      <c r="L182" s="62" t="s">
        <v>393</v>
      </c>
      <c r="M182" s="62" t="s">
        <v>395</v>
      </c>
      <c r="N182" s="8" t="s">
        <v>189</v>
      </c>
      <c r="O182" s="8"/>
      <c r="P182" s="8" t="s">
        <v>306</v>
      </c>
      <c r="Q182" s="41">
        <v>5900.0</v>
      </c>
      <c r="R182" s="15">
        <f>'VICENTE LOMBARDO'!$Q182*'VICENTE LOMBARDO'!$E182</f>
        <v>5900</v>
      </c>
      <c r="S182" s="15">
        <f>'VICENTE LOMBARDO'!$R182*16%</f>
        <v>944</v>
      </c>
      <c r="T182" s="15">
        <f>'VICENTE LOMBARDO'!$R182+'VICENTE LOMBARDO'!$S182</f>
        <v>6844</v>
      </c>
      <c r="U182" s="8"/>
      <c r="V182" s="15"/>
      <c r="W182" s="15"/>
    </row>
    <row r="183" ht="15.75" hidden="1" customHeight="1">
      <c r="A183" s="6">
        <v>28.0</v>
      </c>
      <c r="B183" s="6">
        <v>9.0</v>
      </c>
      <c r="C183" s="77">
        <v>339.0</v>
      </c>
      <c r="D183" s="9">
        <v>46211.0</v>
      </c>
      <c r="E183" s="8">
        <v>1.0</v>
      </c>
      <c r="F183" s="8" t="s">
        <v>157</v>
      </c>
      <c r="G183" s="8" t="s">
        <v>357</v>
      </c>
      <c r="H183" s="6">
        <v>14.0</v>
      </c>
      <c r="I183" s="67"/>
      <c r="J183" s="8" t="s">
        <v>288</v>
      </c>
      <c r="K183" s="35" t="s">
        <v>50</v>
      </c>
      <c r="L183" s="62" t="s">
        <v>395</v>
      </c>
      <c r="M183" s="62" t="s">
        <v>375</v>
      </c>
      <c r="N183" s="8" t="s">
        <v>189</v>
      </c>
      <c r="O183" s="8"/>
      <c r="P183" s="8" t="s">
        <v>306</v>
      </c>
      <c r="Q183" s="41">
        <v>5900.0</v>
      </c>
      <c r="R183" s="15">
        <f>'VICENTE LOMBARDO'!$Q183*'VICENTE LOMBARDO'!$E183</f>
        <v>5900</v>
      </c>
      <c r="S183" s="15">
        <f>'VICENTE LOMBARDO'!$R183*16%</f>
        <v>944</v>
      </c>
      <c r="T183" s="15">
        <f>'VICENTE LOMBARDO'!$R183+'VICENTE LOMBARDO'!$S183</f>
        <v>6844</v>
      </c>
      <c r="U183" s="8"/>
      <c r="V183" s="15"/>
      <c r="W183" s="15"/>
    </row>
    <row r="184" ht="15.75" hidden="1" customHeight="1">
      <c r="A184" s="6">
        <v>28.0</v>
      </c>
      <c r="B184" s="6">
        <v>10.0</v>
      </c>
      <c r="C184" s="77">
        <v>341.0</v>
      </c>
      <c r="D184" s="9">
        <v>46211.0</v>
      </c>
      <c r="E184" s="8">
        <v>1.0</v>
      </c>
      <c r="F184" s="8" t="s">
        <v>157</v>
      </c>
      <c r="G184" s="8" t="s">
        <v>400</v>
      </c>
      <c r="H184" s="6">
        <v>14.0</v>
      </c>
      <c r="I184" s="67"/>
      <c r="J184" s="8" t="s">
        <v>401</v>
      </c>
      <c r="K184" s="35" t="s">
        <v>50</v>
      </c>
      <c r="L184" s="8" t="s">
        <v>375</v>
      </c>
      <c r="M184" s="8" t="s">
        <v>402</v>
      </c>
      <c r="N184" s="8" t="s">
        <v>189</v>
      </c>
      <c r="O184" s="8"/>
      <c r="P184" s="8" t="s">
        <v>306</v>
      </c>
      <c r="Q184" s="41">
        <v>5900.0</v>
      </c>
      <c r="R184" s="15">
        <f>'VICENTE LOMBARDO'!$Q184*'VICENTE LOMBARDO'!$E184</f>
        <v>5900</v>
      </c>
      <c r="S184" s="15">
        <f>'VICENTE LOMBARDO'!$R184*16%</f>
        <v>944</v>
      </c>
      <c r="T184" s="15">
        <f>'VICENTE LOMBARDO'!$R184+'VICENTE LOMBARDO'!$S184</f>
        <v>6844</v>
      </c>
      <c r="U184" s="8"/>
      <c r="V184" s="15"/>
      <c r="W184" s="15"/>
    </row>
    <row r="185" ht="15.75" hidden="1" customHeight="1">
      <c r="A185" s="6">
        <v>28.0</v>
      </c>
      <c r="B185" s="6"/>
      <c r="C185" s="78">
        <v>342.0</v>
      </c>
      <c r="D185" s="36">
        <v>46211.0</v>
      </c>
      <c r="E185" s="35">
        <v>1.0</v>
      </c>
      <c r="F185" s="35" t="s">
        <v>219</v>
      </c>
      <c r="G185" s="35" t="s">
        <v>404</v>
      </c>
      <c r="H185" s="34">
        <v>0.0</v>
      </c>
      <c r="I185" s="8"/>
      <c r="J185" s="35" t="s">
        <v>366</v>
      </c>
      <c r="K185" s="35" t="s">
        <v>50</v>
      </c>
      <c r="L185" s="62"/>
      <c r="M185" s="62"/>
      <c r="N185" s="62"/>
      <c r="O185" s="8"/>
      <c r="P185" s="8"/>
      <c r="Q185" s="41">
        <v>3750.0</v>
      </c>
      <c r="R185" s="15">
        <f>'VICENTE LOMBARDO'!$Q185*'VICENTE LOMBARDO'!$E185</f>
        <v>3750</v>
      </c>
      <c r="S185" s="15">
        <f>'VICENTE LOMBARDO'!$R185*16%</f>
        <v>600</v>
      </c>
      <c r="T185" s="15">
        <f>'VICENTE LOMBARDO'!$R185+'VICENTE LOMBARDO'!$S185</f>
        <v>4350</v>
      </c>
      <c r="U185" s="8"/>
      <c r="V185" s="15"/>
      <c r="W185" s="15"/>
    </row>
    <row r="186" ht="15.75" hidden="1" customHeight="1">
      <c r="A186" s="6">
        <v>28.0</v>
      </c>
      <c r="B186" s="6"/>
      <c r="C186" s="78">
        <v>343.0</v>
      </c>
      <c r="D186" s="36">
        <v>46211.0</v>
      </c>
      <c r="E186" s="35">
        <v>1.0</v>
      </c>
      <c r="F186" s="35" t="s">
        <v>219</v>
      </c>
      <c r="G186" s="35" t="s">
        <v>147</v>
      </c>
      <c r="H186" s="34">
        <v>0.0</v>
      </c>
      <c r="I186" s="8"/>
      <c r="J186" s="35" t="s">
        <v>150</v>
      </c>
      <c r="K186" s="35" t="s">
        <v>50</v>
      </c>
      <c r="L186" s="62"/>
      <c r="M186" s="62"/>
      <c r="N186" s="62"/>
      <c r="O186" s="8"/>
      <c r="P186" s="8"/>
      <c r="Q186" s="41">
        <v>3750.0</v>
      </c>
      <c r="R186" s="15">
        <f>'VICENTE LOMBARDO'!$Q186*'VICENTE LOMBARDO'!$E186</f>
        <v>3750</v>
      </c>
      <c r="S186" s="15">
        <f>'VICENTE LOMBARDO'!$R186*16%</f>
        <v>600</v>
      </c>
      <c r="T186" s="15">
        <f>'VICENTE LOMBARDO'!$R186+'VICENTE LOMBARDO'!$S186</f>
        <v>4350</v>
      </c>
      <c r="U186" s="8"/>
      <c r="V186" s="15"/>
      <c r="W186" s="15"/>
    </row>
    <row r="187" ht="15.75" hidden="1" customHeight="1">
      <c r="A187" s="6">
        <v>28.0</v>
      </c>
      <c r="B187" s="6"/>
      <c r="C187" s="78">
        <v>344.0</v>
      </c>
      <c r="D187" s="36">
        <v>46211.0</v>
      </c>
      <c r="E187" s="35">
        <v>1.0</v>
      </c>
      <c r="F187" s="35" t="s">
        <v>219</v>
      </c>
      <c r="G187" s="35" t="s">
        <v>121</v>
      </c>
      <c r="H187" s="34">
        <v>0.0</v>
      </c>
      <c r="I187" s="8"/>
      <c r="J187" s="35" t="s">
        <v>122</v>
      </c>
      <c r="K187" s="35" t="s">
        <v>50</v>
      </c>
      <c r="L187" s="62"/>
      <c r="M187" s="62"/>
      <c r="N187" s="62"/>
      <c r="O187" s="8"/>
      <c r="P187" s="8"/>
      <c r="Q187" s="41">
        <v>3750.0</v>
      </c>
      <c r="R187" s="15">
        <f>'VICENTE LOMBARDO'!$Q187*'VICENTE LOMBARDO'!$E187</f>
        <v>3750</v>
      </c>
      <c r="S187" s="15">
        <f>'VICENTE LOMBARDO'!$R187*16%</f>
        <v>600</v>
      </c>
      <c r="T187" s="15">
        <f>'VICENTE LOMBARDO'!$R187+'VICENTE LOMBARDO'!$S187</f>
        <v>4350</v>
      </c>
      <c r="U187" s="8"/>
      <c r="V187" s="15"/>
      <c r="W187" s="15"/>
    </row>
    <row r="188" ht="15.75" hidden="1" customHeight="1">
      <c r="A188" s="6">
        <v>28.0</v>
      </c>
      <c r="B188" s="6"/>
      <c r="C188" s="78">
        <v>345.0</v>
      </c>
      <c r="D188" s="36">
        <v>46211.0</v>
      </c>
      <c r="E188" s="35">
        <v>1.0</v>
      </c>
      <c r="F188" s="35" t="s">
        <v>219</v>
      </c>
      <c r="G188" s="35" t="s">
        <v>407</v>
      </c>
      <c r="H188" s="34">
        <v>0.0</v>
      </c>
      <c r="I188" s="8"/>
      <c r="J188" s="35" t="s">
        <v>408</v>
      </c>
      <c r="K188" s="35" t="s">
        <v>50</v>
      </c>
      <c r="L188" s="62"/>
      <c r="M188" s="62"/>
      <c r="N188" s="62"/>
      <c r="O188" s="8"/>
      <c r="P188" s="8"/>
      <c r="Q188" s="41">
        <v>3750.0</v>
      </c>
      <c r="R188" s="15">
        <f>'VICENTE LOMBARDO'!$Q188*'VICENTE LOMBARDO'!$E188</f>
        <v>3750</v>
      </c>
      <c r="S188" s="15">
        <f>'VICENTE LOMBARDO'!$R188*16%</f>
        <v>600</v>
      </c>
      <c r="T188" s="15">
        <f>'VICENTE LOMBARDO'!$R188+'VICENTE LOMBARDO'!$S188</f>
        <v>4350</v>
      </c>
      <c r="U188" s="8"/>
      <c r="V188" s="15"/>
      <c r="W188" s="15"/>
    </row>
    <row r="189" ht="15.75" hidden="1" customHeight="1">
      <c r="A189" s="6">
        <v>28.0</v>
      </c>
      <c r="B189" s="6"/>
      <c r="C189" s="78">
        <v>346.0</v>
      </c>
      <c r="D189" s="36">
        <v>46211.0</v>
      </c>
      <c r="E189" s="35">
        <v>1.0</v>
      </c>
      <c r="F189" s="35" t="s">
        <v>219</v>
      </c>
      <c r="G189" s="35" t="s">
        <v>410</v>
      </c>
      <c r="H189" s="34">
        <v>0.0</v>
      </c>
      <c r="I189" s="8"/>
      <c r="J189" s="35" t="s">
        <v>326</v>
      </c>
      <c r="K189" s="35" t="s">
        <v>50</v>
      </c>
      <c r="L189" s="62"/>
      <c r="M189" s="62"/>
      <c r="N189" s="62"/>
      <c r="O189" s="8"/>
      <c r="P189" s="8"/>
      <c r="Q189" s="41">
        <v>3750.0</v>
      </c>
      <c r="R189" s="15">
        <f>'VICENTE LOMBARDO'!$Q189*'VICENTE LOMBARDO'!$E189</f>
        <v>3750</v>
      </c>
      <c r="S189" s="15">
        <f>'VICENTE LOMBARDO'!$R189*16%</f>
        <v>600</v>
      </c>
      <c r="T189" s="15">
        <f>'VICENTE LOMBARDO'!$R189+'VICENTE LOMBARDO'!$S189</f>
        <v>4350</v>
      </c>
      <c r="U189" s="8"/>
      <c r="V189" s="15"/>
      <c r="W189" s="15"/>
    </row>
    <row r="190" ht="15.75" hidden="1" customHeight="1">
      <c r="A190" s="34">
        <v>29.0</v>
      </c>
      <c r="B190" s="34">
        <v>1.0</v>
      </c>
      <c r="C190" s="90">
        <v>666.0</v>
      </c>
      <c r="D190" s="91">
        <v>46217.0</v>
      </c>
      <c r="E190" s="92">
        <v>1.0</v>
      </c>
      <c r="F190" s="92" t="s">
        <v>157</v>
      </c>
      <c r="G190" s="92" t="s">
        <v>248</v>
      </c>
      <c r="H190" s="93">
        <v>14.0</v>
      </c>
      <c r="I190" s="94"/>
      <c r="J190" s="92" t="s">
        <v>146</v>
      </c>
      <c r="K190" s="35" t="s">
        <v>50</v>
      </c>
      <c r="L190" s="95" t="s">
        <v>411</v>
      </c>
      <c r="M190" s="95" t="s">
        <v>412</v>
      </c>
      <c r="N190" s="96" t="s">
        <v>189</v>
      </c>
      <c r="O190" s="8"/>
      <c r="P190" s="94"/>
      <c r="Q190" s="41">
        <v>5900.0</v>
      </c>
      <c r="R190" s="15">
        <f>'VICENTE LOMBARDO'!$Q190*'VICENTE LOMBARDO'!$E190</f>
        <v>5900</v>
      </c>
      <c r="S190" s="15">
        <f>'VICENTE LOMBARDO'!$R190*16%</f>
        <v>944</v>
      </c>
      <c r="T190" s="15">
        <f>'VICENTE LOMBARDO'!$R190+'VICENTE LOMBARDO'!$S190</f>
        <v>6844</v>
      </c>
      <c r="U190" s="8"/>
      <c r="V190" s="15"/>
      <c r="W190" s="15"/>
    </row>
    <row r="191" ht="15.75" hidden="1" customHeight="1">
      <c r="A191" s="34">
        <v>29.0</v>
      </c>
      <c r="B191" s="34">
        <v>2.0</v>
      </c>
      <c r="C191" s="90">
        <v>667.0</v>
      </c>
      <c r="D191" s="91">
        <v>46217.0</v>
      </c>
      <c r="E191" s="92">
        <v>1.0</v>
      </c>
      <c r="F191" s="92" t="s">
        <v>157</v>
      </c>
      <c r="G191" s="92" t="s">
        <v>413</v>
      </c>
      <c r="H191" s="93">
        <v>14.0</v>
      </c>
      <c r="I191" s="94"/>
      <c r="J191" s="92" t="s">
        <v>321</v>
      </c>
      <c r="K191" s="35" t="s">
        <v>50</v>
      </c>
      <c r="L191" s="95" t="s">
        <v>412</v>
      </c>
      <c r="M191" s="95" t="s">
        <v>414</v>
      </c>
      <c r="N191" s="96" t="s">
        <v>189</v>
      </c>
      <c r="O191" s="8"/>
      <c r="P191" s="94"/>
      <c r="Q191" s="41">
        <v>5900.0</v>
      </c>
      <c r="R191" s="15">
        <f>'VICENTE LOMBARDO'!$Q191*'VICENTE LOMBARDO'!$E191</f>
        <v>5900</v>
      </c>
      <c r="S191" s="15">
        <f>'VICENTE LOMBARDO'!$R191*16%</f>
        <v>944</v>
      </c>
      <c r="T191" s="15">
        <f>'VICENTE LOMBARDO'!$R191+'VICENTE LOMBARDO'!$S191</f>
        <v>6844</v>
      </c>
      <c r="U191" s="8"/>
      <c r="V191" s="15"/>
      <c r="W191" s="15"/>
    </row>
    <row r="192" ht="15.75" hidden="1" customHeight="1">
      <c r="A192" s="34">
        <v>29.0</v>
      </c>
      <c r="B192" s="34">
        <v>3.0</v>
      </c>
      <c r="C192" s="90">
        <v>668.0</v>
      </c>
      <c r="D192" s="91">
        <v>46217.0</v>
      </c>
      <c r="E192" s="92">
        <v>1.0</v>
      </c>
      <c r="F192" s="92" t="s">
        <v>157</v>
      </c>
      <c r="G192" s="92" t="s">
        <v>416</v>
      </c>
      <c r="H192" s="93">
        <v>14.0</v>
      </c>
      <c r="I192" s="94"/>
      <c r="J192" s="92" t="s">
        <v>417</v>
      </c>
      <c r="K192" s="35" t="s">
        <v>50</v>
      </c>
      <c r="L192" s="95" t="s">
        <v>418</v>
      </c>
      <c r="M192" s="95" t="s">
        <v>419</v>
      </c>
      <c r="N192" s="96" t="s">
        <v>189</v>
      </c>
      <c r="O192" s="8"/>
      <c r="P192" s="94"/>
      <c r="Q192" s="41">
        <v>5900.0</v>
      </c>
      <c r="R192" s="15">
        <f>'VICENTE LOMBARDO'!$Q192*'VICENTE LOMBARDO'!$E192</f>
        <v>5900</v>
      </c>
      <c r="S192" s="15">
        <f>'VICENTE LOMBARDO'!$R192*16%</f>
        <v>944</v>
      </c>
      <c r="T192" s="15">
        <f>'VICENTE LOMBARDO'!$R192+'VICENTE LOMBARDO'!$S192</f>
        <v>6844</v>
      </c>
      <c r="U192" s="8"/>
      <c r="V192" s="15"/>
      <c r="W192" s="15"/>
    </row>
    <row r="193" ht="15.75" hidden="1" customHeight="1">
      <c r="A193" s="34">
        <v>29.0</v>
      </c>
      <c r="B193" s="34">
        <v>4.0</v>
      </c>
      <c r="C193" s="90">
        <v>670.0</v>
      </c>
      <c r="D193" s="91">
        <v>46217.0</v>
      </c>
      <c r="E193" s="92">
        <v>1.0</v>
      </c>
      <c r="F193" s="92" t="s">
        <v>157</v>
      </c>
      <c r="G193" s="92" t="s">
        <v>201</v>
      </c>
      <c r="H193" s="93">
        <v>14.0</v>
      </c>
      <c r="I193" s="94"/>
      <c r="J193" s="92" t="s">
        <v>420</v>
      </c>
      <c r="K193" s="35" t="s">
        <v>50</v>
      </c>
      <c r="L193" s="95" t="s">
        <v>419</v>
      </c>
      <c r="M193" s="95" t="s">
        <v>421</v>
      </c>
      <c r="N193" s="96" t="s">
        <v>189</v>
      </c>
      <c r="O193" s="8"/>
      <c r="P193" s="94"/>
      <c r="Q193" s="41">
        <v>5900.0</v>
      </c>
      <c r="R193" s="15">
        <f>'VICENTE LOMBARDO'!$Q193*'VICENTE LOMBARDO'!$E193</f>
        <v>5900</v>
      </c>
      <c r="S193" s="15">
        <f>'VICENTE LOMBARDO'!$R193*16%</f>
        <v>944</v>
      </c>
      <c r="T193" s="15">
        <f>'VICENTE LOMBARDO'!$R193+'VICENTE LOMBARDO'!$S193</f>
        <v>6844</v>
      </c>
      <c r="U193" s="8"/>
      <c r="V193" s="15"/>
      <c r="W193" s="15"/>
    </row>
    <row r="194" ht="15.75" hidden="1" customHeight="1">
      <c r="A194" s="34">
        <v>29.0</v>
      </c>
      <c r="B194" s="34">
        <v>5.0</v>
      </c>
      <c r="C194" s="90">
        <v>669.0</v>
      </c>
      <c r="D194" s="91">
        <v>46217.0</v>
      </c>
      <c r="E194" s="92">
        <v>1.0</v>
      </c>
      <c r="F194" s="92" t="s">
        <v>157</v>
      </c>
      <c r="G194" s="92" t="s">
        <v>422</v>
      </c>
      <c r="H194" s="93">
        <v>14.0</v>
      </c>
      <c r="I194" s="94"/>
      <c r="J194" s="92" t="s">
        <v>344</v>
      </c>
      <c r="K194" s="35" t="s">
        <v>50</v>
      </c>
      <c r="L194" s="95" t="s">
        <v>421</v>
      </c>
      <c r="M194" s="95" t="s">
        <v>424</v>
      </c>
      <c r="N194" s="96" t="s">
        <v>189</v>
      </c>
      <c r="O194" s="8"/>
      <c r="P194" s="94"/>
      <c r="Q194" s="41">
        <v>5900.0</v>
      </c>
      <c r="R194" s="15">
        <f>'VICENTE LOMBARDO'!$Q194*'VICENTE LOMBARDO'!$E194</f>
        <v>5900</v>
      </c>
      <c r="S194" s="15">
        <f>'VICENTE LOMBARDO'!$R194*16%</f>
        <v>944</v>
      </c>
      <c r="T194" s="15">
        <f>'VICENTE LOMBARDO'!$R194+'VICENTE LOMBARDO'!$S194</f>
        <v>6844</v>
      </c>
      <c r="U194" s="8"/>
      <c r="V194" s="15"/>
      <c r="W194" s="15"/>
    </row>
    <row r="195" ht="15.75" hidden="1" customHeight="1">
      <c r="A195" s="34">
        <v>29.0</v>
      </c>
      <c r="B195" s="34">
        <v>6.0</v>
      </c>
      <c r="C195" s="90">
        <v>674.0</v>
      </c>
      <c r="D195" s="91">
        <v>46218.0</v>
      </c>
      <c r="E195" s="92">
        <v>1.0</v>
      </c>
      <c r="F195" s="92" t="s">
        <v>157</v>
      </c>
      <c r="G195" s="92" t="s">
        <v>427</v>
      </c>
      <c r="H195" s="93">
        <v>14.0</v>
      </c>
      <c r="I195" s="94"/>
      <c r="J195" s="92" t="s">
        <v>344</v>
      </c>
      <c r="K195" s="35" t="s">
        <v>50</v>
      </c>
      <c r="L195" s="95" t="s">
        <v>428</v>
      </c>
      <c r="M195" s="95" t="s">
        <v>429</v>
      </c>
      <c r="N195" s="96" t="s">
        <v>189</v>
      </c>
      <c r="O195" s="8"/>
      <c r="P195" s="92" t="s">
        <v>283</v>
      </c>
      <c r="Q195" s="41">
        <v>5900.0</v>
      </c>
      <c r="R195" s="15">
        <f>'VICENTE LOMBARDO'!$Q195*'VICENTE LOMBARDO'!$E195</f>
        <v>5900</v>
      </c>
      <c r="S195" s="15">
        <f>'VICENTE LOMBARDO'!$R195*16%</f>
        <v>944</v>
      </c>
      <c r="T195" s="15">
        <f>'VICENTE LOMBARDO'!$R195+'VICENTE LOMBARDO'!$S195</f>
        <v>6844</v>
      </c>
      <c r="U195" s="8"/>
      <c r="V195" s="15"/>
      <c r="W195" s="15"/>
    </row>
    <row r="196" ht="15.75" hidden="1" customHeight="1">
      <c r="A196" s="34">
        <v>29.0</v>
      </c>
      <c r="B196" s="34">
        <v>7.0</v>
      </c>
      <c r="C196" s="90">
        <v>675.0</v>
      </c>
      <c r="D196" s="91">
        <v>46218.0</v>
      </c>
      <c r="E196" s="92">
        <v>1.0</v>
      </c>
      <c r="F196" s="92" t="s">
        <v>157</v>
      </c>
      <c r="G196" s="92" t="s">
        <v>416</v>
      </c>
      <c r="H196" s="93">
        <v>14.0</v>
      </c>
      <c r="I196" s="94"/>
      <c r="J196" s="92" t="s">
        <v>326</v>
      </c>
      <c r="K196" s="35" t="s">
        <v>50</v>
      </c>
      <c r="L196" s="95" t="s">
        <v>429</v>
      </c>
      <c r="M196" s="95" t="s">
        <v>431</v>
      </c>
      <c r="N196" s="96" t="s">
        <v>189</v>
      </c>
      <c r="O196" s="8"/>
      <c r="P196" s="92" t="s">
        <v>283</v>
      </c>
      <c r="Q196" s="41">
        <v>5900.0</v>
      </c>
      <c r="R196" s="15">
        <f>'VICENTE LOMBARDO'!$Q196*'VICENTE LOMBARDO'!$E196</f>
        <v>5900</v>
      </c>
      <c r="S196" s="15">
        <f>'VICENTE LOMBARDO'!$R196*16%</f>
        <v>944</v>
      </c>
      <c r="T196" s="15">
        <f>'VICENTE LOMBARDO'!$R196+'VICENTE LOMBARDO'!$S196</f>
        <v>6844</v>
      </c>
      <c r="U196" s="8"/>
      <c r="V196" s="15"/>
      <c r="W196" s="15"/>
    </row>
    <row r="197" ht="15.75" hidden="1" customHeight="1">
      <c r="A197" s="34">
        <v>29.0</v>
      </c>
      <c r="B197" s="34">
        <v>8.0</v>
      </c>
      <c r="C197" s="90">
        <v>676.0</v>
      </c>
      <c r="D197" s="91">
        <v>46218.0</v>
      </c>
      <c r="E197" s="92">
        <v>1.0</v>
      </c>
      <c r="F197" s="92" t="s">
        <v>157</v>
      </c>
      <c r="G197" s="92" t="s">
        <v>201</v>
      </c>
      <c r="H197" s="93">
        <v>14.0</v>
      </c>
      <c r="I197" s="94"/>
      <c r="J197" s="92" t="s">
        <v>150</v>
      </c>
      <c r="K197" s="35" t="s">
        <v>50</v>
      </c>
      <c r="L197" s="95" t="s">
        <v>431</v>
      </c>
      <c r="M197" s="95" t="s">
        <v>432</v>
      </c>
      <c r="N197" s="96" t="s">
        <v>189</v>
      </c>
      <c r="O197" s="8"/>
      <c r="P197" s="92" t="s">
        <v>283</v>
      </c>
      <c r="Q197" s="41">
        <v>5900.0</v>
      </c>
      <c r="R197" s="15">
        <f>'VICENTE LOMBARDO'!$Q197*'VICENTE LOMBARDO'!$E197</f>
        <v>5900</v>
      </c>
      <c r="S197" s="15">
        <f>'VICENTE LOMBARDO'!$R197*16%</f>
        <v>944</v>
      </c>
      <c r="T197" s="15">
        <f>'VICENTE LOMBARDO'!$R197+'VICENTE LOMBARDO'!$S197</f>
        <v>6844</v>
      </c>
      <c r="U197" s="8"/>
      <c r="V197" s="15"/>
      <c r="W197" s="15"/>
    </row>
    <row r="198" ht="15.75" hidden="1" customHeight="1">
      <c r="A198" s="34">
        <v>29.0</v>
      </c>
      <c r="B198" s="34">
        <v>9.0</v>
      </c>
      <c r="C198" s="90">
        <v>677.0</v>
      </c>
      <c r="D198" s="91">
        <v>46218.0</v>
      </c>
      <c r="E198" s="92">
        <v>1.0</v>
      </c>
      <c r="F198" s="92" t="s">
        <v>157</v>
      </c>
      <c r="G198" s="92" t="s">
        <v>357</v>
      </c>
      <c r="H198" s="93">
        <v>14.0</v>
      </c>
      <c r="I198" s="94"/>
      <c r="J198" s="92" t="s">
        <v>288</v>
      </c>
      <c r="K198" s="35" t="s">
        <v>50</v>
      </c>
      <c r="L198" s="95" t="s">
        <v>432</v>
      </c>
      <c r="M198" s="95" t="s">
        <v>433</v>
      </c>
      <c r="N198" s="96" t="s">
        <v>189</v>
      </c>
      <c r="O198" s="8"/>
      <c r="P198" s="92" t="s">
        <v>283</v>
      </c>
      <c r="Q198" s="41">
        <v>5900.0</v>
      </c>
      <c r="R198" s="15">
        <f>'VICENTE LOMBARDO'!$Q198*'VICENTE LOMBARDO'!$E198</f>
        <v>5900</v>
      </c>
      <c r="S198" s="15">
        <f>'VICENTE LOMBARDO'!$R198*16%</f>
        <v>944</v>
      </c>
      <c r="T198" s="15">
        <f>'VICENTE LOMBARDO'!$R198+'VICENTE LOMBARDO'!$S198</f>
        <v>6844</v>
      </c>
      <c r="U198" s="8"/>
      <c r="V198" s="15"/>
      <c r="W198" s="15"/>
    </row>
    <row r="199" ht="15.75" hidden="1" customHeight="1">
      <c r="A199" s="34">
        <v>29.0</v>
      </c>
      <c r="B199" s="34">
        <v>10.0</v>
      </c>
      <c r="C199" s="90">
        <v>678.0</v>
      </c>
      <c r="D199" s="91">
        <v>46218.0</v>
      </c>
      <c r="E199" s="92">
        <v>1.0</v>
      </c>
      <c r="F199" s="92" t="s">
        <v>157</v>
      </c>
      <c r="G199" s="92" t="s">
        <v>300</v>
      </c>
      <c r="H199" s="93">
        <v>14.0</v>
      </c>
      <c r="I199" s="94"/>
      <c r="J199" s="92" t="s">
        <v>114</v>
      </c>
      <c r="K199" s="35" t="s">
        <v>50</v>
      </c>
      <c r="L199" s="95" t="s">
        <v>433</v>
      </c>
      <c r="M199" s="95" t="s">
        <v>434</v>
      </c>
      <c r="N199" s="96" t="s">
        <v>189</v>
      </c>
      <c r="O199" s="8"/>
      <c r="P199" s="92" t="s">
        <v>283</v>
      </c>
      <c r="Q199" s="41">
        <v>5900.0</v>
      </c>
      <c r="R199" s="15">
        <f>'VICENTE LOMBARDO'!$Q199*'VICENTE LOMBARDO'!$E199</f>
        <v>5900</v>
      </c>
      <c r="S199" s="15">
        <f>'VICENTE LOMBARDO'!$R199*16%</f>
        <v>944</v>
      </c>
      <c r="T199" s="15">
        <f>'VICENTE LOMBARDO'!$R199+'VICENTE LOMBARDO'!$S199</f>
        <v>6844</v>
      </c>
      <c r="U199" s="8"/>
      <c r="V199" s="15"/>
      <c r="W199" s="15"/>
    </row>
    <row r="200" ht="15.75" hidden="1" customHeight="1">
      <c r="A200" s="34">
        <v>29.0</v>
      </c>
      <c r="B200" s="34">
        <v>11.0</v>
      </c>
      <c r="C200" s="90">
        <v>679.0</v>
      </c>
      <c r="D200" s="91">
        <v>46218.0</v>
      </c>
      <c r="E200" s="92">
        <v>1.0</v>
      </c>
      <c r="F200" s="92" t="s">
        <v>157</v>
      </c>
      <c r="G200" s="92" t="s">
        <v>436</v>
      </c>
      <c r="H200" s="93">
        <v>14.0</v>
      </c>
      <c r="I200" s="94"/>
      <c r="J200" s="92" t="s">
        <v>318</v>
      </c>
      <c r="K200" s="35" t="s">
        <v>50</v>
      </c>
      <c r="L200" s="95" t="s">
        <v>434</v>
      </c>
      <c r="M200" s="95" t="s">
        <v>437</v>
      </c>
      <c r="N200" s="96" t="s">
        <v>189</v>
      </c>
      <c r="O200" s="8"/>
      <c r="P200" s="92" t="s">
        <v>283</v>
      </c>
      <c r="Q200" s="41">
        <v>5900.0</v>
      </c>
      <c r="R200" s="15">
        <f>'VICENTE LOMBARDO'!$Q200*'VICENTE LOMBARDO'!$E200</f>
        <v>5900</v>
      </c>
      <c r="S200" s="15">
        <f>'VICENTE LOMBARDO'!$R200*16%</f>
        <v>944</v>
      </c>
      <c r="T200" s="15">
        <f>'VICENTE LOMBARDO'!$R200+'VICENTE LOMBARDO'!$S200</f>
        <v>6844</v>
      </c>
      <c r="U200" s="8"/>
      <c r="V200" s="15"/>
      <c r="W200" s="15"/>
    </row>
    <row r="201" ht="15.75" hidden="1" customHeight="1">
      <c r="A201" s="34">
        <v>29.0</v>
      </c>
      <c r="B201" s="34">
        <v>12.0</v>
      </c>
      <c r="C201" s="90">
        <v>681.0</v>
      </c>
      <c r="D201" s="91">
        <v>46218.0</v>
      </c>
      <c r="E201" s="92">
        <v>1.0</v>
      </c>
      <c r="F201" s="92" t="s">
        <v>157</v>
      </c>
      <c r="G201" s="92" t="s">
        <v>251</v>
      </c>
      <c r="H201" s="93">
        <v>14.0</v>
      </c>
      <c r="I201" s="94"/>
      <c r="J201" s="92" t="s">
        <v>313</v>
      </c>
      <c r="K201" s="35" t="s">
        <v>50</v>
      </c>
      <c r="L201" s="95" t="s">
        <v>437</v>
      </c>
      <c r="M201" s="95" t="s">
        <v>439</v>
      </c>
      <c r="N201" s="96" t="s">
        <v>189</v>
      </c>
      <c r="O201" s="8"/>
      <c r="P201" s="92" t="s">
        <v>283</v>
      </c>
      <c r="Q201" s="41">
        <v>5900.0</v>
      </c>
      <c r="R201" s="15">
        <f>'VICENTE LOMBARDO'!$Q201*'VICENTE LOMBARDO'!$E201</f>
        <v>5900</v>
      </c>
      <c r="S201" s="15">
        <f>'VICENTE LOMBARDO'!$R201*16%</f>
        <v>944</v>
      </c>
      <c r="T201" s="15">
        <f>'VICENTE LOMBARDO'!$R201+'VICENTE LOMBARDO'!$S201</f>
        <v>6844</v>
      </c>
      <c r="U201" s="8"/>
      <c r="V201" s="15"/>
      <c r="W201" s="15"/>
    </row>
    <row r="202" ht="15.75" hidden="1" customHeight="1">
      <c r="A202" s="34">
        <v>29.0</v>
      </c>
      <c r="B202" s="34">
        <v>13.0</v>
      </c>
      <c r="C202" s="90">
        <v>680.0</v>
      </c>
      <c r="D202" s="91">
        <v>46218.0</v>
      </c>
      <c r="E202" s="92">
        <v>1.0</v>
      </c>
      <c r="F202" s="92" t="s">
        <v>157</v>
      </c>
      <c r="G202" s="92" t="s">
        <v>441</v>
      </c>
      <c r="H202" s="93">
        <v>14.0</v>
      </c>
      <c r="I202" s="94"/>
      <c r="J202" s="92" t="s">
        <v>150</v>
      </c>
      <c r="K202" s="35" t="s">
        <v>50</v>
      </c>
      <c r="L202" s="95" t="s">
        <v>439</v>
      </c>
      <c r="M202" s="95" t="s">
        <v>442</v>
      </c>
      <c r="N202" s="96" t="s">
        <v>189</v>
      </c>
      <c r="O202" s="8"/>
      <c r="P202" s="92" t="s">
        <v>283</v>
      </c>
      <c r="Q202" s="41">
        <v>5900.0</v>
      </c>
      <c r="R202" s="15">
        <f>'VICENTE LOMBARDO'!$Q202*'VICENTE LOMBARDO'!$E202</f>
        <v>5900</v>
      </c>
      <c r="S202" s="15">
        <f>'VICENTE LOMBARDO'!$R202*16%</f>
        <v>944</v>
      </c>
      <c r="T202" s="15">
        <f>'VICENTE LOMBARDO'!$R202+'VICENTE LOMBARDO'!$S202</f>
        <v>6844</v>
      </c>
      <c r="U202" s="8"/>
      <c r="V202" s="15"/>
      <c r="W202" s="15"/>
    </row>
    <row r="203" ht="15.75" hidden="1" customHeight="1">
      <c r="A203" s="34">
        <v>29.0</v>
      </c>
      <c r="B203" s="34">
        <v>14.0</v>
      </c>
      <c r="C203" s="90">
        <v>682.0</v>
      </c>
      <c r="D203" s="91">
        <v>46218.0</v>
      </c>
      <c r="E203" s="92">
        <v>1.0</v>
      </c>
      <c r="F203" s="92" t="s">
        <v>157</v>
      </c>
      <c r="G203" s="92" t="s">
        <v>444</v>
      </c>
      <c r="H203" s="93">
        <v>14.0</v>
      </c>
      <c r="I203" s="94"/>
      <c r="J203" s="92" t="s">
        <v>366</v>
      </c>
      <c r="K203" s="35" t="s">
        <v>50</v>
      </c>
      <c r="L203" s="95" t="s">
        <v>442</v>
      </c>
      <c r="M203" s="95" t="s">
        <v>445</v>
      </c>
      <c r="N203" s="96" t="s">
        <v>189</v>
      </c>
      <c r="O203" s="8"/>
      <c r="P203" s="92" t="s">
        <v>283</v>
      </c>
      <c r="Q203" s="41">
        <v>5900.0</v>
      </c>
      <c r="R203" s="15">
        <f>'VICENTE LOMBARDO'!$Q203*'VICENTE LOMBARDO'!$E203</f>
        <v>5900</v>
      </c>
      <c r="S203" s="15">
        <f>'VICENTE LOMBARDO'!$R203*16%</f>
        <v>944</v>
      </c>
      <c r="T203" s="15">
        <f>'VICENTE LOMBARDO'!$R203+'VICENTE LOMBARDO'!$S203</f>
        <v>6844</v>
      </c>
      <c r="U203" s="8"/>
      <c r="V203" s="15"/>
      <c r="W203" s="15"/>
    </row>
    <row r="204" ht="15.75" hidden="1" customHeight="1">
      <c r="A204" s="34">
        <v>29.0</v>
      </c>
      <c r="B204" s="34">
        <v>15.0</v>
      </c>
      <c r="C204" s="90">
        <v>683.0</v>
      </c>
      <c r="D204" s="91">
        <v>46218.0</v>
      </c>
      <c r="E204" s="92">
        <v>1.0</v>
      </c>
      <c r="F204" s="92" t="s">
        <v>157</v>
      </c>
      <c r="G204" s="92" t="s">
        <v>447</v>
      </c>
      <c r="H204" s="93">
        <v>14.0</v>
      </c>
      <c r="I204" s="94"/>
      <c r="J204" s="92" t="s">
        <v>122</v>
      </c>
      <c r="K204" s="35" t="s">
        <v>50</v>
      </c>
      <c r="L204" s="95" t="s">
        <v>445</v>
      </c>
      <c r="M204" s="95" t="s">
        <v>448</v>
      </c>
      <c r="N204" s="96" t="s">
        <v>189</v>
      </c>
      <c r="O204" s="8"/>
      <c r="P204" s="92" t="s">
        <v>283</v>
      </c>
      <c r="Q204" s="41">
        <v>5900.0</v>
      </c>
      <c r="R204" s="15">
        <f>'VICENTE LOMBARDO'!$Q204*'VICENTE LOMBARDO'!$E204</f>
        <v>5900</v>
      </c>
      <c r="S204" s="15">
        <f>'VICENTE LOMBARDO'!$R204*16%</f>
        <v>944</v>
      </c>
      <c r="T204" s="15">
        <f>'VICENTE LOMBARDO'!$R204+'VICENTE LOMBARDO'!$S204</f>
        <v>6844</v>
      </c>
      <c r="U204" s="8"/>
      <c r="V204" s="15"/>
      <c r="W204" s="15"/>
    </row>
    <row r="205" ht="15.75" hidden="1" customHeight="1">
      <c r="A205" s="34">
        <v>29.0</v>
      </c>
      <c r="B205" s="34">
        <v>16.0</v>
      </c>
      <c r="C205" s="90">
        <v>689.0</v>
      </c>
      <c r="D205" s="91">
        <v>46219.0</v>
      </c>
      <c r="E205" s="92">
        <v>1.0</v>
      </c>
      <c r="F205" s="92" t="s">
        <v>157</v>
      </c>
      <c r="G205" s="92" t="s">
        <v>320</v>
      </c>
      <c r="H205" s="93">
        <v>14.0</v>
      </c>
      <c r="I205" s="94"/>
      <c r="J205" s="92" t="s">
        <v>321</v>
      </c>
      <c r="K205" s="35" t="s">
        <v>50</v>
      </c>
      <c r="L205" s="95" t="s">
        <v>402</v>
      </c>
      <c r="M205" s="95" t="s">
        <v>450</v>
      </c>
      <c r="N205" s="96" t="s">
        <v>189</v>
      </c>
      <c r="O205" s="8"/>
      <c r="P205" s="94"/>
      <c r="Q205" s="41">
        <v>5900.0</v>
      </c>
      <c r="R205" s="15">
        <f>'VICENTE LOMBARDO'!$Q205*'VICENTE LOMBARDO'!$E205</f>
        <v>5900</v>
      </c>
      <c r="S205" s="15">
        <f>'VICENTE LOMBARDO'!$R205*16%</f>
        <v>944</v>
      </c>
      <c r="T205" s="15">
        <f>'VICENTE LOMBARDO'!$R205+'VICENTE LOMBARDO'!$S205</f>
        <v>6844</v>
      </c>
      <c r="U205" s="8"/>
      <c r="V205" s="15"/>
      <c r="W205" s="15"/>
    </row>
    <row r="206" ht="15.75" hidden="1" customHeight="1">
      <c r="A206" s="34">
        <v>29.0</v>
      </c>
      <c r="B206" s="34">
        <v>17.0</v>
      </c>
      <c r="C206" s="90">
        <v>690.0</v>
      </c>
      <c r="D206" s="91">
        <v>46219.0</v>
      </c>
      <c r="E206" s="92">
        <v>1.0</v>
      </c>
      <c r="F206" s="92" t="s">
        <v>157</v>
      </c>
      <c r="G206" s="92" t="s">
        <v>295</v>
      </c>
      <c r="H206" s="93">
        <v>14.0</v>
      </c>
      <c r="I206" s="94"/>
      <c r="J206" s="92" t="s">
        <v>118</v>
      </c>
      <c r="K206" s="35" t="s">
        <v>50</v>
      </c>
      <c r="L206" s="95" t="s">
        <v>450</v>
      </c>
      <c r="M206" s="95" t="s">
        <v>452</v>
      </c>
      <c r="N206" s="96" t="s">
        <v>189</v>
      </c>
      <c r="O206" s="8"/>
      <c r="P206" s="94"/>
      <c r="Q206" s="41">
        <v>5900.0</v>
      </c>
      <c r="R206" s="15">
        <f>'VICENTE LOMBARDO'!$Q206*'VICENTE LOMBARDO'!$E206</f>
        <v>5900</v>
      </c>
      <c r="S206" s="15">
        <f>'VICENTE LOMBARDO'!$R206*16%</f>
        <v>944</v>
      </c>
      <c r="T206" s="15">
        <f>'VICENTE LOMBARDO'!$R206+'VICENTE LOMBARDO'!$S206</f>
        <v>6844</v>
      </c>
      <c r="U206" s="8"/>
      <c r="V206" s="15"/>
      <c r="W206" s="15"/>
    </row>
    <row r="207" ht="15.75" hidden="1" customHeight="1">
      <c r="A207" s="34">
        <v>29.0</v>
      </c>
      <c r="B207" s="34">
        <v>18.0</v>
      </c>
      <c r="C207" s="90">
        <v>691.0</v>
      </c>
      <c r="D207" s="91">
        <v>46219.0</v>
      </c>
      <c r="E207" s="92">
        <v>1.0</v>
      </c>
      <c r="F207" s="92" t="s">
        <v>157</v>
      </c>
      <c r="G207" s="92" t="s">
        <v>300</v>
      </c>
      <c r="H207" s="93">
        <v>14.0</v>
      </c>
      <c r="I207" s="94"/>
      <c r="J207" s="92" t="s">
        <v>114</v>
      </c>
      <c r="K207" s="35" t="s">
        <v>50</v>
      </c>
      <c r="L207" s="95" t="s">
        <v>452</v>
      </c>
      <c r="M207" s="95" t="s">
        <v>455</v>
      </c>
      <c r="N207" s="96" t="s">
        <v>189</v>
      </c>
      <c r="O207" s="8"/>
      <c r="P207" s="94"/>
      <c r="Q207" s="41">
        <v>5900.0</v>
      </c>
      <c r="R207" s="15">
        <f>'VICENTE LOMBARDO'!$Q207*'VICENTE LOMBARDO'!$E207</f>
        <v>5900</v>
      </c>
      <c r="S207" s="15">
        <f>'VICENTE LOMBARDO'!$R207*16%</f>
        <v>944</v>
      </c>
      <c r="T207" s="15">
        <f>'VICENTE LOMBARDO'!$R207+'VICENTE LOMBARDO'!$S207</f>
        <v>6844</v>
      </c>
      <c r="U207" s="8"/>
      <c r="V207" s="15"/>
      <c r="W207" s="15"/>
    </row>
    <row r="208" ht="15.75" hidden="1" customHeight="1">
      <c r="A208" s="34">
        <v>29.0</v>
      </c>
      <c r="B208" s="34">
        <v>19.0</v>
      </c>
      <c r="C208" s="90">
        <v>692.0</v>
      </c>
      <c r="D208" s="91">
        <v>46219.0</v>
      </c>
      <c r="E208" s="92">
        <v>1.0</v>
      </c>
      <c r="F208" s="92" t="s">
        <v>157</v>
      </c>
      <c r="G208" s="92" t="s">
        <v>456</v>
      </c>
      <c r="H208" s="93">
        <v>14.0</v>
      </c>
      <c r="I208" s="94"/>
      <c r="J208" s="92" t="s">
        <v>197</v>
      </c>
      <c r="K208" s="35" t="s">
        <v>50</v>
      </c>
      <c r="L208" s="95" t="s">
        <v>455</v>
      </c>
      <c r="M208" s="95" t="s">
        <v>458</v>
      </c>
      <c r="N208" s="96" t="s">
        <v>189</v>
      </c>
      <c r="O208" s="8"/>
      <c r="P208" s="94"/>
      <c r="Q208" s="41">
        <v>5900.0</v>
      </c>
      <c r="R208" s="15">
        <f>'VICENTE LOMBARDO'!$Q208*'VICENTE LOMBARDO'!$E208</f>
        <v>5900</v>
      </c>
      <c r="S208" s="15">
        <f>'VICENTE LOMBARDO'!$R208*16%</f>
        <v>944</v>
      </c>
      <c r="T208" s="15">
        <f>'VICENTE LOMBARDO'!$R208+'VICENTE LOMBARDO'!$S208</f>
        <v>6844</v>
      </c>
      <c r="U208" s="8"/>
      <c r="V208" s="15"/>
      <c r="W208" s="15"/>
    </row>
    <row r="209" ht="15.75" hidden="1" customHeight="1">
      <c r="A209" s="34">
        <v>29.0</v>
      </c>
      <c r="B209" s="34">
        <v>20.0</v>
      </c>
      <c r="C209" s="90">
        <v>694.0</v>
      </c>
      <c r="D209" s="91">
        <v>46219.0</v>
      </c>
      <c r="E209" s="92">
        <v>1.0</v>
      </c>
      <c r="F209" s="92" t="s">
        <v>157</v>
      </c>
      <c r="G209" s="92" t="s">
        <v>368</v>
      </c>
      <c r="H209" s="93">
        <v>14.0</v>
      </c>
      <c r="I209" s="94"/>
      <c r="J209" s="92" t="s">
        <v>122</v>
      </c>
      <c r="K209" s="35" t="s">
        <v>50</v>
      </c>
      <c r="L209" s="95" t="s">
        <v>458</v>
      </c>
      <c r="M209" s="95" t="s">
        <v>460</v>
      </c>
      <c r="N209" s="96" t="s">
        <v>189</v>
      </c>
      <c r="O209" s="8"/>
      <c r="P209" s="94"/>
      <c r="Q209" s="41">
        <v>5900.0</v>
      </c>
      <c r="R209" s="15">
        <f>'VICENTE LOMBARDO'!$Q209*'VICENTE LOMBARDO'!$E209</f>
        <v>5900</v>
      </c>
      <c r="S209" s="15">
        <f>'VICENTE LOMBARDO'!$R209*16%</f>
        <v>944</v>
      </c>
      <c r="T209" s="15">
        <f>'VICENTE LOMBARDO'!$R209+'VICENTE LOMBARDO'!$S209</f>
        <v>6844</v>
      </c>
      <c r="U209" s="8"/>
      <c r="V209" s="15"/>
      <c r="W209" s="15"/>
    </row>
    <row r="210" ht="15.75" hidden="1" customHeight="1">
      <c r="A210" s="34">
        <v>29.0</v>
      </c>
      <c r="B210" s="34">
        <v>21.0</v>
      </c>
      <c r="C210" s="90">
        <v>693.0</v>
      </c>
      <c r="D210" s="91">
        <v>46219.0</v>
      </c>
      <c r="E210" s="92">
        <v>1.0</v>
      </c>
      <c r="F210" s="92" t="s">
        <v>157</v>
      </c>
      <c r="G210" s="92" t="s">
        <v>461</v>
      </c>
      <c r="H210" s="93">
        <v>14.0</v>
      </c>
      <c r="I210" s="94"/>
      <c r="J210" s="92" t="s">
        <v>208</v>
      </c>
      <c r="K210" s="35" t="s">
        <v>50</v>
      </c>
      <c r="L210" s="95" t="s">
        <v>460</v>
      </c>
      <c r="M210" s="95" t="s">
        <v>432</v>
      </c>
      <c r="N210" s="96" t="s">
        <v>189</v>
      </c>
      <c r="O210" s="8"/>
      <c r="P210" s="94"/>
      <c r="Q210" s="41">
        <v>5900.0</v>
      </c>
      <c r="R210" s="15">
        <f>'VICENTE LOMBARDO'!$Q210*'VICENTE LOMBARDO'!$E210</f>
        <v>5900</v>
      </c>
      <c r="S210" s="15">
        <f>'VICENTE LOMBARDO'!$R210*16%</f>
        <v>944</v>
      </c>
      <c r="T210" s="15">
        <f>'VICENTE LOMBARDO'!$R210+'VICENTE LOMBARDO'!$S210</f>
        <v>6844</v>
      </c>
      <c r="U210" s="8"/>
      <c r="V210" s="15"/>
      <c r="W210" s="15"/>
    </row>
    <row r="211" ht="15.75" hidden="1" customHeight="1">
      <c r="A211" s="34">
        <v>29.0</v>
      </c>
      <c r="B211" s="34">
        <v>22.0</v>
      </c>
      <c r="C211" s="90">
        <v>696.0</v>
      </c>
      <c r="D211" s="91">
        <v>46219.0</v>
      </c>
      <c r="E211" s="92">
        <v>1.0</v>
      </c>
      <c r="F211" s="92" t="s">
        <v>157</v>
      </c>
      <c r="G211" s="92" t="s">
        <v>251</v>
      </c>
      <c r="H211" s="93">
        <v>14.0</v>
      </c>
      <c r="I211" s="94"/>
      <c r="J211" s="92" t="s">
        <v>313</v>
      </c>
      <c r="K211" s="35" t="s">
        <v>50</v>
      </c>
      <c r="L211" s="95" t="s">
        <v>432</v>
      </c>
      <c r="M211" s="95" t="s">
        <v>464</v>
      </c>
      <c r="N211" s="96" t="s">
        <v>189</v>
      </c>
      <c r="O211" s="8"/>
      <c r="P211" s="94"/>
      <c r="Q211" s="41">
        <v>5900.0</v>
      </c>
      <c r="R211" s="15">
        <f>'VICENTE LOMBARDO'!$Q211*'VICENTE LOMBARDO'!$E211</f>
        <v>5900</v>
      </c>
      <c r="S211" s="15">
        <f>'VICENTE LOMBARDO'!$R211*16%</f>
        <v>944</v>
      </c>
      <c r="T211" s="15">
        <f>'VICENTE LOMBARDO'!$R211+'VICENTE LOMBARDO'!$S211</f>
        <v>6844</v>
      </c>
      <c r="U211" s="8"/>
      <c r="V211" s="15"/>
      <c r="W211" s="15"/>
    </row>
    <row r="212" ht="15.75" hidden="1" customHeight="1">
      <c r="A212" s="34">
        <v>29.0</v>
      </c>
      <c r="B212" s="34">
        <v>23.0</v>
      </c>
      <c r="C212" s="90">
        <v>695.0</v>
      </c>
      <c r="D212" s="91">
        <v>46219.0</v>
      </c>
      <c r="E212" s="92">
        <v>1.0</v>
      </c>
      <c r="F212" s="92" t="s">
        <v>157</v>
      </c>
      <c r="G212" s="92" t="s">
        <v>465</v>
      </c>
      <c r="H212" s="93">
        <v>14.0</v>
      </c>
      <c r="I212" s="94"/>
      <c r="J212" s="92" t="s">
        <v>467</v>
      </c>
      <c r="K212" s="35" t="s">
        <v>50</v>
      </c>
      <c r="L212" s="95" t="s">
        <v>464</v>
      </c>
      <c r="M212" s="95" t="s">
        <v>434</v>
      </c>
      <c r="N212" s="96" t="s">
        <v>189</v>
      </c>
      <c r="O212" s="8"/>
      <c r="P212" s="94"/>
      <c r="Q212" s="41">
        <v>5900.0</v>
      </c>
      <c r="R212" s="15">
        <f>'VICENTE LOMBARDO'!$Q212*'VICENTE LOMBARDO'!$E212</f>
        <v>5900</v>
      </c>
      <c r="S212" s="15">
        <f>'VICENTE LOMBARDO'!$R212*16%</f>
        <v>944</v>
      </c>
      <c r="T212" s="15">
        <f>'VICENTE LOMBARDO'!$R212+'VICENTE LOMBARDO'!$S212</f>
        <v>6844</v>
      </c>
      <c r="U212" s="8"/>
      <c r="V212" s="15"/>
      <c r="W212" s="15"/>
    </row>
    <row r="213" ht="15.75" hidden="1" customHeight="1">
      <c r="A213" s="34">
        <v>29.0</v>
      </c>
      <c r="B213" s="34">
        <v>24.0</v>
      </c>
      <c r="C213" s="90">
        <v>697.0</v>
      </c>
      <c r="D213" s="91">
        <v>46219.0</v>
      </c>
      <c r="E213" s="92">
        <v>1.0</v>
      </c>
      <c r="F213" s="92" t="s">
        <v>157</v>
      </c>
      <c r="G213" s="92" t="s">
        <v>468</v>
      </c>
      <c r="H213" s="93">
        <v>14.0</v>
      </c>
      <c r="I213" s="94"/>
      <c r="J213" s="92" t="s">
        <v>472</v>
      </c>
      <c r="K213" s="35" t="s">
        <v>50</v>
      </c>
      <c r="L213" s="95" t="s">
        <v>434</v>
      </c>
      <c r="M213" s="95" t="s">
        <v>473</v>
      </c>
      <c r="N213" s="96" t="s">
        <v>189</v>
      </c>
      <c r="O213" s="8"/>
      <c r="P213" s="94"/>
      <c r="Q213" s="41">
        <v>5900.0</v>
      </c>
      <c r="R213" s="15">
        <f>'VICENTE LOMBARDO'!$Q213*'VICENTE LOMBARDO'!$E213</f>
        <v>5900</v>
      </c>
      <c r="S213" s="15">
        <f>'VICENTE LOMBARDO'!$R213*16%</f>
        <v>944</v>
      </c>
      <c r="T213" s="15">
        <f>'VICENTE LOMBARDO'!$R213+'VICENTE LOMBARDO'!$S213</f>
        <v>6844</v>
      </c>
      <c r="U213" s="8"/>
      <c r="V213" s="15"/>
      <c r="W213" s="15"/>
    </row>
    <row r="214" ht="15.75" hidden="1" customHeight="1">
      <c r="A214" s="34">
        <v>29.0</v>
      </c>
      <c r="B214" s="34">
        <v>25.0</v>
      </c>
      <c r="C214" s="90">
        <v>698.0</v>
      </c>
      <c r="D214" s="91">
        <v>46219.0</v>
      </c>
      <c r="E214" s="92">
        <v>1.0</v>
      </c>
      <c r="F214" s="92" t="s">
        <v>157</v>
      </c>
      <c r="G214" s="92" t="s">
        <v>474</v>
      </c>
      <c r="H214" s="93">
        <v>14.0</v>
      </c>
      <c r="I214" s="94"/>
      <c r="J214" s="92" t="s">
        <v>476</v>
      </c>
      <c r="K214" s="35" t="s">
        <v>50</v>
      </c>
      <c r="L214" s="95" t="s">
        <v>473</v>
      </c>
      <c r="M214" s="95" t="s">
        <v>477</v>
      </c>
      <c r="N214" s="96" t="s">
        <v>189</v>
      </c>
      <c r="O214" s="8"/>
      <c r="P214" s="94"/>
      <c r="Q214" s="41">
        <v>5900.0</v>
      </c>
      <c r="R214" s="15">
        <f>'VICENTE LOMBARDO'!$Q214*'VICENTE LOMBARDO'!$E214</f>
        <v>5900</v>
      </c>
      <c r="S214" s="15">
        <f>'VICENTE LOMBARDO'!$R214*16%</f>
        <v>944</v>
      </c>
      <c r="T214" s="15">
        <f>'VICENTE LOMBARDO'!$R214+'VICENTE LOMBARDO'!$S214</f>
        <v>6844</v>
      </c>
      <c r="U214" s="8"/>
      <c r="V214" s="15"/>
      <c r="W214" s="15"/>
    </row>
    <row r="215" ht="15.75" hidden="1" customHeight="1">
      <c r="A215" s="34">
        <v>29.0</v>
      </c>
      <c r="B215" s="34">
        <v>26.0</v>
      </c>
      <c r="C215" s="90">
        <v>699.0</v>
      </c>
      <c r="D215" s="91">
        <v>46219.0</v>
      </c>
      <c r="E215" s="92">
        <v>1.0</v>
      </c>
      <c r="F215" s="92" t="s">
        <v>157</v>
      </c>
      <c r="G215" s="92" t="s">
        <v>480</v>
      </c>
      <c r="H215" s="93">
        <v>14.0</v>
      </c>
      <c r="I215" s="94"/>
      <c r="J215" s="92" t="s">
        <v>284</v>
      </c>
      <c r="K215" s="35" t="s">
        <v>50</v>
      </c>
      <c r="L215" s="95" t="s">
        <v>477</v>
      </c>
      <c r="M215" s="95" t="s">
        <v>481</v>
      </c>
      <c r="N215" s="96" t="s">
        <v>189</v>
      </c>
      <c r="O215" s="8"/>
      <c r="P215" s="94"/>
      <c r="Q215" s="41">
        <v>5900.0</v>
      </c>
      <c r="R215" s="15">
        <f>'VICENTE LOMBARDO'!$Q215*'VICENTE LOMBARDO'!$E215</f>
        <v>5900</v>
      </c>
      <c r="S215" s="15">
        <f>'VICENTE LOMBARDO'!$R215*16%</f>
        <v>944</v>
      </c>
      <c r="T215" s="15">
        <f>'VICENTE LOMBARDO'!$R215+'VICENTE LOMBARDO'!$S215</f>
        <v>6844</v>
      </c>
      <c r="U215" s="8"/>
      <c r="V215" s="15"/>
      <c r="W215" s="15"/>
    </row>
    <row r="216" ht="15.75" hidden="1" customHeight="1">
      <c r="A216" s="34">
        <v>29.0</v>
      </c>
      <c r="B216" s="34">
        <v>27.0</v>
      </c>
      <c r="C216" s="92">
        <v>700.0</v>
      </c>
      <c r="D216" s="91">
        <v>46219.0</v>
      </c>
      <c r="E216" s="92">
        <v>1.0</v>
      </c>
      <c r="F216" s="92" t="s">
        <v>157</v>
      </c>
      <c r="G216" s="92" t="s">
        <v>484</v>
      </c>
      <c r="H216" s="93">
        <v>14.0</v>
      </c>
      <c r="I216" s="94"/>
      <c r="J216" s="92" t="s">
        <v>485</v>
      </c>
      <c r="K216" s="92" t="s">
        <v>158</v>
      </c>
      <c r="L216" s="98" t="s">
        <v>481</v>
      </c>
      <c r="M216" s="95" t="s">
        <v>486</v>
      </c>
      <c r="N216" s="96" t="s">
        <v>189</v>
      </c>
      <c r="O216" s="8"/>
      <c r="P216" s="94"/>
      <c r="Q216" s="15"/>
      <c r="R216" s="15">
        <f>'VICENTE LOMBARDO'!$Q216*'VICENTE LOMBARDO'!$E216</f>
        <v>0</v>
      </c>
      <c r="S216" s="15">
        <f>'VICENTE LOMBARDO'!$R216*16%</f>
        <v>0</v>
      </c>
      <c r="T216" s="15">
        <f>'VICENTE LOMBARDO'!$R216+'VICENTE LOMBARDO'!$S216</f>
        <v>0</v>
      </c>
      <c r="U216" s="8"/>
      <c r="V216" s="15"/>
      <c r="W216" s="15"/>
    </row>
    <row r="217" ht="15.75" hidden="1" customHeight="1">
      <c r="A217" s="34">
        <v>29.0</v>
      </c>
      <c r="B217" s="34">
        <v>28.0</v>
      </c>
      <c r="C217" s="90">
        <v>701.0</v>
      </c>
      <c r="D217" s="91">
        <v>46219.0</v>
      </c>
      <c r="E217" s="92">
        <v>1.0</v>
      </c>
      <c r="F217" s="92" t="s">
        <v>157</v>
      </c>
      <c r="G217" s="92" t="s">
        <v>488</v>
      </c>
      <c r="H217" s="93">
        <v>14.0</v>
      </c>
      <c r="I217" s="94"/>
      <c r="J217" s="92" t="s">
        <v>195</v>
      </c>
      <c r="K217" s="35" t="s">
        <v>50</v>
      </c>
      <c r="L217" s="95" t="s">
        <v>486</v>
      </c>
      <c r="M217" s="96" t="s">
        <v>490</v>
      </c>
      <c r="N217" s="96" t="s">
        <v>189</v>
      </c>
      <c r="O217" s="8"/>
      <c r="P217" s="94"/>
      <c r="Q217" s="41">
        <v>5900.0</v>
      </c>
      <c r="R217" s="15">
        <f>'VICENTE LOMBARDO'!$Q217*'VICENTE LOMBARDO'!$E217</f>
        <v>5900</v>
      </c>
      <c r="S217" s="15">
        <f>'VICENTE LOMBARDO'!$R217*16%</f>
        <v>944</v>
      </c>
      <c r="T217" s="15">
        <f>'VICENTE LOMBARDO'!$R217+'VICENTE LOMBARDO'!$S217</f>
        <v>6844</v>
      </c>
      <c r="U217" s="8"/>
      <c r="V217" s="15"/>
      <c r="W217" s="15"/>
    </row>
    <row r="218" ht="15.75" hidden="1" customHeight="1">
      <c r="A218" s="34">
        <v>29.0</v>
      </c>
      <c r="B218" s="34">
        <v>29.0</v>
      </c>
      <c r="C218" s="90">
        <v>702.0</v>
      </c>
      <c r="D218" s="91">
        <v>46219.0</v>
      </c>
      <c r="E218" s="92">
        <v>1.0</v>
      </c>
      <c r="F218" s="92" t="s">
        <v>157</v>
      </c>
      <c r="G218" s="92" t="s">
        <v>201</v>
      </c>
      <c r="H218" s="93">
        <v>14.0</v>
      </c>
      <c r="I218" s="94"/>
      <c r="J218" s="92" t="s">
        <v>493</v>
      </c>
      <c r="K218" s="35" t="s">
        <v>50</v>
      </c>
      <c r="L218" s="96" t="s">
        <v>490</v>
      </c>
      <c r="M218" s="96" t="s">
        <v>494</v>
      </c>
      <c r="N218" s="96" t="s">
        <v>189</v>
      </c>
      <c r="O218" s="8"/>
      <c r="P218" s="94"/>
      <c r="Q218" s="41">
        <v>5900.0</v>
      </c>
      <c r="R218" s="15">
        <f>'VICENTE LOMBARDO'!$Q218*'VICENTE LOMBARDO'!$E218</f>
        <v>5900</v>
      </c>
      <c r="S218" s="15">
        <f>'VICENTE LOMBARDO'!$R218*16%</f>
        <v>944</v>
      </c>
      <c r="T218" s="15">
        <f>'VICENTE LOMBARDO'!$R218+'VICENTE LOMBARDO'!$S218</f>
        <v>6844</v>
      </c>
      <c r="U218" s="8"/>
      <c r="V218" s="15"/>
      <c r="W218" s="15"/>
    </row>
    <row r="219" ht="15.75" hidden="1" customHeight="1">
      <c r="A219" s="34">
        <v>29.0</v>
      </c>
      <c r="B219" s="34">
        <v>30.0</v>
      </c>
      <c r="C219" s="90">
        <v>703.0</v>
      </c>
      <c r="D219" s="91">
        <v>46219.0</v>
      </c>
      <c r="E219" s="92">
        <v>1.0</v>
      </c>
      <c r="F219" s="92" t="s">
        <v>157</v>
      </c>
      <c r="G219" s="92" t="s">
        <v>497</v>
      </c>
      <c r="H219" s="93">
        <v>14.0</v>
      </c>
      <c r="I219" s="94"/>
      <c r="J219" s="92" t="s">
        <v>498</v>
      </c>
      <c r="K219" s="35" t="s">
        <v>50</v>
      </c>
      <c r="L219" s="96" t="s">
        <v>494</v>
      </c>
      <c r="M219" s="96" t="s">
        <v>499</v>
      </c>
      <c r="N219" s="96" t="s">
        <v>189</v>
      </c>
      <c r="O219" s="8"/>
      <c r="P219" s="94"/>
      <c r="Q219" s="41">
        <v>5900.0</v>
      </c>
      <c r="R219" s="15">
        <f>'VICENTE LOMBARDO'!$Q219*'VICENTE LOMBARDO'!$E219</f>
        <v>5900</v>
      </c>
      <c r="S219" s="15">
        <f>'VICENTE LOMBARDO'!$R219*16%</f>
        <v>944</v>
      </c>
      <c r="T219" s="15">
        <f>'VICENTE LOMBARDO'!$R219+'VICENTE LOMBARDO'!$S219</f>
        <v>6844</v>
      </c>
      <c r="U219" s="8"/>
      <c r="V219" s="15"/>
      <c r="W219" s="15"/>
    </row>
    <row r="220" ht="15.75" hidden="1" customHeight="1">
      <c r="A220" s="34">
        <v>29.0</v>
      </c>
      <c r="B220" s="34">
        <v>31.0</v>
      </c>
      <c r="C220" s="99">
        <v>704.0</v>
      </c>
      <c r="D220" s="91">
        <v>46219.0</v>
      </c>
      <c r="E220" s="92">
        <v>1.0</v>
      </c>
      <c r="F220" s="92" t="s">
        <v>157</v>
      </c>
      <c r="G220" s="92" t="s">
        <v>162</v>
      </c>
      <c r="H220" s="93">
        <v>14.0</v>
      </c>
      <c r="I220" s="94"/>
      <c r="J220" s="92" t="s">
        <v>83</v>
      </c>
      <c r="K220" s="92" t="s">
        <v>502</v>
      </c>
      <c r="L220" s="95" t="s">
        <v>499</v>
      </c>
      <c r="M220" s="95" t="s">
        <v>503</v>
      </c>
      <c r="N220" s="96" t="s">
        <v>189</v>
      </c>
      <c r="O220" s="8"/>
      <c r="P220" s="94"/>
      <c r="Q220" s="41">
        <v>3705.0</v>
      </c>
      <c r="R220" s="15">
        <f>'VICENTE LOMBARDO'!$Q220*'VICENTE LOMBARDO'!$E220</f>
        <v>3705</v>
      </c>
      <c r="S220" s="15">
        <f>'VICENTE LOMBARDO'!$R220*16%</f>
        <v>592.8</v>
      </c>
      <c r="T220" s="15">
        <f>'VICENTE LOMBARDO'!$R220+'VICENTE LOMBARDO'!$S220</f>
        <v>4297.8</v>
      </c>
      <c r="U220" s="52" t="s">
        <v>504</v>
      </c>
      <c r="V220" s="15"/>
      <c r="W220" s="15"/>
    </row>
    <row r="221" ht="15.75" hidden="1" customHeight="1">
      <c r="A221" s="34">
        <v>29.0</v>
      </c>
      <c r="B221" s="34">
        <v>32.0</v>
      </c>
      <c r="C221" s="99">
        <v>705.0</v>
      </c>
      <c r="D221" s="91">
        <v>46219.0</v>
      </c>
      <c r="E221" s="92">
        <v>1.0</v>
      </c>
      <c r="F221" s="92" t="s">
        <v>157</v>
      </c>
      <c r="G221" s="92" t="s">
        <v>374</v>
      </c>
      <c r="H221" s="93">
        <v>14.0</v>
      </c>
      <c r="I221" s="94"/>
      <c r="J221" s="92" t="s">
        <v>81</v>
      </c>
      <c r="K221" s="92" t="s">
        <v>502</v>
      </c>
      <c r="L221" s="95" t="s">
        <v>503</v>
      </c>
      <c r="M221" s="95" t="s">
        <v>506</v>
      </c>
      <c r="N221" s="96" t="s">
        <v>189</v>
      </c>
      <c r="O221" s="8"/>
      <c r="P221" s="94"/>
      <c r="Q221" s="41">
        <v>3705.0</v>
      </c>
      <c r="R221" s="15">
        <f>'VICENTE LOMBARDO'!$Q221*'VICENTE LOMBARDO'!$E221</f>
        <v>3705</v>
      </c>
      <c r="S221" s="15">
        <f>'VICENTE LOMBARDO'!$R221*16%</f>
        <v>592.8</v>
      </c>
      <c r="T221" s="15">
        <f>'VICENTE LOMBARDO'!$R221+'VICENTE LOMBARDO'!$S221</f>
        <v>4297.8</v>
      </c>
      <c r="U221" s="52" t="s">
        <v>504</v>
      </c>
      <c r="V221" s="15"/>
      <c r="W221" s="15"/>
    </row>
    <row r="222" ht="15.75" hidden="1" customHeight="1">
      <c r="A222" s="34">
        <v>29.0</v>
      </c>
      <c r="B222" s="34">
        <v>33.0</v>
      </c>
      <c r="C222" s="99">
        <v>707.0</v>
      </c>
      <c r="D222" s="100">
        <v>46219.0</v>
      </c>
      <c r="E222" s="92">
        <v>1.0</v>
      </c>
      <c r="F222" s="92" t="s">
        <v>157</v>
      </c>
      <c r="G222" s="92" t="s">
        <v>508</v>
      </c>
      <c r="H222" s="93">
        <v>14.0</v>
      </c>
      <c r="I222" s="94"/>
      <c r="J222" s="92" t="s">
        <v>106</v>
      </c>
      <c r="K222" s="92" t="s">
        <v>502</v>
      </c>
      <c r="L222" s="101" t="s">
        <v>506</v>
      </c>
      <c r="M222" s="101" t="s">
        <v>509</v>
      </c>
      <c r="N222" s="92" t="s">
        <v>189</v>
      </c>
      <c r="O222" s="8"/>
      <c r="P222" s="94"/>
      <c r="Q222" s="41">
        <v>3705.0</v>
      </c>
      <c r="R222" s="15">
        <f>'VICENTE LOMBARDO'!$Q222*'VICENTE LOMBARDO'!$E222</f>
        <v>3705</v>
      </c>
      <c r="S222" s="15">
        <f>'VICENTE LOMBARDO'!$R222*16%</f>
        <v>592.8</v>
      </c>
      <c r="T222" s="15">
        <f>'VICENTE LOMBARDO'!$R222+'VICENTE LOMBARDO'!$S222</f>
        <v>4297.8</v>
      </c>
      <c r="U222" s="52" t="s">
        <v>504</v>
      </c>
      <c r="V222" s="15"/>
      <c r="W222" s="15"/>
    </row>
    <row r="223" ht="15.75" hidden="1" customHeight="1">
      <c r="A223" s="34">
        <v>29.0</v>
      </c>
      <c r="B223" s="34">
        <v>34.0</v>
      </c>
      <c r="C223" s="99">
        <v>706.0</v>
      </c>
      <c r="D223" s="100">
        <v>46219.0</v>
      </c>
      <c r="E223" s="92">
        <v>1.0</v>
      </c>
      <c r="F223" s="92" t="s">
        <v>157</v>
      </c>
      <c r="G223" s="92" t="s">
        <v>405</v>
      </c>
      <c r="H223" s="93">
        <v>14.0</v>
      </c>
      <c r="I223" s="94"/>
      <c r="J223" s="92" t="s">
        <v>216</v>
      </c>
      <c r="K223" s="92" t="s">
        <v>502</v>
      </c>
      <c r="L223" s="101" t="s">
        <v>509</v>
      </c>
      <c r="M223" s="101" t="s">
        <v>511</v>
      </c>
      <c r="N223" s="92" t="s">
        <v>189</v>
      </c>
      <c r="O223" s="8"/>
      <c r="P223" s="94"/>
      <c r="Q223" s="41">
        <v>3705.0</v>
      </c>
      <c r="R223" s="15">
        <f>'VICENTE LOMBARDO'!$Q223*'VICENTE LOMBARDO'!$E223</f>
        <v>3705</v>
      </c>
      <c r="S223" s="15">
        <f>'VICENTE LOMBARDO'!$R223*16%</f>
        <v>592.8</v>
      </c>
      <c r="T223" s="15">
        <f>'VICENTE LOMBARDO'!$R223+'VICENTE LOMBARDO'!$S223</f>
        <v>4297.8</v>
      </c>
      <c r="U223" s="52" t="s">
        <v>504</v>
      </c>
      <c r="V223" s="15"/>
      <c r="W223" s="15"/>
    </row>
    <row r="224" ht="15.75" hidden="1" customHeight="1">
      <c r="A224" s="34">
        <v>29.0</v>
      </c>
      <c r="B224" s="34">
        <v>35.0</v>
      </c>
      <c r="C224" s="90">
        <v>708.0</v>
      </c>
      <c r="D224" s="100">
        <v>46219.0</v>
      </c>
      <c r="E224" s="92">
        <v>1.0</v>
      </c>
      <c r="F224" s="92" t="s">
        <v>157</v>
      </c>
      <c r="G224" s="92" t="s">
        <v>295</v>
      </c>
      <c r="H224" s="93">
        <v>14.0</v>
      </c>
      <c r="I224" s="94"/>
      <c r="J224" s="92" t="s">
        <v>118</v>
      </c>
      <c r="K224" s="35" t="s">
        <v>50</v>
      </c>
      <c r="L224" s="93" t="s">
        <v>511</v>
      </c>
      <c r="M224" s="93" t="s">
        <v>515</v>
      </c>
      <c r="N224" s="92" t="s">
        <v>189</v>
      </c>
      <c r="O224" s="8"/>
      <c r="P224" s="94"/>
      <c r="Q224" s="41">
        <v>5900.0</v>
      </c>
      <c r="R224" s="15">
        <f>'VICENTE LOMBARDO'!$Q224*'VICENTE LOMBARDO'!$E224</f>
        <v>5900</v>
      </c>
      <c r="S224" s="15">
        <f>'VICENTE LOMBARDO'!$R224*16%</f>
        <v>944</v>
      </c>
      <c r="T224" s="15">
        <f>'VICENTE LOMBARDO'!$R224+'VICENTE LOMBARDO'!$S224</f>
        <v>6844</v>
      </c>
      <c r="U224" s="102"/>
      <c r="V224" s="102"/>
      <c r="W224" s="102"/>
      <c r="X224" s="103"/>
      <c r="Y224" s="103"/>
      <c r="Z224" s="103"/>
    </row>
    <row r="225" ht="15.75" hidden="1" customHeight="1">
      <c r="A225" s="34">
        <v>29.0</v>
      </c>
      <c r="B225" s="34">
        <v>36.0</v>
      </c>
      <c r="C225" s="90">
        <v>709.0</v>
      </c>
      <c r="D225" s="100">
        <v>46219.0</v>
      </c>
      <c r="E225" s="92">
        <v>1.0</v>
      </c>
      <c r="F225" s="92" t="s">
        <v>157</v>
      </c>
      <c r="G225" s="92" t="s">
        <v>517</v>
      </c>
      <c r="H225" s="93">
        <v>14.0</v>
      </c>
      <c r="I225" s="94"/>
      <c r="J225" s="92" t="s">
        <v>114</v>
      </c>
      <c r="K225" s="35" t="s">
        <v>50</v>
      </c>
      <c r="L225" s="93" t="s">
        <v>515</v>
      </c>
      <c r="M225" s="93" t="s">
        <v>519</v>
      </c>
      <c r="N225" s="92" t="s">
        <v>189</v>
      </c>
      <c r="O225" s="8"/>
      <c r="P225" s="94"/>
      <c r="Q225" s="41">
        <v>5900.0</v>
      </c>
      <c r="R225" s="15">
        <f>'VICENTE LOMBARDO'!$Q225*'VICENTE LOMBARDO'!$E225</f>
        <v>5900</v>
      </c>
      <c r="S225" s="15">
        <f>'VICENTE LOMBARDO'!$R225*16%</f>
        <v>944</v>
      </c>
      <c r="T225" s="15">
        <f>'VICENTE LOMBARDO'!$R225+'VICENTE LOMBARDO'!$S225</f>
        <v>6844</v>
      </c>
      <c r="U225" s="104"/>
      <c r="V225" s="104"/>
      <c r="W225" s="104"/>
    </row>
    <row r="226" ht="15.75" hidden="1" customHeight="1">
      <c r="A226" s="34">
        <v>29.0</v>
      </c>
      <c r="B226" s="34">
        <v>37.0</v>
      </c>
      <c r="C226" s="90">
        <v>711.0</v>
      </c>
      <c r="D226" s="100">
        <v>46219.0</v>
      </c>
      <c r="E226" s="92">
        <v>1.0</v>
      </c>
      <c r="F226" s="92" t="s">
        <v>157</v>
      </c>
      <c r="G226" s="92" t="s">
        <v>456</v>
      </c>
      <c r="H226" s="93">
        <v>14.0</v>
      </c>
      <c r="I226" s="94"/>
      <c r="J226" s="92" t="s">
        <v>197</v>
      </c>
      <c r="K226" s="35" t="s">
        <v>50</v>
      </c>
      <c r="L226" s="93" t="s">
        <v>519</v>
      </c>
      <c r="M226" s="93" t="s">
        <v>521</v>
      </c>
      <c r="N226" s="92" t="s">
        <v>189</v>
      </c>
      <c r="O226" s="8"/>
      <c r="P226" s="94"/>
      <c r="Q226" s="41">
        <v>5900.0</v>
      </c>
      <c r="R226" s="15">
        <f>'VICENTE LOMBARDO'!$Q226*'VICENTE LOMBARDO'!$E226</f>
        <v>5900</v>
      </c>
      <c r="S226" s="15">
        <f>'VICENTE LOMBARDO'!$R226*16%</f>
        <v>944</v>
      </c>
      <c r="T226" s="15">
        <f>'VICENTE LOMBARDO'!$R226+'VICENTE LOMBARDO'!$S226</f>
        <v>6844</v>
      </c>
      <c r="U226" s="104"/>
      <c r="V226" s="104"/>
      <c r="W226" s="104"/>
    </row>
    <row r="227" ht="15.75" hidden="1" customHeight="1">
      <c r="A227" s="34">
        <v>29.0</v>
      </c>
      <c r="B227" s="34">
        <v>38.0</v>
      </c>
      <c r="C227" s="90">
        <v>710.0</v>
      </c>
      <c r="D227" s="100">
        <v>46219.0</v>
      </c>
      <c r="E227" s="92">
        <v>1.0</v>
      </c>
      <c r="F227" s="92" t="s">
        <v>157</v>
      </c>
      <c r="G227" s="92" t="s">
        <v>320</v>
      </c>
      <c r="H227" s="93">
        <v>14.0</v>
      </c>
      <c r="I227" s="94"/>
      <c r="J227" s="92" t="s">
        <v>321</v>
      </c>
      <c r="K227" s="35" t="s">
        <v>50</v>
      </c>
      <c r="L227" s="93" t="s">
        <v>521</v>
      </c>
      <c r="M227" s="93" t="s">
        <v>525</v>
      </c>
      <c r="N227" s="92" t="s">
        <v>189</v>
      </c>
      <c r="O227" s="8"/>
      <c r="P227" s="94"/>
      <c r="Q227" s="41">
        <v>5900.0</v>
      </c>
      <c r="R227" s="15">
        <f>'VICENTE LOMBARDO'!$Q227*'VICENTE LOMBARDO'!$E227</f>
        <v>5900</v>
      </c>
      <c r="S227" s="15">
        <f>'VICENTE LOMBARDO'!$R227*16%</f>
        <v>944</v>
      </c>
      <c r="T227" s="15">
        <f>'VICENTE LOMBARDO'!$R227+'VICENTE LOMBARDO'!$S227</f>
        <v>6844</v>
      </c>
      <c r="U227" s="104"/>
      <c r="V227" s="104"/>
      <c r="W227" s="104"/>
    </row>
    <row r="228" ht="15.75" hidden="1" customHeight="1">
      <c r="A228" s="34">
        <v>29.0</v>
      </c>
      <c r="B228" s="34">
        <v>39.0</v>
      </c>
      <c r="C228" s="90">
        <v>712.0</v>
      </c>
      <c r="D228" s="100">
        <v>46219.0</v>
      </c>
      <c r="E228" s="92">
        <v>1.0</v>
      </c>
      <c r="F228" s="92" t="s">
        <v>157</v>
      </c>
      <c r="G228" s="92" t="s">
        <v>368</v>
      </c>
      <c r="H228" s="93">
        <v>14.0</v>
      </c>
      <c r="I228" s="94"/>
      <c r="J228" s="92" t="s">
        <v>122</v>
      </c>
      <c r="K228" s="35" t="s">
        <v>50</v>
      </c>
      <c r="L228" s="93" t="s">
        <v>525</v>
      </c>
      <c r="M228" s="93" t="s">
        <v>529</v>
      </c>
      <c r="N228" s="92" t="s">
        <v>189</v>
      </c>
      <c r="O228" s="8"/>
      <c r="P228" s="94"/>
      <c r="Q228" s="41">
        <v>5900.0</v>
      </c>
      <c r="R228" s="15">
        <f>'VICENTE LOMBARDO'!$Q228*'VICENTE LOMBARDO'!$E228</f>
        <v>5900</v>
      </c>
      <c r="S228" s="15">
        <f>'VICENTE LOMBARDO'!$R228*16%</f>
        <v>944</v>
      </c>
      <c r="T228" s="15">
        <f>'VICENTE LOMBARDO'!$R228+'VICENTE LOMBARDO'!$S228</f>
        <v>6844</v>
      </c>
      <c r="U228" s="104"/>
      <c r="V228" s="104"/>
      <c r="W228" s="104"/>
    </row>
    <row r="229" ht="15.75" hidden="1" customHeight="1">
      <c r="A229" s="34">
        <v>29.0</v>
      </c>
      <c r="B229" s="34">
        <v>40.0</v>
      </c>
      <c r="C229" s="90">
        <v>713.0</v>
      </c>
      <c r="D229" s="100">
        <v>46219.0</v>
      </c>
      <c r="E229" s="92">
        <v>1.0</v>
      </c>
      <c r="F229" s="92" t="s">
        <v>157</v>
      </c>
      <c r="G229" s="92" t="s">
        <v>461</v>
      </c>
      <c r="H229" s="93">
        <v>14.0</v>
      </c>
      <c r="I229" s="94"/>
      <c r="J229" s="92" t="s">
        <v>208</v>
      </c>
      <c r="K229" s="35" t="s">
        <v>50</v>
      </c>
      <c r="L229" s="93" t="s">
        <v>530</v>
      </c>
      <c r="M229" s="93" t="s">
        <v>531</v>
      </c>
      <c r="N229" s="92" t="s">
        <v>189</v>
      </c>
      <c r="O229" s="8"/>
      <c r="P229" s="94"/>
      <c r="Q229" s="41">
        <v>5900.0</v>
      </c>
      <c r="R229" s="15">
        <f>'VICENTE LOMBARDO'!$Q229*'VICENTE LOMBARDO'!$E229</f>
        <v>5900</v>
      </c>
      <c r="S229" s="15">
        <f>'VICENTE LOMBARDO'!$R229*16%</f>
        <v>944</v>
      </c>
      <c r="T229" s="15">
        <f>'VICENTE LOMBARDO'!$R229+'VICENTE LOMBARDO'!$S229</f>
        <v>6844</v>
      </c>
      <c r="U229" s="104"/>
      <c r="V229" s="104"/>
      <c r="W229" s="104"/>
    </row>
    <row r="230" ht="15.75" hidden="1" customHeight="1">
      <c r="A230" s="34">
        <v>29.0</v>
      </c>
      <c r="B230" s="34">
        <v>41.0</v>
      </c>
      <c r="C230" s="90">
        <v>715.0</v>
      </c>
      <c r="D230" s="100">
        <v>46220.0</v>
      </c>
      <c r="E230" s="92">
        <v>1.0</v>
      </c>
      <c r="F230" s="92" t="s">
        <v>157</v>
      </c>
      <c r="G230" s="92" t="s">
        <v>533</v>
      </c>
      <c r="H230" s="93">
        <v>14.0</v>
      </c>
      <c r="I230" s="94"/>
      <c r="J230" s="92" t="s">
        <v>534</v>
      </c>
      <c r="K230" s="35" t="s">
        <v>50</v>
      </c>
      <c r="L230" s="93" t="s">
        <v>490</v>
      </c>
      <c r="M230" s="93" t="s">
        <v>535</v>
      </c>
      <c r="N230" s="92" t="s">
        <v>189</v>
      </c>
      <c r="O230" s="8"/>
      <c r="P230" s="94"/>
      <c r="Q230" s="41">
        <v>5900.0</v>
      </c>
      <c r="R230" s="15">
        <f>'VICENTE LOMBARDO'!$Q230*'VICENTE LOMBARDO'!$E230</f>
        <v>5900</v>
      </c>
      <c r="S230" s="15">
        <f>'VICENTE LOMBARDO'!$R230*16%</f>
        <v>944</v>
      </c>
      <c r="T230" s="15">
        <f>'VICENTE LOMBARDO'!$R230+'VICENTE LOMBARDO'!$S230</f>
        <v>6844</v>
      </c>
      <c r="U230" s="104"/>
      <c r="V230" s="104"/>
      <c r="W230" s="104"/>
    </row>
    <row r="231" ht="15.75" hidden="1" customHeight="1">
      <c r="A231" s="34">
        <v>29.0</v>
      </c>
      <c r="B231" s="34">
        <v>42.0</v>
      </c>
      <c r="C231" s="90">
        <v>714.0</v>
      </c>
      <c r="D231" s="100">
        <v>46220.0</v>
      </c>
      <c r="E231" s="92">
        <v>1.0</v>
      </c>
      <c r="F231" s="92" t="s">
        <v>157</v>
      </c>
      <c r="G231" s="92" t="s">
        <v>480</v>
      </c>
      <c r="H231" s="93">
        <v>14.0</v>
      </c>
      <c r="I231" s="94"/>
      <c r="J231" s="92" t="s">
        <v>284</v>
      </c>
      <c r="K231" s="35" t="s">
        <v>50</v>
      </c>
      <c r="L231" s="93" t="s">
        <v>535</v>
      </c>
      <c r="M231" s="93" t="s">
        <v>539</v>
      </c>
      <c r="N231" s="92" t="s">
        <v>189</v>
      </c>
      <c r="O231" s="8"/>
      <c r="P231" s="94"/>
      <c r="Q231" s="41">
        <v>5900.0</v>
      </c>
      <c r="R231" s="15">
        <f>'VICENTE LOMBARDO'!$Q231*'VICENTE LOMBARDO'!$E231</f>
        <v>5900</v>
      </c>
      <c r="S231" s="15">
        <f>'VICENTE LOMBARDO'!$R231*16%</f>
        <v>944</v>
      </c>
      <c r="T231" s="15">
        <f>'VICENTE LOMBARDO'!$R231+'VICENTE LOMBARDO'!$S231</f>
        <v>6844</v>
      </c>
      <c r="U231" s="104"/>
      <c r="V231" s="104"/>
      <c r="W231" s="104"/>
    </row>
    <row r="232" ht="15.75" hidden="1" customHeight="1">
      <c r="A232" s="34">
        <v>29.0</v>
      </c>
      <c r="B232" s="34">
        <v>43.0</v>
      </c>
      <c r="C232" s="90">
        <v>717.0</v>
      </c>
      <c r="D232" s="100">
        <v>46220.0</v>
      </c>
      <c r="E232" s="92">
        <v>1.0</v>
      </c>
      <c r="F232" s="92" t="s">
        <v>157</v>
      </c>
      <c r="G232" s="92" t="s">
        <v>542</v>
      </c>
      <c r="H232" s="93">
        <v>14.0</v>
      </c>
      <c r="I232" s="94"/>
      <c r="J232" s="92" t="s">
        <v>543</v>
      </c>
      <c r="K232" s="35" t="s">
        <v>50</v>
      </c>
      <c r="L232" s="93" t="s">
        <v>539</v>
      </c>
      <c r="M232" s="93" t="s">
        <v>503</v>
      </c>
      <c r="N232" s="92" t="s">
        <v>189</v>
      </c>
      <c r="O232" s="8"/>
      <c r="P232" s="94"/>
      <c r="Q232" s="41">
        <v>5900.0</v>
      </c>
      <c r="R232" s="15">
        <f>'VICENTE LOMBARDO'!$Q232*'VICENTE LOMBARDO'!$E232</f>
        <v>5900</v>
      </c>
      <c r="S232" s="15">
        <f>'VICENTE LOMBARDO'!$R232*16%</f>
        <v>944</v>
      </c>
      <c r="T232" s="15">
        <f>'VICENTE LOMBARDO'!$R232+'VICENTE LOMBARDO'!$S232</f>
        <v>6844</v>
      </c>
      <c r="U232" s="104"/>
      <c r="V232" s="104"/>
      <c r="W232" s="104"/>
    </row>
    <row r="233" ht="15.75" hidden="1" customHeight="1">
      <c r="A233" s="34">
        <v>29.0</v>
      </c>
      <c r="B233" s="34">
        <v>44.0</v>
      </c>
      <c r="C233" s="90">
        <v>716.0</v>
      </c>
      <c r="D233" s="100">
        <v>46220.0</v>
      </c>
      <c r="E233" s="92">
        <v>1.0</v>
      </c>
      <c r="F233" s="92" t="s">
        <v>157</v>
      </c>
      <c r="G233" s="92" t="s">
        <v>320</v>
      </c>
      <c r="H233" s="93">
        <v>14.0</v>
      </c>
      <c r="I233" s="94"/>
      <c r="J233" s="92" t="s">
        <v>321</v>
      </c>
      <c r="K233" s="35" t="s">
        <v>50</v>
      </c>
      <c r="L233" s="93" t="s">
        <v>503</v>
      </c>
      <c r="M233" s="93" t="s">
        <v>506</v>
      </c>
      <c r="N233" s="92" t="s">
        <v>189</v>
      </c>
      <c r="O233" s="8"/>
      <c r="P233" s="94"/>
      <c r="Q233" s="41">
        <v>5900.0</v>
      </c>
      <c r="R233" s="15">
        <f>'VICENTE LOMBARDO'!$Q233*'VICENTE LOMBARDO'!$E233</f>
        <v>5900</v>
      </c>
      <c r="S233" s="15">
        <f>'VICENTE LOMBARDO'!$R233*16%</f>
        <v>944</v>
      </c>
      <c r="T233" s="15">
        <f>'VICENTE LOMBARDO'!$R233+'VICENTE LOMBARDO'!$S233</f>
        <v>6844</v>
      </c>
      <c r="U233" s="104"/>
      <c r="V233" s="104"/>
      <c r="W233" s="104"/>
    </row>
    <row r="234" ht="15.75" hidden="1" customHeight="1">
      <c r="A234" s="34">
        <v>29.0</v>
      </c>
      <c r="B234" s="34">
        <v>45.0</v>
      </c>
      <c r="C234" s="90">
        <v>719.0</v>
      </c>
      <c r="D234" s="100">
        <v>46220.0</v>
      </c>
      <c r="E234" s="92">
        <v>1.0</v>
      </c>
      <c r="F234" s="92" t="s">
        <v>157</v>
      </c>
      <c r="G234" s="92" t="s">
        <v>488</v>
      </c>
      <c r="H234" s="93">
        <v>14.0</v>
      </c>
      <c r="I234" s="94"/>
      <c r="J234" s="92" t="s">
        <v>195</v>
      </c>
      <c r="K234" s="35" t="s">
        <v>50</v>
      </c>
      <c r="L234" s="93" t="s">
        <v>506</v>
      </c>
      <c r="M234" s="93" t="s">
        <v>544</v>
      </c>
      <c r="N234" s="92" t="s">
        <v>189</v>
      </c>
      <c r="O234" s="8"/>
      <c r="P234" s="94"/>
      <c r="Q234" s="41">
        <v>5900.0</v>
      </c>
      <c r="R234" s="15">
        <f>'VICENTE LOMBARDO'!$Q234*'VICENTE LOMBARDO'!$E234</f>
        <v>5900</v>
      </c>
      <c r="S234" s="15">
        <f>'VICENTE LOMBARDO'!$R234*16%</f>
        <v>944</v>
      </c>
      <c r="T234" s="15">
        <f>'VICENTE LOMBARDO'!$R234+'VICENTE LOMBARDO'!$S234</f>
        <v>6844</v>
      </c>
      <c r="U234" s="104"/>
      <c r="V234" s="104"/>
      <c r="W234" s="104"/>
    </row>
    <row r="235" ht="15.75" hidden="1" customHeight="1">
      <c r="A235" s="34">
        <v>29.0</v>
      </c>
      <c r="B235" s="34">
        <v>46.0</v>
      </c>
      <c r="C235" s="90">
        <v>718.0</v>
      </c>
      <c r="D235" s="100">
        <v>46220.0</v>
      </c>
      <c r="E235" s="92">
        <v>1.0</v>
      </c>
      <c r="F235" s="92" t="s">
        <v>157</v>
      </c>
      <c r="G235" s="92" t="s">
        <v>548</v>
      </c>
      <c r="H235" s="93">
        <v>14.0</v>
      </c>
      <c r="I235" s="94"/>
      <c r="J235" s="92" t="s">
        <v>344</v>
      </c>
      <c r="K235" s="35" t="s">
        <v>50</v>
      </c>
      <c r="L235" s="93" t="s">
        <v>544</v>
      </c>
      <c r="M235" s="93" t="s">
        <v>549</v>
      </c>
      <c r="N235" s="92" t="s">
        <v>189</v>
      </c>
      <c r="O235" s="8"/>
      <c r="P235" s="94"/>
      <c r="Q235" s="41">
        <v>5900.0</v>
      </c>
      <c r="R235" s="15">
        <f>'VICENTE LOMBARDO'!$Q235*'VICENTE LOMBARDO'!$E235</f>
        <v>5900</v>
      </c>
      <c r="S235" s="15">
        <f>'VICENTE LOMBARDO'!$R235*16%</f>
        <v>944</v>
      </c>
      <c r="T235" s="15">
        <f>'VICENTE LOMBARDO'!$R235+'VICENTE LOMBARDO'!$S235</f>
        <v>6844</v>
      </c>
      <c r="U235" s="104"/>
      <c r="V235" s="104"/>
      <c r="W235" s="104"/>
    </row>
    <row r="236" ht="15.75" hidden="1" customHeight="1">
      <c r="A236" s="34">
        <v>29.0</v>
      </c>
      <c r="B236" s="34">
        <v>47.0</v>
      </c>
      <c r="C236" s="90">
        <v>721.0</v>
      </c>
      <c r="D236" s="100">
        <v>46220.0</v>
      </c>
      <c r="E236" s="92">
        <v>1.0</v>
      </c>
      <c r="F236" s="92" t="s">
        <v>157</v>
      </c>
      <c r="G236" s="92" t="s">
        <v>201</v>
      </c>
      <c r="H236" s="93">
        <v>14.0</v>
      </c>
      <c r="I236" s="94"/>
      <c r="J236" s="92" t="s">
        <v>150</v>
      </c>
      <c r="K236" s="35" t="s">
        <v>50</v>
      </c>
      <c r="L236" s="93" t="s">
        <v>549</v>
      </c>
      <c r="M236" s="93" t="s">
        <v>551</v>
      </c>
      <c r="N236" s="92" t="s">
        <v>189</v>
      </c>
      <c r="O236" s="8"/>
      <c r="P236" s="94"/>
      <c r="Q236" s="41">
        <v>5900.0</v>
      </c>
      <c r="R236" s="15">
        <f>'VICENTE LOMBARDO'!$Q236*'VICENTE LOMBARDO'!$E236</f>
        <v>5900</v>
      </c>
      <c r="S236" s="15">
        <f>'VICENTE LOMBARDO'!$R236*16%</f>
        <v>944</v>
      </c>
      <c r="T236" s="15">
        <f>'VICENTE LOMBARDO'!$R236+'VICENTE LOMBARDO'!$S236</f>
        <v>6844</v>
      </c>
      <c r="U236" s="104"/>
      <c r="V236" s="104"/>
      <c r="W236" s="104"/>
    </row>
    <row r="237" ht="15.75" hidden="1" customHeight="1">
      <c r="A237" s="34">
        <v>29.0</v>
      </c>
      <c r="B237" s="34">
        <v>48.0</v>
      </c>
      <c r="C237" s="90">
        <v>722.0</v>
      </c>
      <c r="D237" s="100">
        <v>46220.0</v>
      </c>
      <c r="E237" s="92">
        <v>1.0</v>
      </c>
      <c r="F237" s="92" t="s">
        <v>157</v>
      </c>
      <c r="G237" s="92" t="s">
        <v>368</v>
      </c>
      <c r="H237" s="93">
        <v>14.0</v>
      </c>
      <c r="I237" s="94"/>
      <c r="J237" s="92" t="s">
        <v>122</v>
      </c>
      <c r="K237" s="35" t="s">
        <v>50</v>
      </c>
      <c r="L237" s="93" t="s">
        <v>551</v>
      </c>
      <c r="M237" s="93" t="s">
        <v>553</v>
      </c>
      <c r="N237" s="92" t="s">
        <v>189</v>
      </c>
      <c r="O237" s="8"/>
      <c r="P237" s="94"/>
      <c r="Q237" s="41">
        <v>5900.0</v>
      </c>
      <c r="R237" s="15">
        <f>'VICENTE LOMBARDO'!$Q237*'VICENTE LOMBARDO'!$E237</f>
        <v>5900</v>
      </c>
      <c r="S237" s="15">
        <f>'VICENTE LOMBARDO'!$R237*16%</f>
        <v>944</v>
      </c>
      <c r="T237" s="15">
        <f>'VICENTE LOMBARDO'!$R237+'VICENTE LOMBARDO'!$S237</f>
        <v>6844</v>
      </c>
      <c r="U237" s="104"/>
      <c r="V237" s="104"/>
      <c r="W237" s="104"/>
    </row>
    <row r="238" ht="15.75" hidden="1" customHeight="1">
      <c r="A238" s="34">
        <v>29.0</v>
      </c>
      <c r="B238" s="34">
        <v>49.0</v>
      </c>
      <c r="C238" s="90">
        <v>720.0</v>
      </c>
      <c r="D238" s="100">
        <v>46220.0</v>
      </c>
      <c r="E238" s="92">
        <v>1.0</v>
      </c>
      <c r="F238" s="92" t="s">
        <v>157</v>
      </c>
      <c r="G238" s="92" t="s">
        <v>555</v>
      </c>
      <c r="H238" s="93">
        <v>14.0</v>
      </c>
      <c r="I238" s="94"/>
      <c r="J238" s="92" t="s">
        <v>242</v>
      </c>
      <c r="K238" s="35" t="s">
        <v>50</v>
      </c>
      <c r="L238" s="93" t="s">
        <v>553</v>
      </c>
      <c r="M238" s="93" t="s">
        <v>521</v>
      </c>
      <c r="N238" s="92" t="s">
        <v>189</v>
      </c>
      <c r="O238" s="8"/>
      <c r="P238" s="94"/>
      <c r="Q238" s="41">
        <v>5900.0</v>
      </c>
      <c r="R238" s="15">
        <f>'VICENTE LOMBARDO'!$Q238*'VICENTE LOMBARDO'!$E238</f>
        <v>5900</v>
      </c>
      <c r="S238" s="15">
        <f>'VICENTE LOMBARDO'!$R238*16%</f>
        <v>944</v>
      </c>
      <c r="T238" s="15">
        <f>'VICENTE LOMBARDO'!$R238+'VICENTE LOMBARDO'!$S238</f>
        <v>6844</v>
      </c>
      <c r="U238" s="104"/>
      <c r="V238" s="104"/>
      <c r="W238" s="104"/>
    </row>
    <row r="239" ht="15.75" hidden="1" customHeight="1">
      <c r="A239" s="34">
        <v>29.0</v>
      </c>
      <c r="B239" s="34">
        <v>50.0</v>
      </c>
      <c r="C239" s="90">
        <v>723.0</v>
      </c>
      <c r="D239" s="100">
        <v>46220.0</v>
      </c>
      <c r="E239" s="92">
        <v>1.0</v>
      </c>
      <c r="F239" s="92" t="s">
        <v>157</v>
      </c>
      <c r="G239" s="92" t="s">
        <v>248</v>
      </c>
      <c r="H239" s="93">
        <v>14.0</v>
      </c>
      <c r="I239" s="94"/>
      <c r="J239" s="92" t="s">
        <v>146</v>
      </c>
      <c r="K239" s="35" t="s">
        <v>50</v>
      </c>
      <c r="L239" s="93" t="s">
        <v>521</v>
      </c>
      <c r="M239" s="93" t="s">
        <v>557</v>
      </c>
      <c r="N239" s="92" t="s">
        <v>189</v>
      </c>
      <c r="O239" s="8"/>
      <c r="P239" s="94"/>
      <c r="Q239" s="41">
        <v>5900.0</v>
      </c>
      <c r="R239" s="15">
        <f>'VICENTE LOMBARDO'!$Q239*'VICENTE LOMBARDO'!$E239</f>
        <v>5900</v>
      </c>
      <c r="S239" s="15">
        <f>'VICENTE LOMBARDO'!$R239*16%</f>
        <v>944</v>
      </c>
      <c r="T239" s="15">
        <f>'VICENTE LOMBARDO'!$R239+'VICENTE LOMBARDO'!$S239</f>
        <v>6844</v>
      </c>
      <c r="U239" s="104"/>
      <c r="V239" s="104"/>
      <c r="W239" s="104"/>
    </row>
    <row r="240" ht="15.75" hidden="1" customHeight="1">
      <c r="A240" s="34">
        <v>29.0</v>
      </c>
      <c r="B240" s="34">
        <v>51.0</v>
      </c>
      <c r="C240" s="90">
        <v>724.0</v>
      </c>
      <c r="D240" s="100">
        <v>46220.0</v>
      </c>
      <c r="E240" s="92">
        <v>1.0</v>
      </c>
      <c r="F240" s="92" t="s">
        <v>157</v>
      </c>
      <c r="G240" s="92" t="s">
        <v>560</v>
      </c>
      <c r="H240" s="93">
        <v>14.0</v>
      </c>
      <c r="I240" s="94"/>
      <c r="J240" s="92" t="s">
        <v>288</v>
      </c>
      <c r="K240" s="35" t="s">
        <v>50</v>
      </c>
      <c r="L240" s="93" t="s">
        <v>557</v>
      </c>
      <c r="M240" s="93" t="s">
        <v>530</v>
      </c>
      <c r="N240" s="92" t="s">
        <v>189</v>
      </c>
      <c r="O240" s="8"/>
      <c r="P240" s="94"/>
      <c r="Q240" s="41">
        <v>5900.0</v>
      </c>
      <c r="R240" s="15">
        <f>'VICENTE LOMBARDO'!$Q240*'VICENTE LOMBARDO'!$E240</f>
        <v>5900</v>
      </c>
      <c r="S240" s="15">
        <f>'VICENTE LOMBARDO'!$R240*16%</f>
        <v>944</v>
      </c>
      <c r="T240" s="15">
        <f>'VICENTE LOMBARDO'!$R240+'VICENTE LOMBARDO'!$S240</f>
        <v>6844</v>
      </c>
      <c r="U240" s="104"/>
      <c r="V240" s="104"/>
      <c r="W240" s="104"/>
    </row>
    <row r="241" ht="15.75" hidden="1" customHeight="1">
      <c r="A241" s="34">
        <v>29.0</v>
      </c>
      <c r="B241" s="34">
        <v>52.0</v>
      </c>
      <c r="C241" s="90">
        <v>725.0</v>
      </c>
      <c r="D241" s="100">
        <v>46220.0</v>
      </c>
      <c r="E241" s="92">
        <v>1.0</v>
      </c>
      <c r="F241" s="92" t="s">
        <v>157</v>
      </c>
      <c r="G241" s="92" t="s">
        <v>255</v>
      </c>
      <c r="H241" s="93">
        <v>14.0</v>
      </c>
      <c r="I241" s="94"/>
      <c r="J241" s="92" t="s">
        <v>561</v>
      </c>
      <c r="K241" s="35" t="s">
        <v>50</v>
      </c>
      <c r="L241" s="93" t="s">
        <v>530</v>
      </c>
      <c r="M241" s="93" t="s">
        <v>562</v>
      </c>
      <c r="N241" s="92" t="s">
        <v>189</v>
      </c>
      <c r="O241" s="8"/>
      <c r="P241" s="94"/>
      <c r="Q241" s="41">
        <v>5900.0</v>
      </c>
      <c r="R241" s="15">
        <f>'VICENTE LOMBARDO'!$Q241*'VICENTE LOMBARDO'!$E241</f>
        <v>5900</v>
      </c>
      <c r="S241" s="15">
        <f>'VICENTE LOMBARDO'!$R241*16%</f>
        <v>944</v>
      </c>
      <c r="T241" s="15">
        <f>'VICENTE LOMBARDO'!$R241+'VICENTE LOMBARDO'!$S241</f>
        <v>6844</v>
      </c>
      <c r="U241" s="104"/>
      <c r="V241" s="104"/>
      <c r="W241" s="104"/>
    </row>
    <row r="242" ht="15.75" hidden="1" customHeight="1">
      <c r="A242" s="34">
        <v>29.0</v>
      </c>
      <c r="B242" s="34">
        <v>53.0</v>
      </c>
      <c r="C242" s="90">
        <v>727.0</v>
      </c>
      <c r="D242" s="100">
        <v>46220.0</v>
      </c>
      <c r="E242" s="92">
        <v>1.0</v>
      </c>
      <c r="F242" s="92" t="s">
        <v>157</v>
      </c>
      <c r="G242" s="92" t="s">
        <v>416</v>
      </c>
      <c r="H242" s="93">
        <v>14.0</v>
      </c>
      <c r="I242" s="94"/>
      <c r="J242" s="92" t="s">
        <v>326</v>
      </c>
      <c r="K242" s="35" t="s">
        <v>50</v>
      </c>
      <c r="L242" s="93" t="s">
        <v>562</v>
      </c>
      <c r="M242" s="93" t="s">
        <v>563</v>
      </c>
      <c r="N242" s="92" t="s">
        <v>189</v>
      </c>
      <c r="O242" s="8"/>
      <c r="P242" s="94"/>
      <c r="Q242" s="41">
        <v>5900.0</v>
      </c>
      <c r="R242" s="15">
        <f>'VICENTE LOMBARDO'!$Q242*'VICENTE LOMBARDO'!$E242</f>
        <v>5900</v>
      </c>
      <c r="S242" s="15">
        <f>'VICENTE LOMBARDO'!$R242*16%</f>
        <v>944</v>
      </c>
      <c r="T242" s="15">
        <f>'VICENTE LOMBARDO'!$R242+'VICENTE LOMBARDO'!$S242</f>
        <v>6844</v>
      </c>
      <c r="U242" s="104"/>
      <c r="V242" s="104"/>
      <c r="W242" s="104"/>
    </row>
    <row r="243" ht="15.75" hidden="1" customHeight="1">
      <c r="A243" s="34">
        <v>29.0</v>
      </c>
      <c r="B243" s="34">
        <v>54.0</v>
      </c>
      <c r="C243" s="90">
        <v>728.0</v>
      </c>
      <c r="D243" s="100">
        <v>46220.0</v>
      </c>
      <c r="E243" s="92">
        <v>1.0</v>
      </c>
      <c r="F243" s="92" t="s">
        <v>157</v>
      </c>
      <c r="G243" s="92" t="s">
        <v>295</v>
      </c>
      <c r="H243" s="93">
        <v>14.0</v>
      </c>
      <c r="I243" s="94"/>
      <c r="J243" s="92" t="s">
        <v>118</v>
      </c>
      <c r="K243" s="35" t="s">
        <v>50</v>
      </c>
      <c r="L243" s="93" t="s">
        <v>563</v>
      </c>
      <c r="M243" s="93" t="s">
        <v>564</v>
      </c>
      <c r="N243" s="92" t="s">
        <v>189</v>
      </c>
      <c r="O243" s="8"/>
      <c r="P243" s="94"/>
      <c r="Q243" s="41">
        <v>5900.0</v>
      </c>
      <c r="R243" s="15">
        <f>'VICENTE LOMBARDO'!$Q243*'VICENTE LOMBARDO'!$E243</f>
        <v>5900</v>
      </c>
      <c r="S243" s="15">
        <f>'VICENTE LOMBARDO'!$R243*16%</f>
        <v>944</v>
      </c>
      <c r="T243" s="15">
        <f>'VICENTE LOMBARDO'!$R243+'VICENTE LOMBARDO'!$S243</f>
        <v>6844</v>
      </c>
      <c r="U243" s="104"/>
      <c r="V243" s="104"/>
      <c r="W243" s="104"/>
    </row>
    <row r="244" ht="15.75" hidden="1" customHeight="1">
      <c r="A244" s="34">
        <v>29.0</v>
      </c>
      <c r="B244" s="34">
        <v>55.0</v>
      </c>
      <c r="C244" s="90">
        <v>726.0</v>
      </c>
      <c r="D244" s="100">
        <v>46220.0</v>
      </c>
      <c r="E244" s="92">
        <v>1.0</v>
      </c>
      <c r="F244" s="92" t="s">
        <v>157</v>
      </c>
      <c r="G244" s="92" t="s">
        <v>565</v>
      </c>
      <c r="H244" s="93">
        <v>14.0</v>
      </c>
      <c r="I244" s="94"/>
      <c r="J244" s="92" t="s">
        <v>476</v>
      </c>
      <c r="K244" s="35" t="s">
        <v>50</v>
      </c>
      <c r="L244" s="93" t="s">
        <v>564</v>
      </c>
      <c r="M244" s="93" t="s">
        <v>566</v>
      </c>
      <c r="N244" s="92" t="s">
        <v>189</v>
      </c>
      <c r="O244" s="8"/>
      <c r="P244" s="94"/>
      <c r="Q244" s="41">
        <v>5900.0</v>
      </c>
      <c r="R244" s="15">
        <f>'VICENTE LOMBARDO'!$Q244*'VICENTE LOMBARDO'!$E244</f>
        <v>5900</v>
      </c>
      <c r="S244" s="15">
        <f>'VICENTE LOMBARDO'!$R244*16%</f>
        <v>944</v>
      </c>
      <c r="T244" s="15">
        <f>'VICENTE LOMBARDO'!$R244+'VICENTE LOMBARDO'!$S244</f>
        <v>6844</v>
      </c>
      <c r="U244" s="104"/>
      <c r="V244" s="104"/>
      <c r="W244" s="104"/>
    </row>
    <row r="245" ht="15.75" hidden="1" customHeight="1">
      <c r="A245" s="34">
        <v>29.0</v>
      </c>
      <c r="B245" s="34">
        <v>56.0</v>
      </c>
      <c r="C245" s="90">
        <v>729.0</v>
      </c>
      <c r="D245" s="100">
        <v>46220.0</v>
      </c>
      <c r="E245" s="92">
        <v>1.0</v>
      </c>
      <c r="F245" s="92" t="s">
        <v>157</v>
      </c>
      <c r="G245" s="92" t="s">
        <v>488</v>
      </c>
      <c r="H245" s="93">
        <v>14.0</v>
      </c>
      <c r="I245" s="94"/>
      <c r="J245" s="92" t="s">
        <v>195</v>
      </c>
      <c r="K245" s="35" t="s">
        <v>50</v>
      </c>
      <c r="L245" s="93" t="s">
        <v>566</v>
      </c>
      <c r="M245" s="93" t="s">
        <v>567</v>
      </c>
      <c r="N245" s="92" t="s">
        <v>189</v>
      </c>
      <c r="O245" s="8"/>
      <c r="P245" s="94"/>
      <c r="Q245" s="41">
        <v>5900.0</v>
      </c>
      <c r="R245" s="15">
        <f>'VICENTE LOMBARDO'!$Q245*'VICENTE LOMBARDO'!$E245</f>
        <v>5900</v>
      </c>
      <c r="S245" s="15">
        <f>'VICENTE LOMBARDO'!$R245*16%</f>
        <v>944</v>
      </c>
      <c r="T245" s="15">
        <f>'VICENTE LOMBARDO'!$R245+'VICENTE LOMBARDO'!$S245</f>
        <v>6844</v>
      </c>
      <c r="U245" s="104"/>
      <c r="V245" s="104"/>
      <c r="W245" s="104"/>
    </row>
    <row r="246" ht="15.75" hidden="1" customHeight="1">
      <c r="A246" s="34">
        <v>29.0</v>
      </c>
      <c r="B246" s="34">
        <v>57.0</v>
      </c>
      <c r="C246" s="90">
        <v>730.0</v>
      </c>
      <c r="D246" s="100">
        <v>46220.0</v>
      </c>
      <c r="E246" s="92">
        <v>1.0</v>
      </c>
      <c r="F246" s="92" t="s">
        <v>157</v>
      </c>
      <c r="G246" s="92" t="s">
        <v>542</v>
      </c>
      <c r="H246" s="93">
        <v>14.0</v>
      </c>
      <c r="I246" s="94"/>
      <c r="J246" s="92" t="s">
        <v>543</v>
      </c>
      <c r="K246" s="35" t="s">
        <v>50</v>
      </c>
      <c r="L246" s="93" t="s">
        <v>567</v>
      </c>
      <c r="M246" s="93" t="s">
        <v>569</v>
      </c>
      <c r="N246" s="92" t="s">
        <v>189</v>
      </c>
      <c r="O246" s="8"/>
      <c r="P246" s="94"/>
      <c r="Q246" s="41">
        <v>5900.0</v>
      </c>
      <c r="R246" s="15">
        <f>'VICENTE LOMBARDO'!$Q246*'VICENTE LOMBARDO'!$E246</f>
        <v>5900</v>
      </c>
      <c r="S246" s="15">
        <f>'VICENTE LOMBARDO'!$R246*16%</f>
        <v>944</v>
      </c>
      <c r="T246" s="15">
        <f>'VICENTE LOMBARDO'!$R246+'VICENTE LOMBARDO'!$S246</f>
        <v>6844</v>
      </c>
      <c r="U246" s="104"/>
      <c r="V246" s="104"/>
      <c r="W246" s="104"/>
    </row>
    <row r="247" ht="15.75" hidden="1" customHeight="1">
      <c r="A247" s="34" t="s">
        <v>570</v>
      </c>
      <c r="B247" s="34" t="s">
        <v>571</v>
      </c>
      <c r="C247" s="90" t="s">
        <v>572</v>
      </c>
      <c r="D247" s="100" t="s">
        <v>573</v>
      </c>
      <c r="E247" s="92" t="s">
        <v>574</v>
      </c>
      <c r="F247" s="92" t="s">
        <v>157</v>
      </c>
      <c r="G247" s="92" t="s">
        <v>320</v>
      </c>
      <c r="H247" s="93" t="s">
        <v>575</v>
      </c>
      <c r="I247" s="94"/>
      <c r="J247" s="92" t="s">
        <v>321</v>
      </c>
      <c r="K247" s="35" t="s">
        <v>50</v>
      </c>
      <c r="L247" s="93" t="s">
        <v>569</v>
      </c>
      <c r="M247" s="93" t="s">
        <v>576</v>
      </c>
      <c r="N247" s="92" t="s">
        <v>189</v>
      </c>
      <c r="O247" s="8"/>
      <c r="P247" s="94"/>
      <c r="Q247" s="41" t="s">
        <v>577</v>
      </c>
      <c r="R247" s="15">
        <f>'VICENTE LOMBARDO'!$Q247*'VICENTE LOMBARDO'!$E247</f>
        <v>5900</v>
      </c>
      <c r="S247" s="15">
        <f>'VICENTE LOMBARDO'!$R247*16%</f>
        <v>944</v>
      </c>
      <c r="T247" s="15">
        <f>'VICENTE LOMBARDO'!$R247+'VICENTE LOMBARDO'!$S247</f>
        <v>6844</v>
      </c>
      <c r="U247" s="104"/>
      <c r="V247" s="104"/>
      <c r="W247" s="104"/>
    </row>
    <row r="248" ht="15.75" hidden="1" customHeight="1">
      <c r="A248" s="108">
        <v>30.0</v>
      </c>
      <c r="B248" s="108">
        <v>1.0</v>
      </c>
      <c r="C248" s="90">
        <v>736.0</v>
      </c>
      <c r="D248" s="109">
        <v>46223.0</v>
      </c>
      <c r="E248" s="110">
        <v>1.0</v>
      </c>
      <c r="F248" s="110" t="s">
        <v>157</v>
      </c>
      <c r="G248" s="110" t="s">
        <v>320</v>
      </c>
      <c r="H248" s="110">
        <v>14.0</v>
      </c>
      <c r="I248" s="111"/>
      <c r="J248" s="110" t="s">
        <v>321</v>
      </c>
      <c r="K248" s="112" t="s">
        <v>50</v>
      </c>
      <c r="L248" s="110" t="s">
        <v>576</v>
      </c>
      <c r="M248" s="110" t="s">
        <v>578</v>
      </c>
      <c r="N248" s="110" t="s">
        <v>189</v>
      </c>
      <c r="O248" s="111"/>
      <c r="P248" s="110" t="s">
        <v>283</v>
      </c>
      <c r="Q248" s="113">
        <v>5900.0</v>
      </c>
      <c r="R248" s="114">
        <f>'VICENTE LOMBARDO'!$Q248*'VICENTE LOMBARDO'!$E248</f>
        <v>5900</v>
      </c>
      <c r="S248" s="114">
        <f>'VICENTE LOMBARDO'!$R248*16%</f>
        <v>944</v>
      </c>
      <c r="T248" s="114">
        <f>'VICENTE LOMBARDO'!$R248+'VICENTE LOMBARDO'!$S248</f>
        <v>6844</v>
      </c>
    </row>
    <row r="249" ht="15.75" hidden="1" customHeight="1">
      <c r="A249" s="108">
        <v>30.0</v>
      </c>
      <c r="B249" s="108">
        <v>2.0</v>
      </c>
      <c r="C249" s="90">
        <v>737.0</v>
      </c>
      <c r="D249" s="109">
        <v>46223.0</v>
      </c>
      <c r="E249" s="110">
        <v>1.0</v>
      </c>
      <c r="F249" s="110" t="s">
        <v>157</v>
      </c>
      <c r="G249" s="110" t="s">
        <v>295</v>
      </c>
      <c r="H249" s="110">
        <v>14.0</v>
      </c>
      <c r="I249" s="111"/>
      <c r="J249" s="110" t="s">
        <v>118</v>
      </c>
      <c r="K249" s="112" t="s">
        <v>50</v>
      </c>
      <c r="L249" s="110" t="s">
        <v>578</v>
      </c>
      <c r="M249" s="110" t="s">
        <v>579</v>
      </c>
      <c r="N249" s="110" t="s">
        <v>189</v>
      </c>
      <c r="O249" s="111"/>
      <c r="P249" s="110" t="s">
        <v>283</v>
      </c>
      <c r="Q249" s="113">
        <v>5900.0</v>
      </c>
      <c r="R249" s="114">
        <f>'VICENTE LOMBARDO'!$Q249*'VICENTE LOMBARDO'!$E249</f>
        <v>5900</v>
      </c>
      <c r="S249" s="114">
        <f>'VICENTE LOMBARDO'!$R249*16%</f>
        <v>944</v>
      </c>
      <c r="T249" s="114">
        <f>'VICENTE LOMBARDO'!$R249+'VICENTE LOMBARDO'!$S249</f>
        <v>6844</v>
      </c>
    </row>
    <row r="250" ht="15.75" hidden="1" customHeight="1">
      <c r="A250" s="108">
        <v>30.0</v>
      </c>
      <c r="B250" s="108">
        <v>3.0</v>
      </c>
      <c r="C250" s="90">
        <v>741.0</v>
      </c>
      <c r="D250" s="109">
        <v>46223.0</v>
      </c>
      <c r="E250" s="110">
        <v>1.0</v>
      </c>
      <c r="F250" s="110" t="s">
        <v>157</v>
      </c>
      <c r="G250" s="110" t="s">
        <v>251</v>
      </c>
      <c r="H250" s="110">
        <v>14.0</v>
      </c>
      <c r="I250" s="111"/>
      <c r="J250" s="110" t="s">
        <v>313</v>
      </c>
      <c r="K250" s="112" t="s">
        <v>50</v>
      </c>
      <c r="L250" s="110" t="s">
        <v>579</v>
      </c>
      <c r="M250" s="110" t="s">
        <v>582</v>
      </c>
      <c r="N250" s="110" t="s">
        <v>189</v>
      </c>
      <c r="O250" s="111"/>
      <c r="P250" s="110" t="s">
        <v>283</v>
      </c>
      <c r="Q250" s="113">
        <v>5900.0</v>
      </c>
      <c r="R250" s="114">
        <f>'VICENTE LOMBARDO'!$Q250*'VICENTE LOMBARDO'!$E250</f>
        <v>5900</v>
      </c>
      <c r="S250" s="114">
        <f>'VICENTE LOMBARDO'!$R250*16%</f>
        <v>944</v>
      </c>
      <c r="T250" s="114">
        <f>'VICENTE LOMBARDO'!$R250+'VICENTE LOMBARDO'!$S250</f>
        <v>6844</v>
      </c>
    </row>
    <row r="251" ht="15.75" hidden="1" customHeight="1">
      <c r="A251" s="108">
        <v>30.0</v>
      </c>
      <c r="B251" s="108">
        <v>4.0</v>
      </c>
      <c r="C251" s="90">
        <v>739.0</v>
      </c>
      <c r="D251" s="109">
        <v>46223.0</v>
      </c>
      <c r="E251" s="110">
        <v>1.0</v>
      </c>
      <c r="F251" s="110" t="s">
        <v>157</v>
      </c>
      <c r="G251" s="110" t="s">
        <v>416</v>
      </c>
      <c r="H251" s="110">
        <v>14.0</v>
      </c>
      <c r="I251" s="111"/>
      <c r="J251" s="110" t="s">
        <v>326</v>
      </c>
      <c r="K251" s="112" t="s">
        <v>50</v>
      </c>
      <c r="L251" s="110" t="s">
        <v>582</v>
      </c>
      <c r="M251" s="110" t="s">
        <v>585</v>
      </c>
      <c r="N251" s="110" t="s">
        <v>189</v>
      </c>
      <c r="O251" s="111"/>
      <c r="P251" s="110" t="s">
        <v>283</v>
      </c>
      <c r="Q251" s="113">
        <v>5900.0</v>
      </c>
      <c r="R251" s="114">
        <f>'VICENTE LOMBARDO'!$Q251*'VICENTE LOMBARDO'!$E251</f>
        <v>5900</v>
      </c>
      <c r="S251" s="114">
        <f>'VICENTE LOMBARDO'!$R251*16%</f>
        <v>944</v>
      </c>
      <c r="T251" s="114">
        <f>'VICENTE LOMBARDO'!$R251+'VICENTE LOMBARDO'!$S251</f>
        <v>6844</v>
      </c>
    </row>
    <row r="252" ht="15.75" hidden="1" customHeight="1">
      <c r="A252" s="108">
        <v>30.0</v>
      </c>
      <c r="B252" s="108">
        <v>5.0</v>
      </c>
      <c r="C252" s="110">
        <v>740.0</v>
      </c>
      <c r="D252" s="109">
        <v>46223.0</v>
      </c>
      <c r="E252" s="110">
        <v>1.0</v>
      </c>
      <c r="F252" s="110" t="s">
        <v>157</v>
      </c>
      <c r="G252" s="110" t="s">
        <v>368</v>
      </c>
      <c r="H252" s="110">
        <v>14.0</v>
      </c>
      <c r="I252" s="111"/>
      <c r="J252" s="110" t="s">
        <v>122</v>
      </c>
      <c r="K252" s="110" t="s">
        <v>158</v>
      </c>
      <c r="L252" s="110" t="s">
        <v>585</v>
      </c>
      <c r="M252" s="110" t="s">
        <v>586</v>
      </c>
      <c r="N252" s="110" t="s">
        <v>189</v>
      </c>
      <c r="O252" s="111"/>
      <c r="P252" s="110" t="s">
        <v>283</v>
      </c>
      <c r="Q252" s="117"/>
    </row>
    <row r="253" ht="15.75" hidden="1" customHeight="1">
      <c r="A253" s="108">
        <v>30.0</v>
      </c>
      <c r="B253" s="108">
        <v>6.0</v>
      </c>
      <c r="C253" s="110">
        <v>738.0</v>
      </c>
      <c r="D253" s="109">
        <v>46223.0</v>
      </c>
      <c r="E253" s="110">
        <v>1.0</v>
      </c>
      <c r="F253" s="110" t="s">
        <v>157</v>
      </c>
      <c r="G253" s="110" t="s">
        <v>488</v>
      </c>
      <c r="H253" s="110">
        <v>14.0</v>
      </c>
      <c r="I253" s="111"/>
      <c r="J253" s="110" t="s">
        <v>195</v>
      </c>
      <c r="K253" s="110" t="s">
        <v>158</v>
      </c>
      <c r="L253" s="110" t="s">
        <v>586</v>
      </c>
      <c r="M253" s="110" t="s">
        <v>588</v>
      </c>
      <c r="N253" s="110" t="s">
        <v>189</v>
      </c>
      <c r="O253" s="111"/>
      <c r="P253" s="110" t="s">
        <v>283</v>
      </c>
      <c r="Q253" s="117"/>
    </row>
    <row r="254" ht="15.75" hidden="1" customHeight="1">
      <c r="A254" s="108">
        <v>30.0</v>
      </c>
      <c r="B254" s="108">
        <v>7.0</v>
      </c>
      <c r="C254" s="110">
        <v>742.0</v>
      </c>
      <c r="D254" s="109">
        <v>46223.0</v>
      </c>
      <c r="E254" s="110">
        <v>1.0</v>
      </c>
      <c r="F254" s="110" t="s">
        <v>157</v>
      </c>
      <c r="G254" s="110" t="s">
        <v>436</v>
      </c>
      <c r="H254" s="110">
        <v>14.0</v>
      </c>
      <c r="I254" s="111"/>
      <c r="J254" s="110" t="s">
        <v>318</v>
      </c>
      <c r="K254" s="110" t="s">
        <v>158</v>
      </c>
      <c r="L254" s="110" t="s">
        <v>588</v>
      </c>
      <c r="M254" s="110" t="s">
        <v>589</v>
      </c>
      <c r="N254" s="110" t="s">
        <v>189</v>
      </c>
      <c r="O254" s="111"/>
      <c r="P254" s="110" t="s">
        <v>283</v>
      </c>
      <c r="Q254" s="117"/>
    </row>
    <row r="255" ht="15.75" hidden="1" customHeight="1">
      <c r="A255" s="108">
        <v>30.0</v>
      </c>
      <c r="B255" s="108">
        <v>8.0</v>
      </c>
      <c r="C255" s="110">
        <v>743.0</v>
      </c>
      <c r="D255" s="109">
        <v>46223.0</v>
      </c>
      <c r="E255" s="110">
        <v>1.0</v>
      </c>
      <c r="F255" s="110" t="s">
        <v>157</v>
      </c>
      <c r="G255" s="110" t="s">
        <v>555</v>
      </c>
      <c r="H255" s="110">
        <v>14.0</v>
      </c>
      <c r="I255" s="111"/>
      <c r="J255" s="110" t="s">
        <v>242</v>
      </c>
      <c r="K255" s="110" t="s">
        <v>158</v>
      </c>
      <c r="L255" s="110" t="s">
        <v>590</v>
      </c>
      <c r="M255" s="110" t="s">
        <v>591</v>
      </c>
      <c r="N255" s="110" t="s">
        <v>189</v>
      </c>
      <c r="O255" s="111"/>
      <c r="P255" s="110" t="s">
        <v>283</v>
      </c>
      <c r="Q255" s="117"/>
    </row>
    <row r="256" ht="15.75" hidden="1" customHeight="1">
      <c r="A256" s="108">
        <v>30.0</v>
      </c>
      <c r="B256" s="108">
        <v>9.0</v>
      </c>
      <c r="C256" s="90">
        <v>744.0</v>
      </c>
      <c r="D256" s="109">
        <v>46223.0</v>
      </c>
      <c r="E256" s="110">
        <v>1.0</v>
      </c>
      <c r="F256" s="110" t="s">
        <v>157</v>
      </c>
      <c r="G256" s="110" t="s">
        <v>592</v>
      </c>
      <c r="H256" s="110">
        <v>14.0</v>
      </c>
      <c r="I256" s="111"/>
      <c r="J256" s="110" t="s">
        <v>593</v>
      </c>
      <c r="K256" s="112" t="s">
        <v>50</v>
      </c>
      <c r="L256" s="110" t="s">
        <v>591</v>
      </c>
      <c r="M256" s="110" t="s">
        <v>594</v>
      </c>
      <c r="N256" s="110" t="s">
        <v>189</v>
      </c>
      <c r="O256" s="111"/>
      <c r="P256" s="110" t="s">
        <v>283</v>
      </c>
      <c r="Q256" s="113">
        <v>5900.0</v>
      </c>
      <c r="R256" s="114">
        <f>'VICENTE LOMBARDO'!$Q256*'VICENTE LOMBARDO'!$E256</f>
        <v>5900</v>
      </c>
      <c r="S256" s="114">
        <f>'VICENTE LOMBARDO'!$R256*16%</f>
        <v>944</v>
      </c>
      <c r="T256" s="114">
        <f>'VICENTE LOMBARDO'!$R256+'VICENTE LOMBARDO'!$S256</f>
        <v>6844</v>
      </c>
    </row>
    <row r="257" ht="15.75" hidden="1" customHeight="1">
      <c r="A257" s="108">
        <v>30.0</v>
      </c>
      <c r="B257" s="108">
        <v>10.0</v>
      </c>
      <c r="C257" s="90">
        <v>746.0</v>
      </c>
      <c r="D257" s="109">
        <v>46223.0</v>
      </c>
      <c r="E257" s="110">
        <v>1.0</v>
      </c>
      <c r="F257" s="110" t="s">
        <v>157</v>
      </c>
      <c r="G257" s="110" t="s">
        <v>201</v>
      </c>
      <c r="H257" s="110">
        <v>14.0</v>
      </c>
      <c r="I257" s="111"/>
      <c r="J257" s="110" t="s">
        <v>493</v>
      </c>
      <c r="K257" s="112" t="s">
        <v>50</v>
      </c>
      <c r="L257" s="110" t="s">
        <v>594</v>
      </c>
      <c r="M257" s="110" t="s">
        <v>595</v>
      </c>
      <c r="N257" s="110" t="s">
        <v>189</v>
      </c>
      <c r="O257" s="111"/>
      <c r="P257" s="110" t="s">
        <v>283</v>
      </c>
      <c r="Q257" s="113">
        <v>5900.0</v>
      </c>
      <c r="R257" s="114">
        <f>'VICENTE LOMBARDO'!$Q257*'VICENTE LOMBARDO'!$E257</f>
        <v>5900</v>
      </c>
      <c r="S257" s="114">
        <f>'VICENTE LOMBARDO'!$R257*16%</f>
        <v>944</v>
      </c>
      <c r="T257" s="114">
        <f>'VICENTE LOMBARDO'!$R257+'VICENTE LOMBARDO'!$S257</f>
        <v>6844</v>
      </c>
    </row>
    <row r="258" ht="15.75" hidden="1" customHeight="1">
      <c r="A258" s="108">
        <v>30.0</v>
      </c>
      <c r="B258" s="108">
        <v>11.0</v>
      </c>
      <c r="C258" s="90">
        <v>745.0</v>
      </c>
      <c r="D258" s="109">
        <v>46223.0</v>
      </c>
      <c r="E258" s="110">
        <v>1.0</v>
      </c>
      <c r="F258" s="110" t="s">
        <v>157</v>
      </c>
      <c r="G258" s="110" t="s">
        <v>548</v>
      </c>
      <c r="H258" s="110">
        <v>14.0</v>
      </c>
      <c r="I258" s="111"/>
      <c r="J258" s="110" t="s">
        <v>344</v>
      </c>
      <c r="K258" s="112" t="s">
        <v>50</v>
      </c>
      <c r="L258" s="110" t="s">
        <v>595</v>
      </c>
      <c r="M258" s="110" t="s">
        <v>597</v>
      </c>
      <c r="N258" s="110" t="s">
        <v>189</v>
      </c>
      <c r="O258" s="111"/>
      <c r="P258" s="110" t="s">
        <v>283</v>
      </c>
      <c r="Q258" s="113">
        <v>5900.0</v>
      </c>
      <c r="R258" s="114">
        <f>'VICENTE LOMBARDO'!$Q258*'VICENTE LOMBARDO'!$E258</f>
        <v>5900</v>
      </c>
      <c r="S258" s="114">
        <f>'VICENTE LOMBARDO'!$R258*16%</f>
        <v>944</v>
      </c>
      <c r="T258" s="114">
        <f>'VICENTE LOMBARDO'!$R258+'VICENTE LOMBARDO'!$S258</f>
        <v>6844</v>
      </c>
    </row>
    <row r="259" ht="15.75" hidden="1" customHeight="1">
      <c r="A259" s="108">
        <v>30.0</v>
      </c>
      <c r="B259" s="108">
        <v>12.0</v>
      </c>
      <c r="C259" s="110">
        <v>747.0</v>
      </c>
      <c r="D259" s="109">
        <v>46223.0</v>
      </c>
      <c r="E259" s="110">
        <v>1.0</v>
      </c>
      <c r="F259" s="110" t="s">
        <v>157</v>
      </c>
      <c r="G259" s="110" t="s">
        <v>488</v>
      </c>
      <c r="H259" s="110">
        <v>14.0</v>
      </c>
      <c r="I259" s="111"/>
      <c r="J259" s="110" t="s">
        <v>195</v>
      </c>
      <c r="K259" s="110" t="s">
        <v>158</v>
      </c>
      <c r="L259" s="110" t="s">
        <v>597</v>
      </c>
      <c r="M259" s="110" t="s">
        <v>598</v>
      </c>
      <c r="N259" s="110" t="s">
        <v>189</v>
      </c>
      <c r="O259" s="111"/>
      <c r="P259" s="110" t="s">
        <v>283</v>
      </c>
      <c r="Q259" s="117"/>
    </row>
    <row r="260" ht="15.75" hidden="1" customHeight="1">
      <c r="A260" s="108">
        <v>30.0</v>
      </c>
      <c r="B260" s="108">
        <v>13.0</v>
      </c>
      <c r="C260" s="110">
        <v>748.0</v>
      </c>
      <c r="D260" s="109">
        <v>46223.0</v>
      </c>
      <c r="E260" s="110">
        <v>1.0</v>
      </c>
      <c r="F260" s="110" t="s">
        <v>157</v>
      </c>
      <c r="G260" s="110" t="s">
        <v>560</v>
      </c>
      <c r="H260" s="110">
        <v>14.0</v>
      </c>
      <c r="I260" s="111"/>
      <c r="J260" s="110" t="s">
        <v>288</v>
      </c>
      <c r="K260" s="110" t="s">
        <v>158</v>
      </c>
      <c r="L260" s="110" t="s">
        <v>598</v>
      </c>
      <c r="M260" s="110" t="s">
        <v>600</v>
      </c>
      <c r="N260" s="110" t="s">
        <v>189</v>
      </c>
      <c r="O260" s="111"/>
      <c r="P260" s="110" t="s">
        <v>283</v>
      </c>
      <c r="Q260" s="117"/>
    </row>
    <row r="261" ht="15.75" hidden="1" customHeight="1">
      <c r="A261" s="108">
        <v>30.0</v>
      </c>
      <c r="B261" s="108">
        <v>0.0</v>
      </c>
      <c r="C261" s="110">
        <v>749.0</v>
      </c>
      <c r="D261" s="109">
        <v>46224.0</v>
      </c>
      <c r="E261" s="110">
        <v>1.0</v>
      </c>
      <c r="F261" s="110" t="s">
        <v>157</v>
      </c>
      <c r="G261" s="110" t="s">
        <v>474</v>
      </c>
      <c r="H261" s="110">
        <v>14.0</v>
      </c>
      <c r="I261" s="111"/>
      <c r="J261" s="110" t="s">
        <v>593</v>
      </c>
      <c r="K261" s="110" t="s">
        <v>158</v>
      </c>
      <c r="L261" s="110" t="s">
        <v>531</v>
      </c>
      <c r="M261" s="110" t="s">
        <v>601</v>
      </c>
      <c r="N261" s="110" t="s">
        <v>189</v>
      </c>
      <c r="O261" s="111"/>
      <c r="P261" s="110" t="s">
        <v>306</v>
      </c>
      <c r="Q261" s="117"/>
    </row>
    <row r="262" ht="15.75" hidden="1" customHeight="1">
      <c r="A262" s="108">
        <v>30.0</v>
      </c>
      <c r="B262" s="108">
        <v>0.0</v>
      </c>
      <c r="C262" s="110">
        <v>750.0</v>
      </c>
      <c r="D262" s="109">
        <v>46224.0</v>
      </c>
      <c r="E262" s="110">
        <v>1.0</v>
      </c>
      <c r="F262" s="110" t="s">
        <v>157</v>
      </c>
      <c r="G262" s="110" t="s">
        <v>295</v>
      </c>
      <c r="H262" s="110">
        <v>14.0</v>
      </c>
      <c r="I262" s="111"/>
      <c r="J262" s="110" t="s">
        <v>118</v>
      </c>
      <c r="K262" s="110" t="s">
        <v>158</v>
      </c>
      <c r="L262" s="110" t="s">
        <v>601</v>
      </c>
      <c r="M262" s="110" t="s">
        <v>602</v>
      </c>
      <c r="N262" s="110" t="s">
        <v>189</v>
      </c>
      <c r="O262" s="111"/>
      <c r="P262" s="110" t="s">
        <v>306</v>
      </c>
      <c r="Q262" s="117"/>
    </row>
    <row r="263" ht="15.75" hidden="1" customHeight="1">
      <c r="A263" s="108">
        <v>30.0</v>
      </c>
      <c r="B263" s="108">
        <v>3.0</v>
      </c>
      <c r="C263" s="110">
        <v>951.0</v>
      </c>
      <c r="D263" s="109">
        <v>46224.0</v>
      </c>
      <c r="E263" s="110">
        <v>1.0</v>
      </c>
      <c r="F263" s="110" t="s">
        <v>157</v>
      </c>
      <c r="G263" s="110" t="s">
        <v>603</v>
      </c>
      <c r="H263" s="110">
        <v>14.0</v>
      </c>
      <c r="I263" s="111"/>
      <c r="J263" s="110" t="s">
        <v>242</v>
      </c>
      <c r="K263" s="110" t="s">
        <v>158</v>
      </c>
      <c r="L263" s="110" t="s">
        <v>602</v>
      </c>
      <c r="M263" s="110" t="s">
        <v>604</v>
      </c>
      <c r="N263" s="110" t="s">
        <v>189</v>
      </c>
      <c r="O263" s="111"/>
      <c r="P263" s="110" t="s">
        <v>306</v>
      </c>
      <c r="Q263" s="117"/>
    </row>
    <row r="264" ht="15.75" hidden="1" customHeight="1">
      <c r="A264" s="108">
        <v>30.0</v>
      </c>
      <c r="B264" s="108">
        <v>4.0</v>
      </c>
      <c r="C264" s="110">
        <v>953.0</v>
      </c>
      <c r="D264" s="109">
        <v>46224.0</v>
      </c>
      <c r="E264" s="110">
        <v>1.0</v>
      </c>
      <c r="F264" s="110" t="s">
        <v>157</v>
      </c>
      <c r="G264" s="110" t="s">
        <v>320</v>
      </c>
      <c r="H264" s="110">
        <v>14.0</v>
      </c>
      <c r="I264" s="111"/>
      <c r="J264" s="110" t="s">
        <v>321</v>
      </c>
      <c r="K264" s="110" t="s">
        <v>158</v>
      </c>
      <c r="L264" s="110" t="s">
        <v>604</v>
      </c>
      <c r="M264" s="110" t="s">
        <v>605</v>
      </c>
      <c r="N264" s="110" t="s">
        <v>189</v>
      </c>
      <c r="O264" s="111"/>
      <c r="P264" s="110" t="s">
        <v>306</v>
      </c>
      <c r="Q264" s="117"/>
    </row>
    <row r="265" ht="15.75" hidden="1" customHeight="1">
      <c r="A265" s="108">
        <v>30.0</v>
      </c>
      <c r="B265" s="108">
        <v>5.0</v>
      </c>
      <c r="C265" s="110">
        <v>954.0</v>
      </c>
      <c r="D265" s="109">
        <v>46224.0</v>
      </c>
      <c r="E265" s="110">
        <v>1.0</v>
      </c>
      <c r="F265" s="110" t="s">
        <v>157</v>
      </c>
      <c r="G265" s="110" t="s">
        <v>488</v>
      </c>
      <c r="H265" s="110">
        <v>14.0</v>
      </c>
      <c r="I265" s="111"/>
      <c r="J265" s="110" t="s">
        <v>195</v>
      </c>
      <c r="K265" s="110" t="s">
        <v>158</v>
      </c>
      <c r="L265" s="110" t="s">
        <v>605</v>
      </c>
      <c r="M265" s="110" t="s">
        <v>606</v>
      </c>
      <c r="N265" s="110" t="s">
        <v>189</v>
      </c>
      <c r="O265" s="111"/>
      <c r="P265" s="110" t="s">
        <v>306</v>
      </c>
      <c r="Q265" s="117"/>
    </row>
    <row r="266" ht="15.75" hidden="1" customHeight="1">
      <c r="A266" s="108">
        <v>30.0</v>
      </c>
      <c r="B266" s="108">
        <v>6.0</v>
      </c>
      <c r="C266" s="110">
        <v>952.0</v>
      </c>
      <c r="D266" s="109">
        <v>46224.0</v>
      </c>
      <c r="E266" s="110">
        <v>1.0</v>
      </c>
      <c r="F266" s="110" t="s">
        <v>157</v>
      </c>
      <c r="G266" s="110" t="s">
        <v>548</v>
      </c>
      <c r="H266" s="110">
        <v>14.0</v>
      </c>
      <c r="I266" s="111"/>
      <c r="J266" s="110" t="s">
        <v>344</v>
      </c>
      <c r="K266" s="110" t="s">
        <v>158</v>
      </c>
      <c r="L266" s="110" t="s">
        <v>606</v>
      </c>
      <c r="M266" s="110" t="s">
        <v>576</v>
      </c>
      <c r="N266" s="110" t="s">
        <v>189</v>
      </c>
      <c r="O266" s="111"/>
      <c r="P266" s="110" t="s">
        <v>306</v>
      </c>
      <c r="Q266" s="117"/>
    </row>
    <row r="267" ht="15.75" hidden="1" customHeight="1">
      <c r="A267" s="108">
        <v>30.0</v>
      </c>
      <c r="B267" s="108">
        <v>7.0</v>
      </c>
      <c r="C267" s="110">
        <v>955.0</v>
      </c>
      <c r="D267" s="109">
        <v>46224.0</v>
      </c>
      <c r="E267" s="110">
        <v>1.0</v>
      </c>
      <c r="F267" s="110" t="s">
        <v>157</v>
      </c>
      <c r="G267" s="110" t="s">
        <v>201</v>
      </c>
      <c r="H267" s="110">
        <v>14.0</v>
      </c>
      <c r="I267" s="111"/>
      <c r="J267" s="110" t="s">
        <v>150</v>
      </c>
      <c r="K267" s="110" t="s">
        <v>158</v>
      </c>
      <c r="L267" s="110" t="s">
        <v>576</v>
      </c>
      <c r="M267" s="110" t="s">
        <v>608</v>
      </c>
      <c r="N267" s="110" t="s">
        <v>189</v>
      </c>
      <c r="O267" s="111"/>
      <c r="P267" s="110" t="s">
        <v>306</v>
      </c>
      <c r="Q267" s="117"/>
    </row>
    <row r="268" ht="15.75" hidden="1" customHeight="1">
      <c r="A268" s="108">
        <v>30.0</v>
      </c>
      <c r="B268" s="108">
        <v>8.0</v>
      </c>
      <c r="C268" s="110">
        <v>956.0</v>
      </c>
      <c r="D268" s="109">
        <v>46224.0</v>
      </c>
      <c r="E268" s="110">
        <v>1.0</v>
      </c>
      <c r="F268" s="110" t="s">
        <v>157</v>
      </c>
      <c r="G268" s="110" t="s">
        <v>416</v>
      </c>
      <c r="H268" s="110">
        <v>14.0</v>
      </c>
      <c r="I268" s="111"/>
      <c r="J268" s="110" t="s">
        <v>326</v>
      </c>
      <c r="K268" s="110" t="s">
        <v>158</v>
      </c>
      <c r="L268" s="110" t="s">
        <v>608</v>
      </c>
      <c r="M268" s="110" t="s">
        <v>609</v>
      </c>
      <c r="N268" s="110" t="s">
        <v>189</v>
      </c>
      <c r="O268" s="111"/>
      <c r="P268" s="110" t="s">
        <v>306</v>
      </c>
      <c r="Q268" s="117"/>
    </row>
    <row r="269" ht="15.75" hidden="1" customHeight="1">
      <c r="A269" s="108">
        <v>30.0</v>
      </c>
      <c r="B269" s="108">
        <v>9.0</v>
      </c>
      <c r="C269" s="110">
        <v>957.0</v>
      </c>
      <c r="D269" s="109">
        <v>46224.0</v>
      </c>
      <c r="E269" s="110">
        <v>1.0</v>
      </c>
      <c r="F269" s="110" t="s">
        <v>157</v>
      </c>
      <c r="G269" s="110" t="s">
        <v>560</v>
      </c>
      <c r="H269" s="110">
        <v>14.0</v>
      </c>
      <c r="I269" s="111"/>
      <c r="J269" s="110" t="s">
        <v>288</v>
      </c>
      <c r="K269" s="110" t="s">
        <v>158</v>
      </c>
      <c r="L269" s="110" t="s">
        <v>609</v>
      </c>
      <c r="M269" s="110" t="s">
        <v>585</v>
      </c>
      <c r="N269" s="110" t="s">
        <v>189</v>
      </c>
      <c r="O269" s="111"/>
      <c r="P269" s="110" t="s">
        <v>306</v>
      </c>
      <c r="Q269" s="117"/>
    </row>
    <row r="270" ht="15.75" hidden="1" customHeight="1">
      <c r="A270" s="108">
        <v>30.0</v>
      </c>
      <c r="B270" s="108">
        <v>10.0</v>
      </c>
      <c r="C270" s="110">
        <v>958.0</v>
      </c>
      <c r="D270" s="109">
        <v>46224.0</v>
      </c>
      <c r="E270" s="110">
        <v>1.0</v>
      </c>
      <c r="F270" s="110" t="s">
        <v>157</v>
      </c>
      <c r="G270" s="110" t="s">
        <v>368</v>
      </c>
      <c r="H270" s="110">
        <v>14.0</v>
      </c>
      <c r="I270" s="111"/>
      <c r="J270" s="110" t="s">
        <v>122</v>
      </c>
      <c r="K270" s="110" t="s">
        <v>158</v>
      </c>
      <c r="L270" s="110" t="s">
        <v>585</v>
      </c>
      <c r="M270" s="110" t="s">
        <v>611</v>
      </c>
      <c r="N270" s="110" t="s">
        <v>189</v>
      </c>
      <c r="O270" s="111"/>
      <c r="P270" s="110" t="s">
        <v>306</v>
      </c>
      <c r="Q270" s="117"/>
    </row>
    <row r="271" ht="15.75" hidden="1" customHeight="1">
      <c r="A271" s="108">
        <v>30.0</v>
      </c>
      <c r="B271" s="108">
        <v>11.0</v>
      </c>
      <c r="C271" s="110">
        <v>960.0</v>
      </c>
      <c r="D271" s="109">
        <v>46224.0</v>
      </c>
      <c r="E271" s="110">
        <v>1.0</v>
      </c>
      <c r="F271" s="110" t="s">
        <v>157</v>
      </c>
      <c r="G271" s="110" t="s">
        <v>251</v>
      </c>
      <c r="H271" s="110">
        <v>14.0</v>
      </c>
      <c r="I271" s="111"/>
      <c r="J271" s="110" t="s">
        <v>313</v>
      </c>
      <c r="K271" s="110" t="s">
        <v>158</v>
      </c>
      <c r="L271" s="110" t="s">
        <v>611</v>
      </c>
      <c r="M271" s="110" t="s">
        <v>612</v>
      </c>
      <c r="N271" s="110" t="s">
        <v>189</v>
      </c>
      <c r="O271" s="111"/>
      <c r="P271" s="110" t="s">
        <v>306</v>
      </c>
      <c r="Q271" s="117"/>
    </row>
    <row r="272" ht="15.75" hidden="1" customHeight="1">
      <c r="A272" s="108">
        <v>30.0</v>
      </c>
      <c r="B272" s="108">
        <v>12.0</v>
      </c>
      <c r="C272" s="110">
        <v>959.0</v>
      </c>
      <c r="D272" s="109">
        <v>46224.0</v>
      </c>
      <c r="E272" s="110">
        <v>1.0</v>
      </c>
      <c r="F272" s="110" t="s">
        <v>157</v>
      </c>
      <c r="G272" s="110" t="s">
        <v>248</v>
      </c>
      <c r="H272" s="110">
        <v>14.0</v>
      </c>
      <c r="I272" s="111"/>
      <c r="J272" s="110" t="s">
        <v>146</v>
      </c>
      <c r="K272" s="110" t="s">
        <v>158</v>
      </c>
      <c r="L272" s="110" t="s">
        <v>590</v>
      </c>
      <c r="M272" s="110" t="s">
        <v>613</v>
      </c>
      <c r="N272" s="110" t="s">
        <v>189</v>
      </c>
      <c r="O272" s="111"/>
      <c r="P272" s="110" t="s">
        <v>306</v>
      </c>
      <c r="Q272" s="117"/>
    </row>
    <row r="273" ht="15.75" hidden="1" customHeight="1">
      <c r="A273" s="108">
        <v>30.0</v>
      </c>
      <c r="B273" s="108">
        <v>13.0</v>
      </c>
      <c r="C273" s="110">
        <v>962.0</v>
      </c>
      <c r="D273" s="109">
        <v>46224.0</v>
      </c>
      <c r="E273" s="110">
        <v>1.0</v>
      </c>
      <c r="F273" s="110" t="s">
        <v>157</v>
      </c>
      <c r="G273" s="110" t="s">
        <v>255</v>
      </c>
      <c r="H273" s="110">
        <v>14.0</v>
      </c>
      <c r="I273" s="111"/>
      <c r="J273" s="110" t="s">
        <v>561</v>
      </c>
      <c r="K273" s="110" t="s">
        <v>158</v>
      </c>
      <c r="L273" s="110" t="s">
        <v>613</v>
      </c>
      <c r="M273" s="110" t="s">
        <v>594</v>
      </c>
      <c r="N273" s="110" t="s">
        <v>189</v>
      </c>
      <c r="O273" s="111"/>
      <c r="P273" s="110" t="s">
        <v>306</v>
      </c>
      <c r="Q273" s="117"/>
    </row>
    <row r="274" ht="15.75" hidden="1" customHeight="1">
      <c r="A274" s="108">
        <v>30.0</v>
      </c>
      <c r="B274" s="108">
        <v>14.0</v>
      </c>
      <c r="C274" s="110">
        <v>961.0</v>
      </c>
      <c r="D274" s="109">
        <v>46224.0</v>
      </c>
      <c r="E274" s="110">
        <v>1.0</v>
      </c>
      <c r="F274" s="110" t="s">
        <v>157</v>
      </c>
      <c r="G274" s="110" t="s">
        <v>480</v>
      </c>
      <c r="H274" s="110">
        <v>14.0</v>
      </c>
      <c r="I274" s="111"/>
      <c r="J274" s="110" t="s">
        <v>284</v>
      </c>
      <c r="K274" s="110" t="s">
        <v>158</v>
      </c>
      <c r="L274" s="110" t="s">
        <v>594</v>
      </c>
      <c r="M274" s="110" t="s">
        <v>614</v>
      </c>
      <c r="N274" s="110" t="s">
        <v>189</v>
      </c>
      <c r="O274" s="111"/>
      <c r="P274" s="110" t="s">
        <v>306</v>
      </c>
      <c r="Q274" s="117"/>
    </row>
    <row r="275" ht="15.75" hidden="1" customHeight="1">
      <c r="A275" s="108">
        <v>30.0</v>
      </c>
      <c r="B275" s="108">
        <v>15.0</v>
      </c>
      <c r="C275" s="110">
        <v>963.0</v>
      </c>
      <c r="D275" s="109">
        <v>46224.0</v>
      </c>
      <c r="E275" s="110">
        <v>1.0</v>
      </c>
      <c r="F275" s="110" t="s">
        <v>157</v>
      </c>
      <c r="G275" s="110" t="s">
        <v>461</v>
      </c>
      <c r="H275" s="110">
        <v>14.0</v>
      </c>
      <c r="I275" s="111"/>
      <c r="J275" s="110" t="s">
        <v>208</v>
      </c>
      <c r="K275" s="110" t="s">
        <v>158</v>
      </c>
      <c r="L275" s="110" t="s">
        <v>614</v>
      </c>
      <c r="M275" s="110" t="s">
        <v>615</v>
      </c>
      <c r="N275" s="110" t="s">
        <v>189</v>
      </c>
      <c r="O275" s="111"/>
      <c r="P275" s="110" t="s">
        <v>306</v>
      </c>
      <c r="Q275" s="117"/>
    </row>
    <row r="276" ht="15.75" hidden="1" customHeight="1">
      <c r="A276" s="108">
        <v>30.0</v>
      </c>
      <c r="B276" s="108">
        <v>2.0</v>
      </c>
      <c r="C276" s="110">
        <v>965.0</v>
      </c>
      <c r="D276" s="109">
        <v>46225.0</v>
      </c>
      <c r="E276" s="110">
        <v>1.0</v>
      </c>
      <c r="F276" s="110" t="s">
        <v>157</v>
      </c>
      <c r="G276" s="110" t="s">
        <v>295</v>
      </c>
      <c r="H276" s="110">
        <v>14.0</v>
      </c>
      <c r="I276" s="111"/>
      <c r="J276" s="110" t="s">
        <v>118</v>
      </c>
      <c r="K276" s="110" t="s">
        <v>158</v>
      </c>
      <c r="L276" s="110" t="s">
        <v>615</v>
      </c>
      <c r="M276" s="110" t="s">
        <v>616</v>
      </c>
      <c r="N276" s="110" t="s">
        <v>189</v>
      </c>
      <c r="O276" s="111"/>
      <c r="P276" s="110" t="s">
        <v>306</v>
      </c>
      <c r="Q276" s="117"/>
    </row>
    <row r="277" ht="15.75" hidden="1" customHeight="1">
      <c r="A277" s="108">
        <v>30.0</v>
      </c>
      <c r="B277" s="108">
        <v>3.0</v>
      </c>
      <c r="C277" s="31">
        <v>966.0</v>
      </c>
      <c r="D277" s="118">
        <v>46225.0</v>
      </c>
      <c r="E277" s="31">
        <v>1.0</v>
      </c>
      <c r="F277" s="31" t="s">
        <v>157</v>
      </c>
      <c r="G277" s="31" t="s">
        <v>196</v>
      </c>
      <c r="H277" s="31">
        <v>14.0</v>
      </c>
      <c r="I277" s="18"/>
      <c r="J277" s="31" t="s">
        <v>351</v>
      </c>
      <c r="K277" s="31" t="s">
        <v>158</v>
      </c>
      <c r="L277" s="31" t="s">
        <v>616</v>
      </c>
      <c r="M277" s="31" t="s">
        <v>617</v>
      </c>
      <c r="N277" s="31" t="s">
        <v>189</v>
      </c>
      <c r="O277" s="18"/>
      <c r="P277" s="31" t="s">
        <v>306</v>
      </c>
      <c r="Q277" s="117"/>
    </row>
    <row r="278" ht="15.75" hidden="1" customHeight="1">
      <c r="A278" s="108">
        <v>30.0</v>
      </c>
      <c r="B278" s="108">
        <v>4.0</v>
      </c>
      <c r="C278" s="31">
        <v>967.0</v>
      </c>
      <c r="D278" s="118">
        <v>46225.0</v>
      </c>
      <c r="E278" s="31">
        <v>1.0</v>
      </c>
      <c r="F278" s="31" t="s">
        <v>157</v>
      </c>
      <c r="G278" s="31" t="s">
        <v>618</v>
      </c>
      <c r="H278" s="31">
        <v>14.0</v>
      </c>
      <c r="I278" s="18"/>
      <c r="J278" s="31" t="s">
        <v>155</v>
      </c>
      <c r="K278" s="31" t="s">
        <v>158</v>
      </c>
      <c r="L278" s="31" t="s">
        <v>617</v>
      </c>
      <c r="M278" s="31" t="s">
        <v>619</v>
      </c>
      <c r="N278" s="31" t="s">
        <v>189</v>
      </c>
      <c r="O278" s="18"/>
      <c r="P278" s="31" t="s">
        <v>306</v>
      </c>
      <c r="Q278" s="117"/>
    </row>
    <row r="279" ht="15.75" hidden="1" customHeight="1">
      <c r="A279" s="108">
        <v>30.0</v>
      </c>
      <c r="B279" s="108">
        <v>5.0</v>
      </c>
      <c r="C279" s="31">
        <v>968.0</v>
      </c>
      <c r="D279" s="118">
        <v>46225.0</v>
      </c>
      <c r="E279" s="31">
        <v>1.0</v>
      </c>
      <c r="F279" s="31" t="s">
        <v>157</v>
      </c>
      <c r="G279" s="31" t="s">
        <v>368</v>
      </c>
      <c r="H279" s="31">
        <v>14.0</v>
      </c>
      <c r="I279" s="18"/>
      <c r="J279" s="31" t="s">
        <v>122</v>
      </c>
      <c r="K279" s="31" t="s">
        <v>158</v>
      </c>
      <c r="L279" s="31" t="s">
        <v>619</v>
      </c>
      <c r="M279" s="31" t="s">
        <v>620</v>
      </c>
      <c r="N279" s="31" t="s">
        <v>189</v>
      </c>
      <c r="O279" s="18"/>
      <c r="P279" s="31" t="s">
        <v>306</v>
      </c>
      <c r="Q279" s="117"/>
    </row>
    <row r="280" ht="15.75" hidden="1" customHeight="1">
      <c r="A280" s="108">
        <v>30.0</v>
      </c>
      <c r="B280" s="108">
        <v>1.0</v>
      </c>
      <c r="C280" s="31">
        <v>964.0</v>
      </c>
      <c r="D280" s="118">
        <v>46225.0</v>
      </c>
      <c r="E280" s="31">
        <v>1.0</v>
      </c>
      <c r="F280" s="31" t="s">
        <v>157</v>
      </c>
      <c r="G280" s="31" t="s">
        <v>480</v>
      </c>
      <c r="H280" s="31">
        <v>14.0</v>
      </c>
      <c r="I280" s="18"/>
      <c r="J280" s="31" t="s">
        <v>284</v>
      </c>
      <c r="K280" s="31" t="s">
        <v>158</v>
      </c>
      <c r="L280" s="31" t="s">
        <v>620</v>
      </c>
      <c r="M280" s="31" t="s">
        <v>621</v>
      </c>
      <c r="N280" s="31" t="s">
        <v>189</v>
      </c>
      <c r="O280" s="18"/>
      <c r="P280" s="31" t="s">
        <v>306</v>
      </c>
      <c r="Q280" s="117"/>
    </row>
    <row r="281" ht="15.75" hidden="1" customHeight="1">
      <c r="A281" s="108">
        <v>30.0</v>
      </c>
      <c r="B281" s="108">
        <v>7.0</v>
      </c>
      <c r="C281" s="31">
        <v>972.0</v>
      </c>
      <c r="D281" s="118">
        <v>46225.0</v>
      </c>
      <c r="E281" s="31">
        <v>1.0</v>
      </c>
      <c r="F281" s="31" t="s">
        <v>157</v>
      </c>
      <c r="G281" s="31" t="s">
        <v>251</v>
      </c>
      <c r="H281" s="31">
        <v>14.0</v>
      </c>
      <c r="I281" s="18"/>
      <c r="J281" s="31" t="s">
        <v>313</v>
      </c>
      <c r="K281" s="31" t="s">
        <v>158</v>
      </c>
      <c r="L281" s="31" t="s">
        <v>621</v>
      </c>
      <c r="M281" s="31" t="s">
        <v>622</v>
      </c>
      <c r="N281" s="31" t="s">
        <v>189</v>
      </c>
      <c r="O281" s="18"/>
      <c r="P281" s="31" t="s">
        <v>306</v>
      </c>
      <c r="Q281" s="117"/>
    </row>
    <row r="282" ht="15.75" hidden="1" customHeight="1">
      <c r="A282" s="108">
        <v>30.0</v>
      </c>
      <c r="B282" s="108">
        <v>6.0</v>
      </c>
      <c r="C282" s="31">
        <v>969.0</v>
      </c>
      <c r="D282" s="118">
        <v>46225.0</v>
      </c>
      <c r="E282" s="31">
        <v>1.0</v>
      </c>
      <c r="F282" s="31" t="s">
        <v>157</v>
      </c>
      <c r="G282" s="31" t="s">
        <v>320</v>
      </c>
      <c r="H282" s="31">
        <v>14.0</v>
      </c>
      <c r="I282" s="18"/>
      <c r="J282" s="31" t="s">
        <v>321</v>
      </c>
      <c r="K282" s="31" t="s">
        <v>158</v>
      </c>
      <c r="L282" s="31" t="s">
        <v>622</v>
      </c>
      <c r="M282" s="31" t="s">
        <v>623</v>
      </c>
      <c r="N282" s="31" t="s">
        <v>189</v>
      </c>
      <c r="O282" s="18"/>
      <c r="P282" s="31" t="s">
        <v>306</v>
      </c>
      <c r="Q282" s="117"/>
    </row>
    <row r="283" ht="15.75" hidden="1" customHeight="1">
      <c r="A283" s="108">
        <v>30.0</v>
      </c>
      <c r="B283" s="108">
        <v>8.0</v>
      </c>
      <c r="C283" s="31">
        <v>970.0</v>
      </c>
      <c r="D283" s="118">
        <v>46225.0</v>
      </c>
      <c r="E283" s="31">
        <v>1.0</v>
      </c>
      <c r="F283" s="31" t="s">
        <v>157</v>
      </c>
      <c r="G283" s="31" t="s">
        <v>248</v>
      </c>
      <c r="H283" s="31">
        <v>14.0</v>
      </c>
      <c r="I283" s="18"/>
      <c r="J283" s="31" t="s">
        <v>146</v>
      </c>
      <c r="K283" s="31" t="s">
        <v>158</v>
      </c>
      <c r="L283" s="31" t="s">
        <v>623</v>
      </c>
      <c r="M283" s="31" t="s">
        <v>624</v>
      </c>
      <c r="N283" s="31" t="s">
        <v>189</v>
      </c>
      <c r="O283" s="18"/>
      <c r="P283" s="31" t="s">
        <v>306</v>
      </c>
      <c r="Q283" s="117"/>
    </row>
    <row r="284" ht="15.75" hidden="1" customHeight="1">
      <c r="A284" s="108">
        <v>30.0</v>
      </c>
      <c r="B284" s="108">
        <v>9.0</v>
      </c>
      <c r="C284" s="31">
        <v>971.0</v>
      </c>
      <c r="D284" s="118">
        <v>46225.0</v>
      </c>
      <c r="E284" s="31">
        <v>1.0</v>
      </c>
      <c r="F284" s="31" t="s">
        <v>157</v>
      </c>
      <c r="G284" s="31" t="s">
        <v>357</v>
      </c>
      <c r="H284" s="31">
        <v>14.0</v>
      </c>
      <c r="I284" s="18"/>
      <c r="J284" s="31" t="s">
        <v>288</v>
      </c>
      <c r="K284" s="31" t="s">
        <v>158</v>
      </c>
      <c r="L284" s="31" t="s">
        <v>624</v>
      </c>
      <c r="M284" s="31" t="s">
        <v>626</v>
      </c>
      <c r="N284" s="31" t="s">
        <v>189</v>
      </c>
      <c r="O284" s="18"/>
      <c r="P284" s="31" t="s">
        <v>306</v>
      </c>
      <c r="Q284" s="117"/>
    </row>
    <row r="285" ht="15.75" hidden="1" customHeight="1">
      <c r="A285" s="108">
        <v>30.0</v>
      </c>
      <c r="B285" s="108">
        <v>10.0</v>
      </c>
      <c r="C285" s="31">
        <v>973.0</v>
      </c>
      <c r="D285" s="118">
        <v>46225.0</v>
      </c>
      <c r="E285" s="31">
        <v>1.0</v>
      </c>
      <c r="F285" s="31" t="s">
        <v>157</v>
      </c>
      <c r="G285" s="31" t="s">
        <v>201</v>
      </c>
      <c r="H285" s="31">
        <v>14.0</v>
      </c>
      <c r="I285" s="18"/>
      <c r="J285" s="31" t="s">
        <v>150</v>
      </c>
      <c r="K285" s="31" t="s">
        <v>158</v>
      </c>
      <c r="L285" s="31" t="s">
        <v>626</v>
      </c>
      <c r="M285" s="31" t="s">
        <v>627</v>
      </c>
      <c r="N285" s="31" t="s">
        <v>189</v>
      </c>
      <c r="O285" s="18"/>
      <c r="P285" s="31" t="s">
        <v>306</v>
      </c>
      <c r="Q285" s="117"/>
    </row>
    <row r="286" ht="15.75" hidden="1" customHeight="1">
      <c r="A286" s="108">
        <v>30.0</v>
      </c>
      <c r="B286" s="108">
        <v>11.0</v>
      </c>
      <c r="C286" s="31">
        <v>974.0</v>
      </c>
      <c r="D286" s="118">
        <v>46225.0</v>
      </c>
      <c r="E286" s="31">
        <v>1.0</v>
      </c>
      <c r="F286" s="31" t="s">
        <v>157</v>
      </c>
      <c r="G286" s="31" t="s">
        <v>488</v>
      </c>
      <c r="H286" s="31">
        <v>14.0</v>
      </c>
      <c r="I286" s="18"/>
      <c r="J286" s="31" t="s">
        <v>195</v>
      </c>
      <c r="K286" s="31" t="s">
        <v>158</v>
      </c>
      <c r="L286" s="31" t="s">
        <v>627</v>
      </c>
      <c r="M286" s="31" t="s">
        <v>628</v>
      </c>
      <c r="N286" s="31" t="s">
        <v>189</v>
      </c>
      <c r="O286" s="18"/>
      <c r="P286" s="31" t="s">
        <v>306</v>
      </c>
      <c r="Q286" s="117"/>
    </row>
    <row r="287" ht="15.75" hidden="1" customHeight="1">
      <c r="A287" s="108">
        <v>30.0</v>
      </c>
      <c r="B287" s="108">
        <v>12.0</v>
      </c>
      <c r="C287" s="31">
        <v>975.0</v>
      </c>
      <c r="D287" s="118">
        <v>46225.0</v>
      </c>
      <c r="E287" s="31">
        <v>1.0</v>
      </c>
      <c r="F287" s="31" t="s">
        <v>157</v>
      </c>
      <c r="G287" s="31" t="s">
        <v>295</v>
      </c>
      <c r="H287" s="31">
        <v>14.0</v>
      </c>
      <c r="I287" s="18"/>
      <c r="J287" s="31" t="s">
        <v>118</v>
      </c>
      <c r="K287" s="31" t="s">
        <v>158</v>
      </c>
      <c r="L287" s="31" t="s">
        <v>628</v>
      </c>
      <c r="M287" s="31" t="s">
        <v>629</v>
      </c>
      <c r="N287" s="31" t="s">
        <v>189</v>
      </c>
      <c r="O287" s="18"/>
      <c r="P287" s="31" t="s">
        <v>306</v>
      </c>
      <c r="Q287" s="117"/>
    </row>
    <row r="288" ht="15.75" hidden="1" customHeight="1">
      <c r="A288" s="108">
        <v>30.0</v>
      </c>
      <c r="B288" s="108">
        <v>13.0</v>
      </c>
      <c r="C288" s="31">
        <v>977.0</v>
      </c>
      <c r="D288" s="118">
        <v>46225.0</v>
      </c>
      <c r="E288" s="31">
        <v>1.0</v>
      </c>
      <c r="F288" s="31" t="s">
        <v>157</v>
      </c>
      <c r="G288" s="31" t="s">
        <v>618</v>
      </c>
      <c r="H288" s="31">
        <v>14.0</v>
      </c>
      <c r="I288" s="18"/>
      <c r="J288" s="31" t="s">
        <v>155</v>
      </c>
      <c r="K288" s="31" t="s">
        <v>158</v>
      </c>
      <c r="L288" s="31" t="s">
        <v>629</v>
      </c>
      <c r="M288" s="31" t="s">
        <v>630</v>
      </c>
      <c r="N288" s="31" t="s">
        <v>189</v>
      </c>
      <c r="O288" s="18"/>
      <c r="P288" s="31" t="s">
        <v>306</v>
      </c>
      <c r="Q288" s="117"/>
    </row>
    <row r="289" ht="15.75" hidden="1" customHeight="1">
      <c r="A289" s="108">
        <v>30.0</v>
      </c>
      <c r="B289" s="108">
        <v>14.0</v>
      </c>
      <c r="C289" s="31">
        <v>976.0</v>
      </c>
      <c r="D289" s="118">
        <v>46225.0</v>
      </c>
      <c r="E289" s="31">
        <v>1.0</v>
      </c>
      <c r="F289" s="31" t="s">
        <v>157</v>
      </c>
      <c r="G289" s="31" t="s">
        <v>196</v>
      </c>
      <c r="H289" s="31">
        <v>14.0</v>
      </c>
      <c r="I289" s="18"/>
      <c r="J289" s="31" t="s">
        <v>351</v>
      </c>
      <c r="K289" s="31" t="s">
        <v>158</v>
      </c>
      <c r="L289" s="31" t="s">
        <v>630</v>
      </c>
      <c r="M289" s="31" t="s">
        <v>631</v>
      </c>
      <c r="N289" s="31" t="s">
        <v>189</v>
      </c>
      <c r="O289" s="18"/>
      <c r="P289" s="31" t="s">
        <v>306</v>
      </c>
      <c r="Q289" s="117"/>
    </row>
    <row r="290" ht="15.75" hidden="1" customHeight="1">
      <c r="A290" s="108">
        <v>30.0</v>
      </c>
      <c r="B290" s="108">
        <v>15.0</v>
      </c>
      <c r="C290" s="31">
        <v>978.0</v>
      </c>
      <c r="D290" s="118">
        <v>46225.0</v>
      </c>
      <c r="E290" s="31">
        <v>1.0</v>
      </c>
      <c r="F290" s="31" t="s">
        <v>157</v>
      </c>
      <c r="G290" s="31" t="s">
        <v>368</v>
      </c>
      <c r="H290" s="31">
        <v>14.0</v>
      </c>
      <c r="I290" s="18"/>
      <c r="J290" s="31" t="s">
        <v>122</v>
      </c>
      <c r="K290" s="31" t="s">
        <v>158</v>
      </c>
      <c r="L290" s="31" t="s">
        <v>631</v>
      </c>
      <c r="M290" s="31" t="s">
        <v>632</v>
      </c>
      <c r="N290" s="31" t="s">
        <v>189</v>
      </c>
      <c r="O290" s="18"/>
      <c r="P290" s="31" t="s">
        <v>306</v>
      </c>
      <c r="Q290" s="117"/>
    </row>
    <row r="291" ht="15.75" hidden="1" customHeight="1">
      <c r="A291" s="108">
        <v>30.0</v>
      </c>
      <c r="B291" s="108">
        <v>1.0</v>
      </c>
      <c r="C291" s="31">
        <v>979.0</v>
      </c>
      <c r="D291" s="118">
        <v>46226.0</v>
      </c>
      <c r="E291" s="31">
        <v>1.0</v>
      </c>
      <c r="F291" s="31" t="s">
        <v>157</v>
      </c>
      <c r="G291" s="31" t="s">
        <v>251</v>
      </c>
      <c r="H291" s="31">
        <v>14.0</v>
      </c>
      <c r="I291" s="18"/>
      <c r="J291" s="31" t="s">
        <v>313</v>
      </c>
      <c r="K291" s="31" t="s">
        <v>158</v>
      </c>
      <c r="L291" s="31" t="s">
        <v>600</v>
      </c>
      <c r="M291" s="31" t="s">
        <v>633</v>
      </c>
      <c r="N291" s="31" t="s">
        <v>189</v>
      </c>
      <c r="O291" s="18"/>
      <c r="P291" s="31" t="s">
        <v>283</v>
      </c>
      <c r="Q291" s="117"/>
    </row>
    <row r="292" ht="15.75" hidden="1" customHeight="1">
      <c r="A292" s="108">
        <v>30.0</v>
      </c>
      <c r="B292" s="108">
        <v>2.0</v>
      </c>
      <c r="C292" s="31">
        <v>980.0</v>
      </c>
      <c r="D292" s="118">
        <v>46226.0</v>
      </c>
      <c r="E292" s="31">
        <v>1.0</v>
      </c>
      <c r="F292" s="31" t="s">
        <v>157</v>
      </c>
      <c r="G292" s="31" t="s">
        <v>634</v>
      </c>
      <c r="H292" s="31">
        <v>14.0</v>
      </c>
      <c r="I292" s="18"/>
      <c r="J292" s="31" t="s">
        <v>118</v>
      </c>
      <c r="K292" s="31" t="s">
        <v>158</v>
      </c>
      <c r="L292" s="31" t="s">
        <v>633</v>
      </c>
      <c r="M292" s="31" t="s">
        <v>635</v>
      </c>
      <c r="N292" s="31" t="s">
        <v>189</v>
      </c>
      <c r="O292" s="18"/>
      <c r="P292" s="31" t="s">
        <v>283</v>
      </c>
      <c r="Q292" s="117"/>
    </row>
    <row r="293" ht="15.75" hidden="1" customHeight="1">
      <c r="A293" s="108">
        <v>30.0</v>
      </c>
      <c r="B293" s="108">
        <v>3.0</v>
      </c>
      <c r="C293" s="31">
        <v>981.0</v>
      </c>
      <c r="D293" s="118">
        <v>46226.0</v>
      </c>
      <c r="E293" s="31">
        <v>1.0</v>
      </c>
      <c r="F293" s="31" t="s">
        <v>157</v>
      </c>
      <c r="G293" s="31" t="s">
        <v>201</v>
      </c>
      <c r="H293" s="31">
        <v>14.0</v>
      </c>
      <c r="I293" s="18"/>
      <c r="J293" s="31" t="s">
        <v>150</v>
      </c>
      <c r="K293" s="31" t="s">
        <v>158</v>
      </c>
      <c r="L293" s="31" t="s">
        <v>635</v>
      </c>
      <c r="M293" s="31" t="s">
        <v>636</v>
      </c>
      <c r="N293" s="31" t="s">
        <v>189</v>
      </c>
      <c r="O293" s="18"/>
      <c r="P293" s="31" t="s">
        <v>283</v>
      </c>
      <c r="Q293" s="117"/>
    </row>
    <row r="294" ht="15.75" hidden="1" customHeight="1">
      <c r="A294" s="108">
        <v>30.0</v>
      </c>
      <c r="B294" s="108">
        <v>4.0</v>
      </c>
      <c r="C294" s="31">
        <v>985.0</v>
      </c>
      <c r="D294" s="118">
        <v>46226.0</v>
      </c>
      <c r="E294" s="31">
        <v>1.0</v>
      </c>
      <c r="F294" s="31" t="s">
        <v>157</v>
      </c>
      <c r="G294" s="31" t="s">
        <v>488</v>
      </c>
      <c r="H294" s="31">
        <v>14.0</v>
      </c>
      <c r="I294" s="18"/>
      <c r="J294" s="31" t="s">
        <v>195</v>
      </c>
      <c r="K294" s="31" t="s">
        <v>158</v>
      </c>
      <c r="L294" s="31" t="s">
        <v>636</v>
      </c>
      <c r="M294" s="31" t="s">
        <v>637</v>
      </c>
      <c r="N294" s="31" t="s">
        <v>189</v>
      </c>
      <c r="O294" s="18"/>
      <c r="P294" s="31" t="s">
        <v>283</v>
      </c>
      <c r="Q294" s="117"/>
    </row>
    <row r="295" ht="15.75" hidden="1" customHeight="1">
      <c r="A295" s="108">
        <v>30.0</v>
      </c>
      <c r="B295" s="108">
        <v>5.0</v>
      </c>
      <c r="C295" s="31">
        <v>983.0</v>
      </c>
      <c r="D295" s="118">
        <v>46226.0</v>
      </c>
      <c r="E295" s="31">
        <v>1.0</v>
      </c>
      <c r="F295" s="31" t="s">
        <v>157</v>
      </c>
      <c r="G295" s="31" t="s">
        <v>638</v>
      </c>
      <c r="H295" s="31">
        <v>14.0</v>
      </c>
      <c r="I295" s="18"/>
      <c r="J295" s="31" t="s">
        <v>326</v>
      </c>
      <c r="K295" s="31" t="s">
        <v>158</v>
      </c>
      <c r="L295" s="31" t="s">
        <v>637</v>
      </c>
      <c r="M295" s="31" t="s">
        <v>623</v>
      </c>
      <c r="N295" s="31" t="s">
        <v>189</v>
      </c>
      <c r="O295" s="18"/>
      <c r="P295" s="31" t="s">
        <v>283</v>
      </c>
      <c r="Q295" s="117"/>
    </row>
    <row r="296" ht="15.75" hidden="1" customHeight="1">
      <c r="A296" s="108">
        <v>30.0</v>
      </c>
      <c r="B296" s="108">
        <v>6.0</v>
      </c>
      <c r="C296" s="31">
        <v>982.0</v>
      </c>
      <c r="D296" s="118">
        <v>46226.0</v>
      </c>
      <c r="E296" s="31">
        <v>1.0</v>
      </c>
      <c r="F296" s="31" t="s">
        <v>157</v>
      </c>
      <c r="G296" s="31" t="s">
        <v>474</v>
      </c>
      <c r="H296" s="31">
        <v>14.0</v>
      </c>
      <c r="I296" s="18"/>
      <c r="J296" s="31" t="s">
        <v>593</v>
      </c>
      <c r="K296" s="31" t="s">
        <v>158</v>
      </c>
      <c r="L296" s="31" t="s">
        <v>623</v>
      </c>
      <c r="M296" s="31" t="s">
        <v>639</v>
      </c>
      <c r="N296" s="31" t="s">
        <v>189</v>
      </c>
      <c r="O296" s="18"/>
      <c r="P296" s="31" t="s">
        <v>306</v>
      </c>
      <c r="Q296" s="117"/>
    </row>
    <row r="297" ht="15.75" hidden="1" customHeight="1">
      <c r="A297" s="108">
        <v>30.0</v>
      </c>
      <c r="B297" s="108">
        <v>7.0</v>
      </c>
      <c r="C297" s="31">
        <v>986.0</v>
      </c>
      <c r="D297" s="118">
        <v>46226.0</v>
      </c>
      <c r="E297" s="31">
        <v>1.0</v>
      </c>
      <c r="F297" s="31" t="s">
        <v>157</v>
      </c>
      <c r="G297" s="31" t="s">
        <v>368</v>
      </c>
      <c r="H297" s="31">
        <v>14.0</v>
      </c>
      <c r="I297" s="18"/>
      <c r="J297" s="31" t="s">
        <v>122</v>
      </c>
      <c r="K297" s="31" t="s">
        <v>158</v>
      </c>
      <c r="L297" s="31" t="s">
        <v>639</v>
      </c>
      <c r="M297" s="31" t="s">
        <v>640</v>
      </c>
      <c r="N297" s="31" t="s">
        <v>189</v>
      </c>
      <c r="O297" s="18"/>
      <c r="P297" s="31" t="s">
        <v>283</v>
      </c>
      <c r="Q297" s="117"/>
    </row>
    <row r="298" ht="15.75" hidden="1" customHeight="1">
      <c r="A298" s="108">
        <v>30.0</v>
      </c>
      <c r="B298" s="108">
        <v>8.0</v>
      </c>
      <c r="C298" s="31">
        <v>989.0</v>
      </c>
      <c r="D298" s="118">
        <v>46226.0</v>
      </c>
      <c r="E298" s="31">
        <v>1.0</v>
      </c>
      <c r="F298" s="31" t="s">
        <v>157</v>
      </c>
      <c r="G298" s="31" t="s">
        <v>480</v>
      </c>
      <c r="H298" s="31">
        <v>14.0</v>
      </c>
      <c r="I298" s="18"/>
      <c r="J298" s="31" t="s">
        <v>284</v>
      </c>
      <c r="K298" s="31" t="s">
        <v>158</v>
      </c>
      <c r="L298" s="31" t="s">
        <v>640</v>
      </c>
      <c r="M298" s="31" t="s">
        <v>641</v>
      </c>
      <c r="N298" s="31" t="s">
        <v>189</v>
      </c>
      <c r="O298" s="18"/>
      <c r="P298" s="31" t="s">
        <v>283</v>
      </c>
      <c r="Q298" s="117"/>
    </row>
    <row r="299" ht="15.75" hidden="1" customHeight="1">
      <c r="A299" s="108">
        <v>30.0</v>
      </c>
      <c r="B299" s="108">
        <v>9.0</v>
      </c>
      <c r="C299" s="31">
        <v>984.0</v>
      </c>
      <c r="D299" s="118">
        <v>46226.0</v>
      </c>
      <c r="E299" s="31">
        <v>1.0</v>
      </c>
      <c r="F299" s="31" t="s">
        <v>157</v>
      </c>
      <c r="G299" s="31" t="s">
        <v>427</v>
      </c>
      <c r="H299" s="31">
        <v>14.0</v>
      </c>
      <c r="I299" s="18"/>
      <c r="J299" s="31" t="s">
        <v>344</v>
      </c>
      <c r="K299" s="31" t="s">
        <v>158</v>
      </c>
      <c r="L299" s="31" t="s">
        <v>641</v>
      </c>
      <c r="M299" s="31" t="s">
        <v>643</v>
      </c>
      <c r="N299" s="31" t="s">
        <v>189</v>
      </c>
      <c r="O299" s="18"/>
      <c r="P299" s="31" t="s">
        <v>283</v>
      </c>
      <c r="Q299" s="117"/>
    </row>
    <row r="300" ht="15.75" hidden="1" customHeight="1">
      <c r="A300" s="108">
        <v>30.0</v>
      </c>
      <c r="B300" s="108">
        <v>10.0</v>
      </c>
      <c r="C300" s="31">
        <v>987.0</v>
      </c>
      <c r="D300" s="118">
        <v>46226.0</v>
      </c>
      <c r="E300" s="31">
        <v>1.0</v>
      </c>
      <c r="F300" s="31" t="s">
        <v>157</v>
      </c>
      <c r="G300" s="31" t="s">
        <v>555</v>
      </c>
      <c r="H300" s="31">
        <v>14.0</v>
      </c>
      <c r="I300" s="18"/>
      <c r="J300" s="31" t="s">
        <v>242</v>
      </c>
      <c r="K300" s="31" t="s">
        <v>158</v>
      </c>
      <c r="L300" s="31" t="s">
        <v>643</v>
      </c>
      <c r="M300" s="31" t="s">
        <v>644</v>
      </c>
      <c r="N300" s="31" t="s">
        <v>189</v>
      </c>
      <c r="O300" s="18"/>
      <c r="P300" s="31" t="s">
        <v>283</v>
      </c>
      <c r="Q300" s="117"/>
    </row>
    <row r="301" ht="15.75" hidden="1" customHeight="1">
      <c r="A301" s="108">
        <v>30.0</v>
      </c>
      <c r="B301" s="108">
        <v>11.0</v>
      </c>
      <c r="C301" s="31">
        <v>990.0</v>
      </c>
      <c r="D301" s="118">
        <v>46226.0</v>
      </c>
      <c r="E301" s="31">
        <v>1.0</v>
      </c>
      <c r="F301" s="31" t="s">
        <v>157</v>
      </c>
      <c r="G301" s="31" t="s">
        <v>251</v>
      </c>
      <c r="H301" s="31">
        <v>14.0</v>
      </c>
      <c r="I301" s="18"/>
      <c r="J301" s="31" t="s">
        <v>313</v>
      </c>
      <c r="K301" s="31" t="s">
        <v>158</v>
      </c>
      <c r="L301" s="31" t="s">
        <v>644</v>
      </c>
      <c r="M301" s="31" t="s">
        <v>645</v>
      </c>
      <c r="N301" s="31" t="s">
        <v>189</v>
      </c>
      <c r="O301" s="18"/>
      <c r="P301" s="31" t="s">
        <v>283</v>
      </c>
      <c r="Q301" s="117"/>
    </row>
    <row r="302" ht="15.75" hidden="1" customHeight="1">
      <c r="A302" s="108">
        <v>30.0</v>
      </c>
      <c r="B302" s="108">
        <v>12.0</v>
      </c>
      <c r="C302" s="31">
        <v>991.0</v>
      </c>
      <c r="D302" s="118">
        <v>46226.0</v>
      </c>
      <c r="E302" s="31">
        <v>1.0</v>
      </c>
      <c r="F302" s="31" t="s">
        <v>157</v>
      </c>
      <c r="G302" s="31" t="s">
        <v>295</v>
      </c>
      <c r="H302" s="31">
        <v>14.0</v>
      </c>
      <c r="I302" s="18"/>
      <c r="J302" s="31" t="s">
        <v>118</v>
      </c>
      <c r="K302" s="31" t="s">
        <v>158</v>
      </c>
      <c r="L302" s="31" t="s">
        <v>645</v>
      </c>
      <c r="M302" s="31" t="s">
        <v>632</v>
      </c>
      <c r="N302" s="31" t="s">
        <v>189</v>
      </c>
      <c r="O302" s="18"/>
      <c r="P302" s="31" t="s">
        <v>283</v>
      </c>
      <c r="Q302" s="117"/>
    </row>
    <row r="303" ht="15.75" hidden="1" customHeight="1">
      <c r="A303" s="108">
        <v>30.0</v>
      </c>
      <c r="B303" s="108">
        <v>13.0</v>
      </c>
      <c r="C303" s="31">
        <v>992.0</v>
      </c>
      <c r="D303" s="118">
        <v>46226.0</v>
      </c>
      <c r="E303" s="31">
        <v>1.0</v>
      </c>
      <c r="F303" s="31" t="s">
        <v>157</v>
      </c>
      <c r="G303" s="31" t="s">
        <v>201</v>
      </c>
      <c r="H303" s="31">
        <v>14.0</v>
      </c>
      <c r="I303" s="18"/>
      <c r="J303" s="31" t="s">
        <v>150</v>
      </c>
      <c r="K303" s="31" t="s">
        <v>158</v>
      </c>
      <c r="L303" s="31" t="s">
        <v>632</v>
      </c>
      <c r="M303" s="31" t="s">
        <v>646</v>
      </c>
      <c r="N303" s="31" t="s">
        <v>189</v>
      </c>
      <c r="O303" s="18"/>
      <c r="P303" s="31" t="s">
        <v>283</v>
      </c>
      <c r="Q303" s="117"/>
    </row>
    <row r="304" ht="15.75" hidden="1" customHeight="1">
      <c r="A304" s="108">
        <v>30.0</v>
      </c>
      <c r="B304" s="108">
        <v>14.0</v>
      </c>
      <c r="C304" s="31">
        <v>993.0</v>
      </c>
      <c r="D304" s="118">
        <v>46226.0</v>
      </c>
      <c r="E304" s="31">
        <v>1.0</v>
      </c>
      <c r="F304" s="31" t="s">
        <v>157</v>
      </c>
      <c r="G304" s="31" t="s">
        <v>488</v>
      </c>
      <c r="H304" s="31">
        <v>14.0</v>
      </c>
      <c r="I304" s="18"/>
      <c r="J304" s="31" t="s">
        <v>195</v>
      </c>
      <c r="K304" s="31" t="s">
        <v>158</v>
      </c>
      <c r="L304" s="31" t="s">
        <v>631</v>
      </c>
      <c r="M304" s="31" t="s">
        <v>632</v>
      </c>
      <c r="N304" s="31" t="s">
        <v>189</v>
      </c>
      <c r="O304" s="18"/>
      <c r="P304" s="31" t="s">
        <v>283</v>
      </c>
      <c r="Q304" s="117"/>
    </row>
    <row r="305" ht="15.75" hidden="1" customHeight="1">
      <c r="A305" s="108">
        <v>30.0</v>
      </c>
      <c r="B305" s="108">
        <v>15.0</v>
      </c>
      <c r="C305" s="31">
        <v>994.0</v>
      </c>
      <c r="D305" s="118">
        <v>46226.0</v>
      </c>
      <c r="E305" s="31">
        <v>1.0</v>
      </c>
      <c r="F305" s="31" t="s">
        <v>157</v>
      </c>
      <c r="G305" s="31" t="s">
        <v>416</v>
      </c>
      <c r="H305" s="31">
        <v>14.0</v>
      </c>
      <c r="I305" s="18"/>
      <c r="J305" s="31" t="s">
        <v>326</v>
      </c>
      <c r="K305" s="31" t="s">
        <v>158</v>
      </c>
      <c r="L305" s="31" t="s">
        <v>632</v>
      </c>
      <c r="M305" s="31" t="s">
        <v>647</v>
      </c>
      <c r="N305" s="31" t="s">
        <v>189</v>
      </c>
      <c r="O305" s="18"/>
      <c r="P305" s="31" t="s">
        <v>283</v>
      </c>
      <c r="Q305" s="117"/>
    </row>
    <row r="306" ht="15.75" hidden="1" customHeight="1">
      <c r="A306" s="108">
        <v>30.0</v>
      </c>
      <c r="B306" s="108">
        <v>1.0</v>
      </c>
      <c r="C306" s="31">
        <v>995.0</v>
      </c>
      <c r="D306" s="118">
        <v>46227.0</v>
      </c>
      <c r="E306" s="31">
        <v>1.0</v>
      </c>
      <c r="F306" s="31" t="s">
        <v>157</v>
      </c>
      <c r="G306" s="31" t="s">
        <v>618</v>
      </c>
      <c r="H306" s="31">
        <v>14.0</v>
      </c>
      <c r="I306" s="18"/>
      <c r="J306" s="31" t="s">
        <v>155</v>
      </c>
      <c r="K306" s="31" t="s">
        <v>158</v>
      </c>
      <c r="L306" s="31" t="s">
        <v>632</v>
      </c>
      <c r="M306" s="31" t="s">
        <v>648</v>
      </c>
      <c r="N306" s="31" t="s">
        <v>189</v>
      </c>
      <c r="O306" s="18"/>
      <c r="P306" s="31" t="s">
        <v>306</v>
      </c>
      <c r="Q306" s="117"/>
    </row>
    <row r="307" ht="15.75" hidden="1" customHeight="1">
      <c r="A307" s="108">
        <v>30.0</v>
      </c>
      <c r="B307" s="108">
        <v>2.0</v>
      </c>
      <c r="C307" s="31">
        <v>997.0</v>
      </c>
      <c r="D307" s="118">
        <v>46227.0</v>
      </c>
      <c r="E307" s="31">
        <v>1.0</v>
      </c>
      <c r="F307" s="31" t="s">
        <v>157</v>
      </c>
      <c r="G307" s="31" t="s">
        <v>201</v>
      </c>
      <c r="H307" s="31">
        <v>14.0</v>
      </c>
      <c r="I307" s="18"/>
      <c r="J307" s="31" t="s">
        <v>150</v>
      </c>
      <c r="K307" s="31" t="s">
        <v>158</v>
      </c>
      <c r="L307" s="31" t="s">
        <v>648</v>
      </c>
      <c r="M307" s="31" t="s">
        <v>649</v>
      </c>
      <c r="N307" s="31" t="s">
        <v>189</v>
      </c>
      <c r="O307" s="18"/>
      <c r="P307" s="31" t="s">
        <v>306</v>
      </c>
      <c r="Q307" s="117"/>
    </row>
    <row r="308" ht="15.75" hidden="1" customHeight="1">
      <c r="A308" s="108">
        <v>30.0</v>
      </c>
      <c r="B308" s="108">
        <v>3.0</v>
      </c>
      <c r="C308" s="31">
        <v>996.0</v>
      </c>
      <c r="D308" s="118">
        <v>46227.0</v>
      </c>
      <c r="E308" s="31">
        <v>1.0</v>
      </c>
      <c r="F308" s="31" t="s">
        <v>157</v>
      </c>
      <c r="G308" s="31" t="s">
        <v>651</v>
      </c>
      <c r="H308" s="31">
        <v>14.0</v>
      </c>
      <c r="I308" s="18"/>
      <c r="J308" s="31" t="s">
        <v>652</v>
      </c>
      <c r="K308" s="31" t="s">
        <v>158</v>
      </c>
      <c r="L308" s="31" t="s">
        <v>649</v>
      </c>
      <c r="M308" s="31" t="s">
        <v>653</v>
      </c>
      <c r="N308" s="31" t="s">
        <v>189</v>
      </c>
      <c r="O308" s="18"/>
      <c r="P308" s="31" t="s">
        <v>306</v>
      </c>
      <c r="Q308" s="117"/>
    </row>
    <row r="309" ht="15.75" hidden="1" customHeight="1">
      <c r="A309" s="108">
        <v>30.0</v>
      </c>
      <c r="B309" s="108">
        <v>4.0</v>
      </c>
      <c r="C309" s="31">
        <v>998.0</v>
      </c>
      <c r="D309" s="118">
        <v>46227.0</v>
      </c>
      <c r="E309" s="31">
        <v>1.0</v>
      </c>
      <c r="F309" s="31" t="s">
        <v>157</v>
      </c>
      <c r="G309" s="31" t="s">
        <v>480</v>
      </c>
      <c r="H309" s="31">
        <v>14.0</v>
      </c>
      <c r="I309" s="18"/>
      <c r="J309" s="31" t="s">
        <v>284</v>
      </c>
      <c r="K309" s="31" t="s">
        <v>158</v>
      </c>
      <c r="L309" s="31" t="s">
        <v>653</v>
      </c>
      <c r="M309" s="31" t="s">
        <v>654</v>
      </c>
      <c r="N309" s="31" t="s">
        <v>189</v>
      </c>
      <c r="O309" s="18"/>
      <c r="P309" s="31" t="s">
        <v>306</v>
      </c>
      <c r="Q309" s="117"/>
    </row>
    <row r="310" ht="15.75" hidden="1" customHeight="1">
      <c r="A310" s="108">
        <v>30.0</v>
      </c>
      <c r="B310" s="108">
        <v>5.0</v>
      </c>
      <c r="C310" s="31">
        <v>999.0</v>
      </c>
      <c r="D310" s="118">
        <v>46227.0</v>
      </c>
      <c r="E310" s="31">
        <v>1.0</v>
      </c>
      <c r="F310" s="31" t="s">
        <v>157</v>
      </c>
      <c r="G310" s="31" t="s">
        <v>357</v>
      </c>
      <c r="H310" s="31">
        <v>14.0</v>
      </c>
      <c r="I310" s="18"/>
      <c r="J310" s="31" t="s">
        <v>288</v>
      </c>
      <c r="K310" s="31" t="s">
        <v>158</v>
      </c>
      <c r="L310" s="31" t="s">
        <v>655</v>
      </c>
      <c r="M310" s="31" t="s">
        <v>656</v>
      </c>
      <c r="N310" s="31" t="s">
        <v>189</v>
      </c>
      <c r="O310" s="18"/>
      <c r="P310" s="31" t="s">
        <v>306</v>
      </c>
      <c r="Q310" s="117"/>
    </row>
    <row r="311" ht="15.75" hidden="1" customHeight="1">
      <c r="A311" s="108">
        <v>30.0</v>
      </c>
      <c r="B311" s="108">
        <v>6.0</v>
      </c>
      <c r="C311" s="31">
        <v>1000.0</v>
      </c>
      <c r="D311" s="118">
        <v>46227.0</v>
      </c>
      <c r="E311" s="31">
        <v>1.0</v>
      </c>
      <c r="F311" s="31" t="s">
        <v>157</v>
      </c>
      <c r="G311" s="31" t="s">
        <v>368</v>
      </c>
      <c r="H311" s="31">
        <v>14.0</v>
      </c>
      <c r="I311" s="18"/>
      <c r="J311" s="31" t="s">
        <v>122</v>
      </c>
      <c r="K311" s="31" t="s">
        <v>158</v>
      </c>
      <c r="L311" s="31" t="s">
        <v>656</v>
      </c>
      <c r="M311" s="31" t="s">
        <v>657</v>
      </c>
      <c r="N311" s="31" t="s">
        <v>189</v>
      </c>
      <c r="O311" s="18"/>
      <c r="P311" s="31" t="s">
        <v>306</v>
      </c>
      <c r="Q311" s="117"/>
    </row>
    <row r="312" ht="15.75" hidden="1" customHeight="1">
      <c r="A312" s="108">
        <v>30.0</v>
      </c>
      <c r="B312" s="108">
        <v>7.0</v>
      </c>
      <c r="C312" s="31">
        <v>553.0</v>
      </c>
      <c r="D312" s="118">
        <v>46227.0</v>
      </c>
      <c r="E312" s="31">
        <v>1.0</v>
      </c>
      <c r="F312" s="31" t="s">
        <v>157</v>
      </c>
      <c r="G312" s="31" t="s">
        <v>456</v>
      </c>
      <c r="H312" s="31">
        <v>14.0</v>
      </c>
      <c r="I312" s="18"/>
      <c r="J312" s="31" t="s">
        <v>351</v>
      </c>
      <c r="K312" s="31" t="s">
        <v>158</v>
      </c>
      <c r="L312" s="31" t="s">
        <v>657</v>
      </c>
      <c r="M312" s="31" t="s">
        <v>658</v>
      </c>
      <c r="N312" s="31" t="s">
        <v>189</v>
      </c>
      <c r="O312" s="18"/>
      <c r="P312" s="31" t="s">
        <v>306</v>
      </c>
      <c r="Q312" s="117"/>
    </row>
    <row r="313" ht="15.75" hidden="1" customHeight="1">
      <c r="A313" s="108">
        <v>30.0</v>
      </c>
      <c r="B313" s="108">
        <v>8.0</v>
      </c>
      <c r="C313" s="31">
        <v>552.0</v>
      </c>
      <c r="D313" s="118">
        <v>46227.0</v>
      </c>
      <c r="E313" s="31">
        <v>1.0</v>
      </c>
      <c r="F313" s="31" t="s">
        <v>157</v>
      </c>
      <c r="G313" s="31" t="s">
        <v>461</v>
      </c>
      <c r="H313" s="31">
        <v>14.0</v>
      </c>
      <c r="I313" s="18"/>
      <c r="J313" s="31" t="s">
        <v>208</v>
      </c>
      <c r="K313" s="31" t="s">
        <v>158</v>
      </c>
      <c r="L313" s="31" t="s">
        <v>658</v>
      </c>
      <c r="M313" s="31" t="s">
        <v>659</v>
      </c>
      <c r="N313" s="31" t="s">
        <v>189</v>
      </c>
      <c r="O313" s="18"/>
      <c r="P313" s="31" t="s">
        <v>306</v>
      </c>
      <c r="Q313" s="117"/>
    </row>
    <row r="314" ht="15.75" hidden="1" customHeight="1">
      <c r="A314" s="108">
        <v>30.0</v>
      </c>
      <c r="B314" s="108">
        <v>9.0</v>
      </c>
      <c r="C314" s="31">
        <v>551.0</v>
      </c>
      <c r="D314" s="118">
        <v>46227.0</v>
      </c>
      <c r="E314" s="31">
        <v>1.0</v>
      </c>
      <c r="F314" s="31" t="s">
        <v>157</v>
      </c>
      <c r="G314" s="31" t="s">
        <v>660</v>
      </c>
      <c r="H314" s="31">
        <v>14.0</v>
      </c>
      <c r="I314" s="18"/>
      <c r="J314" s="31" t="s">
        <v>344</v>
      </c>
      <c r="K314" s="31" t="s">
        <v>158</v>
      </c>
      <c r="L314" s="31" t="s">
        <v>659</v>
      </c>
      <c r="M314" s="31" t="s">
        <v>661</v>
      </c>
      <c r="N314" s="31" t="s">
        <v>189</v>
      </c>
      <c r="O314" s="18"/>
      <c r="P314" s="31" t="s">
        <v>306</v>
      </c>
      <c r="Q314" s="117"/>
    </row>
    <row r="315" ht="15.75" hidden="1" customHeight="1">
      <c r="A315" s="108">
        <v>30.0</v>
      </c>
      <c r="B315" s="108">
        <v>10.0</v>
      </c>
      <c r="C315" s="31">
        <v>558.0</v>
      </c>
      <c r="D315" s="118">
        <v>46227.0</v>
      </c>
      <c r="E315" s="31">
        <v>1.0</v>
      </c>
      <c r="F315" s="31" t="s">
        <v>157</v>
      </c>
      <c r="G315" s="31" t="s">
        <v>201</v>
      </c>
      <c r="H315" s="31">
        <v>14.0</v>
      </c>
      <c r="I315" s="18"/>
      <c r="J315" s="31" t="s">
        <v>150</v>
      </c>
      <c r="K315" s="31" t="s">
        <v>158</v>
      </c>
      <c r="L315" s="31" t="s">
        <v>661</v>
      </c>
      <c r="M315" s="31" t="s">
        <v>663</v>
      </c>
      <c r="N315" s="31" t="s">
        <v>189</v>
      </c>
      <c r="O315" s="18"/>
      <c r="P315" s="31" t="s">
        <v>306</v>
      </c>
      <c r="Q315" s="117"/>
    </row>
    <row r="316" ht="15.75" hidden="1" customHeight="1">
      <c r="A316" s="108">
        <v>30.0</v>
      </c>
      <c r="B316" s="108">
        <v>11.0</v>
      </c>
      <c r="C316" s="31">
        <v>554.0</v>
      </c>
      <c r="D316" s="118">
        <v>46227.0</v>
      </c>
      <c r="E316" s="31">
        <v>1.0</v>
      </c>
      <c r="F316" s="31" t="s">
        <v>157</v>
      </c>
      <c r="G316" s="31" t="s">
        <v>533</v>
      </c>
      <c r="H316" s="31">
        <v>14.0</v>
      </c>
      <c r="I316" s="18"/>
      <c r="J316" s="31" t="s">
        <v>664</v>
      </c>
      <c r="K316" s="31" t="s">
        <v>158</v>
      </c>
      <c r="L316" s="31" t="s">
        <v>663</v>
      </c>
      <c r="M316" s="31" t="s">
        <v>665</v>
      </c>
      <c r="N316" s="31" t="s">
        <v>189</v>
      </c>
      <c r="O316" s="18"/>
      <c r="P316" s="31" t="s">
        <v>306</v>
      </c>
      <c r="Q316" s="117"/>
    </row>
    <row r="317" ht="15.75" hidden="1" customHeight="1">
      <c r="A317" s="108">
        <v>30.0</v>
      </c>
      <c r="B317" s="108">
        <v>12.0</v>
      </c>
      <c r="C317" s="31">
        <v>557.0</v>
      </c>
      <c r="D317" s="118">
        <v>46227.0</v>
      </c>
      <c r="E317" s="31">
        <v>1.0</v>
      </c>
      <c r="F317" s="31" t="s">
        <v>157</v>
      </c>
      <c r="G317" s="31" t="s">
        <v>320</v>
      </c>
      <c r="H317" s="31">
        <v>14.0</v>
      </c>
      <c r="I317" s="18"/>
      <c r="J317" s="31" t="s">
        <v>321</v>
      </c>
      <c r="K317" s="31" t="s">
        <v>158</v>
      </c>
      <c r="L317" s="31" t="s">
        <v>665</v>
      </c>
      <c r="M317" s="31" t="s">
        <v>666</v>
      </c>
      <c r="N317" s="31" t="s">
        <v>189</v>
      </c>
      <c r="O317" s="18"/>
      <c r="P317" s="31" t="s">
        <v>306</v>
      </c>
      <c r="Q317" s="117"/>
    </row>
    <row r="318" ht="15.75" hidden="1" customHeight="1">
      <c r="A318" s="108">
        <v>30.0</v>
      </c>
      <c r="B318" s="108">
        <v>13.0</v>
      </c>
      <c r="C318" s="31">
        <v>556.0</v>
      </c>
      <c r="D318" s="118">
        <v>46227.0</v>
      </c>
      <c r="E318" s="31">
        <v>1.0</v>
      </c>
      <c r="F318" s="31" t="s">
        <v>157</v>
      </c>
      <c r="G318" s="31" t="s">
        <v>357</v>
      </c>
      <c r="H318" s="31">
        <v>14.0</v>
      </c>
      <c r="I318" s="18"/>
      <c r="J318" s="31" t="s">
        <v>288</v>
      </c>
      <c r="K318" s="31" t="s">
        <v>158</v>
      </c>
      <c r="L318" s="31" t="s">
        <v>666</v>
      </c>
      <c r="M318" s="31" t="s">
        <v>667</v>
      </c>
      <c r="N318" s="31" t="s">
        <v>189</v>
      </c>
      <c r="O318" s="18"/>
      <c r="P318" s="31" t="s">
        <v>306</v>
      </c>
      <c r="Q318" s="117"/>
    </row>
    <row r="319" ht="15.75" hidden="1" customHeight="1">
      <c r="A319" s="108">
        <v>30.0</v>
      </c>
      <c r="B319" s="108">
        <v>14.0</v>
      </c>
      <c r="C319" s="31">
        <v>560.0</v>
      </c>
      <c r="D319" s="118">
        <v>46227.0</v>
      </c>
      <c r="E319" s="31">
        <v>1.0</v>
      </c>
      <c r="F319" s="31" t="s">
        <v>157</v>
      </c>
      <c r="G319" s="31" t="s">
        <v>480</v>
      </c>
      <c r="H319" s="31">
        <v>14.0</v>
      </c>
      <c r="I319" s="18"/>
      <c r="J319" s="31" t="s">
        <v>284</v>
      </c>
      <c r="K319" s="31" t="s">
        <v>158</v>
      </c>
      <c r="L319" s="31" t="s">
        <v>667</v>
      </c>
      <c r="M319" s="31" t="s">
        <v>668</v>
      </c>
      <c r="N319" s="31" t="s">
        <v>189</v>
      </c>
      <c r="O319" s="18"/>
      <c r="P319" s="31" t="s">
        <v>306</v>
      </c>
      <c r="Q319" s="117"/>
    </row>
    <row r="320" ht="15.75" hidden="1" customHeight="1">
      <c r="A320" s="108">
        <v>30.0</v>
      </c>
      <c r="B320" s="108">
        <v>15.0</v>
      </c>
      <c r="C320" s="31">
        <v>555.0</v>
      </c>
      <c r="D320" s="118">
        <v>46227.0</v>
      </c>
      <c r="E320" s="31">
        <v>1.0</v>
      </c>
      <c r="F320" s="31" t="s">
        <v>157</v>
      </c>
      <c r="G320" s="31" t="s">
        <v>456</v>
      </c>
      <c r="H320" s="31">
        <v>14.0</v>
      </c>
      <c r="I320" s="18"/>
      <c r="J320" s="31" t="s">
        <v>351</v>
      </c>
      <c r="K320" s="31" t="s">
        <v>158</v>
      </c>
      <c r="L320" s="31" t="s">
        <v>668</v>
      </c>
      <c r="M320" s="31" t="s">
        <v>669</v>
      </c>
      <c r="N320" s="31" t="s">
        <v>189</v>
      </c>
      <c r="O320" s="18"/>
      <c r="P320" s="31" t="s">
        <v>306</v>
      </c>
      <c r="Q320" s="117"/>
    </row>
    <row r="321" ht="15.75" customHeight="1">
      <c r="A321" s="120"/>
      <c r="B321" s="120"/>
      <c r="Q321" s="117"/>
    </row>
    <row r="322" ht="15.75" customHeight="1">
      <c r="A322" s="120"/>
      <c r="B322" s="120"/>
      <c r="Q322" s="117"/>
    </row>
    <row r="323" ht="15.75" customHeight="1">
      <c r="A323" s="120"/>
      <c r="B323" s="120"/>
      <c r="Q323" s="117"/>
    </row>
    <row r="324" ht="15.75" customHeight="1">
      <c r="A324" s="120"/>
      <c r="B324" s="120"/>
      <c r="Q324" s="117"/>
      <c r="R324" s="121" t="s">
        <v>670</v>
      </c>
      <c r="S324" s="29">
        <f>SUBTOTAL(109,T:T)</f>
        <v>52200</v>
      </c>
    </row>
    <row r="325" ht="15.75" customHeight="1">
      <c r="A325" s="120"/>
      <c r="B325" s="120"/>
      <c r="Q325" s="117"/>
    </row>
    <row r="326" ht="15.75" customHeight="1">
      <c r="A326" s="120"/>
      <c r="B326" s="120"/>
      <c r="Q326" s="117"/>
    </row>
    <row r="327" ht="15.75" customHeight="1">
      <c r="A327" s="120"/>
      <c r="B327" s="120"/>
      <c r="Q327" s="117"/>
    </row>
    <row r="328" ht="15.75" customHeight="1">
      <c r="A328" s="120"/>
      <c r="B328" s="120"/>
      <c r="Q328" s="117"/>
    </row>
    <row r="329" ht="15.75" customHeight="1">
      <c r="A329" s="120"/>
      <c r="B329" s="120"/>
      <c r="Q329" s="117"/>
    </row>
    <row r="330" ht="15.75" customHeight="1">
      <c r="A330" s="120"/>
      <c r="B330" s="120"/>
      <c r="Q330" s="117"/>
    </row>
    <row r="331" ht="15.75" customHeight="1">
      <c r="A331" s="120"/>
      <c r="B331" s="120"/>
      <c r="Q331" s="117"/>
    </row>
    <row r="332" ht="15.75" customHeight="1">
      <c r="A332" s="120"/>
      <c r="B332" s="120"/>
      <c r="Q332" s="117"/>
    </row>
    <row r="333" ht="15.75" customHeight="1">
      <c r="A333" s="120"/>
      <c r="B333" s="120"/>
      <c r="Q333" s="117"/>
    </row>
    <row r="334" ht="15.75" customHeight="1">
      <c r="A334" s="120"/>
      <c r="B334" s="120"/>
      <c r="Q334" s="117"/>
    </row>
    <row r="335" ht="15.75" customHeight="1">
      <c r="A335" s="120"/>
      <c r="B335" s="120"/>
      <c r="Q335" s="117"/>
    </row>
    <row r="336" ht="15.75" customHeight="1">
      <c r="A336" s="120"/>
      <c r="B336" s="120"/>
      <c r="Q336" s="117"/>
    </row>
    <row r="337" ht="15.75" customHeight="1">
      <c r="A337" s="120"/>
      <c r="B337" s="120"/>
      <c r="Q337" s="117"/>
    </row>
    <row r="338" ht="15.75" customHeight="1">
      <c r="A338" s="120"/>
      <c r="B338" s="120"/>
      <c r="Q338" s="117"/>
    </row>
    <row r="339" ht="15.75" customHeight="1">
      <c r="A339" s="120"/>
      <c r="B339" s="120"/>
      <c r="Q339" s="117"/>
    </row>
    <row r="340" ht="15.75" customHeight="1">
      <c r="A340" s="120"/>
      <c r="B340" s="120"/>
      <c r="Q340" s="117"/>
    </row>
    <row r="341" ht="15.75" customHeight="1">
      <c r="A341" s="120"/>
      <c r="B341" s="120"/>
      <c r="Q341" s="117"/>
    </row>
    <row r="342" ht="15.75" customHeight="1">
      <c r="A342" s="120"/>
      <c r="B342" s="120"/>
      <c r="Q342" s="117"/>
    </row>
    <row r="343" ht="15.75" customHeight="1">
      <c r="A343" s="120"/>
      <c r="B343" s="120"/>
      <c r="Q343" s="117"/>
    </row>
    <row r="344" ht="15.75" customHeight="1">
      <c r="A344" s="120"/>
      <c r="B344" s="120"/>
      <c r="Q344" s="117"/>
    </row>
    <row r="345" ht="15.75" customHeight="1">
      <c r="A345" s="120"/>
      <c r="B345" s="120"/>
      <c r="Q345" s="117"/>
    </row>
    <row r="346" ht="15.75" customHeight="1">
      <c r="A346" s="120"/>
      <c r="B346" s="120"/>
      <c r="Q346" s="117"/>
    </row>
    <row r="347" ht="15.75" customHeight="1">
      <c r="A347" s="120"/>
      <c r="B347" s="120"/>
      <c r="Q347" s="117"/>
    </row>
    <row r="348" ht="15.75" customHeight="1">
      <c r="A348" s="120"/>
      <c r="B348" s="120"/>
      <c r="Q348" s="117"/>
    </row>
    <row r="349" ht="15.75" customHeight="1">
      <c r="A349" s="120"/>
      <c r="B349" s="120"/>
      <c r="Q349" s="117"/>
    </row>
    <row r="350" ht="15.75" customHeight="1">
      <c r="A350" s="120"/>
      <c r="B350" s="120"/>
      <c r="Q350" s="117"/>
    </row>
    <row r="351" ht="15.75" customHeight="1">
      <c r="A351" s="120"/>
      <c r="B351" s="120"/>
      <c r="Q351" s="117"/>
    </row>
    <row r="352" ht="15.75" customHeight="1">
      <c r="A352" s="120"/>
      <c r="B352" s="120"/>
      <c r="Q352" s="117"/>
    </row>
    <row r="353" ht="15.75" customHeight="1">
      <c r="A353" s="120"/>
      <c r="B353" s="120"/>
      <c r="Q353" s="117"/>
    </row>
    <row r="354" ht="15.75" customHeight="1">
      <c r="A354" s="120"/>
      <c r="B354" s="120"/>
      <c r="Q354" s="117"/>
    </row>
    <row r="355" ht="15.75" customHeight="1">
      <c r="A355" s="120"/>
      <c r="B355" s="120"/>
      <c r="Q355" s="117"/>
    </row>
    <row r="356" ht="15.75" customHeight="1">
      <c r="A356" s="120"/>
      <c r="B356" s="120"/>
      <c r="Q356" s="117"/>
    </row>
    <row r="357" ht="15.75" customHeight="1">
      <c r="A357" s="120"/>
      <c r="B357" s="120"/>
      <c r="Q357" s="117"/>
    </row>
    <row r="358" ht="15.75" customHeight="1">
      <c r="A358" s="120"/>
      <c r="B358" s="120"/>
      <c r="Q358" s="117"/>
    </row>
    <row r="359" ht="15.75" customHeight="1">
      <c r="A359" s="120"/>
      <c r="B359" s="120"/>
      <c r="Q359" s="117"/>
    </row>
    <row r="360" ht="15.75" customHeight="1">
      <c r="A360" s="120"/>
      <c r="B360" s="120"/>
      <c r="Q360" s="117"/>
    </row>
    <row r="361" ht="15.75" customHeight="1">
      <c r="A361" s="120"/>
      <c r="B361" s="120"/>
      <c r="Q361" s="117"/>
    </row>
    <row r="362" ht="15.75" customHeight="1">
      <c r="A362" s="120"/>
      <c r="B362" s="120"/>
      <c r="Q362" s="117"/>
    </row>
    <row r="363" ht="15.75" customHeight="1">
      <c r="A363" s="120"/>
      <c r="B363" s="120"/>
      <c r="Q363" s="117"/>
    </row>
    <row r="364" ht="15.75" customHeight="1">
      <c r="A364" s="120"/>
      <c r="B364" s="120"/>
      <c r="Q364" s="117"/>
    </row>
    <row r="365" ht="15.75" customHeight="1">
      <c r="A365" s="120"/>
      <c r="B365" s="120"/>
      <c r="Q365" s="117"/>
    </row>
    <row r="366" ht="15.75" customHeight="1">
      <c r="A366" s="120"/>
      <c r="B366" s="120"/>
      <c r="Q366" s="117"/>
    </row>
    <row r="367" ht="15.75" customHeight="1">
      <c r="A367" s="120"/>
      <c r="B367" s="120"/>
      <c r="Q367" s="117"/>
    </row>
    <row r="368" ht="15.75" customHeight="1">
      <c r="A368" s="120"/>
      <c r="B368" s="120"/>
      <c r="Q368" s="117"/>
    </row>
    <row r="369" ht="15.75" customHeight="1">
      <c r="A369" s="120"/>
      <c r="B369" s="120"/>
      <c r="Q369" s="117"/>
    </row>
    <row r="370" ht="15.75" customHeight="1">
      <c r="A370" s="120"/>
      <c r="B370" s="120"/>
      <c r="Q370" s="117"/>
    </row>
    <row r="371" ht="15.75" customHeight="1">
      <c r="A371" s="120"/>
      <c r="B371" s="120"/>
      <c r="Q371" s="117"/>
    </row>
    <row r="372" ht="15.75" customHeight="1">
      <c r="A372" s="120"/>
      <c r="B372" s="120"/>
      <c r="Q372" s="117"/>
    </row>
    <row r="373" ht="15.75" customHeight="1">
      <c r="A373" s="120"/>
      <c r="B373" s="120"/>
      <c r="Q373" s="117"/>
    </row>
    <row r="374" ht="15.75" customHeight="1">
      <c r="A374" s="120"/>
      <c r="B374" s="120"/>
      <c r="Q374" s="117"/>
    </row>
    <row r="375" ht="15.75" customHeight="1">
      <c r="A375" s="120"/>
      <c r="B375" s="120"/>
      <c r="Q375" s="117"/>
    </row>
    <row r="376" ht="15.75" customHeight="1">
      <c r="A376" s="120"/>
      <c r="B376" s="120"/>
      <c r="Q376" s="117"/>
    </row>
    <row r="377" ht="15.75" customHeight="1">
      <c r="A377" s="120"/>
      <c r="B377" s="120"/>
      <c r="Q377" s="117"/>
    </row>
    <row r="378" ht="15.75" customHeight="1">
      <c r="A378" s="120"/>
      <c r="B378" s="120"/>
      <c r="Q378" s="117"/>
    </row>
    <row r="379" ht="15.75" customHeight="1">
      <c r="A379" s="120"/>
      <c r="B379" s="120"/>
      <c r="Q379" s="117"/>
    </row>
    <row r="380" ht="15.75" customHeight="1">
      <c r="A380" s="120"/>
      <c r="B380" s="120"/>
      <c r="Q380" s="117"/>
    </row>
    <row r="381" ht="15.75" customHeight="1">
      <c r="A381" s="120"/>
      <c r="B381" s="120"/>
      <c r="Q381" s="117"/>
    </row>
    <row r="382" ht="15.75" customHeight="1">
      <c r="A382" s="120"/>
      <c r="B382" s="120"/>
      <c r="Q382" s="117"/>
    </row>
    <row r="383" ht="15.75" customHeight="1">
      <c r="A383" s="120"/>
      <c r="B383" s="120"/>
      <c r="Q383" s="117"/>
    </row>
    <row r="384" ht="15.75" customHeight="1">
      <c r="A384" s="120"/>
      <c r="B384" s="120"/>
      <c r="Q384" s="117"/>
    </row>
    <row r="385" ht="15.75" customHeight="1">
      <c r="A385" s="120"/>
      <c r="B385" s="120"/>
      <c r="Q385" s="117"/>
    </row>
    <row r="386" ht="15.75" customHeight="1">
      <c r="A386" s="120"/>
      <c r="B386" s="120"/>
      <c r="Q386" s="117"/>
    </row>
    <row r="387" ht="15.75" customHeight="1">
      <c r="A387" s="120"/>
      <c r="B387" s="120"/>
      <c r="Q387" s="117"/>
    </row>
    <row r="388" ht="15.75" customHeight="1">
      <c r="A388" s="120"/>
      <c r="B388" s="120"/>
      <c r="Q388" s="117"/>
    </row>
    <row r="389" ht="15.75" customHeight="1">
      <c r="A389" s="120"/>
      <c r="B389" s="120"/>
      <c r="Q389" s="117"/>
    </row>
    <row r="390" ht="15.75" customHeight="1">
      <c r="A390" s="120"/>
      <c r="B390" s="120"/>
      <c r="Q390" s="117"/>
    </row>
    <row r="391" ht="15.75" customHeight="1">
      <c r="A391" s="120"/>
      <c r="B391" s="120"/>
      <c r="Q391" s="117"/>
    </row>
    <row r="392" ht="15.75" customHeight="1">
      <c r="A392" s="120"/>
      <c r="B392" s="120"/>
      <c r="Q392" s="117"/>
    </row>
    <row r="393" ht="15.75" customHeight="1">
      <c r="A393" s="120"/>
      <c r="B393" s="120"/>
      <c r="Q393" s="117"/>
    </row>
    <row r="394" ht="15.75" customHeight="1">
      <c r="A394" s="120"/>
      <c r="B394" s="120"/>
      <c r="Q394" s="117"/>
    </row>
    <row r="395" ht="15.75" customHeight="1">
      <c r="A395" s="120"/>
      <c r="B395" s="120"/>
      <c r="Q395" s="117"/>
    </row>
    <row r="396" ht="15.75" customHeight="1">
      <c r="A396" s="120"/>
      <c r="B396" s="120"/>
      <c r="Q396" s="117"/>
    </row>
    <row r="397" ht="15.75" customHeight="1">
      <c r="A397" s="120"/>
      <c r="B397" s="120"/>
      <c r="Q397" s="117"/>
    </row>
    <row r="398" ht="15.75" customHeight="1">
      <c r="A398" s="120"/>
      <c r="B398" s="120"/>
      <c r="Q398" s="117"/>
    </row>
    <row r="399" ht="15.75" customHeight="1">
      <c r="A399" s="120"/>
      <c r="B399" s="120"/>
      <c r="Q399" s="117"/>
    </row>
    <row r="400" ht="15.75" customHeight="1">
      <c r="A400" s="120"/>
      <c r="B400" s="120"/>
      <c r="Q400" s="117"/>
    </row>
    <row r="401" ht="15.75" customHeight="1">
      <c r="A401" s="120"/>
      <c r="B401" s="120"/>
      <c r="Q401" s="117"/>
    </row>
    <row r="402" ht="15.75" customHeight="1">
      <c r="A402" s="120"/>
      <c r="B402" s="120"/>
      <c r="Q402" s="117"/>
    </row>
    <row r="403" ht="15.75" customHeight="1">
      <c r="A403" s="120"/>
      <c r="B403" s="120"/>
      <c r="Q403" s="117"/>
    </row>
    <row r="404" ht="15.75" customHeight="1">
      <c r="A404" s="120"/>
      <c r="B404" s="120"/>
      <c r="Q404" s="117"/>
    </row>
    <row r="405" ht="15.75" customHeight="1">
      <c r="A405" s="120"/>
      <c r="B405" s="120"/>
      <c r="Q405" s="117"/>
    </row>
    <row r="406" ht="15.75" customHeight="1">
      <c r="A406" s="120"/>
      <c r="B406" s="120"/>
      <c r="Q406" s="117"/>
    </row>
    <row r="407" ht="15.75" customHeight="1">
      <c r="A407" s="120"/>
      <c r="B407" s="120"/>
      <c r="Q407" s="117"/>
    </row>
    <row r="408" ht="15.75" customHeight="1">
      <c r="A408" s="120"/>
      <c r="B408" s="120"/>
      <c r="Q408" s="117"/>
    </row>
    <row r="409" ht="15.75" customHeight="1">
      <c r="A409" s="120"/>
      <c r="B409" s="120"/>
      <c r="Q409" s="117"/>
    </row>
    <row r="410" ht="15.75" customHeight="1">
      <c r="A410" s="120"/>
      <c r="B410" s="120"/>
      <c r="Q410" s="117"/>
    </row>
    <row r="411" ht="15.75" customHeight="1">
      <c r="A411" s="120"/>
      <c r="B411" s="120"/>
      <c r="Q411" s="117"/>
    </row>
    <row r="412" ht="15.75" customHeight="1">
      <c r="A412" s="120"/>
      <c r="B412" s="120"/>
      <c r="Q412" s="117"/>
    </row>
    <row r="413" ht="15.75" customHeight="1">
      <c r="A413" s="120"/>
      <c r="B413" s="120"/>
      <c r="Q413" s="117"/>
    </row>
    <row r="414" ht="15.75" customHeight="1">
      <c r="A414" s="120"/>
      <c r="B414" s="120"/>
      <c r="Q414" s="117"/>
    </row>
    <row r="415" ht="15.75" customHeight="1">
      <c r="A415" s="120"/>
      <c r="B415" s="120"/>
      <c r="Q415" s="117"/>
    </row>
    <row r="416" ht="15.75" customHeight="1">
      <c r="A416" s="120"/>
      <c r="B416" s="120"/>
      <c r="Q416" s="117"/>
    </row>
    <row r="417" ht="15.75" customHeight="1">
      <c r="A417" s="120"/>
      <c r="B417" s="120"/>
      <c r="Q417" s="117"/>
    </row>
    <row r="418" ht="15.75" customHeight="1">
      <c r="A418" s="120"/>
      <c r="B418" s="120"/>
      <c r="Q418" s="117"/>
    </row>
    <row r="419" ht="15.75" customHeight="1">
      <c r="A419" s="120"/>
      <c r="B419" s="120"/>
      <c r="Q419" s="117"/>
    </row>
    <row r="420" ht="15.75" customHeight="1">
      <c r="A420" s="120"/>
      <c r="B420" s="120"/>
      <c r="Q420" s="117"/>
    </row>
    <row r="421" ht="15.75" customHeight="1">
      <c r="A421" s="120"/>
      <c r="B421" s="120"/>
      <c r="Q421" s="117"/>
    </row>
    <row r="422" ht="15.75" customHeight="1">
      <c r="A422" s="120"/>
      <c r="B422" s="120"/>
      <c r="Q422" s="117"/>
    </row>
    <row r="423" ht="15.75" customHeight="1">
      <c r="A423" s="120"/>
      <c r="B423" s="120"/>
      <c r="Q423" s="117"/>
    </row>
    <row r="424" ht="15.75" customHeight="1">
      <c r="A424" s="120"/>
      <c r="B424" s="120"/>
      <c r="Q424" s="117"/>
    </row>
    <row r="425" ht="15.75" customHeight="1">
      <c r="A425" s="120"/>
      <c r="B425" s="120"/>
      <c r="Q425" s="117"/>
    </row>
    <row r="426" ht="15.75" customHeight="1">
      <c r="A426" s="120"/>
      <c r="B426" s="120"/>
      <c r="Q426" s="117"/>
    </row>
    <row r="427" ht="15.75" customHeight="1">
      <c r="A427" s="120"/>
      <c r="B427" s="120"/>
      <c r="Q427" s="117"/>
    </row>
    <row r="428" ht="15.75" customHeight="1">
      <c r="A428" s="120"/>
      <c r="B428" s="120"/>
      <c r="Q428" s="117"/>
    </row>
    <row r="429" ht="15.75" customHeight="1">
      <c r="A429" s="120"/>
      <c r="B429" s="120"/>
      <c r="Q429" s="117"/>
    </row>
    <row r="430" ht="15.75" customHeight="1">
      <c r="A430" s="120"/>
      <c r="B430" s="120"/>
      <c r="Q430" s="117"/>
    </row>
    <row r="431" ht="15.75" customHeight="1">
      <c r="A431" s="120"/>
      <c r="B431" s="120"/>
      <c r="Q431" s="117"/>
    </row>
    <row r="432" ht="15.75" customHeight="1">
      <c r="A432" s="120"/>
      <c r="B432" s="120"/>
      <c r="Q432" s="117"/>
    </row>
    <row r="433" ht="15.75" customHeight="1">
      <c r="A433" s="120"/>
      <c r="B433" s="120"/>
      <c r="Q433" s="117"/>
    </row>
    <row r="434" ht="15.75" customHeight="1">
      <c r="A434" s="120"/>
      <c r="B434" s="120"/>
      <c r="Q434" s="117"/>
    </row>
    <row r="435" ht="15.75" customHeight="1">
      <c r="A435" s="120"/>
      <c r="B435" s="120"/>
      <c r="Q435" s="117"/>
    </row>
    <row r="436" ht="15.75" customHeight="1">
      <c r="A436" s="120"/>
      <c r="B436" s="120"/>
      <c r="Q436" s="117"/>
    </row>
    <row r="437" ht="15.75" customHeight="1">
      <c r="A437" s="120"/>
      <c r="B437" s="120"/>
      <c r="Q437" s="117"/>
    </row>
    <row r="438" ht="15.75" customHeight="1">
      <c r="A438" s="120"/>
      <c r="B438" s="120"/>
      <c r="Q438" s="117"/>
    </row>
    <row r="439" ht="15.75" customHeight="1">
      <c r="A439" s="120"/>
      <c r="B439" s="120"/>
      <c r="Q439" s="117"/>
    </row>
    <row r="440" ht="15.75" customHeight="1">
      <c r="A440" s="120"/>
      <c r="B440" s="120"/>
      <c r="Q440" s="117"/>
    </row>
    <row r="441" ht="15.75" customHeight="1">
      <c r="A441" s="120"/>
      <c r="B441" s="120"/>
      <c r="Q441" s="117"/>
    </row>
    <row r="442" ht="15.75" customHeight="1">
      <c r="A442" s="120"/>
      <c r="B442" s="120"/>
      <c r="Q442" s="117"/>
    </row>
    <row r="443" ht="15.75" customHeight="1">
      <c r="A443" s="120"/>
      <c r="B443" s="120"/>
      <c r="Q443" s="117"/>
    </row>
    <row r="444" ht="15.75" customHeight="1">
      <c r="A444" s="120"/>
      <c r="B444" s="120"/>
      <c r="Q444" s="117"/>
    </row>
    <row r="445" ht="15.75" customHeight="1">
      <c r="A445" s="120"/>
      <c r="B445" s="120"/>
      <c r="Q445" s="117"/>
    </row>
    <row r="446" ht="15.75" customHeight="1">
      <c r="A446" s="120"/>
      <c r="B446" s="120"/>
      <c r="Q446" s="117"/>
    </row>
    <row r="447" ht="15.75" customHeight="1">
      <c r="A447" s="120"/>
      <c r="B447" s="120"/>
      <c r="Q447" s="117"/>
    </row>
    <row r="448" ht="15.75" customHeight="1">
      <c r="A448" s="120"/>
      <c r="B448" s="120"/>
      <c r="Q448" s="117"/>
    </row>
    <row r="449" ht="15.75" customHeight="1">
      <c r="A449" s="120"/>
      <c r="B449" s="120"/>
      <c r="Q449" s="117"/>
    </row>
    <row r="450" ht="15.75" customHeight="1">
      <c r="A450" s="120"/>
      <c r="B450" s="120"/>
      <c r="Q450" s="117"/>
    </row>
    <row r="451" ht="15.75" customHeight="1">
      <c r="A451" s="120"/>
      <c r="B451" s="120"/>
      <c r="Q451" s="117"/>
    </row>
    <row r="452" ht="15.75" customHeight="1">
      <c r="A452" s="120"/>
      <c r="B452" s="120"/>
      <c r="Q452" s="117"/>
    </row>
    <row r="453" ht="15.75" customHeight="1">
      <c r="A453" s="120"/>
      <c r="B453" s="120"/>
      <c r="Q453" s="117"/>
    </row>
    <row r="454" ht="15.75" customHeight="1">
      <c r="A454" s="120"/>
      <c r="B454" s="120"/>
      <c r="Q454" s="117"/>
    </row>
    <row r="455" ht="15.75" customHeight="1">
      <c r="A455" s="120"/>
      <c r="B455" s="120"/>
      <c r="Q455" s="117"/>
    </row>
    <row r="456" ht="15.75" customHeight="1">
      <c r="A456" s="120"/>
      <c r="B456" s="120"/>
      <c r="Q456" s="117"/>
    </row>
    <row r="457" ht="15.75" customHeight="1">
      <c r="A457" s="120"/>
      <c r="B457" s="120"/>
      <c r="Q457" s="117"/>
    </row>
    <row r="458" ht="15.75" customHeight="1">
      <c r="A458" s="120"/>
      <c r="B458" s="120"/>
      <c r="Q458" s="117"/>
    </row>
    <row r="459" ht="15.75" customHeight="1">
      <c r="A459" s="120"/>
      <c r="B459" s="120"/>
      <c r="Q459" s="117"/>
    </row>
    <row r="460" ht="15.75" customHeight="1">
      <c r="A460" s="120"/>
      <c r="B460" s="120"/>
      <c r="Q460" s="117"/>
    </row>
    <row r="461" ht="15.75" customHeight="1">
      <c r="A461" s="120"/>
      <c r="B461" s="120"/>
      <c r="Q461" s="117"/>
    </row>
    <row r="462" ht="15.75" customHeight="1">
      <c r="A462" s="120"/>
      <c r="B462" s="120"/>
      <c r="Q462" s="117"/>
    </row>
    <row r="463" ht="15.75" customHeight="1">
      <c r="A463" s="120"/>
      <c r="B463" s="120"/>
      <c r="Q463" s="117"/>
    </row>
    <row r="464" ht="15.75" customHeight="1">
      <c r="A464" s="120"/>
      <c r="B464" s="120"/>
      <c r="Q464" s="117"/>
    </row>
    <row r="465" ht="15.75" customHeight="1">
      <c r="A465" s="120"/>
      <c r="B465" s="120"/>
      <c r="Q465" s="117"/>
    </row>
    <row r="466" ht="15.75" customHeight="1">
      <c r="A466" s="120"/>
      <c r="B466" s="120"/>
      <c r="Q466" s="117"/>
    </row>
    <row r="467" ht="15.75" customHeight="1">
      <c r="A467" s="120"/>
      <c r="B467" s="120"/>
      <c r="Q467" s="117"/>
    </row>
    <row r="468" ht="15.75" customHeight="1">
      <c r="A468" s="120"/>
      <c r="B468" s="120"/>
      <c r="Q468" s="117"/>
    </row>
    <row r="469" ht="15.75" customHeight="1">
      <c r="A469" s="120"/>
      <c r="B469" s="120"/>
      <c r="Q469" s="117"/>
    </row>
    <row r="470" ht="15.75" customHeight="1">
      <c r="A470" s="120"/>
      <c r="B470" s="120"/>
      <c r="Q470" s="117"/>
    </row>
    <row r="471" ht="15.75" customHeight="1">
      <c r="A471" s="120"/>
      <c r="B471" s="120"/>
      <c r="Q471" s="117"/>
    </row>
    <row r="472" ht="15.75" customHeight="1">
      <c r="A472" s="120"/>
      <c r="B472" s="120"/>
      <c r="Q472" s="117"/>
    </row>
    <row r="473" ht="15.75" customHeight="1">
      <c r="A473" s="120"/>
      <c r="B473" s="120"/>
      <c r="Q473" s="117"/>
    </row>
    <row r="474" ht="15.75" customHeight="1">
      <c r="A474" s="120"/>
      <c r="B474" s="120"/>
      <c r="Q474" s="117"/>
    </row>
    <row r="475" ht="15.75" customHeight="1">
      <c r="A475" s="120"/>
      <c r="B475" s="120"/>
      <c r="Q475" s="117"/>
    </row>
    <row r="476" ht="15.75" customHeight="1">
      <c r="A476" s="120"/>
      <c r="B476" s="120"/>
      <c r="Q476" s="117"/>
    </row>
    <row r="477" ht="15.75" customHeight="1">
      <c r="A477" s="120"/>
      <c r="B477" s="120"/>
      <c r="Q477" s="117"/>
    </row>
    <row r="478" ht="15.75" customHeight="1">
      <c r="A478" s="120"/>
      <c r="B478" s="120"/>
      <c r="Q478" s="117"/>
    </row>
    <row r="479" ht="15.75" customHeight="1">
      <c r="A479" s="120"/>
      <c r="B479" s="120"/>
      <c r="Q479" s="117"/>
    </row>
    <row r="480" ht="15.75" customHeight="1">
      <c r="A480" s="120"/>
      <c r="B480" s="120"/>
      <c r="Q480" s="117"/>
    </row>
    <row r="481" ht="15.75" customHeight="1">
      <c r="A481" s="120"/>
      <c r="B481" s="120"/>
      <c r="Q481" s="117"/>
    </row>
    <row r="482" ht="15.75" customHeight="1">
      <c r="A482" s="120"/>
      <c r="B482" s="120"/>
      <c r="Q482" s="117"/>
    </row>
    <row r="483" ht="15.75" customHeight="1">
      <c r="A483" s="120"/>
      <c r="B483" s="120"/>
      <c r="Q483" s="117"/>
    </row>
    <row r="484" ht="15.75" customHeight="1">
      <c r="A484" s="120"/>
      <c r="B484" s="120"/>
      <c r="Q484" s="117"/>
    </row>
    <row r="485" ht="15.75" customHeight="1">
      <c r="A485" s="120"/>
      <c r="B485" s="120"/>
      <c r="Q485" s="117"/>
    </row>
    <row r="486" ht="15.75" customHeight="1">
      <c r="A486" s="120"/>
      <c r="B486" s="120"/>
      <c r="Q486" s="117"/>
    </row>
    <row r="487" ht="15.75" customHeight="1">
      <c r="A487" s="120"/>
      <c r="B487" s="120"/>
      <c r="Q487" s="117"/>
    </row>
    <row r="488" ht="15.75" customHeight="1">
      <c r="A488" s="120"/>
      <c r="B488" s="120"/>
      <c r="Q488" s="117"/>
    </row>
    <row r="489" ht="15.75" customHeight="1">
      <c r="A489" s="120"/>
      <c r="B489" s="120"/>
      <c r="Q489" s="117"/>
    </row>
    <row r="490" ht="15.75" customHeight="1">
      <c r="A490" s="120"/>
      <c r="B490" s="120"/>
      <c r="Q490" s="117"/>
    </row>
    <row r="491" ht="15.75" customHeight="1">
      <c r="A491" s="120"/>
      <c r="B491" s="120"/>
      <c r="Q491" s="117"/>
    </row>
    <row r="492" ht="15.75" customHeight="1">
      <c r="A492" s="120"/>
      <c r="B492" s="120"/>
      <c r="Q492" s="117"/>
    </row>
    <row r="493" ht="15.75" customHeight="1">
      <c r="A493" s="120"/>
      <c r="B493" s="120"/>
      <c r="Q493" s="117"/>
    </row>
    <row r="494" ht="15.75" customHeight="1">
      <c r="A494" s="120"/>
      <c r="B494" s="120"/>
      <c r="Q494" s="117"/>
    </row>
    <row r="495" ht="15.75" customHeight="1">
      <c r="A495" s="120"/>
      <c r="B495" s="120"/>
      <c r="Q495" s="117"/>
    </row>
    <row r="496" ht="15.75" customHeight="1">
      <c r="A496" s="120"/>
      <c r="B496" s="120"/>
      <c r="Q496" s="117"/>
    </row>
    <row r="497" ht="15.75" customHeight="1">
      <c r="A497" s="120"/>
      <c r="B497" s="120"/>
      <c r="Q497" s="117"/>
    </row>
    <row r="498" ht="15.75" customHeight="1">
      <c r="A498" s="120"/>
      <c r="B498" s="120"/>
      <c r="Q498" s="117"/>
    </row>
    <row r="499" ht="15.75" customHeight="1">
      <c r="A499" s="120"/>
      <c r="B499" s="120"/>
      <c r="Q499" s="117"/>
    </row>
    <row r="500" ht="15.75" customHeight="1">
      <c r="A500" s="120"/>
      <c r="B500" s="120"/>
      <c r="Q500" s="117"/>
    </row>
    <row r="501" ht="15.75" customHeight="1">
      <c r="A501" s="120"/>
      <c r="B501" s="120"/>
      <c r="Q501" s="117"/>
    </row>
    <row r="502" ht="15.75" customHeight="1">
      <c r="A502" s="120"/>
      <c r="B502" s="120"/>
      <c r="Q502" s="117"/>
    </row>
    <row r="503" ht="15.75" customHeight="1">
      <c r="A503" s="120"/>
      <c r="B503" s="120"/>
      <c r="Q503" s="117"/>
    </row>
    <row r="504" ht="15.75" customHeight="1">
      <c r="A504" s="120"/>
      <c r="B504" s="120"/>
      <c r="Q504" s="117"/>
    </row>
    <row r="505" ht="15.75" customHeight="1">
      <c r="A505" s="120"/>
      <c r="B505" s="120"/>
      <c r="Q505" s="117"/>
    </row>
    <row r="506" ht="15.75" customHeight="1">
      <c r="A506" s="120"/>
      <c r="B506" s="120"/>
      <c r="Q506" s="117"/>
    </row>
    <row r="507" ht="15.75" customHeight="1">
      <c r="A507" s="120"/>
      <c r="B507" s="120"/>
      <c r="Q507" s="117"/>
    </row>
    <row r="508" ht="15.75" customHeight="1">
      <c r="A508" s="120"/>
      <c r="B508" s="120"/>
      <c r="Q508" s="117"/>
    </row>
    <row r="509" ht="15.75" customHeight="1">
      <c r="A509" s="120"/>
      <c r="B509" s="120"/>
      <c r="Q509" s="117"/>
    </row>
    <row r="510" ht="15.75" customHeight="1">
      <c r="A510" s="120"/>
      <c r="B510" s="120"/>
      <c r="Q510" s="117"/>
    </row>
    <row r="511" ht="15.75" customHeight="1">
      <c r="A511" s="120"/>
      <c r="B511" s="120"/>
      <c r="Q511" s="117"/>
    </row>
    <row r="512" ht="15.75" customHeight="1">
      <c r="A512" s="120"/>
      <c r="B512" s="120"/>
      <c r="Q512" s="117"/>
    </row>
    <row r="513" ht="15.75" customHeight="1">
      <c r="A513" s="120"/>
      <c r="B513" s="120"/>
      <c r="Q513" s="117"/>
    </row>
    <row r="514" ht="15.75" customHeight="1">
      <c r="A514" s="120"/>
      <c r="B514" s="120"/>
      <c r="Q514" s="117"/>
    </row>
    <row r="515" ht="15.75" customHeight="1">
      <c r="A515" s="120"/>
      <c r="B515" s="120"/>
      <c r="Q515" s="117"/>
    </row>
    <row r="516" ht="15.75" customHeight="1">
      <c r="A516" s="120"/>
      <c r="B516" s="120"/>
      <c r="Q516" s="117"/>
    </row>
    <row r="517" ht="15.75" customHeight="1">
      <c r="A517" s="120"/>
      <c r="B517" s="120"/>
      <c r="Q517" s="117"/>
    </row>
    <row r="518" ht="15.75" customHeight="1">
      <c r="A518" s="120"/>
      <c r="B518" s="120"/>
      <c r="Q518" s="117"/>
    </row>
    <row r="519" ht="15.75" customHeight="1">
      <c r="A519" s="120"/>
      <c r="B519" s="120"/>
      <c r="Q519" s="117"/>
    </row>
    <row r="520" ht="15.75" customHeight="1">
      <c r="A520" s="120"/>
      <c r="B520" s="120"/>
      <c r="Q520" s="117"/>
    </row>
    <row r="521" ht="15.75" customHeight="1">
      <c r="A521" s="120"/>
      <c r="B521" s="120"/>
      <c r="Q521" s="117"/>
    </row>
    <row r="522" ht="15.75" customHeight="1">
      <c r="A522" s="120"/>
      <c r="B522" s="120"/>
      <c r="Q522" s="117"/>
    </row>
    <row r="523" ht="15.75" customHeight="1">
      <c r="A523" s="120"/>
      <c r="B523" s="120"/>
      <c r="Q523" s="117"/>
    </row>
    <row r="524" ht="15.75" customHeight="1">
      <c r="A524" s="120"/>
      <c r="B524" s="120"/>
      <c r="Q524" s="117"/>
    </row>
    <row r="525" ht="15.75" customHeight="1">
      <c r="A525" s="120"/>
      <c r="B525" s="120"/>
      <c r="Q525" s="117"/>
    </row>
    <row r="526" ht="15.75" customHeight="1">
      <c r="A526" s="120"/>
      <c r="B526" s="120"/>
      <c r="Q526" s="117"/>
    </row>
    <row r="527" ht="15.75" customHeight="1">
      <c r="A527" s="120"/>
      <c r="B527" s="120"/>
      <c r="Q527" s="117"/>
    </row>
    <row r="528" ht="15.75" customHeight="1">
      <c r="A528" s="120"/>
      <c r="B528" s="120"/>
      <c r="Q528" s="117"/>
    </row>
    <row r="529" ht="15.75" customHeight="1">
      <c r="A529" s="120"/>
      <c r="B529" s="120"/>
      <c r="Q529" s="117"/>
    </row>
    <row r="530" ht="15.75" customHeight="1">
      <c r="A530" s="120"/>
      <c r="B530" s="120"/>
      <c r="Q530" s="117"/>
    </row>
    <row r="531" ht="15.75" customHeight="1">
      <c r="A531" s="120"/>
      <c r="B531" s="120"/>
      <c r="Q531" s="117"/>
    </row>
    <row r="532" ht="15.75" customHeight="1">
      <c r="A532" s="120"/>
      <c r="B532" s="120"/>
      <c r="Q532" s="117"/>
    </row>
    <row r="533" ht="15.75" customHeight="1">
      <c r="A533" s="120"/>
      <c r="B533" s="120"/>
      <c r="Q533" s="117"/>
    </row>
    <row r="534" ht="15.75" customHeight="1">
      <c r="A534" s="120"/>
      <c r="B534" s="120"/>
      <c r="Q534" s="117"/>
    </row>
    <row r="535" ht="15.75" customHeight="1">
      <c r="A535" s="120"/>
      <c r="B535" s="120"/>
      <c r="Q535" s="117"/>
    </row>
    <row r="536" ht="15.75" customHeight="1">
      <c r="A536" s="120"/>
      <c r="B536" s="120"/>
      <c r="Q536" s="117"/>
    </row>
    <row r="537" ht="15.75" customHeight="1">
      <c r="A537" s="120"/>
      <c r="B537" s="120"/>
      <c r="Q537" s="117"/>
    </row>
    <row r="538" ht="15.75" customHeight="1">
      <c r="A538" s="120"/>
      <c r="B538" s="120"/>
      <c r="Q538" s="117"/>
    </row>
    <row r="539" ht="15.75" customHeight="1">
      <c r="A539" s="120"/>
      <c r="B539" s="120"/>
      <c r="Q539" s="117"/>
    </row>
    <row r="540" ht="15.75" customHeight="1">
      <c r="A540" s="120"/>
      <c r="B540" s="120"/>
      <c r="Q540" s="117"/>
    </row>
    <row r="541" ht="15.75" customHeight="1">
      <c r="A541" s="120"/>
      <c r="B541" s="120"/>
      <c r="Q541" s="117"/>
    </row>
    <row r="542" ht="15.75" customHeight="1">
      <c r="A542" s="120"/>
      <c r="B542" s="120"/>
      <c r="Q542" s="117"/>
    </row>
    <row r="543" ht="15.75" customHeight="1">
      <c r="A543" s="120"/>
      <c r="B543" s="120"/>
      <c r="Q543" s="117"/>
    </row>
    <row r="544" ht="15.75" customHeight="1">
      <c r="A544" s="120"/>
      <c r="B544" s="120"/>
      <c r="Q544" s="117"/>
    </row>
    <row r="545" ht="15.75" customHeight="1">
      <c r="A545" s="120"/>
      <c r="B545" s="120"/>
      <c r="Q545" s="117"/>
    </row>
    <row r="546" ht="15.75" customHeight="1">
      <c r="A546" s="120"/>
      <c r="B546" s="120"/>
      <c r="Q546" s="117"/>
    </row>
    <row r="547" ht="15.75" customHeight="1">
      <c r="A547" s="120"/>
      <c r="B547" s="120"/>
      <c r="Q547" s="117"/>
    </row>
    <row r="548" ht="15.75" customHeight="1">
      <c r="A548" s="120"/>
      <c r="B548" s="120"/>
      <c r="Q548" s="117"/>
    </row>
    <row r="549" ht="15.75" customHeight="1">
      <c r="A549" s="120"/>
      <c r="B549" s="120"/>
      <c r="Q549" s="117"/>
    </row>
    <row r="550" ht="15.75" customHeight="1">
      <c r="A550" s="120"/>
      <c r="B550" s="120"/>
      <c r="Q550" s="117"/>
    </row>
    <row r="551" ht="15.75" customHeight="1">
      <c r="A551" s="120"/>
      <c r="B551" s="120"/>
      <c r="Q551" s="117"/>
    </row>
    <row r="552" ht="15.75" customHeight="1">
      <c r="A552" s="120"/>
      <c r="B552" s="120"/>
      <c r="Q552" s="117"/>
    </row>
    <row r="553" ht="15.75" customHeight="1">
      <c r="A553" s="120"/>
      <c r="B553" s="120"/>
      <c r="Q553" s="117"/>
    </row>
    <row r="554" ht="15.75" customHeight="1">
      <c r="A554" s="120"/>
      <c r="B554" s="120"/>
      <c r="Q554" s="117"/>
    </row>
    <row r="555" ht="15.75" customHeight="1">
      <c r="A555" s="120"/>
      <c r="B555" s="120"/>
      <c r="Q555" s="117"/>
    </row>
    <row r="556" ht="15.75" customHeight="1">
      <c r="A556" s="120"/>
      <c r="B556" s="120"/>
      <c r="Q556" s="117"/>
    </row>
    <row r="557" ht="15.75" customHeight="1">
      <c r="A557" s="120"/>
      <c r="B557" s="120"/>
      <c r="Q557" s="117"/>
    </row>
    <row r="558" ht="15.75" customHeight="1">
      <c r="A558" s="120"/>
      <c r="B558" s="120"/>
      <c r="Q558" s="117"/>
    </row>
    <row r="559" ht="15.75" customHeight="1">
      <c r="A559" s="120"/>
      <c r="B559" s="120"/>
      <c r="Q559" s="117"/>
    </row>
    <row r="560" ht="15.75" customHeight="1">
      <c r="A560" s="120"/>
      <c r="B560" s="120"/>
      <c r="Q560" s="117"/>
    </row>
    <row r="561" ht="15.75" customHeight="1">
      <c r="A561" s="120"/>
      <c r="B561" s="120"/>
      <c r="Q561" s="117"/>
    </row>
    <row r="562" ht="15.75" customHeight="1">
      <c r="A562" s="120"/>
      <c r="B562" s="120"/>
      <c r="Q562" s="117"/>
    </row>
    <row r="563" ht="15.75" customHeight="1">
      <c r="A563" s="120"/>
      <c r="B563" s="120"/>
      <c r="Q563" s="117"/>
    </row>
    <row r="564" ht="15.75" customHeight="1">
      <c r="A564" s="120"/>
      <c r="B564" s="120"/>
      <c r="Q564" s="117"/>
    </row>
    <row r="565" ht="15.75" customHeight="1">
      <c r="A565" s="120"/>
      <c r="B565" s="120"/>
      <c r="Q565" s="117"/>
    </row>
    <row r="566" ht="15.75" customHeight="1">
      <c r="A566" s="120"/>
      <c r="B566" s="120"/>
      <c r="Q566" s="117"/>
    </row>
    <row r="567" ht="15.75" customHeight="1">
      <c r="A567" s="120"/>
      <c r="B567" s="120"/>
      <c r="Q567" s="117"/>
    </row>
    <row r="568" ht="15.75" customHeight="1">
      <c r="A568" s="120"/>
      <c r="B568" s="120"/>
      <c r="Q568" s="117"/>
    </row>
    <row r="569" ht="15.75" customHeight="1">
      <c r="A569" s="120"/>
      <c r="B569" s="120"/>
      <c r="Q569" s="117"/>
    </row>
    <row r="570" ht="15.75" customHeight="1">
      <c r="A570" s="120"/>
      <c r="B570" s="120"/>
      <c r="Q570" s="117"/>
    </row>
    <row r="571" ht="15.75" customHeight="1">
      <c r="A571" s="120"/>
      <c r="B571" s="120"/>
      <c r="Q571" s="117"/>
    </row>
    <row r="572" ht="15.75" customHeight="1">
      <c r="A572" s="120"/>
      <c r="B572" s="120"/>
      <c r="Q572" s="117"/>
    </row>
    <row r="573" ht="15.75" customHeight="1">
      <c r="A573" s="120"/>
      <c r="B573" s="120"/>
      <c r="Q573" s="117"/>
    </row>
    <row r="574" ht="15.75" customHeight="1">
      <c r="A574" s="120"/>
      <c r="B574" s="120"/>
      <c r="Q574" s="117"/>
    </row>
    <row r="575" ht="15.75" customHeight="1">
      <c r="A575" s="120"/>
      <c r="B575" s="120"/>
      <c r="Q575" s="117"/>
    </row>
    <row r="576" ht="15.75" customHeight="1">
      <c r="A576" s="120"/>
      <c r="B576" s="120"/>
      <c r="Q576" s="117"/>
    </row>
    <row r="577" ht="15.75" customHeight="1">
      <c r="A577" s="120"/>
      <c r="B577" s="120"/>
      <c r="Q577" s="117"/>
    </row>
    <row r="578" ht="15.75" customHeight="1">
      <c r="A578" s="120"/>
      <c r="B578" s="120"/>
      <c r="Q578" s="117"/>
    </row>
    <row r="579" ht="15.75" customHeight="1">
      <c r="A579" s="120"/>
      <c r="B579" s="120"/>
      <c r="Q579" s="117"/>
    </row>
    <row r="580" ht="15.75" customHeight="1">
      <c r="A580" s="120"/>
      <c r="B580" s="120"/>
      <c r="Q580" s="117"/>
    </row>
    <row r="581" ht="15.75" customHeight="1">
      <c r="A581" s="120"/>
      <c r="B581" s="120"/>
      <c r="Q581" s="117"/>
    </row>
    <row r="582" ht="15.75" customHeight="1">
      <c r="A582" s="120"/>
      <c r="B582" s="120"/>
      <c r="Q582" s="117"/>
    </row>
    <row r="583" ht="15.75" customHeight="1">
      <c r="A583" s="120"/>
      <c r="B583" s="120"/>
      <c r="Q583" s="117"/>
    </row>
    <row r="584" ht="15.75" customHeight="1">
      <c r="A584" s="120"/>
      <c r="B584" s="120"/>
      <c r="Q584" s="117"/>
    </row>
    <row r="585" ht="15.75" customHeight="1">
      <c r="A585" s="120"/>
      <c r="B585" s="120"/>
      <c r="Q585" s="117"/>
    </row>
    <row r="586" ht="15.75" customHeight="1">
      <c r="A586" s="120"/>
      <c r="B586" s="120"/>
      <c r="Q586" s="117"/>
    </row>
    <row r="587" ht="15.75" customHeight="1">
      <c r="A587" s="120"/>
      <c r="B587" s="120"/>
      <c r="Q587" s="117"/>
    </row>
    <row r="588" ht="15.75" customHeight="1">
      <c r="A588" s="120"/>
      <c r="B588" s="120"/>
      <c r="Q588" s="117"/>
    </row>
    <row r="589" ht="15.75" customHeight="1">
      <c r="A589" s="120"/>
      <c r="B589" s="120"/>
      <c r="Q589" s="117"/>
    </row>
    <row r="590" ht="15.75" customHeight="1">
      <c r="A590" s="120"/>
      <c r="B590" s="120"/>
      <c r="Q590" s="117"/>
    </row>
    <row r="591" ht="15.75" customHeight="1">
      <c r="A591" s="120"/>
      <c r="B591" s="120"/>
      <c r="Q591" s="117"/>
    </row>
    <row r="592" ht="15.75" customHeight="1">
      <c r="A592" s="120"/>
      <c r="B592" s="120"/>
      <c r="Q592" s="117"/>
    </row>
    <row r="593" ht="15.75" customHeight="1">
      <c r="A593" s="120"/>
      <c r="B593" s="120"/>
      <c r="Q593" s="117"/>
    </row>
    <row r="594" ht="15.75" customHeight="1">
      <c r="A594" s="120"/>
      <c r="B594" s="120"/>
      <c r="Q594" s="117"/>
    </row>
    <row r="595" ht="15.75" customHeight="1">
      <c r="A595" s="120"/>
      <c r="B595" s="120"/>
      <c r="Q595" s="117"/>
    </row>
    <row r="596" ht="15.75" customHeight="1">
      <c r="A596" s="120"/>
      <c r="B596" s="120"/>
      <c r="Q596" s="117"/>
    </row>
    <row r="597" ht="15.75" customHeight="1">
      <c r="A597" s="120"/>
      <c r="B597" s="120"/>
      <c r="Q597" s="117"/>
    </row>
    <row r="598" ht="15.75" customHeight="1">
      <c r="A598" s="120"/>
      <c r="B598" s="120"/>
      <c r="Q598" s="117"/>
    </row>
    <row r="599" ht="15.75" customHeight="1">
      <c r="A599" s="120"/>
      <c r="B599" s="120"/>
      <c r="Q599" s="117"/>
    </row>
    <row r="600" ht="15.75" customHeight="1">
      <c r="A600" s="120"/>
      <c r="B600" s="120"/>
      <c r="Q600" s="117"/>
    </row>
    <row r="601" ht="15.75" customHeight="1">
      <c r="A601" s="120"/>
      <c r="B601" s="120"/>
      <c r="Q601" s="117"/>
    </row>
    <row r="602" ht="15.75" customHeight="1">
      <c r="A602" s="120"/>
      <c r="B602" s="120"/>
      <c r="Q602" s="117"/>
    </row>
    <row r="603" ht="15.75" customHeight="1">
      <c r="A603" s="120"/>
      <c r="B603" s="120"/>
      <c r="Q603" s="117"/>
    </row>
    <row r="604" ht="15.75" customHeight="1">
      <c r="A604" s="120"/>
      <c r="B604" s="120"/>
      <c r="Q604" s="117"/>
    </row>
    <row r="605" ht="15.75" customHeight="1">
      <c r="A605" s="120"/>
      <c r="B605" s="120"/>
      <c r="Q605" s="117"/>
    </row>
    <row r="606" ht="15.75" customHeight="1">
      <c r="A606" s="120"/>
      <c r="B606" s="120"/>
      <c r="Q606" s="117"/>
    </row>
    <row r="607" ht="15.75" customHeight="1">
      <c r="A607" s="120"/>
      <c r="B607" s="120"/>
      <c r="Q607" s="117"/>
    </row>
    <row r="608" ht="15.75" customHeight="1">
      <c r="A608" s="120"/>
      <c r="B608" s="120"/>
      <c r="Q608" s="117"/>
    </row>
    <row r="609" ht="15.75" customHeight="1">
      <c r="A609" s="120"/>
      <c r="B609" s="120"/>
      <c r="Q609" s="117"/>
    </row>
    <row r="610" ht="15.75" customHeight="1">
      <c r="A610" s="120"/>
      <c r="B610" s="120"/>
      <c r="Q610" s="117"/>
    </row>
    <row r="611" ht="15.75" customHeight="1">
      <c r="A611" s="120"/>
      <c r="B611" s="120"/>
      <c r="Q611" s="117"/>
    </row>
    <row r="612" ht="15.75" customHeight="1">
      <c r="A612" s="120"/>
      <c r="B612" s="120"/>
      <c r="Q612" s="117"/>
    </row>
    <row r="613" ht="15.75" customHeight="1">
      <c r="A613" s="120"/>
      <c r="B613" s="120"/>
      <c r="Q613" s="117"/>
    </row>
    <row r="614" ht="15.75" customHeight="1">
      <c r="A614" s="120"/>
      <c r="B614" s="120"/>
      <c r="Q614" s="117"/>
    </row>
    <row r="615" ht="15.75" customHeight="1">
      <c r="A615" s="120"/>
      <c r="B615" s="120"/>
      <c r="Q615" s="117"/>
    </row>
    <row r="616" ht="15.75" customHeight="1">
      <c r="A616" s="120"/>
      <c r="B616" s="120"/>
      <c r="Q616" s="117"/>
    </row>
    <row r="617" ht="15.75" customHeight="1">
      <c r="A617" s="120"/>
      <c r="B617" s="120"/>
      <c r="Q617" s="117"/>
    </row>
    <row r="618" ht="15.75" customHeight="1">
      <c r="A618" s="120"/>
      <c r="B618" s="120"/>
      <c r="Q618" s="117"/>
    </row>
    <row r="619" ht="15.75" customHeight="1">
      <c r="A619" s="120"/>
      <c r="B619" s="120"/>
      <c r="Q619" s="117"/>
    </row>
    <row r="620" ht="15.75" customHeight="1">
      <c r="A620" s="120"/>
      <c r="B620" s="120"/>
      <c r="Q620" s="117"/>
    </row>
    <row r="621" ht="15.75" customHeight="1">
      <c r="A621" s="120"/>
      <c r="B621" s="120"/>
      <c r="Q621" s="117"/>
    </row>
    <row r="622" ht="15.75" customHeight="1">
      <c r="A622" s="120"/>
      <c r="B622" s="120"/>
      <c r="Q622" s="117"/>
    </row>
    <row r="623" ht="15.75" customHeight="1">
      <c r="A623" s="120"/>
      <c r="B623" s="120"/>
      <c r="Q623" s="117"/>
    </row>
    <row r="624" ht="15.75" customHeight="1">
      <c r="A624" s="120"/>
      <c r="B624" s="120"/>
      <c r="Q624" s="117"/>
    </row>
    <row r="625" ht="15.75" customHeight="1">
      <c r="A625" s="120"/>
      <c r="B625" s="120"/>
      <c r="Q625" s="117"/>
    </row>
    <row r="626" ht="15.75" customHeight="1">
      <c r="A626" s="120"/>
      <c r="B626" s="120"/>
      <c r="Q626" s="117"/>
    </row>
    <row r="627" ht="15.75" customHeight="1">
      <c r="A627" s="120"/>
      <c r="B627" s="120"/>
      <c r="Q627" s="117"/>
    </row>
    <row r="628" ht="15.75" customHeight="1">
      <c r="A628" s="120"/>
      <c r="B628" s="120"/>
      <c r="Q628" s="117"/>
    </row>
    <row r="629" ht="15.75" customHeight="1">
      <c r="A629" s="120"/>
      <c r="B629" s="120"/>
      <c r="Q629" s="117"/>
    </row>
    <row r="630" ht="15.75" customHeight="1">
      <c r="A630" s="120"/>
      <c r="B630" s="120"/>
      <c r="Q630" s="117"/>
    </row>
    <row r="631" ht="15.75" customHeight="1">
      <c r="A631" s="120"/>
      <c r="B631" s="120"/>
      <c r="Q631" s="117"/>
    </row>
    <row r="632" ht="15.75" customHeight="1">
      <c r="A632" s="120"/>
      <c r="B632" s="120"/>
      <c r="Q632" s="117"/>
    </row>
    <row r="633" ht="15.75" customHeight="1">
      <c r="A633" s="120"/>
      <c r="B633" s="120"/>
      <c r="Q633" s="117"/>
    </row>
    <row r="634" ht="15.75" customHeight="1">
      <c r="A634" s="120"/>
      <c r="B634" s="120"/>
      <c r="Q634" s="117"/>
    </row>
    <row r="635" ht="15.75" customHeight="1">
      <c r="A635" s="120"/>
      <c r="B635" s="120"/>
      <c r="Q635" s="117"/>
    </row>
    <row r="636" ht="15.75" customHeight="1">
      <c r="A636" s="120"/>
      <c r="B636" s="120"/>
      <c r="Q636" s="117"/>
    </row>
    <row r="637" ht="15.75" customHeight="1">
      <c r="A637" s="120"/>
      <c r="B637" s="120"/>
      <c r="Q637" s="117"/>
    </row>
    <row r="638" ht="15.75" customHeight="1">
      <c r="A638" s="120"/>
      <c r="B638" s="120"/>
      <c r="Q638" s="117"/>
    </row>
    <row r="639" ht="15.75" customHeight="1">
      <c r="A639" s="120"/>
      <c r="B639" s="120"/>
      <c r="Q639" s="117"/>
    </row>
    <row r="640" ht="15.75" customHeight="1">
      <c r="A640" s="120"/>
      <c r="B640" s="120"/>
      <c r="Q640" s="117"/>
    </row>
    <row r="641" ht="15.75" customHeight="1">
      <c r="A641" s="120"/>
      <c r="B641" s="120"/>
      <c r="Q641" s="117"/>
    </row>
    <row r="642" ht="15.75" customHeight="1">
      <c r="A642" s="120"/>
      <c r="B642" s="120"/>
      <c r="Q642" s="117"/>
    </row>
    <row r="643" ht="15.75" customHeight="1">
      <c r="A643" s="120"/>
      <c r="B643" s="120"/>
      <c r="Q643" s="117"/>
    </row>
    <row r="644" ht="15.75" customHeight="1">
      <c r="A644" s="120"/>
      <c r="B644" s="120"/>
      <c r="Q644" s="117"/>
    </row>
    <row r="645" ht="15.75" customHeight="1">
      <c r="A645" s="120"/>
      <c r="B645" s="120"/>
      <c r="Q645" s="117"/>
    </row>
    <row r="646" ht="15.75" customHeight="1">
      <c r="A646" s="120"/>
      <c r="B646" s="120"/>
      <c r="Q646" s="117"/>
    </row>
    <row r="647" ht="15.75" customHeight="1">
      <c r="A647" s="120"/>
      <c r="B647" s="120"/>
      <c r="Q647" s="117"/>
    </row>
    <row r="648" ht="15.75" customHeight="1">
      <c r="A648" s="120"/>
      <c r="B648" s="120"/>
      <c r="Q648" s="117"/>
    </row>
    <row r="649" ht="15.75" customHeight="1">
      <c r="A649" s="120"/>
      <c r="B649" s="120"/>
      <c r="Q649" s="117"/>
    </row>
    <row r="650" ht="15.75" customHeight="1">
      <c r="A650" s="120"/>
      <c r="B650" s="120"/>
      <c r="Q650" s="117"/>
    </row>
    <row r="651" ht="15.75" customHeight="1">
      <c r="A651" s="120"/>
      <c r="B651" s="120"/>
      <c r="Q651" s="117"/>
    </row>
    <row r="652" ht="15.75" customHeight="1">
      <c r="A652" s="120"/>
      <c r="B652" s="120"/>
      <c r="Q652" s="117"/>
    </row>
    <row r="653" ht="15.75" customHeight="1">
      <c r="A653" s="120"/>
      <c r="B653" s="120"/>
      <c r="Q653" s="117"/>
    </row>
    <row r="654" ht="15.75" customHeight="1">
      <c r="A654" s="120"/>
      <c r="B654" s="120"/>
      <c r="Q654" s="117"/>
    </row>
    <row r="655" ht="15.75" customHeight="1">
      <c r="A655" s="120"/>
      <c r="B655" s="120"/>
      <c r="Q655" s="117"/>
    </row>
    <row r="656" ht="15.75" customHeight="1">
      <c r="A656" s="120"/>
      <c r="B656" s="120"/>
      <c r="Q656" s="117"/>
    </row>
    <row r="657" ht="15.75" customHeight="1">
      <c r="A657" s="120"/>
      <c r="B657" s="120"/>
      <c r="Q657" s="117"/>
    </row>
    <row r="658" ht="15.75" customHeight="1">
      <c r="A658" s="120"/>
      <c r="B658" s="120"/>
      <c r="Q658" s="117"/>
    </row>
    <row r="659" ht="15.75" customHeight="1">
      <c r="A659" s="120"/>
      <c r="B659" s="120"/>
      <c r="Q659" s="117"/>
    </row>
    <row r="660" ht="15.75" customHeight="1">
      <c r="A660" s="120"/>
      <c r="B660" s="120"/>
      <c r="Q660" s="117"/>
    </row>
    <row r="661" ht="15.75" customHeight="1">
      <c r="A661" s="120"/>
      <c r="B661" s="120"/>
      <c r="Q661" s="117"/>
    </row>
    <row r="662" ht="15.75" customHeight="1">
      <c r="A662" s="120"/>
      <c r="B662" s="120"/>
      <c r="Q662" s="117"/>
    </row>
    <row r="663" ht="15.75" customHeight="1">
      <c r="A663" s="120"/>
      <c r="B663" s="120"/>
      <c r="Q663" s="117"/>
    </row>
    <row r="664" ht="15.75" customHeight="1">
      <c r="A664" s="120"/>
      <c r="B664" s="120"/>
      <c r="Q664" s="117"/>
    </row>
    <row r="665" ht="15.75" customHeight="1">
      <c r="A665" s="120"/>
      <c r="B665" s="120"/>
      <c r="Q665" s="117"/>
    </row>
    <row r="666" ht="15.75" customHeight="1">
      <c r="A666" s="120"/>
      <c r="B666" s="120"/>
      <c r="Q666" s="117"/>
    </row>
    <row r="667" ht="15.75" customHeight="1">
      <c r="A667" s="120"/>
      <c r="B667" s="120"/>
      <c r="Q667" s="117"/>
    </row>
    <row r="668" ht="15.75" customHeight="1">
      <c r="A668" s="120"/>
      <c r="B668" s="120"/>
      <c r="Q668" s="117"/>
    </row>
    <row r="669" ht="15.75" customHeight="1">
      <c r="A669" s="120"/>
      <c r="B669" s="120"/>
      <c r="Q669" s="117"/>
    </row>
    <row r="670" ht="15.75" customHeight="1">
      <c r="A670" s="120"/>
      <c r="B670" s="120"/>
      <c r="Q670" s="117"/>
    </row>
    <row r="671" ht="15.75" customHeight="1">
      <c r="A671" s="120"/>
      <c r="B671" s="120"/>
      <c r="Q671" s="117"/>
    </row>
    <row r="672" ht="15.75" customHeight="1">
      <c r="A672" s="120"/>
      <c r="B672" s="120"/>
      <c r="Q672" s="117"/>
    </row>
    <row r="673" ht="15.75" customHeight="1">
      <c r="A673" s="120"/>
      <c r="B673" s="120"/>
      <c r="Q673" s="117"/>
    </row>
    <row r="674" ht="15.75" customHeight="1">
      <c r="A674" s="120"/>
      <c r="B674" s="120"/>
      <c r="Q674" s="117"/>
    </row>
    <row r="675" ht="15.75" customHeight="1">
      <c r="A675" s="120"/>
      <c r="B675" s="120"/>
      <c r="Q675" s="117"/>
    </row>
    <row r="676" ht="15.75" customHeight="1">
      <c r="A676" s="120"/>
      <c r="B676" s="120"/>
      <c r="Q676" s="117"/>
    </row>
    <row r="677" ht="15.75" customHeight="1">
      <c r="A677" s="120"/>
      <c r="B677" s="120"/>
      <c r="Q677" s="117"/>
    </row>
    <row r="678" ht="15.75" customHeight="1">
      <c r="A678" s="120"/>
      <c r="B678" s="120"/>
      <c r="Q678" s="117"/>
    </row>
    <row r="679" ht="15.75" customHeight="1">
      <c r="A679" s="120"/>
      <c r="B679" s="120"/>
      <c r="Q679" s="117"/>
    </row>
    <row r="680" ht="15.75" customHeight="1">
      <c r="A680" s="120"/>
      <c r="B680" s="120"/>
      <c r="Q680" s="117"/>
    </row>
    <row r="681" ht="15.75" customHeight="1">
      <c r="A681" s="120"/>
      <c r="B681" s="120"/>
      <c r="Q681" s="117"/>
    </row>
    <row r="682" ht="15.75" customHeight="1">
      <c r="A682" s="120"/>
      <c r="B682" s="120"/>
      <c r="Q682" s="117"/>
    </row>
    <row r="683" ht="15.75" customHeight="1">
      <c r="A683" s="120"/>
      <c r="B683" s="120"/>
      <c r="Q683" s="117"/>
    </row>
    <row r="684" ht="15.75" customHeight="1">
      <c r="A684" s="120"/>
      <c r="B684" s="120"/>
      <c r="Q684" s="117"/>
    </row>
    <row r="685" ht="15.75" customHeight="1">
      <c r="A685" s="120"/>
      <c r="B685" s="120"/>
      <c r="Q685" s="117"/>
    </row>
    <row r="686" ht="15.75" customHeight="1">
      <c r="A686" s="120"/>
      <c r="B686" s="120"/>
      <c r="Q686" s="117"/>
    </row>
    <row r="687" ht="15.75" customHeight="1">
      <c r="A687" s="120"/>
      <c r="B687" s="120"/>
      <c r="Q687" s="117"/>
    </row>
    <row r="688" ht="15.75" customHeight="1">
      <c r="A688" s="120"/>
      <c r="B688" s="120"/>
      <c r="Q688" s="117"/>
    </row>
    <row r="689" ht="15.75" customHeight="1">
      <c r="A689" s="120"/>
      <c r="B689" s="120"/>
      <c r="Q689" s="117"/>
    </row>
    <row r="690" ht="15.75" customHeight="1">
      <c r="A690" s="120"/>
      <c r="B690" s="120"/>
      <c r="Q690" s="117"/>
    </row>
    <row r="691" ht="15.75" customHeight="1">
      <c r="A691" s="120"/>
      <c r="B691" s="120"/>
      <c r="Q691" s="117"/>
    </row>
    <row r="692" ht="15.75" customHeight="1">
      <c r="A692" s="120"/>
      <c r="B692" s="120"/>
      <c r="Q692" s="117"/>
    </row>
    <row r="693" ht="15.75" customHeight="1">
      <c r="A693" s="120"/>
      <c r="B693" s="120"/>
      <c r="Q693" s="117"/>
    </row>
    <row r="694" ht="15.75" customHeight="1">
      <c r="A694" s="120"/>
      <c r="B694" s="120"/>
      <c r="Q694" s="117"/>
    </row>
    <row r="695" ht="15.75" customHeight="1">
      <c r="A695" s="120"/>
      <c r="B695" s="120"/>
      <c r="Q695" s="117"/>
    </row>
    <row r="696" ht="15.75" customHeight="1">
      <c r="A696" s="120"/>
      <c r="B696" s="120"/>
      <c r="Q696" s="117"/>
    </row>
    <row r="697" ht="15.75" customHeight="1">
      <c r="A697" s="120"/>
      <c r="B697" s="120"/>
      <c r="Q697" s="117"/>
    </row>
    <row r="698" ht="15.75" customHeight="1">
      <c r="A698" s="120"/>
      <c r="B698" s="120"/>
      <c r="Q698" s="117"/>
    </row>
    <row r="699" ht="15.75" customHeight="1">
      <c r="A699" s="120"/>
      <c r="B699" s="120"/>
      <c r="Q699" s="117"/>
    </row>
    <row r="700" ht="15.75" customHeight="1">
      <c r="A700" s="120"/>
      <c r="B700" s="120"/>
      <c r="Q700" s="117"/>
    </row>
    <row r="701" ht="15.75" customHeight="1">
      <c r="A701" s="120"/>
      <c r="B701" s="120"/>
      <c r="Q701" s="117"/>
    </row>
    <row r="702" ht="15.75" customHeight="1">
      <c r="A702" s="120"/>
      <c r="B702" s="120"/>
      <c r="Q702" s="117"/>
    </row>
    <row r="703" ht="15.75" customHeight="1">
      <c r="A703" s="120"/>
      <c r="B703" s="120"/>
      <c r="Q703" s="117"/>
    </row>
    <row r="704" ht="15.75" customHeight="1">
      <c r="A704" s="120"/>
      <c r="B704" s="120"/>
      <c r="Q704" s="117"/>
    </row>
    <row r="705" ht="15.75" customHeight="1">
      <c r="A705" s="120"/>
      <c r="B705" s="120"/>
      <c r="Q705" s="117"/>
    </row>
    <row r="706" ht="15.75" customHeight="1">
      <c r="A706" s="120"/>
      <c r="B706" s="120"/>
      <c r="Q706" s="117"/>
    </row>
    <row r="707" ht="15.75" customHeight="1">
      <c r="A707" s="120"/>
      <c r="B707" s="120"/>
      <c r="Q707" s="117"/>
    </row>
    <row r="708" ht="15.75" customHeight="1">
      <c r="A708" s="120"/>
      <c r="B708" s="120"/>
      <c r="Q708" s="117"/>
    </row>
    <row r="709" ht="15.75" customHeight="1">
      <c r="A709" s="120"/>
      <c r="B709" s="120"/>
      <c r="Q709" s="117"/>
    </row>
    <row r="710" ht="15.75" customHeight="1">
      <c r="A710" s="120"/>
      <c r="B710" s="120"/>
      <c r="Q710" s="117"/>
    </row>
    <row r="711" ht="15.75" customHeight="1">
      <c r="A711" s="120"/>
      <c r="B711" s="120"/>
      <c r="Q711" s="117"/>
    </row>
    <row r="712" ht="15.75" customHeight="1">
      <c r="A712" s="120"/>
      <c r="B712" s="120"/>
      <c r="Q712" s="117"/>
    </row>
    <row r="713" ht="15.75" customHeight="1">
      <c r="A713" s="120"/>
      <c r="B713" s="120"/>
      <c r="Q713" s="117"/>
    </row>
    <row r="714" ht="15.75" customHeight="1">
      <c r="A714" s="120"/>
      <c r="B714" s="120"/>
      <c r="Q714" s="117"/>
    </row>
    <row r="715" ht="15.75" customHeight="1">
      <c r="A715" s="120"/>
      <c r="B715" s="120"/>
      <c r="Q715" s="117"/>
    </row>
    <row r="716" ht="15.75" customHeight="1">
      <c r="A716" s="120"/>
      <c r="B716" s="120"/>
      <c r="Q716" s="117"/>
    </row>
    <row r="717" ht="15.75" customHeight="1">
      <c r="A717" s="120"/>
      <c r="B717" s="120"/>
      <c r="Q717" s="117"/>
    </row>
    <row r="718" ht="15.75" customHeight="1">
      <c r="A718" s="120"/>
      <c r="B718" s="120"/>
      <c r="Q718" s="117"/>
    </row>
    <row r="719" ht="15.75" customHeight="1">
      <c r="A719" s="120"/>
      <c r="B719" s="120"/>
      <c r="Q719" s="117"/>
    </row>
    <row r="720" ht="15.75" customHeight="1">
      <c r="A720" s="120"/>
      <c r="B720" s="120"/>
      <c r="Q720" s="117"/>
    </row>
    <row r="721" ht="15.75" customHeight="1">
      <c r="A721" s="120"/>
      <c r="B721" s="120"/>
      <c r="Q721" s="117"/>
    </row>
    <row r="722" ht="15.75" customHeight="1">
      <c r="A722" s="120"/>
      <c r="B722" s="120"/>
      <c r="Q722" s="117"/>
    </row>
    <row r="723" ht="15.75" customHeight="1">
      <c r="A723" s="120"/>
      <c r="B723" s="120"/>
      <c r="Q723" s="117"/>
    </row>
    <row r="724" ht="15.75" customHeight="1">
      <c r="A724" s="120"/>
      <c r="B724" s="120"/>
      <c r="Q724" s="117"/>
    </row>
    <row r="725" ht="15.75" customHeight="1">
      <c r="A725" s="120"/>
      <c r="B725" s="120"/>
      <c r="Q725" s="117"/>
    </row>
    <row r="726" ht="15.75" customHeight="1">
      <c r="A726" s="120"/>
      <c r="B726" s="120"/>
      <c r="Q726" s="117"/>
    </row>
    <row r="727" ht="15.75" customHeight="1">
      <c r="A727" s="120"/>
      <c r="B727" s="120"/>
      <c r="Q727" s="117"/>
    </row>
    <row r="728" ht="15.75" customHeight="1">
      <c r="A728" s="120"/>
      <c r="B728" s="120"/>
      <c r="Q728" s="117"/>
    </row>
    <row r="729" ht="15.75" customHeight="1">
      <c r="A729" s="120"/>
      <c r="B729" s="120"/>
      <c r="Q729" s="117"/>
    </row>
    <row r="730" ht="15.75" customHeight="1">
      <c r="A730" s="120"/>
      <c r="B730" s="120"/>
      <c r="Q730" s="117"/>
    </row>
    <row r="731" ht="15.75" customHeight="1">
      <c r="A731" s="120"/>
      <c r="B731" s="120"/>
      <c r="Q731" s="117"/>
    </row>
    <row r="732" ht="15.75" customHeight="1">
      <c r="A732" s="120"/>
      <c r="B732" s="120"/>
      <c r="Q732" s="117"/>
    </row>
    <row r="733" ht="15.75" customHeight="1">
      <c r="A733" s="120"/>
      <c r="B733" s="120"/>
      <c r="Q733" s="117"/>
    </row>
    <row r="734" ht="15.75" customHeight="1">
      <c r="A734" s="120"/>
      <c r="B734" s="120"/>
      <c r="Q734" s="117"/>
    </row>
    <row r="735" ht="15.75" customHeight="1">
      <c r="A735" s="120"/>
      <c r="B735" s="120"/>
      <c r="Q735" s="117"/>
    </row>
    <row r="736" ht="15.75" customHeight="1">
      <c r="A736" s="120"/>
      <c r="B736" s="120"/>
      <c r="Q736" s="117"/>
    </row>
    <row r="737" ht="15.75" customHeight="1">
      <c r="A737" s="120"/>
      <c r="B737" s="120"/>
      <c r="Q737" s="117"/>
    </row>
    <row r="738" ht="15.75" customHeight="1">
      <c r="A738" s="120"/>
      <c r="B738" s="120"/>
      <c r="Q738" s="117"/>
    </row>
    <row r="739" ht="15.75" customHeight="1">
      <c r="A739" s="120"/>
      <c r="B739" s="120"/>
      <c r="Q739" s="117"/>
    </row>
    <row r="740" ht="15.75" customHeight="1">
      <c r="A740" s="120"/>
      <c r="B740" s="120"/>
      <c r="Q740" s="117"/>
    </row>
    <row r="741" ht="15.75" customHeight="1">
      <c r="A741" s="120"/>
      <c r="B741" s="120"/>
      <c r="Q741" s="117"/>
    </row>
    <row r="742" ht="15.75" customHeight="1">
      <c r="A742" s="120"/>
      <c r="B742" s="120"/>
      <c r="Q742" s="117"/>
    </row>
    <row r="743" ht="15.75" customHeight="1">
      <c r="A743" s="120"/>
      <c r="B743" s="120"/>
      <c r="Q743" s="117"/>
    </row>
    <row r="744" ht="15.75" customHeight="1">
      <c r="A744" s="120"/>
      <c r="B744" s="120"/>
      <c r="Q744" s="117"/>
    </row>
    <row r="745" ht="15.75" customHeight="1">
      <c r="A745" s="120"/>
      <c r="B745" s="120"/>
      <c r="Q745" s="117"/>
    </row>
    <row r="746" ht="15.75" customHeight="1">
      <c r="A746" s="120"/>
      <c r="B746" s="120"/>
      <c r="Q746" s="117"/>
    </row>
    <row r="747" ht="15.75" customHeight="1">
      <c r="A747" s="120"/>
      <c r="B747" s="120"/>
      <c r="Q747" s="117"/>
    </row>
    <row r="748" ht="15.75" customHeight="1">
      <c r="A748" s="120"/>
      <c r="B748" s="120"/>
      <c r="Q748" s="117"/>
    </row>
    <row r="749" ht="15.75" customHeight="1">
      <c r="A749" s="120"/>
      <c r="B749" s="120"/>
      <c r="Q749" s="117"/>
    </row>
    <row r="750" ht="15.75" customHeight="1">
      <c r="A750" s="120"/>
      <c r="B750" s="120"/>
      <c r="Q750" s="117"/>
    </row>
    <row r="751" ht="15.75" customHeight="1">
      <c r="A751" s="120"/>
      <c r="B751" s="120"/>
      <c r="Q751" s="117"/>
    </row>
    <row r="752" ht="15.75" customHeight="1">
      <c r="A752" s="120"/>
      <c r="B752" s="120"/>
      <c r="Q752" s="117"/>
    </row>
    <row r="753" ht="15.75" customHeight="1">
      <c r="A753" s="120"/>
      <c r="B753" s="120"/>
      <c r="Q753" s="117"/>
    </row>
    <row r="754" ht="15.75" customHeight="1">
      <c r="A754" s="120"/>
      <c r="B754" s="120"/>
      <c r="Q754" s="117"/>
    </row>
    <row r="755" ht="15.75" customHeight="1">
      <c r="A755" s="120"/>
      <c r="B755" s="120"/>
      <c r="Q755" s="117"/>
    </row>
    <row r="756" ht="15.75" customHeight="1">
      <c r="A756" s="120"/>
      <c r="B756" s="120"/>
      <c r="Q756" s="117"/>
    </row>
    <row r="757" ht="15.75" customHeight="1">
      <c r="A757" s="120"/>
      <c r="B757" s="120"/>
      <c r="Q757" s="117"/>
    </row>
    <row r="758" ht="15.75" customHeight="1">
      <c r="A758" s="120"/>
      <c r="B758" s="120"/>
      <c r="Q758" s="117"/>
    </row>
    <row r="759" ht="15.75" customHeight="1">
      <c r="A759" s="120"/>
      <c r="B759" s="120"/>
      <c r="Q759" s="117"/>
    </row>
    <row r="760" ht="15.75" customHeight="1">
      <c r="A760" s="120"/>
      <c r="B760" s="120"/>
      <c r="Q760" s="117"/>
    </row>
    <row r="761" ht="15.75" customHeight="1">
      <c r="A761" s="120"/>
      <c r="B761" s="120"/>
      <c r="Q761" s="117"/>
    </row>
    <row r="762" ht="15.75" customHeight="1">
      <c r="A762" s="120"/>
      <c r="B762" s="120"/>
      <c r="Q762" s="117"/>
    </row>
    <row r="763" ht="15.75" customHeight="1">
      <c r="A763" s="120"/>
      <c r="B763" s="120"/>
      <c r="Q763" s="117"/>
    </row>
    <row r="764" ht="15.75" customHeight="1">
      <c r="A764" s="120"/>
      <c r="B764" s="120"/>
      <c r="Q764" s="117"/>
    </row>
    <row r="765" ht="15.75" customHeight="1">
      <c r="A765" s="120"/>
      <c r="B765" s="120"/>
      <c r="Q765" s="117"/>
    </row>
    <row r="766" ht="15.75" customHeight="1">
      <c r="A766" s="120"/>
      <c r="B766" s="120"/>
      <c r="Q766" s="117"/>
    </row>
    <row r="767" ht="15.75" customHeight="1">
      <c r="A767" s="120"/>
      <c r="B767" s="120"/>
      <c r="Q767" s="117"/>
    </row>
    <row r="768" ht="15.75" customHeight="1">
      <c r="A768" s="120"/>
      <c r="B768" s="120"/>
      <c r="Q768" s="117"/>
    </row>
    <row r="769" ht="15.75" customHeight="1">
      <c r="A769" s="120"/>
      <c r="B769" s="120"/>
      <c r="Q769" s="117"/>
    </row>
    <row r="770" ht="15.75" customHeight="1">
      <c r="A770" s="120"/>
      <c r="B770" s="120"/>
      <c r="Q770" s="117"/>
    </row>
    <row r="771" ht="15.75" customHeight="1">
      <c r="A771" s="120"/>
      <c r="B771" s="120"/>
      <c r="Q771" s="117"/>
    </row>
    <row r="772" ht="15.75" customHeight="1">
      <c r="A772" s="120"/>
      <c r="B772" s="120"/>
      <c r="Q772" s="117"/>
    </row>
    <row r="773" ht="15.75" customHeight="1">
      <c r="A773" s="120"/>
      <c r="B773" s="120"/>
      <c r="Q773" s="117"/>
    </row>
    <row r="774" ht="15.75" customHeight="1">
      <c r="A774" s="120"/>
      <c r="B774" s="120"/>
      <c r="Q774" s="117"/>
    </row>
    <row r="775" ht="15.75" customHeight="1">
      <c r="A775" s="120"/>
      <c r="B775" s="120"/>
      <c r="Q775" s="117"/>
    </row>
    <row r="776" ht="15.75" customHeight="1">
      <c r="A776" s="120"/>
      <c r="B776" s="120"/>
      <c r="Q776" s="117"/>
    </row>
    <row r="777" ht="15.75" customHeight="1">
      <c r="A777" s="120"/>
      <c r="B777" s="120"/>
      <c r="Q777" s="117"/>
    </row>
    <row r="778" ht="15.75" customHeight="1">
      <c r="A778" s="120"/>
      <c r="B778" s="120"/>
      <c r="Q778" s="117"/>
    </row>
    <row r="779" ht="15.75" customHeight="1">
      <c r="A779" s="120"/>
      <c r="B779" s="120"/>
      <c r="Q779" s="117"/>
    </row>
    <row r="780" ht="15.75" customHeight="1">
      <c r="A780" s="120"/>
      <c r="B780" s="120"/>
      <c r="Q780" s="117"/>
    </row>
    <row r="781" ht="15.75" customHeight="1">
      <c r="A781" s="120"/>
      <c r="B781" s="120"/>
      <c r="Q781" s="117"/>
    </row>
    <row r="782" ht="15.75" customHeight="1">
      <c r="A782" s="120"/>
      <c r="B782" s="120"/>
      <c r="Q782" s="117"/>
    </row>
    <row r="783" ht="15.75" customHeight="1">
      <c r="A783" s="120"/>
      <c r="B783" s="120"/>
      <c r="Q783" s="117"/>
    </row>
    <row r="784" ht="15.75" customHeight="1">
      <c r="A784" s="120"/>
      <c r="B784" s="120"/>
      <c r="Q784" s="117"/>
    </row>
    <row r="785" ht="15.75" customHeight="1">
      <c r="A785" s="120"/>
      <c r="B785" s="120"/>
      <c r="Q785" s="117"/>
    </row>
    <row r="786" ht="15.75" customHeight="1">
      <c r="A786" s="120"/>
      <c r="B786" s="120"/>
      <c r="Q786" s="117"/>
    </row>
    <row r="787" ht="15.75" customHeight="1">
      <c r="A787" s="120"/>
      <c r="B787" s="120"/>
      <c r="Q787" s="117"/>
    </row>
    <row r="788" ht="15.75" customHeight="1">
      <c r="A788" s="120"/>
      <c r="B788" s="120"/>
      <c r="Q788" s="117"/>
    </row>
    <row r="789" ht="15.75" customHeight="1">
      <c r="A789" s="120"/>
      <c r="B789" s="120"/>
      <c r="Q789" s="117"/>
    </row>
    <row r="790" ht="15.75" customHeight="1">
      <c r="A790" s="120"/>
      <c r="B790" s="120"/>
      <c r="Q790" s="117"/>
    </row>
    <row r="791" ht="15.75" customHeight="1">
      <c r="A791" s="120"/>
      <c r="B791" s="120"/>
      <c r="Q791" s="117"/>
    </row>
    <row r="792" ht="15.75" customHeight="1">
      <c r="A792" s="120"/>
      <c r="B792" s="120"/>
      <c r="Q792" s="117"/>
    </row>
    <row r="793" ht="15.75" customHeight="1">
      <c r="A793" s="120"/>
      <c r="B793" s="120"/>
      <c r="Q793" s="117"/>
    </row>
    <row r="794" ht="15.75" customHeight="1">
      <c r="A794" s="120"/>
      <c r="B794" s="120"/>
      <c r="Q794" s="117"/>
    </row>
    <row r="795" ht="15.75" customHeight="1">
      <c r="A795" s="120"/>
      <c r="B795" s="120"/>
      <c r="Q795" s="117"/>
    </row>
    <row r="796" ht="15.75" customHeight="1">
      <c r="A796" s="120"/>
      <c r="B796" s="120"/>
      <c r="Q796" s="117"/>
    </row>
    <row r="797" ht="15.75" customHeight="1">
      <c r="A797" s="120"/>
      <c r="B797" s="120"/>
      <c r="Q797" s="117"/>
    </row>
    <row r="798" ht="15.75" customHeight="1">
      <c r="A798" s="120"/>
      <c r="B798" s="120"/>
      <c r="Q798" s="117"/>
    </row>
    <row r="799" ht="15.75" customHeight="1">
      <c r="A799" s="120"/>
      <c r="B799" s="120"/>
      <c r="Q799" s="117"/>
    </row>
    <row r="800" ht="15.75" customHeight="1">
      <c r="A800" s="120"/>
      <c r="B800" s="120"/>
      <c r="Q800" s="117"/>
    </row>
    <row r="801" ht="15.75" customHeight="1">
      <c r="A801" s="120"/>
      <c r="B801" s="120"/>
      <c r="Q801" s="117"/>
    </row>
    <row r="802" ht="15.75" customHeight="1">
      <c r="A802" s="120"/>
      <c r="B802" s="120"/>
      <c r="Q802" s="117"/>
    </row>
    <row r="803" ht="15.75" customHeight="1">
      <c r="A803" s="120"/>
      <c r="B803" s="120"/>
      <c r="Q803" s="117"/>
    </row>
    <row r="804" ht="15.75" customHeight="1">
      <c r="A804" s="120"/>
      <c r="B804" s="120"/>
      <c r="Q804" s="117"/>
    </row>
    <row r="805" ht="15.75" customHeight="1">
      <c r="A805" s="120"/>
      <c r="B805" s="120"/>
      <c r="Q805" s="117"/>
    </row>
    <row r="806" ht="15.75" customHeight="1">
      <c r="A806" s="120"/>
      <c r="B806" s="120"/>
      <c r="Q806" s="117"/>
    </row>
    <row r="807" ht="15.75" customHeight="1">
      <c r="A807" s="120"/>
      <c r="B807" s="120"/>
      <c r="Q807" s="117"/>
    </row>
    <row r="808" ht="15.75" customHeight="1">
      <c r="A808" s="120"/>
      <c r="B808" s="120"/>
      <c r="Q808" s="117"/>
    </row>
    <row r="809" ht="15.75" customHeight="1">
      <c r="A809" s="120"/>
      <c r="B809" s="120"/>
      <c r="Q809" s="117"/>
    </row>
    <row r="810" ht="15.75" customHeight="1">
      <c r="A810" s="120"/>
      <c r="B810" s="120"/>
      <c r="Q810" s="117"/>
    </row>
    <row r="811" ht="15.75" customHeight="1">
      <c r="A811" s="120"/>
      <c r="B811" s="120"/>
      <c r="Q811" s="117"/>
    </row>
    <row r="812" ht="15.75" customHeight="1">
      <c r="A812" s="120"/>
      <c r="B812" s="120"/>
      <c r="Q812" s="117"/>
    </row>
    <row r="813" ht="15.75" customHeight="1">
      <c r="A813" s="120"/>
      <c r="B813" s="120"/>
      <c r="Q813" s="117"/>
    </row>
    <row r="814" ht="15.75" customHeight="1">
      <c r="A814" s="120"/>
      <c r="B814" s="120"/>
      <c r="Q814" s="117"/>
    </row>
    <row r="815" ht="15.75" customHeight="1">
      <c r="A815" s="120"/>
      <c r="B815" s="120"/>
      <c r="Q815" s="117"/>
    </row>
    <row r="816" ht="15.75" customHeight="1">
      <c r="A816" s="120"/>
      <c r="B816" s="120"/>
      <c r="Q816" s="117"/>
    </row>
    <row r="817" ht="15.75" customHeight="1">
      <c r="A817" s="120"/>
      <c r="B817" s="120"/>
      <c r="Q817" s="117"/>
    </row>
    <row r="818" ht="15.75" customHeight="1">
      <c r="A818" s="120"/>
      <c r="B818" s="120"/>
      <c r="Q818" s="117"/>
    </row>
    <row r="819" ht="15.75" customHeight="1">
      <c r="A819" s="120"/>
      <c r="B819" s="120"/>
      <c r="Q819" s="117"/>
    </row>
    <row r="820" ht="15.75" customHeight="1">
      <c r="A820" s="120"/>
      <c r="B820" s="120"/>
      <c r="Q820" s="117"/>
    </row>
    <row r="821" ht="15.75" customHeight="1">
      <c r="A821" s="120"/>
      <c r="B821" s="120"/>
      <c r="Q821" s="117"/>
    </row>
    <row r="822" ht="15.75" customHeight="1">
      <c r="A822" s="120"/>
      <c r="B822" s="120"/>
      <c r="Q822" s="117"/>
    </row>
    <row r="823" ht="15.75" customHeight="1">
      <c r="A823" s="120"/>
      <c r="B823" s="120"/>
      <c r="Q823" s="117"/>
    </row>
    <row r="824" ht="15.75" customHeight="1">
      <c r="A824" s="120"/>
      <c r="B824" s="120"/>
      <c r="Q824" s="117"/>
    </row>
    <row r="825" ht="15.75" customHeight="1">
      <c r="A825" s="120"/>
      <c r="B825" s="120"/>
      <c r="Q825" s="117"/>
    </row>
    <row r="826" ht="15.75" customHeight="1">
      <c r="A826" s="120"/>
      <c r="B826" s="120"/>
      <c r="Q826" s="117"/>
    </row>
    <row r="827" ht="15.75" customHeight="1">
      <c r="A827" s="120"/>
      <c r="B827" s="120"/>
      <c r="Q827" s="117"/>
    </row>
    <row r="828" ht="15.75" customHeight="1">
      <c r="A828" s="120"/>
      <c r="B828" s="120"/>
      <c r="Q828" s="117"/>
    </row>
    <row r="829" ht="15.75" customHeight="1">
      <c r="A829" s="120"/>
      <c r="B829" s="120"/>
      <c r="Q829" s="117"/>
    </row>
    <row r="830" ht="15.75" customHeight="1">
      <c r="A830" s="120"/>
      <c r="B830" s="120"/>
      <c r="Q830" s="117"/>
    </row>
    <row r="831" ht="15.75" customHeight="1">
      <c r="A831" s="120"/>
      <c r="B831" s="120"/>
      <c r="Q831" s="117"/>
    </row>
    <row r="832" ht="15.75" customHeight="1">
      <c r="A832" s="120"/>
      <c r="B832" s="120"/>
      <c r="Q832" s="117"/>
    </row>
    <row r="833" ht="15.75" customHeight="1">
      <c r="A833" s="120"/>
      <c r="B833" s="120"/>
      <c r="Q833" s="117"/>
    </row>
    <row r="834" ht="15.75" customHeight="1">
      <c r="A834" s="120"/>
      <c r="B834" s="120"/>
      <c r="Q834" s="117"/>
    </row>
    <row r="835" ht="15.75" customHeight="1">
      <c r="A835" s="120"/>
      <c r="B835" s="120"/>
      <c r="Q835" s="117"/>
    </row>
    <row r="836" ht="15.75" customHeight="1">
      <c r="A836" s="120"/>
      <c r="B836" s="120"/>
      <c r="Q836" s="117"/>
    </row>
    <row r="837" ht="15.75" customHeight="1">
      <c r="A837" s="120"/>
      <c r="B837" s="120"/>
      <c r="Q837" s="117"/>
    </row>
    <row r="838" ht="15.75" customHeight="1">
      <c r="A838" s="120"/>
      <c r="B838" s="120"/>
      <c r="Q838" s="117"/>
    </row>
    <row r="839" ht="15.75" customHeight="1">
      <c r="A839" s="120"/>
      <c r="B839" s="120"/>
      <c r="Q839" s="117"/>
    </row>
    <row r="840" ht="15.75" customHeight="1">
      <c r="A840" s="120"/>
      <c r="B840" s="120"/>
      <c r="Q840" s="117"/>
    </row>
    <row r="841" ht="15.75" customHeight="1">
      <c r="A841" s="120"/>
      <c r="B841" s="120"/>
      <c r="Q841" s="117"/>
    </row>
    <row r="842" ht="15.75" customHeight="1">
      <c r="A842" s="120"/>
      <c r="B842" s="120"/>
      <c r="Q842" s="117"/>
    </row>
    <row r="843" ht="15.75" customHeight="1">
      <c r="A843" s="120"/>
      <c r="B843" s="120"/>
      <c r="Q843" s="117"/>
    </row>
    <row r="844" ht="15.75" customHeight="1">
      <c r="A844" s="120"/>
      <c r="B844" s="120"/>
      <c r="Q844" s="117"/>
    </row>
    <row r="845" ht="15.75" customHeight="1">
      <c r="A845" s="120"/>
      <c r="B845" s="120"/>
      <c r="Q845" s="117"/>
    </row>
    <row r="846" ht="15.75" customHeight="1">
      <c r="A846" s="120"/>
      <c r="B846" s="120"/>
      <c r="Q846" s="117"/>
    </row>
    <row r="847" ht="15.75" customHeight="1">
      <c r="A847" s="120"/>
      <c r="B847" s="120"/>
      <c r="Q847" s="117"/>
    </row>
    <row r="848" ht="15.75" customHeight="1">
      <c r="A848" s="120"/>
      <c r="B848" s="120"/>
      <c r="Q848" s="117"/>
    </row>
    <row r="849" ht="15.75" customHeight="1">
      <c r="A849" s="120"/>
      <c r="B849" s="120"/>
      <c r="Q849" s="117"/>
    </row>
    <row r="850" ht="15.75" customHeight="1">
      <c r="A850" s="120"/>
      <c r="B850" s="120"/>
      <c r="Q850" s="117"/>
    </row>
    <row r="851" ht="15.75" customHeight="1">
      <c r="A851" s="120"/>
      <c r="B851" s="120"/>
      <c r="Q851" s="117"/>
    </row>
    <row r="852" ht="15.75" customHeight="1">
      <c r="A852" s="120"/>
      <c r="B852" s="120"/>
      <c r="Q852" s="117"/>
    </row>
    <row r="853" ht="15.75" customHeight="1">
      <c r="A853" s="120"/>
      <c r="B853" s="120"/>
      <c r="Q853" s="117"/>
    </row>
    <row r="854" ht="15.75" customHeight="1">
      <c r="A854" s="120"/>
      <c r="B854" s="120"/>
      <c r="Q854" s="117"/>
    </row>
    <row r="855" ht="15.75" customHeight="1">
      <c r="A855" s="120"/>
      <c r="B855" s="120"/>
      <c r="Q855" s="117"/>
    </row>
    <row r="856" ht="15.75" customHeight="1">
      <c r="A856" s="120"/>
      <c r="B856" s="120"/>
      <c r="Q856" s="117"/>
    </row>
    <row r="857" ht="15.75" customHeight="1">
      <c r="A857" s="120"/>
      <c r="B857" s="120"/>
      <c r="Q857" s="117"/>
    </row>
    <row r="858" ht="15.75" customHeight="1">
      <c r="A858" s="120"/>
      <c r="B858" s="120"/>
      <c r="Q858" s="117"/>
    </row>
    <row r="859" ht="15.75" customHeight="1">
      <c r="A859" s="120"/>
      <c r="B859" s="120"/>
      <c r="Q859" s="117"/>
    </row>
    <row r="860" ht="15.75" customHeight="1">
      <c r="A860" s="120"/>
      <c r="B860" s="120"/>
      <c r="Q860" s="117"/>
    </row>
    <row r="861" ht="15.75" customHeight="1">
      <c r="A861" s="120"/>
      <c r="B861" s="120"/>
      <c r="Q861" s="117"/>
    </row>
    <row r="862" ht="15.75" customHeight="1">
      <c r="A862" s="120"/>
      <c r="B862" s="120"/>
      <c r="Q862" s="117"/>
    </row>
    <row r="863" ht="15.75" customHeight="1">
      <c r="A863" s="120"/>
      <c r="B863" s="120"/>
      <c r="Q863" s="117"/>
    </row>
    <row r="864" ht="15.75" customHeight="1">
      <c r="A864" s="120"/>
      <c r="B864" s="120"/>
      <c r="Q864" s="117"/>
    </row>
    <row r="865" ht="15.75" customHeight="1">
      <c r="A865" s="120"/>
      <c r="B865" s="120"/>
      <c r="Q865" s="117"/>
    </row>
    <row r="866" ht="15.75" customHeight="1">
      <c r="A866" s="120"/>
      <c r="B866" s="120"/>
      <c r="Q866" s="117"/>
    </row>
    <row r="867" ht="15.75" customHeight="1">
      <c r="A867" s="120"/>
      <c r="B867" s="120"/>
      <c r="Q867" s="117"/>
    </row>
    <row r="868" ht="15.75" customHeight="1">
      <c r="A868" s="120"/>
      <c r="B868" s="120"/>
      <c r="Q868" s="117"/>
    </row>
    <row r="869" ht="15.75" customHeight="1">
      <c r="A869" s="120"/>
      <c r="B869" s="120"/>
      <c r="Q869" s="117"/>
    </row>
    <row r="870" ht="15.75" customHeight="1">
      <c r="A870" s="120"/>
      <c r="B870" s="120"/>
      <c r="Q870" s="117"/>
    </row>
    <row r="871" ht="15.75" customHeight="1">
      <c r="A871" s="120"/>
      <c r="B871" s="120"/>
      <c r="Q871" s="117"/>
    </row>
    <row r="872" ht="15.75" customHeight="1">
      <c r="A872" s="120"/>
      <c r="B872" s="120"/>
      <c r="Q872" s="117"/>
    </row>
  </sheetData>
  <autoFilter ref="$A$1:$W$320">
    <filterColumn colId="20">
      <filters>
        <filter val="CORTE 04/07/2026"/>
      </filters>
    </filterColumn>
  </autoFilter>
  <printOptions/>
  <pageMargins bottom="0.7480314960629921" footer="0.0" header="0.0" left="0.7086614173228347" right="0.7086614173228347" top="0.7480314960629921"/>
  <pageSetup scale="4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2026-06-10T16:07:36Z</dcterms:created>
  <dc:creator>HP</dc:creator>
</cp:coreProperties>
</file>