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SADO" sheetId="1" r:id="rId4"/>
    <sheet state="visible" name="Tabla dinámica 9" sheetId="2" r:id="rId5"/>
    <sheet state="visible" name="CARPETA" sheetId="3" r:id="rId6"/>
    <sheet state="visible" name="Tabla dinámica 8" sheetId="4" r:id="rId7"/>
  </sheets>
  <definedNames>
    <definedName hidden="1" localSheetId="0" name="_xlnm._FilterDatabase">FRESADO!$A$1:$Z$1963</definedName>
    <definedName hidden="1" localSheetId="2" name="_xlnm._FilterDatabase">CARPETA!$A$1:$Z$3006</definedName>
  </definedNames>
  <calcPr/>
  <pivotCaches>
    <pivotCache cacheId="0" r:id="rId8"/>
    <pivotCache cacheId="1" r:id="rId9"/>
  </pivotCaches>
  <extLst>
    <ext uri="GoogleSheetsCustomDataVersion2">
      <go:sheetsCustomData xmlns:go="http://customooxmlschemas.google.com/" r:id="rId10" roundtripDataChecksum="WE+YHDXLJ1Lasou0CpHu7zoa2yfhhM8SRHYA+MTAbyg="/>
    </ext>
  </extLst>
</workbook>
</file>

<file path=xl/sharedStrings.xml><?xml version="1.0" encoding="utf-8"?>
<sst xmlns="http://schemas.openxmlformats.org/spreadsheetml/2006/main" count="3006" uniqueCount="428">
  <si>
    <t xml:space="preserve">SEM </t>
  </si>
  <si>
    <t>NO</t>
  </si>
  <si>
    <t xml:space="preserve">FOLIO </t>
  </si>
  <si>
    <t>FECHA</t>
  </si>
  <si>
    <t xml:space="preserve">VIAJES </t>
  </si>
  <si>
    <t xml:space="preserve">MATERIAL </t>
  </si>
  <si>
    <t>PLACAS</t>
  </si>
  <si>
    <t>CAPACIDAD</t>
  </si>
  <si>
    <t xml:space="preserve">UNIDAD </t>
  </si>
  <si>
    <t>OPERADOR</t>
  </si>
  <si>
    <t>SINDICATO</t>
  </si>
  <si>
    <t xml:space="preserve">CAPACIDAD (M3) </t>
  </si>
  <si>
    <t>KM INICIA</t>
  </si>
  <si>
    <t xml:space="preserve">PESO TOTAL (KG) </t>
  </si>
  <si>
    <t>KM TERMINA</t>
  </si>
  <si>
    <t>KM INICIO</t>
  </si>
  <si>
    <t xml:space="preserve">TIRO </t>
  </si>
  <si>
    <t>KM FINAL</t>
  </si>
  <si>
    <t>CPO</t>
  </si>
  <si>
    <t>CUERPO</t>
  </si>
  <si>
    <t>CARRIL</t>
  </si>
  <si>
    <t>KM ACARREO POR VIAJE</t>
  </si>
  <si>
    <t>OBSERVACIONES</t>
  </si>
  <si>
    <t>PU</t>
  </si>
  <si>
    <t>IMPORTE</t>
  </si>
  <si>
    <t>IVA</t>
  </si>
  <si>
    <t xml:space="preserve">TOTAL </t>
  </si>
  <si>
    <t>TOTAL</t>
  </si>
  <si>
    <t>CONCILIACION</t>
  </si>
  <si>
    <t>ESTATUS</t>
  </si>
  <si>
    <t xml:space="preserve">FACTURA </t>
  </si>
  <si>
    <t>FACTURA</t>
  </si>
  <si>
    <t>CARPETA</t>
  </si>
  <si>
    <t>HC-1139-G</t>
  </si>
  <si>
    <t>FRESADO</t>
  </si>
  <si>
    <t>VICTOR DE LEON</t>
  </si>
  <si>
    <t>COSUM TOLUCA</t>
  </si>
  <si>
    <t>MY-7968-B</t>
  </si>
  <si>
    <t>0+000.00</t>
  </si>
  <si>
    <t>M³</t>
  </si>
  <si>
    <t>JORGE GARCIA</t>
  </si>
  <si>
    <t>0+035.00</t>
  </si>
  <si>
    <t>NA</t>
  </si>
  <si>
    <t>B</t>
  </si>
  <si>
    <t>PEGASSO</t>
  </si>
  <si>
    <t>CARRIL DE ALTA</t>
  </si>
  <si>
    <t>BAJA</t>
  </si>
  <si>
    <t xml:space="preserve">SUM de TOTAL </t>
  </si>
  <si>
    <t>Suma total</t>
  </si>
  <si>
    <t>A DEL M 1</t>
  </si>
  <si>
    <t>412-AT-3</t>
  </si>
  <si>
    <t>JUAN GONZALES</t>
  </si>
  <si>
    <t>0+070.00</t>
  </si>
  <si>
    <t>LD-5752-26</t>
  </si>
  <si>
    <t>ARTURO HERNANDEZ</t>
  </si>
  <si>
    <t>SUM de TOTAL</t>
  </si>
  <si>
    <t>HC-4281-J</t>
  </si>
  <si>
    <t>DANIEL CRUZ</t>
  </si>
  <si>
    <t>0+110.00</t>
  </si>
  <si>
    <t>HE-4251-J</t>
  </si>
  <si>
    <t>REY DAVID</t>
  </si>
  <si>
    <t>0+145.00</t>
  </si>
  <si>
    <t>NE-4904-D</t>
  </si>
  <si>
    <t>LH-1606-2</t>
  </si>
  <si>
    <t>GERARDO ENRIQUE</t>
  </si>
  <si>
    <t>JULIO CESAR</t>
  </si>
  <si>
    <t>0+180.00</t>
  </si>
  <si>
    <t>HF-0627-G</t>
  </si>
  <si>
    <t>JOSE MIGUEL</t>
  </si>
  <si>
    <t>0+215.00</t>
  </si>
  <si>
    <t>HG-6103-D</t>
  </si>
  <si>
    <t>22-BC-9R</t>
  </si>
  <si>
    <t>ENRIQUE COLIN</t>
  </si>
  <si>
    <t>JUAN MANUEL</t>
  </si>
  <si>
    <t>0+250.00</t>
  </si>
  <si>
    <t>LD-5753-6</t>
  </si>
  <si>
    <t>0+285.00</t>
  </si>
  <si>
    <t>NR-0950-C</t>
  </si>
  <si>
    <t>ALEJANDRO FLORES</t>
  </si>
  <si>
    <t>0+040.00</t>
  </si>
  <si>
    <t>CARRIL CENTRAL</t>
  </si>
  <si>
    <t>0+080.00</t>
  </si>
  <si>
    <t>0+130.00</t>
  </si>
  <si>
    <t>HC-8639-C</t>
  </si>
  <si>
    <t>JORGE HERNANDEZ</t>
  </si>
  <si>
    <t>0+170.00</t>
  </si>
  <si>
    <t>GX-0733-H</t>
  </si>
  <si>
    <t>MIGUEL ANGEL</t>
  </si>
  <si>
    <t>HG-610-3D</t>
  </si>
  <si>
    <t>CAMION DE LIMPIEZA</t>
  </si>
  <si>
    <t>MU-3175-9</t>
  </si>
  <si>
    <t>0+050.00</t>
  </si>
  <si>
    <t>DIEGO HERNANDEZ</t>
  </si>
  <si>
    <t>ACOTAMIENTO</t>
  </si>
  <si>
    <t>LD-5752-6</t>
  </si>
  <si>
    <t>0+100.00</t>
  </si>
  <si>
    <t>M3</t>
  </si>
  <si>
    <t>LH-160-62</t>
  </si>
  <si>
    <t xml:space="preserve">KM </t>
  </si>
  <si>
    <t>BANCO PEGASO</t>
  </si>
  <si>
    <t>NB-1258-D</t>
  </si>
  <si>
    <t>SANTOS OTERO</t>
  </si>
  <si>
    <t>0+185.00</t>
  </si>
  <si>
    <t>LH-16-062</t>
  </si>
  <si>
    <t>CESAR HERNANDEZ</t>
  </si>
  <si>
    <t>0+220.00</t>
  </si>
  <si>
    <t>0+230.00</t>
  </si>
  <si>
    <t>628</t>
  </si>
  <si>
    <t>LD-57-526</t>
  </si>
  <si>
    <t>HC1139G</t>
  </si>
  <si>
    <t>59130</t>
  </si>
  <si>
    <t>0+320.00</t>
  </si>
  <si>
    <t>0+355.00</t>
  </si>
  <si>
    <t>A DEL M 2</t>
  </si>
  <si>
    <t>629</t>
  </si>
  <si>
    <t>OSCAR HERNANDEZ</t>
  </si>
  <si>
    <t>NE4904D</t>
  </si>
  <si>
    <t>59133</t>
  </si>
  <si>
    <t>0+390.00</t>
  </si>
  <si>
    <t>0+430.00</t>
  </si>
  <si>
    <t>627</t>
  </si>
  <si>
    <t>59143</t>
  </si>
  <si>
    <t>0+290.00</t>
  </si>
  <si>
    <t>630</t>
  </si>
  <si>
    <t>NB1258D</t>
  </si>
  <si>
    <t>59149</t>
  </si>
  <si>
    <t>KM</t>
  </si>
  <si>
    <t>BANCO ZINACANTEPEC</t>
  </si>
  <si>
    <t>632</t>
  </si>
  <si>
    <t>HB73236</t>
  </si>
  <si>
    <t>59161</t>
  </si>
  <si>
    <t>MARTIN</t>
  </si>
  <si>
    <t>0+465.00</t>
  </si>
  <si>
    <t>0+495.00</t>
  </si>
  <si>
    <t>633</t>
  </si>
  <si>
    <t>HJ6103D</t>
  </si>
  <si>
    <t>59167</t>
  </si>
  <si>
    <t>634</t>
  </si>
  <si>
    <t>258ET7</t>
  </si>
  <si>
    <t>59162</t>
  </si>
  <si>
    <t>ELISEO REYES</t>
  </si>
  <si>
    <t>0+525.00</t>
  </si>
  <si>
    <t>635</t>
  </si>
  <si>
    <t>NJ6644D</t>
  </si>
  <si>
    <t>59184</t>
  </si>
  <si>
    <t>RAMIRO HDEZ</t>
  </si>
  <si>
    <t>VIAJE EN FALSO</t>
  </si>
  <si>
    <t>0+555.00</t>
  </si>
  <si>
    <t>636</t>
  </si>
  <si>
    <t>HD57440</t>
  </si>
  <si>
    <t>59183</t>
  </si>
  <si>
    <t>RAMIRO HDEZ ESQUIVEL</t>
  </si>
  <si>
    <t>0+585.00</t>
  </si>
  <si>
    <t>MU-31-759</t>
  </si>
  <si>
    <t>SE UTILIZO PARA LIMPIEZA O RETIRO DE ESCOMBRO</t>
  </si>
  <si>
    <t>637</t>
  </si>
  <si>
    <t>22BC9R</t>
  </si>
  <si>
    <t>59187</t>
  </si>
  <si>
    <t>0+615.00</t>
  </si>
  <si>
    <t>PIPA DE AGUA</t>
  </si>
  <si>
    <t>HB-0596-D</t>
  </si>
  <si>
    <t>FRANCISCO ALBARRAN</t>
  </si>
  <si>
    <t>6X0733H</t>
  </si>
  <si>
    <t>0+203</t>
  </si>
  <si>
    <t>0+240</t>
  </si>
  <si>
    <t>HG6103D</t>
  </si>
  <si>
    <t>ENRIQUE GODIN</t>
  </si>
  <si>
    <t>0+260</t>
  </si>
  <si>
    <t>LG5557526</t>
  </si>
  <si>
    <t>0+310</t>
  </si>
  <si>
    <t>MY7967B</t>
  </si>
  <si>
    <t>ENRIQUE TORRES</t>
  </si>
  <si>
    <t>0+350</t>
  </si>
  <si>
    <t>LH16O62</t>
  </si>
  <si>
    <t>JULIO CESAR HERNANDEZ</t>
  </si>
  <si>
    <t>0+390</t>
  </si>
  <si>
    <t>MY7968B</t>
  </si>
  <si>
    <t>HG-5430-G</t>
  </si>
  <si>
    <t>ONESIMO HERNANDEZ</t>
  </si>
  <si>
    <t>MX3669D</t>
  </si>
  <si>
    <t>SIGFRIDO CALDERA</t>
  </si>
  <si>
    <t>HG-9585-H</t>
  </si>
  <si>
    <t>JUAN GUADARRAMA</t>
  </si>
  <si>
    <t>1A86899</t>
  </si>
  <si>
    <t>JOSUE MORALES</t>
  </si>
  <si>
    <t>0+330</t>
  </si>
  <si>
    <t>KR-9352-A</t>
  </si>
  <si>
    <t>ROBERTO ONOFRE</t>
  </si>
  <si>
    <t>HB7323G</t>
  </si>
  <si>
    <t>MARTIN CALDERA</t>
  </si>
  <si>
    <t>ALEJANDRO HERNANDEZ</t>
  </si>
  <si>
    <t>HF8029G</t>
  </si>
  <si>
    <t>ALEJANDRO NAVARRO</t>
  </si>
  <si>
    <t>PEGASO</t>
  </si>
  <si>
    <t>85BHA7X</t>
  </si>
  <si>
    <t>EDGAR BARUC</t>
  </si>
  <si>
    <t>MX-3669-D</t>
  </si>
  <si>
    <t>SIGFRIADO CALDERA</t>
  </si>
  <si>
    <t>SANTOS SOTERO</t>
  </si>
  <si>
    <t>0+320</t>
  </si>
  <si>
    <t>HB-9249-J</t>
  </si>
  <si>
    <t>DANIEL SANCHEZ</t>
  </si>
  <si>
    <t>HF0625G</t>
  </si>
  <si>
    <t>EDUARDO GOMEZ</t>
  </si>
  <si>
    <t>0+340</t>
  </si>
  <si>
    <t>HC8639C</t>
  </si>
  <si>
    <t>JORGE MENDEZ</t>
  </si>
  <si>
    <t>PLANTA PEGASO</t>
  </si>
  <si>
    <t>HF0627G</t>
  </si>
  <si>
    <t>0+380</t>
  </si>
  <si>
    <t>HE-4281-J</t>
  </si>
  <si>
    <t>NR0950C</t>
  </si>
  <si>
    <t>0+410</t>
  </si>
  <si>
    <t>A DEL M 3</t>
  </si>
  <si>
    <t>0+440</t>
  </si>
  <si>
    <t>0+480</t>
  </si>
  <si>
    <t>0+510</t>
  </si>
  <si>
    <t>0+530</t>
  </si>
  <si>
    <t>LD67526</t>
  </si>
  <si>
    <t>ARTURO COLIN</t>
  </si>
  <si>
    <t>0+560</t>
  </si>
  <si>
    <t>0+590</t>
  </si>
  <si>
    <t>0+620</t>
  </si>
  <si>
    <t>412AT3</t>
  </si>
  <si>
    <t>JUAN GONZALEZ</t>
  </si>
  <si>
    <t>NS3489C</t>
  </si>
  <si>
    <t>JONATHAN GUTIERREZ</t>
  </si>
  <si>
    <t>0+520</t>
  </si>
  <si>
    <t>LA86899</t>
  </si>
  <si>
    <t>0+550</t>
  </si>
  <si>
    <t>NOTA CANCELADA</t>
  </si>
  <si>
    <t>0+580</t>
  </si>
  <si>
    <t>0+606</t>
  </si>
  <si>
    <t>0+630</t>
  </si>
  <si>
    <t>HB-7328-C</t>
  </si>
  <si>
    <t>JAIME HERNANDEZ</t>
  </si>
  <si>
    <t>COSUM</t>
  </si>
  <si>
    <t>0+650</t>
  </si>
  <si>
    <t>0+680</t>
  </si>
  <si>
    <t>M47968B</t>
  </si>
  <si>
    <t>0+700</t>
  </si>
  <si>
    <t>HG-4530-G</t>
  </si>
  <si>
    <t>0´+700</t>
  </si>
  <si>
    <t>0+720</t>
  </si>
  <si>
    <t>0+750</t>
  </si>
  <si>
    <t>0+780</t>
  </si>
  <si>
    <t>ALEJANDRO</t>
  </si>
  <si>
    <t>0+616</t>
  </si>
  <si>
    <t>LH16062</t>
  </si>
  <si>
    <t>HC3489C</t>
  </si>
  <si>
    <t>LD57526</t>
  </si>
  <si>
    <t>G25671G</t>
  </si>
  <si>
    <t>ELIZEO REYES</t>
  </si>
  <si>
    <t>0+730</t>
  </si>
  <si>
    <t>A DEL M 4</t>
  </si>
  <si>
    <t>0+770</t>
  </si>
  <si>
    <t>LD56526</t>
  </si>
  <si>
    <t>0+810</t>
  </si>
  <si>
    <t>LD5752G</t>
  </si>
  <si>
    <t>0+790</t>
  </si>
  <si>
    <t>0+820</t>
  </si>
  <si>
    <t>GX0733H</t>
  </si>
  <si>
    <t>SALVADOR HERNANDEZ</t>
  </si>
  <si>
    <t>0+835</t>
  </si>
  <si>
    <t>0+860</t>
  </si>
  <si>
    <t>0+885</t>
  </si>
  <si>
    <t>0+910</t>
  </si>
  <si>
    <t>0+935</t>
  </si>
  <si>
    <t>0+960</t>
  </si>
  <si>
    <t>0+980</t>
  </si>
  <si>
    <t>0+800</t>
  </si>
  <si>
    <t>0+830</t>
  </si>
  <si>
    <t>N53489C</t>
  </si>
  <si>
    <t>0+890</t>
  </si>
  <si>
    <t>HB0596J</t>
  </si>
  <si>
    <t>OBRA</t>
  </si>
  <si>
    <t>0+920</t>
  </si>
  <si>
    <t>0+940</t>
  </si>
  <si>
    <t>BANCO OFICIAL ZINACANTEPEC</t>
  </si>
  <si>
    <t>0+965</t>
  </si>
  <si>
    <t>NK8781C</t>
  </si>
  <si>
    <t>ARTURO DE LEON</t>
  </si>
  <si>
    <t>0+995</t>
  </si>
  <si>
    <t>0+575</t>
  </si>
  <si>
    <t>0+610</t>
  </si>
  <si>
    <t>0+625</t>
  </si>
  <si>
    <t>FRESADO Y LIMPIEZA</t>
  </si>
  <si>
    <t>LIBRE</t>
  </si>
  <si>
    <t>0+640</t>
  </si>
  <si>
    <t>0+670</t>
  </si>
  <si>
    <t>SAN MARTIN CALLE ZARAGOZA</t>
  </si>
  <si>
    <t>HE90005</t>
  </si>
  <si>
    <t>JOSE</t>
  </si>
  <si>
    <t>0+740</t>
  </si>
  <si>
    <t>HB9249J</t>
  </si>
  <si>
    <t>0+760</t>
  </si>
  <si>
    <t>C/PERMISO</t>
  </si>
  <si>
    <t>0+825</t>
  </si>
  <si>
    <t>0+850</t>
  </si>
  <si>
    <t>0+870</t>
  </si>
  <si>
    <t>HDOJ18H</t>
  </si>
  <si>
    <t>CARLOS DE LEON</t>
  </si>
  <si>
    <t>JOSE VICTORIA</t>
  </si>
  <si>
    <t>1+000</t>
  </si>
  <si>
    <t>1+020</t>
  </si>
  <si>
    <t>1+05O</t>
  </si>
  <si>
    <t>JOSHUA MORALES</t>
  </si>
  <si>
    <t>1+050</t>
  </si>
  <si>
    <t>1+080</t>
  </si>
  <si>
    <t>ALEJANDRO MORALES</t>
  </si>
  <si>
    <t>1+100</t>
  </si>
  <si>
    <t>GY2066L</t>
  </si>
  <si>
    <t>LG97175</t>
  </si>
  <si>
    <t>ADRIAN JIMENEZ</t>
  </si>
  <si>
    <t>LUIS FLORES</t>
  </si>
  <si>
    <t>1+130</t>
  </si>
  <si>
    <t>HA0897G</t>
  </si>
  <si>
    <t>GUILLERMO LADRILLERO</t>
  </si>
  <si>
    <t>1+160</t>
  </si>
  <si>
    <t>1+180</t>
  </si>
  <si>
    <t>LUCIANO GONZALEZ</t>
  </si>
  <si>
    <t>1+205</t>
  </si>
  <si>
    <t>41AA6E</t>
  </si>
  <si>
    <t>1+235</t>
  </si>
  <si>
    <t>GX3053G</t>
  </si>
  <si>
    <t>ANTONIO ALAMO</t>
  </si>
  <si>
    <t>1+230</t>
  </si>
  <si>
    <t>1+260</t>
  </si>
  <si>
    <t>GX3722G</t>
  </si>
  <si>
    <t>JESUS HINOJOSA</t>
  </si>
  <si>
    <t>1+280</t>
  </si>
  <si>
    <t>GY5160G</t>
  </si>
  <si>
    <t>JOSE MANUEL ALAMO</t>
  </si>
  <si>
    <t>HE4535J</t>
  </si>
  <si>
    <t>ROBERTO MILLAN</t>
  </si>
  <si>
    <t>1+300</t>
  </si>
  <si>
    <t>JOSE MANUEL</t>
  </si>
  <si>
    <t>GY2066G</t>
  </si>
  <si>
    <t>1+330</t>
  </si>
  <si>
    <t>GX0377H</t>
  </si>
  <si>
    <t>1+030</t>
  </si>
  <si>
    <t>1+070</t>
  </si>
  <si>
    <t>1+090</t>
  </si>
  <si>
    <t>1+060</t>
  </si>
  <si>
    <t>RETORNO</t>
  </si>
  <si>
    <t>1+120</t>
  </si>
  <si>
    <t>LY7968B</t>
  </si>
  <si>
    <t>1+140</t>
  </si>
  <si>
    <t>1+190</t>
  </si>
  <si>
    <t>1+220</t>
  </si>
  <si>
    <t>1+250</t>
  </si>
  <si>
    <t>FERNANDO MONTES DE OCA</t>
  </si>
  <si>
    <t>1+360</t>
  </si>
  <si>
    <t>1+310</t>
  </si>
  <si>
    <t>1+355</t>
  </si>
  <si>
    <t>CARPETA ASFALTICA ASF 3/4 MARSHALL</t>
  </si>
  <si>
    <t>1+335</t>
  </si>
  <si>
    <t>1+380</t>
  </si>
  <si>
    <t>PENDIENTE</t>
  </si>
  <si>
    <t>AGUA</t>
  </si>
  <si>
    <t>HECTOR ONOFRE</t>
  </si>
  <si>
    <t>1+400</t>
  </si>
  <si>
    <t>1+420</t>
  </si>
  <si>
    <t>1+450</t>
  </si>
  <si>
    <t>1+475</t>
  </si>
  <si>
    <t>MX7968B</t>
  </si>
  <si>
    <t>1+490</t>
  </si>
  <si>
    <t>MARIANO MOSO</t>
  </si>
  <si>
    <t>1+510</t>
  </si>
  <si>
    <t>1+530</t>
  </si>
  <si>
    <t>1+570</t>
  </si>
  <si>
    <t>94BM9D</t>
  </si>
  <si>
    <t>GUSTAVO BLAS</t>
  </si>
  <si>
    <t xml:space="preserve">JDJ TRANSPORTES </t>
  </si>
  <si>
    <t>1+410</t>
  </si>
  <si>
    <t>1+430</t>
  </si>
  <si>
    <t>ENRIQUE OLIVARES</t>
  </si>
  <si>
    <t>1+440</t>
  </si>
  <si>
    <t>981EF7</t>
  </si>
  <si>
    <t>ARMANDO CASIMIRO</t>
  </si>
  <si>
    <t>42BP1A</t>
  </si>
  <si>
    <t>ALEJANDRO LORENZO</t>
  </si>
  <si>
    <t>LF98761</t>
  </si>
  <si>
    <t>EDGAR MENDOZA</t>
  </si>
  <si>
    <t>KT1516A</t>
  </si>
  <si>
    <t>LEONEL CARDENAS</t>
  </si>
  <si>
    <t>1+460</t>
  </si>
  <si>
    <t>1+480</t>
  </si>
  <si>
    <t>1+500</t>
  </si>
  <si>
    <t>94DM90</t>
  </si>
  <si>
    <t>GUSTAVO</t>
  </si>
  <si>
    <t>1+520</t>
  </si>
  <si>
    <t>NB258D</t>
  </si>
  <si>
    <t>8/8/0206</t>
  </si>
  <si>
    <t>KT1589A</t>
  </si>
  <si>
    <t>ADOLFO CRUZ</t>
  </si>
  <si>
    <t>1+540</t>
  </si>
  <si>
    <t>KU1571A</t>
  </si>
  <si>
    <t>TOMAS MARTINEZ</t>
  </si>
  <si>
    <t>MY7668B</t>
  </si>
  <si>
    <t>1+595</t>
  </si>
  <si>
    <t>LF05650</t>
  </si>
  <si>
    <t>JOSE LUIS</t>
  </si>
  <si>
    <t>MY6967G</t>
  </si>
  <si>
    <t>1+620</t>
  </si>
  <si>
    <t>1+650</t>
  </si>
  <si>
    <t>1+670</t>
  </si>
  <si>
    <t>1+545</t>
  </si>
  <si>
    <t>1+580</t>
  </si>
  <si>
    <t>1+610</t>
  </si>
  <si>
    <t>JOSE GUADALUPE</t>
  </si>
  <si>
    <t>1+640</t>
  </si>
  <si>
    <t>JG7535</t>
  </si>
  <si>
    <t>VICTOR CRUZ</t>
  </si>
  <si>
    <t>GUSTAVO SANABRIA</t>
  </si>
  <si>
    <t>LG75351</t>
  </si>
  <si>
    <t>ALCO</t>
  </si>
  <si>
    <t>EMANUEL OLIVARES</t>
  </si>
  <si>
    <t>BAJO</t>
  </si>
  <si>
    <t>PERMISO ALCO</t>
  </si>
  <si>
    <t>JUAN M. OLIVARES</t>
  </si>
  <si>
    <t>ALTA</t>
  </si>
  <si>
    <t>ANTONIO RODRIGUEZ</t>
  </si>
  <si>
    <t>KT151GA</t>
  </si>
  <si>
    <t>LIMPIEZA</t>
  </si>
  <si>
    <t>981-EF-7</t>
  </si>
  <si>
    <t>JDJ TRANSPORTES</t>
  </si>
  <si>
    <t>ALTA-MEDIA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</si>
</sst>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$&quot;* #,##0.00_-;\-&quot;$&quot;* #,##0.00_-;_-&quot;$&quot;* &quot;-&quot;??_-;_-@"/>
    <numFmt numFmtId="165" formatCode="##0\+000.00"/>
  </numFmts>
  <fonts count="15">
    <font>
      <sz val="11.0"/>
      <color theme="1"/>
      <name val="Calibri"/>
      <scheme val="minor"/>
    </font>
    <font>
      <b/>
      <sz val="12.0"/>
      <color rgb="FFFFFFFF"/>
      <name val="Calibri"/>
    </font>
    <font>
      <b/>
      <sz val="10.0"/>
      <color rgb="FFFFFFFF"/>
      <name val="Calibri"/>
    </font>
    <font>
      <b/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theme="1"/>
      <name val="Calibri"/>
    </font>
    <font>
      <color rgb="FF000000"/>
      <name val="Calibri"/>
    </font>
    <font>
      <sz val="11.0"/>
      <color rgb="FF000000"/>
      <name val="Calibri"/>
    </font>
    <font>
      <sz val="11.0"/>
      <color rgb="FFFF0000"/>
      <name val="Calibri"/>
    </font>
    <font>
      <sz val="8.0"/>
      <color theme="1"/>
      <name val="Calibri"/>
    </font>
    <font>
      <sz val="11.0"/>
      <color rgb="FF000000"/>
      <name val="&quot;Aptos Narrow&quot;"/>
    </font>
    <font>
      <sz val="8.0"/>
      <color rgb="FFFF0000"/>
      <name val="Calibri"/>
    </font>
    <font>
      <sz val="16.0"/>
      <color theme="1"/>
      <name val="Calibri"/>
    </font>
    <font>
      <sz val="16.0"/>
      <color rgb="FF000000"/>
      <name val="Aptos Narrow"/>
    </font>
  </fonts>
  <fills count="9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shrinkToFit="0" vertical="center" wrapText="1"/>
    </xf>
    <xf borderId="0" fillId="2" fontId="1" numFmtId="164" xfId="0" applyAlignment="1" applyFont="1" applyNumberFormat="1">
      <alignment horizontal="center" vertical="center"/>
    </xf>
    <xf borderId="0" fillId="3" fontId="2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4" fontId="4" numFmtId="0" xfId="0" applyAlignment="1" applyFill="1" applyFont="1">
      <alignment horizontal="center" vertical="center"/>
    </xf>
    <xf borderId="0" fillId="5" fontId="4" numFmtId="0" xfId="0" applyAlignment="1" applyFill="1" applyFont="1">
      <alignment horizontal="center"/>
    </xf>
    <xf borderId="0" fillId="4" fontId="4" numFmtId="14" xfId="0" applyAlignment="1" applyFont="1" applyNumberFormat="1">
      <alignment horizontal="center"/>
    </xf>
    <xf borderId="0" fillId="4" fontId="5" numFmtId="0" xfId="0" applyAlignment="1" applyFont="1">
      <alignment horizontal="center"/>
    </xf>
    <xf borderId="0" fillId="4" fontId="4" numFmtId="0" xfId="0" applyAlignment="1" applyFont="1">
      <alignment horizontal="center"/>
    </xf>
    <xf borderId="0" fillId="4" fontId="5" numFmtId="0" xfId="0" applyAlignment="1" applyFont="1">
      <alignment horizontal="center" readingOrder="0"/>
    </xf>
    <xf borderId="0" fillId="4" fontId="4" numFmtId="165" xfId="0" applyAlignment="1" applyFont="1" applyNumberFormat="1">
      <alignment horizontal="center"/>
    </xf>
    <xf borderId="0" fillId="4" fontId="4" numFmtId="164" xfId="0" applyAlignment="1" applyFont="1" applyNumberFormat="1">
      <alignment horizontal="center" readingOrder="0"/>
    </xf>
    <xf borderId="0" fillId="0" fontId="5" numFmtId="0" xfId="0" applyFont="1"/>
    <xf borderId="0" fillId="4" fontId="4" numFmtId="164" xfId="0" applyAlignment="1" applyFont="1" applyNumberFormat="1">
      <alignment horizontal="center"/>
    </xf>
    <xf borderId="0" fillId="0" fontId="5" numFmtId="164" xfId="0" applyFont="1" applyNumberFormat="1"/>
    <xf borderId="0" fillId="4" fontId="4" numFmtId="164" xfId="0" applyAlignment="1" applyFont="1" applyNumberFormat="1">
      <alignment horizontal="center" vertical="center"/>
    </xf>
    <xf borderId="0" fillId="4" fontId="4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5" fontId="4" numFmtId="0" xfId="0" applyAlignment="1" applyFont="1">
      <alignment horizontal="center" vertical="center"/>
    </xf>
    <xf borderId="0" fillId="4" fontId="4" numFmtId="14" xfId="0" applyAlignment="1" applyFont="1" applyNumberFormat="1">
      <alignment horizontal="center" vertical="center"/>
    </xf>
    <xf borderId="1" fillId="0" fontId="4" numFmtId="0" xfId="0" applyBorder="1" applyFont="1"/>
    <xf borderId="0" fillId="4" fontId="4" numFmtId="3" xfId="0" applyAlignment="1" applyFont="1" applyNumberFormat="1">
      <alignment horizontal="center"/>
    </xf>
    <xf borderId="0" fillId="4" fontId="4" numFmtId="0" xfId="0" applyAlignment="1" applyFont="1">
      <alignment horizontal="center" readingOrder="0" vertical="center"/>
    </xf>
    <xf borderId="0" fillId="4" fontId="4" numFmtId="164" xfId="0" applyAlignment="1" applyFont="1" applyNumberFormat="1">
      <alignment horizontal="center" readingOrder="0" vertical="center"/>
    </xf>
    <xf borderId="0" fillId="5" fontId="4" numFmtId="49" xfId="0" applyAlignment="1" applyFont="1" applyNumberFormat="1">
      <alignment horizontal="center" vertical="top"/>
    </xf>
    <xf borderId="0" fillId="4" fontId="4" numFmtId="14" xfId="0" applyAlignment="1" applyFont="1" applyNumberFormat="1">
      <alignment horizontal="center" readingOrder="0"/>
    </xf>
    <xf borderId="0" fillId="4" fontId="4" numFmtId="0" xfId="0" applyAlignment="1" applyFont="1">
      <alignment horizontal="center" vertical="top"/>
    </xf>
    <xf borderId="0" fillId="4" fontId="4" numFmtId="49" xfId="0" applyAlignment="1" applyFont="1" applyNumberFormat="1">
      <alignment horizontal="center" vertical="top"/>
    </xf>
    <xf borderId="0" fillId="4" fontId="6" numFmtId="0" xfId="0" applyAlignment="1" applyFont="1">
      <alignment horizontal="center" readingOrder="0" shrinkToFit="0" wrapText="0"/>
    </xf>
    <xf borderId="0" fillId="4" fontId="7" numFmtId="0" xfId="0" applyAlignment="1" applyFont="1">
      <alignment horizontal="center" readingOrder="0" shrinkToFit="0" vertical="bottom" wrapText="0"/>
    </xf>
    <xf borderId="0" fillId="6" fontId="4" numFmtId="0" xfId="0" applyAlignment="1" applyFill="1" applyFont="1">
      <alignment horizontal="center" vertical="center"/>
    </xf>
    <xf borderId="0" fillId="4" fontId="4" numFmtId="0" xfId="0" applyAlignment="1" applyFont="1">
      <alignment horizontal="center" readingOrder="0" shrinkToFit="0" wrapText="0"/>
    </xf>
    <xf borderId="0" fillId="6" fontId="4" numFmtId="14" xfId="0" applyAlignment="1" applyFont="1" applyNumberFormat="1">
      <alignment horizontal="center" vertical="center"/>
    </xf>
    <xf borderId="0" fillId="5" fontId="4" numFmtId="0" xfId="0" applyAlignment="1" applyFont="1">
      <alignment horizontal="center" readingOrder="0" shrinkToFit="0" wrapText="0"/>
    </xf>
    <xf borderId="0" fillId="4" fontId="4" numFmtId="14" xfId="0" applyAlignment="1" applyFont="1" applyNumberFormat="1">
      <alignment horizontal="center" readingOrder="0" shrinkToFit="0" wrapText="0"/>
    </xf>
    <xf borderId="0" fillId="6" fontId="4" numFmtId="164" xfId="0" applyAlignment="1" applyFont="1" applyNumberFormat="1">
      <alignment horizontal="center" readingOrder="0" vertical="center"/>
    </xf>
    <xf borderId="0" fillId="6" fontId="4" numFmtId="164" xfId="0" applyAlignment="1" applyFont="1" applyNumberFormat="1">
      <alignment horizontal="center" vertical="center"/>
    </xf>
    <xf borderId="0" fillId="6" fontId="4" numFmtId="164" xfId="0" applyAlignment="1" applyFont="1" applyNumberFormat="1">
      <alignment horizontal="center"/>
    </xf>
    <xf borderId="0" fillId="6" fontId="5" numFmtId="0" xfId="0" applyFont="1"/>
    <xf borderId="0" fillId="7" fontId="4" numFmtId="0" xfId="0" applyAlignment="1" applyFill="1" applyFont="1">
      <alignment horizontal="center" vertical="center"/>
    </xf>
    <xf borderId="0" fillId="7" fontId="4" numFmtId="14" xfId="0" applyAlignment="1" applyFont="1" applyNumberFormat="1">
      <alignment horizontal="center" vertical="center"/>
    </xf>
    <xf borderId="0" fillId="7" fontId="4" numFmtId="164" xfId="0" applyAlignment="1" applyFont="1" applyNumberFormat="1">
      <alignment horizontal="center" vertical="center"/>
    </xf>
    <xf borderId="0" fillId="7" fontId="4" numFmtId="164" xfId="0" applyAlignment="1" applyFont="1" applyNumberFormat="1">
      <alignment horizontal="center"/>
    </xf>
    <xf borderId="0" fillId="7" fontId="5" numFmtId="0" xfId="0" applyFont="1"/>
    <xf borderId="0" fillId="5" fontId="8" numFmtId="0" xfId="0" applyAlignment="1" applyFont="1">
      <alignment horizontal="center" readingOrder="0" shrinkToFit="0" wrapText="0"/>
    </xf>
    <xf borderId="0" fillId="6" fontId="8" numFmtId="14" xfId="0" applyAlignment="1" applyFont="1" applyNumberFormat="1">
      <alignment horizontal="center" readingOrder="0" shrinkToFit="0" wrapText="0"/>
    </xf>
    <xf borderId="0" fillId="6" fontId="8" numFmtId="0" xfId="0" applyAlignment="1" applyFont="1">
      <alignment horizontal="center" readingOrder="0" shrinkToFit="0" wrapText="0"/>
    </xf>
    <xf borderId="0" fillId="6" fontId="8" numFmtId="164" xfId="0" applyAlignment="1" applyFont="1" applyNumberFormat="1">
      <alignment horizontal="center" readingOrder="0" shrinkToFit="0" wrapText="0"/>
    </xf>
    <xf borderId="0" fillId="6" fontId="4" numFmtId="0" xfId="0" applyAlignment="1" applyFont="1">
      <alignment horizontal="center" readingOrder="0" shrinkToFit="0" wrapText="0"/>
    </xf>
    <xf borderId="0" fillId="5" fontId="4" numFmtId="0" xfId="0" applyAlignment="1" applyFont="1">
      <alignment horizontal="center" readingOrder="0"/>
    </xf>
    <xf borderId="0" fillId="5" fontId="8" numFmtId="0" xfId="0" applyAlignment="1" applyFont="1">
      <alignment horizontal="center" readingOrder="0"/>
    </xf>
    <xf borderId="0" fillId="4" fontId="8" numFmtId="0" xfId="0" applyAlignment="1" applyFont="1">
      <alignment horizontal="center" readingOrder="0"/>
    </xf>
    <xf borderId="0" fillId="0" fontId="4" numFmtId="0" xfId="0" applyFont="1"/>
    <xf borderId="0" fillId="6" fontId="9" numFmtId="0" xfId="0" applyAlignment="1" applyFont="1">
      <alignment horizontal="center" readingOrder="0" shrinkToFit="0" wrapText="0"/>
    </xf>
    <xf borderId="0" fillId="6" fontId="9" numFmtId="14" xfId="0" applyAlignment="1" applyFont="1" applyNumberFormat="1">
      <alignment horizontal="center" readingOrder="0" shrinkToFit="0" wrapText="0"/>
    </xf>
    <xf borderId="0" fillId="6" fontId="9" numFmtId="0" xfId="0" applyAlignment="1" applyFont="1">
      <alignment horizontal="center" shrinkToFit="0" wrapText="0"/>
    </xf>
    <xf borderId="0" fillId="6" fontId="9" numFmtId="164" xfId="0" applyAlignment="1" applyFont="1" applyNumberFormat="1">
      <alignment horizontal="center" shrinkToFit="0" wrapText="0"/>
    </xf>
    <xf borderId="0" fillId="4" fontId="8" numFmtId="0" xfId="0" applyAlignment="1" applyFont="1">
      <alignment horizontal="center"/>
    </xf>
    <xf borderId="0" fillId="4" fontId="8" numFmtId="164" xfId="0" applyAlignment="1" applyFont="1" applyNumberFormat="1">
      <alignment horizontal="center" readingOrder="0"/>
    </xf>
    <xf borderId="0" fillId="6" fontId="8" numFmtId="0" xfId="0" applyAlignment="1" applyFont="1">
      <alignment horizontal="center" readingOrder="0"/>
    </xf>
    <xf borderId="0" fillId="6" fontId="8" numFmtId="0" xfId="0" applyAlignment="1" applyFont="1">
      <alignment horizontal="center"/>
    </xf>
    <xf borderId="0" fillId="5" fontId="4" numFmtId="0" xfId="0" applyAlignment="1" applyFont="1">
      <alignment horizontal="center" readingOrder="0" vertical="center"/>
    </xf>
    <xf borderId="0" fillId="4" fontId="4" numFmtId="14" xfId="0" applyAlignment="1" applyFont="1" applyNumberFormat="1">
      <alignment horizontal="center" readingOrder="0" vertical="center"/>
    </xf>
    <xf borderId="0" fillId="6" fontId="4" numFmtId="0" xfId="0" applyAlignment="1" applyFont="1">
      <alignment horizontal="center" readingOrder="0" vertical="center"/>
    </xf>
    <xf borderId="0" fillId="4" fontId="5" numFmtId="0" xfId="0" applyAlignment="1" applyFont="1">
      <alignment readingOrder="0"/>
    </xf>
    <xf borderId="0" fillId="4" fontId="8" numFmtId="165" xfId="0" applyAlignment="1" applyFont="1" applyNumberFormat="1">
      <alignment horizontal="center" readingOrder="0"/>
    </xf>
    <xf borderId="0" fillId="4" fontId="10" numFmtId="0" xfId="0" applyAlignment="1" applyFont="1">
      <alignment horizontal="center"/>
    </xf>
    <xf borderId="0" fillId="4" fontId="8" numFmtId="165" xfId="0" applyAlignment="1" applyFont="1" applyNumberFormat="1">
      <alignment horizontal="center"/>
    </xf>
    <xf borderId="0" fillId="4" fontId="4" numFmtId="165" xfId="0" applyAlignment="1" applyFont="1" applyNumberFormat="1">
      <alignment horizontal="center" readingOrder="0"/>
    </xf>
    <xf borderId="0" fillId="4" fontId="4" numFmtId="165" xfId="0" applyAlignment="1" applyFont="1" applyNumberFormat="1">
      <alignment horizontal="center" vertical="center"/>
    </xf>
    <xf borderId="0" fillId="4" fontId="5" numFmtId="0" xfId="0" applyFont="1"/>
    <xf borderId="0" fillId="6" fontId="4" numFmtId="14" xfId="0" applyAlignment="1" applyFont="1" applyNumberFormat="1">
      <alignment horizontal="center" readingOrder="0"/>
    </xf>
    <xf borderId="0" fillId="6" fontId="4" numFmtId="0" xfId="0" applyAlignment="1" applyFont="1">
      <alignment horizontal="center" readingOrder="0"/>
    </xf>
    <xf borderId="0" fillId="6" fontId="5" numFmtId="0" xfId="0" applyAlignment="1" applyFont="1">
      <alignment horizontal="center"/>
    </xf>
    <xf borderId="0" fillId="6" fontId="4" numFmtId="165" xfId="0" applyAlignment="1" applyFont="1" applyNumberFormat="1">
      <alignment horizontal="center" readingOrder="0"/>
    </xf>
    <xf borderId="0" fillId="6" fontId="4" numFmtId="165" xfId="0" applyAlignment="1" applyFont="1" applyNumberFormat="1">
      <alignment horizontal="center" vertical="center"/>
    </xf>
    <xf borderId="0" fillId="6" fontId="4" numFmtId="0" xfId="0" applyAlignment="1" applyFont="1">
      <alignment horizontal="center"/>
    </xf>
    <xf borderId="0" fillId="6" fontId="4" numFmtId="164" xfId="0" applyAlignment="1" applyFont="1" applyNumberFormat="1">
      <alignment horizontal="center" readingOrder="0"/>
    </xf>
    <xf borderId="0" fillId="5" fontId="8" numFmtId="0" xfId="0" applyAlignment="1" applyFont="1">
      <alignment horizontal="center" readingOrder="0" shrinkToFit="0" vertical="bottom" wrapText="0"/>
    </xf>
    <xf borderId="0" fillId="6" fontId="8" numFmtId="14" xfId="0" applyAlignment="1" applyFont="1" applyNumberFormat="1">
      <alignment horizontal="center" readingOrder="0" shrinkToFit="0" vertical="bottom" wrapText="0"/>
    </xf>
    <xf borderId="0" fillId="6" fontId="8" numFmtId="0" xfId="0" applyAlignment="1" applyFont="1">
      <alignment horizontal="center" readingOrder="0" shrinkToFit="0" vertical="bottom" wrapText="0"/>
    </xf>
    <xf borderId="0" fillId="6" fontId="8" numFmtId="0" xfId="0" applyAlignment="1" applyFont="1">
      <alignment horizontal="center" shrinkToFit="0" vertical="bottom" wrapText="0"/>
    </xf>
    <xf borderId="0" fillId="6" fontId="8" numFmtId="164" xfId="0" applyAlignment="1" applyFont="1" applyNumberFormat="1">
      <alignment horizontal="center" shrinkToFit="0" vertical="bottom" wrapText="0"/>
    </xf>
    <xf borderId="1" fillId="6" fontId="4" numFmtId="0" xfId="0" applyBorder="1" applyFont="1"/>
    <xf borderId="0" fillId="4" fontId="4" numFmtId="2" xfId="0" applyAlignment="1" applyFont="1" applyNumberFormat="1">
      <alignment horizontal="center" readingOrder="0" vertical="center"/>
    </xf>
    <xf borderId="0" fillId="4" fontId="9" numFmtId="0" xfId="0" applyAlignment="1" applyFont="1">
      <alignment horizontal="center" readingOrder="0"/>
    </xf>
    <xf borderId="0" fillId="8" fontId="8" numFmtId="0" xfId="0" applyAlignment="1" applyFill="1" applyFont="1">
      <alignment horizontal="center" readingOrder="0" shrinkToFit="0" wrapText="0"/>
    </xf>
    <xf borderId="0" fillId="8" fontId="8" numFmtId="0" xfId="0" applyAlignment="1" applyFont="1">
      <alignment horizontal="center" readingOrder="0" shrinkToFit="0" vertical="bottom" wrapText="0"/>
    </xf>
    <xf borderId="0" fillId="8" fontId="8" numFmtId="14" xfId="0" applyAlignment="1" applyFont="1" applyNumberFormat="1">
      <alignment horizontal="center" readingOrder="0" shrinkToFit="0" vertical="bottom" wrapText="0"/>
    </xf>
    <xf borderId="0" fillId="8" fontId="8" numFmtId="0" xfId="0" applyAlignment="1" applyFont="1">
      <alignment horizontal="center" shrinkToFit="0" vertical="bottom" wrapText="0"/>
    </xf>
    <xf borderId="0" fillId="8" fontId="8" numFmtId="164" xfId="0" applyAlignment="1" applyFont="1" applyNumberFormat="1">
      <alignment horizontal="center" shrinkToFit="0" vertical="bottom" wrapText="0"/>
    </xf>
    <xf borderId="0" fillId="8" fontId="4" numFmtId="164" xfId="0" applyAlignment="1" applyFont="1" applyNumberFormat="1">
      <alignment horizontal="center" readingOrder="0" vertical="center"/>
    </xf>
    <xf borderId="0" fillId="8" fontId="4" numFmtId="164" xfId="0" applyAlignment="1" applyFont="1" applyNumberFormat="1">
      <alignment horizontal="center" vertical="center"/>
    </xf>
    <xf borderId="0" fillId="8" fontId="4" numFmtId="164" xfId="0" applyAlignment="1" applyFont="1" applyNumberFormat="1">
      <alignment horizontal="center"/>
    </xf>
    <xf borderId="1" fillId="8" fontId="4" numFmtId="0" xfId="0" applyBorder="1" applyFont="1"/>
    <xf borderId="0" fillId="8" fontId="5" numFmtId="0" xfId="0" applyFont="1"/>
    <xf borderId="0" fillId="4" fontId="4" numFmtId="3" xfId="0" applyAlignment="1" applyFont="1" applyNumberFormat="1">
      <alignment horizontal="center" readingOrder="0"/>
    </xf>
    <xf borderId="0" fillId="6" fontId="8" numFmtId="0" xfId="0" applyAlignment="1" applyFont="1">
      <alignment horizontal="center" readingOrder="0" shrinkToFit="0" vertical="top" wrapText="0"/>
    </xf>
    <xf borderId="0" fillId="6" fontId="9" numFmtId="164" xfId="0" applyAlignment="1" applyFont="1" applyNumberFormat="1">
      <alignment horizontal="center" vertical="center"/>
    </xf>
    <xf borderId="1" fillId="6" fontId="9" numFmtId="0" xfId="0" applyBorder="1" applyFont="1"/>
    <xf borderId="0" fillId="6" fontId="9" numFmtId="0" xfId="0" applyFont="1"/>
    <xf borderId="0" fillId="8" fontId="9" numFmtId="164" xfId="0" applyAlignment="1" applyFont="1" applyNumberFormat="1">
      <alignment horizontal="center" vertical="center"/>
    </xf>
    <xf borderId="1" fillId="8" fontId="9" numFmtId="0" xfId="0" applyBorder="1" applyFont="1"/>
    <xf borderId="0" fillId="8" fontId="9" numFmtId="0" xfId="0" applyFont="1"/>
    <xf borderId="0" fillId="8" fontId="8" numFmtId="14" xfId="0" applyAlignment="1" applyFont="1" applyNumberFormat="1">
      <alignment horizontal="center" readingOrder="0" shrinkToFit="0" wrapText="0"/>
    </xf>
    <xf borderId="0" fillId="8" fontId="8" numFmtId="0" xfId="0" applyAlignment="1" applyFont="1">
      <alignment horizontal="center"/>
    </xf>
    <xf borderId="0" fillId="8" fontId="11" numFmtId="0" xfId="0" applyAlignment="1" applyFont="1">
      <alignment horizontal="center" shrinkToFit="0" wrapText="0"/>
    </xf>
    <xf borderId="0" fillId="8" fontId="8" numFmtId="0" xfId="0" applyAlignment="1" applyFont="1">
      <alignment horizontal="center" readingOrder="0"/>
    </xf>
    <xf borderId="0" fillId="8" fontId="4" numFmtId="0" xfId="0" applyAlignment="1" applyFont="1">
      <alignment horizontal="center" readingOrder="0" vertical="center"/>
    </xf>
    <xf borderId="0" fillId="8" fontId="4" numFmtId="14" xfId="0" applyAlignment="1" applyFont="1" applyNumberFormat="1">
      <alignment horizontal="center" readingOrder="0" vertical="center"/>
    </xf>
    <xf borderId="0" fillId="8" fontId="4" numFmtId="0" xfId="0" applyAlignment="1" applyFont="1">
      <alignment horizontal="center" vertical="center"/>
    </xf>
    <xf borderId="0" fillId="8" fontId="4" numFmtId="0" xfId="0" applyFont="1"/>
    <xf borderId="0" fillId="8" fontId="10" numFmtId="0" xfId="0" applyAlignment="1" applyFont="1">
      <alignment horizontal="center" vertical="center"/>
    </xf>
    <xf borderId="0" fillId="4" fontId="10" numFmtId="0" xfId="0" applyAlignment="1" applyFont="1">
      <alignment horizontal="center" vertical="center"/>
    </xf>
    <xf borderId="0" fillId="4" fontId="9" numFmtId="0" xfId="0" applyAlignment="1" applyFont="1">
      <alignment horizontal="center" vertical="center"/>
    </xf>
    <xf borderId="0" fillId="4" fontId="9" numFmtId="14" xfId="0" applyAlignment="1" applyFont="1" applyNumberFormat="1">
      <alignment horizontal="center" vertical="center"/>
    </xf>
    <xf borderId="0" fillId="4" fontId="12" numFmtId="0" xfId="0" applyAlignment="1" applyFont="1">
      <alignment horizontal="center" vertical="center"/>
    </xf>
    <xf borderId="0" fillId="4" fontId="9" numFmtId="164" xfId="0" applyAlignment="1" applyFont="1" applyNumberFormat="1">
      <alignment horizontal="center" vertical="center"/>
    </xf>
    <xf borderId="1" fillId="0" fontId="9" numFmtId="0" xfId="0" applyBorder="1" applyFont="1"/>
    <xf borderId="0" fillId="0" fontId="9" numFmtId="0" xfId="0" applyFont="1"/>
    <xf borderId="1" fillId="4" fontId="4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center" vertical="center"/>
    </xf>
    <xf borderId="0" fillId="4" fontId="13" numFmtId="0" xfId="0" applyAlignment="1" applyFont="1">
      <alignment horizontal="center" vertical="center"/>
    </xf>
    <xf borderId="0" fillId="4" fontId="13" numFmtId="0" xfId="0" applyAlignment="1" applyFont="1">
      <alignment horizontal="center"/>
    </xf>
    <xf borderId="0" fillId="4" fontId="14" numFmtId="164" xfId="0" applyAlignment="1" applyFont="1" applyNumberFormat="1">
      <alignment horizontal="center"/>
    </xf>
    <xf borderId="0" fillId="4" fontId="14" numFmtId="0" xfId="0" applyAlignment="1" applyFont="1">
      <alignment horizontal="center"/>
    </xf>
    <xf borderId="0" fillId="0" fontId="13" numFmtId="0" xfId="0" applyFont="1"/>
    <xf borderId="0" fillId="0" fontId="4" numFmtId="0" xfId="0" applyAlignment="1" applyFont="1">
      <alignment horizontal="center" vertical="center"/>
    </xf>
    <xf borderId="0" fillId="0" fontId="4" numFmtId="164" xfId="0" applyFont="1" applyNumberFormat="1"/>
    <xf borderId="0" fillId="4" fontId="13" numFmtId="164" xfId="0" applyAlignment="1" applyFont="1" applyNumberFormat="1">
      <alignment horizontal="center" vertical="center"/>
    </xf>
    <xf borderId="1" fillId="0" fontId="13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205" sheet="FRESADO"/>
  </cacheSource>
  <cacheFields>
    <cacheField name="SEM " numFmtId="0">
      <sharedItems containsSemiMixedTypes="0" containsString="0" containsNumber="1" containsInteger="1">
        <n v="28.0"/>
        <n v="29.0"/>
        <n v="30.0"/>
        <n v="31.0"/>
        <n v="32.0"/>
      </sharedItems>
    </cacheField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m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</sharedItems>
    </cacheField>
    <cacheField name="FOLIO " numFmtId="0">
      <sharedItems containsSemiMixedTypes="0" containsString="0" containsNumber="1" containsInteger="1">
        <n v="1917.0"/>
        <n v="1918.0"/>
        <n v="1919.0"/>
        <n v="1920.0"/>
        <n v="1921.0"/>
        <n v="1922.0"/>
        <n v="1923.0"/>
        <n v="1924.0"/>
        <n v="1300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1.0"/>
        <n v="1362.0"/>
        <n v="1363.0"/>
        <n v="1360.0"/>
        <n v="1365.0"/>
        <n v="1364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655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656.0"/>
        <n v="1657.0"/>
        <n v="1658.0"/>
        <n v="1659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1692.0"/>
        <n v="1699.0"/>
        <n v="1700.0"/>
        <n v="281.0"/>
        <n v="282.0"/>
        <n v="283.0"/>
      </sharedItems>
    </cacheField>
    <cacheField name="FECHA">
      <sharedItems containsDate="1" containsMixedTypes="1">
        <d v="2026-07-09T00:00:00Z"/>
        <d v="2026-07-10T00:00:00Z"/>
        <d v="2026-07-11T00:00:00Z"/>
        <d v="2026-07-13T00:00:00Z"/>
        <d v="2026-07-14T00:00:00Z"/>
        <d v="2026-07-15T00:00:00Z"/>
        <s v="FRESADO"/>
        <d v="2026-07-16T00:00:00Z"/>
        <d v="2026-07-17T00:00:00Z"/>
        <d v="2026-07-18T00:00:00Z"/>
        <d v="2026-07-20T00:00:00Z"/>
        <d v="2026-07-21T00:00:00Z"/>
        <d v="2026-07-22T00:00:00Z"/>
        <d v="2026-07-23T00:00:00Z"/>
        <d v="2026-07-24T00:00:00Z"/>
        <d v="2026-07-25T00:00:00Z"/>
        <d v="2026-07-27T00:00:00Z"/>
        <d v="2026-07-28T00:00:00Z"/>
        <d v="2026-07-29T00:00:00Z"/>
        <d v="2026-07-30T00:00:00Z"/>
        <d v="2026-07-31T00:00:00Z"/>
        <d v="2026-08-01T00:00:00Z"/>
        <d v="2026-08-06T00:00:00Z"/>
        <d v="2026-08-07T00:00:00Z"/>
        <d v="2026-08-09T00:00:00Z"/>
      </sharedItems>
    </cacheField>
    <cacheField name="VIAJES " numFmtId="0">
      <sharedItems containsSemiMixedTypes="0" containsString="0" containsNumber="1" containsInteger="1">
        <n v="1.0"/>
        <n v="0.0"/>
      </sharedItems>
    </cacheField>
    <cacheField name="MATERIAL " numFmtId="0">
      <sharedItems>
        <s v="FRESADO"/>
        <s v="CAMION DE LIMPIEZA"/>
        <s v="VIAJE EN FALSO"/>
        <s v="PIPA DE AGUA"/>
        <s v="NOTA CANCELADA"/>
        <s v="FRESADO Y LIMPIEZA"/>
        <s v="AGUA"/>
        <s v="LIMPIEZA"/>
      </sharedItems>
    </cacheField>
    <cacheField name="PLACAS" numFmtId="0">
      <sharedItems containsBlank="1">
        <s v="MY-7968-B"/>
        <s v="LD-5752-26"/>
        <s v="LH-1606-2"/>
        <s v="HG-6103-D"/>
        <s v="NR-0950-C"/>
        <s v="HC-8639-C"/>
        <s v="GX-0733-H"/>
        <s v="MU-3175-9"/>
        <s v="LH-16-062"/>
        <s v="LD-57-526"/>
        <m/>
        <s v="MU-31-759"/>
        <s v="HB-0596-D"/>
        <s v="HG-5430-G"/>
        <s v="HG-9585-H"/>
        <s v="KR-9352-A"/>
        <s v="MX-3669-D"/>
        <s v="HB-9249-J"/>
        <s v="HE-4281-J"/>
        <s v="HE-4251-J"/>
        <s v="HB-7328-C"/>
        <s v="HG-4530-G"/>
        <s v="NB1258D"/>
        <s v="NR0950C"/>
        <s v="LH16062"/>
        <s v="LD57526"/>
        <s v="HG6103D"/>
        <s v="MY7968B"/>
        <s v="HB0596J"/>
        <s v="HB9249J"/>
        <s v="C/PERMISO"/>
        <s v="LG97175"/>
        <s v="HA0897G"/>
        <s v="GX3053G"/>
        <s v="GX3722G"/>
        <s v="GY5160G"/>
        <s v="GY2066G"/>
        <s v="NE4904D"/>
        <s v="MY7967B"/>
        <s v="HC1139G"/>
        <s v="GX0733H"/>
        <s v="NS3489C"/>
        <s v="94BM9D"/>
        <s v="981EF7"/>
        <s v="42BP1A"/>
        <s v="LF98761"/>
        <s v="KT1516A"/>
        <s v="KT1589A"/>
        <s v="KU1571A"/>
        <s v="LF05650"/>
        <s v="HF8029G"/>
        <s v="JG7535"/>
        <s v="LG75351"/>
        <s v="ALCO"/>
        <s v="PERMISO ALCO"/>
        <s v="KT151GA"/>
        <s v="981-EF-7"/>
      </sharedItems>
    </cacheField>
    <cacheField name="CAPACIDAD" numFmtId="0">
      <sharedItems containsSemiMixedTypes="0" containsString="0" containsNumber="1" containsInteger="1">
        <n v="14.0"/>
        <n v="7.0"/>
        <n v="0.0"/>
        <n v="10.0"/>
        <n v="20.0"/>
        <n v="33.0"/>
      </sharedItems>
    </cacheField>
    <cacheField name="UNIDAD " numFmtId="0">
      <sharedItems containsBlank="1">
        <s v="M³"/>
        <s v="M3"/>
        <m/>
      </sharedItems>
    </cacheField>
    <cacheField name="OPERADOR" numFmtId="0">
      <sharedItems containsBlank="1">
        <s v="JORGE GARCIA"/>
        <s v="ARTURO HERNANDEZ"/>
        <s v="JULIO CESAR"/>
        <s v="ENRIQUE COLIN"/>
        <s v="ALEJANDRO FLORES"/>
        <s v="JORGE HERNANDEZ"/>
        <s v="MIGUEL ANGEL"/>
        <s v="DIEGO HERNANDEZ"/>
        <s v="CESAR HERNANDEZ"/>
        <s v="OSCAR HERNANDEZ"/>
        <m/>
        <s v="FRANCISCO ALBARRAN"/>
        <s v="ONESIMO HERNANDEZ"/>
        <s v="JUAN GUADARRAMA"/>
        <s v="ROBERTO ONOFRE"/>
        <s v="ALEJANDRO HERNANDEZ"/>
        <s v="SIGFRIADO CALDERA"/>
        <s v="DANIEL SANCHEZ"/>
        <s v="DANIEL CRUZ"/>
        <s v="REY DAVID"/>
        <s v="JAIME HERNANDEZ"/>
        <s v="SANTOS SOTERO"/>
        <s v="ADRIAN JIMENEZ"/>
        <s v="GUILLERMO LADRILLERO"/>
        <s v="ANTONIO ALAMO"/>
        <s v="JESUS HINOJOSA"/>
        <s v="JOSE MANUEL ALAMO"/>
        <s v="LUIS FLORES"/>
        <s v="GERARDO ENRIQUE"/>
        <s v="ENRIQUE TORRES"/>
        <s v="VICTOR DE LEON"/>
        <s v="HECTOR ONOFRE"/>
        <s v="MARIANO MOSO"/>
        <s v="JONATHAN GUTIERREZ"/>
        <s v="GUSTAVO BLAS"/>
        <s v="ENRIQUE OLIVARES"/>
        <s v="ARMANDO CASIMIRO"/>
        <s v="ALEJANDRO LORENZO"/>
        <s v="EDGAR MENDOZA"/>
        <s v="LEONEL CARDENAS"/>
        <s v="ADOLFO CRUZ"/>
        <s v="TOMAS MARTINEZ"/>
        <s v="JOSE LUIS"/>
        <s v="ALEJANDRO NAVARRO"/>
        <s v="VICTOR CRUZ"/>
        <s v="GUSTAVO SANABRIA"/>
        <s v="EMANUEL OLIVARES"/>
        <s v="JUAN M. OLIVARES"/>
        <s v="ANTONIO RODRIGUEZ"/>
      </sharedItems>
    </cacheField>
    <cacheField name="SINDICATO" numFmtId="0">
      <sharedItems containsBlank="1">
        <s v="COSUM TOLUCA"/>
        <m/>
        <s v="COSUM"/>
        <s v="JDJ TRANSPORTES "/>
        <s v="JDJ TRANSPORTES"/>
      </sharedItems>
    </cacheField>
    <cacheField name="KM INICIA" numFmtId="0">
      <sharedItems containsBlank="1">
        <s v="NA"/>
        <m/>
        <s v="0+606"/>
        <s v="0+790"/>
        <s v="0+575"/>
        <s v="0+980"/>
        <s v="1+090"/>
      </sharedItems>
    </cacheField>
    <cacheField name="KM TERMINA" numFmtId="0">
      <sharedItems containsBlank="1">
        <s v="NA"/>
        <m/>
        <s v="0+810"/>
        <s v="0+995"/>
        <s v="0+980"/>
        <s v="1+330"/>
        <s v="1+355"/>
      </sharedItems>
    </cacheField>
    <cacheField name="TIRO " numFmtId="0">
      <sharedItems containsBlank="1">
        <s v="PEGASSO"/>
        <s v="KM "/>
        <s v="KM"/>
        <m/>
        <s v="PEGASO"/>
        <s v="OBRA"/>
        <s v="BANCO OFICIAL ZINACANTEPEC"/>
        <s v="LIBRE"/>
        <s v="SAN MARTIN CALLE ZARAGOZA"/>
      </sharedItems>
    </cacheField>
    <cacheField name="CPO">
      <sharedItems containsBlank="1" containsMixedTypes="1" containsNumber="1" containsInteger="1">
        <n v="1.0"/>
        <s v="B"/>
        <m/>
        <s v=" B"/>
      </sharedItems>
    </cacheField>
    <cacheField name="CARRIL" numFmtId="0">
      <sharedItems containsBlank="1">
        <s v="BAJA"/>
        <s v="ACOTAMIENTO"/>
        <m/>
        <s v="CARRIL DE ALTA"/>
        <s v="BAJO"/>
        <s v="ALTA"/>
        <s v="ALTA-MEDIA"/>
      </sharedItems>
    </cacheField>
    <cacheField name="OBSERVACIONES" numFmtId="0">
      <sharedItems containsBlank="1">
        <m/>
        <s v="BANCO PEGASO"/>
        <s v="BANCO ZINACANTEPEC"/>
        <s v="VIAJE EN FALSO"/>
        <s v="SE UTILIZO PARA LIMPIEZA O RETIRO DE ESCOMBRO"/>
        <s v="PEGASO"/>
        <s v="PLANTA PEGASO"/>
        <s v="NOTA CANCELADA"/>
      </sharedItems>
    </cacheField>
    <cacheField name=" PU" numFmtId="164">
      <sharedItems containsString="0" containsBlank="1" containsNumber="1" containsInteger="1">
        <n v="2000.0"/>
        <n v="3200.0"/>
        <n v="2855.0"/>
        <n v="1000.0"/>
        <n v="3400.0"/>
        <n v="4700.0"/>
        <m/>
        <n v="4500.0"/>
        <n v="9400.0"/>
        <n v="2400.0"/>
        <n v="5400.0"/>
        <n v="3255.0"/>
        <n v="6720.0"/>
        <n v="1200.0"/>
        <n v="1848.0"/>
        <n v="0.0"/>
      </sharedItems>
    </cacheField>
    <cacheField name="IMPORTE" numFmtId="164">
      <sharedItems containsSemiMixedTypes="0" containsString="0" containsNumber="1" containsInteger="1">
        <n v="2000.0"/>
        <n v="3200.0"/>
        <n v="2855.0"/>
        <n v="1000.0"/>
        <n v="3400.0"/>
        <n v="4700.0"/>
        <n v="0.0"/>
        <n v="4500.0"/>
        <n v="9400.0"/>
        <n v="2400.0"/>
        <n v="5400.0"/>
        <n v="3255.0"/>
        <n v="6720.0"/>
        <n v="1200.0"/>
        <n v="1848.0"/>
      </sharedItems>
    </cacheField>
    <cacheField name="IVA" numFmtId="164">
      <sharedItems containsSemiMixedTypes="0" containsString="0" containsNumber="1">
        <n v="320.0"/>
        <n v="512.0"/>
        <n v="456.8"/>
        <n v="160.0"/>
        <n v="544.0"/>
        <n v="752.0"/>
        <n v="0.0"/>
        <n v="720.0"/>
        <n v="1504.0"/>
        <n v="384.0"/>
        <n v="864.0"/>
        <n v="520.8"/>
        <n v="1075.2"/>
        <n v="192.0"/>
        <n v="295.68"/>
      </sharedItems>
    </cacheField>
    <cacheField name="TOTAL " numFmtId="164">
      <sharedItems containsSemiMixedTypes="0" containsString="0" containsNumber="1">
        <n v="2320.0"/>
        <n v="3712.0"/>
        <n v="3311.8"/>
        <n v="1160.0"/>
        <n v="3944.0"/>
        <n v="5452.0"/>
        <n v="0.0"/>
        <n v="5220.0"/>
        <n v="10904.0"/>
        <n v="2784.0"/>
        <n v="6264.0"/>
        <n v="3775.8"/>
        <n v="7795.2"/>
        <n v="1392.0"/>
        <n v="2143.68"/>
      </sharedItems>
    </cacheField>
    <cacheField name="CONCILIACION" numFmtId="0">
      <sharedItems containsBlank="1">
        <s v="A DEL M 1"/>
        <s v=" A DEL M 1"/>
        <s v=" A DEL M 2"/>
        <m/>
        <s v=" A DEL M 4"/>
        <s v=" A DEL M 3"/>
        <s v=" JDJ TRANSPORTES "/>
      </sharedItems>
    </cacheField>
    <cacheField name="ESTATUS" numFmtId="0">
      <sharedItems containsString="0" containsBlank="1">
        <m/>
      </sharedItems>
    </cacheField>
    <cacheField name="FACTURA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193" sheet="CARPETA"/>
  </cacheSource>
  <cacheFields>
    <cacheField name="SEM " numFmtId="0">
      <sharedItems containsString="0" containsBlank="1" containsNumber="1" containsInteger="1">
        <n v="28.0"/>
        <n v="29.0"/>
        <n v="30.0"/>
        <n v="31.0"/>
        <n v="32.0"/>
        <m/>
      </sharedItems>
    </cacheField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m/>
      </sharedItems>
    </cacheField>
    <cacheField name="FOLIO ">
      <sharedItems containsMixedTypes="1" containsNumber="1" containsInteger="1">
        <n v="486.0"/>
        <n v="487.0"/>
        <n v="488.0"/>
        <n v="489.0"/>
        <n v="491.0"/>
        <n v="492.0"/>
        <n v="490.0"/>
        <n v="493.0"/>
        <n v="494.0"/>
        <n v="495.0"/>
        <n v="496.0"/>
        <n v="497.0"/>
        <n v="498.0"/>
        <n v="500.0"/>
        <n v="601.0"/>
        <n v="602.0"/>
        <n v="499.0"/>
        <n v="603.0"/>
        <n v="604.0"/>
        <s v="628"/>
        <s v="629"/>
        <s v="627"/>
        <s v="630"/>
        <s v="632"/>
        <s v="633"/>
        <s v="634"/>
        <s v="635"/>
        <s v="636"/>
        <s v="637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1013.0"/>
        <n v="1012.0"/>
        <n v="1014.0"/>
        <n v="1015.0"/>
        <n v="1016.0"/>
        <n v="1017.0"/>
        <n v="1018.0"/>
        <n v="1019.0"/>
        <n v="1020.0"/>
        <n v="1021.0"/>
        <n v="1022.0"/>
        <n v="1024.0"/>
        <n v="1023.0"/>
        <n v="1025.0"/>
        <n v="1026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248.0"/>
        <n v="1249.0"/>
        <n v="1250.0"/>
        <n v="1451.0"/>
        <n v="1452.0"/>
        <n v="1453.0"/>
        <n v="1454.0"/>
        <n v="1455.0"/>
        <n v="1456.0"/>
        <n v="1457.0"/>
        <n v="1469.0"/>
        <n v="1471.0"/>
        <n v="1473.0"/>
        <n v="1475.0"/>
        <n v="1477.0"/>
        <n v="1479.0"/>
        <n v="1481.0"/>
        <n v="1483.0"/>
        <n v="1484.0"/>
        <n v="1485.0"/>
        <n v="1487.0"/>
        <n v="1499.0"/>
        <n v="1500.0"/>
        <n v="1501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</sharedItems>
    </cacheField>
    <cacheField name="FECHA">
      <sharedItems containsSemiMixedTypes="0" containsDate="1" containsString="0" containsMixedTypes="1">
        <d v="2026-07-10T00:00:00Z"/>
        <d v="2026-07-11T00:00:00Z"/>
        <d v="2026-07-13T00:00:00Z"/>
        <d v="2026-07-18T00:00:00Z"/>
        <d v="2026-07-22T00:00:00Z"/>
        <d v="2026-07-23T00:00:00Z"/>
        <d v="2026-07-24T00:00:00Z"/>
        <d v="2026-07-30T00:00:00Z"/>
        <d v="2026-07-31T00:00:00Z"/>
        <d v="2026-08-01T00:00:00Z"/>
        <d v="2025-08-05T00:00:00Z"/>
        <d v="2026-08-06T00:00:00Z"/>
        <d v="2026-08-07T00:00:00Z"/>
        <n v="-618500.0"/>
      </sharedItems>
    </cacheField>
    <cacheField name="VIAJES " numFmtId="0">
      <sharedItems containsSemiMixedTypes="0" containsString="0" containsNumber="1" containsInteger="1">
        <n v="1.0"/>
      </sharedItems>
    </cacheField>
    <cacheField name="MATERIAL " numFmtId="0">
      <sharedItems>
        <s v="CARPETA"/>
        <s v="CARPETA ASFALTICA ASF 3/4 MARSHALL"/>
        <s v="VIAJE EN FALSO"/>
      </sharedItems>
    </cacheField>
    <cacheField name="PLACAS">
      <sharedItems containsMixedTypes="1" containsNumber="1" containsInteger="1">
        <s v="HC-1139-G"/>
        <s v="412-AT-3"/>
        <s v="HC-4281-J"/>
        <s v="HE-4251-J"/>
        <s v="NE-4904-D"/>
        <s v="HF-0627-G"/>
        <s v="22-BC-9R"/>
        <s v="LD-5753-6"/>
        <s v="HG-610-3D"/>
        <s v="LD-5752-6"/>
        <s v="LH-160-62"/>
        <s v="NB-1258-D"/>
        <s v="MY-7968-B"/>
        <s v="GX-0733-H"/>
        <s v="HC1139G"/>
        <s v="NE4904D"/>
        <s v="NB1258D"/>
        <s v="HB73236"/>
        <s v="HJ6103D"/>
        <s v="258ET7"/>
        <s v="NJ6644D"/>
        <s v="HD57440"/>
        <s v="22BC9R"/>
        <s v="6X0733H"/>
        <s v="HG6103D"/>
        <s v="LG5557526"/>
        <s v="MY7967B"/>
        <s v="LH16O62"/>
        <s v="MY7968B"/>
        <s v="MX3669D"/>
        <s v="1A86899"/>
        <s v="HB7323G"/>
        <s v="HF8029G"/>
        <s v="85BHA7X"/>
        <s v="HF0625G"/>
        <s v="HC8639C"/>
        <s v="HF0627G"/>
        <s v="NR0950C"/>
        <s v="LD67526"/>
        <s v="412AT3"/>
        <s v="NS3489C"/>
        <s v="LA86899"/>
        <s v="M47968B"/>
        <s v="HC3489C"/>
        <s v="G25671G"/>
        <s v="LD56526"/>
        <s v="LD5752G"/>
        <s v="GX0733H"/>
        <s v="N53489C"/>
        <s v="NK8781C"/>
        <s v="HE90005"/>
        <n v="1416062.0"/>
        <s v="HDOJ18H"/>
        <s v="GY2066L"/>
        <s v="41AA6E"/>
        <s v="HE4535J"/>
        <s v="GY5160G"/>
        <s v="GX0377H"/>
        <s v="LY7968B"/>
        <s v="GX3722G"/>
        <s v="MX7968B"/>
        <s v="GY2066G"/>
        <s v="981EF7"/>
        <s v="94DM90"/>
        <s v="LH16062"/>
        <s v="NB258D"/>
        <s v="MY7668B"/>
        <s v="MY6967G"/>
      </sharedItems>
    </cacheField>
    <cacheField name="CAPACIDAD (M3) " numFmtId="0">
      <sharedItems containsSemiMixedTypes="0" containsString="0" containsNumber="1" containsInteger="1">
        <n v="14.0"/>
        <n v="8.0"/>
        <n v="0.0"/>
      </sharedItems>
    </cacheField>
    <cacheField name="PESO TOTAL (KG) ">
      <sharedItems containsBlank="1" containsMixedTypes="1" containsNumber="1" containsInteger="1">
        <n v="25240.0"/>
        <n v="23160.0"/>
        <n v="23070.0"/>
        <n v="25110.0"/>
        <n v="25120.0"/>
        <n v="22420.0"/>
        <n v="24380.0"/>
        <n v="24450.0"/>
        <n v="26210.0"/>
        <n v="26580.0"/>
        <n v="24860.0"/>
        <n v="26860.0"/>
        <n v="24610.0"/>
        <n v="24880.0"/>
        <n v="25670.0"/>
        <n v="26980.0"/>
        <n v="26200.0"/>
        <n v="22430.0"/>
        <n v="16050.0"/>
        <s v="59130"/>
        <s v="59133"/>
        <s v="59143"/>
        <s v="59149"/>
        <s v="59161"/>
        <s v="59167"/>
        <s v="59162"/>
        <s v="59184"/>
        <s v="59183"/>
        <s v="59187"/>
        <n v="23010.0"/>
        <n v="23520.0"/>
        <n v="25720.0"/>
        <n v="24990.0"/>
        <n v="25970.0"/>
        <n v="22410.0"/>
        <n v="25090.0"/>
        <n v="24830.0"/>
        <n v="24960.0"/>
        <n v="25400.0"/>
        <n v="22610.0"/>
        <n v="24620.0"/>
        <n v="32110.0"/>
        <n v="23780.0"/>
        <n v="25850.0"/>
        <n v="25220.0"/>
        <n v="25800.0"/>
        <n v="23720.0"/>
        <n v="25010.0"/>
        <n v="23250.0"/>
        <n v="25520.0"/>
        <n v="24820.0"/>
        <n v="25020.0"/>
        <n v="25190.0"/>
        <n v="26790.0"/>
        <n v="24120.0"/>
        <n v="22230.0"/>
        <n v="23580.0"/>
        <n v="24180.0"/>
        <n v="23750.0"/>
        <n v="24650.0"/>
        <n v="22140.0"/>
        <n v="25290.0"/>
        <n v="24090.0"/>
        <n v="25620.0"/>
        <n v="25460.0"/>
        <n v="24920.0"/>
        <n v="24330.0"/>
        <n v="23920.0"/>
        <n v="24220.0"/>
        <n v="22190.0"/>
        <n v="24870.0"/>
        <n v="24440.0"/>
        <n v="24170.0"/>
        <n v="21530.0"/>
        <n v="24550.0"/>
        <n v="22650.0"/>
        <n v="23980.0"/>
        <n v="23360.0"/>
        <n v="24700.0"/>
        <n v="20790.0"/>
        <n v="23170.0"/>
        <n v="21160.0"/>
        <n v="21840.0"/>
        <n v="22440.0"/>
        <n v="22790.0"/>
        <n v="21710.0"/>
        <n v="20290.0"/>
        <n v="23200.0"/>
        <n v="20730.0"/>
        <n v="22590.0"/>
        <n v="21750.0"/>
        <n v="20140.0"/>
        <n v="22640.0"/>
        <n v="21080.0"/>
        <n v="20740.0"/>
        <n v="23120.0"/>
        <n v="23760.0"/>
        <n v="22450.0"/>
        <n v="24660.0"/>
        <n v="25540.0"/>
        <n v="25450.0"/>
        <n v="26220.0"/>
        <n v="24630.0"/>
        <n v="23600.0"/>
        <n v="25560.0"/>
        <n v="23210.0"/>
        <n v="25330.0"/>
        <n v="24150.0"/>
        <n v="25440.0"/>
        <n v="23790.0"/>
        <n v="25530.0"/>
        <n v="24480.0"/>
        <n v="25830.0"/>
        <n v="22950.0"/>
        <n v="24400.0"/>
        <n v="24690.0"/>
        <n v="24510.0"/>
        <n v="23100.0"/>
        <n v="23690.0"/>
        <n v="23030.0"/>
        <n v="23990.0"/>
        <n v="24760.0"/>
        <n v="24770.0"/>
        <n v="25140.0"/>
        <n v="24580.0"/>
        <n v="24430.0"/>
        <n v="25130.0"/>
        <n v="24950.0"/>
        <n v="24640.0"/>
        <n v="24410.0"/>
        <n v="24260.0"/>
        <n v="23730.0"/>
        <n v="23180.0"/>
        <n v="22470.0"/>
        <n v="23480.0"/>
        <n v="24160.0"/>
        <n v="23530.0"/>
        <n v="21810.0"/>
        <n v="24780.0"/>
        <n v="23680.0"/>
        <n v="24720.0"/>
        <n v="23380.0"/>
        <n v="24560.0"/>
        <n v="23190.0"/>
        <n v="24110.0"/>
        <n v="24310.0"/>
        <n v="24230.0"/>
        <n v="20300.0"/>
        <n v="25580.0"/>
        <n v="22930.0"/>
        <n v="22060.0"/>
        <m/>
        <n v="22630.0"/>
        <n v="25610.0"/>
        <n v="23560.0"/>
        <n v="23770.0"/>
        <n v="24570.0"/>
        <n v="23240.0"/>
        <n v="24190.0"/>
        <n v="21410.0"/>
      </sharedItems>
    </cacheField>
    <cacheField name="OPERADOR" numFmtId="0">
      <sharedItems>
        <s v="VICTOR DE LEON"/>
        <s v="JUAN GONZALES"/>
        <s v="DANIEL CRUZ"/>
        <s v="REY DAVID"/>
        <s v="GERARDO ENRIQUE"/>
        <s v="JOSE MIGUEL"/>
        <s v="JUAN MANUEL"/>
        <s v="ARTURO HERNANDEZ"/>
        <s v="ENRIQUE COLIN"/>
        <s v="JULIO CESAR"/>
        <s v="SANTOS OTERO"/>
        <s v="JORGE GARCIA"/>
        <s v="MIGUEL ANGEL"/>
        <s v="MARTIN"/>
        <s v="ELISEO REYES"/>
        <s v="RAMIRO HDEZ"/>
        <s v="RAMIRO HDEZ ESQUIVEL"/>
        <s v="ENRIQUE GODIN"/>
        <s v="ENRIQUE TORRES"/>
        <s v="JULIO CESAR HERNANDEZ"/>
        <s v="SIGFRIDO CALDERA"/>
        <s v="JOSUE MORALES"/>
        <s v="MARTIN CALDERA"/>
        <s v="ALEJANDRO NAVARRO"/>
        <s v="EDGAR BARUC"/>
        <s v="SANTOS SOTERO"/>
        <s v="EDUARDO GOMEZ"/>
        <s v="JORGE MENDEZ"/>
        <s v="ALEJANDRO FLORES"/>
        <s v="ARTURO COLIN"/>
        <s v="JUAN GONZALEZ"/>
        <s v="JONATHAN GUTIERREZ"/>
        <s v="JORGE HERNANDEZ"/>
        <s v="CESAR HERNANDEZ"/>
        <s v="ALEJANDRO"/>
        <s v="ELIZEO REYES"/>
        <s v="SALVADOR HERNANDEZ"/>
        <s v="ARTURO DE LEON"/>
        <s v="JOSE"/>
        <s v="CARLOS DE LEON"/>
        <s v="JOSE VICTORIA"/>
        <s v="JOSHUA MORALES"/>
        <s v="ALEJANDRO MORALES"/>
        <s v="LUIS FLORES"/>
        <s v="LUCIANO GONZALEZ"/>
        <s v="ROBERTO MILLAN"/>
        <s v="JOSE MANUEL"/>
        <s v="FERNANDO MONTES DE OCA"/>
        <s v="ANTONIO ALAMO"/>
        <s v="ARMANDO CASIMIRO"/>
        <s v="GUSTAVO"/>
        <s v="JOSE GUADALUPE"/>
      </sharedItems>
    </cacheField>
    <cacheField name="SINDICATO" numFmtId="0">
      <sharedItems>
        <s v="COSUM TOLUCA"/>
      </sharedItems>
    </cacheField>
    <cacheField name="KM INICIO">
      <sharedItems containsBlank="1" containsMixedTypes="1" containsNumber="1" containsInteger="1">
        <s v="0+000.00"/>
        <s v="0+035.00"/>
        <s v="0+070.00"/>
        <s v="0+110.00"/>
        <s v="0+145.00"/>
        <s v="0+180.00"/>
        <s v="0+215.00"/>
        <s v="0+250.00"/>
        <n v="0.0"/>
        <s v="0+040.00"/>
        <s v="0+080.00"/>
        <s v="0+130.00"/>
        <s v="0+170.00"/>
        <s v="0+050.00"/>
        <s v="0+100.00"/>
        <s v="0+185.00"/>
        <s v="0+220.00"/>
        <s v="0+320.00"/>
        <s v="0+390.00"/>
        <s v="0+290.00"/>
        <s v="0+355.00"/>
        <s v="0+465.00"/>
        <s v="0+430.00"/>
        <s v="0+495.00"/>
        <s v="0+525.00"/>
        <s v="0+555.00"/>
        <s v="0+585.00"/>
        <s v="0+203"/>
        <s v="0+240"/>
        <s v="0+260"/>
        <s v="0+310"/>
        <s v="0+350"/>
        <s v="0+330"/>
        <s v="0+320"/>
        <s v="0+340"/>
        <s v="0+380"/>
        <s v="0+390"/>
        <s v="0+410"/>
        <s v="0+440"/>
        <s v="0+480"/>
        <s v="0+510"/>
        <s v="0+530"/>
        <s v="0+560"/>
        <s v="0+590"/>
        <s v="0+520"/>
        <s v="0+550"/>
        <s v="0+606"/>
        <s v="0+630"/>
        <s v="0+650"/>
        <s v="0+680"/>
        <s v="0´+700"/>
        <s v="0+720"/>
        <s v="0+750"/>
        <s v="0+780"/>
        <s v="0+616"/>
        <s v="0+700"/>
        <s v="0+730"/>
        <s v="0+770"/>
        <s v="0+790"/>
        <s v="0+820"/>
        <s v="0+835"/>
        <s v="0+860"/>
        <s v="0+885"/>
        <s v="0+910"/>
        <s v="0+935"/>
        <s v="0+960"/>
        <s v="0+800"/>
        <s v="0+830"/>
        <s v="0+890"/>
        <s v="0+920"/>
        <s v="0+940"/>
        <s v="0+965"/>
        <s v="0+575"/>
        <s v="0+610"/>
        <s v="0+625"/>
        <s v="0+640"/>
        <s v="0+670"/>
        <s v="0+740"/>
        <s v="0+760"/>
        <s v="0+825"/>
        <s v="0+850"/>
        <s v="0+870"/>
        <s v="0+980"/>
        <s v="1+000"/>
        <s v="1+020"/>
        <s v="1+050"/>
        <s v="1+080"/>
        <s v="1+100"/>
        <s v="1+130"/>
        <s v="1+160"/>
        <s v="1+180"/>
        <s v="1+205"/>
        <s v="1+230"/>
        <s v="1+260"/>
        <s v="1+280"/>
        <s v="1+300"/>
        <s v="1+030"/>
        <s v="1+070"/>
        <s v="1+060"/>
        <s v="RETORNO"/>
        <s v="1+090"/>
        <s v="1+120"/>
        <s v="1+140"/>
        <s v="1+190"/>
        <s v="1+220"/>
        <s v="1+250"/>
        <s v="1+330"/>
        <s v="1+310"/>
        <s v="1+335"/>
        <s v="1+360"/>
        <s v="1+380"/>
        <s v="1+400"/>
        <s v="1+420"/>
        <s v="1+450"/>
        <s v="1+475"/>
        <s v="1+490"/>
        <s v="1+510"/>
        <s v="1+530"/>
        <s v="1+410"/>
        <s v="1+440"/>
        <s v="1+460"/>
        <s v="1+480"/>
        <s v="1+500"/>
        <m/>
        <s v="1+520"/>
        <s v="1+540"/>
        <s v="1+570"/>
        <s v="1+595"/>
        <s v="1+620"/>
        <s v="1+650"/>
        <s v="1+545"/>
        <s v="1+580"/>
        <s v="1+610"/>
      </sharedItems>
    </cacheField>
    <cacheField name="KM FINAL">
      <sharedItems containsBlank="1" containsMixedTypes="1" containsNumber="1" containsInteger="1">
        <s v="0+035.00"/>
        <s v="0+070.00"/>
        <s v="0+110.00"/>
        <s v="0+145.00"/>
        <s v="0+180.00"/>
        <s v="0+215.00"/>
        <s v="0+250.00"/>
        <s v="0+285.00"/>
        <s v="0+040.00"/>
        <s v="0+080.00"/>
        <s v="0+130.00"/>
        <s v="0+170.00"/>
        <s v="0+050.00"/>
        <s v="0+100.00"/>
        <s v="0+185.00"/>
        <s v="0+220.00"/>
        <s v="0+230.00"/>
        <s v="0+355.00"/>
        <s v="0+430.00"/>
        <s v="0+320.00"/>
        <s v="0+390.00"/>
        <s v="0+495.00"/>
        <s v="0+465.00"/>
        <s v="0+525.00"/>
        <s v="0+555.00"/>
        <s v="0+585.00"/>
        <s v="0+615.00"/>
        <s v="0+240"/>
        <s v="0+260"/>
        <s v="0+310"/>
        <s v="0+350"/>
        <s v="0+390"/>
        <s v="0+330"/>
        <s v="0+203"/>
        <s v="0+320"/>
        <s v="0+340"/>
        <s v="0+380"/>
        <s v="0+410"/>
        <s v="0+440"/>
        <s v="0+480"/>
        <s v="0+510"/>
        <s v="0+530"/>
        <s v="0+560"/>
        <s v="0+590"/>
        <s v="0+620"/>
        <s v="0+520"/>
        <s v="0+550"/>
        <s v="0+580"/>
        <s v="0+630"/>
        <s v="0+650"/>
        <s v="0+680"/>
        <s v="0+700"/>
        <s v="0+720"/>
        <s v="0+750"/>
        <s v="0+780"/>
        <s v="0+616"/>
        <s v="0+730"/>
        <s v="0+770"/>
        <s v="0+810"/>
        <s v="0+820"/>
        <s v="0+835"/>
        <s v="0+860"/>
        <s v="0+885"/>
        <s v="0+910"/>
        <s v="0+935"/>
        <s v="0+960"/>
        <s v="0+980"/>
        <s v="0+830"/>
        <s v="0+890"/>
        <s v="0+920"/>
        <s v="0+940"/>
        <s v="0+965"/>
        <s v="0+995"/>
        <s v="0+610"/>
        <s v="0+625"/>
        <s v="0+640"/>
        <s v="0+670"/>
        <s v="0+740"/>
        <s v="0+760"/>
        <s v="0+800"/>
        <s v="0+825"/>
        <s v="0+850"/>
        <s v="0+870"/>
        <s v="1+000"/>
        <s v="1+020"/>
        <s v="1+05O"/>
        <s v="1+080"/>
        <s v="1+100"/>
        <s v="1+130"/>
        <s v="1+160"/>
        <s v="1+180"/>
        <s v="1+205"/>
        <s v="1+235"/>
        <s v="1+260"/>
        <s v="1+280"/>
        <s v="1+300"/>
        <s v="1+330"/>
        <s v="1+030"/>
        <s v="1+050"/>
        <s v="1+070"/>
        <s v="1+090"/>
        <s v="1+060"/>
        <s v="RETORNO"/>
        <s v="1+120"/>
        <s v="1+140"/>
        <s v="1+190"/>
        <s v="1+220"/>
        <s v="1+250"/>
        <s v="1+360"/>
        <s v="1+310"/>
        <s v="1+355"/>
        <s v="1+380"/>
        <s v="1+400"/>
        <s v="1+420"/>
        <s v="1+450"/>
        <s v="1+475"/>
        <s v="1+490"/>
        <s v="1+510"/>
        <s v="1+530"/>
        <s v="1+570"/>
        <s v="1+410"/>
        <s v="1+430"/>
        <s v="1+440"/>
        <s v="1+460"/>
        <s v="1+480"/>
        <s v="1+500"/>
        <s v="1+520"/>
        <m/>
        <n v="2.0"/>
        <s v="1+540"/>
        <s v="1+595"/>
        <s v="1+620"/>
        <s v="1+650"/>
        <s v="1+670"/>
        <s v="1+545"/>
        <s v="1+580"/>
        <s v="1+610"/>
        <s v="1+640"/>
      </sharedItems>
    </cacheField>
    <cacheField name="CUERPO" numFmtId="165">
      <sharedItems containsBlank="1">
        <s v="B"/>
        <m/>
      </sharedItems>
    </cacheField>
    <cacheField name="KM ACARREO POR VIAJE" numFmtId="0">
      <sharedItems containsString="0" containsBlank="1">
        <m/>
      </sharedItems>
    </cacheField>
    <cacheField name="OBSERVACIONES" numFmtId="0">
      <sharedItems containsBlank="1">
        <s v="CARRIL DE ALTA"/>
        <s v="CARRIL CENTRAL"/>
        <s v="ACOTAMIENTO"/>
        <m/>
      </sharedItems>
    </cacheField>
    <cacheField name=" PU" numFmtId="164">
      <sharedItems containsSemiMixedTypes="0" containsString="0" containsNumber="1">
        <n v="2881.92"/>
        <n v="2850.0"/>
        <n v="2862.54"/>
        <n v="2863.68"/>
        <n v="2987.94"/>
        <n v="3030.12"/>
        <n v="3062.04"/>
        <n v="2926.38"/>
        <n v="3075.72"/>
        <n v="2986.8"/>
        <n v="3420.0"/>
        <n v="3624.0"/>
        <n v="2989.0"/>
        <n v="1200.0"/>
        <n v="6720.0"/>
      </sharedItems>
    </cacheField>
    <cacheField name="IMPORTE" numFmtId="164">
      <sharedItems containsSemiMixedTypes="0" containsString="0" containsNumber="1">
        <n v="2881.92"/>
        <n v="2850.0"/>
        <n v="2862.54"/>
        <n v="2863.68"/>
        <n v="2987.94"/>
        <n v="3030.12"/>
        <n v="3062.04"/>
        <n v="2926.38"/>
        <n v="3075.72"/>
        <n v="2986.8"/>
        <n v="3420.0"/>
        <n v="3624.0"/>
        <n v="2989.0"/>
        <n v="1200.0"/>
        <n v="6720.0"/>
      </sharedItems>
    </cacheField>
    <cacheField name="IVA" numFmtId="164">
      <sharedItems containsSemiMixedTypes="0" containsString="0" containsNumber="1">
        <n v="461.10720000000003"/>
        <n v="456.0"/>
        <n v="458.0064"/>
        <n v="458.18879999999996"/>
        <n v="478.0704"/>
        <n v="484.81919999999997"/>
        <n v="489.9264"/>
        <n v="468.22080000000005"/>
        <n v="492.11519999999996"/>
        <n v="477.88800000000003"/>
        <n v="547.2"/>
        <n v="579.84"/>
        <n v="478.24"/>
        <n v="192.0"/>
        <n v="1075.2"/>
      </sharedItems>
    </cacheField>
    <cacheField name="TOTAL" numFmtId="164">
      <sharedItems containsSemiMixedTypes="0" containsString="0" containsNumber="1">
        <n v="3343.0272"/>
        <n v="3306.0"/>
        <n v="3320.5464"/>
        <n v="3321.8687999999997"/>
        <n v="3466.0104"/>
        <n v="3514.9392"/>
        <n v="3551.9664"/>
        <n v="3394.6008"/>
        <n v="3567.8351999999995"/>
        <n v="3464.688"/>
        <n v="3967.2"/>
        <n v="4203.84"/>
        <n v="3467.24"/>
        <n v="1392.0"/>
        <n v="7795.2"/>
      </sharedItems>
    </cacheField>
    <cacheField name="CONCILIACION" numFmtId="0">
      <sharedItems>
        <s v="A DEL M 1"/>
        <s v="A DEL M 2"/>
        <s v="A DEL M 3"/>
        <s v="A DEL M 4"/>
        <s v="PENDIENTE"/>
      </sharedItems>
    </cacheField>
    <cacheField name="ESTATUS" numFmtId="0">
      <sharedItems containsString="0" containsBlank="1">
        <m/>
      </sharedItems>
    </cacheField>
    <cacheField name="FACTURA 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 dinámica 9" cacheId="0" dataCaption="" compact="0" compactData="0">
  <location ref="A1:B7" firstHeaderRow="0" firstDataRow="1" firstDataCol="0"/>
  <pivotFields>
    <pivotField name="SEM 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FOLIO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name="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VIAJES " compact="0" outline="0" multipleItemSelectionAllowed="1" showAll="0">
      <items>
        <item x="0"/>
        <item x="1"/>
        <item t="default"/>
      </items>
    </pivotField>
    <pivotField name="MATERIAL 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LAC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CAPACI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NIDAD " compact="0" outline="0" multipleItemSelectionAllowed="1" showAll="0">
      <items>
        <item x="0"/>
        <item x="1"/>
        <item x="2"/>
        <item t="default"/>
      </items>
    </pivotField>
    <pivotField name="OPERA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SINDICA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M INICI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KM TERMI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RO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PO" compact="0" outline="0" multipleItemSelectionAllowed="1" showAll="0">
      <items>
        <item x="0"/>
        <item x="1"/>
        <item x="2"/>
        <item x="3"/>
        <item t="default"/>
      </items>
    </pivotField>
    <pivotField name="CARRIL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BSERVACIONE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 PU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IMPOR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IV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OTAL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ONCILIAC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STATUS" compact="0" outline="0" multipleItemSelectionAllowed="1" showAll="0">
      <items>
        <item x="0"/>
        <item t="default"/>
      </items>
    </pivotField>
    <pivotField name="FACTURA" compact="0" outline="0" multipleItemSelectionAllowed="1" showAll="0">
      <items>
        <item x="0"/>
        <item t="default"/>
      </items>
    </pivotField>
  </pivotFields>
  <rowFields>
    <field x="0"/>
  </rowFields>
  <dataFields>
    <dataField name="SUM of TOTAL " fld="20" baseField="0"/>
  </dataFields>
</pivotTableDefinition>
</file>

<file path=xl/pivotTables/pivotTable2.xml><?xml version="1.0" encoding="utf-8"?>
<pivotTableDefinition xmlns="http://schemas.openxmlformats.org/spreadsheetml/2006/main" name="Tabla dinámica 8" cacheId="1" dataCaption="" compact="0" compactData="0">
  <location ref="A1:B8" firstHeaderRow="0" firstDataRow="1" firstDataCol="0"/>
  <pivotFields>
    <pivotField name="SEM 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FOLIO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VIAJES " compact="0" outline="0" multipleItemSelectionAllowed="1" showAll="0">
      <items>
        <item x="0"/>
        <item t="default"/>
      </items>
    </pivotField>
    <pivotField name="MATERIAL " compact="0" outline="0" multipleItemSelectionAllowed="1" showAll="0">
      <items>
        <item x="0"/>
        <item x="1"/>
        <item x="2"/>
        <item t="default"/>
      </items>
    </pivotField>
    <pivotField name="PLAC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CAPACIDAD (M3) " compact="0" outline="0" multipleItemSelectionAllowed="1" showAll="0">
      <items>
        <item x="0"/>
        <item x="1"/>
        <item x="2"/>
        <item t="default"/>
      </items>
    </pivotField>
    <pivotField name="PESO TOTAL (KG)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  <pivotField name="OPERA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SINDICATO" compact="0" outline="0" multipleItemSelectionAllowed="1" showAll="0">
      <items>
        <item x="0"/>
        <item t="default"/>
      </items>
    </pivotField>
    <pivotField name="KM INI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KM FIN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CUERPO" compact="0" numFmtId="165" outline="0" multipleItemSelectionAllowed="1" showAll="0">
      <items>
        <item x="0"/>
        <item x="1"/>
        <item t="default"/>
      </items>
    </pivotField>
    <pivotField name="KM ACARREO POR VIAJE" compact="0" outline="0" multipleItemSelectionAllowed="1" showAll="0">
      <items>
        <item x="0"/>
        <item t="default"/>
      </items>
    </pivotField>
    <pivotField name="OBSERVACIONES" compact="0" outline="0" multipleItemSelectionAllowed="1" showAll="0">
      <items>
        <item x="0"/>
        <item x="1"/>
        <item x="2"/>
        <item x="3"/>
        <item t="default"/>
      </items>
    </pivotField>
    <pivotField name=" PU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IMPOR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IV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ONCILIA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STATUS" compact="0" outline="0" multipleItemSelectionAllowed="1" showAll="0">
      <items>
        <item x="0"/>
        <item t="default"/>
      </items>
    </pivotField>
    <pivotField name="FACTURA " compact="0" outline="0" multipleItemSelectionAllowed="1" showAll="0">
      <items>
        <item x="0"/>
        <item t="default"/>
      </items>
    </pivotField>
  </pivotFields>
  <rowFields>
    <field x="0"/>
  </rowFields>
  <dataFields>
    <dataField name="SUM of TOTAL" fld="1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0.43"/>
    <col customWidth="1" min="4" max="4" width="14.71"/>
    <col customWidth="1" min="5" max="5" width="11.29"/>
    <col customWidth="1" min="6" max="6" width="22.0"/>
    <col customWidth="1" min="7" max="7" width="13.43"/>
    <col customWidth="1" min="8" max="8" width="13.0"/>
    <col customWidth="1" min="9" max="9" width="11.43"/>
    <col customWidth="1" min="10" max="10" width="22.29"/>
    <col customWidth="1" min="11" max="11" width="18.43"/>
    <col customWidth="1" min="12" max="12" width="13.43"/>
    <col customWidth="1" min="13" max="13" width="13.71"/>
    <col customWidth="1" min="14" max="14" width="25.57"/>
    <col customWidth="1" min="15" max="15" width="11.71"/>
    <col customWidth="1" min="16" max="16" width="21.43"/>
    <col customWidth="1" min="17" max="17" width="29.29"/>
    <col customWidth="1" min="18" max="18" width="12.29"/>
    <col customWidth="1" min="19" max="19" width="11.43"/>
    <col customWidth="1" min="20" max="20" width="15.43"/>
    <col customWidth="1" min="21" max="21" width="11.43"/>
    <col customWidth="1" min="22" max="22" width="19.29"/>
    <col customWidth="1" min="23" max="23" width="16.43"/>
    <col customWidth="1" min="24" max="24" width="10.71"/>
    <col customWidth="1" min="25" max="25" width="11.43"/>
    <col customWidth="1" min="26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14</v>
      </c>
      <c r="N1" s="1" t="s">
        <v>16</v>
      </c>
      <c r="O1" s="1" t="s">
        <v>18</v>
      </c>
      <c r="P1" s="1" t="s">
        <v>20</v>
      </c>
      <c r="Q1" s="1" t="s">
        <v>22</v>
      </c>
      <c r="R1" s="3" t="s">
        <v>23</v>
      </c>
      <c r="S1" s="1" t="s">
        <v>24</v>
      </c>
      <c r="T1" s="1" t="s">
        <v>25</v>
      </c>
      <c r="U1" s="1" t="s">
        <v>26</v>
      </c>
      <c r="V1" s="1" t="s">
        <v>28</v>
      </c>
      <c r="W1" s="1" t="s">
        <v>29</v>
      </c>
      <c r="X1" s="1" t="s">
        <v>31</v>
      </c>
      <c r="Y1" s="6"/>
      <c r="Z1" s="5"/>
    </row>
    <row r="2" hidden="1">
      <c r="A2" s="7">
        <v>28.0</v>
      </c>
      <c r="B2" s="7">
        <v>1.0</v>
      </c>
      <c r="C2" s="8">
        <v>1917.0</v>
      </c>
      <c r="D2" s="9">
        <v>46212.0</v>
      </c>
      <c r="E2" s="11">
        <v>1.0</v>
      </c>
      <c r="F2" s="11" t="s">
        <v>34</v>
      </c>
      <c r="G2" s="11" t="s">
        <v>37</v>
      </c>
      <c r="H2" s="11">
        <v>14.0</v>
      </c>
      <c r="I2" s="11" t="s">
        <v>39</v>
      </c>
      <c r="J2" s="11" t="s">
        <v>40</v>
      </c>
      <c r="K2" s="11" t="s">
        <v>36</v>
      </c>
      <c r="L2" s="11" t="s">
        <v>42</v>
      </c>
      <c r="M2" s="11" t="s">
        <v>42</v>
      </c>
      <c r="N2" s="11" t="s">
        <v>44</v>
      </c>
      <c r="O2" s="11">
        <v>1.0</v>
      </c>
      <c r="P2" s="11" t="s">
        <v>46</v>
      </c>
      <c r="Q2" s="11"/>
      <c r="R2" s="14">
        <v>2000.0</v>
      </c>
      <c r="S2" s="18">
        <f>FRESADO!$R2*FRESADO!$E2</f>
        <v>2000</v>
      </c>
      <c r="T2" s="18">
        <f>FRESADO!$S2*16%</f>
        <v>320</v>
      </c>
      <c r="U2" s="18">
        <f>FRESADO!$S2+FRESADO!$T2</f>
        <v>2320</v>
      </c>
      <c r="V2" s="19" t="s">
        <v>49</v>
      </c>
      <c r="W2" s="11"/>
      <c r="X2" s="11"/>
      <c r="Y2" s="21"/>
      <c r="Z2" s="22"/>
    </row>
    <row r="3" hidden="1">
      <c r="A3" s="7">
        <v>28.0</v>
      </c>
      <c r="B3" s="7">
        <v>2.0</v>
      </c>
      <c r="C3" s="23">
        <v>1918.0</v>
      </c>
      <c r="D3" s="24">
        <v>46212.0</v>
      </c>
      <c r="E3" s="7">
        <v>1.0</v>
      </c>
      <c r="F3" s="7" t="s">
        <v>34</v>
      </c>
      <c r="G3" s="7" t="s">
        <v>53</v>
      </c>
      <c r="H3" s="7">
        <v>14.0</v>
      </c>
      <c r="I3" s="7" t="s">
        <v>39</v>
      </c>
      <c r="J3" s="7" t="s">
        <v>54</v>
      </c>
      <c r="K3" s="11" t="s">
        <v>36</v>
      </c>
      <c r="L3" s="7" t="s">
        <v>42</v>
      </c>
      <c r="M3" s="7" t="s">
        <v>42</v>
      </c>
      <c r="N3" s="7" t="s">
        <v>44</v>
      </c>
      <c r="O3" s="7">
        <v>1.0</v>
      </c>
      <c r="P3" s="7" t="s">
        <v>46</v>
      </c>
      <c r="Q3" s="7"/>
      <c r="R3" s="14">
        <v>2000.0</v>
      </c>
      <c r="S3" s="18">
        <f>FRESADO!$R3*FRESADO!$E3</f>
        <v>2000</v>
      </c>
      <c r="T3" s="18">
        <f>FRESADO!$S3*16%</f>
        <v>320</v>
      </c>
      <c r="U3" s="18">
        <f>FRESADO!$S3+FRESADO!$T3</f>
        <v>2320</v>
      </c>
      <c r="V3" s="19" t="s">
        <v>49</v>
      </c>
      <c r="W3" s="18"/>
      <c r="X3" s="18"/>
      <c r="Y3" s="25"/>
    </row>
    <row r="4" hidden="1">
      <c r="A4" s="7">
        <v>28.0</v>
      </c>
      <c r="B4" s="7">
        <v>3.0</v>
      </c>
      <c r="C4" s="23">
        <v>1919.0</v>
      </c>
      <c r="D4" s="24">
        <v>46212.0</v>
      </c>
      <c r="E4" s="7">
        <v>1.0</v>
      </c>
      <c r="F4" s="7" t="s">
        <v>34</v>
      </c>
      <c r="G4" s="7" t="s">
        <v>63</v>
      </c>
      <c r="H4" s="7">
        <v>14.0</v>
      </c>
      <c r="I4" s="7" t="s">
        <v>39</v>
      </c>
      <c r="J4" s="7" t="s">
        <v>65</v>
      </c>
      <c r="K4" s="11" t="s">
        <v>36</v>
      </c>
      <c r="L4" s="7" t="s">
        <v>42</v>
      </c>
      <c r="M4" s="7" t="s">
        <v>42</v>
      </c>
      <c r="N4" s="7" t="s">
        <v>44</v>
      </c>
      <c r="O4" s="7">
        <v>1.0</v>
      </c>
      <c r="P4" s="7" t="s">
        <v>46</v>
      </c>
      <c r="Q4" s="7"/>
      <c r="R4" s="14">
        <v>2000.0</v>
      </c>
      <c r="S4" s="18">
        <f>FRESADO!$R4*FRESADO!$E4</f>
        <v>2000</v>
      </c>
      <c r="T4" s="18">
        <f>FRESADO!$S4*16%</f>
        <v>320</v>
      </c>
      <c r="U4" s="18">
        <f>FRESADO!$S4+FRESADO!$T4</f>
        <v>2320</v>
      </c>
      <c r="V4" s="19" t="s">
        <v>49</v>
      </c>
      <c r="W4" s="18"/>
      <c r="X4" s="18"/>
      <c r="Y4" s="25"/>
    </row>
    <row r="5" hidden="1">
      <c r="A5" s="7">
        <v>28.0</v>
      </c>
      <c r="B5" s="7">
        <v>4.0</v>
      </c>
      <c r="C5" s="23">
        <v>1920.0</v>
      </c>
      <c r="D5" s="24">
        <v>46212.0</v>
      </c>
      <c r="E5" s="7">
        <v>1.0</v>
      </c>
      <c r="F5" s="7" t="s">
        <v>34</v>
      </c>
      <c r="G5" s="7" t="s">
        <v>70</v>
      </c>
      <c r="H5" s="7">
        <v>14.0</v>
      </c>
      <c r="I5" s="7" t="s">
        <v>39</v>
      </c>
      <c r="J5" s="7" t="s">
        <v>72</v>
      </c>
      <c r="K5" s="11" t="s">
        <v>36</v>
      </c>
      <c r="L5" s="7" t="s">
        <v>42</v>
      </c>
      <c r="M5" s="7" t="s">
        <v>42</v>
      </c>
      <c r="N5" s="7" t="s">
        <v>44</v>
      </c>
      <c r="O5" s="7">
        <v>1.0</v>
      </c>
      <c r="P5" s="7" t="s">
        <v>46</v>
      </c>
      <c r="Q5" s="7"/>
      <c r="R5" s="14">
        <v>2000.0</v>
      </c>
      <c r="S5" s="18">
        <f>FRESADO!$R5*FRESADO!$E5</f>
        <v>2000</v>
      </c>
      <c r="T5" s="18">
        <f>FRESADO!$S5*16%</f>
        <v>320</v>
      </c>
      <c r="U5" s="18">
        <f>FRESADO!$S5+FRESADO!$T5</f>
        <v>2320</v>
      </c>
      <c r="V5" s="19" t="s">
        <v>49</v>
      </c>
      <c r="W5" s="18"/>
      <c r="X5" s="18"/>
      <c r="Y5" s="25"/>
    </row>
    <row r="6" hidden="1">
      <c r="A6" s="7">
        <v>28.0</v>
      </c>
      <c r="B6" s="7">
        <v>5.0</v>
      </c>
      <c r="C6" s="23">
        <v>1921.0</v>
      </c>
      <c r="D6" s="24">
        <v>46212.0</v>
      </c>
      <c r="E6" s="7">
        <v>1.0</v>
      </c>
      <c r="F6" s="7" t="s">
        <v>34</v>
      </c>
      <c r="G6" s="7" t="s">
        <v>77</v>
      </c>
      <c r="H6" s="7">
        <v>14.0</v>
      </c>
      <c r="I6" s="7" t="s">
        <v>39</v>
      </c>
      <c r="J6" s="7" t="s">
        <v>78</v>
      </c>
      <c r="K6" s="11" t="s">
        <v>36</v>
      </c>
      <c r="L6" s="7" t="s">
        <v>42</v>
      </c>
      <c r="M6" s="7" t="s">
        <v>42</v>
      </c>
      <c r="N6" s="7" t="s">
        <v>44</v>
      </c>
      <c r="O6" s="7">
        <v>1.0</v>
      </c>
      <c r="P6" s="7" t="s">
        <v>46</v>
      </c>
      <c r="Q6" s="7"/>
      <c r="R6" s="14">
        <v>2000.0</v>
      </c>
      <c r="S6" s="18">
        <f>FRESADO!$R6*FRESADO!$E6</f>
        <v>2000</v>
      </c>
      <c r="T6" s="18">
        <f>FRESADO!$S6*16%</f>
        <v>320</v>
      </c>
      <c r="U6" s="18">
        <f>FRESADO!$S6+FRESADO!$T6</f>
        <v>2320</v>
      </c>
      <c r="V6" s="19" t="s">
        <v>49</v>
      </c>
      <c r="W6" s="18"/>
      <c r="X6" s="18"/>
      <c r="Y6" s="25"/>
    </row>
    <row r="7" hidden="1">
      <c r="A7" s="7">
        <v>28.0</v>
      </c>
      <c r="B7" s="7">
        <v>6.0</v>
      </c>
      <c r="C7" s="23">
        <v>1922.0</v>
      </c>
      <c r="D7" s="24">
        <v>46212.0</v>
      </c>
      <c r="E7" s="7">
        <v>1.0</v>
      </c>
      <c r="F7" s="7" t="s">
        <v>34</v>
      </c>
      <c r="G7" s="7" t="s">
        <v>83</v>
      </c>
      <c r="H7" s="7">
        <v>14.0</v>
      </c>
      <c r="I7" s="7" t="s">
        <v>39</v>
      </c>
      <c r="J7" s="7" t="s">
        <v>84</v>
      </c>
      <c r="K7" s="11" t="s">
        <v>36</v>
      </c>
      <c r="L7" s="7" t="s">
        <v>42</v>
      </c>
      <c r="M7" s="7" t="s">
        <v>42</v>
      </c>
      <c r="N7" s="7" t="s">
        <v>44</v>
      </c>
      <c r="O7" s="7">
        <v>1.0</v>
      </c>
      <c r="P7" s="7" t="s">
        <v>46</v>
      </c>
      <c r="Q7" s="7"/>
      <c r="R7" s="14">
        <v>2000.0</v>
      </c>
      <c r="S7" s="18">
        <f>FRESADO!$R7*FRESADO!$E7</f>
        <v>2000</v>
      </c>
      <c r="T7" s="18">
        <f>FRESADO!$S7*16%</f>
        <v>320</v>
      </c>
      <c r="U7" s="18">
        <f>FRESADO!$S7+FRESADO!$T7</f>
        <v>2320</v>
      </c>
      <c r="V7" s="19" t="s">
        <v>49</v>
      </c>
      <c r="W7" s="18"/>
      <c r="X7" s="18"/>
      <c r="Y7" s="25"/>
    </row>
    <row r="8" hidden="1">
      <c r="A8" s="7">
        <v>28.0</v>
      </c>
      <c r="B8" s="7">
        <v>7.0</v>
      </c>
      <c r="C8" s="23">
        <v>1923.0</v>
      </c>
      <c r="D8" s="24">
        <v>46212.0</v>
      </c>
      <c r="E8" s="7">
        <v>1.0</v>
      </c>
      <c r="F8" s="7" t="s">
        <v>34</v>
      </c>
      <c r="G8" s="7" t="s">
        <v>86</v>
      </c>
      <c r="H8" s="7">
        <v>14.0</v>
      </c>
      <c r="I8" s="7" t="s">
        <v>39</v>
      </c>
      <c r="J8" s="7" t="s">
        <v>87</v>
      </c>
      <c r="K8" s="11" t="s">
        <v>36</v>
      </c>
      <c r="L8" s="7" t="s">
        <v>42</v>
      </c>
      <c r="M8" s="7" t="s">
        <v>42</v>
      </c>
      <c r="N8" s="7" t="s">
        <v>44</v>
      </c>
      <c r="O8" s="7">
        <v>1.0</v>
      </c>
      <c r="P8" s="7" t="s">
        <v>46</v>
      </c>
      <c r="Q8" s="7"/>
      <c r="R8" s="14">
        <v>2000.0</v>
      </c>
      <c r="S8" s="18">
        <f>FRESADO!$R8*FRESADO!$E8</f>
        <v>2000</v>
      </c>
      <c r="T8" s="18">
        <f>FRESADO!$S8*16%</f>
        <v>320</v>
      </c>
      <c r="U8" s="18">
        <f>FRESADO!$S8+FRESADO!$T8</f>
        <v>2320</v>
      </c>
      <c r="V8" s="19" t="s">
        <v>49</v>
      </c>
      <c r="W8" s="18"/>
      <c r="X8" s="18"/>
      <c r="Y8" s="25"/>
    </row>
    <row r="9" hidden="1">
      <c r="A9" s="7">
        <v>28.0</v>
      </c>
      <c r="B9" s="7">
        <v>8.0</v>
      </c>
      <c r="C9" s="23">
        <v>1924.0</v>
      </c>
      <c r="D9" s="24">
        <v>46212.0</v>
      </c>
      <c r="E9" s="7">
        <v>1.0</v>
      </c>
      <c r="F9" s="27" t="s">
        <v>89</v>
      </c>
      <c r="G9" s="7" t="s">
        <v>90</v>
      </c>
      <c r="H9" s="27">
        <v>7.0</v>
      </c>
      <c r="I9" s="7" t="s">
        <v>39</v>
      </c>
      <c r="J9" s="7" t="s">
        <v>92</v>
      </c>
      <c r="K9" s="11" t="s">
        <v>36</v>
      </c>
      <c r="L9" s="7" t="s">
        <v>42</v>
      </c>
      <c r="M9" s="7" t="s">
        <v>42</v>
      </c>
      <c r="N9" s="7" t="s">
        <v>44</v>
      </c>
      <c r="O9" s="7">
        <v>1.0</v>
      </c>
      <c r="P9" s="7" t="s">
        <v>46</v>
      </c>
      <c r="Q9" s="7"/>
      <c r="R9" s="28">
        <v>3200.0</v>
      </c>
      <c r="S9" s="18">
        <f>FRESADO!$R9*FRESADO!$E9</f>
        <v>3200</v>
      </c>
      <c r="T9" s="18">
        <f>FRESADO!$S9*16%</f>
        <v>512</v>
      </c>
      <c r="U9" s="18">
        <f>FRESADO!$S9+FRESADO!$T9</f>
        <v>3712</v>
      </c>
      <c r="V9" s="28" t="s">
        <v>49</v>
      </c>
      <c r="W9" s="18"/>
      <c r="X9" s="18"/>
      <c r="Y9" s="25"/>
    </row>
    <row r="10" hidden="1">
      <c r="A10" s="7">
        <v>28.0</v>
      </c>
      <c r="B10" s="7">
        <v>1.0</v>
      </c>
      <c r="C10" s="8">
        <v>1300.0</v>
      </c>
      <c r="D10" s="9">
        <v>46213.0</v>
      </c>
      <c r="E10" s="11">
        <v>1.0</v>
      </c>
      <c r="F10" s="11" t="s">
        <v>34</v>
      </c>
      <c r="G10" s="11" t="s">
        <v>37</v>
      </c>
      <c r="H10" s="11">
        <v>14.0</v>
      </c>
      <c r="I10" s="11" t="s">
        <v>96</v>
      </c>
      <c r="J10" s="11" t="s">
        <v>40</v>
      </c>
      <c r="K10" s="11" t="s">
        <v>36</v>
      </c>
      <c r="L10" s="11"/>
      <c r="M10" s="11"/>
      <c r="N10" s="7" t="s">
        <v>98</v>
      </c>
      <c r="O10" s="11" t="s">
        <v>43</v>
      </c>
      <c r="P10" s="11" t="s">
        <v>93</v>
      </c>
      <c r="Q10" s="11" t="s">
        <v>99</v>
      </c>
      <c r="R10" s="14">
        <v>2000.0</v>
      </c>
      <c r="S10" s="18">
        <f>FRESADO!$R10*FRESADO!$E10</f>
        <v>2000</v>
      </c>
      <c r="T10" s="18">
        <f>FRESADO!$S10*16%</f>
        <v>320</v>
      </c>
      <c r="U10" s="18">
        <f>FRESADO!$S10+FRESADO!$T10</f>
        <v>2320</v>
      </c>
      <c r="V10" s="19" t="s">
        <v>49</v>
      </c>
      <c r="W10" s="18"/>
      <c r="X10" s="16"/>
      <c r="Y10" s="21"/>
      <c r="Z10" s="22"/>
    </row>
    <row r="11" hidden="1">
      <c r="A11" s="7">
        <v>28.0</v>
      </c>
      <c r="B11" s="7">
        <v>2.0</v>
      </c>
      <c r="C11" s="23">
        <v>1348.0</v>
      </c>
      <c r="D11" s="24">
        <v>46213.0</v>
      </c>
      <c r="E11" s="7">
        <v>1.0</v>
      </c>
      <c r="F11" s="7" t="s">
        <v>34</v>
      </c>
      <c r="G11" s="7" t="s">
        <v>103</v>
      </c>
      <c r="H11" s="7">
        <v>14.0</v>
      </c>
      <c r="I11" s="7" t="s">
        <v>96</v>
      </c>
      <c r="J11" s="7" t="s">
        <v>104</v>
      </c>
      <c r="K11" s="11" t="s">
        <v>36</v>
      </c>
      <c r="L11" s="7"/>
      <c r="M11" s="7"/>
      <c r="N11" s="7" t="s">
        <v>98</v>
      </c>
      <c r="O11" s="7" t="s">
        <v>43</v>
      </c>
      <c r="P11" s="7" t="s">
        <v>93</v>
      </c>
      <c r="Q11" s="7" t="s">
        <v>99</v>
      </c>
      <c r="R11" s="14">
        <v>2000.0</v>
      </c>
      <c r="S11" s="18">
        <f>FRESADO!$R11*FRESADO!$E11</f>
        <v>2000</v>
      </c>
      <c r="T11" s="18">
        <f>FRESADO!$S11*16%</f>
        <v>320</v>
      </c>
      <c r="U11" s="18">
        <f>FRESADO!$S11+FRESADO!$T11</f>
        <v>2320</v>
      </c>
      <c r="V11" s="19" t="s">
        <v>49</v>
      </c>
      <c r="W11" s="18"/>
      <c r="X11" s="16"/>
      <c r="Y11" s="25"/>
    </row>
    <row r="12" hidden="1">
      <c r="A12" s="7">
        <v>28.0</v>
      </c>
      <c r="B12" s="7">
        <v>3.0</v>
      </c>
      <c r="C12" s="23">
        <v>1349.0</v>
      </c>
      <c r="D12" s="24">
        <v>46213.0</v>
      </c>
      <c r="E12" s="7">
        <v>1.0</v>
      </c>
      <c r="F12" s="7" t="s">
        <v>34</v>
      </c>
      <c r="G12" s="7" t="s">
        <v>86</v>
      </c>
      <c r="H12" s="7">
        <v>14.0</v>
      </c>
      <c r="I12" s="7" t="s">
        <v>96</v>
      </c>
      <c r="J12" s="7" t="s">
        <v>87</v>
      </c>
      <c r="K12" s="11" t="s">
        <v>36</v>
      </c>
      <c r="L12" s="7"/>
      <c r="M12" s="7"/>
      <c r="N12" s="7" t="s">
        <v>98</v>
      </c>
      <c r="O12" s="7" t="s">
        <v>43</v>
      </c>
      <c r="P12" s="7" t="s">
        <v>93</v>
      </c>
      <c r="Q12" s="7" t="s">
        <v>99</v>
      </c>
      <c r="R12" s="14">
        <v>2000.0</v>
      </c>
      <c r="S12" s="18">
        <f>FRESADO!$R12*FRESADO!$E12</f>
        <v>2000</v>
      </c>
      <c r="T12" s="18">
        <f>FRESADO!$S12*16%</f>
        <v>320</v>
      </c>
      <c r="U12" s="18">
        <f>FRESADO!$S12+FRESADO!$T12</f>
        <v>2320</v>
      </c>
      <c r="V12" s="19" t="s">
        <v>49</v>
      </c>
      <c r="W12" s="18"/>
      <c r="X12" s="16"/>
      <c r="Y12" s="25"/>
    </row>
    <row r="13">
      <c r="A13" s="7">
        <v>28.0</v>
      </c>
      <c r="B13" s="7">
        <v>4.0</v>
      </c>
      <c r="C13" s="23">
        <v>1350.0</v>
      </c>
      <c r="D13" s="24">
        <v>46213.0</v>
      </c>
      <c r="E13" s="7">
        <v>1.0</v>
      </c>
      <c r="F13" s="7" t="s">
        <v>34</v>
      </c>
      <c r="G13" s="7" t="s">
        <v>108</v>
      </c>
      <c r="H13" s="7">
        <v>14.0</v>
      </c>
      <c r="I13" s="7" t="s">
        <v>96</v>
      </c>
      <c r="J13" s="7" t="s">
        <v>54</v>
      </c>
      <c r="K13" s="11" t="s">
        <v>36</v>
      </c>
      <c r="L13" s="7"/>
      <c r="M13" s="7"/>
      <c r="N13" s="7" t="s">
        <v>98</v>
      </c>
      <c r="O13" s="7" t="s">
        <v>43</v>
      </c>
      <c r="P13" s="7" t="s">
        <v>93</v>
      </c>
      <c r="Q13" s="7" t="s">
        <v>99</v>
      </c>
      <c r="R13" s="14">
        <v>2000.0</v>
      </c>
      <c r="S13" s="18">
        <f>FRESADO!$R13*FRESADO!$E13</f>
        <v>2000</v>
      </c>
      <c r="T13" s="18">
        <f>FRESADO!$S13*16%</f>
        <v>320</v>
      </c>
      <c r="U13" s="18">
        <f>FRESADO!$S13+FRESADO!$T13</f>
        <v>2320</v>
      </c>
      <c r="V13" s="19" t="s">
        <v>49</v>
      </c>
      <c r="W13" s="18"/>
      <c r="X13" s="16"/>
      <c r="Y13" s="25"/>
    </row>
    <row r="14" hidden="1">
      <c r="A14" s="7">
        <v>28.0</v>
      </c>
      <c r="B14" s="7">
        <v>5.0</v>
      </c>
      <c r="C14" s="23">
        <v>1351.0</v>
      </c>
      <c r="D14" s="24">
        <v>46213.0</v>
      </c>
      <c r="E14" s="7">
        <v>1.0</v>
      </c>
      <c r="F14" s="7" t="s">
        <v>34</v>
      </c>
      <c r="G14" s="7" t="s">
        <v>83</v>
      </c>
      <c r="H14" s="7">
        <v>14.0</v>
      </c>
      <c r="I14" s="7" t="s">
        <v>96</v>
      </c>
      <c r="J14" s="7" t="s">
        <v>115</v>
      </c>
      <c r="K14" s="11" t="s">
        <v>36</v>
      </c>
      <c r="L14" s="7"/>
      <c r="M14" s="7"/>
      <c r="N14" s="7" t="s">
        <v>98</v>
      </c>
      <c r="O14" s="7" t="s">
        <v>43</v>
      </c>
      <c r="P14" s="7" t="s">
        <v>93</v>
      </c>
      <c r="Q14" s="7" t="s">
        <v>99</v>
      </c>
      <c r="R14" s="14">
        <v>2000.0</v>
      </c>
      <c r="S14" s="18">
        <f>FRESADO!$R14*FRESADO!$E14</f>
        <v>2000</v>
      </c>
      <c r="T14" s="18">
        <f>FRESADO!$S14*16%</f>
        <v>320</v>
      </c>
      <c r="U14" s="18">
        <f>FRESADO!$S14+FRESADO!$T14</f>
        <v>2320</v>
      </c>
      <c r="V14" s="19" t="s">
        <v>49</v>
      </c>
      <c r="W14" s="18"/>
      <c r="X14" s="16"/>
      <c r="Y14" s="25"/>
    </row>
    <row r="15" hidden="1">
      <c r="A15" s="7">
        <v>28.0</v>
      </c>
      <c r="B15" s="7">
        <v>6.0</v>
      </c>
      <c r="C15" s="23">
        <v>1352.0</v>
      </c>
      <c r="D15" s="24">
        <v>46213.0</v>
      </c>
      <c r="E15" s="7">
        <v>1.0</v>
      </c>
      <c r="F15" s="7" t="s">
        <v>34</v>
      </c>
      <c r="G15" s="7" t="s">
        <v>77</v>
      </c>
      <c r="H15" s="7">
        <v>14.0</v>
      </c>
      <c r="I15" s="7" t="s">
        <v>96</v>
      </c>
      <c r="J15" s="7" t="s">
        <v>78</v>
      </c>
      <c r="K15" s="11" t="s">
        <v>36</v>
      </c>
      <c r="L15" s="7"/>
      <c r="M15" s="7"/>
      <c r="N15" s="7" t="s">
        <v>98</v>
      </c>
      <c r="O15" s="7" t="s">
        <v>43</v>
      </c>
      <c r="P15" s="7" t="s">
        <v>93</v>
      </c>
      <c r="Q15" s="7" t="s">
        <v>99</v>
      </c>
      <c r="R15" s="14">
        <v>2000.0</v>
      </c>
      <c r="S15" s="18">
        <f>FRESADO!$R15*FRESADO!$E15</f>
        <v>2000</v>
      </c>
      <c r="T15" s="18">
        <f>FRESADO!$S15*16%</f>
        <v>320</v>
      </c>
      <c r="U15" s="18">
        <f>FRESADO!$S15+FRESADO!$T15</f>
        <v>2320</v>
      </c>
      <c r="V15" s="19" t="s">
        <v>49</v>
      </c>
      <c r="W15" s="18"/>
      <c r="X15" s="16"/>
      <c r="Y15" s="25"/>
    </row>
    <row r="16" hidden="1">
      <c r="A16" s="7">
        <v>28.0</v>
      </c>
      <c r="B16" s="7">
        <v>7.0</v>
      </c>
      <c r="C16" s="23">
        <v>1353.0</v>
      </c>
      <c r="D16" s="24">
        <v>46213.0</v>
      </c>
      <c r="E16" s="7">
        <v>1.0</v>
      </c>
      <c r="F16" s="7" t="s">
        <v>34</v>
      </c>
      <c r="G16" s="7" t="s">
        <v>37</v>
      </c>
      <c r="H16" s="7">
        <v>14.0</v>
      </c>
      <c r="I16" s="7" t="s">
        <v>96</v>
      </c>
      <c r="J16" s="7" t="s">
        <v>40</v>
      </c>
      <c r="K16" s="11" t="s">
        <v>36</v>
      </c>
      <c r="L16" s="7"/>
      <c r="M16" s="7"/>
      <c r="N16" s="7" t="s">
        <v>126</v>
      </c>
      <c r="O16" s="7" t="s">
        <v>43</v>
      </c>
      <c r="P16" s="7" t="s">
        <v>93</v>
      </c>
      <c r="Q16" s="7" t="s">
        <v>127</v>
      </c>
      <c r="R16" s="28">
        <v>2855.0</v>
      </c>
      <c r="S16" s="18">
        <f>FRESADO!$R16*FRESADO!$E16</f>
        <v>2855</v>
      </c>
      <c r="T16" s="18">
        <f>FRESADO!$S16*16%</f>
        <v>456.8</v>
      </c>
      <c r="U16" s="18">
        <f>FRESADO!$S16+FRESADO!$T16</f>
        <v>3311.8</v>
      </c>
      <c r="V16" s="28" t="s">
        <v>49</v>
      </c>
      <c r="W16" s="18"/>
      <c r="X16" s="16"/>
      <c r="Y16" s="25"/>
    </row>
    <row r="17" hidden="1">
      <c r="A17" s="7">
        <v>28.0</v>
      </c>
      <c r="B17" s="7">
        <v>8.0</v>
      </c>
      <c r="C17" s="23">
        <v>1354.0</v>
      </c>
      <c r="D17" s="24">
        <v>46213.0</v>
      </c>
      <c r="E17" s="7">
        <v>1.0</v>
      </c>
      <c r="F17" s="7" t="s">
        <v>34</v>
      </c>
      <c r="G17" s="7" t="s">
        <v>103</v>
      </c>
      <c r="H17" s="7">
        <v>14.0</v>
      </c>
      <c r="I17" s="7" t="s">
        <v>96</v>
      </c>
      <c r="J17" s="7" t="s">
        <v>104</v>
      </c>
      <c r="K17" s="11" t="s">
        <v>36</v>
      </c>
      <c r="L17" s="7"/>
      <c r="M17" s="7"/>
      <c r="N17" s="7" t="s">
        <v>126</v>
      </c>
      <c r="O17" s="7" t="s">
        <v>43</v>
      </c>
      <c r="P17" s="7" t="s">
        <v>93</v>
      </c>
      <c r="Q17" s="7" t="s">
        <v>99</v>
      </c>
      <c r="R17" s="14">
        <v>2000.0</v>
      </c>
      <c r="S17" s="18">
        <f>FRESADO!$R17*FRESADO!$E17</f>
        <v>2000</v>
      </c>
      <c r="T17" s="18">
        <f>FRESADO!$S17*16%</f>
        <v>320</v>
      </c>
      <c r="U17" s="18">
        <f>FRESADO!$S17+FRESADO!$T17</f>
        <v>2320</v>
      </c>
      <c r="V17" s="19" t="s">
        <v>49</v>
      </c>
      <c r="W17" s="18"/>
      <c r="X17" s="16"/>
      <c r="Y17" s="25"/>
    </row>
    <row r="18" hidden="1">
      <c r="A18" s="7">
        <v>28.0</v>
      </c>
      <c r="B18" s="7">
        <v>9.0</v>
      </c>
      <c r="C18" s="23">
        <v>1355.0</v>
      </c>
      <c r="D18" s="24">
        <v>46213.0</v>
      </c>
      <c r="E18" s="7">
        <v>1.0</v>
      </c>
      <c r="F18" s="7" t="s">
        <v>34</v>
      </c>
      <c r="G18" s="7" t="s">
        <v>86</v>
      </c>
      <c r="H18" s="7">
        <v>14.0</v>
      </c>
      <c r="I18" s="7" t="s">
        <v>96</v>
      </c>
      <c r="J18" s="7" t="s">
        <v>87</v>
      </c>
      <c r="K18" s="11" t="s">
        <v>36</v>
      </c>
      <c r="L18" s="7"/>
      <c r="M18" s="7"/>
      <c r="N18" s="7" t="s">
        <v>126</v>
      </c>
      <c r="O18" s="7" t="s">
        <v>43</v>
      </c>
      <c r="P18" s="7" t="s">
        <v>93</v>
      </c>
      <c r="Q18" s="7" t="s">
        <v>99</v>
      </c>
      <c r="R18" s="14">
        <v>2000.0</v>
      </c>
      <c r="S18" s="18">
        <f>FRESADO!$R18*FRESADO!$E18</f>
        <v>2000</v>
      </c>
      <c r="T18" s="18">
        <f>FRESADO!$S18*16%</f>
        <v>320</v>
      </c>
      <c r="U18" s="18">
        <f>FRESADO!$S18+FRESADO!$T18</f>
        <v>2320</v>
      </c>
      <c r="V18" s="19" t="s">
        <v>49</v>
      </c>
      <c r="W18" s="18"/>
      <c r="X18" s="16"/>
      <c r="Y18" s="25"/>
    </row>
    <row r="19" hidden="1">
      <c r="A19" s="7">
        <v>28.0</v>
      </c>
      <c r="B19" s="7">
        <v>10.0</v>
      </c>
      <c r="C19" s="23">
        <v>1356.0</v>
      </c>
      <c r="D19" s="24">
        <v>46213.0</v>
      </c>
      <c r="E19" s="7">
        <v>1.0</v>
      </c>
      <c r="F19" s="7" t="s">
        <v>34</v>
      </c>
      <c r="G19" s="7" t="s">
        <v>83</v>
      </c>
      <c r="H19" s="7">
        <v>14.0</v>
      </c>
      <c r="I19" s="7" t="s">
        <v>96</v>
      </c>
      <c r="J19" s="7" t="s">
        <v>84</v>
      </c>
      <c r="K19" s="11" t="s">
        <v>36</v>
      </c>
      <c r="L19" s="7"/>
      <c r="M19" s="7"/>
      <c r="N19" s="7" t="s">
        <v>126</v>
      </c>
      <c r="O19" s="7" t="s">
        <v>43</v>
      </c>
      <c r="P19" s="7" t="s">
        <v>93</v>
      </c>
      <c r="Q19" s="7" t="s">
        <v>99</v>
      </c>
      <c r="R19" s="14">
        <v>2000.0</v>
      </c>
      <c r="S19" s="18">
        <f>FRESADO!$R19*FRESADO!$E19</f>
        <v>2000</v>
      </c>
      <c r="T19" s="18">
        <f>FRESADO!$S19*16%</f>
        <v>320</v>
      </c>
      <c r="U19" s="18">
        <f>FRESADO!$S19+FRESADO!$T19</f>
        <v>2320</v>
      </c>
      <c r="V19" s="19" t="s">
        <v>49</v>
      </c>
      <c r="W19" s="18"/>
      <c r="X19" s="16"/>
      <c r="Y19" s="25"/>
    </row>
    <row r="20" hidden="1">
      <c r="A20" s="7">
        <v>28.0</v>
      </c>
      <c r="B20" s="7">
        <v>11.0</v>
      </c>
      <c r="C20" s="23">
        <v>1357.0</v>
      </c>
      <c r="D20" s="24">
        <v>46213.0</v>
      </c>
      <c r="E20" s="7">
        <v>1.0</v>
      </c>
      <c r="F20" s="7" t="s">
        <v>146</v>
      </c>
      <c r="G20" s="7"/>
      <c r="H20" s="7">
        <v>0.0</v>
      </c>
      <c r="I20" s="7"/>
      <c r="J20" s="7"/>
      <c r="K20" s="11" t="s">
        <v>36</v>
      </c>
      <c r="L20" s="7"/>
      <c r="M20" s="7"/>
      <c r="N20" s="7"/>
      <c r="O20" s="7"/>
      <c r="P20" s="7"/>
      <c r="Q20" s="7" t="s">
        <v>146</v>
      </c>
      <c r="R20" s="28">
        <v>1000.0</v>
      </c>
      <c r="S20" s="18">
        <f>FRESADO!$R20*FRESADO!$E20</f>
        <v>1000</v>
      </c>
      <c r="T20" s="18">
        <f>FRESADO!$S20*16%</f>
        <v>160</v>
      </c>
      <c r="U20" s="18">
        <f>FRESADO!$S20+FRESADO!$T20</f>
        <v>1160</v>
      </c>
      <c r="V20" s="28" t="s">
        <v>49</v>
      </c>
      <c r="W20" s="18"/>
      <c r="X20" s="16"/>
      <c r="Y20" s="25"/>
    </row>
    <row r="21" ht="15.75" hidden="1" customHeight="1">
      <c r="A21" s="7">
        <v>28.0</v>
      </c>
      <c r="B21" s="7">
        <v>12.0</v>
      </c>
      <c r="C21" s="23">
        <v>1358.0</v>
      </c>
      <c r="D21" s="24">
        <v>46213.0</v>
      </c>
      <c r="E21" s="7">
        <v>1.0</v>
      </c>
      <c r="F21" s="7" t="s">
        <v>89</v>
      </c>
      <c r="G21" s="7" t="s">
        <v>153</v>
      </c>
      <c r="H21" s="27">
        <v>7.0</v>
      </c>
      <c r="I21" s="7" t="s">
        <v>96</v>
      </c>
      <c r="J21" s="7" t="s">
        <v>92</v>
      </c>
      <c r="K21" s="11" t="s">
        <v>36</v>
      </c>
      <c r="L21" s="7"/>
      <c r="M21" s="7"/>
      <c r="N21" s="7" t="s">
        <v>126</v>
      </c>
      <c r="O21" s="7" t="s">
        <v>43</v>
      </c>
      <c r="P21" s="7" t="s">
        <v>93</v>
      </c>
      <c r="Q21" s="7" t="s">
        <v>154</v>
      </c>
      <c r="R21" s="28">
        <v>3400.0</v>
      </c>
      <c r="S21" s="18">
        <f>FRESADO!$R21*FRESADO!$E21</f>
        <v>3400</v>
      </c>
      <c r="T21" s="18">
        <f>FRESADO!$S21*16%</f>
        <v>544</v>
      </c>
      <c r="U21" s="18">
        <f>FRESADO!$S21+FRESADO!$T21</f>
        <v>3944</v>
      </c>
      <c r="V21" s="28" t="s">
        <v>49</v>
      </c>
      <c r="W21" s="18"/>
      <c r="X21" s="16"/>
      <c r="Y21" s="25"/>
    </row>
    <row r="22" ht="15.75" hidden="1" customHeight="1">
      <c r="A22" s="35">
        <v>28.0</v>
      </c>
      <c r="B22" s="35">
        <v>13.0</v>
      </c>
      <c r="C22" s="23">
        <v>1359.0</v>
      </c>
      <c r="D22" s="37">
        <v>46213.0</v>
      </c>
      <c r="E22" s="35">
        <v>1.0</v>
      </c>
      <c r="F22" s="35" t="s">
        <v>159</v>
      </c>
      <c r="G22" s="35" t="s">
        <v>160</v>
      </c>
      <c r="H22" s="35">
        <v>10.0</v>
      </c>
      <c r="I22" s="35" t="s">
        <v>96</v>
      </c>
      <c r="J22" s="35" t="s">
        <v>161</v>
      </c>
      <c r="K22" s="11" t="s">
        <v>36</v>
      </c>
      <c r="L22" s="35"/>
      <c r="M22" s="35"/>
      <c r="N22" s="35" t="s">
        <v>98</v>
      </c>
      <c r="O22" s="35" t="s">
        <v>43</v>
      </c>
      <c r="P22" s="35" t="s">
        <v>93</v>
      </c>
      <c r="Q22" s="35"/>
      <c r="R22" s="40">
        <v>4700.0</v>
      </c>
      <c r="S22" s="41">
        <f>FRESADO!$R22*FRESADO!$E22</f>
        <v>4700</v>
      </c>
      <c r="T22" s="41">
        <f>FRESADO!$S22*16%</f>
        <v>752</v>
      </c>
      <c r="U22" s="41">
        <f>FRESADO!$S22+FRESADO!$T22</f>
        <v>5452</v>
      </c>
      <c r="V22" s="28" t="s">
        <v>113</v>
      </c>
      <c r="W22" s="41"/>
      <c r="X22" s="42"/>
      <c r="Y22" s="25"/>
      <c r="Z22" s="43"/>
    </row>
    <row r="23" ht="15.75" hidden="1" customHeight="1">
      <c r="A23" s="44">
        <v>28.0</v>
      </c>
      <c r="B23" s="44">
        <v>14.0</v>
      </c>
      <c r="C23" s="44">
        <v>1361.0</v>
      </c>
      <c r="D23" s="45">
        <v>46214.0</v>
      </c>
      <c r="E23" s="44">
        <v>1.0</v>
      </c>
      <c r="F23" s="44" t="s">
        <v>146</v>
      </c>
      <c r="G23" s="44"/>
      <c r="H23" s="44">
        <v>0.0</v>
      </c>
      <c r="I23" s="44"/>
      <c r="J23" s="44"/>
      <c r="K23" s="44"/>
      <c r="L23" s="44"/>
      <c r="M23" s="44"/>
      <c r="N23" s="44"/>
      <c r="O23" s="44"/>
      <c r="P23" s="44"/>
      <c r="Q23" s="44" t="s">
        <v>146</v>
      </c>
      <c r="R23" s="46"/>
      <c r="S23" s="46">
        <f>FRESADO!$R23*FRESADO!$E23</f>
        <v>0</v>
      </c>
      <c r="T23" s="46">
        <f>FRESADO!$S23*16%</f>
        <v>0</v>
      </c>
      <c r="U23" s="46">
        <f>FRESADO!$S23+FRESADO!$T23</f>
        <v>0</v>
      </c>
      <c r="V23" s="46"/>
      <c r="W23" s="46"/>
      <c r="X23" s="47"/>
      <c r="Y23" s="25"/>
      <c r="Z23" s="48"/>
    </row>
    <row r="24" ht="15.75" hidden="1" customHeight="1">
      <c r="A24" s="7">
        <v>28.0</v>
      </c>
      <c r="B24" s="7">
        <v>15.0</v>
      </c>
      <c r="C24" s="23">
        <v>1362.0</v>
      </c>
      <c r="D24" s="24">
        <v>46214.0</v>
      </c>
      <c r="E24" s="7">
        <v>1.0</v>
      </c>
      <c r="F24" s="7" t="s">
        <v>146</v>
      </c>
      <c r="G24" s="7"/>
      <c r="H24" s="7">
        <v>0.0</v>
      </c>
      <c r="I24" s="7"/>
      <c r="J24" s="7"/>
      <c r="K24" s="11" t="s">
        <v>36</v>
      </c>
      <c r="L24" s="7"/>
      <c r="M24" s="7"/>
      <c r="N24" s="7"/>
      <c r="O24" s="7"/>
      <c r="P24" s="7"/>
      <c r="Q24" s="7" t="s">
        <v>146</v>
      </c>
      <c r="R24" s="28">
        <v>1000.0</v>
      </c>
      <c r="S24" s="18">
        <f>FRESADO!$R24*FRESADO!$E24</f>
        <v>1000</v>
      </c>
      <c r="T24" s="18">
        <f>FRESADO!$S24*16%</f>
        <v>160</v>
      </c>
      <c r="U24" s="18">
        <f>FRESADO!$S24+FRESADO!$T24</f>
        <v>1160</v>
      </c>
      <c r="V24" s="28" t="s">
        <v>49</v>
      </c>
      <c r="W24" s="18"/>
      <c r="X24" s="16"/>
      <c r="Y24" s="25"/>
    </row>
    <row r="25" ht="15.75" hidden="1" customHeight="1">
      <c r="A25" s="7">
        <v>28.0</v>
      </c>
      <c r="B25" s="7">
        <v>16.0</v>
      </c>
      <c r="C25" s="23">
        <v>1363.0</v>
      </c>
      <c r="D25" s="24">
        <v>46214.0</v>
      </c>
      <c r="E25" s="7">
        <v>1.0</v>
      </c>
      <c r="F25" s="7" t="s">
        <v>146</v>
      </c>
      <c r="G25" s="7"/>
      <c r="H25" s="7">
        <v>0.0</v>
      </c>
      <c r="I25" s="7"/>
      <c r="J25" s="7"/>
      <c r="K25" s="11" t="s">
        <v>36</v>
      </c>
      <c r="L25" s="7"/>
      <c r="M25" s="7"/>
      <c r="N25" s="7"/>
      <c r="O25" s="7"/>
      <c r="P25" s="7"/>
      <c r="Q25" s="7" t="s">
        <v>146</v>
      </c>
      <c r="R25" s="28">
        <v>1000.0</v>
      </c>
      <c r="S25" s="18">
        <f>FRESADO!$R25*FRESADO!$E25</f>
        <v>1000</v>
      </c>
      <c r="T25" s="18">
        <f>FRESADO!$S25*16%</f>
        <v>160</v>
      </c>
      <c r="U25" s="18">
        <f>FRESADO!$S25+FRESADO!$T25</f>
        <v>1160</v>
      </c>
      <c r="V25" s="28" t="s">
        <v>49</v>
      </c>
      <c r="W25" s="18"/>
      <c r="X25" s="16"/>
      <c r="Y25" s="25"/>
    </row>
    <row r="26" ht="15.75" hidden="1" customHeight="1">
      <c r="A26" s="7">
        <v>28.0</v>
      </c>
      <c r="B26" s="7">
        <v>17.0</v>
      </c>
      <c r="C26" s="23">
        <v>1360.0</v>
      </c>
      <c r="D26" s="24">
        <v>46214.0</v>
      </c>
      <c r="E26" s="7">
        <v>1.0</v>
      </c>
      <c r="F26" s="7" t="s">
        <v>89</v>
      </c>
      <c r="G26" s="7" t="s">
        <v>177</v>
      </c>
      <c r="H26" s="27">
        <v>7.0</v>
      </c>
      <c r="I26" s="7" t="s">
        <v>96</v>
      </c>
      <c r="J26" s="7" t="s">
        <v>178</v>
      </c>
      <c r="K26" s="11" t="s">
        <v>36</v>
      </c>
      <c r="L26" s="7"/>
      <c r="M26" s="7"/>
      <c r="N26" s="7" t="s">
        <v>126</v>
      </c>
      <c r="O26" s="7" t="s">
        <v>43</v>
      </c>
      <c r="P26" s="7" t="s">
        <v>93</v>
      </c>
      <c r="Q26" s="7" t="s">
        <v>154</v>
      </c>
      <c r="R26" s="28">
        <v>3200.0</v>
      </c>
      <c r="S26" s="18">
        <f>FRESADO!$R26*FRESADO!$E26</f>
        <v>3200</v>
      </c>
      <c r="T26" s="18">
        <f>FRESADO!$S26*16%</f>
        <v>512</v>
      </c>
      <c r="U26" s="18">
        <f>FRESADO!$S26+FRESADO!$T26</f>
        <v>3712</v>
      </c>
      <c r="V26" s="28" t="s">
        <v>49</v>
      </c>
      <c r="W26" s="18"/>
      <c r="X26" s="16"/>
      <c r="Y26" s="25"/>
    </row>
    <row r="27" ht="15.75" hidden="1" customHeight="1">
      <c r="A27" s="7">
        <v>28.0</v>
      </c>
      <c r="B27" s="7">
        <v>18.0</v>
      </c>
      <c r="C27" s="23">
        <v>1365.0</v>
      </c>
      <c r="D27" s="24">
        <v>46214.0</v>
      </c>
      <c r="E27" s="7">
        <v>1.0</v>
      </c>
      <c r="F27" s="7" t="s">
        <v>89</v>
      </c>
      <c r="G27" s="7" t="s">
        <v>181</v>
      </c>
      <c r="H27" s="27">
        <v>7.0</v>
      </c>
      <c r="I27" s="7" t="s">
        <v>96</v>
      </c>
      <c r="J27" s="7" t="s">
        <v>182</v>
      </c>
      <c r="K27" s="11" t="s">
        <v>36</v>
      </c>
      <c r="L27" s="7"/>
      <c r="M27" s="7"/>
      <c r="N27" s="7" t="s">
        <v>126</v>
      </c>
      <c r="O27" s="7" t="s">
        <v>43</v>
      </c>
      <c r="P27" s="7" t="s">
        <v>93</v>
      </c>
      <c r="Q27" s="7" t="s">
        <v>154</v>
      </c>
      <c r="R27" s="28">
        <v>3200.0</v>
      </c>
      <c r="S27" s="18">
        <f>FRESADO!$R27*FRESADO!$E27</f>
        <v>3200</v>
      </c>
      <c r="T27" s="18">
        <f>FRESADO!$S27*16%</f>
        <v>512</v>
      </c>
      <c r="U27" s="18">
        <f>FRESADO!$S27+FRESADO!$T27</f>
        <v>3712</v>
      </c>
      <c r="V27" s="28" t="s">
        <v>49</v>
      </c>
      <c r="W27" s="18"/>
      <c r="X27" s="16"/>
      <c r="Y27" s="25"/>
    </row>
    <row r="28" ht="15.75" hidden="1" customHeight="1">
      <c r="A28" s="35">
        <v>28.0</v>
      </c>
      <c r="B28" s="35">
        <v>19.0</v>
      </c>
      <c r="C28" s="23">
        <v>1364.0</v>
      </c>
      <c r="D28" s="37">
        <v>46214.0</v>
      </c>
      <c r="E28" s="35">
        <v>1.0</v>
      </c>
      <c r="F28" s="35" t="s">
        <v>159</v>
      </c>
      <c r="G28" s="35" t="s">
        <v>186</v>
      </c>
      <c r="H28" s="35">
        <v>0.0</v>
      </c>
      <c r="I28" s="35" t="s">
        <v>96</v>
      </c>
      <c r="J28" s="35" t="s">
        <v>187</v>
      </c>
      <c r="K28" s="11" t="s">
        <v>36</v>
      </c>
      <c r="L28" s="35"/>
      <c r="M28" s="35"/>
      <c r="N28" s="35" t="s">
        <v>98</v>
      </c>
      <c r="O28" s="35" t="s">
        <v>43</v>
      </c>
      <c r="P28" s="35" t="s">
        <v>93</v>
      </c>
      <c r="Q28" s="35"/>
      <c r="R28" s="40">
        <v>4500.0</v>
      </c>
      <c r="S28" s="41">
        <f>FRESADO!$R28*FRESADO!$E28</f>
        <v>4500</v>
      </c>
      <c r="T28" s="41">
        <f>FRESADO!$S28*16%</f>
        <v>720</v>
      </c>
      <c r="U28" s="41">
        <f>FRESADO!$S28+FRESADO!$T28</f>
        <v>5220</v>
      </c>
      <c r="V28" s="28" t="s">
        <v>113</v>
      </c>
      <c r="W28" s="41"/>
      <c r="X28" s="42"/>
      <c r="Y28" s="25"/>
      <c r="Z28" s="43"/>
    </row>
    <row r="29" ht="15.75" hidden="1" customHeight="1">
      <c r="A29" s="27">
        <v>29.0</v>
      </c>
      <c r="B29" s="7">
        <v>20.0</v>
      </c>
      <c r="C29" s="49">
        <v>1366.0</v>
      </c>
      <c r="D29" s="50">
        <v>46216.0</v>
      </c>
      <c r="E29" s="51">
        <v>1.0</v>
      </c>
      <c r="F29" s="51" t="s">
        <v>34</v>
      </c>
      <c r="G29" s="51" t="s">
        <v>177</v>
      </c>
      <c r="H29" s="51">
        <v>7.0</v>
      </c>
      <c r="I29" s="51" t="s">
        <v>96</v>
      </c>
      <c r="J29" s="51" t="s">
        <v>190</v>
      </c>
      <c r="K29" s="11" t="s">
        <v>36</v>
      </c>
      <c r="L29" s="35"/>
      <c r="M29" s="35"/>
      <c r="N29" s="51" t="s">
        <v>126</v>
      </c>
      <c r="O29" s="52" t="s">
        <v>43</v>
      </c>
      <c r="P29" s="51" t="s">
        <v>45</v>
      </c>
      <c r="Q29" s="51" t="s">
        <v>193</v>
      </c>
      <c r="R29" s="28">
        <v>1000.0</v>
      </c>
      <c r="S29" s="18">
        <f>FRESADO!$R29*FRESADO!$E29</f>
        <v>1000</v>
      </c>
      <c r="T29" s="18">
        <f>FRESADO!$S29*16%</f>
        <v>160</v>
      </c>
      <c r="U29" s="18">
        <f>FRESADO!$S29+FRESADO!$T29</f>
        <v>1160</v>
      </c>
      <c r="V29" s="28" t="s">
        <v>113</v>
      </c>
      <c r="W29" s="18"/>
      <c r="X29" s="16"/>
      <c r="Y29" s="25"/>
    </row>
    <row r="30" ht="15.75" hidden="1" customHeight="1">
      <c r="A30" s="27">
        <v>29.0</v>
      </c>
      <c r="B30" s="7">
        <v>21.0</v>
      </c>
      <c r="C30" s="49">
        <v>1367.0</v>
      </c>
      <c r="D30" s="50">
        <v>46216.0</v>
      </c>
      <c r="E30" s="51">
        <v>1.0</v>
      </c>
      <c r="F30" s="51" t="s">
        <v>34</v>
      </c>
      <c r="G30" s="51" t="s">
        <v>196</v>
      </c>
      <c r="H30" s="51">
        <v>14.0</v>
      </c>
      <c r="I30" s="51" t="s">
        <v>96</v>
      </c>
      <c r="J30" s="51" t="s">
        <v>197</v>
      </c>
      <c r="K30" s="11" t="s">
        <v>36</v>
      </c>
      <c r="L30" s="35"/>
      <c r="M30" s="35"/>
      <c r="N30" s="51" t="s">
        <v>126</v>
      </c>
      <c r="O30" s="52" t="s">
        <v>43</v>
      </c>
      <c r="P30" s="51" t="s">
        <v>45</v>
      </c>
      <c r="Q30" s="51" t="s">
        <v>127</v>
      </c>
      <c r="R30" s="28">
        <v>2855.0</v>
      </c>
      <c r="S30" s="18">
        <f>FRESADO!$R30*FRESADO!$E30</f>
        <v>2855</v>
      </c>
      <c r="T30" s="18">
        <f>FRESADO!$S30*16%</f>
        <v>456.8</v>
      </c>
      <c r="U30" s="18">
        <f>FRESADO!$S30+FRESADO!$T30</f>
        <v>3311.8</v>
      </c>
      <c r="V30" s="28" t="s">
        <v>113</v>
      </c>
      <c r="W30" s="18"/>
      <c r="X30" s="16"/>
      <c r="Y30" s="25"/>
    </row>
    <row r="31" ht="15.75" hidden="1" customHeight="1">
      <c r="A31" s="27">
        <v>29.0</v>
      </c>
      <c r="B31" s="7">
        <v>22.0</v>
      </c>
      <c r="C31" s="49">
        <v>1368.0</v>
      </c>
      <c r="D31" s="50">
        <v>46216.0</v>
      </c>
      <c r="E31" s="51">
        <v>1.0</v>
      </c>
      <c r="F31" s="51" t="s">
        <v>34</v>
      </c>
      <c r="G31" s="51" t="s">
        <v>200</v>
      </c>
      <c r="H31" s="51">
        <v>14.0</v>
      </c>
      <c r="I31" s="51" t="s">
        <v>96</v>
      </c>
      <c r="J31" s="51" t="s">
        <v>201</v>
      </c>
      <c r="K31" s="11" t="s">
        <v>36</v>
      </c>
      <c r="L31" s="35"/>
      <c r="M31" s="35"/>
      <c r="N31" s="51" t="s">
        <v>126</v>
      </c>
      <c r="O31" s="52" t="s">
        <v>43</v>
      </c>
      <c r="P31" s="51" t="s">
        <v>45</v>
      </c>
      <c r="Q31" s="51" t="s">
        <v>127</v>
      </c>
      <c r="R31" s="28">
        <v>2855.0</v>
      </c>
      <c r="S31" s="18">
        <f>FRESADO!$R31*FRESADO!$E31</f>
        <v>2855</v>
      </c>
      <c r="T31" s="18">
        <f>FRESADO!$S31*16%</f>
        <v>456.8</v>
      </c>
      <c r="U31" s="18">
        <f>FRESADO!$S31+FRESADO!$T31</f>
        <v>3311.8</v>
      </c>
      <c r="V31" s="28" t="s">
        <v>113</v>
      </c>
      <c r="W31" s="18"/>
      <c r="X31" s="16"/>
      <c r="Y31" s="25"/>
    </row>
    <row r="32" ht="15.75" customHeight="1">
      <c r="A32" s="27">
        <v>29.0</v>
      </c>
      <c r="B32" s="7">
        <v>23.0</v>
      </c>
      <c r="C32" s="49">
        <v>1369.0</v>
      </c>
      <c r="D32" s="50">
        <v>46216.0</v>
      </c>
      <c r="E32" s="51">
        <v>1.0</v>
      </c>
      <c r="F32" s="51" t="s">
        <v>34</v>
      </c>
      <c r="G32" s="51" t="s">
        <v>108</v>
      </c>
      <c r="H32" s="51">
        <v>14.0</v>
      </c>
      <c r="I32" s="51" t="s">
        <v>96</v>
      </c>
      <c r="J32" s="51" t="s">
        <v>54</v>
      </c>
      <c r="K32" s="11" t="s">
        <v>36</v>
      </c>
      <c r="L32" s="35"/>
      <c r="M32" s="35"/>
      <c r="N32" s="51" t="s">
        <v>126</v>
      </c>
      <c r="O32" s="52" t="s">
        <v>43</v>
      </c>
      <c r="P32" s="51" t="s">
        <v>45</v>
      </c>
      <c r="Q32" s="51" t="s">
        <v>207</v>
      </c>
      <c r="R32" s="14">
        <v>2000.0</v>
      </c>
      <c r="S32" s="18">
        <f>FRESADO!$R32*FRESADO!$E32</f>
        <v>2000</v>
      </c>
      <c r="T32" s="18">
        <f>FRESADO!$S32*16%</f>
        <v>320</v>
      </c>
      <c r="U32" s="18">
        <f>FRESADO!$S32+FRESADO!$T32</f>
        <v>2320</v>
      </c>
      <c r="V32" s="19" t="s">
        <v>49</v>
      </c>
      <c r="W32" s="18"/>
      <c r="X32" s="16"/>
      <c r="Y32" s="25"/>
    </row>
    <row r="33" ht="15.75" hidden="1" customHeight="1">
      <c r="A33" s="27">
        <v>29.0</v>
      </c>
      <c r="B33" s="7">
        <v>24.0</v>
      </c>
      <c r="C33" s="38">
        <v>1370.0</v>
      </c>
      <c r="D33" s="50">
        <v>46216.0</v>
      </c>
      <c r="E33" s="51">
        <v>1.0</v>
      </c>
      <c r="F33" s="51" t="s">
        <v>34</v>
      </c>
      <c r="G33" s="51" t="s">
        <v>210</v>
      </c>
      <c r="H33" s="51">
        <v>14.0</v>
      </c>
      <c r="I33" s="51" t="s">
        <v>96</v>
      </c>
      <c r="J33" s="51" t="s">
        <v>57</v>
      </c>
      <c r="K33" s="11" t="s">
        <v>36</v>
      </c>
      <c r="L33" s="35"/>
      <c r="M33" s="35"/>
      <c r="N33" s="51" t="s">
        <v>126</v>
      </c>
      <c r="O33" s="52" t="s">
        <v>43</v>
      </c>
      <c r="P33" s="51" t="s">
        <v>45</v>
      </c>
      <c r="Q33" s="51" t="s">
        <v>207</v>
      </c>
      <c r="R33" s="28">
        <v>2000.0</v>
      </c>
      <c r="S33" s="18">
        <f>FRESADO!$R33*FRESADO!$E33</f>
        <v>2000</v>
      </c>
      <c r="T33" s="18">
        <f>FRESADO!$S33*16%</f>
        <v>320</v>
      </c>
      <c r="U33" s="18">
        <f>FRESADO!$S33+FRESADO!$T33</f>
        <v>2320</v>
      </c>
      <c r="V33" s="28" t="s">
        <v>113</v>
      </c>
      <c r="W33" s="18"/>
      <c r="X33" s="16"/>
      <c r="Y33" s="25"/>
    </row>
    <row r="34" ht="15.75" hidden="1" customHeight="1">
      <c r="A34" s="27">
        <v>29.0</v>
      </c>
      <c r="B34" s="7">
        <v>25.0</v>
      </c>
      <c r="C34" s="38">
        <v>1371.0</v>
      </c>
      <c r="D34" s="50">
        <v>46216.0</v>
      </c>
      <c r="E34" s="51">
        <v>1.0</v>
      </c>
      <c r="F34" s="53" t="s">
        <v>34</v>
      </c>
      <c r="G34" s="51" t="s">
        <v>59</v>
      </c>
      <c r="H34" s="51">
        <v>14.0</v>
      </c>
      <c r="I34" s="51" t="s">
        <v>96</v>
      </c>
      <c r="J34" s="51" t="s">
        <v>60</v>
      </c>
      <c r="K34" s="11" t="s">
        <v>36</v>
      </c>
      <c r="L34" s="35"/>
      <c r="M34" s="35"/>
      <c r="N34" s="51" t="s">
        <v>126</v>
      </c>
      <c r="O34" s="52" t="s">
        <v>43</v>
      </c>
      <c r="P34" s="51" t="s">
        <v>45</v>
      </c>
      <c r="Q34" s="51" t="s">
        <v>207</v>
      </c>
      <c r="R34" s="28">
        <v>2000.0</v>
      </c>
      <c r="S34" s="18">
        <f>FRESADO!$R34*FRESADO!$E34</f>
        <v>2000</v>
      </c>
      <c r="T34" s="18">
        <f>FRESADO!$S34*16%</f>
        <v>320</v>
      </c>
      <c r="U34" s="18">
        <f>FRESADO!$S34+FRESADO!$T34</f>
        <v>2320</v>
      </c>
      <c r="V34" s="28" t="s">
        <v>113</v>
      </c>
      <c r="W34" s="18"/>
      <c r="X34" s="16"/>
      <c r="Y34" s="25"/>
    </row>
    <row r="35" ht="15.75" hidden="1" customHeight="1">
      <c r="A35" s="27">
        <v>29.0</v>
      </c>
      <c r="B35" s="7">
        <v>26.0</v>
      </c>
      <c r="C35" s="38">
        <v>1372.0</v>
      </c>
      <c r="D35" s="50">
        <v>46216.0</v>
      </c>
      <c r="E35" s="51">
        <v>1.0</v>
      </c>
      <c r="F35" s="53" t="s">
        <v>34</v>
      </c>
      <c r="G35" s="51" t="s">
        <v>83</v>
      </c>
      <c r="H35" s="51">
        <v>14.0</v>
      </c>
      <c r="I35" s="51" t="s">
        <v>96</v>
      </c>
      <c r="J35" s="51" t="s">
        <v>84</v>
      </c>
      <c r="K35" s="11" t="s">
        <v>36</v>
      </c>
      <c r="L35" s="35"/>
      <c r="M35" s="35"/>
      <c r="N35" s="51" t="s">
        <v>126</v>
      </c>
      <c r="O35" s="52" t="s">
        <v>43</v>
      </c>
      <c r="P35" s="51" t="s">
        <v>45</v>
      </c>
      <c r="Q35" s="51" t="s">
        <v>207</v>
      </c>
      <c r="R35" s="28">
        <v>2000.0</v>
      </c>
      <c r="S35" s="18">
        <f>FRESADO!$R35*FRESADO!$E35</f>
        <v>2000</v>
      </c>
      <c r="T35" s="18">
        <f>FRESADO!$S35*16%</f>
        <v>320</v>
      </c>
      <c r="U35" s="18">
        <f>FRESADO!$S35+FRESADO!$T35</f>
        <v>2320</v>
      </c>
      <c r="V35" s="28" t="s">
        <v>113</v>
      </c>
      <c r="W35" s="18"/>
      <c r="X35" s="16"/>
      <c r="Y35" s="25"/>
    </row>
    <row r="36" ht="15.75" hidden="1" customHeight="1">
      <c r="A36" s="27">
        <v>29.0</v>
      </c>
      <c r="B36" s="7">
        <v>27.0</v>
      </c>
      <c r="C36" s="38">
        <v>1373.0</v>
      </c>
      <c r="D36" s="50">
        <v>46216.0</v>
      </c>
      <c r="E36" s="51">
        <v>1.0</v>
      </c>
      <c r="F36" s="53" t="s">
        <v>34</v>
      </c>
      <c r="G36" s="51" t="s">
        <v>177</v>
      </c>
      <c r="H36" s="51">
        <v>7.0</v>
      </c>
      <c r="I36" s="51" t="s">
        <v>96</v>
      </c>
      <c r="J36" s="51" t="s">
        <v>190</v>
      </c>
      <c r="K36" s="11" t="s">
        <v>36</v>
      </c>
      <c r="L36" s="35"/>
      <c r="M36" s="35"/>
      <c r="N36" s="51" t="s">
        <v>126</v>
      </c>
      <c r="O36" s="52" t="s">
        <v>43</v>
      </c>
      <c r="P36" s="51" t="s">
        <v>45</v>
      </c>
      <c r="Q36" s="51" t="s">
        <v>207</v>
      </c>
      <c r="R36" s="28">
        <v>1000.0</v>
      </c>
      <c r="S36" s="18">
        <f>FRESADO!$R36*FRESADO!$E36</f>
        <v>1000</v>
      </c>
      <c r="T36" s="18">
        <f>FRESADO!$S36*16%</f>
        <v>160</v>
      </c>
      <c r="U36" s="18">
        <f>FRESADO!$S36+FRESADO!$T36</f>
        <v>1160</v>
      </c>
      <c r="V36" s="28" t="s">
        <v>113</v>
      </c>
      <c r="W36" s="18"/>
      <c r="X36" s="16"/>
      <c r="Y36" s="25"/>
    </row>
    <row r="37" ht="15.75" hidden="1" customHeight="1">
      <c r="A37" s="27">
        <v>29.0</v>
      </c>
      <c r="B37" s="7">
        <v>28.0</v>
      </c>
      <c r="C37" s="38">
        <v>1374.0</v>
      </c>
      <c r="D37" s="50">
        <v>46216.0</v>
      </c>
      <c r="E37" s="53">
        <v>1.0</v>
      </c>
      <c r="F37" s="53" t="s">
        <v>34</v>
      </c>
      <c r="G37" s="51" t="s">
        <v>77</v>
      </c>
      <c r="H37" s="51">
        <v>14.0</v>
      </c>
      <c r="I37" s="51" t="s">
        <v>96</v>
      </c>
      <c r="J37" s="51" t="s">
        <v>78</v>
      </c>
      <c r="K37" s="11" t="s">
        <v>36</v>
      </c>
      <c r="L37" s="35"/>
      <c r="M37" s="35"/>
      <c r="N37" s="51" t="s">
        <v>126</v>
      </c>
      <c r="O37" s="52" t="s">
        <v>43</v>
      </c>
      <c r="P37" s="51" t="s">
        <v>45</v>
      </c>
      <c r="Q37" s="51" t="s">
        <v>207</v>
      </c>
      <c r="R37" s="28">
        <v>2000.0</v>
      </c>
      <c r="S37" s="18">
        <f>FRESADO!$R37*FRESADO!$E37</f>
        <v>2000</v>
      </c>
      <c r="T37" s="18">
        <f>FRESADO!$S37*16%</f>
        <v>320</v>
      </c>
      <c r="U37" s="18">
        <f>FRESADO!$S37+FRESADO!$T37</f>
        <v>2320</v>
      </c>
      <c r="V37" s="28" t="s">
        <v>113</v>
      </c>
      <c r="W37" s="18"/>
      <c r="X37" s="16"/>
      <c r="Y37" s="25"/>
    </row>
    <row r="38" ht="15.75" hidden="1" customHeight="1">
      <c r="A38" s="27">
        <v>29.0</v>
      </c>
      <c r="B38" s="7">
        <v>29.0</v>
      </c>
      <c r="C38" s="49">
        <v>1375.0</v>
      </c>
      <c r="D38" s="50">
        <v>46216.0</v>
      </c>
      <c r="E38" s="51">
        <v>1.0</v>
      </c>
      <c r="F38" s="51" t="s">
        <v>34</v>
      </c>
      <c r="G38" s="51" t="s">
        <v>196</v>
      </c>
      <c r="H38" s="51">
        <v>14.0</v>
      </c>
      <c r="I38" s="51" t="s">
        <v>96</v>
      </c>
      <c r="J38" s="51" t="s">
        <v>197</v>
      </c>
      <c r="K38" s="11" t="s">
        <v>36</v>
      </c>
      <c r="L38" s="35"/>
      <c r="M38" s="35"/>
      <c r="N38" s="51" t="s">
        <v>126</v>
      </c>
      <c r="O38" s="52" t="s">
        <v>43</v>
      </c>
      <c r="P38" s="51" t="s">
        <v>45</v>
      </c>
      <c r="Q38" s="51" t="s">
        <v>127</v>
      </c>
      <c r="R38" s="28">
        <v>2855.0</v>
      </c>
      <c r="S38" s="18">
        <f>FRESADO!$R38*FRESADO!$E38</f>
        <v>2855</v>
      </c>
      <c r="T38" s="18">
        <f>FRESADO!$S38*16%</f>
        <v>456.8</v>
      </c>
      <c r="U38" s="18">
        <f>FRESADO!$S38+FRESADO!$T38</f>
        <v>3311.8</v>
      </c>
      <c r="V38" s="28" t="s">
        <v>113</v>
      </c>
      <c r="W38" s="18"/>
      <c r="X38" s="16"/>
      <c r="Y38" s="25"/>
    </row>
    <row r="39" ht="15.75" hidden="1" customHeight="1">
      <c r="A39" s="27">
        <v>29.0</v>
      </c>
      <c r="B39" s="7">
        <v>30.0</v>
      </c>
      <c r="C39" s="49">
        <v>1376.0</v>
      </c>
      <c r="D39" s="50">
        <v>46216.0</v>
      </c>
      <c r="E39" s="51">
        <v>1.0</v>
      </c>
      <c r="F39" s="51" t="s">
        <v>34</v>
      </c>
      <c r="G39" s="51" t="s">
        <v>200</v>
      </c>
      <c r="H39" s="51">
        <v>14.0</v>
      </c>
      <c r="I39" s="51" t="s">
        <v>96</v>
      </c>
      <c r="J39" s="51" t="s">
        <v>201</v>
      </c>
      <c r="K39" s="11" t="s">
        <v>36</v>
      </c>
      <c r="L39" s="35"/>
      <c r="M39" s="35"/>
      <c r="N39" s="51" t="s">
        <v>126</v>
      </c>
      <c r="O39" s="52" t="s">
        <v>43</v>
      </c>
      <c r="P39" s="51" t="s">
        <v>45</v>
      </c>
      <c r="Q39" s="51" t="s">
        <v>127</v>
      </c>
      <c r="R39" s="28">
        <v>2855.0</v>
      </c>
      <c r="S39" s="18">
        <f>FRESADO!$R39*FRESADO!$E39</f>
        <v>2855</v>
      </c>
      <c r="T39" s="18">
        <f>FRESADO!$S39*16%</f>
        <v>456.8</v>
      </c>
      <c r="U39" s="18">
        <f>FRESADO!$S39+FRESADO!$T39</f>
        <v>3311.8</v>
      </c>
      <c r="V39" s="28" t="s">
        <v>113</v>
      </c>
      <c r="W39" s="18"/>
      <c r="X39" s="16"/>
      <c r="Y39" s="25"/>
    </row>
    <row r="40" ht="15.75" customHeight="1">
      <c r="A40" s="27">
        <v>29.0</v>
      </c>
      <c r="B40" s="7">
        <v>31.0</v>
      </c>
      <c r="C40" s="49">
        <v>1377.0</v>
      </c>
      <c r="D40" s="50">
        <v>46216.0</v>
      </c>
      <c r="E40" s="51">
        <v>1.0</v>
      </c>
      <c r="F40" s="51" t="s">
        <v>34</v>
      </c>
      <c r="G40" s="51" t="s">
        <v>108</v>
      </c>
      <c r="H40" s="51">
        <v>14.0</v>
      </c>
      <c r="I40" s="51" t="s">
        <v>96</v>
      </c>
      <c r="J40" s="51" t="s">
        <v>54</v>
      </c>
      <c r="K40" s="11" t="s">
        <v>36</v>
      </c>
      <c r="L40" s="35"/>
      <c r="M40" s="35"/>
      <c r="N40" s="51" t="s">
        <v>126</v>
      </c>
      <c r="O40" s="52" t="s">
        <v>43</v>
      </c>
      <c r="P40" s="51" t="s">
        <v>45</v>
      </c>
      <c r="Q40" s="51" t="s">
        <v>207</v>
      </c>
      <c r="R40" s="14">
        <v>2000.0</v>
      </c>
      <c r="S40" s="18">
        <f>FRESADO!$R40*FRESADO!$E40</f>
        <v>2000</v>
      </c>
      <c r="T40" s="18">
        <f>FRESADO!$S40*16%</f>
        <v>320</v>
      </c>
      <c r="U40" s="18">
        <f>FRESADO!$S40+FRESADO!$T40</f>
        <v>2320</v>
      </c>
      <c r="V40" s="19" t="s">
        <v>49</v>
      </c>
      <c r="W40" s="18"/>
      <c r="X40" s="16"/>
      <c r="Y40" s="25"/>
    </row>
    <row r="41" ht="15.75" hidden="1" customHeight="1">
      <c r="A41" s="27">
        <v>29.0</v>
      </c>
      <c r="B41" s="7">
        <v>32.0</v>
      </c>
      <c r="C41" s="49">
        <v>1378.0</v>
      </c>
      <c r="D41" s="50">
        <v>46216.0</v>
      </c>
      <c r="E41" s="51">
        <v>1.0</v>
      </c>
      <c r="F41" s="51" t="s">
        <v>34</v>
      </c>
      <c r="G41" s="51" t="s">
        <v>210</v>
      </c>
      <c r="H41" s="51">
        <v>14.0</v>
      </c>
      <c r="I41" s="51" t="s">
        <v>96</v>
      </c>
      <c r="J41" s="51" t="s">
        <v>57</v>
      </c>
      <c r="K41" s="11" t="s">
        <v>36</v>
      </c>
      <c r="L41" s="35"/>
      <c r="M41" s="35"/>
      <c r="N41" s="51" t="s">
        <v>126</v>
      </c>
      <c r="O41" s="52" t="s">
        <v>43</v>
      </c>
      <c r="P41" s="51" t="s">
        <v>45</v>
      </c>
      <c r="Q41" s="51" t="s">
        <v>207</v>
      </c>
      <c r="R41" s="28">
        <v>2000.0</v>
      </c>
      <c r="S41" s="18">
        <f>FRESADO!$R41*FRESADO!$E41</f>
        <v>2000</v>
      </c>
      <c r="T41" s="18">
        <f>FRESADO!$S41*16%</f>
        <v>320</v>
      </c>
      <c r="U41" s="18">
        <f>FRESADO!$S41+FRESADO!$T41</f>
        <v>2320</v>
      </c>
      <c r="V41" s="28" t="s">
        <v>113</v>
      </c>
      <c r="W41" s="18"/>
      <c r="X41" s="16"/>
      <c r="Y41" s="25"/>
    </row>
    <row r="42" ht="15.75" hidden="1" customHeight="1">
      <c r="A42" s="27">
        <v>29.0</v>
      </c>
      <c r="B42" s="7">
        <v>33.0</v>
      </c>
      <c r="C42" s="49">
        <v>1379.0</v>
      </c>
      <c r="D42" s="50">
        <v>46216.0</v>
      </c>
      <c r="E42" s="51">
        <v>1.0</v>
      </c>
      <c r="F42" s="51" t="s">
        <v>34</v>
      </c>
      <c r="G42" s="51" t="s">
        <v>59</v>
      </c>
      <c r="H42" s="51">
        <v>14.0</v>
      </c>
      <c r="I42" s="51" t="s">
        <v>96</v>
      </c>
      <c r="J42" s="51" t="s">
        <v>60</v>
      </c>
      <c r="K42" s="11" t="s">
        <v>36</v>
      </c>
      <c r="L42" s="35"/>
      <c r="M42" s="35"/>
      <c r="N42" s="51" t="s">
        <v>126</v>
      </c>
      <c r="O42" s="52" t="s">
        <v>43</v>
      </c>
      <c r="P42" s="51" t="s">
        <v>45</v>
      </c>
      <c r="Q42" s="51" t="s">
        <v>207</v>
      </c>
      <c r="R42" s="28">
        <v>2000.0</v>
      </c>
      <c r="S42" s="18">
        <f>FRESADO!$R42*FRESADO!$E42</f>
        <v>2000</v>
      </c>
      <c r="T42" s="18">
        <f>FRESADO!$S42*16%</f>
        <v>320</v>
      </c>
      <c r="U42" s="18">
        <f>FRESADO!$S42+FRESADO!$T42</f>
        <v>2320</v>
      </c>
      <c r="V42" s="28" t="s">
        <v>113</v>
      </c>
      <c r="W42" s="18"/>
      <c r="X42" s="16"/>
      <c r="Y42" s="57"/>
      <c r="Z42" s="57"/>
    </row>
    <row r="43" ht="15.75" hidden="1" customHeight="1">
      <c r="A43" s="27">
        <v>29.0</v>
      </c>
      <c r="B43" s="7">
        <v>34.0</v>
      </c>
      <c r="C43" s="49">
        <v>1380.0</v>
      </c>
      <c r="D43" s="50">
        <v>46216.0</v>
      </c>
      <c r="E43" s="51">
        <v>1.0</v>
      </c>
      <c r="F43" s="51" t="s">
        <v>34</v>
      </c>
      <c r="G43" s="51" t="s">
        <v>83</v>
      </c>
      <c r="H43" s="51">
        <v>14.0</v>
      </c>
      <c r="I43" s="51" t="s">
        <v>96</v>
      </c>
      <c r="J43" s="51" t="s">
        <v>84</v>
      </c>
      <c r="K43" s="11" t="s">
        <v>36</v>
      </c>
      <c r="L43" s="35"/>
      <c r="M43" s="35"/>
      <c r="N43" s="51" t="s">
        <v>126</v>
      </c>
      <c r="O43" s="52" t="s">
        <v>43</v>
      </c>
      <c r="P43" s="51" t="s">
        <v>45</v>
      </c>
      <c r="Q43" s="51" t="s">
        <v>207</v>
      </c>
      <c r="R43" s="28">
        <v>2000.0</v>
      </c>
      <c r="S43" s="18">
        <f>FRESADO!$R43*FRESADO!$E43</f>
        <v>2000</v>
      </c>
      <c r="T43" s="18">
        <f>FRESADO!$S43*16%</f>
        <v>320</v>
      </c>
      <c r="U43" s="18">
        <f>FRESADO!$S43+FRESADO!$T43</f>
        <v>2320</v>
      </c>
      <c r="V43" s="28" t="s">
        <v>113</v>
      </c>
      <c r="W43" s="18"/>
      <c r="X43" s="16"/>
      <c r="Y43" s="25"/>
    </row>
    <row r="44" ht="15.75" hidden="1" customHeight="1">
      <c r="A44" s="27">
        <v>29.0</v>
      </c>
      <c r="B44" s="7">
        <v>35.0</v>
      </c>
      <c r="C44" s="58">
        <v>1381.0</v>
      </c>
      <c r="D44" s="59">
        <v>46216.0</v>
      </c>
      <c r="E44" s="51">
        <v>0.0</v>
      </c>
      <c r="F44" s="58" t="s">
        <v>230</v>
      </c>
      <c r="G44" s="60"/>
      <c r="H44" s="58">
        <v>0.0</v>
      </c>
      <c r="I44" s="60"/>
      <c r="J44" s="60"/>
      <c r="K44" s="60"/>
      <c r="L44" s="35"/>
      <c r="M44" s="35"/>
      <c r="N44" s="60"/>
      <c r="O44" s="61"/>
      <c r="P44" s="60"/>
      <c r="Q44" s="58" t="s">
        <v>230</v>
      </c>
      <c r="R44" s="18"/>
      <c r="S44" s="18">
        <f>FRESADO!$R44*FRESADO!$E44</f>
        <v>0</v>
      </c>
      <c r="T44" s="18">
        <f>FRESADO!$S44*16%</f>
        <v>0</v>
      </c>
      <c r="U44" s="18">
        <f>FRESADO!$S44+FRESADO!$T44</f>
        <v>0</v>
      </c>
      <c r="V44" s="18"/>
      <c r="W44" s="18"/>
      <c r="X44" s="16"/>
      <c r="Y44" s="57"/>
      <c r="Z44" s="57"/>
    </row>
    <row r="45" ht="15.75" hidden="1" customHeight="1">
      <c r="A45" s="27">
        <v>29.0</v>
      </c>
      <c r="B45" s="7">
        <v>36.0</v>
      </c>
      <c r="C45" s="49">
        <v>1382.0</v>
      </c>
      <c r="D45" s="50">
        <v>46216.0</v>
      </c>
      <c r="E45" s="51">
        <v>1.0</v>
      </c>
      <c r="F45" s="51" t="s">
        <v>34</v>
      </c>
      <c r="G45" s="51" t="s">
        <v>103</v>
      </c>
      <c r="H45" s="51">
        <v>14.0</v>
      </c>
      <c r="I45" s="51" t="s">
        <v>96</v>
      </c>
      <c r="J45" s="51" t="s">
        <v>104</v>
      </c>
      <c r="K45" s="11" t="s">
        <v>36</v>
      </c>
      <c r="L45" s="35"/>
      <c r="M45" s="35"/>
      <c r="N45" s="51" t="s">
        <v>126</v>
      </c>
      <c r="O45" s="52" t="s">
        <v>43</v>
      </c>
      <c r="P45" s="51" t="s">
        <v>45</v>
      </c>
      <c r="Q45" s="51" t="s">
        <v>207</v>
      </c>
      <c r="R45" s="28">
        <v>2000.0</v>
      </c>
      <c r="S45" s="18">
        <f>FRESADO!$R45*FRESADO!$E45</f>
        <v>2000</v>
      </c>
      <c r="T45" s="18">
        <f>FRESADO!$S45*16%</f>
        <v>320</v>
      </c>
      <c r="U45" s="18">
        <f>FRESADO!$S45+FRESADO!$T45</f>
        <v>2320</v>
      </c>
      <c r="V45" s="28" t="s">
        <v>113</v>
      </c>
      <c r="W45" s="18"/>
      <c r="X45" s="16"/>
      <c r="Y45" s="25"/>
    </row>
    <row r="46" ht="15.75" hidden="1" customHeight="1">
      <c r="A46" s="27">
        <v>29.0</v>
      </c>
      <c r="B46" s="7">
        <v>37.0</v>
      </c>
      <c r="C46" s="51">
        <v>1383.0</v>
      </c>
      <c r="D46" s="50">
        <v>46216.0</v>
      </c>
      <c r="E46" s="51">
        <v>1.0</v>
      </c>
      <c r="F46" s="51" t="s">
        <v>89</v>
      </c>
      <c r="G46" s="51" t="s">
        <v>234</v>
      </c>
      <c r="H46" s="51">
        <v>7.0</v>
      </c>
      <c r="I46" s="51" t="s">
        <v>96</v>
      </c>
      <c r="J46" s="51" t="s">
        <v>235</v>
      </c>
      <c r="K46" s="51" t="s">
        <v>236</v>
      </c>
      <c r="L46" s="35"/>
      <c r="M46" s="35"/>
      <c r="N46" s="51" t="s">
        <v>126</v>
      </c>
      <c r="O46" s="52" t="s">
        <v>43</v>
      </c>
      <c r="P46" s="51" t="s">
        <v>93</v>
      </c>
      <c r="Q46" s="64" t="s">
        <v>154</v>
      </c>
      <c r="R46" s="18"/>
      <c r="S46" s="18">
        <f>FRESADO!$R46*FRESADO!$E46</f>
        <v>0</v>
      </c>
      <c r="T46" s="18">
        <f>FRESADO!$S46*16%</f>
        <v>0</v>
      </c>
      <c r="U46" s="18">
        <f>FRESADO!$S46+FRESADO!$T46</f>
        <v>0</v>
      </c>
      <c r="V46" s="18"/>
      <c r="W46" s="18"/>
      <c r="X46" s="16"/>
      <c r="Y46" s="25"/>
    </row>
    <row r="47" ht="15.75" hidden="1" customHeight="1">
      <c r="A47" s="27">
        <v>29.0</v>
      </c>
      <c r="B47" s="7">
        <v>38.0</v>
      </c>
      <c r="C47" s="49">
        <v>1384.0</v>
      </c>
      <c r="D47" s="50">
        <v>46216.0</v>
      </c>
      <c r="E47" s="51">
        <v>1.0</v>
      </c>
      <c r="F47" s="51" t="s">
        <v>159</v>
      </c>
      <c r="G47" s="51" t="s">
        <v>160</v>
      </c>
      <c r="H47" s="51">
        <v>20.0</v>
      </c>
      <c r="I47" s="51" t="s">
        <v>96</v>
      </c>
      <c r="J47" s="51" t="s">
        <v>161</v>
      </c>
      <c r="K47" s="11" t="s">
        <v>36</v>
      </c>
      <c r="L47" s="35"/>
      <c r="M47" s="35"/>
      <c r="N47" s="51" t="s">
        <v>126</v>
      </c>
      <c r="O47" s="52" t="s">
        <v>43</v>
      </c>
      <c r="P47" s="51" t="s">
        <v>93</v>
      </c>
      <c r="Q47" s="65"/>
      <c r="R47" s="28">
        <v>9400.0</v>
      </c>
      <c r="S47" s="18">
        <f>FRESADO!$R47*FRESADO!$E47</f>
        <v>9400</v>
      </c>
      <c r="T47" s="18">
        <f>FRESADO!$S47*16%</f>
        <v>1504</v>
      </c>
      <c r="U47" s="18">
        <f>FRESADO!$S47+FRESADO!$T47</f>
        <v>10904</v>
      </c>
      <c r="V47" s="28" t="s">
        <v>113</v>
      </c>
      <c r="W47" s="18"/>
      <c r="X47" s="16"/>
      <c r="Y47" s="57"/>
      <c r="Z47" s="57"/>
    </row>
    <row r="48" ht="15.75" hidden="1" customHeight="1">
      <c r="A48" s="27">
        <v>29.0</v>
      </c>
      <c r="B48" s="7">
        <v>39.0</v>
      </c>
      <c r="C48" s="49">
        <v>1385.0</v>
      </c>
      <c r="D48" s="50">
        <v>46216.0</v>
      </c>
      <c r="E48" s="51">
        <v>1.0</v>
      </c>
      <c r="F48" s="51" t="s">
        <v>89</v>
      </c>
      <c r="G48" s="51" t="s">
        <v>241</v>
      </c>
      <c r="H48" s="51">
        <v>7.0</v>
      </c>
      <c r="I48" s="51" t="s">
        <v>96</v>
      </c>
      <c r="J48" s="51" t="s">
        <v>190</v>
      </c>
      <c r="K48" s="11" t="s">
        <v>36</v>
      </c>
      <c r="L48" s="35"/>
      <c r="M48" s="35"/>
      <c r="N48" s="51" t="s">
        <v>126</v>
      </c>
      <c r="O48" s="52" t="s">
        <v>43</v>
      </c>
      <c r="P48" s="51" t="s">
        <v>93</v>
      </c>
      <c r="Q48" s="64" t="s">
        <v>154</v>
      </c>
      <c r="R48" s="28">
        <v>3200.0</v>
      </c>
      <c r="S48" s="18">
        <f>FRESADO!$R48*FRESADO!$E48</f>
        <v>3200</v>
      </c>
      <c r="T48" s="18">
        <f>FRESADO!$S48*16%</f>
        <v>512</v>
      </c>
      <c r="U48" s="18">
        <f>FRESADO!$S48+FRESADO!$T48</f>
        <v>3712</v>
      </c>
      <c r="V48" s="28" t="s">
        <v>113</v>
      </c>
      <c r="W48" s="18"/>
      <c r="X48" s="16"/>
      <c r="Y48" s="25"/>
    </row>
    <row r="49" ht="15.75" hidden="1" customHeight="1">
      <c r="A49" s="27">
        <v>29.0</v>
      </c>
      <c r="B49" s="27">
        <v>1.0</v>
      </c>
      <c r="C49" s="66">
        <v>58.0</v>
      </c>
      <c r="D49" s="67">
        <v>46217.0</v>
      </c>
      <c r="E49" s="27">
        <v>1.0</v>
      </c>
      <c r="F49" s="27" t="s">
        <v>34</v>
      </c>
      <c r="G49" s="27" t="s">
        <v>124</v>
      </c>
      <c r="H49" s="27">
        <v>14.0</v>
      </c>
      <c r="I49" s="27" t="s">
        <v>96</v>
      </c>
      <c r="J49" s="27" t="s">
        <v>198</v>
      </c>
      <c r="K49" s="11" t="s">
        <v>36</v>
      </c>
      <c r="L49" s="27"/>
      <c r="M49" s="7"/>
      <c r="N49" s="27" t="s">
        <v>193</v>
      </c>
      <c r="O49" s="27"/>
      <c r="P49" s="27"/>
      <c r="Q49" s="7"/>
      <c r="R49" s="28">
        <v>2400.0</v>
      </c>
      <c r="S49" s="18">
        <f>FRESADO!$R49*FRESADO!$E49</f>
        <v>2400</v>
      </c>
      <c r="T49" s="18">
        <f>FRESADO!$S49*16%</f>
        <v>384</v>
      </c>
      <c r="U49" s="18">
        <f>FRESADO!$S49+FRESADO!$T49</f>
        <v>2784</v>
      </c>
      <c r="V49" s="28" t="s">
        <v>113</v>
      </c>
      <c r="W49" s="18"/>
      <c r="X49" s="16"/>
      <c r="Y49" s="25"/>
    </row>
    <row r="50" ht="15.75" hidden="1" customHeight="1">
      <c r="A50" s="27">
        <v>29.0</v>
      </c>
      <c r="B50" s="27">
        <v>2.0</v>
      </c>
      <c r="C50" s="66">
        <v>59.0</v>
      </c>
      <c r="D50" s="67">
        <v>46217.0</v>
      </c>
      <c r="E50" s="27">
        <v>1.0</v>
      </c>
      <c r="F50" s="27" t="s">
        <v>34</v>
      </c>
      <c r="G50" s="27" t="s">
        <v>211</v>
      </c>
      <c r="H50" s="27">
        <v>14.0</v>
      </c>
      <c r="I50" s="27" t="s">
        <v>96</v>
      </c>
      <c r="J50" s="27" t="s">
        <v>78</v>
      </c>
      <c r="K50" s="11" t="s">
        <v>36</v>
      </c>
      <c r="L50" s="27"/>
      <c r="M50" s="7"/>
      <c r="N50" s="27" t="s">
        <v>193</v>
      </c>
      <c r="O50" s="27"/>
      <c r="P50" s="27"/>
      <c r="Q50" s="7"/>
      <c r="R50" s="28">
        <v>2400.0</v>
      </c>
      <c r="S50" s="18">
        <f>FRESADO!$R50*FRESADO!$E50</f>
        <v>2400</v>
      </c>
      <c r="T50" s="18">
        <f>FRESADO!$S50*16%</f>
        <v>384</v>
      </c>
      <c r="U50" s="18">
        <f>FRESADO!$S50+FRESADO!$T50</f>
        <v>2784</v>
      </c>
      <c r="V50" s="28" t="s">
        <v>113</v>
      </c>
      <c r="W50" s="18"/>
      <c r="X50" s="16"/>
      <c r="Y50" s="25"/>
    </row>
    <row r="51" ht="15.75" hidden="1" customHeight="1">
      <c r="A51" s="27">
        <v>29.0</v>
      </c>
      <c r="B51" s="27">
        <v>3.0</v>
      </c>
      <c r="C51" s="66">
        <v>60.0</v>
      </c>
      <c r="D51" s="67">
        <v>46217.0</v>
      </c>
      <c r="E51" s="27">
        <v>1.0</v>
      </c>
      <c r="F51" s="27" t="s">
        <v>34</v>
      </c>
      <c r="G51" s="27" t="s">
        <v>248</v>
      </c>
      <c r="H51" s="27">
        <v>14.0</v>
      </c>
      <c r="I51" s="27" t="s">
        <v>96</v>
      </c>
      <c r="J51" s="27" t="s">
        <v>104</v>
      </c>
      <c r="K51" s="11" t="s">
        <v>36</v>
      </c>
      <c r="L51" s="27"/>
      <c r="M51" s="7"/>
      <c r="N51" s="27" t="s">
        <v>193</v>
      </c>
      <c r="O51" s="27"/>
      <c r="P51" s="27"/>
      <c r="Q51" s="7"/>
      <c r="R51" s="28">
        <v>2400.0</v>
      </c>
      <c r="S51" s="18">
        <f>FRESADO!$R51*FRESADO!$E51</f>
        <v>2400</v>
      </c>
      <c r="T51" s="18">
        <f>FRESADO!$S51*16%</f>
        <v>384</v>
      </c>
      <c r="U51" s="18">
        <f>FRESADO!$S51+FRESADO!$T51</f>
        <v>2784</v>
      </c>
      <c r="V51" s="28" t="s">
        <v>113</v>
      </c>
      <c r="W51" s="18"/>
      <c r="X51" s="16"/>
      <c r="Y51" s="57"/>
      <c r="Z51" s="57"/>
    </row>
    <row r="52" ht="15.75" hidden="1" customHeight="1">
      <c r="A52" s="27">
        <v>29.0</v>
      </c>
      <c r="B52" s="27">
        <v>4.0</v>
      </c>
      <c r="C52" s="68">
        <v>61.0</v>
      </c>
      <c r="D52" s="67">
        <v>46217.0</v>
      </c>
      <c r="E52" s="27">
        <v>1.0</v>
      </c>
      <c r="F52" s="27" t="s">
        <v>34</v>
      </c>
      <c r="G52" s="27" t="s">
        <v>250</v>
      </c>
      <c r="H52" s="27">
        <v>14.0</v>
      </c>
      <c r="I52" s="27" t="s">
        <v>96</v>
      </c>
      <c r="J52" s="27" t="s">
        <v>54</v>
      </c>
      <c r="K52" s="27" t="s">
        <v>36</v>
      </c>
      <c r="L52" s="27"/>
      <c r="M52" s="7"/>
      <c r="N52" s="27" t="s">
        <v>193</v>
      </c>
      <c r="O52" s="27"/>
      <c r="P52" s="27"/>
      <c r="Q52" s="7"/>
      <c r="R52" s="28">
        <v>2400.0</v>
      </c>
      <c r="S52" s="18">
        <f>FRESADO!$R52*FRESADO!$E52</f>
        <v>2400</v>
      </c>
      <c r="T52" s="18">
        <f>FRESADO!$S52*16%</f>
        <v>384</v>
      </c>
      <c r="U52" s="18">
        <f>FRESADO!$S52+FRESADO!$T52</f>
        <v>2784</v>
      </c>
      <c r="V52" s="28" t="s">
        <v>254</v>
      </c>
      <c r="W52" s="18"/>
      <c r="X52" s="16"/>
      <c r="Y52" s="57"/>
      <c r="Z52" s="57"/>
    </row>
    <row r="53" ht="15.75" hidden="1" customHeight="1">
      <c r="A53" s="27">
        <v>29.0</v>
      </c>
      <c r="B53" s="27">
        <v>5.0</v>
      </c>
      <c r="C53" s="66">
        <v>62.0</v>
      </c>
      <c r="D53" s="67">
        <v>46217.0</v>
      </c>
      <c r="E53" s="27">
        <v>1.0</v>
      </c>
      <c r="F53" s="27" t="s">
        <v>34</v>
      </c>
      <c r="G53" s="27" t="s">
        <v>165</v>
      </c>
      <c r="H53" s="27">
        <v>14.0</v>
      </c>
      <c r="I53" s="27" t="s">
        <v>96</v>
      </c>
      <c r="J53" s="27" t="s">
        <v>72</v>
      </c>
      <c r="K53" s="11" t="s">
        <v>36</v>
      </c>
      <c r="L53" s="27"/>
      <c r="M53" s="7"/>
      <c r="N53" s="27" t="s">
        <v>193</v>
      </c>
      <c r="O53" s="27"/>
      <c r="P53" s="27"/>
      <c r="Q53" s="7"/>
      <c r="R53" s="28">
        <v>2400.0</v>
      </c>
      <c r="S53" s="18">
        <f>FRESADO!$R53*FRESADO!$E53</f>
        <v>2400</v>
      </c>
      <c r="T53" s="18">
        <f>FRESADO!$S53*16%</f>
        <v>384</v>
      </c>
      <c r="U53" s="18">
        <f>FRESADO!$S53+FRESADO!$T53</f>
        <v>2784</v>
      </c>
      <c r="V53" s="28" t="s">
        <v>113</v>
      </c>
      <c r="W53" s="18"/>
      <c r="X53" s="16"/>
      <c r="Y53" s="57"/>
      <c r="Z53" s="57"/>
    </row>
    <row r="54" ht="15.75" hidden="1" customHeight="1">
      <c r="A54" s="27">
        <v>29.0</v>
      </c>
      <c r="B54" s="27">
        <v>6.0</v>
      </c>
      <c r="C54" s="66">
        <v>63.0</v>
      </c>
      <c r="D54" s="67">
        <v>46217.0</v>
      </c>
      <c r="E54" s="27">
        <v>1.0</v>
      </c>
      <c r="F54" s="27" t="s">
        <v>34</v>
      </c>
      <c r="G54" s="27" t="s">
        <v>176</v>
      </c>
      <c r="H54" s="27">
        <v>14.0</v>
      </c>
      <c r="I54" s="27" t="s">
        <v>96</v>
      </c>
      <c r="J54" s="27" t="s">
        <v>40</v>
      </c>
      <c r="K54" s="11" t="s">
        <v>36</v>
      </c>
      <c r="L54" s="27"/>
      <c r="M54" s="7"/>
      <c r="N54" s="27" t="s">
        <v>193</v>
      </c>
      <c r="O54" s="27"/>
      <c r="P54" s="27"/>
      <c r="Q54" s="7"/>
      <c r="R54" s="28">
        <v>2400.0</v>
      </c>
      <c r="S54" s="18">
        <f>FRESADO!$R54*FRESADO!$E54</f>
        <v>2400</v>
      </c>
      <c r="T54" s="18">
        <f>FRESADO!$S54*16%</f>
        <v>384</v>
      </c>
      <c r="U54" s="18">
        <f>FRESADO!$S54+FRESADO!$T54</f>
        <v>2784</v>
      </c>
      <c r="V54" s="28" t="s">
        <v>113</v>
      </c>
      <c r="W54" s="18"/>
      <c r="X54" s="16"/>
      <c r="Y54" s="57"/>
      <c r="Z54" s="57"/>
    </row>
    <row r="55" ht="15.75" hidden="1" customHeight="1">
      <c r="A55" s="27">
        <v>29.0</v>
      </c>
      <c r="B55" s="27">
        <v>7.0</v>
      </c>
      <c r="C55" s="66">
        <v>64.0</v>
      </c>
      <c r="D55" s="67">
        <v>46217.0</v>
      </c>
      <c r="E55" s="27">
        <v>1.0</v>
      </c>
      <c r="F55" s="27" t="s">
        <v>34</v>
      </c>
      <c r="G55" s="27" t="s">
        <v>124</v>
      </c>
      <c r="H55" s="27">
        <v>14.0</v>
      </c>
      <c r="I55" s="27" t="s">
        <v>96</v>
      </c>
      <c r="J55" s="27" t="s">
        <v>198</v>
      </c>
      <c r="K55" s="11" t="s">
        <v>36</v>
      </c>
      <c r="L55" s="27"/>
      <c r="M55" s="7"/>
      <c r="N55" s="27" t="s">
        <v>193</v>
      </c>
      <c r="O55" s="27"/>
      <c r="P55" s="27"/>
      <c r="Q55" s="7"/>
      <c r="R55" s="28">
        <v>2400.0</v>
      </c>
      <c r="S55" s="18">
        <f>FRESADO!$R55*FRESADO!$E55</f>
        <v>2400</v>
      </c>
      <c r="T55" s="18">
        <f>FRESADO!$S55*16%</f>
        <v>384</v>
      </c>
      <c r="U55" s="18">
        <f>FRESADO!$S55+FRESADO!$T55</f>
        <v>2784</v>
      </c>
      <c r="V55" s="28" t="s">
        <v>113</v>
      </c>
      <c r="W55" s="18"/>
      <c r="X55" s="16"/>
      <c r="Y55" s="57"/>
      <c r="Z55" s="57"/>
    </row>
    <row r="56" ht="15.75" hidden="1" customHeight="1">
      <c r="A56" s="27">
        <v>29.0</v>
      </c>
      <c r="B56" s="27">
        <v>8.0</v>
      </c>
      <c r="C56" s="66">
        <v>65.0</v>
      </c>
      <c r="D56" s="67">
        <v>46217.0</v>
      </c>
      <c r="E56" s="27">
        <v>1.0</v>
      </c>
      <c r="F56" s="27" t="s">
        <v>34</v>
      </c>
      <c r="G56" s="27" t="s">
        <v>248</v>
      </c>
      <c r="H56" s="27">
        <v>14.0</v>
      </c>
      <c r="I56" s="27" t="s">
        <v>96</v>
      </c>
      <c r="J56" s="27" t="s">
        <v>104</v>
      </c>
      <c r="K56" s="11" t="s">
        <v>36</v>
      </c>
      <c r="L56" s="27"/>
      <c r="M56" s="7"/>
      <c r="N56" s="27" t="s">
        <v>193</v>
      </c>
      <c r="O56" s="27"/>
      <c r="P56" s="27"/>
      <c r="Q56" s="7"/>
      <c r="R56" s="28">
        <v>2400.0</v>
      </c>
      <c r="S56" s="18">
        <f>FRESADO!$R56*FRESADO!$E56</f>
        <v>2400</v>
      </c>
      <c r="T56" s="18">
        <f>FRESADO!$S56*16%</f>
        <v>384</v>
      </c>
      <c r="U56" s="18">
        <f>FRESADO!$S56+FRESADO!$T56</f>
        <v>2784</v>
      </c>
      <c r="V56" s="28" t="s">
        <v>113</v>
      </c>
      <c r="W56" s="18"/>
      <c r="X56" s="16"/>
      <c r="Y56" s="57"/>
      <c r="Z56" s="57"/>
    </row>
    <row r="57" ht="15.75" hidden="1" customHeight="1">
      <c r="A57" s="27">
        <v>29.0</v>
      </c>
      <c r="B57" s="27">
        <v>9.0</v>
      </c>
      <c r="C57" s="66">
        <v>66.0</v>
      </c>
      <c r="D57" s="67">
        <v>46217.0</v>
      </c>
      <c r="E57" s="27">
        <v>1.0</v>
      </c>
      <c r="F57" s="27" t="s">
        <v>34</v>
      </c>
      <c r="G57" s="27" t="s">
        <v>211</v>
      </c>
      <c r="H57" s="27">
        <v>14.0</v>
      </c>
      <c r="I57" s="27" t="s">
        <v>96</v>
      </c>
      <c r="J57" s="27" t="s">
        <v>78</v>
      </c>
      <c r="K57" s="11" t="s">
        <v>36</v>
      </c>
      <c r="L57" s="27"/>
      <c r="M57" s="7"/>
      <c r="N57" s="27" t="s">
        <v>193</v>
      </c>
      <c r="O57" s="27"/>
      <c r="P57" s="27"/>
      <c r="Q57" s="7"/>
      <c r="R57" s="28">
        <v>2400.0</v>
      </c>
      <c r="S57" s="18">
        <f>FRESADO!$R57*FRESADO!$E57</f>
        <v>2400</v>
      </c>
      <c r="T57" s="18">
        <f>FRESADO!$S57*16%</f>
        <v>384</v>
      </c>
      <c r="U57" s="18">
        <f>FRESADO!$S57+FRESADO!$T57</f>
        <v>2784</v>
      </c>
      <c r="V57" s="28" t="s">
        <v>113</v>
      </c>
      <c r="W57" s="18"/>
      <c r="X57" s="16"/>
      <c r="Y57" s="57"/>
      <c r="Z57" s="57"/>
    </row>
    <row r="58" ht="15.75" hidden="1" customHeight="1">
      <c r="A58" s="27">
        <v>29.0</v>
      </c>
      <c r="B58" s="27">
        <v>10.0</v>
      </c>
      <c r="C58" s="66">
        <v>67.0</v>
      </c>
      <c r="D58" s="67">
        <v>46217.0</v>
      </c>
      <c r="E58" s="27">
        <v>1.0</v>
      </c>
      <c r="F58" s="27" t="s">
        <v>34</v>
      </c>
      <c r="G58" s="27" t="s">
        <v>250</v>
      </c>
      <c r="H58" s="27">
        <v>14.0</v>
      </c>
      <c r="I58" s="27" t="s">
        <v>96</v>
      </c>
      <c r="J58" s="27" t="s">
        <v>54</v>
      </c>
      <c r="K58" s="11" t="s">
        <v>36</v>
      </c>
      <c r="L58" s="27"/>
      <c r="M58" s="7"/>
      <c r="N58" s="27" t="s">
        <v>193</v>
      </c>
      <c r="O58" s="27"/>
      <c r="P58" s="27"/>
      <c r="Q58" s="7"/>
      <c r="R58" s="28">
        <v>2400.0</v>
      </c>
      <c r="S58" s="18">
        <f>FRESADO!$R58*FRESADO!$E58</f>
        <v>2400</v>
      </c>
      <c r="T58" s="18">
        <f>FRESADO!$S58*16%</f>
        <v>384</v>
      </c>
      <c r="U58" s="18">
        <f>FRESADO!$S58+FRESADO!$T58</f>
        <v>2784</v>
      </c>
      <c r="V58" s="28" t="s">
        <v>113</v>
      </c>
      <c r="W58" s="18"/>
      <c r="X58" s="16"/>
      <c r="Y58" s="25"/>
    </row>
    <row r="59" ht="15.75" hidden="1" customHeight="1">
      <c r="A59" s="27">
        <v>29.0</v>
      </c>
      <c r="B59" s="27">
        <v>11.0</v>
      </c>
      <c r="C59" s="66">
        <v>68.0</v>
      </c>
      <c r="D59" s="67">
        <v>46217.0</v>
      </c>
      <c r="E59" s="27">
        <v>1.0</v>
      </c>
      <c r="F59" s="27" t="s">
        <v>34</v>
      </c>
      <c r="G59" s="27" t="s">
        <v>165</v>
      </c>
      <c r="H59" s="27">
        <v>14.0</v>
      </c>
      <c r="I59" s="27" t="s">
        <v>96</v>
      </c>
      <c r="J59" s="27" t="s">
        <v>72</v>
      </c>
      <c r="K59" s="11" t="s">
        <v>36</v>
      </c>
      <c r="L59" s="27"/>
      <c r="M59" s="7"/>
      <c r="N59" s="27" t="s">
        <v>193</v>
      </c>
      <c r="O59" s="27"/>
      <c r="P59" s="27"/>
      <c r="Q59" s="7"/>
      <c r="R59" s="28">
        <v>2400.0</v>
      </c>
      <c r="S59" s="18">
        <f>FRESADO!$R59*FRESADO!$E59</f>
        <v>2400</v>
      </c>
      <c r="T59" s="18">
        <f>FRESADO!$S59*16%</f>
        <v>384</v>
      </c>
      <c r="U59" s="18">
        <f>FRESADO!$S59+FRESADO!$T59</f>
        <v>2784</v>
      </c>
      <c r="V59" s="28" t="s">
        <v>113</v>
      </c>
      <c r="W59" s="18"/>
      <c r="X59" s="16"/>
      <c r="Y59" s="25"/>
    </row>
    <row r="60" ht="15.75" hidden="1" customHeight="1">
      <c r="A60" s="27">
        <v>29.0</v>
      </c>
      <c r="B60" s="27">
        <v>12.0</v>
      </c>
      <c r="C60" s="66">
        <v>69.0</v>
      </c>
      <c r="D60" s="67">
        <v>46217.0</v>
      </c>
      <c r="E60" s="27">
        <v>1.0</v>
      </c>
      <c r="F60" s="27" t="s">
        <v>34</v>
      </c>
      <c r="G60" s="27" t="s">
        <v>176</v>
      </c>
      <c r="H60" s="27">
        <v>14.0</v>
      </c>
      <c r="I60" s="27" t="s">
        <v>96</v>
      </c>
      <c r="J60" s="27" t="s">
        <v>40</v>
      </c>
      <c r="K60" s="11" t="s">
        <v>36</v>
      </c>
      <c r="L60" s="27"/>
      <c r="M60" s="7"/>
      <c r="N60" s="27" t="s">
        <v>193</v>
      </c>
      <c r="O60" s="27"/>
      <c r="P60" s="27"/>
      <c r="Q60" s="7"/>
      <c r="R60" s="28">
        <v>2400.0</v>
      </c>
      <c r="S60" s="18">
        <f>FRESADO!$R60*FRESADO!$E60</f>
        <v>2400</v>
      </c>
      <c r="T60" s="18">
        <f>FRESADO!$S60*16%</f>
        <v>384</v>
      </c>
      <c r="U60" s="18">
        <f>FRESADO!$S60+FRESADO!$T60</f>
        <v>2784</v>
      </c>
      <c r="V60" s="28" t="s">
        <v>113</v>
      </c>
      <c r="W60" s="18"/>
      <c r="X60" s="16"/>
      <c r="Y60" s="25"/>
    </row>
    <row r="61" ht="15.75" hidden="1" customHeight="1">
      <c r="A61" s="27">
        <v>29.0</v>
      </c>
      <c r="B61" s="27">
        <v>13.0</v>
      </c>
      <c r="C61" s="66">
        <v>70.0</v>
      </c>
      <c r="D61" s="67">
        <v>46217.0</v>
      </c>
      <c r="E61" s="27">
        <v>1.0</v>
      </c>
      <c r="F61" s="51" t="s">
        <v>159</v>
      </c>
      <c r="G61" s="27" t="s">
        <v>274</v>
      </c>
      <c r="H61" s="27">
        <v>10.0</v>
      </c>
      <c r="I61" s="27" t="s">
        <v>96</v>
      </c>
      <c r="J61" s="27" t="s">
        <v>161</v>
      </c>
      <c r="K61" s="11" t="s">
        <v>36</v>
      </c>
      <c r="L61" s="27"/>
      <c r="M61" s="7"/>
      <c r="N61" s="27" t="s">
        <v>275</v>
      </c>
      <c r="O61" s="27"/>
      <c r="P61" s="27"/>
      <c r="Q61" s="7"/>
      <c r="R61" s="28">
        <v>5400.0</v>
      </c>
      <c r="S61" s="18">
        <f>FRESADO!$R61*FRESADO!$E61</f>
        <v>5400</v>
      </c>
      <c r="T61" s="18">
        <f>FRESADO!$S61*16%</f>
        <v>864</v>
      </c>
      <c r="U61" s="18">
        <f>FRESADO!$S61+FRESADO!$T61</f>
        <v>6264</v>
      </c>
      <c r="V61" s="28" t="s">
        <v>113</v>
      </c>
      <c r="W61" s="18"/>
      <c r="X61" s="16"/>
      <c r="Y61" s="25"/>
    </row>
    <row r="62" ht="15.75" hidden="1" customHeight="1">
      <c r="A62" s="27">
        <v>29.0</v>
      </c>
      <c r="B62" s="27">
        <v>14.0</v>
      </c>
      <c r="C62" s="66">
        <v>71.0</v>
      </c>
      <c r="D62" s="67">
        <v>46218.0</v>
      </c>
      <c r="E62" s="27">
        <v>1.0</v>
      </c>
      <c r="F62" s="27" t="s">
        <v>34</v>
      </c>
      <c r="G62" s="27" t="s">
        <v>176</v>
      </c>
      <c r="H62" s="27">
        <v>14.0</v>
      </c>
      <c r="I62" s="27" t="s">
        <v>96</v>
      </c>
      <c r="J62" s="27" t="s">
        <v>40</v>
      </c>
      <c r="K62" s="11" t="s">
        <v>36</v>
      </c>
      <c r="L62" s="27"/>
      <c r="M62" s="7"/>
      <c r="N62" s="27" t="s">
        <v>193</v>
      </c>
      <c r="O62" s="27"/>
      <c r="P62" s="27"/>
      <c r="Q62" s="7"/>
      <c r="R62" s="28">
        <v>3255.0</v>
      </c>
      <c r="S62" s="18">
        <f>FRESADO!$R62*FRESADO!$E62</f>
        <v>3255</v>
      </c>
      <c r="T62" s="18">
        <f>FRESADO!$S62*16%</f>
        <v>520.8</v>
      </c>
      <c r="U62" s="18">
        <f>FRESADO!$S62+FRESADO!$T62</f>
        <v>3775.8</v>
      </c>
      <c r="V62" s="28" t="s">
        <v>113</v>
      </c>
      <c r="W62" s="18"/>
      <c r="X62" s="16"/>
      <c r="Y62" s="25"/>
    </row>
    <row r="63" ht="15.75" hidden="1" customHeight="1">
      <c r="A63" s="27">
        <v>29.0</v>
      </c>
      <c r="B63" s="27">
        <v>15.0</v>
      </c>
      <c r="C63" s="66">
        <v>72.0</v>
      </c>
      <c r="D63" s="27" t="s">
        <v>34</v>
      </c>
      <c r="E63" s="27">
        <v>1.0</v>
      </c>
      <c r="F63" s="27" t="s">
        <v>34</v>
      </c>
      <c r="G63" s="27" t="s">
        <v>124</v>
      </c>
      <c r="H63" s="27">
        <v>14.0</v>
      </c>
      <c r="I63" s="27" t="s">
        <v>96</v>
      </c>
      <c r="J63" s="27" t="s">
        <v>198</v>
      </c>
      <c r="K63" s="11" t="s">
        <v>36</v>
      </c>
      <c r="L63" s="27"/>
      <c r="M63" s="7"/>
      <c r="N63" s="27" t="s">
        <v>278</v>
      </c>
      <c r="O63" s="27"/>
      <c r="P63" s="27"/>
      <c r="Q63" s="7"/>
      <c r="R63" s="28">
        <v>3255.0</v>
      </c>
      <c r="S63" s="18">
        <f>FRESADO!$R63*FRESADO!$E63</f>
        <v>3255</v>
      </c>
      <c r="T63" s="18">
        <f>FRESADO!$S63*16%</f>
        <v>520.8</v>
      </c>
      <c r="U63" s="18">
        <f>FRESADO!$S63+FRESADO!$T63</f>
        <v>3775.8</v>
      </c>
      <c r="V63" s="28" t="s">
        <v>113</v>
      </c>
      <c r="W63" s="18"/>
      <c r="X63" s="16"/>
      <c r="Y63" s="25"/>
    </row>
    <row r="64" ht="15.75" hidden="1" customHeight="1">
      <c r="A64" s="27">
        <v>29.0</v>
      </c>
      <c r="B64" s="27">
        <v>16.0</v>
      </c>
      <c r="C64" s="66">
        <v>73.0</v>
      </c>
      <c r="D64" s="67">
        <v>46218.0</v>
      </c>
      <c r="E64" s="27">
        <v>1.0</v>
      </c>
      <c r="F64" s="27" t="s">
        <v>34</v>
      </c>
      <c r="G64" s="27" t="s">
        <v>211</v>
      </c>
      <c r="H64" s="27">
        <v>14.0</v>
      </c>
      <c r="I64" s="27" t="s">
        <v>96</v>
      </c>
      <c r="J64" s="27" t="s">
        <v>78</v>
      </c>
      <c r="K64" s="11" t="s">
        <v>36</v>
      </c>
      <c r="L64" s="27"/>
      <c r="M64" s="7"/>
      <c r="N64" s="27" t="s">
        <v>278</v>
      </c>
      <c r="O64" s="27"/>
      <c r="P64" s="27"/>
      <c r="Q64" s="7"/>
      <c r="R64" s="28">
        <v>3255.0</v>
      </c>
      <c r="S64" s="18">
        <f>FRESADO!$R64*FRESADO!$E64</f>
        <v>3255</v>
      </c>
      <c r="T64" s="18">
        <f>FRESADO!$S64*16%</f>
        <v>520.8</v>
      </c>
      <c r="U64" s="18">
        <f>FRESADO!$S64+FRESADO!$T64</f>
        <v>3775.8</v>
      </c>
      <c r="V64" s="28" t="s">
        <v>113</v>
      </c>
      <c r="W64" s="18"/>
      <c r="X64" s="16"/>
      <c r="Y64" s="25"/>
    </row>
    <row r="65" ht="15.75" hidden="1" customHeight="1">
      <c r="A65" s="27">
        <v>29.0</v>
      </c>
      <c r="B65" s="27">
        <v>17.0</v>
      </c>
      <c r="C65" s="66">
        <v>74.0</v>
      </c>
      <c r="D65" s="67">
        <v>46218.0</v>
      </c>
      <c r="E65" s="27">
        <v>1.0</v>
      </c>
      <c r="F65" s="27" t="s">
        <v>34</v>
      </c>
      <c r="G65" s="27" t="s">
        <v>165</v>
      </c>
      <c r="H65" s="27">
        <v>14.0</v>
      </c>
      <c r="I65" s="27" t="s">
        <v>96</v>
      </c>
      <c r="J65" s="27" t="s">
        <v>72</v>
      </c>
      <c r="K65" s="27" t="s">
        <v>36</v>
      </c>
      <c r="L65" s="27"/>
      <c r="M65" s="7"/>
      <c r="N65" s="27" t="s">
        <v>278</v>
      </c>
      <c r="O65" s="27"/>
      <c r="P65" s="27"/>
      <c r="Q65" s="7"/>
      <c r="R65" s="28">
        <v>3255.0</v>
      </c>
      <c r="S65" s="18">
        <f>FRESADO!$R65*FRESADO!$E65</f>
        <v>3255</v>
      </c>
      <c r="T65" s="18">
        <f>FRESADO!$S65*16%</f>
        <v>520.8</v>
      </c>
      <c r="U65" s="18">
        <f>FRESADO!$S65+FRESADO!$T65</f>
        <v>3775.8</v>
      </c>
      <c r="V65" s="28" t="s">
        <v>113</v>
      </c>
      <c r="W65" s="18"/>
      <c r="X65" s="16"/>
      <c r="Y65" s="25"/>
    </row>
    <row r="66" ht="15.75" hidden="1" customHeight="1">
      <c r="A66" s="27">
        <v>29.0</v>
      </c>
      <c r="B66" s="27">
        <v>18.0</v>
      </c>
      <c r="C66" s="66">
        <v>75.0</v>
      </c>
      <c r="D66" s="67">
        <v>46218.0</v>
      </c>
      <c r="E66" s="27">
        <v>1.0</v>
      </c>
      <c r="F66" s="27" t="s">
        <v>34</v>
      </c>
      <c r="G66" s="69" t="s">
        <v>248</v>
      </c>
      <c r="H66" s="27">
        <v>14.0</v>
      </c>
      <c r="I66" s="27" t="s">
        <v>96</v>
      </c>
      <c r="J66" s="27" t="s">
        <v>104</v>
      </c>
      <c r="K66" s="27" t="s">
        <v>36</v>
      </c>
      <c r="L66" s="27"/>
      <c r="M66" s="7"/>
      <c r="N66" s="27" t="s">
        <v>278</v>
      </c>
      <c r="O66" s="27"/>
      <c r="P66" s="27"/>
      <c r="Q66" s="7"/>
      <c r="R66" s="28">
        <v>3255.0</v>
      </c>
      <c r="S66" s="18">
        <f>FRESADO!$R66*FRESADO!$E66</f>
        <v>3255</v>
      </c>
      <c r="T66" s="18">
        <f>FRESADO!$S66*16%</f>
        <v>520.8</v>
      </c>
      <c r="U66" s="18">
        <f>FRESADO!$S66+FRESADO!$T66</f>
        <v>3775.8</v>
      </c>
      <c r="V66" s="28" t="s">
        <v>113</v>
      </c>
      <c r="W66" s="18"/>
      <c r="X66" s="16"/>
      <c r="Y66" s="25"/>
    </row>
    <row r="67" ht="15.75" hidden="1" customHeight="1">
      <c r="A67" s="27">
        <v>29.0</v>
      </c>
      <c r="B67" s="27">
        <v>19.0</v>
      </c>
      <c r="C67" s="66">
        <v>76.0</v>
      </c>
      <c r="D67" s="67">
        <v>46218.0</v>
      </c>
      <c r="E67" s="27">
        <v>1.0</v>
      </c>
      <c r="F67" s="27" t="s">
        <v>286</v>
      </c>
      <c r="G67" s="27" t="s">
        <v>250</v>
      </c>
      <c r="H67" s="27">
        <v>14.0</v>
      </c>
      <c r="I67" s="27" t="s">
        <v>96</v>
      </c>
      <c r="J67" s="27" t="s">
        <v>54</v>
      </c>
      <c r="K67" s="27" t="s">
        <v>36</v>
      </c>
      <c r="L67" s="27"/>
      <c r="M67" s="7"/>
      <c r="N67" s="27" t="s">
        <v>287</v>
      </c>
      <c r="O67" s="27"/>
      <c r="P67" s="27"/>
      <c r="Q67" s="7"/>
      <c r="R67" s="28">
        <v>6720.0</v>
      </c>
      <c r="S67" s="18">
        <f>FRESADO!$R67*FRESADO!$E67</f>
        <v>6720</v>
      </c>
      <c r="T67" s="18">
        <f>FRESADO!$S67*16%</f>
        <v>1075.2</v>
      </c>
      <c r="U67" s="18">
        <f>FRESADO!$S67+FRESADO!$T67</f>
        <v>7795.2</v>
      </c>
      <c r="V67" s="28" t="s">
        <v>113</v>
      </c>
      <c r="W67" s="18"/>
      <c r="X67" s="16"/>
      <c r="Y67" s="25"/>
    </row>
    <row r="68" ht="15.75" hidden="1" customHeight="1">
      <c r="A68" s="27">
        <v>29.0</v>
      </c>
      <c r="B68" s="27">
        <v>20.0</v>
      </c>
      <c r="C68" s="66">
        <v>77.0</v>
      </c>
      <c r="D68" s="67">
        <v>46218.0</v>
      </c>
      <c r="E68" s="27">
        <v>1.0</v>
      </c>
      <c r="F68" s="51" t="s">
        <v>159</v>
      </c>
      <c r="G68" s="27" t="s">
        <v>274</v>
      </c>
      <c r="H68" s="27">
        <v>10.0</v>
      </c>
      <c r="I68" s="27" t="s">
        <v>96</v>
      </c>
      <c r="J68" s="27" t="s">
        <v>161</v>
      </c>
      <c r="K68" s="27" t="s">
        <v>36</v>
      </c>
      <c r="L68" s="27"/>
      <c r="M68" s="7"/>
      <c r="N68" s="27" t="s">
        <v>275</v>
      </c>
      <c r="O68" s="27"/>
      <c r="P68" s="27"/>
      <c r="Q68" s="7"/>
      <c r="R68" s="28">
        <v>5400.0</v>
      </c>
      <c r="S68" s="18">
        <f>FRESADO!$R68*FRESADO!$E68</f>
        <v>5400</v>
      </c>
      <c r="T68" s="18">
        <f>FRESADO!$S68*16%</f>
        <v>864</v>
      </c>
      <c r="U68" s="18">
        <f>FRESADO!$S68+FRESADO!$T68</f>
        <v>6264</v>
      </c>
      <c r="V68" s="28" t="s">
        <v>113</v>
      </c>
      <c r="W68" s="18"/>
      <c r="X68" s="16"/>
      <c r="Y68" s="25"/>
    </row>
    <row r="69" ht="15.75" hidden="1" customHeight="1">
      <c r="A69" s="27">
        <v>29.0</v>
      </c>
      <c r="B69" s="27">
        <v>21.0</v>
      </c>
      <c r="C69" s="66">
        <v>78.0</v>
      </c>
      <c r="D69" s="67">
        <v>46219.0</v>
      </c>
      <c r="E69" s="27">
        <v>1.0</v>
      </c>
      <c r="F69" s="27" t="s">
        <v>34</v>
      </c>
      <c r="G69" s="27" t="s">
        <v>176</v>
      </c>
      <c r="H69" s="27">
        <v>14.0</v>
      </c>
      <c r="I69" s="27" t="s">
        <v>96</v>
      </c>
      <c r="J69" s="27" t="s">
        <v>40</v>
      </c>
      <c r="K69" s="27" t="s">
        <v>36</v>
      </c>
      <c r="L69" s="27"/>
      <c r="M69" s="7"/>
      <c r="N69" s="27" t="s">
        <v>290</v>
      </c>
      <c r="O69" s="27"/>
      <c r="P69" s="27"/>
      <c r="Q69" s="7"/>
      <c r="R69" s="28">
        <v>2400.0</v>
      </c>
      <c r="S69" s="18">
        <f>FRESADO!$R69*FRESADO!$E69</f>
        <v>2400</v>
      </c>
      <c r="T69" s="18">
        <f>FRESADO!$S69*16%</f>
        <v>384</v>
      </c>
      <c r="U69" s="18">
        <f>FRESADO!$S69+FRESADO!$T69</f>
        <v>2784</v>
      </c>
      <c r="V69" s="28" t="s">
        <v>113</v>
      </c>
      <c r="W69" s="18"/>
      <c r="X69" s="16"/>
      <c r="Y69" s="25"/>
    </row>
    <row r="70" ht="15.75" hidden="1" customHeight="1">
      <c r="A70" s="27">
        <v>29.0</v>
      </c>
      <c r="B70" s="27">
        <v>22.0</v>
      </c>
      <c r="C70" s="66">
        <v>79.0</v>
      </c>
      <c r="D70" s="67">
        <v>46219.0</v>
      </c>
      <c r="E70" s="27">
        <v>1.0</v>
      </c>
      <c r="F70" s="27" t="s">
        <v>34</v>
      </c>
      <c r="G70" s="27" t="s">
        <v>124</v>
      </c>
      <c r="H70" s="27">
        <v>14.0</v>
      </c>
      <c r="I70" s="27" t="s">
        <v>96</v>
      </c>
      <c r="J70" s="27" t="s">
        <v>198</v>
      </c>
      <c r="K70" s="27" t="s">
        <v>36</v>
      </c>
      <c r="L70" s="27"/>
      <c r="M70" s="7"/>
      <c r="N70" s="27" t="s">
        <v>193</v>
      </c>
      <c r="O70" s="27"/>
      <c r="P70" s="27"/>
      <c r="Q70" s="7"/>
      <c r="R70" s="28">
        <v>2400.0</v>
      </c>
      <c r="S70" s="18">
        <f>FRESADO!$R70*FRESADO!$E70</f>
        <v>2400</v>
      </c>
      <c r="T70" s="18">
        <f>FRESADO!$S70*16%</f>
        <v>384</v>
      </c>
      <c r="U70" s="18">
        <f>FRESADO!$S70+FRESADO!$T70</f>
        <v>2784</v>
      </c>
      <c r="V70" s="28" t="s">
        <v>113</v>
      </c>
      <c r="W70" s="18"/>
      <c r="X70" s="16"/>
      <c r="Y70" s="25"/>
    </row>
    <row r="71" ht="15.75" hidden="1" customHeight="1">
      <c r="A71" s="27">
        <v>29.0</v>
      </c>
      <c r="B71" s="27">
        <v>23.0</v>
      </c>
      <c r="C71" s="66">
        <v>80.0</v>
      </c>
      <c r="D71" s="67">
        <v>46219.0</v>
      </c>
      <c r="E71" s="27">
        <v>1.0</v>
      </c>
      <c r="F71" s="27" t="s">
        <v>34</v>
      </c>
      <c r="G71" s="27" t="s">
        <v>294</v>
      </c>
      <c r="H71" s="27">
        <v>14.0</v>
      </c>
      <c r="I71" s="27" t="s">
        <v>96</v>
      </c>
      <c r="J71" s="27" t="s">
        <v>201</v>
      </c>
      <c r="K71" s="27" t="s">
        <v>36</v>
      </c>
      <c r="L71" s="27"/>
      <c r="M71" s="7"/>
      <c r="N71" s="27" t="s">
        <v>193</v>
      </c>
      <c r="O71" s="27"/>
      <c r="P71" s="27"/>
      <c r="Q71" s="7"/>
      <c r="R71" s="28">
        <v>2400.0</v>
      </c>
      <c r="S71" s="18">
        <f>FRESADO!$R71*FRESADO!$E71</f>
        <v>2400</v>
      </c>
      <c r="T71" s="18">
        <f>FRESADO!$S71*16%</f>
        <v>384</v>
      </c>
      <c r="U71" s="18">
        <f>FRESADO!$S71+FRESADO!$T71</f>
        <v>2784</v>
      </c>
      <c r="V71" s="28" t="s">
        <v>113</v>
      </c>
      <c r="W71" s="18"/>
      <c r="X71" s="16"/>
      <c r="Y71" s="25"/>
    </row>
    <row r="72" ht="15.75" hidden="1" customHeight="1">
      <c r="A72" s="27">
        <v>29.0</v>
      </c>
      <c r="B72" s="27">
        <v>24.0</v>
      </c>
      <c r="C72" s="66">
        <v>81.0</v>
      </c>
      <c r="D72" s="67">
        <v>46219.0</v>
      </c>
      <c r="E72" s="27">
        <v>1.0</v>
      </c>
      <c r="F72" s="27" t="s">
        <v>34</v>
      </c>
      <c r="G72" s="27" t="s">
        <v>211</v>
      </c>
      <c r="H72" s="27">
        <v>14.0</v>
      </c>
      <c r="I72" s="27" t="s">
        <v>96</v>
      </c>
      <c r="J72" s="27" t="s">
        <v>78</v>
      </c>
      <c r="K72" s="27" t="s">
        <v>36</v>
      </c>
      <c r="L72" s="27"/>
      <c r="M72" s="7"/>
      <c r="N72" s="27" t="s">
        <v>193</v>
      </c>
      <c r="O72" s="27"/>
      <c r="P72" s="27"/>
      <c r="Q72" s="7"/>
      <c r="R72" s="28">
        <v>2400.0</v>
      </c>
      <c r="S72" s="18">
        <f>FRESADO!$R72*FRESADO!$E72</f>
        <v>2400</v>
      </c>
      <c r="T72" s="18">
        <f>FRESADO!$S72*16%</f>
        <v>384</v>
      </c>
      <c r="U72" s="18">
        <f>FRESADO!$S72+FRESADO!$T72</f>
        <v>2784</v>
      </c>
      <c r="V72" s="28" t="s">
        <v>113</v>
      </c>
      <c r="W72" s="18"/>
      <c r="X72" s="16"/>
      <c r="Y72" s="25"/>
    </row>
    <row r="73" ht="15.75" hidden="1" customHeight="1">
      <c r="A73" s="27">
        <v>29.0</v>
      </c>
      <c r="B73" s="27">
        <v>25.0</v>
      </c>
      <c r="C73" s="66">
        <v>82.0</v>
      </c>
      <c r="D73" s="67">
        <v>46219.0</v>
      </c>
      <c r="E73" s="27">
        <v>1.0</v>
      </c>
      <c r="F73" s="27" t="s">
        <v>34</v>
      </c>
      <c r="G73" s="27" t="s">
        <v>296</v>
      </c>
      <c r="H73" s="27">
        <v>7.0</v>
      </c>
      <c r="I73" s="27" t="s">
        <v>96</v>
      </c>
      <c r="J73" s="27" t="s">
        <v>190</v>
      </c>
      <c r="K73" s="27" t="s">
        <v>36</v>
      </c>
      <c r="L73" s="27"/>
      <c r="M73" s="7"/>
      <c r="N73" s="27" t="s">
        <v>193</v>
      </c>
      <c r="O73" s="27"/>
      <c r="P73" s="27"/>
      <c r="Q73" s="7"/>
      <c r="R73" s="28">
        <v>1200.0</v>
      </c>
      <c r="S73" s="18">
        <f>FRESADO!$R73*FRESADO!$E73</f>
        <v>1200</v>
      </c>
      <c r="T73" s="18">
        <f>FRESADO!$S73*16%</f>
        <v>192</v>
      </c>
      <c r="U73" s="18">
        <f>FRESADO!$S73+FRESADO!$T73</f>
        <v>1392</v>
      </c>
      <c r="V73" s="28" t="s">
        <v>113</v>
      </c>
      <c r="W73" s="18"/>
      <c r="X73" s="16"/>
      <c r="Y73" s="25"/>
    </row>
    <row r="74" ht="15.75" hidden="1" customHeight="1">
      <c r="A74" s="27">
        <v>29.0</v>
      </c>
      <c r="B74" s="27">
        <v>26.0</v>
      </c>
      <c r="C74" s="66">
        <v>83.0</v>
      </c>
      <c r="D74" s="67">
        <v>46219.0</v>
      </c>
      <c r="E74" s="27">
        <v>1.0</v>
      </c>
      <c r="F74" s="27" t="s">
        <v>34</v>
      </c>
      <c r="G74" s="27" t="s">
        <v>250</v>
      </c>
      <c r="H74" s="27">
        <v>14.0</v>
      </c>
      <c r="I74" s="27" t="s">
        <v>96</v>
      </c>
      <c r="J74" s="27" t="s">
        <v>54</v>
      </c>
      <c r="K74" s="27" t="s">
        <v>36</v>
      </c>
      <c r="L74" s="27"/>
      <c r="M74" s="7"/>
      <c r="N74" s="27" t="s">
        <v>193</v>
      </c>
      <c r="O74" s="27"/>
      <c r="P74" s="27"/>
      <c r="Q74" s="7"/>
      <c r="R74" s="28">
        <v>2400.0</v>
      </c>
      <c r="S74" s="18">
        <f>FRESADO!$R74*FRESADO!$E74</f>
        <v>2400</v>
      </c>
      <c r="T74" s="18">
        <f>FRESADO!$S74*16%</f>
        <v>384</v>
      </c>
      <c r="U74" s="18">
        <f>FRESADO!$S74+FRESADO!$T74</f>
        <v>2784</v>
      </c>
      <c r="V74" s="28" t="s">
        <v>113</v>
      </c>
      <c r="W74" s="18"/>
      <c r="X74" s="16"/>
      <c r="Y74" s="25"/>
    </row>
    <row r="75" ht="15.75" hidden="1" customHeight="1">
      <c r="A75" s="27">
        <v>29.0</v>
      </c>
      <c r="B75" s="27">
        <v>27.0</v>
      </c>
      <c r="C75" s="66">
        <v>84.0</v>
      </c>
      <c r="D75" s="67">
        <v>46219.0</v>
      </c>
      <c r="E75" s="27">
        <v>1.0</v>
      </c>
      <c r="F75" s="27" t="s">
        <v>34</v>
      </c>
      <c r="G75" s="27" t="s">
        <v>176</v>
      </c>
      <c r="H75" s="27">
        <v>14.0</v>
      </c>
      <c r="I75" s="27" t="s">
        <v>96</v>
      </c>
      <c r="J75" s="27" t="s">
        <v>40</v>
      </c>
      <c r="K75" s="27" t="s">
        <v>36</v>
      </c>
      <c r="L75" s="27"/>
      <c r="M75" s="7"/>
      <c r="N75" s="27" t="s">
        <v>278</v>
      </c>
      <c r="O75" s="27"/>
      <c r="P75" s="27"/>
      <c r="Q75" s="7"/>
      <c r="R75" s="28">
        <v>3255.0</v>
      </c>
      <c r="S75" s="18">
        <f>FRESADO!$R75*FRESADO!$E75</f>
        <v>3255</v>
      </c>
      <c r="T75" s="18">
        <f>FRESADO!$S75*16%</f>
        <v>520.8</v>
      </c>
      <c r="U75" s="18">
        <f>FRESADO!$S75+FRESADO!$T75</f>
        <v>3775.8</v>
      </c>
      <c r="V75" s="28" t="s">
        <v>113</v>
      </c>
      <c r="W75" s="18"/>
      <c r="X75" s="16"/>
      <c r="Y75" s="25"/>
    </row>
    <row r="76" ht="15.75" hidden="1" customHeight="1">
      <c r="A76" s="27">
        <v>29.0</v>
      </c>
      <c r="B76" s="27">
        <v>28.0</v>
      </c>
      <c r="C76" s="66">
        <v>85.0</v>
      </c>
      <c r="D76" s="67">
        <v>46219.0</v>
      </c>
      <c r="E76" s="27">
        <v>1.0</v>
      </c>
      <c r="F76" s="27" t="s">
        <v>34</v>
      </c>
      <c r="G76" s="27" t="s">
        <v>124</v>
      </c>
      <c r="H76" s="27">
        <v>14.0</v>
      </c>
      <c r="I76" s="27" t="s">
        <v>96</v>
      </c>
      <c r="J76" s="27" t="s">
        <v>198</v>
      </c>
      <c r="K76" s="27" t="s">
        <v>36</v>
      </c>
      <c r="L76" s="27"/>
      <c r="M76" s="7"/>
      <c r="N76" s="27" t="s">
        <v>278</v>
      </c>
      <c r="O76" s="27"/>
      <c r="P76" s="27"/>
      <c r="Q76" s="7"/>
      <c r="R76" s="28">
        <v>3255.0</v>
      </c>
      <c r="S76" s="18">
        <f>FRESADO!$R76*FRESADO!$E76</f>
        <v>3255</v>
      </c>
      <c r="T76" s="18">
        <f>FRESADO!$S76*16%</f>
        <v>520.8</v>
      </c>
      <c r="U76" s="18">
        <f>FRESADO!$S76+FRESADO!$T76</f>
        <v>3775.8</v>
      </c>
      <c r="V76" s="28" t="s">
        <v>113</v>
      </c>
      <c r="W76" s="18"/>
      <c r="X76" s="16"/>
      <c r="Y76" s="25"/>
    </row>
    <row r="77" ht="15.75" hidden="1" customHeight="1">
      <c r="A77" s="27">
        <v>29.0</v>
      </c>
      <c r="B77" s="27">
        <v>29.0</v>
      </c>
      <c r="C77" s="66">
        <v>86.0</v>
      </c>
      <c r="D77" s="67">
        <v>46219.0</v>
      </c>
      <c r="E77" s="27">
        <v>1.0</v>
      </c>
      <c r="F77" s="27" t="s">
        <v>34</v>
      </c>
      <c r="G77" s="27" t="s">
        <v>294</v>
      </c>
      <c r="H77" s="27">
        <v>14.0</v>
      </c>
      <c r="I77" s="27" t="s">
        <v>96</v>
      </c>
      <c r="J77" s="27" t="s">
        <v>201</v>
      </c>
      <c r="K77" s="27" t="s">
        <v>36</v>
      </c>
      <c r="L77" s="27"/>
      <c r="M77" s="7"/>
      <c r="N77" s="27" t="s">
        <v>193</v>
      </c>
      <c r="O77" s="27"/>
      <c r="P77" s="27"/>
      <c r="Q77" s="7"/>
      <c r="R77" s="28">
        <v>2400.0</v>
      </c>
      <c r="S77" s="18">
        <f>FRESADO!$R77*FRESADO!$E77</f>
        <v>2400</v>
      </c>
      <c r="T77" s="18">
        <f>FRESADO!$S77*16%</f>
        <v>384</v>
      </c>
      <c r="U77" s="18">
        <f>FRESADO!$S77+FRESADO!$T77</f>
        <v>2784</v>
      </c>
      <c r="V77" s="28" t="s">
        <v>113</v>
      </c>
      <c r="W77" s="18"/>
      <c r="X77" s="16"/>
      <c r="Y77" s="25"/>
    </row>
    <row r="78" ht="15.75" hidden="1" customHeight="1">
      <c r="A78" s="27">
        <v>29.0</v>
      </c>
      <c r="B78" s="27">
        <v>30.0</v>
      </c>
      <c r="C78" s="66">
        <v>87.0</v>
      </c>
      <c r="D78" s="67">
        <v>46219.0</v>
      </c>
      <c r="E78" s="27">
        <v>1.0</v>
      </c>
      <c r="F78" s="27" t="s">
        <v>34</v>
      </c>
      <c r="G78" s="27" t="s">
        <v>211</v>
      </c>
      <c r="H78" s="27">
        <v>14.0</v>
      </c>
      <c r="I78" s="27" t="s">
        <v>96</v>
      </c>
      <c r="J78" s="27" t="s">
        <v>78</v>
      </c>
      <c r="K78" s="27" t="s">
        <v>36</v>
      </c>
      <c r="L78" s="27"/>
      <c r="M78" s="7"/>
      <c r="N78" s="27" t="s">
        <v>278</v>
      </c>
      <c r="O78" s="27"/>
      <c r="P78" s="27"/>
      <c r="Q78" s="7"/>
      <c r="R78" s="28">
        <v>3255.0</v>
      </c>
      <c r="S78" s="18">
        <f>FRESADO!$R78*FRESADO!$E78</f>
        <v>3255</v>
      </c>
      <c r="T78" s="18">
        <f>FRESADO!$S78*16%</f>
        <v>520.8</v>
      </c>
      <c r="U78" s="18">
        <f>FRESADO!$S78+FRESADO!$T78</f>
        <v>3775.8</v>
      </c>
      <c r="V78" s="28" t="s">
        <v>113</v>
      </c>
      <c r="W78" s="18"/>
      <c r="X78" s="16"/>
      <c r="Y78" s="25"/>
    </row>
    <row r="79" ht="15.75" hidden="1" customHeight="1">
      <c r="A79" s="27">
        <v>29.0</v>
      </c>
      <c r="B79" s="27">
        <v>31.0</v>
      </c>
      <c r="C79" s="66">
        <v>88.0</v>
      </c>
      <c r="D79" s="67">
        <v>46219.0</v>
      </c>
      <c r="E79" s="27">
        <v>1.0</v>
      </c>
      <c r="F79" s="27" t="s">
        <v>34</v>
      </c>
      <c r="G79" s="27" t="s">
        <v>296</v>
      </c>
      <c r="H79" s="27">
        <v>7.0</v>
      </c>
      <c r="I79" s="27" t="s">
        <v>96</v>
      </c>
      <c r="J79" s="27" t="s">
        <v>190</v>
      </c>
      <c r="K79" s="27" t="s">
        <v>36</v>
      </c>
      <c r="L79" s="27"/>
      <c r="M79" s="7"/>
      <c r="N79" s="27" t="s">
        <v>193</v>
      </c>
      <c r="O79" s="27"/>
      <c r="P79" s="27"/>
      <c r="Q79" s="7"/>
      <c r="R79" s="28">
        <v>1200.0</v>
      </c>
      <c r="S79" s="18">
        <f>FRESADO!$R79*FRESADO!$E79</f>
        <v>1200</v>
      </c>
      <c r="T79" s="18">
        <f>FRESADO!$S79*16%</f>
        <v>192</v>
      </c>
      <c r="U79" s="18">
        <f>FRESADO!$S79+FRESADO!$T79</f>
        <v>1392</v>
      </c>
      <c r="V79" s="28" t="s">
        <v>113</v>
      </c>
      <c r="W79" s="18"/>
      <c r="X79" s="16"/>
      <c r="Y79" s="25"/>
    </row>
    <row r="80" ht="15.75" hidden="1" customHeight="1">
      <c r="A80" s="27">
        <v>29.0</v>
      </c>
      <c r="B80" s="27">
        <v>32.0</v>
      </c>
      <c r="C80" s="66">
        <v>89.0</v>
      </c>
      <c r="D80" s="67">
        <v>46219.0</v>
      </c>
      <c r="E80" s="27">
        <v>1.0</v>
      </c>
      <c r="F80" s="27" t="s">
        <v>34</v>
      </c>
      <c r="G80" s="27" t="s">
        <v>250</v>
      </c>
      <c r="H80" s="27">
        <v>14.0</v>
      </c>
      <c r="I80" s="27" t="s">
        <v>96</v>
      </c>
      <c r="J80" s="27" t="s">
        <v>54</v>
      </c>
      <c r="K80" s="27" t="s">
        <v>36</v>
      </c>
      <c r="L80" s="27"/>
      <c r="M80" s="7"/>
      <c r="N80" s="27" t="s">
        <v>278</v>
      </c>
      <c r="O80" s="27"/>
      <c r="P80" s="27"/>
      <c r="Q80" s="7"/>
      <c r="R80" s="28">
        <v>3255.0</v>
      </c>
      <c r="S80" s="18">
        <f>FRESADO!$R80*FRESADO!$E80</f>
        <v>3255</v>
      </c>
      <c r="T80" s="18">
        <f>FRESADO!$S80*16%</f>
        <v>520.8</v>
      </c>
      <c r="U80" s="18">
        <f>FRESADO!$S80+FRESADO!$T80</f>
        <v>3775.8</v>
      </c>
      <c r="V80" s="28" t="s">
        <v>113</v>
      </c>
      <c r="W80" s="18"/>
      <c r="X80" s="16"/>
      <c r="Y80" s="25"/>
    </row>
    <row r="81" ht="15.75" hidden="1" customHeight="1">
      <c r="A81" s="27">
        <v>29.0</v>
      </c>
      <c r="B81" s="27">
        <v>33.0</v>
      </c>
      <c r="C81" s="66">
        <v>90.0</v>
      </c>
      <c r="D81" s="67">
        <v>46219.0</v>
      </c>
      <c r="E81" s="27">
        <v>1.0</v>
      </c>
      <c r="F81" s="27" t="s">
        <v>34</v>
      </c>
      <c r="G81" s="27" t="s">
        <v>294</v>
      </c>
      <c r="H81" s="27">
        <v>14.0</v>
      </c>
      <c r="I81" s="27" t="s">
        <v>96</v>
      </c>
      <c r="J81" s="27" t="s">
        <v>201</v>
      </c>
      <c r="K81" s="27" t="s">
        <v>36</v>
      </c>
      <c r="L81" s="27"/>
      <c r="M81" s="7"/>
      <c r="N81" s="27" t="s">
        <v>193</v>
      </c>
      <c r="O81" s="27"/>
      <c r="P81" s="27"/>
      <c r="Q81" s="7"/>
      <c r="R81" s="28">
        <v>2400.0</v>
      </c>
      <c r="S81" s="18">
        <f>FRESADO!$R81*FRESADO!$E81</f>
        <v>2400</v>
      </c>
      <c r="T81" s="18">
        <f>FRESADO!$S81*16%</f>
        <v>384</v>
      </c>
      <c r="U81" s="18">
        <f>FRESADO!$S81+FRESADO!$T81</f>
        <v>2784</v>
      </c>
      <c r="V81" s="28" t="s">
        <v>113</v>
      </c>
      <c r="W81" s="18"/>
      <c r="X81" s="16"/>
      <c r="Y81" s="25"/>
    </row>
    <row r="82" ht="15.75" hidden="1" customHeight="1">
      <c r="A82" s="27">
        <v>29.0</v>
      </c>
      <c r="B82" s="27">
        <v>34.0</v>
      </c>
      <c r="C82" s="66">
        <v>91.0</v>
      </c>
      <c r="D82" s="67">
        <v>46219.0</v>
      </c>
      <c r="E82" s="27">
        <v>1.0</v>
      </c>
      <c r="F82" s="27" t="s">
        <v>34</v>
      </c>
      <c r="G82" s="27" t="s">
        <v>296</v>
      </c>
      <c r="H82" s="27">
        <v>7.0</v>
      </c>
      <c r="I82" s="27" t="s">
        <v>96</v>
      </c>
      <c r="J82" s="27" t="s">
        <v>190</v>
      </c>
      <c r="K82" s="27" t="s">
        <v>36</v>
      </c>
      <c r="L82" s="27"/>
      <c r="M82" s="7"/>
      <c r="N82" s="27" t="s">
        <v>193</v>
      </c>
      <c r="O82" s="27"/>
      <c r="P82" s="27"/>
      <c r="Q82" s="7"/>
      <c r="R82" s="28">
        <v>1200.0</v>
      </c>
      <c r="S82" s="18">
        <f>FRESADO!$R82*FRESADO!$E82</f>
        <v>1200</v>
      </c>
      <c r="T82" s="18">
        <f>FRESADO!$S82*16%</f>
        <v>192</v>
      </c>
      <c r="U82" s="18">
        <f>FRESADO!$S82+FRESADO!$T82</f>
        <v>1392</v>
      </c>
      <c r="V82" s="28" t="s">
        <v>113</v>
      </c>
      <c r="W82" s="18"/>
      <c r="X82" s="16"/>
      <c r="Y82" s="25"/>
    </row>
    <row r="83" ht="15.75" hidden="1" customHeight="1">
      <c r="A83" s="27">
        <v>29.0</v>
      </c>
      <c r="B83" s="27">
        <v>35.0</v>
      </c>
      <c r="C83" s="66">
        <v>92.0</v>
      </c>
      <c r="D83" s="67">
        <v>46219.0</v>
      </c>
      <c r="E83" s="27">
        <v>1.0</v>
      </c>
      <c r="F83" s="27" t="s">
        <v>34</v>
      </c>
      <c r="G83" s="27" t="s">
        <v>176</v>
      </c>
      <c r="H83" s="27">
        <v>14.0</v>
      </c>
      <c r="I83" s="27" t="s">
        <v>96</v>
      </c>
      <c r="J83" s="27" t="s">
        <v>40</v>
      </c>
      <c r="K83" s="27" t="s">
        <v>36</v>
      </c>
      <c r="L83" s="27"/>
      <c r="M83" s="7"/>
      <c r="N83" s="27" t="s">
        <v>193</v>
      </c>
      <c r="O83" s="27"/>
      <c r="P83" s="27"/>
      <c r="Q83" s="7"/>
      <c r="R83" s="28">
        <v>2400.0</v>
      </c>
      <c r="S83" s="18">
        <f>FRESADO!$R83*FRESADO!$E83</f>
        <v>2400</v>
      </c>
      <c r="T83" s="18">
        <f>FRESADO!$S83*16%</f>
        <v>384</v>
      </c>
      <c r="U83" s="18">
        <f>FRESADO!$S83+FRESADO!$T83</f>
        <v>2784</v>
      </c>
      <c r="V83" s="28" t="s">
        <v>113</v>
      </c>
      <c r="W83" s="18"/>
      <c r="X83" s="16"/>
      <c r="Y83" s="25"/>
    </row>
    <row r="84" ht="15.75" hidden="1" customHeight="1">
      <c r="A84" s="27">
        <v>29.0</v>
      </c>
      <c r="B84" s="27">
        <v>36.0</v>
      </c>
      <c r="C84" s="66">
        <v>93.0</v>
      </c>
      <c r="D84" s="67">
        <v>46219.0</v>
      </c>
      <c r="E84" s="27">
        <v>1.0</v>
      </c>
      <c r="F84" s="27" t="s">
        <v>34</v>
      </c>
      <c r="G84" s="27" t="s">
        <v>124</v>
      </c>
      <c r="H84" s="27">
        <v>14.0</v>
      </c>
      <c r="I84" s="27" t="s">
        <v>96</v>
      </c>
      <c r="J84" s="27" t="s">
        <v>198</v>
      </c>
      <c r="K84" s="27" t="s">
        <v>36</v>
      </c>
      <c r="L84" s="27"/>
      <c r="M84" s="7"/>
      <c r="N84" s="27" t="s">
        <v>193</v>
      </c>
      <c r="O84" s="27"/>
      <c r="P84" s="27"/>
      <c r="Q84" s="7"/>
      <c r="R84" s="28">
        <v>2400.0</v>
      </c>
      <c r="S84" s="18">
        <f>FRESADO!$R84*FRESADO!$E84</f>
        <v>2400</v>
      </c>
      <c r="T84" s="18">
        <f>FRESADO!$S84*16%</f>
        <v>384</v>
      </c>
      <c r="U84" s="18">
        <f>FRESADO!$S84+FRESADO!$T84</f>
        <v>2784</v>
      </c>
      <c r="V84" s="28" t="s">
        <v>113</v>
      </c>
      <c r="W84" s="18"/>
      <c r="X84" s="16"/>
      <c r="Y84" s="25"/>
    </row>
    <row r="85" ht="15.75" hidden="1" customHeight="1">
      <c r="A85" s="27">
        <v>29.0</v>
      </c>
      <c r="B85" s="27">
        <v>37.0</v>
      </c>
      <c r="C85" s="66">
        <v>94.0</v>
      </c>
      <c r="D85" s="67">
        <v>46219.0</v>
      </c>
      <c r="E85" s="27">
        <v>1.0</v>
      </c>
      <c r="F85" s="27" t="s">
        <v>34</v>
      </c>
      <c r="G85" s="27" t="s">
        <v>250</v>
      </c>
      <c r="H85" s="27">
        <v>14.0</v>
      </c>
      <c r="I85" s="27" t="s">
        <v>96</v>
      </c>
      <c r="J85" s="27" t="s">
        <v>54</v>
      </c>
      <c r="K85" s="27" t="s">
        <v>36</v>
      </c>
      <c r="L85" s="27"/>
      <c r="M85" s="7"/>
      <c r="N85" s="27" t="s">
        <v>193</v>
      </c>
      <c r="O85" s="27"/>
      <c r="P85" s="27"/>
      <c r="Q85" s="7"/>
      <c r="R85" s="28">
        <v>2400.0</v>
      </c>
      <c r="S85" s="18">
        <f>FRESADO!$R85*FRESADO!$E85</f>
        <v>2400</v>
      </c>
      <c r="T85" s="18">
        <f>FRESADO!$S85*16%</f>
        <v>384</v>
      </c>
      <c r="U85" s="18">
        <f>FRESADO!$S85+FRESADO!$T85</f>
        <v>2784</v>
      </c>
      <c r="V85" s="28" t="s">
        <v>113</v>
      </c>
      <c r="W85" s="18"/>
      <c r="X85" s="16"/>
      <c r="Y85" s="25"/>
    </row>
    <row r="86" ht="15.75" hidden="1" customHeight="1">
      <c r="A86" s="27">
        <v>29.0</v>
      </c>
      <c r="B86" s="27">
        <v>38.0</v>
      </c>
      <c r="C86" s="66">
        <v>95.0</v>
      </c>
      <c r="D86" s="67">
        <v>46219.0</v>
      </c>
      <c r="E86" s="27">
        <v>1.0</v>
      </c>
      <c r="F86" s="27" t="s">
        <v>286</v>
      </c>
      <c r="G86" s="27" t="s">
        <v>294</v>
      </c>
      <c r="H86" s="27">
        <v>14.0</v>
      </c>
      <c r="I86" s="27" t="s">
        <v>96</v>
      </c>
      <c r="J86" s="27" t="s">
        <v>201</v>
      </c>
      <c r="K86" s="27" t="s">
        <v>36</v>
      </c>
      <c r="L86" s="27"/>
      <c r="M86" s="7"/>
      <c r="N86" s="27" t="s">
        <v>193</v>
      </c>
      <c r="O86" s="27"/>
      <c r="P86" s="27"/>
      <c r="Q86" s="7"/>
      <c r="R86" s="28">
        <v>1848.0</v>
      </c>
      <c r="S86" s="18">
        <f>FRESADO!$R86*FRESADO!$E86</f>
        <v>1848</v>
      </c>
      <c r="T86" s="18">
        <f>FRESADO!$S86*16%</f>
        <v>295.68</v>
      </c>
      <c r="U86" s="18">
        <f>FRESADO!$S86+FRESADO!$T86</f>
        <v>2143.68</v>
      </c>
      <c r="V86" s="28" t="s">
        <v>113</v>
      </c>
      <c r="W86" s="18"/>
      <c r="X86" s="16"/>
      <c r="Y86" s="25"/>
    </row>
    <row r="87" ht="15.75" hidden="1" customHeight="1">
      <c r="A87" s="27">
        <v>29.0</v>
      </c>
      <c r="B87" s="27">
        <v>39.0</v>
      </c>
      <c r="C87" s="66">
        <v>96.0</v>
      </c>
      <c r="D87" s="67">
        <v>46219.0</v>
      </c>
      <c r="E87" s="27">
        <v>1.0</v>
      </c>
      <c r="F87" s="51" t="s">
        <v>159</v>
      </c>
      <c r="G87" s="27" t="s">
        <v>312</v>
      </c>
      <c r="H87" s="27">
        <v>10.0</v>
      </c>
      <c r="I87" s="27" t="s">
        <v>96</v>
      </c>
      <c r="J87" s="27" t="s">
        <v>313</v>
      </c>
      <c r="K87" s="27" t="s">
        <v>36</v>
      </c>
      <c r="L87" s="27"/>
      <c r="M87" s="7"/>
      <c r="N87" s="27" t="s">
        <v>275</v>
      </c>
      <c r="O87" s="27"/>
      <c r="P87" s="27"/>
      <c r="Q87" s="7"/>
      <c r="R87" s="28">
        <v>5400.0</v>
      </c>
      <c r="S87" s="18">
        <f>FRESADO!$R87*FRESADO!$E87</f>
        <v>5400</v>
      </c>
      <c r="T87" s="18">
        <f>FRESADO!$S87*16%</f>
        <v>864</v>
      </c>
      <c r="U87" s="18">
        <f>FRESADO!$S87+FRESADO!$T87</f>
        <v>6264</v>
      </c>
      <c r="V87" s="28" t="s">
        <v>113</v>
      </c>
      <c r="W87" s="18"/>
      <c r="X87" s="16"/>
      <c r="Y87" s="25"/>
    </row>
    <row r="88" ht="15.75" hidden="1" customHeight="1">
      <c r="A88" s="27">
        <v>29.0</v>
      </c>
      <c r="B88" s="27">
        <v>40.0</v>
      </c>
      <c r="C88" s="66">
        <v>97.0</v>
      </c>
      <c r="D88" s="67">
        <v>46220.0</v>
      </c>
      <c r="E88" s="27">
        <v>1.0</v>
      </c>
      <c r="F88" s="27" t="s">
        <v>34</v>
      </c>
      <c r="G88" s="27" t="s">
        <v>316</v>
      </c>
      <c r="H88" s="27">
        <v>14.0</v>
      </c>
      <c r="I88" s="27" t="s">
        <v>96</v>
      </c>
      <c r="J88" s="27" t="s">
        <v>317</v>
      </c>
      <c r="K88" s="27" t="s">
        <v>36</v>
      </c>
      <c r="L88" s="27"/>
      <c r="M88" s="7"/>
      <c r="N88" s="27" t="s">
        <v>278</v>
      </c>
      <c r="O88" s="27"/>
      <c r="P88" s="27"/>
      <c r="Q88" s="7"/>
      <c r="R88" s="28">
        <v>3255.0</v>
      </c>
      <c r="S88" s="18">
        <f>FRESADO!$R88*FRESADO!$E88</f>
        <v>3255</v>
      </c>
      <c r="T88" s="18">
        <f>FRESADO!$S88*16%</f>
        <v>520.8</v>
      </c>
      <c r="U88" s="18">
        <f>FRESADO!$S88+FRESADO!$T88</f>
        <v>3775.8</v>
      </c>
      <c r="V88" s="28" t="s">
        <v>113</v>
      </c>
      <c r="W88" s="18"/>
      <c r="X88" s="16"/>
      <c r="Y88" s="25"/>
    </row>
    <row r="89" ht="15.75" hidden="1" customHeight="1">
      <c r="A89" s="27">
        <v>29.0</v>
      </c>
      <c r="B89" s="27">
        <v>41.0</v>
      </c>
      <c r="C89" s="66">
        <v>98.0</v>
      </c>
      <c r="D89" s="67">
        <v>46220.0</v>
      </c>
      <c r="E89" s="27">
        <v>1.0</v>
      </c>
      <c r="F89" s="27" t="s">
        <v>34</v>
      </c>
      <c r="G89" s="27" t="s">
        <v>211</v>
      </c>
      <c r="H89" s="27">
        <v>14.0</v>
      </c>
      <c r="I89" s="27" t="s">
        <v>96</v>
      </c>
      <c r="J89" s="27" t="s">
        <v>78</v>
      </c>
      <c r="K89" s="27" t="s">
        <v>36</v>
      </c>
      <c r="L89" s="27"/>
      <c r="M89" s="7"/>
      <c r="N89" s="27" t="s">
        <v>278</v>
      </c>
      <c r="O89" s="27"/>
      <c r="P89" s="27"/>
      <c r="Q89" s="7"/>
      <c r="R89" s="28">
        <v>3255.0</v>
      </c>
      <c r="S89" s="18">
        <f>FRESADO!$R89*FRESADO!$E89</f>
        <v>3255</v>
      </c>
      <c r="T89" s="18">
        <f>FRESADO!$S89*16%</f>
        <v>520.8</v>
      </c>
      <c r="U89" s="18">
        <f>FRESADO!$S89+FRESADO!$T89</f>
        <v>3775.8</v>
      </c>
      <c r="V89" s="28" t="s">
        <v>113</v>
      </c>
      <c r="W89" s="18"/>
      <c r="X89" s="16"/>
      <c r="Y89" s="25"/>
    </row>
    <row r="90" ht="15.75" hidden="1" customHeight="1">
      <c r="A90" s="27">
        <v>29.0</v>
      </c>
      <c r="B90" s="27">
        <v>42.0</v>
      </c>
      <c r="C90" s="66">
        <v>99.0</v>
      </c>
      <c r="D90" s="67">
        <v>46220.0</v>
      </c>
      <c r="E90" s="27">
        <v>1.0</v>
      </c>
      <c r="F90" s="27" t="s">
        <v>34</v>
      </c>
      <c r="G90" s="27" t="s">
        <v>294</v>
      </c>
      <c r="H90" s="27">
        <v>14.0</v>
      </c>
      <c r="I90" s="27" t="s">
        <v>96</v>
      </c>
      <c r="J90" s="27" t="s">
        <v>201</v>
      </c>
      <c r="K90" s="27" t="s">
        <v>36</v>
      </c>
      <c r="L90" s="27"/>
      <c r="M90" s="7"/>
      <c r="N90" s="27" t="s">
        <v>193</v>
      </c>
      <c r="O90" s="27"/>
      <c r="P90" s="27"/>
      <c r="Q90" s="7"/>
      <c r="R90" s="28">
        <v>2400.0</v>
      </c>
      <c r="S90" s="18">
        <f>FRESADO!$R90*FRESADO!$E90</f>
        <v>2400</v>
      </c>
      <c r="T90" s="18">
        <f>FRESADO!$S90*16%</f>
        <v>384</v>
      </c>
      <c r="U90" s="18">
        <f>FRESADO!$S90+FRESADO!$T90</f>
        <v>2784</v>
      </c>
      <c r="V90" s="28" t="s">
        <v>113</v>
      </c>
      <c r="W90" s="18"/>
      <c r="X90" s="16"/>
      <c r="Y90" s="25"/>
    </row>
    <row r="91" ht="15.75" hidden="1" customHeight="1">
      <c r="A91" s="27">
        <v>29.0</v>
      </c>
      <c r="B91" s="27">
        <v>43.0</v>
      </c>
      <c r="C91" s="66">
        <v>100.0</v>
      </c>
      <c r="D91" s="67">
        <v>46220.0</v>
      </c>
      <c r="E91" s="27">
        <v>1.0</v>
      </c>
      <c r="F91" s="27" t="s">
        <v>34</v>
      </c>
      <c r="G91" s="27" t="s">
        <v>324</v>
      </c>
      <c r="H91" s="27">
        <v>14.0</v>
      </c>
      <c r="I91" s="27" t="s">
        <v>96</v>
      </c>
      <c r="J91" s="27" t="s">
        <v>325</v>
      </c>
      <c r="K91" s="27" t="s">
        <v>36</v>
      </c>
      <c r="L91" s="27"/>
      <c r="M91" s="7"/>
      <c r="N91" s="27" t="s">
        <v>278</v>
      </c>
      <c r="O91" s="27"/>
      <c r="P91" s="27"/>
      <c r="Q91" s="7"/>
      <c r="R91" s="28">
        <v>3255.0</v>
      </c>
      <c r="S91" s="18">
        <f>FRESADO!$R91*FRESADO!$E91</f>
        <v>3255</v>
      </c>
      <c r="T91" s="18">
        <f>FRESADO!$S91*16%</f>
        <v>520.8</v>
      </c>
      <c r="U91" s="18">
        <f>FRESADO!$S91+FRESADO!$T91</f>
        <v>3775.8</v>
      </c>
      <c r="V91" s="28" t="s">
        <v>113</v>
      </c>
      <c r="W91" s="18"/>
      <c r="X91" s="16"/>
      <c r="Y91" s="25"/>
    </row>
    <row r="92" ht="15.75" hidden="1" customHeight="1">
      <c r="A92" s="27">
        <v>29.0</v>
      </c>
      <c r="B92" s="27">
        <v>44.0</v>
      </c>
      <c r="C92" s="66">
        <v>101.0</v>
      </c>
      <c r="D92" s="67">
        <v>46220.0</v>
      </c>
      <c r="E92" s="27">
        <v>1.0</v>
      </c>
      <c r="F92" s="27" t="s">
        <v>34</v>
      </c>
      <c r="G92" s="27" t="s">
        <v>328</v>
      </c>
      <c r="H92" s="27">
        <v>14.0</v>
      </c>
      <c r="I92" s="27" t="s">
        <v>96</v>
      </c>
      <c r="J92" s="27" t="s">
        <v>329</v>
      </c>
      <c r="K92" s="27" t="s">
        <v>36</v>
      </c>
      <c r="L92" s="27"/>
      <c r="M92" s="7"/>
      <c r="N92" s="27" t="s">
        <v>278</v>
      </c>
      <c r="O92" s="27"/>
      <c r="P92" s="27"/>
      <c r="Q92" s="7"/>
      <c r="R92" s="28">
        <v>3255.0</v>
      </c>
      <c r="S92" s="18">
        <f>FRESADO!$R92*FRESADO!$E92</f>
        <v>3255</v>
      </c>
      <c r="T92" s="18">
        <f>FRESADO!$S92*16%</f>
        <v>520.8</v>
      </c>
      <c r="U92" s="18">
        <f>FRESADO!$S92+FRESADO!$T92</f>
        <v>3775.8</v>
      </c>
      <c r="V92" s="28" t="s">
        <v>113</v>
      </c>
      <c r="W92" s="18"/>
      <c r="X92" s="16"/>
      <c r="Y92" s="25"/>
    </row>
    <row r="93" ht="15.75" hidden="1" customHeight="1">
      <c r="A93" s="27">
        <v>29.0</v>
      </c>
      <c r="B93" s="27">
        <v>45.0</v>
      </c>
      <c r="C93" s="66">
        <v>102.0</v>
      </c>
      <c r="D93" s="67">
        <v>46220.0</v>
      </c>
      <c r="E93" s="27">
        <v>1.0</v>
      </c>
      <c r="F93" s="27" t="s">
        <v>34</v>
      </c>
      <c r="G93" s="27" t="s">
        <v>331</v>
      </c>
      <c r="H93" s="27">
        <v>14.0</v>
      </c>
      <c r="I93" s="27" t="s">
        <v>96</v>
      </c>
      <c r="J93" s="27" t="s">
        <v>332</v>
      </c>
      <c r="K93" s="27" t="s">
        <v>36</v>
      </c>
      <c r="L93" s="27"/>
      <c r="M93" s="7"/>
      <c r="N93" s="27" t="s">
        <v>278</v>
      </c>
      <c r="O93" s="27"/>
      <c r="P93" s="27"/>
      <c r="Q93" s="7"/>
      <c r="R93" s="28">
        <v>3255.0</v>
      </c>
      <c r="S93" s="18">
        <f>FRESADO!$R93*FRESADO!$E93</f>
        <v>3255</v>
      </c>
      <c r="T93" s="18">
        <f>FRESADO!$S93*16%</f>
        <v>520.8</v>
      </c>
      <c r="U93" s="18">
        <f>FRESADO!$S93+FRESADO!$T93</f>
        <v>3775.8</v>
      </c>
      <c r="V93" s="28" t="s">
        <v>113</v>
      </c>
      <c r="W93" s="18"/>
      <c r="X93" s="16"/>
      <c r="Y93" s="25"/>
    </row>
    <row r="94" ht="15.75" hidden="1" customHeight="1">
      <c r="A94" s="27">
        <v>29.0</v>
      </c>
      <c r="B94" s="27">
        <v>46.0</v>
      </c>
      <c r="C94" s="66">
        <v>103.0</v>
      </c>
      <c r="D94" s="67">
        <v>46220.0</v>
      </c>
      <c r="E94" s="27">
        <v>1.0</v>
      </c>
      <c r="F94" s="27" t="s">
        <v>34</v>
      </c>
      <c r="G94" s="27" t="s">
        <v>337</v>
      </c>
      <c r="H94" s="27">
        <v>14.0</v>
      </c>
      <c r="I94" s="27" t="s">
        <v>96</v>
      </c>
      <c r="J94" s="27" t="s">
        <v>314</v>
      </c>
      <c r="K94" s="27" t="s">
        <v>36</v>
      </c>
      <c r="L94" s="27"/>
      <c r="M94" s="7"/>
      <c r="N94" s="27" t="s">
        <v>278</v>
      </c>
      <c r="O94" s="27"/>
      <c r="P94" s="27"/>
      <c r="Q94" s="7"/>
      <c r="R94" s="28">
        <v>3255.0</v>
      </c>
      <c r="S94" s="18">
        <f>FRESADO!$R94*FRESADO!$E94</f>
        <v>3255</v>
      </c>
      <c r="T94" s="18">
        <f>FRESADO!$S94*16%</f>
        <v>520.8</v>
      </c>
      <c r="U94" s="18">
        <f>FRESADO!$S94+FRESADO!$T94</f>
        <v>3775.8</v>
      </c>
      <c r="V94" s="28" t="s">
        <v>113</v>
      </c>
      <c r="W94" s="18"/>
      <c r="X94" s="16"/>
      <c r="Y94" s="25"/>
    </row>
    <row r="95" ht="15.75" hidden="1" customHeight="1">
      <c r="A95" s="27">
        <v>29.0</v>
      </c>
      <c r="B95" s="27">
        <v>47.0</v>
      </c>
      <c r="C95" s="66">
        <v>104.0</v>
      </c>
      <c r="D95" s="67">
        <v>46220.0</v>
      </c>
      <c r="E95" s="27">
        <v>1.0</v>
      </c>
      <c r="F95" s="51" t="s">
        <v>159</v>
      </c>
      <c r="G95" s="27" t="s">
        <v>274</v>
      </c>
      <c r="H95" s="27">
        <v>10.0</v>
      </c>
      <c r="I95" s="27" t="s">
        <v>96</v>
      </c>
      <c r="J95" s="27" t="s">
        <v>161</v>
      </c>
      <c r="K95" s="27" t="s">
        <v>36</v>
      </c>
      <c r="L95" s="27"/>
      <c r="M95" s="7"/>
      <c r="N95" s="27" t="s">
        <v>275</v>
      </c>
      <c r="O95" s="27"/>
      <c r="P95" s="27"/>
      <c r="Q95" s="7"/>
      <c r="R95" s="28">
        <v>5400.0</v>
      </c>
      <c r="S95" s="18">
        <f>FRESADO!$R95*FRESADO!$E95</f>
        <v>5400</v>
      </c>
      <c r="T95" s="18">
        <f>FRESADO!$S95*16%</f>
        <v>864</v>
      </c>
      <c r="U95" s="18">
        <f>FRESADO!$S95+FRESADO!$T95</f>
        <v>6264</v>
      </c>
      <c r="V95" s="28" t="s">
        <v>113</v>
      </c>
      <c r="W95" s="18"/>
      <c r="X95" s="16"/>
      <c r="Y95" s="25"/>
    </row>
    <row r="96" ht="15.75" hidden="1" customHeight="1">
      <c r="A96" s="27">
        <v>29.0</v>
      </c>
      <c r="B96" s="27">
        <v>48.0</v>
      </c>
      <c r="C96" s="66">
        <v>105.0</v>
      </c>
      <c r="D96" s="67">
        <v>46220.0</v>
      </c>
      <c r="E96" s="27">
        <v>1.0</v>
      </c>
      <c r="F96" s="27" t="s">
        <v>286</v>
      </c>
      <c r="G96" s="27" t="s">
        <v>116</v>
      </c>
      <c r="H96" s="27">
        <v>14.0</v>
      </c>
      <c r="I96" s="27" t="s">
        <v>96</v>
      </c>
      <c r="J96" s="27" t="s">
        <v>64</v>
      </c>
      <c r="K96" s="27" t="s">
        <v>36</v>
      </c>
      <c r="L96" s="27"/>
      <c r="M96" s="7"/>
      <c r="N96" s="27" t="s">
        <v>287</v>
      </c>
      <c r="O96" s="27"/>
      <c r="P96" s="27"/>
      <c r="Q96" s="7"/>
      <c r="R96" s="28">
        <v>6720.0</v>
      </c>
      <c r="S96" s="18">
        <f>FRESADO!$R96*FRESADO!$E96</f>
        <v>6720</v>
      </c>
      <c r="T96" s="18">
        <f>FRESADO!$S96*16%</f>
        <v>1075.2</v>
      </c>
      <c r="U96" s="18">
        <f>FRESADO!$S96+FRESADO!$T96</f>
        <v>7795.2</v>
      </c>
      <c r="V96" s="28" t="s">
        <v>113</v>
      </c>
      <c r="W96" s="18"/>
      <c r="X96" s="16"/>
      <c r="Y96" s="25"/>
    </row>
    <row r="97" ht="15.75" hidden="1" customHeight="1">
      <c r="A97" s="27">
        <v>29.0</v>
      </c>
      <c r="B97" s="27">
        <v>49.0</v>
      </c>
      <c r="C97" s="66">
        <v>106.0</v>
      </c>
      <c r="D97" s="67">
        <v>46220.0</v>
      </c>
      <c r="E97" s="27">
        <v>1.0</v>
      </c>
      <c r="F97" s="27" t="s">
        <v>286</v>
      </c>
      <c r="G97" s="27" t="s">
        <v>211</v>
      </c>
      <c r="H97" s="27">
        <v>14.0</v>
      </c>
      <c r="I97" s="27" t="s">
        <v>96</v>
      </c>
      <c r="J97" s="27" t="s">
        <v>78</v>
      </c>
      <c r="K97" s="11" t="s">
        <v>36</v>
      </c>
      <c r="L97" s="27"/>
      <c r="M97" s="7"/>
      <c r="N97" s="27" t="s">
        <v>287</v>
      </c>
      <c r="O97" s="27"/>
      <c r="P97" s="27"/>
      <c r="Q97" s="7"/>
      <c r="R97" s="28">
        <v>1848.0</v>
      </c>
      <c r="S97" s="18">
        <f>FRESADO!$R97*FRESADO!$E97</f>
        <v>1848</v>
      </c>
      <c r="T97" s="18">
        <f>FRESADO!$S97*16%</f>
        <v>295.68</v>
      </c>
      <c r="U97" s="18">
        <f>FRESADO!$S97+FRESADO!$T97</f>
        <v>2143.68</v>
      </c>
      <c r="V97" s="28" t="s">
        <v>113</v>
      </c>
      <c r="W97" s="18"/>
      <c r="X97" s="16"/>
      <c r="Y97" s="25"/>
    </row>
    <row r="98" ht="15.75" hidden="1" customHeight="1">
      <c r="A98" s="51">
        <v>29.0</v>
      </c>
      <c r="B98" s="51"/>
      <c r="C98" s="83">
        <v>1655.0</v>
      </c>
      <c r="D98" s="84">
        <v>46221.0</v>
      </c>
      <c r="E98" s="85">
        <v>1.0</v>
      </c>
      <c r="F98" s="85" t="s">
        <v>89</v>
      </c>
      <c r="G98" s="85" t="s">
        <v>211</v>
      </c>
      <c r="H98" s="85">
        <v>14.0</v>
      </c>
      <c r="I98" s="85" t="s">
        <v>96</v>
      </c>
      <c r="J98" s="68" t="s">
        <v>78</v>
      </c>
      <c r="K98" s="68" t="s">
        <v>36</v>
      </c>
      <c r="L98" s="86"/>
      <c r="M98" s="86"/>
      <c r="N98" s="85"/>
      <c r="O98" s="87"/>
      <c r="P98" s="86"/>
      <c r="Q98" s="86"/>
      <c r="R98" s="40">
        <v>6720.0</v>
      </c>
      <c r="S98" s="41">
        <f>FRESADO!$R98*FRESADO!$E98</f>
        <v>6720</v>
      </c>
      <c r="T98" s="41">
        <f>FRESADO!$S98*16%</f>
        <v>1075.2</v>
      </c>
      <c r="U98" s="41">
        <f>FRESADO!$S98+FRESADO!$T98</f>
        <v>7795.2</v>
      </c>
      <c r="V98" s="40" t="s">
        <v>213</v>
      </c>
      <c r="W98" s="41"/>
      <c r="X98" s="42"/>
      <c r="Y98" s="88"/>
      <c r="Z98" s="43"/>
    </row>
    <row r="99" ht="15.75" hidden="1" customHeight="1">
      <c r="A99" s="51">
        <v>30.0</v>
      </c>
      <c r="B99" s="51">
        <v>1.0</v>
      </c>
      <c r="C99" s="83">
        <v>107.0</v>
      </c>
      <c r="D99" s="84">
        <v>46223.0</v>
      </c>
      <c r="E99" s="85">
        <v>1.0</v>
      </c>
      <c r="F99" s="85" t="s">
        <v>34</v>
      </c>
      <c r="G99" s="85" t="s">
        <v>176</v>
      </c>
      <c r="H99" s="85">
        <v>14.0</v>
      </c>
      <c r="I99" s="85" t="s">
        <v>96</v>
      </c>
      <c r="J99" s="85" t="s">
        <v>40</v>
      </c>
      <c r="K99" s="85" t="s">
        <v>36</v>
      </c>
      <c r="L99" s="86"/>
      <c r="M99" s="86"/>
      <c r="N99" s="85" t="s">
        <v>278</v>
      </c>
      <c r="O99" s="87"/>
      <c r="P99" s="86"/>
      <c r="Q99" s="85"/>
      <c r="R99" s="40">
        <v>3255.0</v>
      </c>
      <c r="S99" s="41">
        <f>FRESADO!$R99*FRESADO!$E99</f>
        <v>3255</v>
      </c>
      <c r="T99" s="41">
        <f>FRESADO!$S99*16%</f>
        <v>520.8</v>
      </c>
      <c r="U99" s="41">
        <f>FRESADO!$S99+FRESADO!$T99</f>
        <v>3775.8</v>
      </c>
      <c r="V99" s="40" t="s">
        <v>213</v>
      </c>
      <c r="W99" s="41"/>
      <c r="X99" s="42"/>
      <c r="Y99" s="88"/>
      <c r="Z99" s="43"/>
    </row>
    <row r="100" ht="15.75" hidden="1" customHeight="1">
      <c r="A100" s="51">
        <v>30.0</v>
      </c>
      <c r="B100" s="51">
        <v>2.0</v>
      </c>
      <c r="C100" s="83">
        <v>108.0</v>
      </c>
      <c r="D100" s="84">
        <v>46223.0</v>
      </c>
      <c r="E100" s="85">
        <v>1.0</v>
      </c>
      <c r="F100" s="85" t="s">
        <v>34</v>
      </c>
      <c r="G100" s="85" t="s">
        <v>170</v>
      </c>
      <c r="H100" s="85">
        <v>14.0</v>
      </c>
      <c r="I100" s="85" t="s">
        <v>96</v>
      </c>
      <c r="J100" s="85" t="s">
        <v>171</v>
      </c>
      <c r="K100" s="85" t="s">
        <v>36</v>
      </c>
      <c r="L100" s="86"/>
      <c r="M100" s="86"/>
      <c r="N100" s="85" t="s">
        <v>278</v>
      </c>
      <c r="O100" s="87"/>
      <c r="P100" s="86"/>
      <c r="Q100" s="86"/>
      <c r="R100" s="40">
        <v>3255.0</v>
      </c>
      <c r="S100" s="41">
        <f>FRESADO!$R100*FRESADO!$E100</f>
        <v>3255</v>
      </c>
      <c r="T100" s="41">
        <f>FRESADO!$S100*16%</f>
        <v>520.8</v>
      </c>
      <c r="U100" s="41">
        <f>FRESADO!$S100+FRESADO!$T100</f>
        <v>3775.8</v>
      </c>
      <c r="V100" s="40" t="s">
        <v>213</v>
      </c>
      <c r="W100" s="41"/>
      <c r="X100" s="42"/>
      <c r="Y100" s="88"/>
      <c r="Z100" s="43"/>
    </row>
    <row r="101" ht="15.75" hidden="1" customHeight="1">
      <c r="A101" s="51">
        <v>30.0</v>
      </c>
      <c r="B101" s="51">
        <v>3.0</v>
      </c>
      <c r="C101" s="83">
        <v>109.0</v>
      </c>
      <c r="D101" s="84">
        <v>46223.0</v>
      </c>
      <c r="E101" s="85">
        <v>1.0</v>
      </c>
      <c r="F101" s="85" t="s">
        <v>34</v>
      </c>
      <c r="G101" s="85" t="s">
        <v>248</v>
      </c>
      <c r="H101" s="85">
        <v>14.0</v>
      </c>
      <c r="I101" s="85" t="s">
        <v>96</v>
      </c>
      <c r="J101" s="85" t="s">
        <v>104</v>
      </c>
      <c r="K101" s="85" t="s">
        <v>36</v>
      </c>
      <c r="L101" s="86"/>
      <c r="M101" s="86"/>
      <c r="N101" s="85" t="s">
        <v>278</v>
      </c>
      <c r="O101" s="87"/>
      <c r="P101" s="86"/>
      <c r="Q101" s="86"/>
      <c r="R101" s="40">
        <v>3255.0</v>
      </c>
      <c r="S101" s="41">
        <f>FRESADO!$R101*FRESADO!$E101</f>
        <v>3255</v>
      </c>
      <c r="T101" s="41">
        <f>FRESADO!$S101*16%</f>
        <v>520.8</v>
      </c>
      <c r="U101" s="41">
        <f>FRESADO!$S101+FRESADO!$T101</f>
        <v>3775.8</v>
      </c>
      <c r="V101" s="40" t="s">
        <v>213</v>
      </c>
      <c r="W101" s="41"/>
      <c r="X101" s="42"/>
      <c r="Y101" s="88"/>
      <c r="Z101" s="43"/>
    </row>
    <row r="102" ht="15.75" hidden="1" customHeight="1">
      <c r="A102" s="51">
        <v>30.0</v>
      </c>
      <c r="B102" s="51">
        <v>4.0</v>
      </c>
      <c r="C102" s="83">
        <v>110.0</v>
      </c>
      <c r="D102" s="84">
        <v>46223.0</v>
      </c>
      <c r="E102" s="85">
        <v>1.0</v>
      </c>
      <c r="F102" s="85" t="s">
        <v>34</v>
      </c>
      <c r="G102" s="85" t="s">
        <v>124</v>
      </c>
      <c r="H102" s="85">
        <v>14.0</v>
      </c>
      <c r="I102" s="85" t="s">
        <v>96</v>
      </c>
      <c r="J102" s="85" t="s">
        <v>198</v>
      </c>
      <c r="K102" s="85" t="s">
        <v>36</v>
      </c>
      <c r="L102" s="86"/>
      <c r="M102" s="86"/>
      <c r="N102" s="85" t="s">
        <v>193</v>
      </c>
      <c r="O102" s="87"/>
      <c r="P102" s="86"/>
      <c r="Q102" s="86"/>
      <c r="R102" s="40">
        <v>2400.0</v>
      </c>
      <c r="S102" s="41">
        <f>FRESADO!$R102*FRESADO!$E102</f>
        <v>2400</v>
      </c>
      <c r="T102" s="41">
        <f>FRESADO!$S102*16%</f>
        <v>384</v>
      </c>
      <c r="U102" s="41">
        <f>FRESADO!$S102+FRESADO!$T102</f>
        <v>2784</v>
      </c>
      <c r="V102" s="40" t="s">
        <v>213</v>
      </c>
      <c r="W102" s="41"/>
      <c r="X102" s="42"/>
      <c r="Y102" s="88"/>
      <c r="Z102" s="43"/>
    </row>
    <row r="103" ht="15.75" hidden="1" customHeight="1">
      <c r="A103" s="51">
        <v>30.0</v>
      </c>
      <c r="B103" s="51">
        <v>5.0</v>
      </c>
      <c r="C103" s="83">
        <v>111.0</v>
      </c>
      <c r="D103" s="84">
        <v>46223.0</v>
      </c>
      <c r="E103" s="85">
        <v>1.0</v>
      </c>
      <c r="F103" s="85" t="s">
        <v>34</v>
      </c>
      <c r="G103" s="85" t="s">
        <v>211</v>
      </c>
      <c r="H103" s="85">
        <v>14.0</v>
      </c>
      <c r="I103" s="85" t="s">
        <v>96</v>
      </c>
      <c r="J103" s="85" t="s">
        <v>78</v>
      </c>
      <c r="K103" s="85" t="s">
        <v>36</v>
      </c>
      <c r="L103" s="86"/>
      <c r="M103" s="86"/>
      <c r="N103" s="85" t="s">
        <v>193</v>
      </c>
      <c r="O103" s="87"/>
      <c r="P103" s="86"/>
      <c r="Q103" s="86"/>
      <c r="R103" s="40">
        <v>2400.0</v>
      </c>
      <c r="S103" s="41">
        <f>FRESADO!$R103*FRESADO!$E103</f>
        <v>2400</v>
      </c>
      <c r="T103" s="41">
        <f>FRESADO!$S103*16%</f>
        <v>384</v>
      </c>
      <c r="U103" s="41">
        <f>FRESADO!$S103+FRESADO!$T103</f>
        <v>2784</v>
      </c>
      <c r="V103" s="40" t="s">
        <v>213</v>
      </c>
      <c r="W103" s="41"/>
      <c r="X103" s="42"/>
      <c r="Y103" s="88"/>
      <c r="Z103" s="43"/>
    </row>
    <row r="104" ht="15.75" hidden="1" customHeight="1">
      <c r="A104" s="51">
        <v>30.0</v>
      </c>
      <c r="B104" s="51">
        <v>6.0</v>
      </c>
      <c r="C104" s="83">
        <v>112.0</v>
      </c>
      <c r="D104" s="84">
        <v>46223.0</v>
      </c>
      <c r="E104" s="85">
        <v>1.0</v>
      </c>
      <c r="F104" s="85" t="s">
        <v>34</v>
      </c>
      <c r="G104" s="85" t="s">
        <v>337</v>
      </c>
      <c r="H104" s="85">
        <v>14.0</v>
      </c>
      <c r="I104" s="85" t="s">
        <v>96</v>
      </c>
      <c r="J104" s="85" t="s">
        <v>314</v>
      </c>
      <c r="K104" s="85" t="s">
        <v>36</v>
      </c>
      <c r="L104" s="86"/>
      <c r="M104" s="86"/>
      <c r="N104" s="85" t="s">
        <v>193</v>
      </c>
      <c r="O104" s="87"/>
      <c r="P104" s="86"/>
      <c r="Q104" s="86"/>
      <c r="R104" s="40">
        <v>2400.0</v>
      </c>
      <c r="S104" s="41">
        <f>FRESADO!$R104*FRESADO!$E104</f>
        <v>2400</v>
      </c>
      <c r="T104" s="41">
        <f>FRESADO!$S104*16%</f>
        <v>384</v>
      </c>
      <c r="U104" s="41">
        <f>FRESADO!$S104+FRESADO!$T104</f>
        <v>2784</v>
      </c>
      <c r="V104" s="40" t="s">
        <v>213</v>
      </c>
      <c r="W104" s="41"/>
      <c r="X104" s="42"/>
      <c r="Y104" s="88"/>
      <c r="Z104" s="43"/>
    </row>
    <row r="105" ht="15.75" hidden="1" customHeight="1">
      <c r="A105" s="51">
        <v>30.0</v>
      </c>
      <c r="B105" s="51">
        <v>7.0</v>
      </c>
      <c r="C105" s="83">
        <v>113.0</v>
      </c>
      <c r="D105" s="84">
        <v>46223.0</v>
      </c>
      <c r="E105" s="85">
        <v>1.0</v>
      </c>
      <c r="F105" s="85" t="s">
        <v>34</v>
      </c>
      <c r="G105" s="85" t="s">
        <v>294</v>
      </c>
      <c r="H105" s="85">
        <v>14.0</v>
      </c>
      <c r="I105" s="85" t="s">
        <v>96</v>
      </c>
      <c r="J105" s="85" t="s">
        <v>201</v>
      </c>
      <c r="K105" s="85" t="s">
        <v>36</v>
      </c>
      <c r="L105" s="86"/>
      <c r="M105" s="86"/>
      <c r="N105" s="85" t="s">
        <v>193</v>
      </c>
      <c r="O105" s="87"/>
      <c r="P105" s="86"/>
      <c r="Q105" s="86"/>
      <c r="R105" s="40">
        <v>2400.0</v>
      </c>
      <c r="S105" s="41">
        <f>FRESADO!$R105*FRESADO!$E105</f>
        <v>2400</v>
      </c>
      <c r="T105" s="41">
        <f>FRESADO!$S105*16%</f>
        <v>384</v>
      </c>
      <c r="U105" s="41">
        <f>FRESADO!$S105+FRESADO!$T105</f>
        <v>2784</v>
      </c>
      <c r="V105" s="40" t="s">
        <v>213</v>
      </c>
      <c r="W105" s="41"/>
      <c r="X105" s="42"/>
      <c r="Y105" s="88"/>
      <c r="Z105" s="43"/>
    </row>
    <row r="106" ht="15.75" hidden="1" customHeight="1">
      <c r="A106" s="51">
        <v>30.0</v>
      </c>
      <c r="B106" s="51">
        <v>8.0</v>
      </c>
      <c r="C106" s="83">
        <v>114.0</v>
      </c>
      <c r="D106" s="84">
        <v>46223.0</v>
      </c>
      <c r="E106" s="85">
        <v>1.0</v>
      </c>
      <c r="F106" s="85" t="s">
        <v>34</v>
      </c>
      <c r="G106" s="85" t="s">
        <v>109</v>
      </c>
      <c r="H106" s="85">
        <v>14.0</v>
      </c>
      <c r="I106" s="85" t="s">
        <v>96</v>
      </c>
      <c r="J106" s="85" t="s">
        <v>35</v>
      </c>
      <c r="K106" s="85" t="s">
        <v>36</v>
      </c>
      <c r="L106" s="86"/>
      <c r="M106" s="86"/>
      <c r="N106" s="85" t="s">
        <v>278</v>
      </c>
      <c r="O106" s="87"/>
      <c r="P106" s="86"/>
      <c r="Q106" s="86"/>
      <c r="R106" s="40">
        <v>3255.0</v>
      </c>
      <c r="S106" s="41">
        <f>FRESADO!$R106*FRESADO!$E106</f>
        <v>3255</v>
      </c>
      <c r="T106" s="41">
        <f>FRESADO!$S106*16%</f>
        <v>520.8</v>
      </c>
      <c r="U106" s="41">
        <f>FRESADO!$S106+FRESADO!$T106</f>
        <v>3775.8</v>
      </c>
      <c r="V106" s="40" t="s">
        <v>213</v>
      </c>
      <c r="W106" s="41"/>
      <c r="X106" s="42"/>
      <c r="Y106" s="88"/>
      <c r="Z106" s="43"/>
    </row>
    <row r="107" ht="15.75" hidden="1" customHeight="1">
      <c r="A107" s="51">
        <v>30.0</v>
      </c>
      <c r="B107" s="51">
        <v>9.0</v>
      </c>
      <c r="C107" s="83">
        <v>115.0</v>
      </c>
      <c r="D107" s="84">
        <v>46223.0</v>
      </c>
      <c r="E107" s="85">
        <v>1.0</v>
      </c>
      <c r="F107" s="85" t="s">
        <v>34</v>
      </c>
      <c r="G107" s="85" t="s">
        <v>124</v>
      </c>
      <c r="H107" s="85">
        <v>14.0</v>
      </c>
      <c r="I107" s="85" t="s">
        <v>96</v>
      </c>
      <c r="J107" s="85" t="s">
        <v>198</v>
      </c>
      <c r="K107" s="85" t="s">
        <v>36</v>
      </c>
      <c r="L107" s="86"/>
      <c r="M107" s="86"/>
      <c r="N107" s="85" t="s">
        <v>193</v>
      </c>
      <c r="O107" s="87"/>
      <c r="P107" s="86"/>
      <c r="Q107" s="86"/>
      <c r="R107" s="40">
        <v>2400.0</v>
      </c>
      <c r="S107" s="41">
        <f>FRESADO!$R107*FRESADO!$E107</f>
        <v>2400</v>
      </c>
      <c r="T107" s="41">
        <f>FRESADO!$S107*16%</f>
        <v>384</v>
      </c>
      <c r="U107" s="41">
        <f>FRESADO!$S107+FRESADO!$T107</f>
        <v>2784</v>
      </c>
      <c r="V107" s="40" t="s">
        <v>213</v>
      </c>
      <c r="W107" s="41"/>
      <c r="X107" s="42"/>
      <c r="Y107" s="88"/>
      <c r="Z107" s="43"/>
    </row>
    <row r="108" ht="15.75" hidden="1" customHeight="1">
      <c r="A108" s="51">
        <v>30.0</v>
      </c>
      <c r="B108" s="51">
        <v>10.0</v>
      </c>
      <c r="C108" s="83">
        <v>116.0</v>
      </c>
      <c r="D108" s="84">
        <v>46223.0</v>
      </c>
      <c r="E108" s="85">
        <v>1.0</v>
      </c>
      <c r="F108" s="85" t="s">
        <v>34</v>
      </c>
      <c r="G108" s="85" t="s">
        <v>176</v>
      </c>
      <c r="H108" s="85">
        <v>14.0</v>
      </c>
      <c r="I108" s="85" t="s">
        <v>96</v>
      </c>
      <c r="J108" s="85" t="s">
        <v>40</v>
      </c>
      <c r="K108" s="85" t="s">
        <v>36</v>
      </c>
      <c r="L108" s="86"/>
      <c r="M108" s="86"/>
      <c r="N108" s="85" t="s">
        <v>193</v>
      </c>
      <c r="O108" s="87"/>
      <c r="P108" s="86"/>
      <c r="Q108" s="86"/>
      <c r="R108" s="40">
        <v>2400.0</v>
      </c>
      <c r="S108" s="41">
        <f>FRESADO!$R108*FRESADO!$E108</f>
        <v>2400</v>
      </c>
      <c r="T108" s="41">
        <f>FRESADO!$S108*16%</f>
        <v>384</v>
      </c>
      <c r="U108" s="41">
        <f>FRESADO!$S108+FRESADO!$T108</f>
        <v>2784</v>
      </c>
      <c r="V108" s="40" t="s">
        <v>213</v>
      </c>
      <c r="W108" s="41"/>
      <c r="X108" s="42"/>
      <c r="Y108" s="88"/>
      <c r="Z108" s="43"/>
    </row>
    <row r="109" ht="15.75" hidden="1" customHeight="1">
      <c r="A109" s="51">
        <v>30.0</v>
      </c>
      <c r="B109" s="51">
        <v>11.0</v>
      </c>
      <c r="C109" s="83">
        <v>117.0</v>
      </c>
      <c r="D109" s="84">
        <v>46223.0</v>
      </c>
      <c r="E109" s="85">
        <v>1.0</v>
      </c>
      <c r="F109" s="85" t="s">
        <v>34</v>
      </c>
      <c r="G109" s="85" t="s">
        <v>248</v>
      </c>
      <c r="H109" s="85">
        <v>14.0</v>
      </c>
      <c r="I109" s="85" t="s">
        <v>96</v>
      </c>
      <c r="J109" s="85" t="s">
        <v>104</v>
      </c>
      <c r="K109" s="85" t="s">
        <v>36</v>
      </c>
      <c r="L109" s="86"/>
      <c r="M109" s="86"/>
      <c r="N109" s="85" t="s">
        <v>193</v>
      </c>
      <c r="O109" s="87"/>
      <c r="P109" s="86"/>
      <c r="Q109" s="86"/>
      <c r="R109" s="40">
        <v>2400.0</v>
      </c>
      <c r="S109" s="41">
        <f>FRESADO!$R109*FRESADO!$E109</f>
        <v>2400</v>
      </c>
      <c r="T109" s="41">
        <f>FRESADO!$S109*16%</f>
        <v>384</v>
      </c>
      <c r="U109" s="41">
        <f>FRESADO!$S109+FRESADO!$T109</f>
        <v>2784</v>
      </c>
      <c r="V109" s="40" t="s">
        <v>213</v>
      </c>
      <c r="W109" s="41"/>
      <c r="X109" s="42"/>
      <c r="Y109" s="88"/>
      <c r="Z109" s="43"/>
    </row>
    <row r="110" ht="15.75" hidden="1" customHeight="1">
      <c r="A110" s="51">
        <v>30.0</v>
      </c>
      <c r="B110" s="51">
        <v>12.0</v>
      </c>
      <c r="C110" s="83">
        <v>118.0</v>
      </c>
      <c r="D110" s="84">
        <v>46223.0</v>
      </c>
      <c r="E110" s="85">
        <v>1.0</v>
      </c>
      <c r="F110" s="85" t="s">
        <v>34</v>
      </c>
      <c r="G110" s="85" t="s">
        <v>170</v>
      </c>
      <c r="H110" s="85">
        <v>14.0</v>
      </c>
      <c r="I110" s="85" t="s">
        <v>96</v>
      </c>
      <c r="J110" s="85" t="s">
        <v>171</v>
      </c>
      <c r="K110" s="85" t="s">
        <v>36</v>
      </c>
      <c r="L110" s="86"/>
      <c r="M110" s="86"/>
      <c r="N110" s="85" t="s">
        <v>193</v>
      </c>
      <c r="O110" s="87"/>
      <c r="P110" s="86"/>
      <c r="Q110" s="86"/>
      <c r="R110" s="40">
        <v>2400.0</v>
      </c>
      <c r="S110" s="41">
        <f>FRESADO!$R110*FRESADO!$E110</f>
        <v>2400</v>
      </c>
      <c r="T110" s="41">
        <f>FRESADO!$S110*16%</f>
        <v>384</v>
      </c>
      <c r="U110" s="41">
        <f>FRESADO!$S110+FRESADO!$T110</f>
        <v>2784</v>
      </c>
      <c r="V110" s="40" t="s">
        <v>213</v>
      </c>
      <c r="W110" s="41"/>
      <c r="X110" s="42"/>
      <c r="Y110" s="88"/>
      <c r="Z110" s="43"/>
    </row>
    <row r="111" ht="15.75" hidden="1" customHeight="1">
      <c r="A111" s="51">
        <v>30.0</v>
      </c>
      <c r="B111" s="51">
        <v>13.0</v>
      </c>
      <c r="C111" s="83">
        <v>119.0</v>
      </c>
      <c r="D111" s="84">
        <v>46223.0</v>
      </c>
      <c r="E111" s="85">
        <v>1.0</v>
      </c>
      <c r="F111" s="85" t="s">
        <v>34</v>
      </c>
      <c r="G111" s="85" t="s">
        <v>211</v>
      </c>
      <c r="H111" s="85">
        <v>14.0</v>
      </c>
      <c r="I111" s="85" t="s">
        <v>96</v>
      </c>
      <c r="J111" s="85" t="s">
        <v>78</v>
      </c>
      <c r="K111" s="85" t="s">
        <v>36</v>
      </c>
      <c r="L111" s="86"/>
      <c r="M111" s="86"/>
      <c r="N111" s="85" t="s">
        <v>193</v>
      </c>
      <c r="O111" s="87"/>
      <c r="P111" s="86"/>
      <c r="Q111" s="86"/>
      <c r="R111" s="40">
        <v>2400.0</v>
      </c>
      <c r="S111" s="41">
        <f>FRESADO!$R111*FRESADO!$E111</f>
        <v>2400</v>
      </c>
      <c r="T111" s="41">
        <f>FRESADO!$S111*16%</f>
        <v>384</v>
      </c>
      <c r="U111" s="41">
        <f>FRESADO!$S111+FRESADO!$T111</f>
        <v>2784</v>
      </c>
      <c r="V111" s="40" t="s">
        <v>213</v>
      </c>
      <c r="W111" s="41"/>
      <c r="X111" s="42"/>
      <c r="Y111" s="88"/>
      <c r="Z111" s="43"/>
    </row>
    <row r="112" ht="15.75" hidden="1" customHeight="1">
      <c r="A112" s="51">
        <v>30.0</v>
      </c>
      <c r="B112" s="51">
        <v>14.0</v>
      </c>
      <c r="C112" s="83">
        <v>120.0</v>
      </c>
      <c r="D112" s="84">
        <v>46223.0</v>
      </c>
      <c r="E112" s="85">
        <v>1.0</v>
      </c>
      <c r="F112" s="85" t="s">
        <v>34</v>
      </c>
      <c r="G112" s="85" t="s">
        <v>337</v>
      </c>
      <c r="H112" s="85">
        <v>14.0</v>
      </c>
      <c r="I112" s="85" t="s">
        <v>96</v>
      </c>
      <c r="J112" s="85" t="s">
        <v>314</v>
      </c>
      <c r="K112" s="85" t="s">
        <v>36</v>
      </c>
      <c r="L112" s="86"/>
      <c r="M112" s="86"/>
      <c r="N112" s="85" t="s">
        <v>278</v>
      </c>
      <c r="O112" s="87"/>
      <c r="P112" s="86"/>
      <c r="Q112" s="86"/>
      <c r="R112" s="40">
        <v>3255.0</v>
      </c>
      <c r="S112" s="41">
        <f>FRESADO!$R112*FRESADO!$E112</f>
        <v>3255</v>
      </c>
      <c r="T112" s="41">
        <f>FRESADO!$S112*16%</f>
        <v>520.8</v>
      </c>
      <c r="U112" s="41">
        <f>FRESADO!$S112+FRESADO!$T112</f>
        <v>3775.8</v>
      </c>
      <c r="V112" s="40" t="s">
        <v>213</v>
      </c>
      <c r="W112" s="41"/>
      <c r="X112" s="42"/>
      <c r="Y112" s="88"/>
      <c r="Z112" s="43"/>
    </row>
    <row r="113" ht="15.75" hidden="1" customHeight="1">
      <c r="A113" s="51">
        <v>30.0</v>
      </c>
      <c r="B113" s="51">
        <v>15.0</v>
      </c>
      <c r="C113" s="83">
        <v>121.0</v>
      </c>
      <c r="D113" s="84">
        <v>46223.0</v>
      </c>
      <c r="E113" s="85">
        <v>1.0</v>
      </c>
      <c r="F113" s="85" t="s">
        <v>34</v>
      </c>
      <c r="G113" s="85" t="s">
        <v>294</v>
      </c>
      <c r="H113" s="85">
        <v>14.0</v>
      </c>
      <c r="I113" s="85" t="s">
        <v>96</v>
      </c>
      <c r="J113" s="85" t="s">
        <v>201</v>
      </c>
      <c r="K113" s="85" t="s">
        <v>36</v>
      </c>
      <c r="L113" s="86"/>
      <c r="M113" s="86"/>
      <c r="N113" s="85" t="s">
        <v>278</v>
      </c>
      <c r="O113" s="87"/>
      <c r="P113" s="86"/>
      <c r="Q113" s="86"/>
      <c r="R113" s="40">
        <v>3255.0</v>
      </c>
      <c r="S113" s="41">
        <f>FRESADO!$R113*FRESADO!$E113</f>
        <v>3255</v>
      </c>
      <c r="T113" s="41">
        <f>FRESADO!$S113*16%</f>
        <v>520.8</v>
      </c>
      <c r="U113" s="41">
        <f>FRESADO!$S113+FRESADO!$T113</f>
        <v>3775.8</v>
      </c>
      <c r="V113" s="40" t="s">
        <v>213</v>
      </c>
      <c r="W113" s="41"/>
      <c r="X113" s="42"/>
      <c r="Y113" s="88"/>
      <c r="Z113" s="43"/>
    </row>
    <row r="114" ht="15.75" hidden="1" customHeight="1">
      <c r="A114" s="51">
        <v>30.0</v>
      </c>
      <c r="B114" s="51">
        <v>16.0</v>
      </c>
      <c r="C114" s="83">
        <v>122.0</v>
      </c>
      <c r="D114" s="84">
        <v>46223.0</v>
      </c>
      <c r="E114" s="85">
        <v>1.0</v>
      </c>
      <c r="F114" s="85" t="s">
        <v>34</v>
      </c>
      <c r="G114" s="85" t="s">
        <v>124</v>
      </c>
      <c r="H114" s="85">
        <v>14.0</v>
      </c>
      <c r="I114" s="85" t="s">
        <v>96</v>
      </c>
      <c r="J114" s="85" t="s">
        <v>198</v>
      </c>
      <c r="K114" s="85" t="s">
        <v>36</v>
      </c>
      <c r="L114" s="86"/>
      <c r="M114" s="86"/>
      <c r="N114" s="85" t="s">
        <v>193</v>
      </c>
      <c r="O114" s="87"/>
      <c r="P114" s="86"/>
      <c r="Q114" s="86"/>
      <c r="R114" s="40">
        <v>2400.0</v>
      </c>
      <c r="S114" s="41">
        <f>FRESADO!$R114*FRESADO!$E114</f>
        <v>2400</v>
      </c>
      <c r="T114" s="41">
        <f>FRESADO!$S114*16%</f>
        <v>384</v>
      </c>
      <c r="U114" s="41">
        <f>FRESADO!$S114+FRESADO!$T114</f>
        <v>2784</v>
      </c>
      <c r="V114" s="40" t="s">
        <v>213</v>
      </c>
      <c r="W114" s="41"/>
      <c r="X114" s="42"/>
      <c r="Y114" s="88"/>
      <c r="Z114" s="43"/>
    </row>
    <row r="115" ht="15.75" hidden="1" customHeight="1">
      <c r="A115" s="51">
        <v>30.0</v>
      </c>
      <c r="B115" s="51">
        <v>17.0</v>
      </c>
      <c r="C115" s="83">
        <v>123.0</v>
      </c>
      <c r="D115" s="84">
        <v>46223.0</v>
      </c>
      <c r="E115" s="85">
        <v>1.0</v>
      </c>
      <c r="F115" s="85" t="s">
        <v>34</v>
      </c>
      <c r="G115" s="85" t="s">
        <v>109</v>
      </c>
      <c r="H115" s="85">
        <v>14.0</v>
      </c>
      <c r="I115" s="85" t="s">
        <v>96</v>
      </c>
      <c r="J115" s="85" t="s">
        <v>35</v>
      </c>
      <c r="K115" s="85" t="s">
        <v>36</v>
      </c>
      <c r="L115" s="86"/>
      <c r="M115" s="86"/>
      <c r="N115" s="85" t="s">
        <v>193</v>
      </c>
      <c r="O115" s="87"/>
      <c r="P115" s="86"/>
      <c r="Q115" s="86"/>
      <c r="R115" s="40">
        <v>2400.0</v>
      </c>
      <c r="S115" s="41">
        <f>FRESADO!$R115*FRESADO!$E115</f>
        <v>2400</v>
      </c>
      <c r="T115" s="41">
        <f>FRESADO!$S115*16%</f>
        <v>384</v>
      </c>
      <c r="U115" s="41">
        <f>FRESADO!$S115+FRESADO!$T115</f>
        <v>2784</v>
      </c>
      <c r="V115" s="40" t="s">
        <v>213</v>
      </c>
      <c r="W115" s="41"/>
      <c r="X115" s="42"/>
      <c r="Y115" s="88"/>
      <c r="Z115" s="43"/>
    </row>
    <row r="116" ht="15.75" hidden="1" customHeight="1">
      <c r="A116" s="51">
        <v>30.0</v>
      </c>
      <c r="B116" s="51">
        <v>18.0</v>
      </c>
      <c r="C116" s="83">
        <v>124.0</v>
      </c>
      <c r="D116" s="84">
        <v>46223.0</v>
      </c>
      <c r="E116" s="85">
        <v>1.0</v>
      </c>
      <c r="F116" s="85" t="s">
        <v>34</v>
      </c>
      <c r="G116" s="85" t="s">
        <v>176</v>
      </c>
      <c r="H116" s="85">
        <v>14.0</v>
      </c>
      <c r="I116" s="85" t="s">
        <v>96</v>
      </c>
      <c r="J116" s="85" t="s">
        <v>40</v>
      </c>
      <c r="K116" s="85" t="s">
        <v>36</v>
      </c>
      <c r="L116" s="86"/>
      <c r="M116" s="86"/>
      <c r="N116" s="85" t="s">
        <v>193</v>
      </c>
      <c r="O116" s="87"/>
      <c r="P116" s="86"/>
      <c r="Q116" s="86"/>
      <c r="R116" s="40">
        <v>2400.0</v>
      </c>
      <c r="S116" s="41">
        <f>FRESADO!$R116*FRESADO!$E116</f>
        <v>2400</v>
      </c>
      <c r="T116" s="41">
        <f>FRESADO!$S116*16%</f>
        <v>384</v>
      </c>
      <c r="U116" s="41">
        <f>FRESADO!$S116+FRESADO!$T116</f>
        <v>2784</v>
      </c>
      <c r="V116" s="40" t="s">
        <v>213</v>
      </c>
      <c r="W116" s="41"/>
      <c r="X116" s="42"/>
      <c r="Y116" s="88"/>
      <c r="Z116" s="43"/>
    </row>
    <row r="117" ht="15.75" hidden="1" customHeight="1">
      <c r="A117" s="51">
        <v>30.0</v>
      </c>
      <c r="B117" s="51">
        <v>19.0</v>
      </c>
      <c r="C117" s="83">
        <v>125.0</v>
      </c>
      <c r="D117" s="84">
        <v>46223.0</v>
      </c>
      <c r="E117" s="85">
        <v>1.0</v>
      </c>
      <c r="F117" s="85" t="s">
        <v>34</v>
      </c>
      <c r="G117" s="85" t="s">
        <v>248</v>
      </c>
      <c r="H117" s="85">
        <v>14.0</v>
      </c>
      <c r="I117" s="85" t="s">
        <v>96</v>
      </c>
      <c r="J117" s="85" t="s">
        <v>104</v>
      </c>
      <c r="K117" s="85" t="s">
        <v>36</v>
      </c>
      <c r="L117" s="86"/>
      <c r="M117" s="86"/>
      <c r="N117" s="85" t="s">
        <v>193</v>
      </c>
      <c r="O117" s="87"/>
      <c r="P117" s="86"/>
      <c r="Q117" s="86"/>
      <c r="R117" s="40">
        <v>2400.0</v>
      </c>
      <c r="S117" s="41">
        <f>FRESADO!$R117*FRESADO!$E117</f>
        <v>2400</v>
      </c>
      <c r="T117" s="41">
        <f>FRESADO!$S117*16%</f>
        <v>384</v>
      </c>
      <c r="U117" s="41">
        <f>FRESADO!$S117+FRESADO!$T117</f>
        <v>2784</v>
      </c>
      <c r="V117" s="40" t="s">
        <v>213</v>
      </c>
      <c r="W117" s="41"/>
      <c r="X117" s="42"/>
      <c r="Y117" s="88"/>
      <c r="Z117" s="43"/>
    </row>
    <row r="118" ht="15.75" hidden="1" customHeight="1">
      <c r="A118" s="51">
        <v>30.0</v>
      </c>
      <c r="B118" s="51">
        <v>20.0</v>
      </c>
      <c r="C118" s="83">
        <v>126.0</v>
      </c>
      <c r="D118" s="84">
        <v>46223.0</v>
      </c>
      <c r="E118" s="85">
        <v>1.0</v>
      </c>
      <c r="F118" s="85" t="s">
        <v>34</v>
      </c>
      <c r="G118" s="85" t="s">
        <v>170</v>
      </c>
      <c r="H118" s="85">
        <v>14.0</v>
      </c>
      <c r="I118" s="85" t="s">
        <v>96</v>
      </c>
      <c r="J118" s="85" t="s">
        <v>171</v>
      </c>
      <c r="K118" s="85" t="s">
        <v>36</v>
      </c>
      <c r="L118" s="86"/>
      <c r="M118" s="86"/>
      <c r="N118" s="85" t="s">
        <v>193</v>
      </c>
      <c r="O118" s="87"/>
      <c r="P118" s="86"/>
      <c r="Q118" s="86"/>
      <c r="R118" s="40">
        <v>2400.0</v>
      </c>
      <c r="S118" s="41">
        <f>FRESADO!$R118*FRESADO!$E118</f>
        <v>2400</v>
      </c>
      <c r="T118" s="41">
        <f>FRESADO!$S118*16%</f>
        <v>384</v>
      </c>
      <c r="U118" s="41">
        <f>FRESADO!$S118+FRESADO!$T118</f>
        <v>2784</v>
      </c>
      <c r="V118" s="40" t="s">
        <v>213</v>
      </c>
      <c r="W118" s="41"/>
      <c r="X118" s="42"/>
      <c r="Y118" s="88"/>
      <c r="Z118" s="43"/>
    </row>
    <row r="119" ht="15.75" hidden="1" customHeight="1">
      <c r="A119" s="51">
        <v>30.0</v>
      </c>
      <c r="B119" s="51">
        <v>21.0</v>
      </c>
      <c r="C119" s="83">
        <v>127.0</v>
      </c>
      <c r="D119" s="84">
        <v>46223.0</v>
      </c>
      <c r="E119" s="85">
        <v>1.0</v>
      </c>
      <c r="F119" s="85" t="s">
        <v>34</v>
      </c>
      <c r="G119" s="85" t="s">
        <v>211</v>
      </c>
      <c r="H119" s="85">
        <v>14.0</v>
      </c>
      <c r="I119" s="85" t="s">
        <v>96</v>
      </c>
      <c r="J119" s="85" t="s">
        <v>78</v>
      </c>
      <c r="K119" s="85" t="s">
        <v>36</v>
      </c>
      <c r="L119" s="86"/>
      <c r="M119" s="86"/>
      <c r="N119" s="85" t="s">
        <v>193</v>
      </c>
      <c r="O119" s="87"/>
      <c r="P119" s="86"/>
      <c r="Q119" s="86"/>
      <c r="R119" s="40">
        <v>2400.0</v>
      </c>
      <c r="S119" s="41">
        <f>FRESADO!$R119*FRESADO!$E119</f>
        <v>2400</v>
      </c>
      <c r="T119" s="41">
        <f>FRESADO!$S119*16%</f>
        <v>384</v>
      </c>
      <c r="U119" s="41">
        <f>FRESADO!$S119+FRESADO!$T119</f>
        <v>2784</v>
      </c>
      <c r="V119" s="40" t="s">
        <v>213</v>
      </c>
      <c r="W119" s="41"/>
      <c r="X119" s="42"/>
      <c r="Y119" s="88"/>
      <c r="Z119" s="43"/>
    </row>
    <row r="120" ht="15.75" hidden="1" customHeight="1">
      <c r="A120" s="51">
        <v>30.0</v>
      </c>
      <c r="B120" s="51">
        <v>22.0</v>
      </c>
      <c r="C120" s="83">
        <v>128.0</v>
      </c>
      <c r="D120" s="84">
        <v>46223.0</v>
      </c>
      <c r="E120" s="85">
        <v>1.0</v>
      </c>
      <c r="F120" s="85" t="s">
        <v>34</v>
      </c>
      <c r="G120" s="85" t="s">
        <v>337</v>
      </c>
      <c r="H120" s="85">
        <v>14.0</v>
      </c>
      <c r="I120" s="85" t="s">
        <v>96</v>
      </c>
      <c r="J120" s="85" t="s">
        <v>314</v>
      </c>
      <c r="K120" s="85" t="s">
        <v>36</v>
      </c>
      <c r="L120" s="86"/>
      <c r="M120" s="86"/>
      <c r="N120" s="85" t="s">
        <v>193</v>
      </c>
      <c r="O120" s="87"/>
      <c r="P120" s="86"/>
      <c r="Q120" s="86"/>
      <c r="R120" s="40">
        <v>2400.0</v>
      </c>
      <c r="S120" s="41">
        <f>FRESADO!$R120*FRESADO!$E120</f>
        <v>2400</v>
      </c>
      <c r="T120" s="41">
        <f>FRESADO!$S120*16%</f>
        <v>384</v>
      </c>
      <c r="U120" s="41">
        <f>FRESADO!$S120+FRESADO!$T120</f>
        <v>2784</v>
      </c>
      <c r="V120" s="40" t="s">
        <v>213</v>
      </c>
      <c r="W120" s="41"/>
      <c r="X120" s="42"/>
      <c r="Y120" s="88"/>
      <c r="Z120" s="43"/>
    </row>
    <row r="121" ht="15.75" hidden="1" customHeight="1">
      <c r="A121" s="51">
        <v>30.0</v>
      </c>
      <c r="B121" s="51">
        <v>23.0</v>
      </c>
      <c r="C121" s="83">
        <v>129.0</v>
      </c>
      <c r="D121" s="84">
        <v>46223.0</v>
      </c>
      <c r="E121" s="85">
        <v>1.0</v>
      </c>
      <c r="F121" s="85" t="s">
        <v>359</v>
      </c>
      <c r="G121" s="85" t="s">
        <v>274</v>
      </c>
      <c r="H121" s="85">
        <v>10.0</v>
      </c>
      <c r="I121" s="85" t="s">
        <v>96</v>
      </c>
      <c r="J121" s="85" t="s">
        <v>360</v>
      </c>
      <c r="K121" s="85" t="s">
        <v>36</v>
      </c>
      <c r="L121" s="86"/>
      <c r="M121" s="86"/>
      <c r="N121" s="85" t="s">
        <v>275</v>
      </c>
      <c r="O121" s="87"/>
      <c r="P121" s="86"/>
      <c r="Q121" s="86"/>
      <c r="R121" s="40">
        <v>5400.0</v>
      </c>
      <c r="S121" s="41">
        <f>FRESADO!$R121*FRESADO!$E121</f>
        <v>5400</v>
      </c>
      <c r="T121" s="41">
        <f>FRESADO!$S121*16%</f>
        <v>864</v>
      </c>
      <c r="U121" s="41">
        <f>FRESADO!$S121+FRESADO!$T121</f>
        <v>6264</v>
      </c>
      <c r="V121" s="40" t="s">
        <v>213</v>
      </c>
      <c r="W121" s="41"/>
      <c r="X121" s="42"/>
      <c r="Y121" s="88"/>
      <c r="Z121" s="43"/>
    </row>
    <row r="122" ht="15.75" hidden="1" customHeight="1">
      <c r="A122" s="51">
        <v>30.0</v>
      </c>
      <c r="B122" s="51">
        <v>24.0</v>
      </c>
      <c r="C122" s="83">
        <v>130.0</v>
      </c>
      <c r="D122" s="84">
        <v>46224.0</v>
      </c>
      <c r="E122" s="85">
        <v>1.0</v>
      </c>
      <c r="F122" s="85" t="s">
        <v>34</v>
      </c>
      <c r="G122" s="85" t="s">
        <v>248</v>
      </c>
      <c r="H122" s="85">
        <v>14.0</v>
      </c>
      <c r="I122" s="85" t="s">
        <v>96</v>
      </c>
      <c r="J122" s="85" t="s">
        <v>104</v>
      </c>
      <c r="K122" s="85" t="s">
        <v>36</v>
      </c>
      <c r="L122" s="86"/>
      <c r="M122" s="86"/>
      <c r="N122" s="85" t="s">
        <v>278</v>
      </c>
      <c r="O122" s="87"/>
      <c r="P122" s="86"/>
      <c r="Q122" s="86"/>
      <c r="R122" s="40">
        <v>3255.0</v>
      </c>
      <c r="S122" s="41">
        <f>FRESADO!$R122*FRESADO!$E122</f>
        <v>3255</v>
      </c>
      <c r="T122" s="41">
        <f>FRESADO!$S122*16%</f>
        <v>520.8</v>
      </c>
      <c r="U122" s="41">
        <f>FRESADO!$S122+FRESADO!$T122</f>
        <v>3775.8</v>
      </c>
      <c r="V122" s="40" t="s">
        <v>213</v>
      </c>
      <c r="W122" s="41"/>
      <c r="X122" s="42"/>
      <c r="Y122" s="88"/>
      <c r="Z122" s="43"/>
    </row>
    <row r="123" ht="15.75" hidden="1" customHeight="1">
      <c r="A123" s="51">
        <v>30.0</v>
      </c>
      <c r="B123" s="51">
        <v>25.0</v>
      </c>
      <c r="C123" s="83">
        <v>131.0</v>
      </c>
      <c r="D123" s="84">
        <v>46224.0</v>
      </c>
      <c r="E123" s="85">
        <v>1.0</v>
      </c>
      <c r="F123" s="85" t="s">
        <v>34</v>
      </c>
      <c r="G123" s="85" t="s">
        <v>124</v>
      </c>
      <c r="H123" s="85">
        <v>14.0</v>
      </c>
      <c r="I123" s="85" t="s">
        <v>96</v>
      </c>
      <c r="J123" s="85" t="s">
        <v>198</v>
      </c>
      <c r="K123" s="85" t="s">
        <v>36</v>
      </c>
      <c r="L123" s="86"/>
      <c r="M123" s="86"/>
      <c r="N123" s="85" t="s">
        <v>278</v>
      </c>
      <c r="O123" s="87"/>
      <c r="P123" s="86"/>
      <c r="Q123" s="86"/>
      <c r="R123" s="40">
        <v>3255.0</v>
      </c>
      <c r="S123" s="41">
        <f>FRESADO!$R123*FRESADO!$E123</f>
        <v>3255</v>
      </c>
      <c r="T123" s="41">
        <f>FRESADO!$S123*16%</f>
        <v>520.8</v>
      </c>
      <c r="U123" s="41">
        <f>FRESADO!$S123+FRESADO!$T123</f>
        <v>3775.8</v>
      </c>
      <c r="V123" s="40" t="s">
        <v>213</v>
      </c>
      <c r="W123" s="41"/>
      <c r="X123" s="42"/>
      <c r="Y123" s="88"/>
      <c r="Z123" s="43"/>
    </row>
    <row r="124" ht="15.75" hidden="1" customHeight="1">
      <c r="A124" s="51">
        <v>30.0</v>
      </c>
      <c r="B124" s="51">
        <v>26.0</v>
      </c>
      <c r="C124" s="83">
        <v>132.0</v>
      </c>
      <c r="D124" s="84">
        <v>46224.0</v>
      </c>
      <c r="E124" s="85">
        <v>1.0</v>
      </c>
      <c r="F124" s="85" t="s">
        <v>34</v>
      </c>
      <c r="G124" s="85" t="s">
        <v>176</v>
      </c>
      <c r="H124" s="85">
        <v>14.0</v>
      </c>
      <c r="I124" s="85" t="s">
        <v>96</v>
      </c>
      <c r="J124" s="85" t="s">
        <v>40</v>
      </c>
      <c r="K124" s="85" t="s">
        <v>36</v>
      </c>
      <c r="L124" s="86"/>
      <c r="M124" s="86"/>
      <c r="N124" s="85" t="s">
        <v>278</v>
      </c>
      <c r="O124" s="87"/>
      <c r="P124" s="86"/>
      <c r="Q124" s="86"/>
      <c r="R124" s="40">
        <v>3255.0</v>
      </c>
      <c r="S124" s="41">
        <f>FRESADO!$R124*FRESADO!$E124</f>
        <v>3255</v>
      </c>
      <c r="T124" s="41">
        <f>FRESADO!$S124*16%</f>
        <v>520.8</v>
      </c>
      <c r="U124" s="41">
        <f>FRESADO!$S124+FRESADO!$T124</f>
        <v>3775.8</v>
      </c>
      <c r="V124" s="40" t="s">
        <v>213</v>
      </c>
      <c r="W124" s="41"/>
      <c r="X124" s="42"/>
      <c r="Y124" s="88"/>
      <c r="Z124" s="43"/>
    </row>
    <row r="125" ht="15.75" hidden="1" customHeight="1">
      <c r="A125" s="51">
        <v>30.0</v>
      </c>
      <c r="B125" s="51">
        <v>27.0</v>
      </c>
      <c r="C125" s="83">
        <v>133.0</v>
      </c>
      <c r="D125" s="84">
        <v>46224.0</v>
      </c>
      <c r="E125" s="85">
        <v>1.0</v>
      </c>
      <c r="F125" s="85" t="s">
        <v>34</v>
      </c>
      <c r="G125" s="85" t="s">
        <v>261</v>
      </c>
      <c r="H125" s="85">
        <v>14.0</v>
      </c>
      <c r="I125" s="85" t="s">
        <v>96</v>
      </c>
      <c r="J125" s="85" t="s">
        <v>367</v>
      </c>
      <c r="K125" s="85" t="s">
        <v>36</v>
      </c>
      <c r="L125" s="86"/>
      <c r="M125" s="86"/>
      <c r="N125" s="85" t="s">
        <v>278</v>
      </c>
      <c r="O125" s="87"/>
      <c r="P125" s="86"/>
      <c r="Q125" s="86"/>
      <c r="R125" s="40">
        <v>3255.0</v>
      </c>
      <c r="S125" s="41">
        <f>FRESADO!$R125*FRESADO!$E125</f>
        <v>3255</v>
      </c>
      <c r="T125" s="41">
        <f>FRESADO!$S125*16%</f>
        <v>520.8</v>
      </c>
      <c r="U125" s="41">
        <f>FRESADO!$S125+FRESADO!$T125</f>
        <v>3775.8</v>
      </c>
      <c r="V125" s="40" t="s">
        <v>213</v>
      </c>
      <c r="W125" s="41"/>
      <c r="X125" s="42"/>
      <c r="Y125" s="88"/>
      <c r="Z125" s="43"/>
    </row>
    <row r="126" ht="15.75" hidden="1" customHeight="1">
      <c r="A126" s="51">
        <v>30.0</v>
      </c>
      <c r="B126" s="51">
        <v>28.0</v>
      </c>
      <c r="C126" s="83">
        <v>134.0</v>
      </c>
      <c r="D126" s="84">
        <v>46224.0</v>
      </c>
      <c r="E126" s="85">
        <v>1.0</v>
      </c>
      <c r="F126" s="85" t="s">
        <v>34</v>
      </c>
      <c r="G126" s="85" t="s">
        <v>225</v>
      </c>
      <c r="H126" s="85">
        <v>14.0</v>
      </c>
      <c r="I126" s="85" t="s">
        <v>96</v>
      </c>
      <c r="J126" s="85" t="s">
        <v>226</v>
      </c>
      <c r="K126" s="85" t="s">
        <v>36</v>
      </c>
      <c r="L126" s="86"/>
      <c r="M126" s="86"/>
      <c r="N126" s="85" t="s">
        <v>278</v>
      </c>
      <c r="O126" s="87"/>
      <c r="P126" s="86"/>
      <c r="Q126" s="86"/>
      <c r="R126" s="40">
        <v>3255.0</v>
      </c>
      <c r="S126" s="41">
        <f>FRESADO!$R126*FRESADO!$E126</f>
        <v>3255</v>
      </c>
      <c r="T126" s="41">
        <f>FRESADO!$S126*16%</f>
        <v>520.8</v>
      </c>
      <c r="U126" s="41">
        <f>FRESADO!$S126+FRESADO!$T126</f>
        <v>3775.8</v>
      </c>
      <c r="V126" s="40" t="s">
        <v>213</v>
      </c>
      <c r="W126" s="41"/>
      <c r="X126" s="42"/>
      <c r="Y126" s="88"/>
      <c r="Z126" s="43"/>
    </row>
    <row r="127" ht="15.75" hidden="1" customHeight="1">
      <c r="A127" s="51">
        <v>30.0</v>
      </c>
      <c r="B127" s="51">
        <v>29.0</v>
      </c>
      <c r="C127" s="83">
        <v>135.0</v>
      </c>
      <c r="D127" s="84">
        <v>46224.0</v>
      </c>
      <c r="E127" s="85">
        <v>1.0</v>
      </c>
      <c r="F127" s="85" t="s">
        <v>34</v>
      </c>
      <c r="G127" s="85" t="s">
        <v>170</v>
      </c>
      <c r="H127" s="85">
        <v>14.0</v>
      </c>
      <c r="I127" s="85" t="s">
        <v>96</v>
      </c>
      <c r="J127" s="85" t="s">
        <v>171</v>
      </c>
      <c r="K127" s="85" t="s">
        <v>36</v>
      </c>
      <c r="L127" s="86"/>
      <c r="M127" s="86"/>
      <c r="N127" s="85" t="s">
        <v>278</v>
      </c>
      <c r="O127" s="87"/>
      <c r="P127" s="86"/>
      <c r="Q127" s="86"/>
      <c r="R127" s="40">
        <v>3255.0</v>
      </c>
      <c r="S127" s="41">
        <f>FRESADO!$R127*FRESADO!$E127</f>
        <v>3255</v>
      </c>
      <c r="T127" s="41">
        <f>FRESADO!$S127*16%</f>
        <v>520.8</v>
      </c>
      <c r="U127" s="41">
        <f>FRESADO!$S127+FRESADO!$T127</f>
        <v>3775.8</v>
      </c>
      <c r="V127" s="40" t="s">
        <v>213</v>
      </c>
      <c r="W127" s="41"/>
      <c r="X127" s="42"/>
      <c r="Y127" s="88"/>
      <c r="Z127" s="43"/>
    </row>
    <row r="128" ht="15.75" hidden="1" customHeight="1">
      <c r="A128" s="51">
        <v>30.0</v>
      </c>
      <c r="B128" s="51">
        <v>30.0</v>
      </c>
      <c r="C128" s="83">
        <v>136.0</v>
      </c>
      <c r="D128" s="84">
        <v>46224.0</v>
      </c>
      <c r="E128" s="85">
        <v>1.0</v>
      </c>
      <c r="F128" s="85" t="s">
        <v>34</v>
      </c>
      <c r="G128" s="85" t="s">
        <v>337</v>
      </c>
      <c r="H128" s="85">
        <v>14.0</v>
      </c>
      <c r="I128" s="85" t="s">
        <v>96</v>
      </c>
      <c r="J128" s="85" t="s">
        <v>314</v>
      </c>
      <c r="K128" s="85" t="s">
        <v>36</v>
      </c>
      <c r="L128" s="86"/>
      <c r="M128" s="86"/>
      <c r="N128" s="85" t="s">
        <v>278</v>
      </c>
      <c r="O128" s="87"/>
      <c r="P128" s="86"/>
      <c r="Q128" s="86"/>
      <c r="R128" s="40">
        <v>3255.0</v>
      </c>
      <c r="S128" s="41">
        <f>FRESADO!$R128*FRESADO!$E128</f>
        <v>3255</v>
      </c>
      <c r="T128" s="41">
        <f>FRESADO!$S128*16%</f>
        <v>520.8</v>
      </c>
      <c r="U128" s="41">
        <f>FRESADO!$S128+FRESADO!$T128</f>
        <v>3775.8</v>
      </c>
      <c r="V128" s="40" t="s">
        <v>213</v>
      </c>
      <c r="W128" s="41"/>
      <c r="X128" s="42"/>
      <c r="Y128" s="88"/>
      <c r="Z128" s="43"/>
    </row>
    <row r="129" ht="15.75" hidden="1" customHeight="1">
      <c r="A129" s="91">
        <v>30.0</v>
      </c>
      <c r="B129" s="91">
        <v>31.0</v>
      </c>
      <c r="C129" s="92">
        <v>137.0</v>
      </c>
      <c r="D129" s="93">
        <v>46224.0</v>
      </c>
      <c r="E129" s="92">
        <v>1.0</v>
      </c>
      <c r="F129" s="92" t="s">
        <v>34</v>
      </c>
      <c r="G129" s="92" t="s">
        <v>371</v>
      </c>
      <c r="H129" s="92">
        <v>14.0</v>
      </c>
      <c r="I129" s="92" t="s">
        <v>96</v>
      </c>
      <c r="J129" s="92" t="s">
        <v>372</v>
      </c>
      <c r="K129" s="92" t="s">
        <v>373</v>
      </c>
      <c r="L129" s="94"/>
      <c r="M129" s="94"/>
      <c r="N129" s="92" t="s">
        <v>193</v>
      </c>
      <c r="O129" s="95"/>
      <c r="P129" s="94"/>
      <c r="Q129" s="94"/>
      <c r="R129" s="96">
        <v>0.0</v>
      </c>
      <c r="S129" s="97">
        <f>FRESADO!$R129*FRESADO!$E129</f>
        <v>0</v>
      </c>
      <c r="T129" s="97">
        <f>FRESADO!$S129*16%</f>
        <v>0</v>
      </c>
      <c r="U129" s="97">
        <f>FRESADO!$S129+FRESADO!$T129</f>
        <v>0</v>
      </c>
      <c r="V129" s="96" t="s">
        <v>373</v>
      </c>
      <c r="W129" s="97"/>
      <c r="X129" s="98"/>
      <c r="Y129" s="99"/>
      <c r="Z129" s="100"/>
    </row>
    <row r="130" ht="15.75" hidden="1" customHeight="1">
      <c r="A130" s="91">
        <v>30.0</v>
      </c>
      <c r="B130" s="91">
        <v>32.0</v>
      </c>
      <c r="C130" s="92">
        <v>138.0</v>
      </c>
      <c r="D130" s="93">
        <v>46224.0</v>
      </c>
      <c r="E130" s="92">
        <v>1.0</v>
      </c>
      <c r="F130" s="92" t="s">
        <v>34</v>
      </c>
      <c r="G130" s="92" t="s">
        <v>296</v>
      </c>
      <c r="H130" s="92">
        <v>7.0</v>
      </c>
      <c r="I130" s="92" t="s">
        <v>96</v>
      </c>
      <c r="J130" s="92" t="s">
        <v>376</v>
      </c>
      <c r="K130" s="92" t="s">
        <v>373</v>
      </c>
      <c r="L130" s="94"/>
      <c r="M130" s="94"/>
      <c r="N130" s="92" t="s">
        <v>193</v>
      </c>
      <c r="O130" s="95"/>
      <c r="P130" s="94"/>
      <c r="Q130" s="94"/>
      <c r="R130" s="96">
        <v>0.0</v>
      </c>
      <c r="S130" s="97">
        <f>FRESADO!$R130*FRESADO!$E130</f>
        <v>0</v>
      </c>
      <c r="T130" s="97">
        <f>FRESADO!$S130*16%</f>
        <v>0</v>
      </c>
      <c r="U130" s="97">
        <f>FRESADO!$S130+FRESADO!$T130</f>
        <v>0</v>
      </c>
      <c r="V130" s="96" t="s">
        <v>373</v>
      </c>
      <c r="W130" s="97"/>
      <c r="X130" s="98"/>
      <c r="Y130" s="99"/>
      <c r="Z130" s="100"/>
    </row>
    <row r="131" ht="15.75" hidden="1" customHeight="1">
      <c r="A131" s="91">
        <v>30.0</v>
      </c>
      <c r="B131" s="91">
        <v>33.0</v>
      </c>
      <c r="C131" s="92">
        <v>139.0</v>
      </c>
      <c r="D131" s="93">
        <v>46224.0</v>
      </c>
      <c r="E131" s="92">
        <v>1.0</v>
      </c>
      <c r="F131" s="92" t="s">
        <v>34</v>
      </c>
      <c r="G131" s="92" t="s">
        <v>378</v>
      </c>
      <c r="H131" s="92">
        <v>14.0</v>
      </c>
      <c r="I131" s="92" t="s">
        <v>96</v>
      </c>
      <c r="J131" s="92" t="s">
        <v>379</v>
      </c>
      <c r="K131" s="92" t="s">
        <v>373</v>
      </c>
      <c r="L131" s="94"/>
      <c r="M131" s="94"/>
      <c r="N131" s="92" t="s">
        <v>193</v>
      </c>
      <c r="O131" s="95"/>
      <c r="P131" s="94"/>
      <c r="Q131" s="94"/>
      <c r="R131" s="96">
        <v>0.0</v>
      </c>
      <c r="S131" s="97">
        <f>FRESADO!$R131*FRESADO!$E131</f>
        <v>0</v>
      </c>
      <c r="T131" s="97">
        <f>FRESADO!$S131*16%</f>
        <v>0</v>
      </c>
      <c r="U131" s="97">
        <f>FRESADO!$S131+FRESADO!$T131</f>
        <v>0</v>
      </c>
      <c r="V131" s="96" t="s">
        <v>373</v>
      </c>
      <c r="W131" s="97"/>
      <c r="X131" s="98"/>
      <c r="Y131" s="99"/>
      <c r="Z131" s="100"/>
    </row>
    <row r="132" ht="15.75" hidden="1" customHeight="1">
      <c r="A132" s="91">
        <v>30.0</v>
      </c>
      <c r="B132" s="91">
        <v>34.0</v>
      </c>
      <c r="C132" s="92">
        <v>140.0</v>
      </c>
      <c r="D132" s="93">
        <v>46224.0</v>
      </c>
      <c r="E132" s="92">
        <v>1.0</v>
      </c>
      <c r="F132" s="92" t="s">
        <v>34</v>
      </c>
      <c r="G132" s="92" t="s">
        <v>380</v>
      </c>
      <c r="H132" s="92">
        <v>33.0</v>
      </c>
      <c r="I132" s="92" t="s">
        <v>96</v>
      </c>
      <c r="J132" s="92" t="s">
        <v>381</v>
      </c>
      <c r="K132" s="92" t="s">
        <v>373</v>
      </c>
      <c r="L132" s="94"/>
      <c r="M132" s="94"/>
      <c r="N132" s="92" t="s">
        <v>193</v>
      </c>
      <c r="O132" s="95"/>
      <c r="P132" s="94"/>
      <c r="Q132" s="94"/>
      <c r="R132" s="96">
        <v>0.0</v>
      </c>
      <c r="S132" s="97">
        <f>FRESADO!$R132*FRESADO!$E132</f>
        <v>0</v>
      </c>
      <c r="T132" s="97">
        <f>FRESADO!$S132*16%</f>
        <v>0</v>
      </c>
      <c r="U132" s="97">
        <f>FRESADO!$S132+FRESADO!$T132</f>
        <v>0</v>
      </c>
      <c r="V132" s="96" t="s">
        <v>373</v>
      </c>
      <c r="W132" s="97"/>
      <c r="X132" s="98"/>
      <c r="Y132" s="99"/>
      <c r="Z132" s="100"/>
    </row>
    <row r="133" ht="15.75" hidden="1" customHeight="1">
      <c r="A133" s="91">
        <v>30.0</v>
      </c>
      <c r="B133" s="91">
        <v>35.0</v>
      </c>
      <c r="C133" s="92">
        <v>141.0</v>
      </c>
      <c r="D133" s="93">
        <v>46224.0</v>
      </c>
      <c r="E133" s="92">
        <v>1.0</v>
      </c>
      <c r="F133" s="92" t="s">
        <v>34</v>
      </c>
      <c r="G133" s="92" t="s">
        <v>382</v>
      </c>
      <c r="H133" s="92">
        <v>33.0</v>
      </c>
      <c r="I133" s="92" t="s">
        <v>96</v>
      </c>
      <c r="J133" s="92" t="s">
        <v>383</v>
      </c>
      <c r="K133" s="92" t="s">
        <v>373</v>
      </c>
      <c r="L133" s="94"/>
      <c r="M133" s="94"/>
      <c r="N133" s="92" t="s">
        <v>193</v>
      </c>
      <c r="O133" s="95"/>
      <c r="P133" s="94"/>
      <c r="Q133" s="94"/>
      <c r="R133" s="96">
        <v>0.0</v>
      </c>
      <c r="S133" s="97">
        <f>FRESADO!$R133*FRESADO!$E133</f>
        <v>0</v>
      </c>
      <c r="T133" s="97">
        <f>FRESADO!$S133*16%</f>
        <v>0</v>
      </c>
      <c r="U133" s="97">
        <f>FRESADO!$S133+FRESADO!$T133</f>
        <v>0</v>
      </c>
      <c r="V133" s="96" t="s">
        <v>373</v>
      </c>
      <c r="W133" s="97"/>
      <c r="X133" s="98"/>
      <c r="Y133" s="99"/>
      <c r="Z133" s="100"/>
    </row>
    <row r="134" ht="15.75" hidden="1" customHeight="1">
      <c r="A134" s="91">
        <v>30.0</v>
      </c>
      <c r="B134" s="91">
        <v>36.0</v>
      </c>
      <c r="C134" s="92">
        <v>142.0</v>
      </c>
      <c r="D134" s="93">
        <v>46224.0</v>
      </c>
      <c r="E134" s="92">
        <v>1.0</v>
      </c>
      <c r="F134" s="92" t="s">
        <v>34</v>
      </c>
      <c r="G134" s="92" t="s">
        <v>384</v>
      </c>
      <c r="H134" s="92">
        <v>33.0</v>
      </c>
      <c r="I134" s="92" t="s">
        <v>96</v>
      </c>
      <c r="J134" s="92" t="s">
        <v>385</v>
      </c>
      <c r="K134" s="92" t="s">
        <v>373</v>
      </c>
      <c r="L134" s="94"/>
      <c r="M134" s="94"/>
      <c r="N134" s="92" t="s">
        <v>193</v>
      </c>
      <c r="O134" s="95"/>
      <c r="P134" s="94"/>
      <c r="Q134" s="94"/>
      <c r="R134" s="96">
        <v>0.0</v>
      </c>
      <c r="S134" s="97">
        <f>FRESADO!$R134*FRESADO!$E134</f>
        <v>0</v>
      </c>
      <c r="T134" s="97">
        <f>FRESADO!$S134*16%</f>
        <v>0</v>
      </c>
      <c r="U134" s="97">
        <f>FRESADO!$S134+FRESADO!$T134</f>
        <v>0</v>
      </c>
      <c r="V134" s="96" t="s">
        <v>373</v>
      </c>
      <c r="W134" s="97"/>
      <c r="X134" s="98"/>
      <c r="Y134" s="99"/>
      <c r="Z134" s="100"/>
    </row>
    <row r="135" ht="15.75" hidden="1" customHeight="1">
      <c r="A135" s="51">
        <v>30.0</v>
      </c>
      <c r="B135" s="51">
        <v>37.0</v>
      </c>
      <c r="C135" s="83">
        <v>143.0</v>
      </c>
      <c r="D135" s="84">
        <v>46224.0</v>
      </c>
      <c r="E135" s="85">
        <v>1.0</v>
      </c>
      <c r="F135" s="85" t="s">
        <v>34</v>
      </c>
      <c r="G135" s="85" t="s">
        <v>124</v>
      </c>
      <c r="H135" s="85">
        <v>14.0</v>
      </c>
      <c r="I135" s="85" t="s">
        <v>96</v>
      </c>
      <c r="J135" s="85" t="s">
        <v>198</v>
      </c>
      <c r="K135" s="85" t="s">
        <v>36</v>
      </c>
      <c r="L135" s="86"/>
      <c r="M135" s="86"/>
      <c r="N135" s="85" t="s">
        <v>193</v>
      </c>
      <c r="O135" s="87"/>
      <c r="P135" s="86"/>
      <c r="Q135" s="86"/>
      <c r="R135" s="40">
        <v>2400.0</v>
      </c>
      <c r="S135" s="41">
        <f>FRESADO!$R135*FRESADO!$E135</f>
        <v>2400</v>
      </c>
      <c r="T135" s="41">
        <f>FRESADO!$S135*16%</f>
        <v>384</v>
      </c>
      <c r="U135" s="41">
        <f>FRESADO!$S135+FRESADO!$T135</f>
        <v>2784</v>
      </c>
      <c r="V135" s="40" t="s">
        <v>213</v>
      </c>
      <c r="W135" s="41"/>
      <c r="X135" s="42"/>
      <c r="Y135" s="88"/>
      <c r="Z135" s="43"/>
    </row>
    <row r="136" ht="15.75" hidden="1" customHeight="1">
      <c r="A136" s="51">
        <v>30.0</v>
      </c>
      <c r="B136" s="51">
        <v>38.0</v>
      </c>
      <c r="C136" s="83">
        <v>144.0</v>
      </c>
      <c r="D136" s="84">
        <v>46224.0</v>
      </c>
      <c r="E136" s="85">
        <v>1.0</v>
      </c>
      <c r="F136" s="85" t="s">
        <v>34</v>
      </c>
      <c r="G136" s="85" t="s">
        <v>248</v>
      </c>
      <c r="H136" s="85">
        <v>14.0</v>
      </c>
      <c r="I136" s="85" t="s">
        <v>96</v>
      </c>
      <c r="J136" s="85" t="s">
        <v>104</v>
      </c>
      <c r="K136" s="85" t="s">
        <v>36</v>
      </c>
      <c r="L136" s="86"/>
      <c r="M136" s="86"/>
      <c r="N136" s="85" t="s">
        <v>193</v>
      </c>
      <c r="O136" s="86"/>
      <c r="P136" s="86"/>
      <c r="Q136" s="86"/>
      <c r="R136" s="40">
        <v>2400.0</v>
      </c>
      <c r="S136" s="41">
        <f>FRESADO!$R136*FRESADO!$E136</f>
        <v>2400</v>
      </c>
      <c r="T136" s="41">
        <f>FRESADO!$S136*16%</f>
        <v>384</v>
      </c>
      <c r="U136" s="41">
        <f>FRESADO!$S136+FRESADO!$T136</f>
        <v>2784</v>
      </c>
      <c r="V136" s="40" t="s">
        <v>213</v>
      </c>
      <c r="W136" s="41"/>
      <c r="X136" s="41"/>
      <c r="Y136" s="88"/>
      <c r="Z136" s="43"/>
    </row>
    <row r="137" ht="15.75" hidden="1" customHeight="1">
      <c r="A137" s="51">
        <v>30.0</v>
      </c>
      <c r="B137" s="51">
        <v>39.0</v>
      </c>
      <c r="C137" s="83">
        <v>145.0</v>
      </c>
      <c r="D137" s="84">
        <v>46224.0</v>
      </c>
      <c r="E137" s="85">
        <v>1.0</v>
      </c>
      <c r="F137" s="85" t="s">
        <v>34</v>
      </c>
      <c r="G137" s="85" t="s">
        <v>176</v>
      </c>
      <c r="H137" s="85">
        <v>14.0</v>
      </c>
      <c r="I137" s="85" t="s">
        <v>96</v>
      </c>
      <c r="J137" s="85" t="s">
        <v>40</v>
      </c>
      <c r="K137" s="85" t="s">
        <v>36</v>
      </c>
      <c r="L137" s="86"/>
      <c r="M137" s="86"/>
      <c r="N137" s="85" t="s">
        <v>193</v>
      </c>
      <c r="O137" s="86"/>
      <c r="P137" s="86"/>
      <c r="Q137" s="86"/>
      <c r="R137" s="40">
        <v>2400.0</v>
      </c>
      <c r="S137" s="41">
        <f>FRESADO!$R137*FRESADO!$E137</f>
        <v>2400</v>
      </c>
      <c r="T137" s="41">
        <f>FRESADO!$S137*16%</f>
        <v>384</v>
      </c>
      <c r="U137" s="41">
        <f>FRESADO!$S137+FRESADO!$T137</f>
        <v>2784</v>
      </c>
      <c r="V137" s="40" t="s">
        <v>213</v>
      </c>
      <c r="W137" s="41"/>
      <c r="X137" s="41"/>
      <c r="Y137" s="88"/>
      <c r="Z137" s="43"/>
    </row>
    <row r="138" ht="15.75" hidden="1" customHeight="1">
      <c r="A138" s="51">
        <v>30.0</v>
      </c>
      <c r="B138" s="51">
        <v>40.0</v>
      </c>
      <c r="C138" s="83">
        <v>146.0</v>
      </c>
      <c r="D138" s="84">
        <v>46224.0</v>
      </c>
      <c r="E138" s="85">
        <v>1.0</v>
      </c>
      <c r="F138" s="85" t="s">
        <v>34</v>
      </c>
      <c r="G138" s="85" t="s">
        <v>261</v>
      </c>
      <c r="H138" s="85">
        <v>14.0</v>
      </c>
      <c r="I138" s="85" t="s">
        <v>96</v>
      </c>
      <c r="J138" s="85" t="s">
        <v>367</v>
      </c>
      <c r="K138" s="85" t="s">
        <v>36</v>
      </c>
      <c r="L138" s="86"/>
      <c r="M138" s="86"/>
      <c r="N138" s="85" t="s">
        <v>193</v>
      </c>
      <c r="O138" s="86"/>
      <c r="P138" s="86"/>
      <c r="Q138" s="86"/>
      <c r="R138" s="40">
        <v>2400.0</v>
      </c>
      <c r="S138" s="41">
        <f>FRESADO!$R138*FRESADO!$E138</f>
        <v>2400</v>
      </c>
      <c r="T138" s="41">
        <f>FRESADO!$S138*16%</f>
        <v>384</v>
      </c>
      <c r="U138" s="41">
        <f>FRESADO!$S138+FRESADO!$T138</f>
        <v>2784</v>
      </c>
      <c r="V138" s="40" t="s">
        <v>213</v>
      </c>
      <c r="W138" s="41"/>
      <c r="X138" s="41"/>
      <c r="Y138" s="88"/>
      <c r="Z138" s="43"/>
    </row>
    <row r="139" ht="15.75" hidden="1" customHeight="1">
      <c r="A139" s="51">
        <v>30.0</v>
      </c>
      <c r="B139" s="51">
        <v>41.0</v>
      </c>
      <c r="C139" s="83">
        <v>147.0</v>
      </c>
      <c r="D139" s="84">
        <v>46224.0</v>
      </c>
      <c r="E139" s="85">
        <v>1.0</v>
      </c>
      <c r="F139" s="85" t="s">
        <v>34</v>
      </c>
      <c r="G139" s="85" t="s">
        <v>225</v>
      </c>
      <c r="H139" s="85">
        <v>14.0</v>
      </c>
      <c r="I139" s="85" t="s">
        <v>96</v>
      </c>
      <c r="J139" s="85" t="s">
        <v>226</v>
      </c>
      <c r="K139" s="85" t="s">
        <v>36</v>
      </c>
      <c r="L139" s="86"/>
      <c r="M139" s="86"/>
      <c r="N139" s="85" t="s">
        <v>287</v>
      </c>
      <c r="O139" s="86"/>
      <c r="P139" s="86"/>
      <c r="Q139" s="86"/>
      <c r="R139" s="40">
        <v>1848.0</v>
      </c>
      <c r="S139" s="41">
        <f>FRESADO!$R139*FRESADO!$E139</f>
        <v>1848</v>
      </c>
      <c r="T139" s="41">
        <f>FRESADO!$S139*16%</f>
        <v>295.68</v>
      </c>
      <c r="U139" s="41">
        <f>FRESADO!$S139+FRESADO!$T139</f>
        <v>2143.68</v>
      </c>
      <c r="V139" s="40" t="s">
        <v>213</v>
      </c>
      <c r="W139" s="41"/>
      <c r="X139" s="41"/>
      <c r="Y139" s="88"/>
      <c r="Z139" s="43"/>
    </row>
    <row r="140" ht="15.75" hidden="1" customHeight="1">
      <c r="A140" s="51">
        <v>30.0</v>
      </c>
      <c r="B140" s="51">
        <v>42.0</v>
      </c>
      <c r="C140" s="83">
        <v>148.0</v>
      </c>
      <c r="D140" s="84">
        <v>46224.0</v>
      </c>
      <c r="E140" s="85">
        <v>1.0</v>
      </c>
      <c r="F140" s="85" t="s">
        <v>359</v>
      </c>
      <c r="G140" s="85" t="s">
        <v>274</v>
      </c>
      <c r="H140" s="85">
        <v>10.0</v>
      </c>
      <c r="I140" s="85" t="s">
        <v>96</v>
      </c>
      <c r="J140" s="85" t="s">
        <v>161</v>
      </c>
      <c r="K140" s="85" t="s">
        <v>36</v>
      </c>
      <c r="L140" s="86"/>
      <c r="M140" s="86"/>
      <c r="N140" s="85" t="s">
        <v>275</v>
      </c>
      <c r="O140" s="86"/>
      <c r="P140" s="86"/>
      <c r="Q140" s="86"/>
      <c r="R140" s="40">
        <v>5400.0</v>
      </c>
      <c r="S140" s="41">
        <f>FRESADO!$R140*FRESADO!$E140</f>
        <v>5400</v>
      </c>
      <c r="T140" s="41">
        <f>FRESADO!$S140*16%</f>
        <v>864</v>
      </c>
      <c r="U140" s="41">
        <f>FRESADO!$S140+FRESADO!$T140</f>
        <v>6264</v>
      </c>
      <c r="V140" s="40" t="s">
        <v>213</v>
      </c>
      <c r="W140" s="41"/>
      <c r="X140" s="41"/>
      <c r="Y140" s="88"/>
      <c r="Z140" s="43"/>
    </row>
    <row r="141" ht="15.75" hidden="1" customHeight="1">
      <c r="A141" s="51">
        <v>30.0</v>
      </c>
      <c r="B141" s="51">
        <v>43.0</v>
      </c>
      <c r="C141" s="83">
        <v>149.0</v>
      </c>
      <c r="D141" s="84">
        <v>46225.0</v>
      </c>
      <c r="E141" s="85">
        <v>1.0</v>
      </c>
      <c r="F141" s="85" t="s">
        <v>34</v>
      </c>
      <c r="G141" s="85" t="s">
        <v>337</v>
      </c>
      <c r="H141" s="85">
        <v>14.0</v>
      </c>
      <c r="I141" s="85" t="s">
        <v>96</v>
      </c>
      <c r="J141" s="85" t="s">
        <v>314</v>
      </c>
      <c r="K141" s="85" t="s">
        <v>36</v>
      </c>
      <c r="L141" s="86"/>
      <c r="M141" s="86"/>
      <c r="N141" s="85" t="s">
        <v>278</v>
      </c>
      <c r="O141" s="86"/>
      <c r="P141" s="86"/>
      <c r="Q141" s="86"/>
      <c r="R141" s="40">
        <v>3255.0</v>
      </c>
      <c r="S141" s="41">
        <f>FRESADO!$R141*FRESADO!$E141</f>
        <v>3255</v>
      </c>
      <c r="T141" s="41">
        <f>FRESADO!$S141*16%</f>
        <v>520.8</v>
      </c>
      <c r="U141" s="41">
        <f>FRESADO!$S141+FRESADO!$T141</f>
        <v>3775.8</v>
      </c>
      <c r="V141" s="40" t="s">
        <v>213</v>
      </c>
      <c r="W141" s="41"/>
      <c r="X141" s="41"/>
      <c r="Y141" s="88"/>
      <c r="Z141" s="43"/>
    </row>
    <row r="142" ht="15.75" hidden="1" customHeight="1">
      <c r="A142" s="51">
        <v>30.0</v>
      </c>
      <c r="B142" s="51">
        <v>44.0</v>
      </c>
      <c r="C142" s="83">
        <v>150.0</v>
      </c>
      <c r="D142" s="84">
        <v>46225.0</v>
      </c>
      <c r="E142" s="85">
        <v>1.0</v>
      </c>
      <c r="F142" s="85" t="s">
        <v>34</v>
      </c>
      <c r="G142" s="85" t="s">
        <v>109</v>
      </c>
      <c r="H142" s="85">
        <v>14.0</v>
      </c>
      <c r="I142" s="85" t="s">
        <v>96</v>
      </c>
      <c r="J142" s="85" t="s">
        <v>35</v>
      </c>
      <c r="K142" s="85" t="s">
        <v>36</v>
      </c>
      <c r="L142" s="86"/>
      <c r="M142" s="86"/>
      <c r="N142" s="85" t="s">
        <v>278</v>
      </c>
      <c r="O142" s="86"/>
      <c r="P142" s="86"/>
      <c r="Q142" s="86"/>
      <c r="R142" s="40">
        <v>3255.0</v>
      </c>
      <c r="S142" s="41">
        <f>FRESADO!$R142*FRESADO!$E142</f>
        <v>3255</v>
      </c>
      <c r="T142" s="41">
        <f>FRESADO!$S142*16%</f>
        <v>520.8</v>
      </c>
      <c r="U142" s="41">
        <f>FRESADO!$S142+FRESADO!$T142</f>
        <v>3775.8</v>
      </c>
      <c r="V142" s="40" t="s">
        <v>213</v>
      </c>
      <c r="W142" s="41"/>
      <c r="X142" s="41"/>
      <c r="Y142" s="88"/>
      <c r="Z142" s="43"/>
    </row>
    <row r="143" ht="15.75" hidden="1" customHeight="1">
      <c r="A143" s="51">
        <v>30.0</v>
      </c>
      <c r="B143" s="51">
        <v>45.0</v>
      </c>
      <c r="C143" s="83">
        <v>151.0</v>
      </c>
      <c r="D143" s="84">
        <v>46225.0</v>
      </c>
      <c r="E143" s="85">
        <v>1.0</v>
      </c>
      <c r="F143" s="85" t="s">
        <v>34</v>
      </c>
      <c r="G143" s="85" t="s">
        <v>331</v>
      </c>
      <c r="H143" s="85">
        <v>14.0</v>
      </c>
      <c r="I143" s="85" t="s">
        <v>96</v>
      </c>
      <c r="J143" s="85" t="s">
        <v>332</v>
      </c>
      <c r="K143" s="85" t="s">
        <v>36</v>
      </c>
      <c r="L143" s="86"/>
      <c r="M143" s="86"/>
      <c r="N143" s="85" t="s">
        <v>278</v>
      </c>
      <c r="O143" s="86"/>
      <c r="P143" s="86"/>
      <c r="Q143" s="86"/>
      <c r="R143" s="40">
        <v>3255.0</v>
      </c>
      <c r="S143" s="41">
        <f>FRESADO!$R143*FRESADO!$E143</f>
        <v>3255</v>
      </c>
      <c r="T143" s="41">
        <f>FRESADO!$S143*16%</f>
        <v>520.8</v>
      </c>
      <c r="U143" s="41">
        <f>FRESADO!$S143+FRESADO!$T143</f>
        <v>3775.8</v>
      </c>
      <c r="V143" s="40" t="s">
        <v>213</v>
      </c>
      <c r="W143" s="41"/>
      <c r="X143" s="41"/>
      <c r="Y143" s="88"/>
      <c r="Z143" s="43"/>
    </row>
    <row r="144" ht="15.75" hidden="1" customHeight="1">
      <c r="A144" s="91">
        <v>30.0</v>
      </c>
      <c r="B144" s="91">
        <v>46.0</v>
      </c>
      <c r="C144" s="92">
        <v>152.0</v>
      </c>
      <c r="D144" s="93">
        <v>46225.0</v>
      </c>
      <c r="E144" s="92">
        <v>1.0</v>
      </c>
      <c r="F144" s="92" t="s">
        <v>34</v>
      </c>
      <c r="G144" s="92" t="s">
        <v>394</v>
      </c>
      <c r="H144" s="92">
        <v>33.0</v>
      </c>
      <c r="I144" s="92" t="s">
        <v>96</v>
      </c>
      <c r="J144" s="92" t="s">
        <v>395</v>
      </c>
      <c r="K144" s="92" t="s">
        <v>373</v>
      </c>
      <c r="L144" s="94"/>
      <c r="M144" s="94"/>
      <c r="N144" s="92" t="s">
        <v>193</v>
      </c>
      <c r="O144" s="94"/>
      <c r="P144" s="94"/>
      <c r="Q144" s="94"/>
      <c r="R144" s="96">
        <v>0.0</v>
      </c>
      <c r="S144" s="97">
        <f>FRESADO!$R144*FRESADO!$E144</f>
        <v>0</v>
      </c>
      <c r="T144" s="97">
        <f>FRESADO!$S144*16%</f>
        <v>0</v>
      </c>
      <c r="U144" s="97">
        <f>FRESADO!$S144+FRESADO!$T144</f>
        <v>0</v>
      </c>
      <c r="V144" s="96" t="s">
        <v>373</v>
      </c>
      <c r="W144" s="97"/>
      <c r="X144" s="97"/>
      <c r="Y144" s="99"/>
      <c r="Z144" s="100"/>
    </row>
    <row r="145" ht="15.75" hidden="1" customHeight="1">
      <c r="A145" s="91">
        <v>30.0</v>
      </c>
      <c r="B145" s="91">
        <v>47.0</v>
      </c>
      <c r="C145" s="92">
        <v>153.0</v>
      </c>
      <c r="D145" s="93">
        <v>46225.0</v>
      </c>
      <c r="E145" s="92">
        <v>1.0</v>
      </c>
      <c r="F145" s="92" t="s">
        <v>34</v>
      </c>
      <c r="G145" s="92" t="s">
        <v>397</v>
      </c>
      <c r="H145" s="92">
        <v>33.0</v>
      </c>
      <c r="I145" s="92" t="s">
        <v>96</v>
      </c>
      <c r="J145" s="92" t="s">
        <v>398</v>
      </c>
      <c r="K145" s="92" t="s">
        <v>373</v>
      </c>
      <c r="L145" s="94"/>
      <c r="M145" s="94"/>
      <c r="N145" s="92" t="s">
        <v>193</v>
      </c>
      <c r="O145" s="94"/>
      <c r="P145" s="94"/>
      <c r="Q145" s="94"/>
      <c r="R145" s="96">
        <v>0.0</v>
      </c>
      <c r="S145" s="97">
        <f>FRESADO!$R145*FRESADO!$E145</f>
        <v>0</v>
      </c>
      <c r="T145" s="97">
        <f>FRESADO!$S145*16%</f>
        <v>0</v>
      </c>
      <c r="U145" s="97">
        <f>FRESADO!$S145+FRESADO!$T145</f>
        <v>0</v>
      </c>
      <c r="V145" s="96" t="s">
        <v>373</v>
      </c>
      <c r="W145" s="97"/>
      <c r="X145" s="97"/>
      <c r="Y145" s="99"/>
      <c r="Z145" s="100"/>
    </row>
    <row r="146" ht="15.75" hidden="1" customHeight="1">
      <c r="A146" s="91">
        <v>30.0</v>
      </c>
      <c r="B146" s="91">
        <v>48.0</v>
      </c>
      <c r="C146" s="92">
        <v>154.0</v>
      </c>
      <c r="D146" s="93">
        <v>46225.0</v>
      </c>
      <c r="E146" s="92">
        <v>1.0</v>
      </c>
      <c r="F146" s="92" t="s">
        <v>34</v>
      </c>
      <c r="G146" s="92" t="s">
        <v>401</v>
      </c>
      <c r="H146" s="92">
        <v>33.0</v>
      </c>
      <c r="I146" s="92" t="s">
        <v>96</v>
      </c>
      <c r="J146" s="92" t="s">
        <v>402</v>
      </c>
      <c r="K146" s="92" t="s">
        <v>373</v>
      </c>
      <c r="L146" s="94"/>
      <c r="M146" s="94"/>
      <c r="N146" s="92" t="s">
        <v>193</v>
      </c>
      <c r="O146" s="94"/>
      <c r="P146" s="94"/>
      <c r="Q146" s="94"/>
      <c r="R146" s="96">
        <v>0.0</v>
      </c>
      <c r="S146" s="97">
        <f>FRESADO!$R146*FRESADO!$E146</f>
        <v>0</v>
      </c>
      <c r="T146" s="97">
        <f>FRESADO!$S146*16%</f>
        <v>0</v>
      </c>
      <c r="U146" s="97">
        <f>FRESADO!$S146+FRESADO!$T146</f>
        <v>0</v>
      </c>
      <c r="V146" s="96" t="s">
        <v>373</v>
      </c>
      <c r="W146" s="97"/>
      <c r="X146" s="97"/>
      <c r="Y146" s="99"/>
      <c r="Z146" s="100"/>
    </row>
    <row r="147" ht="15.75" hidden="1" customHeight="1">
      <c r="A147" s="51">
        <v>30.0</v>
      </c>
      <c r="B147" s="51">
        <v>49.0</v>
      </c>
      <c r="C147" s="83">
        <v>155.0</v>
      </c>
      <c r="D147" s="84">
        <v>46225.0</v>
      </c>
      <c r="E147" s="85">
        <v>1.0</v>
      </c>
      <c r="F147" s="85" t="s">
        <v>34</v>
      </c>
      <c r="G147" s="85" t="s">
        <v>337</v>
      </c>
      <c r="H147" s="85">
        <v>14.0</v>
      </c>
      <c r="I147" s="85" t="s">
        <v>96</v>
      </c>
      <c r="J147" s="85" t="s">
        <v>314</v>
      </c>
      <c r="K147" s="85" t="s">
        <v>36</v>
      </c>
      <c r="L147" s="86"/>
      <c r="M147" s="86"/>
      <c r="N147" s="85" t="s">
        <v>193</v>
      </c>
      <c r="O147" s="86"/>
      <c r="P147" s="86"/>
      <c r="Q147" s="86"/>
      <c r="R147" s="40">
        <v>2400.0</v>
      </c>
      <c r="S147" s="41">
        <f>FRESADO!$R147*FRESADO!$E147</f>
        <v>2400</v>
      </c>
      <c r="T147" s="41">
        <f>FRESADO!$S147*16%</f>
        <v>384</v>
      </c>
      <c r="U147" s="41">
        <f>FRESADO!$S147+FRESADO!$T147</f>
        <v>2784</v>
      </c>
      <c r="V147" s="40" t="s">
        <v>213</v>
      </c>
      <c r="W147" s="41"/>
      <c r="X147" s="41"/>
      <c r="Y147" s="88"/>
      <c r="Z147" s="43"/>
    </row>
    <row r="148" ht="15.75" hidden="1" customHeight="1">
      <c r="A148" s="51">
        <v>30.0</v>
      </c>
      <c r="B148" s="51">
        <v>50.0</v>
      </c>
      <c r="C148" s="83">
        <v>156.0</v>
      </c>
      <c r="D148" s="84">
        <v>46225.0</v>
      </c>
      <c r="E148" s="85">
        <v>1.0</v>
      </c>
      <c r="F148" s="85" t="s">
        <v>34</v>
      </c>
      <c r="G148" s="85" t="s">
        <v>109</v>
      </c>
      <c r="H148" s="85">
        <v>14.0</v>
      </c>
      <c r="I148" s="85" t="s">
        <v>96</v>
      </c>
      <c r="J148" s="85" t="s">
        <v>35</v>
      </c>
      <c r="K148" s="85" t="s">
        <v>36</v>
      </c>
      <c r="L148" s="86"/>
      <c r="M148" s="86"/>
      <c r="N148" s="85" t="s">
        <v>193</v>
      </c>
      <c r="O148" s="86"/>
      <c r="P148" s="86"/>
      <c r="Q148" s="86"/>
      <c r="R148" s="40">
        <v>2400.0</v>
      </c>
      <c r="S148" s="41">
        <f>FRESADO!$R148*FRESADO!$E148</f>
        <v>2400</v>
      </c>
      <c r="T148" s="41">
        <f>FRESADO!$S148*16%</f>
        <v>384</v>
      </c>
      <c r="U148" s="41">
        <f>FRESADO!$S148+FRESADO!$T148</f>
        <v>2784</v>
      </c>
      <c r="V148" s="40" t="s">
        <v>213</v>
      </c>
      <c r="W148" s="41"/>
      <c r="X148" s="41"/>
      <c r="Y148" s="88"/>
      <c r="Z148" s="43"/>
    </row>
    <row r="149" ht="15.75" hidden="1" customHeight="1">
      <c r="A149" s="91">
        <v>30.0</v>
      </c>
      <c r="B149" s="91">
        <v>51.0</v>
      </c>
      <c r="C149" s="92">
        <v>157.0</v>
      </c>
      <c r="D149" s="93">
        <v>46225.0</v>
      </c>
      <c r="E149" s="92">
        <v>1.0</v>
      </c>
      <c r="F149" s="92" t="s">
        <v>34</v>
      </c>
      <c r="G149" s="92" t="s">
        <v>394</v>
      </c>
      <c r="H149" s="92">
        <v>33.0</v>
      </c>
      <c r="I149" s="92" t="s">
        <v>96</v>
      </c>
      <c r="J149" s="92" t="s">
        <v>395</v>
      </c>
      <c r="K149" s="92" t="s">
        <v>373</v>
      </c>
      <c r="L149" s="94"/>
      <c r="M149" s="94"/>
      <c r="N149" s="92" t="s">
        <v>193</v>
      </c>
      <c r="O149" s="94"/>
      <c r="P149" s="94"/>
      <c r="Q149" s="94"/>
      <c r="R149" s="96">
        <v>0.0</v>
      </c>
      <c r="S149" s="97">
        <f>FRESADO!$R149*FRESADO!$E149</f>
        <v>0</v>
      </c>
      <c r="T149" s="97">
        <f>FRESADO!$S149*16%</f>
        <v>0</v>
      </c>
      <c r="U149" s="97">
        <f>FRESADO!$S149+FRESADO!$T149</f>
        <v>0</v>
      </c>
      <c r="V149" s="96" t="s">
        <v>373</v>
      </c>
      <c r="W149" s="97"/>
      <c r="X149" s="97"/>
      <c r="Y149" s="99"/>
      <c r="Z149" s="100"/>
    </row>
    <row r="150" ht="15.75" hidden="1" customHeight="1">
      <c r="A150" s="91">
        <v>30.0</v>
      </c>
      <c r="B150" s="91">
        <v>52.0</v>
      </c>
      <c r="C150" s="92">
        <v>158.0</v>
      </c>
      <c r="D150" s="93">
        <v>46225.0</v>
      </c>
      <c r="E150" s="92">
        <v>1.0</v>
      </c>
      <c r="F150" s="92" t="s">
        <v>34</v>
      </c>
      <c r="G150" s="92" t="s">
        <v>397</v>
      </c>
      <c r="H150" s="92">
        <v>33.0</v>
      </c>
      <c r="I150" s="92" t="s">
        <v>96</v>
      </c>
      <c r="J150" s="92" t="s">
        <v>398</v>
      </c>
      <c r="K150" s="92" t="s">
        <v>373</v>
      </c>
      <c r="L150" s="94"/>
      <c r="M150" s="94"/>
      <c r="N150" s="92" t="s">
        <v>193</v>
      </c>
      <c r="O150" s="94"/>
      <c r="P150" s="94"/>
      <c r="Q150" s="94"/>
      <c r="R150" s="96">
        <v>0.0</v>
      </c>
      <c r="S150" s="97">
        <f>FRESADO!$R150*FRESADO!$E150</f>
        <v>0</v>
      </c>
      <c r="T150" s="97">
        <f>FRESADO!$S150*16%</f>
        <v>0</v>
      </c>
      <c r="U150" s="97">
        <f>FRESADO!$S150+FRESADO!$T150</f>
        <v>0</v>
      </c>
      <c r="V150" s="96" t="s">
        <v>373</v>
      </c>
      <c r="W150" s="97"/>
      <c r="X150" s="97"/>
      <c r="Y150" s="99"/>
      <c r="Z150" s="100"/>
    </row>
    <row r="151" ht="15.75" hidden="1" customHeight="1">
      <c r="A151" s="51">
        <v>30.0</v>
      </c>
      <c r="B151" s="51">
        <v>53.0</v>
      </c>
      <c r="C151" s="83">
        <v>159.0</v>
      </c>
      <c r="D151" s="84">
        <v>46225.0</v>
      </c>
      <c r="E151" s="85">
        <v>1.0</v>
      </c>
      <c r="F151" s="85" t="s">
        <v>286</v>
      </c>
      <c r="G151" s="85" t="s">
        <v>191</v>
      </c>
      <c r="H151" s="85">
        <v>14.0</v>
      </c>
      <c r="I151" s="85" t="s">
        <v>96</v>
      </c>
      <c r="J151" s="85" t="s">
        <v>192</v>
      </c>
      <c r="K151" s="85" t="s">
        <v>36</v>
      </c>
      <c r="L151" s="86"/>
      <c r="M151" s="86"/>
      <c r="N151" s="85" t="s">
        <v>287</v>
      </c>
      <c r="O151" s="86"/>
      <c r="P151" s="86"/>
      <c r="Q151" s="86"/>
      <c r="R151" s="40">
        <v>1848.0</v>
      </c>
      <c r="S151" s="41">
        <f>FRESADO!$R151*FRESADO!$E151</f>
        <v>1848</v>
      </c>
      <c r="T151" s="41">
        <f>FRESADO!$S151*16%</f>
        <v>295.68</v>
      </c>
      <c r="U151" s="41">
        <f>FRESADO!$S151+FRESADO!$T151</f>
        <v>2143.68</v>
      </c>
      <c r="V151" s="40" t="s">
        <v>213</v>
      </c>
      <c r="W151" s="41"/>
      <c r="X151" s="41"/>
      <c r="Y151" s="88"/>
      <c r="Z151" s="43"/>
    </row>
    <row r="152" ht="15.75" hidden="1" customHeight="1">
      <c r="A152" s="51">
        <v>30.0</v>
      </c>
      <c r="B152" s="51">
        <v>54.0</v>
      </c>
      <c r="C152" s="83">
        <v>160.0</v>
      </c>
      <c r="D152" s="84">
        <v>46225.0</v>
      </c>
      <c r="E152" s="85">
        <v>1.0</v>
      </c>
      <c r="F152" s="85" t="s">
        <v>359</v>
      </c>
      <c r="G152" s="85" t="s">
        <v>274</v>
      </c>
      <c r="H152" s="85">
        <v>10.0</v>
      </c>
      <c r="I152" s="85" t="s">
        <v>96</v>
      </c>
      <c r="J152" s="85" t="s">
        <v>161</v>
      </c>
      <c r="K152" s="85" t="s">
        <v>36</v>
      </c>
      <c r="L152" s="86"/>
      <c r="M152" s="86"/>
      <c r="N152" s="85" t="s">
        <v>275</v>
      </c>
      <c r="O152" s="86"/>
      <c r="P152" s="86"/>
      <c r="Q152" s="86"/>
      <c r="R152" s="40">
        <v>5400.0</v>
      </c>
      <c r="S152" s="41">
        <f>FRESADO!$R152*FRESADO!$E152</f>
        <v>5400</v>
      </c>
      <c r="T152" s="41">
        <f>FRESADO!$S152*16%</f>
        <v>864</v>
      </c>
      <c r="U152" s="41">
        <f>FRESADO!$S152+FRESADO!$T152</f>
        <v>6264</v>
      </c>
      <c r="V152" s="40" t="s">
        <v>213</v>
      </c>
      <c r="W152" s="103"/>
      <c r="X152" s="103"/>
      <c r="Y152" s="104"/>
      <c r="Z152" s="105"/>
    </row>
    <row r="153" ht="15.75" hidden="1" customHeight="1">
      <c r="A153" s="91">
        <v>30.0</v>
      </c>
      <c r="B153" s="91">
        <v>55.0</v>
      </c>
      <c r="C153" s="92">
        <v>161.0</v>
      </c>
      <c r="D153" s="93">
        <v>46226.0</v>
      </c>
      <c r="E153" s="92">
        <v>1.0</v>
      </c>
      <c r="F153" s="92" t="s">
        <v>34</v>
      </c>
      <c r="G153" s="92" t="s">
        <v>380</v>
      </c>
      <c r="H153" s="92">
        <v>33.0</v>
      </c>
      <c r="I153" s="92" t="s">
        <v>96</v>
      </c>
      <c r="J153" s="92" t="s">
        <v>381</v>
      </c>
      <c r="K153" s="92" t="s">
        <v>373</v>
      </c>
      <c r="L153" s="94"/>
      <c r="M153" s="94"/>
      <c r="N153" s="92" t="s">
        <v>193</v>
      </c>
      <c r="O153" s="94"/>
      <c r="P153" s="94"/>
      <c r="Q153" s="94"/>
      <c r="R153" s="96">
        <v>0.0</v>
      </c>
      <c r="S153" s="97">
        <f>FRESADO!$R153*FRESADO!$E153</f>
        <v>0</v>
      </c>
      <c r="T153" s="97">
        <f>FRESADO!$S153*16%</f>
        <v>0</v>
      </c>
      <c r="U153" s="97">
        <f>FRESADO!$S153+FRESADO!$T153</f>
        <v>0</v>
      </c>
      <c r="V153" s="96" t="s">
        <v>373</v>
      </c>
      <c r="W153" s="97"/>
      <c r="X153" s="97"/>
      <c r="Y153" s="99"/>
      <c r="Z153" s="100"/>
    </row>
    <row r="154" ht="15.75" hidden="1" customHeight="1">
      <c r="A154" s="91">
        <v>30.0</v>
      </c>
      <c r="B154" s="91">
        <v>56.0</v>
      </c>
      <c r="C154" s="92">
        <v>162.0</v>
      </c>
      <c r="D154" s="93">
        <v>46226.0</v>
      </c>
      <c r="E154" s="92">
        <v>1.0</v>
      </c>
      <c r="F154" s="92" t="s">
        <v>34</v>
      </c>
      <c r="G154" s="92" t="s">
        <v>412</v>
      </c>
      <c r="H154" s="92">
        <v>33.0</v>
      </c>
      <c r="I154" s="92" t="s">
        <v>96</v>
      </c>
      <c r="J154" s="92" t="s">
        <v>413</v>
      </c>
      <c r="K154" s="92" t="s">
        <v>373</v>
      </c>
      <c r="L154" s="94"/>
      <c r="M154" s="94"/>
      <c r="N154" s="92" t="s">
        <v>193</v>
      </c>
      <c r="O154" s="94"/>
      <c r="P154" s="94"/>
      <c r="Q154" s="94"/>
      <c r="R154" s="96">
        <v>0.0</v>
      </c>
      <c r="S154" s="97">
        <f>FRESADO!$R154*FRESADO!$E154</f>
        <v>0</v>
      </c>
      <c r="T154" s="97">
        <f>FRESADO!$S154*16%</f>
        <v>0</v>
      </c>
      <c r="U154" s="97">
        <f>FRESADO!$S154+FRESADO!$T154</f>
        <v>0</v>
      </c>
      <c r="V154" s="96" t="s">
        <v>373</v>
      </c>
      <c r="W154" s="97"/>
      <c r="X154" s="97"/>
      <c r="Y154" s="99"/>
      <c r="Z154" s="100"/>
    </row>
    <row r="155" ht="15.75" hidden="1" customHeight="1">
      <c r="A155" s="91">
        <v>30.0</v>
      </c>
      <c r="B155" s="91">
        <v>57.0</v>
      </c>
      <c r="C155" s="92">
        <v>163.0</v>
      </c>
      <c r="D155" s="93">
        <v>46226.0</v>
      </c>
      <c r="E155" s="92">
        <v>1.0</v>
      </c>
      <c r="F155" s="92" t="s">
        <v>34</v>
      </c>
      <c r="G155" s="92" t="s">
        <v>394</v>
      </c>
      <c r="H155" s="92">
        <v>33.0</v>
      </c>
      <c r="I155" s="92" t="s">
        <v>96</v>
      </c>
      <c r="J155" s="92" t="s">
        <v>395</v>
      </c>
      <c r="K155" s="92" t="s">
        <v>373</v>
      </c>
      <c r="L155" s="94"/>
      <c r="M155" s="94"/>
      <c r="N155" s="92" t="s">
        <v>193</v>
      </c>
      <c r="O155" s="94"/>
      <c r="P155" s="94"/>
      <c r="Q155" s="94"/>
      <c r="R155" s="96">
        <v>0.0</v>
      </c>
      <c r="S155" s="97">
        <f>FRESADO!$R155*FRESADO!$E155</f>
        <v>0</v>
      </c>
      <c r="T155" s="97">
        <f>FRESADO!$S155*16%</f>
        <v>0</v>
      </c>
      <c r="U155" s="97">
        <f>FRESADO!$S155+FRESADO!$T155</f>
        <v>0</v>
      </c>
      <c r="V155" s="96" t="s">
        <v>373</v>
      </c>
      <c r="W155" s="97"/>
      <c r="X155" s="97"/>
      <c r="Y155" s="99"/>
      <c r="Z155" s="100"/>
    </row>
    <row r="156" ht="15.75" hidden="1" customHeight="1">
      <c r="A156" s="91">
        <v>30.0</v>
      </c>
      <c r="B156" s="91">
        <v>58.0</v>
      </c>
      <c r="C156" s="92">
        <v>164.0</v>
      </c>
      <c r="D156" s="93">
        <v>46226.0</v>
      </c>
      <c r="E156" s="92">
        <v>1.0</v>
      </c>
      <c r="F156" s="92" t="s">
        <v>34</v>
      </c>
      <c r="G156" s="92" t="s">
        <v>401</v>
      </c>
      <c r="H156" s="92">
        <v>33.0</v>
      </c>
      <c r="I156" s="92" t="s">
        <v>96</v>
      </c>
      <c r="J156" s="92" t="s">
        <v>402</v>
      </c>
      <c r="K156" s="92" t="s">
        <v>373</v>
      </c>
      <c r="L156" s="94"/>
      <c r="M156" s="94"/>
      <c r="N156" s="92" t="s">
        <v>193</v>
      </c>
      <c r="O156" s="94"/>
      <c r="P156" s="94"/>
      <c r="Q156" s="94"/>
      <c r="R156" s="96">
        <v>0.0</v>
      </c>
      <c r="S156" s="97">
        <f>FRESADO!$R156*FRESADO!$E156</f>
        <v>0</v>
      </c>
      <c r="T156" s="97">
        <f>FRESADO!$S156*16%</f>
        <v>0</v>
      </c>
      <c r="U156" s="97">
        <f>FRESADO!$S156+FRESADO!$T156</f>
        <v>0</v>
      </c>
      <c r="V156" s="96" t="s">
        <v>373</v>
      </c>
      <c r="W156" s="97"/>
      <c r="X156" s="97"/>
      <c r="Y156" s="99"/>
      <c r="Z156" s="100"/>
    </row>
    <row r="157" ht="15.75" hidden="1" customHeight="1">
      <c r="A157" s="91">
        <v>30.0</v>
      </c>
      <c r="B157" s="91">
        <v>59.0</v>
      </c>
      <c r="C157" s="92">
        <v>165.0</v>
      </c>
      <c r="D157" s="93">
        <v>46226.0</v>
      </c>
      <c r="E157" s="92">
        <v>1.0</v>
      </c>
      <c r="F157" s="92" t="s">
        <v>34</v>
      </c>
      <c r="G157" s="92" t="s">
        <v>397</v>
      </c>
      <c r="H157" s="92">
        <v>33.0</v>
      </c>
      <c r="I157" s="92" t="s">
        <v>96</v>
      </c>
      <c r="J157" s="92" t="s">
        <v>398</v>
      </c>
      <c r="K157" s="92" t="s">
        <v>373</v>
      </c>
      <c r="L157" s="94"/>
      <c r="M157" s="94"/>
      <c r="N157" s="92" t="s">
        <v>193</v>
      </c>
      <c r="O157" s="94"/>
      <c r="P157" s="94"/>
      <c r="Q157" s="94"/>
      <c r="R157" s="96">
        <v>0.0</v>
      </c>
      <c r="S157" s="97">
        <f>FRESADO!$R157*FRESADO!$E157</f>
        <v>0</v>
      </c>
      <c r="T157" s="97">
        <f>FRESADO!$S157*16%</f>
        <v>0</v>
      </c>
      <c r="U157" s="97">
        <f>FRESADO!$S157+FRESADO!$T157</f>
        <v>0</v>
      </c>
      <c r="V157" s="96" t="s">
        <v>373</v>
      </c>
      <c r="W157" s="97"/>
      <c r="X157" s="97"/>
      <c r="Y157" s="99"/>
      <c r="Z157" s="100"/>
    </row>
    <row r="158" ht="15.75" hidden="1" customHeight="1">
      <c r="A158" s="91">
        <v>30.0</v>
      </c>
      <c r="B158" s="91">
        <v>60.0</v>
      </c>
      <c r="C158" s="92">
        <v>166.0</v>
      </c>
      <c r="D158" s="93">
        <v>46226.0</v>
      </c>
      <c r="E158" s="92">
        <v>1.0</v>
      </c>
      <c r="F158" s="92" t="s">
        <v>34</v>
      </c>
      <c r="G158" s="92" t="s">
        <v>382</v>
      </c>
      <c r="H158" s="92">
        <v>33.0</v>
      </c>
      <c r="I158" s="92" t="s">
        <v>96</v>
      </c>
      <c r="J158" s="92" t="s">
        <v>383</v>
      </c>
      <c r="K158" s="92" t="s">
        <v>373</v>
      </c>
      <c r="L158" s="94"/>
      <c r="M158" s="94"/>
      <c r="N158" s="92" t="s">
        <v>193</v>
      </c>
      <c r="O158" s="94"/>
      <c r="P158" s="94"/>
      <c r="Q158" s="94"/>
      <c r="R158" s="96">
        <v>0.0</v>
      </c>
      <c r="S158" s="97">
        <f>FRESADO!$R158*FRESADO!$E158</f>
        <v>0</v>
      </c>
      <c r="T158" s="97">
        <f>FRESADO!$S158*16%</f>
        <v>0</v>
      </c>
      <c r="U158" s="97">
        <f>FRESADO!$S158+FRESADO!$T158</f>
        <v>0</v>
      </c>
      <c r="V158" s="96" t="s">
        <v>373</v>
      </c>
      <c r="W158" s="97"/>
      <c r="X158" s="97"/>
      <c r="Y158" s="99"/>
      <c r="Z158" s="100"/>
    </row>
    <row r="159" ht="15.75" hidden="1" customHeight="1">
      <c r="A159" s="91">
        <v>30.0</v>
      </c>
      <c r="B159" s="91">
        <v>61.0</v>
      </c>
      <c r="C159" s="92">
        <v>167.0</v>
      </c>
      <c r="D159" s="93">
        <v>46226.0</v>
      </c>
      <c r="E159" s="92">
        <v>1.0</v>
      </c>
      <c r="F159" s="92" t="s">
        <v>34</v>
      </c>
      <c r="G159" s="92" t="s">
        <v>378</v>
      </c>
      <c r="H159" s="92">
        <v>14.0</v>
      </c>
      <c r="I159" s="92" t="s">
        <v>96</v>
      </c>
      <c r="J159" s="92" t="s">
        <v>379</v>
      </c>
      <c r="K159" s="92" t="s">
        <v>373</v>
      </c>
      <c r="L159" s="94"/>
      <c r="M159" s="94"/>
      <c r="N159" s="92" t="s">
        <v>193</v>
      </c>
      <c r="O159" s="94"/>
      <c r="P159" s="94"/>
      <c r="Q159" s="94"/>
      <c r="R159" s="96">
        <v>0.0</v>
      </c>
      <c r="S159" s="97">
        <f>FRESADO!$R159*FRESADO!$E159</f>
        <v>0</v>
      </c>
      <c r="T159" s="97">
        <f>FRESADO!$S159*16%</f>
        <v>0</v>
      </c>
      <c r="U159" s="97">
        <f>FRESADO!$S159+FRESADO!$T159</f>
        <v>0</v>
      </c>
      <c r="V159" s="96" t="s">
        <v>373</v>
      </c>
      <c r="W159" s="97"/>
      <c r="X159" s="97"/>
      <c r="Y159" s="99"/>
      <c r="Z159" s="100"/>
    </row>
    <row r="160" ht="15.75" hidden="1" customHeight="1">
      <c r="A160" s="91">
        <v>30.0</v>
      </c>
      <c r="B160" s="91">
        <v>62.0</v>
      </c>
      <c r="C160" s="92">
        <v>168.0</v>
      </c>
      <c r="D160" s="93">
        <v>46226.0</v>
      </c>
      <c r="E160" s="92">
        <v>1.0</v>
      </c>
      <c r="F160" s="92" t="s">
        <v>34</v>
      </c>
      <c r="G160" s="92" t="s">
        <v>380</v>
      </c>
      <c r="H160" s="92">
        <v>33.0</v>
      </c>
      <c r="I160" s="92" t="s">
        <v>96</v>
      </c>
      <c r="J160" s="92" t="s">
        <v>381</v>
      </c>
      <c r="K160" s="92" t="s">
        <v>373</v>
      </c>
      <c r="L160" s="94"/>
      <c r="M160" s="94"/>
      <c r="N160" s="92" t="s">
        <v>193</v>
      </c>
      <c r="O160" s="94"/>
      <c r="P160" s="94"/>
      <c r="Q160" s="94"/>
      <c r="R160" s="96">
        <v>0.0</v>
      </c>
      <c r="S160" s="97">
        <f>FRESADO!$R160*FRESADO!$E160</f>
        <v>0</v>
      </c>
      <c r="T160" s="97">
        <f>FRESADO!$S160*16%</f>
        <v>0</v>
      </c>
      <c r="U160" s="97">
        <f>FRESADO!$S160+FRESADO!$T160</f>
        <v>0</v>
      </c>
      <c r="V160" s="96" t="s">
        <v>373</v>
      </c>
      <c r="W160" s="97"/>
      <c r="X160" s="97"/>
      <c r="Y160" s="99"/>
      <c r="Z160" s="100"/>
    </row>
    <row r="161" ht="15.75" hidden="1" customHeight="1">
      <c r="A161" s="91">
        <v>30.0</v>
      </c>
      <c r="B161" s="91">
        <v>63.0</v>
      </c>
      <c r="C161" s="92">
        <v>169.0</v>
      </c>
      <c r="D161" s="93">
        <v>46226.0</v>
      </c>
      <c r="E161" s="92">
        <v>1.0</v>
      </c>
      <c r="F161" s="92" t="s">
        <v>34</v>
      </c>
      <c r="G161" s="92" t="s">
        <v>371</v>
      </c>
      <c r="H161" s="92">
        <v>14.0</v>
      </c>
      <c r="I161" s="92" t="s">
        <v>96</v>
      </c>
      <c r="J161" s="92" t="s">
        <v>414</v>
      </c>
      <c r="K161" s="92" t="s">
        <v>373</v>
      </c>
      <c r="L161" s="94"/>
      <c r="M161" s="94"/>
      <c r="N161" s="92" t="s">
        <v>193</v>
      </c>
      <c r="O161" s="94"/>
      <c r="P161" s="94"/>
      <c r="Q161" s="94"/>
      <c r="R161" s="96">
        <v>0.0</v>
      </c>
      <c r="S161" s="97">
        <f>FRESADO!$R161*FRESADO!$E161</f>
        <v>0</v>
      </c>
      <c r="T161" s="97">
        <f>FRESADO!$S161*16%</f>
        <v>0</v>
      </c>
      <c r="U161" s="97">
        <f>FRESADO!$S161+FRESADO!$T161</f>
        <v>0</v>
      </c>
      <c r="V161" s="96" t="s">
        <v>373</v>
      </c>
      <c r="W161" s="97"/>
      <c r="X161" s="97"/>
      <c r="Y161" s="99"/>
      <c r="Z161" s="100"/>
    </row>
    <row r="162" ht="15.75" hidden="1" customHeight="1">
      <c r="A162" s="91">
        <v>30.0</v>
      </c>
      <c r="B162" s="91">
        <v>64.0</v>
      </c>
      <c r="C162" s="92">
        <v>170.0</v>
      </c>
      <c r="D162" s="93">
        <v>46226.0</v>
      </c>
      <c r="E162" s="92">
        <v>1.0</v>
      </c>
      <c r="F162" s="92" t="s">
        <v>34</v>
      </c>
      <c r="G162" s="92" t="s">
        <v>415</v>
      </c>
      <c r="H162" s="92">
        <v>33.0</v>
      </c>
      <c r="I162" s="92" t="s">
        <v>96</v>
      </c>
      <c r="J162" s="92" t="s">
        <v>413</v>
      </c>
      <c r="K162" s="92" t="s">
        <v>373</v>
      </c>
      <c r="L162" s="94"/>
      <c r="M162" s="94"/>
      <c r="N162" s="92" t="s">
        <v>193</v>
      </c>
      <c r="O162" s="94"/>
      <c r="P162" s="94"/>
      <c r="Q162" s="94"/>
      <c r="R162" s="96">
        <v>0.0</v>
      </c>
      <c r="S162" s="97">
        <f>FRESADO!$R162*FRESADO!$E162</f>
        <v>0</v>
      </c>
      <c r="T162" s="97">
        <f>FRESADO!$S162*16%</f>
        <v>0</v>
      </c>
      <c r="U162" s="97">
        <f>FRESADO!$S162+FRESADO!$T162</f>
        <v>0</v>
      </c>
      <c r="V162" s="96" t="s">
        <v>373</v>
      </c>
      <c r="W162" s="97"/>
      <c r="X162" s="97"/>
      <c r="Y162" s="99"/>
      <c r="Z162" s="100"/>
    </row>
    <row r="163" ht="15.75" hidden="1" customHeight="1">
      <c r="A163" s="91">
        <v>30.0</v>
      </c>
      <c r="B163" s="91">
        <v>65.0</v>
      </c>
      <c r="C163" s="92">
        <v>171.0</v>
      </c>
      <c r="D163" s="93">
        <v>46226.0</v>
      </c>
      <c r="E163" s="92">
        <v>1.0</v>
      </c>
      <c r="F163" s="92" t="s">
        <v>34</v>
      </c>
      <c r="G163" s="92" t="s">
        <v>401</v>
      </c>
      <c r="H163" s="92">
        <v>33.0</v>
      </c>
      <c r="I163" s="92" t="s">
        <v>96</v>
      </c>
      <c r="J163" s="92" t="s">
        <v>402</v>
      </c>
      <c r="K163" s="92" t="s">
        <v>373</v>
      </c>
      <c r="L163" s="94"/>
      <c r="M163" s="94"/>
      <c r="N163" s="92" t="s">
        <v>193</v>
      </c>
      <c r="O163" s="94"/>
      <c r="P163" s="94"/>
      <c r="Q163" s="94"/>
      <c r="R163" s="96">
        <v>0.0</v>
      </c>
      <c r="S163" s="97">
        <f>FRESADO!$R163*FRESADO!$E163</f>
        <v>0</v>
      </c>
      <c r="T163" s="97">
        <f>FRESADO!$S163*16%</f>
        <v>0</v>
      </c>
      <c r="U163" s="97">
        <f>FRESADO!$S163+FRESADO!$T163</f>
        <v>0</v>
      </c>
      <c r="V163" s="96" t="s">
        <v>373</v>
      </c>
      <c r="W163" s="97"/>
      <c r="X163" s="97"/>
      <c r="Y163" s="99"/>
      <c r="Z163" s="100"/>
    </row>
    <row r="164" ht="15.75" hidden="1" customHeight="1">
      <c r="A164" s="91">
        <v>30.0</v>
      </c>
      <c r="B164" s="91">
        <v>66.0</v>
      </c>
      <c r="C164" s="92">
        <v>172.0</v>
      </c>
      <c r="D164" s="93">
        <v>46226.0</v>
      </c>
      <c r="E164" s="92">
        <v>1.0</v>
      </c>
      <c r="F164" s="92" t="s">
        <v>34</v>
      </c>
      <c r="G164" s="92" t="s">
        <v>394</v>
      </c>
      <c r="H164" s="92">
        <v>33.0</v>
      </c>
      <c r="I164" s="92" t="s">
        <v>96</v>
      </c>
      <c r="J164" s="92" t="s">
        <v>395</v>
      </c>
      <c r="K164" s="92" t="s">
        <v>373</v>
      </c>
      <c r="L164" s="94"/>
      <c r="M164" s="94"/>
      <c r="N164" s="92" t="s">
        <v>193</v>
      </c>
      <c r="O164" s="94"/>
      <c r="P164" s="94"/>
      <c r="Q164" s="94"/>
      <c r="R164" s="96">
        <v>0.0</v>
      </c>
      <c r="S164" s="97">
        <f>FRESADO!$R164*FRESADO!$E164</f>
        <v>0</v>
      </c>
      <c r="T164" s="97">
        <f>FRESADO!$S164*16%</f>
        <v>0</v>
      </c>
      <c r="U164" s="97">
        <f>FRESADO!$S164+FRESADO!$T164</f>
        <v>0</v>
      </c>
      <c r="V164" s="96" t="s">
        <v>373</v>
      </c>
      <c r="W164" s="97"/>
      <c r="X164" s="97"/>
      <c r="Y164" s="99"/>
      <c r="Z164" s="100"/>
    </row>
    <row r="165" ht="15.75" hidden="1" customHeight="1">
      <c r="A165" s="91">
        <v>30.0</v>
      </c>
      <c r="B165" s="91">
        <v>67.0</v>
      </c>
      <c r="C165" s="92">
        <v>173.0</v>
      </c>
      <c r="D165" s="93">
        <v>46226.0</v>
      </c>
      <c r="E165" s="92">
        <v>1.0</v>
      </c>
      <c r="F165" s="92" t="s">
        <v>34</v>
      </c>
      <c r="G165" s="92" t="s">
        <v>382</v>
      </c>
      <c r="H165" s="92">
        <v>33.0</v>
      </c>
      <c r="I165" s="92" t="s">
        <v>96</v>
      </c>
      <c r="J165" s="92" t="s">
        <v>383</v>
      </c>
      <c r="K165" s="92" t="s">
        <v>373</v>
      </c>
      <c r="L165" s="94"/>
      <c r="M165" s="94"/>
      <c r="N165" s="92" t="s">
        <v>193</v>
      </c>
      <c r="O165" s="94"/>
      <c r="P165" s="94"/>
      <c r="Q165" s="94"/>
      <c r="R165" s="96">
        <v>0.0</v>
      </c>
      <c r="S165" s="97">
        <f>FRESADO!$R165*FRESADO!$E165</f>
        <v>0</v>
      </c>
      <c r="T165" s="97">
        <f>FRESADO!$S165*16%</f>
        <v>0</v>
      </c>
      <c r="U165" s="97">
        <f>FRESADO!$S165+FRESADO!$T165</f>
        <v>0</v>
      </c>
      <c r="V165" s="96" t="s">
        <v>373</v>
      </c>
      <c r="W165" s="97"/>
      <c r="X165" s="97"/>
      <c r="Y165" s="99"/>
      <c r="Z165" s="100"/>
    </row>
    <row r="166" ht="15.75" hidden="1" customHeight="1">
      <c r="A166" s="91">
        <v>30.0</v>
      </c>
      <c r="B166" s="91">
        <v>68.0</v>
      </c>
      <c r="C166" s="92">
        <v>174.0</v>
      </c>
      <c r="D166" s="93">
        <v>46226.0</v>
      </c>
      <c r="E166" s="92">
        <v>1.0</v>
      </c>
      <c r="F166" s="92" t="s">
        <v>34</v>
      </c>
      <c r="G166" s="92" t="s">
        <v>397</v>
      </c>
      <c r="H166" s="92">
        <v>33.0</v>
      </c>
      <c r="I166" s="92" t="s">
        <v>96</v>
      </c>
      <c r="J166" s="92" t="s">
        <v>398</v>
      </c>
      <c r="K166" s="92" t="s">
        <v>373</v>
      </c>
      <c r="L166" s="94"/>
      <c r="M166" s="94"/>
      <c r="N166" s="92" t="s">
        <v>193</v>
      </c>
      <c r="O166" s="94"/>
      <c r="P166" s="94"/>
      <c r="Q166" s="94"/>
      <c r="R166" s="96">
        <v>0.0</v>
      </c>
      <c r="S166" s="97">
        <f>FRESADO!$R166*FRESADO!$E166</f>
        <v>0</v>
      </c>
      <c r="T166" s="97">
        <f>FRESADO!$S166*16%</f>
        <v>0</v>
      </c>
      <c r="U166" s="97">
        <f>FRESADO!$S166+FRESADO!$T166</f>
        <v>0</v>
      </c>
      <c r="V166" s="96" t="s">
        <v>373</v>
      </c>
      <c r="W166" s="97"/>
      <c r="X166" s="97"/>
      <c r="Y166" s="99"/>
      <c r="Z166" s="100"/>
    </row>
    <row r="167" ht="15.75" hidden="1" customHeight="1">
      <c r="A167" s="91">
        <v>30.0</v>
      </c>
      <c r="B167" s="91">
        <v>69.0</v>
      </c>
      <c r="C167" s="92">
        <v>175.0</v>
      </c>
      <c r="D167" s="93">
        <v>46226.0</v>
      </c>
      <c r="E167" s="92">
        <v>1.0</v>
      </c>
      <c r="F167" s="92" t="s">
        <v>34</v>
      </c>
      <c r="G167" s="92" t="s">
        <v>380</v>
      </c>
      <c r="H167" s="92">
        <v>33.0</v>
      </c>
      <c r="I167" s="92" t="s">
        <v>96</v>
      </c>
      <c r="J167" s="92" t="s">
        <v>381</v>
      </c>
      <c r="K167" s="92" t="s">
        <v>373</v>
      </c>
      <c r="L167" s="94"/>
      <c r="M167" s="94"/>
      <c r="N167" s="92" t="s">
        <v>193</v>
      </c>
      <c r="O167" s="94"/>
      <c r="P167" s="94"/>
      <c r="Q167" s="94"/>
      <c r="R167" s="96">
        <v>0.0</v>
      </c>
      <c r="S167" s="97">
        <f>FRESADO!$R167*FRESADO!$E167</f>
        <v>0</v>
      </c>
      <c r="T167" s="97">
        <f>FRESADO!$S167*16%</f>
        <v>0</v>
      </c>
      <c r="U167" s="97">
        <f>FRESADO!$S167+FRESADO!$T167</f>
        <v>0</v>
      </c>
      <c r="V167" s="96" t="s">
        <v>373</v>
      </c>
      <c r="W167" s="97"/>
      <c r="X167" s="97"/>
      <c r="Y167" s="99"/>
      <c r="Z167" s="100"/>
    </row>
    <row r="168" ht="15.75" hidden="1" customHeight="1">
      <c r="A168" s="91">
        <v>30.0</v>
      </c>
      <c r="B168" s="91">
        <v>70.0</v>
      </c>
      <c r="C168" s="92">
        <v>176.0</v>
      </c>
      <c r="D168" s="93">
        <v>46226.0</v>
      </c>
      <c r="E168" s="92">
        <v>1.0</v>
      </c>
      <c r="F168" s="92" t="s">
        <v>34</v>
      </c>
      <c r="G168" s="92" t="s">
        <v>415</v>
      </c>
      <c r="H168" s="92">
        <v>33.0</v>
      </c>
      <c r="I168" s="92" t="s">
        <v>96</v>
      </c>
      <c r="J168" s="92" t="s">
        <v>413</v>
      </c>
      <c r="K168" s="92" t="s">
        <v>373</v>
      </c>
      <c r="L168" s="94"/>
      <c r="M168" s="94"/>
      <c r="N168" s="92" t="s">
        <v>193</v>
      </c>
      <c r="O168" s="94"/>
      <c r="P168" s="94"/>
      <c r="Q168" s="94"/>
      <c r="R168" s="96">
        <v>0.0</v>
      </c>
      <c r="S168" s="97">
        <f>FRESADO!$R168*FRESADO!$E168</f>
        <v>0</v>
      </c>
      <c r="T168" s="97">
        <f>FRESADO!$S168*16%</f>
        <v>0</v>
      </c>
      <c r="U168" s="97">
        <f>FRESADO!$S168+FRESADO!$T168</f>
        <v>0</v>
      </c>
      <c r="V168" s="96" t="s">
        <v>373</v>
      </c>
      <c r="W168" s="97"/>
      <c r="X168" s="97"/>
      <c r="Y168" s="99"/>
      <c r="Z168" s="100"/>
    </row>
    <row r="169" ht="15.75" hidden="1" customHeight="1">
      <c r="A169" s="91">
        <v>30.0</v>
      </c>
      <c r="B169" s="91">
        <v>71.0</v>
      </c>
      <c r="C169" s="92">
        <v>177.0</v>
      </c>
      <c r="D169" s="93">
        <v>46226.0</v>
      </c>
      <c r="E169" s="92">
        <v>1.0</v>
      </c>
      <c r="F169" s="92" t="s">
        <v>34</v>
      </c>
      <c r="G169" s="92" t="s">
        <v>401</v>
      </c>
      <c r="H169" s="92">
        <v>33.0</v>
      </c>
      <c r="I169" s="92" t="s">
        <v>96</v>
      </c>
      <c r="J169" s="92" t="s">
        <v>402</v>
      </c>
      <c r="K169" s="92" t="s">
        <v>373</v>
      </c>
      <c r="L169" s="94"/>
      <c r="M169" s="94"/>
      <c r="N169" s="92" t="s">
        <v>193</v>
      </c>
      <c r="O169" s="94"/>
      <c r="P169" s="94"/>
      <c r="Q169" s="94"/>
      <c r="R169" s="96">
        <v>0.0</v>
      </c>
      <c r="S169" s="97">
        <f>FRESADO!$R169*FRESADO!$E169</f>
        <v>0</v>
      </c>
      <c r="T169" s="97">
        <f>FRESADO!$S169*16%</f>
        <v>0</v>
      </c>
      <c r="U169" s="97">
        <f>FRESADO!$S169+FRESADO!$T169</f>
        <v>0</v>
      </c>
      <c r="V169" s="96" t="s">
        <v>373</v>
      </c>
      <c r="W169" s="97"/>
      <c r="X169" s="97"/>
      <c r="Y169" s="99"/>
      <c r="Z169" s="100"/>
    </row>
    <row r="170" ht="15.75" hidden="1" customHeight="1">
      <c r="A170" s="91">
        <v>30.0</v>
      </c>
      <c r="B170" s="91">
        <v>72.0</v>
      </c>
      <c r="C170" s="92">
        <v>178.0</v>
      </c>
      <c r="D170" s="93">
        <v>46226.0</v>
      </c>
      <c r="E170" s="92">
        <v>1.0</v>
      </c>
      <c r="F170" s="92" t="s">
        <v>34</v>
      </c>
      <c r="G170" s="92" t="s">
        <v>378</v>
      </c>
      <c r="H170" s="92">
        <v>14.0</v>
      </c>
      <c r="I170" s="92" t="s">
        <v>96</v>
      </c>
      <c r="J170" s="92" t="s">
        <v>379</v>
      </c>
      <c r="K170" s="92" t="s">
        <v>373</v>
      </c>
      <c r="L170" s="94"/>
      <c r="M170" s="94"/>
      <c r="N170" s="92" t="s">
        <v>193</v>
      </c>
      <c r="O170" s="94"/>
      <c r="P170" s="94"/>
      <c r="Q170" s="94"/>
      <c r="R170" s="96">
        <v>0.0</v>
      </c>
      <c r="S170" s="97">
        <f>FRESADO!$R170*FRESADO!$E170</f>
        <v>0</v>
      </c>
      <c r="T170" s="97">
        <f>FRESADO!$S170*16%</f>
        <v>0</v>
      </c>
      <c r="U170" s="97">
        <f>FRESADO!$S170+FRESADO!$T170</f>
        <v>0</v>
      </c>
      <c r="V170" s="96" t="s">
        <v>373</v>
      </c>
      <c r="W170" s="97"/>
      <c r="X170" s="97"/>
      <c r="Y170" s="99"/>
      <c r="Z170" s="100"/>
    </row>
    <row r="171" ht="15.75" hidden="1" customHeight="1">
      <c r="A171" s="91">
        <v>30.0</v>
      </c>
      <c r="B171" s="91">
        <v>73.0</v>
      </c>
      <c r="C171" s="92">
        <v>179.0</v>
      </c>
      <c r="D171" s="93">
        <v>46226.0</v>
      </c>
      <c r="E171" s="92">
        <v>1.0</v>
      </c>
      <c r="F171" s="92" t="s">
        <v>34</v>
      </c>
      <c r="G171" s="92" t="s">
        <v>371</v>
      </c>
      <c r="H171" s="92">
        <v>14.0</v>
      </c>
      <c r="I171" s="92" t="s">
        <v>96</v>
      </c>
      <c r="J171" s="92" t="s">
        <v>414</v>
      </c>
      <c r="K171" s="92" t="s">
        <v>373</v>
      </c>
      <c r="L171" s="94"/>
      <c r="M171" s="94"/>
      <c r="N171" s="92" t="s">
        <v>193</v>
      </c>
      <c r="O171" s="94"/>
      <c r="P171" s="94"/>
      <c r="Q171" s="94"/>
      <c r="R171" s="96">
        <v>0.0</v>
      </c>
      <c r="S171" s="97">
        <f>FRESADO!$R171*FRESADO!$E171</f>
        <v>0</v>
      </c>
      <c r="T171" s="97">
        <f>FRESADO!$S171*16%</f>
        <v>0</v>
      </c>
      <c r="U171" s="97">
        <f>FRESADO!$S171+FRESADO!$T171</f>
        <v>0</v>
      </c>
      <c r="V171" s="96" t="s">
        <v>373</v>
      </c>
      <c r="W171" s="97"/>
      <c r="X171" s="97"/>
      <c r="Y171" s="99"/>
      <c r="Z171" s="100"/>
    </row>
    <row r="172" ht="15.75" hidden="1" customHeight="1">
      <c r="A172" s="91">
        <v>30.0</v>
      </c>
      <c r="B172" s="91">
        <v>74.0</v>
      </c>
      <c r="C172" s="92">
        <v>180.0</v>
      </c>
      <c r="D172" s="93">
        <v>46227.0</v>
      </c>
      <c r="E172" s="92">
        <v>1.0</v>
      </c>
      <c r="F172" s="92" t="s">
        <v>34</v>
      </c>
      <c r="G172" s="92" t="s">
        <v>415</v>
      </c>
      <c r="H172" s="92">
        <v>33.0</v>
      </c>
      <c r="I172" s="92" t="s">
        <v>96</v>
      </c>
      <c r="J172" s="92" t="s">
        <v>413</v>
      </c>
      <c r="K172" s="92" t="s">
        <v>373</v>
      </c>
      <c r="L172" s="94"/>
      <c r="M172" s="94"/>
      <c r="N172" s="92" t="s">
        <v>193</v>
      </c>
      <c r="O172" s="94"/>
      <c r="P172" s="94"/>
      <c r="Q172" s="94"/>
      <c r="R172" s="96">
        <v>0.0</v>
      </c>
      <c r="S172" s="97">
        <f>FRESADO!$R172*FRESADO!$E172</f>
        <v>0</v>
      </c>
      <c r="T172" s="97">
        <f>FRESADO!$S172*16%</f>
        <v>0</v>
      </c>
      <c r="U172" s="97">
        <f>FRESADO!$S172+FRESADO!$T172</f>
        <v>0</v>
      </c>
      <c r="V172" s="96" t="s">
        <v>373</v>
      </c>
      <c r="W172" s="97"/>
      <c r="X172" s="97"/>
      <c r="Y172" s="99"/>
      <c r="Z172" s="100"/>
    </row>
    <row r="173" ht="15.75" hidden="1" customHeight="1">
      <c r="A173" s="91">
        <v>30.0</v>
      </c>
      <c r="B173" s="91">
        <v>75.0</v>
      </c>
      <c r="C173" s="92">
        <v>181.0</v>
      </c>
      <c r="D173" s="93">
        <v>46227.0</v>
      </c>
      <c r="E173" s="92">
        <v>1.0</v>
      </c>
      <c r="F173" s="92" t="s">
        <v>34</v>
      </c>
      <c r="G173" s="92" t="s">
        <v>401</v>
      </c>
      <c r="H173" s="92">
        <v>33.0</v>
      </c>
      <c r="I173" s="92" t="s">
        <v>96</v>
      </c>
      <c r="J173" s="92" t="s">
        <v>402</v>
      </c>
      <c r="K173" s="92" t="s">
        <v>373</v>
      </c>
      <c r="L173" s="94"/>
      <c r="M173" s="94"/>
      <c r="N173" s="92" t="s">
        <v>278</v>
      </c>
      <c r="O173" s="94"/>
      <c r="P173" s="94"/>
      <c r="Q173" s="94"/>
      <c r="R173" s="96">
        <v>0.0</v>
      </c>
      <c r="S173" s="97">
        <f>FRESADO!$R173*FRESADO!$E173</f>
        <v>0</v>
      </c>
      <c r="T173" s="97">
        <f>FRESADO!$S173*16%</f>
        <v>0</v>
      </c>
      <c r="U173" s="97">
        <f>FRESADO!$S173+FRESADO!$T173</f>
        <v>0</v>
      </c>
      <c r="V173" s="96" t="s">
        <v>373</v>
      </c>
      <c r="W173" s="97"/>
      <c r="X173" s="97"/>
      <c r="Y173" s="99"/>
      <c r="Z173" s="100"/>
    </row>
    <row r="174" ht="15.75" hidden="1" customHeight="1">
      <c r="A174" s="91">
        <v>30.0</v>
      </c>
      <c r="B174" s="91">
        <v>76.0</v>
      </c>
      <c r="C174" s="92">
        <v>182.0</v>
      </c>
      <c r="D174" s="93">
        <v>46227.0</v>
      </c>
      <c r="E174" s="92">
        <v>1.0</v>
      </c>
      <c r="F174" s="92" t="s">
        <v>34</v>
      </c>
      <c r="G174" s="92" t="s">
        <v>394</v>
      </c>
      <c r="H174" s="92">
        <v>33.0</v>
      </c>
      <c r="I174" s="92" t="s">
        <v>96</v>
      </c>
      <c r="J174" s="92" t="s">
        <v>395</v>
      </c>
      <c r="K174" s="92" t="s">
        <v>373</v>
      </c>
      <c r="L174" s="94"/>
      <c r="M174" s="94"/>
      <c r="N174" s="92" t="s">
        <v>278</v>
      </c>
      <c r="O174" s="94"/>
      <c r="P174" s="94"/>
      <c r="Q174" s="94"/>
      <c r="R174" s="96">
        <v>0.0</v>
      </c>
      <c r="S174" s="97">
        <f>FRESADO!$R174*FRESADO!$E174</f>
        <v>0</v>
      </c>
      <c r="T174" s="97">
        <f>FRESADO!$S174*16%</f>
        <v>0</v>
      </c>
      <c r="U174" s="97">
        <f>FRESADO!$S174+FRESADO!$T174</f>
        <v>0</v>
      </c>
      <c r="V174" s="96" t="s">
        <v>373</v>
      </c>
      <c r="W174" s="97"/>
      <c r="X174" s="97"/>
      <c r="Y174" s="99"/>
      <c r="Z174" s="100"/>
    </row>
    <row r="175" ht="15.75" hidden="1" customHeight="1">
      <c r="A175" s="91">
        <v>30.0</v>
      </c>
      <c r="B175" s="91">
        <v>77.0</v>
      </c>
      <c r="C175" s="92">
        <v>183.0</v>
      </c>
      <c r="D175" s="93">
        <v>46227.0</v>
      </c>
      <c r="E175" s="92">
        <v>1.0</v>
      </c>
      <c r="F175" s="92" t="s">
        <v>34</v>
      </c>
      <c r="G175" s="92" t="s">
        <v>397</v>
      </c>
      <c r="H175" s="92">
        <v>33.0</v>
      </c>
      <c r="I175" s="92" t="s">
        <v>96</v>
      </c>
      <c r="J175" s="92" t="s">
        <v>398</v>
      </c>
      <c r="K175" s="92" t="s">
        <v>373</v>
      </c>
      <c r="L175" s="94"/>
      <c r="M175" s="94"/>
      <c r="N175" s="92" t="s">
        <v>278</v>
      </c>
      <c r="O175" s="94"/>
      <c r="P175" s="94"/>
      <c r="Q175" s="94"/>
      <c r="R175" s="96">
        <v>0.0</v>
      </c>
      <c r="S175" s="97">
        <f>FRESADO!$R175*FRESADO!$E175</f>
        <v>0</v>
      </c>
      <c r="T175" s="97">
        <f>FRESADO!$S175*16%</f>
        <v>0</v>
      </c>
      <c r="U175" s="97">
        <f>FRESADO!$S175+FRESADO!$T175</f>
        <v>0</v>
      </c>
      <c r="V175" s="96" t="s">
        <v>373</v>
      </c>
      <c r="W175" s="97"/>
      <c r="X175" s="97"/>
      <c r="Y175" s="99"/>
      <c r="Z175" s="100"/>
    </row>
    <row r="176" ht="15.75" hidden="1" customHeight="1">
      <c r="A176" s="91">
        <v>30.0</v>
      </c>
      <c r="B176" s="91">
        <v>78.0</v>
      </c>
      <c r="C176" s="92">
        <v>184.0</v>
      </c>
      <c r="D176" s="93">
        <v>46227.0</v>
      </c>
      <c r="E176" s="92">
        <v>1.0</v>
      </c>
      <c r="F176" s="92" t="s">
        <v>34</v>
      </c>
      <c r="G176" s="92" t="s">
        <v>380</v>
      </c>
      <c r="H176" s="92">
        <v>33.0</v>
      </c>
      <c r="I176" s="92" t="s">
        <v>96</v>
      </c>
      <c r="J176" s="92" t="s">
        <v>381</v>
      </c>
      <c r="K176" s="92" t="s">
        <v>373</v>
      </c>
      <c r="L176" s="94"/>
      <c r="M176" s="94"/>
      <c r="N176" s="92" t="s">
        <v>278</v>
      </c>
      <c r="O176" s="94"/>
      <c r="P176" s="94"/>
      <c r="Q176" s="94"/>
      <c r="R176" s="96">
        <v>0.0</v>
      </c>
      <c r="S176" s="97">
        <f>FRESADO!$R176*FRESADO!$E176</f>
        <v>0</v>
      </c>
      <c r="T176" s="97">
        <f>FRESADO!$S176*16%</f>
        <v>0</v>
      </c>
      <c r="U176" s="97">
        <f>FRESADO!$S176+FRESADO!$T176</f>
        <v>0</v>
      </c>
      <c r="V176" s="96" t="s">
        <v>373</v>
      </c>
      <c r="W176" s="97"/>
      <c r="X176" s="97"/>
      <c r="Y176" s="99"/>
      <c r="Z176" s="100"/>
    </row>
    <row r="177" ht="15.75" hidden="1" customHeight="1">
      <c r="A177" s="91">
        <v>30.0</v>
      </c>
      <c r="B177" s="91">
        <v>79.0</v>
      </c>
      <c r="C177" s="92">
        <v>185.0</v>
      </c>
      <c r="D177" s="93">
        <v>46227.0</v>
      </c>
      <c r="E177" s="92">
        <v>1.0</v>
      </c>
      <c r="F177" s="92" t="s">
        <v>34</v>
      </c>
      <c r="G177" s="92" t="s">
        <v>382</v>
      </c>
      <c r="H177" s="92">
        <v>33.0</v>
      </c>
      <c r="I177" s="92" t="s">
        <v>96</v>
      </c>
      <c r="J177" s="92" t="s">
        <v>383</v>
      </c>
      <c r="K177" s="92" t="s">
        <v>373</v>
      </c>
      <c r="L177" s="94"/>
      <c r="M177" s="94"/>
      <c r="N177" s="92" t="s">
        <v>193</v>
      </c>
      <c r="O177" s="94"/>
      <c r="P177" s="94"/>
      <c r="Q177" s="94"/>
      <c r="R177" s="96">
        <v>0.0</v>
      </c>
      <c r="S177" s="97">
        <f>FRESADO!$R177*FRESADO!$E177</f>
        <v>0</v>
      </c>
      <c r="T177" s="97">
        <f>FRESADO!$S177*16%</f>
        <v>0</v>
      </c>
      <c r="U177" s="97">
        <f>FRESADO!$S177+FRESADO!$T177</f>
        <v>0</v>
      </c>
      <c r="V177" s="96" t="s">
        <v>373</v>
      </c>
      <c r="W177" s="106"/>
      <c r="X177" s="106"/>
      <c r="Y177" s="107"/>
      <c r="Z177" s="108"/>
    </row>
    <row r="178" ht="15.75" hidden="1" customHeight="1">
      <c r="A178" s="91">
        <v>30.0</v>
      </c>
      <c r="B178" s="91">
        <v>1.0</v>
      </c>
      <c r="C178" s="91">
        <v>1656.0</v>
      </c>
      <c r="D178" s="109">
        <v>46226.0</v>
      </c>
      <c r="E178" s="91">
        <v>1.0</v>
      </c>
      <c r="F178" s="91" t="s">
        <v>89</v>
      </c>
      <c r="G178" s="91" t="s">
        <v>416</v>
      </c>
      <c r="H178" s="91">
        <v>14.0</v>
      </c>
      <c r="I178" s="91" t="s">
        <v>39</v>
      </c>
      <c r="J178" s="91" t="s">
        <v>417</v>
      </c>
      <c r="K178" s="92" t="s">
        <v>373</v>
      </c>
      <c r="L178" s="91" t="s">
        <v>232</v>
      </c>
      <c r="M178" s="91" t="s">
        <v>257</v>
      </c>
      <c r="N178" s="110"/>
      <c r="O178" s="91">
        <v>1.0</v>
      </c>
      <c r="P178" s="91" t="s">
        <v>418</v>
      </c>
      <c r="Q178" s="111"/>
      <c r="R178" s="96">
        <v>0.0</v>
      </c>
      <c r="S178" s="97">
        <f>FRESADO!$R178*FRESADO!$E178</f>
        <v>0</v>
      </c>
      <c r="T178" s="97">
        <f>FRESADO!$S178*16%</f>
        <v>0</v>
      </c>
      <c r="U178" s="97">
        <f>FRESADO!$S178+FRESADO!$T178</f>
        <v>0</v>
      </c>
      <c r="V178" s="96" t="s">
        <v>373</v>
      </c>
      <c r="W178" s="97"/>
      <c r="X178" s="97"/>
      <c r="Y178" s="99"/>
      <c r="Z178" s="100"/>
    </row>
    <row r="179" ht="15.75" hidden="1" customHeight="1">
      <c r="A179" s="91">
        <v>30.0</v>
      </c>
      <c r="B179" s="91">
        <v>2.0</v>
      </c>
      <c r="C179" s="91">
        <v>1657.0</v>
      </c>
      <c r="D179" s="109">
        <v>46227.0</v>
      </c>
      <c r="E179" s="91">
        <v>1.0</v>
      </c>
      <c r="F179" s="91" t="s">
        <v>89</v>
      </c>
      <c r="G179" s="112" t="s">
        <v>419</v>
      </c>
      <c r="H179" s="91">
        <v>14.0</v>
      </c>
      <c r="I179" s="91" t="s">
        <v>39</v>
      </c>
      <c r="J179" s="91" t="s">
        <v>420</v>
      </c>
      <c r="K179" s="92" t="s">
        <v>373</v>
      </c>
      <c r="L179" s="91" t="s">
        <v>259</v>
      </c>
      <c r="M179" s="91" t="s">
        <v>282</v>
      </c>
      <c r="N179" s="110"/>
      <c r="O179" s="91">
        <v>1.0</v>
      </c>
      <c r="P179" s="91" t="s">
        <v>421</v>
      </c>
      <c r="Q179" s="111"/>
      <c r="R179" s="96">
        <v>0.0</v>
      </c>
      <c r="S179" s="97">
        <f>FRESADO!$R179*FRESADO!$E179</f>
        <v>0</v>
      </c>
      <c r="T179" s="97">
        <f>FRESADO!$S179*16%</f>
        <v>0</v>
      </c>
      <c r="U179" s="97">
        <f>FRESADO!$S179+FRESADO!$T179</f>
        <v>0</v>
      </c>
      <c r="V179" s="96" t="s">
        <v>373</v>
      </c>
      <c r="W179" s="97"/>
      <c r="X179" s="97"/>
      <c r="Y179" s="99"/>
      <c r="Z179" s="100"/>
    </row>
    <row r="180" ht="15.75" hidden="1" customHeight="1">
      <c r="A180" s="91">
        <v>30.0</v>
      </c>
      <c r="B180" s="91">
        <v>3.0</v>
      </c>
      <c r="C180" s="91">
        <v>1658.0</v>
      </c>
      <c r="D180" s="109">
        <v>46228.0</v>
      </c>
      <c r="E180" s="91">
        <v>1.0</v>
      </c>
      <c r="F180" s="91" t="s">
        <v>89</v>
      </c>
      <c r="G180" s="112" t="s">
        <v>419</v>
      </c>
      <c r="H180" s="91">
        <v>14.0</v>
      </c>
      <c r="I180" s="91" t="s">
        <v>39</v>
      </c>
      <c r="J180" s="91" t="s">
        <v>417</v>
      </c>
      <c r="K180" s="92" t="s">
        <v>373</v>
      </c>
      <c r="L180" s="91" t="s">
        <v>283</v>
      </c>
      <c r="M180" s="91" t="s">
        <v>269</v>
      </c>
      <c r="N180" s="110"/>
      <c r="O180" s="91">
        <v>1.0</v>
      </c>
      <c r="P180" s="91" t="s">
        <v>418</v>
      </c>
      <c r="Q180" s="111"/>
      <c r="R180" s="96">
        <v>0.0</v>
      </c>
      <c r="S180" s="97">
        <f>FRESADO!$R180*FRESADO!$E180</f>
        <v>0</v>
      </c>
      <c r="T180" s="97">
        <f>FRESADO!$S180*16%</f>
        <v>0</v>
      </c>
      <c r="U180" s="97">
        <f>FRESADO!$S180+FRESADO!$T180</f>
        <v>0</v>
      </c>
      <c r="V180" s="96" t="s">
        <v>373</v>
      </c>
      <c r="W180" s="97"/>
      <c r="X180" s="97"/>
      <c r="Y180" s="99"/>
      <c r="Z180" s="100"/>
    </row>
    <row r="181" ht="15.75" hidden="1" customHeight="1">
      <c r="A181" s="91">
        <v>30.0</v>
      </c>
      <c r="B181" s="91">
        <v>4.0</v>
      </c>
      <c r="C181" s="91">
        <v>1659.0</v>
      </c>
      <c r="D181" s="109">
        <v>46228.0</v>
      </c>
      <c r="E181" s="91">
        <v>1.0</v>
      </c>
      <c r="F181" s="91" t="s">
        <v>89</v>
      </c>
      <c r="G181" s="112" t="s">
        <v>419</v>
      </c>
      <c r="H181" s="91">
        <v>14.0</v>
      </c>
      <c r="I181" s="91" t="s">
        <v>39</v>
      </c>
      <c r="J181" s="91" t="s">
        <v>417</v>
      </c>
      <c r="K181" s="92" t="s">
        <v>373</v>
      </c>
      <c r="L181" s="91" t="s">
        <v>283</v>
      </c>
      <c r="M181" s="91" t="s">
        <v>269</v>
      </c>
      <c r="N181" s="110"/>
      <c r="O181" s="91">
        <v>1.0</v>
      </c>
      <c r="P181" s="91" t="s">
        <v>418</v>
      </c>
      <c r="Q181" s="111"/>
      <c r="R181" s="96">
        <v>0.0</v>
      </c>
      <c r="S181" s="97">
        <f>FRESADO!$R181*FRESADO!$E181</f>
        <v>0</v>
      </c>
      <c r="T181" s="97">
        <f>FRESADO!$S181*16%</f>
        <v>0</v>
      </c>
      <c r="U181" s="97">
        <f>FRESADO!$S181+FRESADO!$T181</f>
        <v>0</v>
      </c>
      <c r="V181" s="96" t="s">
        <v>373</v>
      </c>
      <c r="W181" s="97"/>
      <c r="X181" s="97"/>
      <c r="Y181" s="99"/>
      <c r="Z181" s="100"/>
    </row>
    <row r="182" ht="15.75" hidden="1" customHeight="1">
      <c r="A182" s="113">
        <v>31.0</v>
      </c>
      <c r="B182" s="113">
        <v>1.0</v>
      </c>
      <c r="C182" s="113">
        <v>186.0</v>
      </c>
      <c r="D182" s="114">
        <v>46230.0</v>
      </c>
      <c r="E182" s="113">
        <v>1.0</v>
      </c>
      <c r="F182" s="113" t="s">
        <v>34</v>
      </c>
      <c r="G182" s="113" t="s">
        <v>401</v>
      </c>
      <c r="H182" s="113">
        <v>33.0</v>
      </c>
      <c r="I182" s="113" t="s">
        <v>96</v>
      </c>
      <c r="J182" s="113" t="s">
        <v>402</v>
      </c>
      <c r="K182" s="92" t="s">
        <v>373</v>
      </c>
      <c r="L182" s="100"/>
      <c r="M182" s="100"/>
      <c r="N182" s="113" t="s">
        <v>193</v>
      </c>
      <c r="O182" s="115"/>
      <c r="P182" s="115"/>
      <c r="Q182" s="115"/>
      <c r="R182" s="96">
        <v>0.0</v>
      </c>
      <c r="S182" s="97">
        <f>FRESADO!$R182*FRESADO!$E182</f>
        <v>0</v>
      </c>
      <c r="T182" s="97">
        <f>FRESADO!$S182*16%</f>
        <v>0</v>
      </c>
      <c r="U182" s="97">
        <f>FRESADO!$S182+FRESADO!$T182</f>
        <v>0</v>
      </c>
      <c r="V182" s="96" t="s">
        <v>373</v>
      </c>
      <c r="W182" s="97"/>
      <c r="X182" s="97"/>
      <c r="Y182" s="99"/>
      <c r="Z182" s="100"/>
    </row>
    <row r="183" ht="15.75" hidden="1" customHeight="1">
      <c r="A183" s="113">
        <v>31.0</v>
      </c>
      <c r="B183" s="113">
        <v>2.0</v>
      </c>
      <c r="C183" s="113">
        <v>187.0</v>
      </c>
      <c r="D183" s="114">
        <v>46230.0</v>
      </c>
      <c r="E183" s="113">
        <v>1.0</v>
      </c>
      <c r="F183" s="113" t="s">
        <v>34</v>
      </c>
      <c r="G183" s="113" t="s">
        <v>397</v>
      </c>
      <c r="H183" s="113">
        <v>33.0</v>
      </c>
      <c r="I183" s="113" t="s">
        <v>96</v>
      </c>
      <c r="J183" s="113" t="s">
        <v>398</v>
      </c>
      <c r="K183" s="92" t="s">
        <v>373</v>
      </c>
      <c r="L183" s="100"/>
      <c r="M183" s="100"/>
      <c r="N183" s="113" t="s">
        <v>193</v>
      </c>
      <c r="O183" s="115"/>
      <c r="P183" s="115"/>
      <c r="Q183" s="115"/>
      <c r="R183" s="96">
        <v>0.0</v>
      </c>
      <c r="S183" s="97">
        <f>FRESADO!$R183*FRESADO!$E183</f>
        <v>0</v>
      </c>
      <c r="T183" s="97">
        <f>FRESADO!$S183*16%</f>
        <v>0</v>
      </c>
      <c r="U183" s="97">
        <f>FRESADO!$S183+FRESADO!$T183</f>
        <v>0</v>
      </c>
      <c r="V183" s="96" t="s">
        <v>373</v>
      </c>
      <c r="W183" s="97"/>
      <c r="X183" s="97"/>
      <c r="Y183" s="99"/>
      <c r="Z183" s="100"/>
    </row>
    <row r="184" ht="15.75" hidden="1" customHeight="1">
      <c r="A184" s="113">
        <v>31.0</v>
      </c>
      <c r="B184" s="113">
        <v>3.0</v>
      </c>
      <c r="C184" s="113">
        <v>188.0</v>
      </c>
      <c r="D184" s="114">
        <v>46230.0</v>
      </c>
      <c r="E184" s="113">
        <v>1.0</v>
      </c>
      <c r="F184" s="113" t="s">
        <v>34</v>
      </c>
      <c r="G184" s="113" t="s">
        <v>382</v>
      </c>
      <c r="H184" s="113">
        <v>33.0</v>
      </c>
      <c r="I184" s="113" t="s">
        <v>96</v>
      </c>
      <c r="J184" s="113" t="s">
        <v>383</v>
      </c>
      <c r="K184" s="92" t="s">
        <v>373</v>
      </c>
      <c r="L184" s="100"/>
      <c r="M184" s="100"/>
      <c r="N184" s="113" t="s">
        <v>193</v>
      </c>
      <c r="O184" s="115"/>
      <c r="P184" s="115"/>
      <c r="Q184" s="115"/>
      <c r="R184" s="96">
        <v>0.0</v>
      </c>
      <c r="S184" s="97">
        <f>FRESADO!$R184*FRESADO!$E184</f>
        <v>0</v>
      </c>
      <c r="T184" s="97">
        <f>FRESADO!$S184*16%</f>
        <v>0</v>
      </c>
      <c r="U184" s="97">
        <f>FRESADO!$S184+FRESADO!$T184</f>
        <v>0</v>
      </c>
      <c r="V184" s="96" t="s">
        <v>373</v>
      </c>
      <c r="W184" s="97"/>
      <c r="X184" s="97"/>
      <c r="Y184" s="99"/>
      <c r="Z184" s="100"/>
    </row>
    <row r="185" ht="15.75" hidden="1" customHeight="1">
      <c r="A185" s="113">
        <v>31.0</v>
      </c>
      <c r="B185" s="113">
        <v>4.0</v>
      </c>
      <c r="C185" s="113">
        <v>189.0</v>
      </c>
      <c r="D185" s="114">
        <v>46230.0</v>
      </c>
      <c r="E185" s="113">
        <v>1.0</v>
      </c>
      <c r="F185" s="113" t="s">
        <v>34</v>
      </c>
      <c r="G185" s="113" t="s">
        <v>380</v>
      </c>
      <c r="H185" s="113">
        <v>33.0</v>
      </c>
      <c r="I185" s="113" t="s">
        <v>96</v>
      </c>
      <c r="J185" s="113" t="s">
        <v>422</v>
      </c>
      <c r="K185" s="92" t="s">
        <v>373</v>
      </c>
      <c r="L185" s="100"/>
      <c r="M185" s="100"/>
      <c r="N185" s="113" t="s">
        <v>193</v>
      </c>
      <c r="O185" s="115"/>
      <c r="P185" s="115"/>
      <c r="Q185" s="115"/>
      <c r="R185" s="96">
        <v>0.0</v>
      </c>
      <c r="S185" s="97">
        <f>FRESADO!$R185*FRESADO!$E185</f>
        <v>0</v>
      </c>
      <c r="T185" s="97">
        <f>FRESADO!$S185*16%</f>
        <v>0</v>
      </c>
      <c r="U185" s="97">
        <f>FRESADO!$S185+FRESADO!$T185</f>
        <v>0</v>
      </c>
      <c r="V185" s="96" t="s">
        <v>373</v>
      </c>
      <c r="W185" s="97"/>
      <c r="X185" s="97"/>
      <c r="Y185" s="99"/>
      <c r="Z185" s="100"/>
    </row>
    <row r="186" ht="15.75" hidden="1" customHeight="1">
      <c r="A186" s="113">
        <v>31.0</v>
      </c>
      <c r="B186" s="113">
        <v>5.0</v>
      </c>
      <c r="C186" s="113">
        <v>190.0</v>
      </c>
      <c r="D186" s="114">
        <v>46230.0</v>
      </c>
      <c r="E186" s="113">
        <v>1.0</v>
      </c>
      <c r="F186" s="113" t="s">
        <v>34</v>
      </c>
      <c r="G186" s="113" t="s">
        <v>401</v>
      </c>
      <c r="H186" s="113">
        <v>33.0</v>
      </c>
      <c r="I186" s="113" t="s">
        <v>96</v>
      </c>
      <c r="J186" s="113" t="s">
        <v>402</v>
      </c>
      <c r="K186" s="92" t="s">
        <v>373</v>
      </c>
      <c r="L186" s="100"/>
      <c r="M186" s="100"/>
      <c r="N186" s="113" t="s">
        <v>193</v>
      </c>
      <c r="O186" s="115"/>
      <c r="P186" s="115"/>
      <c r="Q186" s="115"/>
      <c r="R186" s="96">
        <v>0.0</v>
      </c>
      <c r="S186" s="97">
        <f>FRESADO!$R186*FRESADO!$E186</f>
        <v>0</v>
      </c>
      <c r="T186" s="97">
        <f>FRESADO!$S186*16%</f>
        <v>0</v>
      </c>
      <c r="U186" s="97">
        <f>FRESADO!$S186+FRESADO!$T186</f>
        <v>0</v>
      </c>
      <c r="V186" s="96" t="s">
        <v>373</v>
      </c>
      <c r="W186" s="97"/>
      <c r="X186" s="97"/>
      <c r="Y186" s="99"/>
      <c r="Z186" s="100"/>
    </row>
    <row r="187" ht="15.75" hidden="1" customHeight="1">
      <c r="A187" s="113">
        <v>31.0</v>
      </c>
      <c r="B187" s="113">
        <v>6.0</v>
      </c>
      <c r="C187" s="113">
        <v>191.0</v>
      </c>
      <c r="D187" s="114">
        <v>46230.0</v>
      </c>
      <c r="E187" s="113">
        <v>1.0</v>
      </c>
      <c r="F187" s="113" t="s">
        <v>34</v>
      </c>
      <c r="G187" s="113" t="s">
        <v>397</v>
      </c>
      <c r="H187" s="113">
        <v>33.0</v>
      </c>
      <c r="I187" s="113" t="s">
        <v>96</v>
      </c>
      <c r="J187" s="113" t="s">
        <v>398</v>
      </c>
      <c r="K187" s="92" t="s">
        <v>373</v>
      </c>
      <c r="L187" s="100"/>
      <c r="M187" s="100"/>
      <c r="N187" s="113" t="s">
        <v>193</v>
      </c>
      <c r="O187" s="115"/>
      <c r="P187" s="115"/>
      <c r="Q187" s="115"/>
      <c r="R187" s="96">
        <v>0.0</v>
      </c>
      <c r="S187" s="97">
        <f>FRESADO!$R187*FRESADO!$E187</f>
        <v>0</v>
      </c>
      <c r="T187" s="97">
        <f>FRESADO!$S187*16%</f>
        <v>0</v>
      </c>
      <c r="U187" s="97">
        <f>FRESADO!$S187+FRESADO!$T187</f>
        <v>0</v>
      </c>
      <c r="V187" s="96" t="s">
        <v>373</v>
      </c>
      <c r="W187" s="97"/>
      <c r="X187" s="97"/>
      <c r="Y187" s="99"/>
      <c r="Z187" s="100"/>
    </row>
    <row r="188" ht="15.75" hidden="1" customHeight="1">
      <c r="A188" s="113">
        <v>31.0</v>
      </c>
      <c r="B188" s="113">
        <v>7.0</v>
      </c>
      <c r="C188" s="113">
        <v>192.0</v>
      </c>
      <c r="D188" s="114">
        <v>46230.0</v>
      </c>
      <c r="E188" s="113">
        <v>1.0</v>
      </c>
      <c r="F188" s="113" t="s">
        <v>34</v>
      </c>
      <c r="G188" s="113" t="s">
        <v>382</v>
      </c>
      <c r="H188" s="113">
        <v>33.0</v>
      </c>
      <c r="I188" s="113" t="s">
        <v>96</v>
      </c>
      <c r="J188" s="113" t="s">
        <v>383</v>
      </c>
      <c r="K188" s="92" t="s">
        <v>373</v>
      </c>
      <c r="L188" s="100"/>
      <c r="M188" s="100"/>
      <c r="N188" s="113" t="s">
        <v>193</v>
      </c>
      <c r="O188" s="115"/>
      <c r="P188" s="115"/>
      <c r="Q188" s="115"/>
      <c r="R188" s="96">
        <v>0.0</v>
      </c>
      <c r="S188" s="97">
        <f>FRESADO!$R188*FRESADO!$E188</f>
        <v>0</v>
      </c>
      <c r="T188" s="97">
        <f>FRESADO!$S188*16%</f>
        <v>0</v>
      </c>
      <c r="U188" s="97">
        <f>FRESADO!$S188+FRESADO!$T188</f>
        <v>0</v>
      </c>
      <c r="V188" s="96" t="s">
        <v>373</v>
      </c>
      <c r="W188" s="97"/>
      <c r="X188" s="97"/>
      <c r="Y188" s="99"/>
      <c r="Z188" s="116"/>
    </row>
    <row r="189" ht="15.75" hidden="1" customHeight="1">
      <c r="A189" s="113">
        <v>31.0</v>
      </c>
      <c r="B189" s="113">
        <v>8.0</v>
      </c>
      <c r="C189" s="113">
        <v>193.0</v>
      </c>
      <c r="D189" s="114">
        <v>46230.0</v>
      </c>
      <c r="E189" s="113">
        <v>1.0</v>
      </c>
      <c r="F189" s="113" t="s">
        <v>34</v>
      </c>
      <c r="G189" s="113" t="s">
        <v>380</v>
      </c>
      <c r="H189" s="113">
        <v>33.0</v>
      </c>
      <c r="I189" s="113" t="s">
        <v>96</v>
      </c>
      <c r="J189" s="113" t="s">
        <v>422</v>
      </c>
      <c r="K189" s="92" t="s">
        <v>373</v>
      </c>
      <c r="L189" s="100"/>
      <c r="M189" s="100"/>
      <c r="N189" s="113" t="s">
        <v>193</v>
      </c>
      <c r="O189" s="115"/>
      <c r="P189" s="115"/>
      <c r="Q189" s="115"/>
      <c r="R189" s="96">
        <v>0.0</v>
      </c>
      <c r="S189" s="97">
        <f>FRESADO!$R189*FRESADO!$E189</f>
        <v>0</v>
      </c>
      <c r="T189" s="97">
        <f>FRESADO!$S189*16%</f>
        <v>0</v>
      </c>
      <c r="U189" s="97">
        <f>FRESADO!$S189+FRESADO!$T189</f>
        <v>0</v>
      </c>
      <c r="V189" s="96" t="s">
        <v>373</v>
      </c>
      <c r="W189" s="97"/>
      <c r="X189" s="97"/>
      <c r="Y189" s="99"/>
      <c r="Z189" s="100"/>
    </row>
    <row r="190" ht="15.75" hidden="1" customHeight="1">
      <c r="A190" s="113">
        <v>31.0</v>
      </c>
      <c r="B190" s="113">
        <v>9.0</v>
      </c>
      <c r="C190" s="113">
        <v>194.0</v>
      </c>
      <c r="D190" s="114">
        <v>46230.0</v>
      </c>
      <c r="E190" s="113">
        <v>1.0</v>
      </c>
      <c r="F190" s="113" t="s">
        <v>34</v>
      </c>
      <c r="G190" s="113" t="s">
        <v>401</v>
      </c>
      <c r="H190" s="113">
        <v>33.0</v>
      </c>
      <c r="I190" s="113" t="s">
        <v>96</v>
      </c>
      <c r="J190" s="113" t="s">
        <v>402</v>
      </c>
      <c r="K190" s="92" t="s">
        <v>373</v>
      </c>
      <c r="L190" s="100"/>
      <c r="M190" s="100"/>
      <c r="N190" s="113" t="s">
        <v>193</v>
      </c>
      <c r="O190" s="115"/>
      <c r="P190" s="115"/>
      <c r="Q190" s="115"/>
      <c r="R190" s="96">
        <v>0.0</v>
      </c>
      <c r="S190" s="97">
        <f>FRESADO!$R190*FRESADO!$E190</f>
        <v>0</v>
      </c>
      <c r="T190" s="97">
        <f>FRESADO!$S190*16%</f>
        <v>0</v>
      </c>
      <c r="U190" s="97">
        <f>FRESADO!$S190+FRESADO!$T190</f>
        <v>0</v>
      </c>
      <c r="V190" s="96" t="s">
        <v>373</v>
      </c>
      <c r="W190" s="97"/>
      <c r="X190" s="97"/>
      <c r="Y190" s="99"/>
      <c r="Z190" s="116"/>
    </row>
    <row r="191" ht="15.75" hidden="1" customHeight="1">
      <c r="A191" s="113">
        <v>31.0</v>
      </c>
      <c r="B191" s="113">
        <v>10.0</v>
      </c>
      <c r="C191" s="113">
        <v>195.0</v>
      </c>
      <c r="D191" s="114">
        <v>46230.0</v>
      </c>
      <c r="E191" s="113">
        <v>1.0</v>
      </c>
      <c r="F191" s="113" t="s">
        <v>34</v>
      </c>
      <c r="G191" s="113" t="s">
        <v>397</v>
      </c>
      <c r="H191" s="113">
        <v>33.0</v>
      </c>
      <c r="I191" s="113" t="s">
        <v>96</v>
      </c>
      <c r="J191" s="113" t="s">
        <v>398</v>
      </c>
      <c r="K191" s="92" t="s">
        <v>373</v>
      </c>
      <c r="L191" s="100"/>
      <c r="M191" s="100"/>
      <c r="N191" s="113" t="s">
        <v>193</v>
      </c>
      <c r="O191" s="115"/>
      <c r="P191" s="115"/>
      <c r="Q191" s="115"/>
      <c r="R191" s="96">
        <v>0.0</v>
      </c>
      <c r="S191" s="97">
        <f>FRESADO!$R191*FRESADO!$E191</f>
        <v>0</v>
      </c>
      <c r="T191" s="97">
        <f>FRESADO!$S191*16%</f>
        <v>0</v>
      </c>
      <c r="U191" s="97">
        <f>FRESADO!$S191+FRESADO!$T191</f>
        <v>0</v>
      </c>
      <c r="V191" s="96" t="s">
        <v>373</v>
      </c>
      <c r="W191" s="97"/>
      <c r="X191" s="97"/>
      <c r="Y191" s="99"/>
      <c r="Z191" s="100"/>
    </row>
    <row r="192" ht="15.75" hidden="1" customHeight="1">
      <c r="A192" s="113">
        <v>31.0</v>
      </c>
      <c r="B192" s="113">
        <v>11.0</v>
      </c>
      <c r="C192" s="113">
        <v>196.0</v>
      </c>
      <c r="D192" s="114">
        <v>46231.0</v>
      </c>
      <c r="E192" s="113">
        <v>1.0</v>
      </c>
      <c r="F192" s="113" t="s">
        <v>34</v>
      </c>
      <c r="G192" s="113" t="s">
        <v>423</v>
      </c>
      <c r="H192" s="113">
        <v>33.0</v>
      </c>
      <c r="I192" s="113" t="s">
        <v>96</v>
      </c>
      <c r="J192" s="113" t="s">
        <v>385</v>
      </c>
      <c r="K192" s="92" t="s">
        <v>373</v>
      </c>
      <c r="L192" s="100"/>
      <c r="M192" s="100"/>
      <c r="N192" s="113" t="s">
        <v>193</v>
      </c>
      <c r="O192" s="115"/>
      <c r="P192" s="115"/>
      <c r="Q192" s="115"/>
      <c r="R192" s="96">
        <v>0.0</v>
      </c>
      <c r="S192" s="97">
        <f>FRESADO!$R192*FRESADO!$E192</f>
        <v>0</v>
      </c>
      <c r="T192" s="97">
        <f>FRESADO!$S192*16%</f>
        <v>0</v>
      </c>
      <c r="U192" s="97">
        <f>FRESADO!$S192+FRESADO!$T192</f>
        <v>0</v>
      </c>
      <c r="V192" s="96" t="s">
        <v>373</v>
      </c>
      <c r="W192" s="97"/>
      <c r="X192" s="97"/>
      <c r="Y192" s="99"/>
      <c r="Z192" s="100"/>
    </row>
    <row r="193" ht="15.75" hidden="1" customHeight="1">
      <c r="A193" s="113">
        <v>31.0</v>
      </c>
      <c r="B193" s="113">
        <v>12.0</v>
      </c>
      <c r="C193" s="113">
        <v>197.0</v>
      </c>
      <c r="D193" s="114">
        <v>46231.0</v>
      </c>
      <c r="E193" s="113">
        <v>1.0</v>
      </c>
      <c r="F193" s="113" t="s">
        <v>34</v>
      </c>
      <c r="G193" s="113" t="s">
        <v>415</v>
      </c>
      <c r="H193" s="113">
        <v>33.0</v>
      </c>
      <c r="I193" s="113" t="s">
        <v>96</v>
      </c>
      <c r="J193" s="113" t="s">
        <v>413</v>
      </c>
      <c r="K193" s="92" t="s">
        <v>373</v>
      </c>
      <c r="L193" s="100"/>
      <c r="M193" s="100"/>
      <c r="N193" s="113" t="s">
        <v>193</v>
      </c>
      <c r="O193" s="115"/>
      <c r="P193" s="115"/>
      <c r="Q193" s="115"/>
      <c r="R193" s="96">
        <v>0.0</v>
      </c>
      <c r="S193" s="97">
        <f>FRESADO!$R193*FRESADO!$E193</f>
        <v>0</v>
      </c>
      <c r="T193" s="97">
        <f>FRESADO!$S193*16%</f>
        <v>0</v>
      </c>
      <c r="U193" s="97">
        <f>FRESADO!$S193+FRESADO!$T193</f>
        <v>0</v>
      </c>
      <c r="V193" s="96" t="s">
        <v>373</v>
      </c>
      <c r="W193" s="97"/>
      <c r="X193" s="97"/>
      <c r="Y193" s="99"/>
      <c r="Z193" s="100"/>
    </row>
    <row r="194" ht="15.75" hidden="1" customHeight="1">
      <c r="A194" s="113">
        <v>31.0</v>
      </c>
      <c r="B194" s="113">
        <v>13.0</v>
      </c>
      <c r="C194" s="113">
        <v>198.0</v>
      </c>
      <c r="D194" s="114">
        <v>46231.0</v>
      </c>
      <c r="E194" s="113">
        <v>1.0</v>
      </c>
      <c r="F194" s="113" t="s">
        <v>34</v>
      </c>
      <c r="G194" s="113" t="s">
        <v>394</v>
      </c>
      <c r="H194" s="113">
        <v>33.0</v>
      </c>
      <c r="I194" s="113" t="s">
        <v>96</v>
      </c>
      <c r="J194" s="113" t="s">
        <v>395</v>
      </c>
      <c r="K194" s="92" t="s">
        <v>373</v>
      </c>
      <c r="L194" s="100"/>
      <c r="M194" s="100"/>
      <c r="N194" s="113" t="s">
        <v>193</v>
      </c>
      <c r="O194" s="115"/>
      <c r="P194" s="115"/>
      <c r="Q194" s="115"/>
      <c r="R194" s="96">
        <v>0.0</v>
      </c>
      <c r="S194" s="97">
        <f>FRESADO!$R194*FRESADO!$E194</f>
        <v>0</v>
      </c>
      <c r="T194" s="97">
        <f>FRESADO!$S194*16%</f>
        <v>0</v>
      </c>
      <c r="U194" s="97">
        <f>FRESADO!$S194+FRESADO!$T194</f>
        <v>0</v>
      </c>
      <c r="V194" s="96" t="s">
        <v>373</v>
      </c>
      <c r="W194" s="97"/>
      <c r="X194" s="97"/>
      <c r="Y194" s="99"/>
      <c r="Z194" s="100"/>
    </row>
    <row r="195" ht="15.75" hidden="1" customHeight="1">
      <c r="A195" s="113">
        <v>31.0</v>
      </c>
      <c r="B195" s="113">
        <v>14.0</v>
      </c>
      <c r="C195" s="113">
        <v>199.0</v>
      </c>
      <c r="D195" s="114">
        <v>46232.0</v>
      </c>
      <c r="E195" s="113">
        <v>1.0</v>
      </c>
      <c r="F195" s="113" t="s">
        <v>34</v>
      </c>
      <c r="G195" s="113" t="s">
        <v>401</v>
      </c>
      <c r="H195" s="113">
        <v>33.0</v>
      </c>
      <c r="I195" s="113" t="s">
        <v>96</v>
      </c>
      <c r="J195" s="113" t="s">
        <v>402</v>
      </c>
      <c r="K195" s="92" t="s">
        <v>373</v>
      </c>
      <c r="L195" s="100"/>
      <c r="M195" s="100"/>
      <c r="N195" s="113" t="s">
        <v>193</v>
      </c>
      <c r="O195" s="115"/>
      <c r="P195" s="115"/>
      <c r="Q195" s="115"/>
      <c r="R195" s="96">
        <v>0.0</v>
      </c>
      <c r="S195" s="97">
        <f>FRESADO!$R195*FRESADO!$E195</f>
        <v>0</v>
      </c>
      <c r="T195" s="97">
        <f>FRESADO!$S195*16%</f>
        <v>0</v>
      </c>
      <c r="U195" s="97">
        <f>FRESADO!$S195+FRESADO!$T195</f>
        <v>0</v>
      </c>
      <c r="V195" s="96" t="s">
        <v>373</v>
      </c>
      <c r="W195" s="97"/>
      <c r="X195" s="97"/>
      <c r="Y195" s="99"/>
      <c r="Z195" s="116"/>
    </row>
    <row r="196" ht="15.75" hidden="1" customHeight="1">
      <c r="A196" s="113">
        <v>31.0</v>
      </c>
      <c r="B196" s="113">
        <v>15.0</v>
      </c>
      <c r="C196" s="113">
        <v>200.0</v>
      </c>
      <c r="D196" s="114">
        <v>46232.0</v>
      </c>
      <c r="E196" s="113">
        <v>1.0</v>
      </c>
      <c r="F196" s="113" t="s">
        <v>34</v>
      </c>
      <c r="G196" s="113" t="s">
        <v>380</v>
      </c>
      <c r="H196" s="113">
        <v>33.0</v>
      </c>
      <c r="I196" s="113" t="s">
        <v>96</v>
      </c>
      <c r="J196" s="113" t="s">
        <v>422</v>
      </c>
      <c r="K196" s="92" t="s">
        <v>373</v>
      </c>
      <c r="L196" s="100"/>
      <c r="M196" s="100"/>
      <c r="N196" s="113" t="s">
        <v>193</v>
      </c>
      <c r="O196" s="115"/>
      <c r="P196" s="115"/>
      <c r="Q196" s="115"/>
      <c r="R196" s="96">
        <v>0.0</v>
      </c>
      <c r="S196" s="97">
        <f>FRESADO!$R196*FRESADO!$E196</f>
        <v>0</v>
      </c>
      <c r="T196" s="97">
        <f>FRESADO!$S196*16%</f>
        <v>0</v>
      </c>
      <c r="U196" s="97">
        <f>FRESADO!$S196+FRESADO!$T196</f>
        <v>0</v>
      </c>
      <c r="V196" s="96" t="s">
        <v>373</v>
      </c>
      <c r="W196" s="97"/>
      <c r="X196" s="97"/>
      <c r="Y196" s="99"/>
      <c r="Z196" s="100"/>
    </row>
    <row r="197" ht="15.75" hidden="1" customHeight="1">
      <c r="A197" s="113">
        <v>31.0</v>
      </c>
      <c r="B197" s="113">
        <v>16.0</v>
      </c>
      <c r="C197" s="113">
        <v>201.0</v>
      </c>
      <c r="D197" s="114">
        <v>46232.0</v>
      </c>
      <c r="E197" s="113">
        <v>1.0</v>
      </c>
      <c r="F197" s="113" t="s">
        <v>34</v>
      </c>
      <c r="G197" s="113" t="s">
        <v>397</v>
      </c>
      <c r="H197" s="113">
        <v>33.0</v>
      </c>
      <c r="I197" s="113" t="s">
        <v>96</v>
      </c>
      <c r="J197" s="113" t="s">
        <v>398</v>
      </c>
      <c r="K197" s="92" t="s">
        <v>373</v>
      </c>
      <c r="L197" s="100"/>
      <c r="M197" s="100"/>
      <c r="N197" s="113" t="s">
        <v>278</v>
      </c>
      <c r="R197" s="96">
        <v>0.0</v>
      </c>
      <c r="S197" s="97">
        <f>FRESADO!$R197*FRESADO!$E197</f>
        <v>0</v>
      </c>
      <c r="T197" s="97">
        <f>FRESADO!$S197*16%</f>
        <v>0</v>
      </c>
      <c r="U197" s="97">
        <f>FRESADO!$S197+FRESADO!$T197</f>
        <v>0</v>
      </c>
      <c r="V197" s="96" t="s">
        <v>373</v>
      </c>
      <c r="W197" s="97"/>
      <c r="X197" s="97"/>
      <c r="Y197" s="99"/>
      <c r="Z197" s="100"/>
    </row>
    <row r="198" ht="15.75" hidden="1" customHeight="1">
      <c r="A198" s="113">
        <v>31.0</v>
      </c>
      <c r="B198" s="113">
        <v>17.0</v>
      </c>
      <c r="C198" s="113">
        <v>202.0</v>
      </c>
      <c r="D198" s="114">
        <v>46232.0</v>
      </c>
      <c r="E198" s="113">
        <v>1.0</v>
      </c>
      <c r="F198" s="113" t="s">
        <v>34</v>
      </c>
      <c r="G198" s="113" t="s">
        <v>401</v>
      </c>
      <c r="H198" s="113">
        <v>33.0</v>
      </c>
      <c r="I198" s="113" t="s">
        <v>96</v>
      </c>
      <c r="J198" s="113" t="s">
        <v>402</v>
      </c>
      <c r="K198" s="92" t="s">
        <v>373</v>
      </c>
      <c r="L198" s="100"/>
      <c r="M198" s="100"/>
      <c r="N198" s="113" t="s">
        <v>193</v>
      </c>
      <c r="O198" s="115"/>
      <c r="P198" s="115"/>
      <c r="Q198" s="115"/>
      <c r="R198" s="96">
        <v>0.0</v>
      </c>
      <c r="S198" s="97">
        <f>FRESADO!$R198*FRESADO!$E198</f>
        <v>0</v>
      </c>
      <c r="T198" s="97">
        <f>FRESADO!$S198*16%</f>
        <v>0</v>
      </c>
      <c r="U198" s="97">
        <f>FRESADO!$S198+FRESADO!$T198</f>
        <v>0</v>
      </c>
      <c r="V198" s="96" t="s">
        <v>373</v>
      </c>
      <c r="W198" s="97"/>
      <c r="X198" s="97"/>
      <c r="Y198" s="99"/>
      <c r="Z198" s="100"/>
    </row>
    <row r="199" ht="15.75" hidden="1" customHeight="1">
      <c r="A199" s="113">
        <v>31.0</v>
      </c>
      <c r="B199" s="113">
        <v>18.0</v>
      </c>
      <c r="C199" s="113">
        <v>203.0</v>
      </c>
      <c r="D199" s="114">
        <v>46232.0</v>
      </c>
      <c r="E199" s="113">
        <v>1.0</v>
      </c>
      <c r="F199" s="113" t="s">
        <v>34</v>
      </c>
      <c r="G199" s="113" t="s">
        <v>380</v>
      </c>
      <c r="H199" s="113">
        <v>33.0</v>
      </c>
      <c r="I199" s="113" t="s">
        <v>96</v>
      </c>
      <c r="J199" s="113" t="s">
        <v>422</v>
      </c>
      <c r="K199" s="92" t="s">
        <v>373</v>
      </c>
      <c r="L199" s="100"/>
      <c r="M199" s="100"/>
      <c r="N199" s="113" t="s">
        <v>193</v>
      </c>
      <c r="O199" s="115"/>
      <c r="P199" s="115"/>
      <c r="Q199" s="115"/>
      <c r="R199" s="96">
        <v>0.0</v>
      </c>
      <c r="S199" s="97">
        <f>FRESADO!$R199*FRESADO!$E199</f>
        <v>0</v>
      </c>
      <c r="T199" s="97">
        <f>FRESADO!$S199*16%</f>
        <v>0</v>
      </c>
      <c r="U199" s="97">
        <f>FRESADO!$S199+FRESADO!$T199</f>
        <v>0</v>
      </c>
      <c r="V199" s="96" t="s">
        <v>373</v>
      </c>
      <c r="W199" s="97"/>
      <c r="X199" s="97"/>
      <c r="Y199" s="99"/>
      <c r="Z199" s="100"/>
    </row>
    <row r="200" ht="15.75" hidden="1" customHeight="1">
      <c r="A200" s="113">
        <v>31.0</v>
      </c>
      <c r="B200" s="113">
        <v>31.0</v>
      </c>
      <c r="C200" s="113">
        <v>1692.0</v>
      </c>
      <c r="D200" s="114">
        <v>46233.0</v>
      </c>
      <c r="E200" s="113">
        <v>1.0</v>
      </c>
      <c r="F200" s="113" t="s">
        <v>424</v>
      </c>
      <c r="G200" s="113" t="s">
        <v>425</v>
      </c>
      <c r="H200" s="113">
        <v>14.0</v>
      </c>
      <c r="I200" s="113" t="s">
        <v>39</v>
      </c>
      <c r="J200" s="113" t="s">
        <v>379</v>
      </c>
      <c r="K200" s="92" t="s">
        <v>373</v>
      </c>
      <c r="L200" s="113" t="s">
        <v>269</v>
      </c>
      <c r="M200" s="113" t="s">
        <v>338</v>
      </c>
      <c r="N200" s="115"/>
      <c r="O200" s="113">
        <v>1.0</v>
      </c>
      <c r="P200" s="113" t="s">
        <v>46</v>
      </c>
      <c r="Q200" s="117"/>
      <c r="R200" s="96">
        <v>0.0</v>
      </c>
      <c r="S200" s="97">
        <f>FRESADO!$R200*FRESADO!$E200</f>
        <v>0</v>
      </c>
      <c r="T200" s="97">
        <f>FRESADO!$S200*16%</f>
        <v>0</v>
      </c>
      <c r="U200" s="97">
        <f>FRESADO!$S200+FRESADO!$T200</f>
        <v>0</v>
      </c>
      <c r="V200" s="96" t="s">
        <v>373</v>
      </c>
      <c r="W200" s="97"/>
      <c r="X200" s="97"/>
      <c r="Y200" s="99"/>
      <c r="Z200" s="100"/>
    </row>
    <row r="201" ht="15.75" hidden="1" customHeight="1">
      <c r="A201" s="113">
        <v>31.0</v>
      </c>
      <c r="B201" s="113">
        <v>31.0</v>
      </c>
      <c r="C201" s="113">
        <v>1699.0</v>
      </c>
      <c r="D201" s="114">
        <v>46234.0</v>
      </c>
      <c r="E201" s="113">
        <v>1.0</v>
      </c>
      <c r="F201" s="113" t="s">
        <v>424</v>
      </c>
      <c r="G201" s="113" t="s">
        <v>419</v>
      </c>
      <c r="H201" s="113">
        <v>14.0</v>
      </c>
      <c r="I201" s="113" t="s">
        <v>39</v>
      </c>
      <c r="J201" s="113" t="s">
        <v>417</v>
      </c>
      <c r="K201" s="92" t="s">
        <v>373</v>
      </c>
      <c r="L201" s="115"/>
      <c r="M201" s="115"/>
      <c r="N201" s="115"/>
      <c r="O201" s="113">
        <v>1.0</v>
      </c>
      <c r="P201" s="113" t="s">
        <v>421</v>
      </c>
      <c r="Q201" s="117"/>
      <c r="R201" s="96">
        <v>0.0</v>
      </c>
      <c r="S201" s="97">
        <f>FRESADO!$R201*FRESADO!$E201</f>
        <v>0</v>
      </c>
      <c r="T201" s="97">
        <f>FRESADO!$S201*16%</f>
        <v>0</v>
      </c>
      <c r="U201" s="97">
        <f>FRESADO!$S201+FRESADO!$T201</f>
        <v>0</v>
      </c>
      <c r="V201" s="96" t="s">
        <v>373</v>
      </c>
      <c r="W201" s="97"/>
      <c r="X201" s="97"/>
      <c r="Y201" s="99"/>
      <c r="Z201" s="100"/>
    </row>
    <row r="202" ht="15.75" hidden="1" customHeight="1">
      <c r="A202" s="113">
        <v>31.0</v>
      </c>
      <c r="B202" s="113">
        <v>31.0</v>
      </c>
      <c r="C202" s="113">
        <v>1700.0</v>
      </c>
      <c r="D202" s="114">
        <v>46235.0</v>
      </c>
      <c r="E202" s="113">
        <v>1.0</v>
      </c>
      <c r="F202" s="113" t="s">
        <v>424</v>
      </c>
      <c r="G202" s="113" t="s">
        <v>419</v>
      </c>
      <c r="H202" s="113">
        <v>14.0</v>
      </c>
      <c r="I202" s="113" t="s">
        <v>39</v>
      </c>
      <c r="J202" s="113" t="s">
        <v>417</v>
      </c>
      <c r="K202" s="92" t="s">
        <v>373</v>
      </c>
      <c r="L202" s="113" t="s">
        <v>342</v>
      </c>
      <c r="M202" s="113" t="s">
        <v>354</v>
      </c>
      <c r="N202" s="115"/>
      <c r="O202" s="113">
        <v>1.0</v>
      </c>
      <c r="P202" s="113" t="s">
        <v>421</v>
      </c>
      <c r="Q202" s="117"/>
      <c r="R202" s="96">
        <v>0.0</v>
      </c>
      <c r="S202" s="97">
        <f>FRESADO!$R202*FRESADO!$E202</f>
        <v>0</v>
      </c>
      <c r="T202" s="97">
        <f>FRESADO!$S202*16%</f>
        <v>0</v>
      </c>
      <c r="U202" s="97">
        <f>FRESADO!$S202+FRESADO!$T202</f>
        <v>0</v>
      </c>
      <c r="V202" s="96" t="s">
        <v>373</v>
      </c>
      <c r="W202" s="97"/>
      <c r="X202" s="97"/>
      <c r="Y202" s="99"/>
      <c r="Z202" s="100"/>
    </row>
    <row r="203" ht="15.75" hidden="1" customHeight="1">
      <c r="A203" s="113">
        <v>32.0</v>
      </c>
      <c r="B203" s="113">
        <v>1.0</v>
      </c>
      <c r="C203" s="113">
        <v>281.0</v>
      </c>
      <c r="D203" s="114">
        <v>46240.0</v>
      </c>
      <c r="E203" s="113">
        <v>1.0</v>
      </c>
      <c r="F203" s="113" t="s">
        <v>424</v>
      </c>
      <c r="G203" s="113" t="s">
        <v>419</v>
      </c>
      <c r="H203" s="113">
        <v>7.0</v>
      </c>
      <c r="I203" s="113" t="s">
        <v>39</v>
      </c>
      <c r="J203" s="113" t="s">
        <v>417</v>
      </c>
      <c r="K203" s="113" t="s">
        <v>426</v>
      </c>
      <c r="L203" s="115"/>
      <c r="M203" s="115"/>
      <c r="N203" s="115"/>
      <c r="O203" s="113">
        <v>1.0</v>
      </c>
      <c r="P203" s="113" t="s">
        <v>46</v>
      </c>
      <c r="Q203" s="117"/>
      <c r="R203" s="96">
        <v>0.0</v>
      </c>
      <c r="S203" s="97">
        <f>FRESADO!$R203*FRESADO!$E203</f>
        <v>0</v>
      </c>
      <c r="T203" s="97">
        <f>FRESADO!$S203*16%</f>
        <v>0</v>
      </c>
      <c r="U203" s="97">
        <f>FRESADO!$S203+FRESADO!$T203</f>
        <v>0</v>
      </c>
      <c r="V203" s="96" t="s">
        <v>373</v>
      </c>
      <c r="W203" s="97"/>
      <c r="X203" s="97"/>
      <c r="Y203" s="99"/>
      <c r="Z203" s="100"/>
    </row>
    <row r="204" ht="15.75" hidden="1" customHeight="1">
      <c r="A204" s="113">
        <v>32.0</v>
      </c>
      <c r="B204" s="113">
        <v>2.0</v>
      </c>
      <c r="C204" s="113">
        <v>282.0</v>
      </c>
      <c r="D204" s="114">
        <v>46241.0</v>
      </c>
      <c r="E204" s="113">
        <v>1.0</v>
      </c>
      <c r="F204" s="113" t="s">
        <v>424</v>
      </c>
      <c r="G204" s="113" t="s">
        <v>419</v>
      </c>
      <c r="H204" s="113">
        <v>7.0</v>
      </c>
      <c r="I204" s="113" t="s">
        <v>39</v>
      </c>
      <c r="J204" s="113" t="s">
        <v>417</v>
      </c>
      <c r="K204" s="113" t="s">
        <v>426</v>
      </c>
      <c r="L204" s="115"/>
      <c r="M204" s="115"/>
      <c r="N204" s="115"/>
      <c r="O204" s="113">
        <v>1.0</v>
      </c>
      <c r="P204" s="113" t="s">
        <v>427</v>
      </c>
      <c r="Q204" s="117"/>
      <c r="R204" s="96">
        <v>0.0</v>
      </c>
      <c r="S204" s="97">
        <f>FRESADO!$R204*FRESADO!$E204</f>
        <v>0</v>
      </c>
      <c r="T204" s="97">
        <f>FRESADO!$S204*16%</f>
        <v>0</v>
      </c>
      <c r="U204" s="97">
        <f>FRESADO!$S204+FRESADO!$T204</f>
        <v>0</v>
      </c>
      <c r="V204" s="96" t="s">
        <v>373</v>
      </c>
      <c r="W204" s="97"/>
      <c r="X204" s="97"/>
      <c r="Y204" s="99"/>
      <c r="Z204" s="100"/>
    </row>
    <row r="205" ht="15.75" hidden="1" customHeight="1">
      <c r="A205" s="113">
        <v>32.0</v>
      </c>
      <c r="B205" s="113">
        <v>2.0</v>
      </c>
      <c r="C205" s="113">
        <v>283.0</v>
      </c>
      <c r="D205" s="114">
        <v>46243.0</v>
      </c>
      <c r="E205" s="113">
        <v>1.0</v>
      </c>
      <c r="F205" s="113" t="s">
        <v>424</v>
      </c>
      <c r="G205" s="113" t="s">
        <v>419</v>
      </c>
      <c r="H205" s="113">
        <v>7.0</v>
      </c>
      <c r="I205" s="113" t="s">
        <v>39</v>
      </c>
      <c r="J205" s="113" t="s">
        <v>417</v>
      </c>
      <c r="K205" s="113" t="s">
        <v>426</v>
      </c>
      <c r="L205" s="115"/>
      <c r="M205" s="115"/>
      <c r="N205" s="115"/>
      <c r="O205" s="113">
        <v>1.0</v>
      </c>
      <c r="P205" s="113" t="s">
        <v>427</v>
      </c>
      <c r="Q205" s="117"/>
      <c r="R205" s="96">
        <v>0.0</v>
      </c>
      <c r="S205" s="97">
        <f>FRESADO!$R205*FRESADO!$E205</f>
        <v>0</v>
      </c>
      <c r="T205" s="97">
        <f>FRESADO!$S205*16%</f>
        <v>0</v>
      </c>
      <c r="U205" s="97">
        <f>FRESADO!$S205+FRESADO!$T205</f>
        <v>0</v>
      </c>
      <c r="V205" s="96" t="s">
        <v>373</v>
      </c>
      <c r="W205" s="97"/>
      <c r="X205" s="97"/>
      <c r="Y205" s="99"/>
      <c r="Z205" s="100"/>
    </row>
    <row r="206" ht="15.75" hidden="1" customHeight="1">
      <c r="A206" s="7"/>
      <c r="B206" s="7"/>
      <c r="C206" s="7"/>
      <c r="D206" s="24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18"/>
      <c r="R206" s="7"/>
      <c r="S206" s="18"/>
      <c r="T206" s="18"/>
      <c r="U206" s="18"/>
      <c r="V206" s="18"/>
      <c r="W206" s="18"/>
      <c r="X206" s="18"/>
      <c r="Y206" s="25"/>
    </row>
    <row r="207" ht="15.75" hidden="1" customHeight="1">
      <c r="A207" s="7"/>
      <c r="B207" s="7"/>
      <c r="C207" s="7"/>
      <c r="D207" s="24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18"/>
      <c r="R207" s="7"/>
      <c r="S207" s="18"/>
      <c r="T207" s="18"/>
      <c r="U207" s="18"/>
      <c r="V207" s="18"/>
      <c r="W207" s="18"/>
      <c r="X207" s="18"/>
      <c r="Y207" s="25"/>
    </row>
    <row r="208" ht="15.75" hidden="1" customHeight="1">
      <c r="A208" s="7"/>
      <c r="B208" s="7"/>
      <c r="C208" s="7"/>
      <c r="D208" s="24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18"/>
      <c r="R208" s="7"/>
      <c r="S208" s="18"/>
      <c r="T208" s="18">
        <f>SUBTOTAL(109,U:U)</f>
        <v>6960</v>
      </c>
      <c r="U208" s="18"/>
      <c r="V208" s="18"/>
      <c r="W208" s="18"/>
      <c r="X208" s="18"/>
      <c r="Y208" s="25"/>
    </row>
    <row r="209" ht="15.75" hidden="1" customHeight="1">
      <c r="A209" s="7"/>
      <c r="B209" s="7"/>
      <c r="C209" s="7"/>
      <c r="D209" s="24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18"/>
      <c r="R209" s="7"/>
      <c r="S209" s="18"/>
      <c r="T209" s="18"/>
      <c r="U209" s="18"/>
      <c r="V209" s="18"/>
      <c r="W209" s="18"/>
      <c r="X209" s="18"/>
      <c r="Y209" s="25"/>
    </row>
    <row r="210" ht="15.75" hidden="1" customHeight="1">
      <c r="A210" s="7"/>
      <c r="B210" s="7"/>
      <c r="C210" s="7"/>
      <c r="D210" s="24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18"/>
      <c r="R210" s="7"/>
      <c r="S210" s="18"/>
      <c r="T210" s="18"/>
      <c r="U210" s="18"/>
      <c r="V210" s="18"/>
      <c r="W210" s="18"/>
      <c r="X210" s="18"/>
      <c r="Y210" s="25"/>
    </row>
    <row r="211" ht="15.75" hidden="1" customHeight="1">
      <c r="A211" s="7"/>
      <c r="B211" s="7"/>
      <c r="C211" s="7"/>
      <c r="D211" s="24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18"/>
      <c r="R211" s="18"/>
      <c r="S211" s="18"/>
      <c r="T211" s="18"/>
      <c r="U211" s="18"/>
      <c r="V211" s="18"/>
      <c r="W211" s="18"/>
      <c r="X211" s="18"/>
      <c r="Y211" s="25"/>
    </row>
    <row r="212" ht="15.75" hidden="1" customHeight="1">
      <c r="A212" s="7"/>
      <c r="B212" s="7"/>
      <c r="C212" s="7"/>
      <c r="D212" s="24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18"/>
      <c r="R212" s="18"/>
      <c r="S212" s="18"/>
      <c r="T212" s="18"/>
      <c r="U212" s="18"/>
      <c r="V212" s="18"/>
      <c r="W212" s="18"/>
      <c r="X212" s="18"/>
      <c r="Y212" s="25"/>
    </row>
    <row r="213" ht="15.75" hidden="1" customHeight="1">
      <c r="A213" s="7"/>
      <c r="B213" s="7"/>
      <c r="C213" s="7"/>
      <c r="D213" s="24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18"/>
      <c r="R213" s="18"/>
      <c r="S213" s="18"/>
      <c r="T213" s="18"/>
      <c r="U213" s="18"/>
      <c r="V213" s="18"/>
      <c r="W213" s="18"/>
      <c r="X213" s="18"/>
      <c r="Y213" s="25"/>
    </row>
    <row r="214" ht="15.75" hidden="1" customHeight="1">
      <c r="A214" s="7"/>
      <c r="B214" s="7"/>
      <c r="C214" s="7"/>
      <c r="D214" s="24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18"/>
      <c r="R214" s="7"/>
      <c r="S214" s="18"/>
      <c r="T214" s="18"/>
      <c r="U214" s="18"/>
      <c r="V214" s="18"/>
      <c r="W214" s="18"/>
      <c r="X214" s="18"/>
      <c r="Y214" s="25"/>
    </row>
    <row r="215" ht="15.75" hidden="1" customHeight="1">
      <c r="A215" s="7"/>
      <c r="B215" s="7"/>
      <c r="C215" s="7"/>
      <c r="D215" s="24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18"/>
      <c r="R215" s="18"/>
      <c r="S215" s="18"/>
      <c r="T215" s="18"/>
      <c r="U215" s="18"/>
      <c r="V215" s="18"/>
      <c r="W215" s="18"/>
      <c r="X215" s="18"/>
      <c r="Y215" s="25"/>
    </row>
    <row r="216" ht="15.75" hidden="1" customHeight="1">
      <c r="A216" s="7"/>
      <c r="B216" s="7"/>
      <c r="C216" s="7"/>
      <c r="D216" s="24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18"/>
      <c r="R216" s="18"/>
      <c r="S216" s="18"/>
      <c r="T216" s="18"/>
      <c r="U216" s="18"/>
      <c r="V216" s="18"/>
      <c r="W216" s="18"/>
      <c r="X216" s="18"/>
      <c r="Y216" s="25"/>
    </row>
    <row r="217" ht="15.75" hidden="1" customHeight="1">
      <c r="A217" s="7"/>
      <c r="B217" s="7"/>
      <c r="C217" s="7"/>
      <c r="D217" s="24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18"/>
      <c r="R217" s="18"/>
      <c r="S217" s="18"/>
      <c r="T217" s="18"/>
      <c r="U217" s="18"/>
      <c r="V217" s="18"/>
      <c r="W217" s="18"/>
      <c r="X217" s="18"/>
      <c r="Y217" s="25"/>
    </row>
    <row r="218" ht="15.75" hidden="1" customHeight="1">
      <c r="A218" s="7"/>
      <c r="B218" s="7"/>
      <c r="C218" s="7"/>
      <c r="D218" s="24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18"/>
      <c r="R218" s="18"/>
      <c r="S218" s="18"/>
      <c r="T218" s="18"/>
      <c r="U218" s="18"/>
      <c r="V218" s="18"/>
      <c r="W218" s="18"/>
      <c r="X218" s="18"/>
      <c r="Y218" s="25"/>
    </row>
    <row r="219" ht="15.75" hidden="1" customHeight="1">
      <c r="A219" s="7"/>
      <c r="B219" s="7"/>
      <c r="C219" s="7"/>
      <c r="D219" s="24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18"/>
      <c r="R219" s="18"/>
      <c r="S219" s="18"/>
      <c r="T219" s="18"/>
      <c r="U219" s="18"/>
      <c r="V219" s="18"/>
      <c r="W219" s="18"/>
      <c r="X219" s="18"/>
      <c r="Y219" s="25"/>
    </row>
    <row r="220" ht="15.75" hidden="1" customHeight="1">
      <c r="A220" s="7"/>
      <c r="B220" s="7"/>
      <c r="C220" s="7"/>
      <c r="D220" s="24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18"/>
      <c r="R220" s="18"/>
      <c r="S220" s="18"/>
      <c r="T220" s="18"/>
      <c r="U220" s="18"/>
      <c r="V220" s="18"/>
      <c r="W220" s="18"/>
      <c r="X220" s="18"/>
      <c r="Y220" s="25"/>
    </row>
    <row r="221" ht="15.75" hidden="1" customHeight="1">
      <c r="A221" s="7"/>
      <c r="B221" s="7"/>
      <c r="C221" s="7"/>
      <c r="D221" s="24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18"/>
      <c r="R221" s="18"/>
      <c r="S221" s="18"/>
      <c r="T221" s="18"/>
      <c r="U221" s="18"/>
      <c r="V221" s="18"/>
      <c r="W221" s="18"/>
      <c r="X221" s="18"/>
      <c r="Y221" s="25"/>
    </row>
    <row r="222" ht="15.75" hidden="1" customHeight="1">
      <c r="A222" s="7"/>
      <c r="B222" s="7"/>
      <c r="C222" s="7"/>
      <c r="D222" s="24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18"/>
      <c r="R222" s="7"/>
      <c r="S222" s="18"/>
      <c r="T222" s="18"/>
      <c r="U222" s="18"/>
      <c r="V222" s="18"/>
      <c r="W222" s="18"/>
      <c r="X222" s="18"/>
      <c r="Y222" s="25"/>
    </row>
    <row r="223" ht="15.75" hidden="1" customHeight="1">
      <c r="A223" s="7"/>
      <c r="B223" s="7"/>
      <c r="C223" s="7"/>
      <c r="D223" s="24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18"/>
      <c r="R223" s="7"/>
      <c r="S223" s="18"/>
      <c r="T223" s="18"/>
      <c r="U223" s="18"/>
      <c r="V223" s="18"/>
      <c r="W223" s="18"/>
      <c r="X223" s="18"/>
      <c r="Y223" s="25"/>
    </row>
    <row r="224" ht="15.75" hidden="1" customHeight="1">
      <c r="A224" s="7"/>
      <c r="B224" s="7"/>
      <c r="C224" s="7"/>
      <c r="D224" s="24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18"/>
      <c r="R224" s="7"/>
      <c r="S224" s="18"/>
      <c r="T224" s="18"/>
      <c r="U224" s="18"/>
      <c r="V224" s="18"/>
      <c r="W224" s="18"/>
      <c r="X224" s="18"/>
      <c r="Y224" s="25"/>
    </row>
    <row r="225" ht="15.75" hidden="1" customHeight="1">
      <c r="A225" s="7"/>
      <c r="B225" s="7"/>
      <c r="C225" s="7"/>
      <c r="D225" s="24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18"/>
      <c r="R225" s="18"/>
      <c r="S225" s="18"/>
      <c r="T225" s="18"/>
      <c r="U225" s="18"/>
      <c r="V225" s="18"/>
      <c r="W225" s="18"/>
      <c r="X225" s="18"/>
      <c r="Y225" s="25"/>
    </row>
    <row r="226" ht="15.75" hidden="1" customHeight="1">
      <c r="A226" s="7"/>
      <c r="B226" s="7"/>
      <c r="C226" s="7"/>
      <c r="D226" s="24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18"/>
      <c r="R226" s="18"/>
      <c r="S226" s="18"/>
      <c r="T226" s="18"/>
      <c r="U226" s="18"/>
      <c r="V226" s="18"/>
      <c r="W226" s="18"/>
      <c r="X226" s="18"/>
      <c r="Y226" s="25"/>
    </row>
    <row r="227" ht="15.75" hidden="1" customHeight="1">
      <c r="A227" s="7"/>
      <c r="B227" s="7"/>
      <c r="C227" s="7"/>
      <c r="D227" s="24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18"/>
      <c r="R227" s="7"/>
      <c r="S227" s="18"/>
      <c r="T227" s="18"/>
      <c r="U227" s="18"/>
      <c r="V227" s="18"/>
      <c r="W227" s="18"/>
      <c r="X227" s="18"/>
      <c r="Y227" s="25"/>
    </row>
    <row r="228" ht="15.75" hidden="1" customHeight="1">
      <c r="A228" s="7"/>
      <c r="B228" s="7"/>
      <c r="C228" s="7"/>
      <c r="D228" s="24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18"/>
      <c r="R228" s="7"/>
      <c r="S228" s="18"/>
      <c r="T228" s="18"/>
      <c r="U228" s="18"/>
      <c r="V228" s="18"/>
      <c r="W228" s="18"/>
      <c r="X228" s="18"/>
      <c r="Y228" s="25"/>
    </row>
    <row r="229" ht="15.75" hidden="1" customHeight="1">
      <c r="A229" s="7"/>
      <c r="B229" s="7"/>
      <c r="C229" s="7"/>
      <c r="D229" s="24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18"/>
      <c r="R229" s="18"/>
      <c r="S229" s="18"/>
      <c r="T229" s="18"/>
      <c r="U229" s="18"/>
      <c r="V229" s="18"/>
      <c r="W229" s="18"/>
      <c r="X229" s="18"/>
      <c r="Y229" s="25"/>
    </row>
    <row r="230" ht="15.75" hidden="1" customHeight="1">
      <c r="A230" s="7"/>
      <c r="B230" s="7"/>
      <c r="C230" s="7"/>
      <c r="D230" s="24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18"/>
      <c r="R230" s="18"/>
      <c r="S230" s="18"/>
      <c r="T230" s="18"/>
      <c r="U230" s="18"/>
      <c r="V230" s="18"/>
      <c r="W230" s="18"/>
      <c r="X230" s="18"/>
      <c r="Y230" s="25"/>
    </row>
    <row r="231" ht="15.75" hidden="1" customHeight="1">
      <c r="A231" s="7"/>
      <c r="B231" s="7"/>
      <c r="C231" s="7"/>
      <c r="D231" s="24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18"/>
      <c r="R231" s="7"/>
      <c r="S231" s="18"/>
      <c r="T231" s="18"/>
      <c r="U231" s="18"/>
      <c r="V231" s="18"/>
      <c r="W231" s="18"/>
      <c r="X231" s="18"/>
      <c r="Y231" s="25"/>
    </row>
    <row r="232" ht="15.75" hidden="1" customHeight="1">
      <c r="A232" s="7"/>
      <c r="B232" s="7"/>
      <c r="C232" s="7"/>
      <c r="D232" s="24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18"/>
      <c r="R232" s="7"/>
      <c r="S232" s="18"/>
      <c r="T232" s="18"/>
      <c r="U232" s="18"/>
      <c r="V232" s="18"/>
      <c r="W232" s="18"/>
      <c r="X232" s="18"/>
      <c r="Y232" s="25"/>
    </row>
    <row r="233" ht="15.75" hidden="1" customHeight="1">
      <c r="A233" s="7"/>
      <c r="B233" s="7"/>
      <c r="C233" s="7"/>
      <c r="D233" s="24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18"/>
      <c r="R233" s="18"/>
      <c r="S233" s="18"/>
      <c r="T233" s="18"/>
      <c r="U233" s="18"/>
      <c r="V233" s="18"/>
      <c r="W233" s="18"/>
      <c r="X233" s="18"/>
      <c r="Y233" s="25"/>
    </row>
    <row r="234" ht="15.75" hidden="1" customHeight="1">
      <c r="A234" s="7"/>
      <c r="B234" s="7"/>
      <c r="C234" s="7"/>
      <c r="D234" s="24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18"/>
      <c r="R234" s="18"/>
      <c r="S234" s="18"/>
      <c r="T234" s="18"/>
      <c r="U234" s="18"/>
      <c r="V234" s="18"/>
      <c r="W234" s="18"/>
      <c r="X234" s="18"/>
      <c r="Y234" s="25"/>
    </row>
    <row r="235" ht="15.75" hidden="1" customHeight="1">
      <c r="A235" s="7"/>
      <c r="B235" s="7"/>
      <c r="C235" s="7"/>
      <c r="D235" s="24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118"/>
      <c r="R235" s="18"/>
      <c r="S235" s="18"/>
      <c r="T235" s="18"/>
      <c r="U235" s="18"/>
      <c r="V235" s="18"/>
      <c r="W235" s="18"/>
      <c r="X235" s="18"/>
      <c r="Y235" s="25"/>
    </row>
    <row r="236" ht="15.75" hidden="1" customHeight="1">
      <c r="A236" s="7"/>
      <c r="B236" s="7"/>
      <c r="C236" s="7"/>
      <c r="D236" s="24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118"/>
      <c r="R236" s="18"/>
      <c r="S236" s="18"/>
      <c r="T236" s="18"/>
      <c r="U236" s="18"/>
      <c r="V236" s="18"/>
      <c r="W236" s="18"/>
      <c r="X236" s="18"/>
      <c r="Y236" s="25"/>
    </row>
    <row r="237" ht="15.75" hidden="1" customHeight="1">
      <c r="A237" s="7"/>
      <c r="B237" s="7"/>
      <c r="C237" s="7"/>
      <c r="D237" s="24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118"/>
      <c r="R237" s="18"/>
      <c r="S237" s="18"/>
      <c r="T237" s="18"/>
      <c r="U237" s="18"/>
      <c r="V237" s="18"/>
      <c r="W237" s="18"/>
      <c r="X237" s="18"/>
      <c r="Y237" s="25"/>
    </row>
    <row r="238" ht="15.75" hidden="1" customHeight="1">
      <c r="A238" s="7"/>
      <c r="B238" s="7"/>
      <c r="C238" s="7"/>
      <c r="D238" s="24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18"/>
      <c r="R238" s="18"/>
      <c r="S238" s="18"/>
      <c r="T238" s="18"/>
      <c r="U238" s="18"/>
      <c r="V238" s="18"/>
      <c r="W238" s="18"/>
      <c r="X238" s="18"/>
      <c r="Y238" s="25"/>
    </row>
    <row r="239" ht="15.75" hidden="1" customHeight="1">
      <c r="A239" s="7"/>
      <c r="B239" s="7"/>
      <c r="C239" s="7"/>
      <c r="D239" s="24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118"/>
      <c r="R239" s="18"/>
      <c r="S239" s="18"/>
      <c r="T239" s="18"/>
      <c r="U239" s="18"/>
      <c r="V239" s="18"/>
      <c r="W239" s="18"/>
      <c r="X239" s="18"/>
      <c r="Y239" s="25"/>
    </row>
    <row r="240" ht="15.75" hidden="1" customHeight="1">
      <c r="A240" s="119"/>
      <c r="B240" s="119"/>
      <c r="C240" s="119"/>
      <c r="D240" s="120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21"/>
      <c r="R240" s="119"/>
      <c r="S240" s="122"/>
      <c r="T240" s="122"/>
      <c r="U240" s="122"/>
      <c r="V240" s="122"/>
      <c r="W240" s="122"/>
      <c r="X240" s="122"/>
      <c r="Y240" s="123"/>
      <c r="Z240" s="124"/>
    </row>
    <row r="241" ht="15.75" hidden="1" customHeight="1">
      <c r="A241" s="7"/>
      <c r="B241" s="7"/>
      <c r="C241" s="7"/>
      <c r="D241" s="24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118"/>
      <c r="R241" s="18"/>
      <c r="S241" s="18"/>
      <c r="T241" s="18"/>
      <c r="U241" s="18"/>
      <c r="V241" s="18"/>
      <c r="W241" s="18"/>
      <c r="X241" s="18"/>
      <c r="Y241" s="25"/>
    </row>
    <row r="242" ht="15.75" hidden="1" customHeight="1">
      <c r="A242" s="7"/>
      <c r="B242" s="7"/>
      <c r="C242" s="7"/>
      <c r="D242" s="24"/>
      <c r="E242" s="7"/>
      <c r="F242" s="7"/>
      <c r="G242" s="7"/>
      <c r="H242" s="7"/>
      <c r="I242" s="125"/>
      <c r="J242" s="125"/>
      <c r="K242" s="125"/>
      <c r="L242" s="125"/>
      <c r="M242" s="125"/>
      <c r="N242" s="125"/>
      <c r="O242" s="125"/>
      <c r="P242" s="125"/>
      <c r="Q242" s="126"/>
      <c r="R242" s="18"/>
      <c r="S242" s="18"/>
      <c r="T242" s="18"/>
      <c r="U242" s="18"/>
      <c r="V242" s="18"/>
      <c r="W242" s="18"/>
      <c r="X242" s="18"/>
    </row>
    <row r="243" ht="15.75" hidden="1" customHeight="1">
      <c r="A243" s="7"/>
      <c r="B243" s="7"/>
      <c r="C243" s="7"/>
      <c r="D243" s="24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118"/>
      <c r="R243" s="7"/>
      <c r="S243" s="18"/>
      <c r="T243" s="18"/>
      <c r="U243" s="18"/>
      <c r="V243" s="18"/>
      <c r="W243" s="18"/>
      <c r="X243" s="18"/>
      <c r="Y243" s="25"/>
    </row>
    <row r="244" ht="15.75" hidden="1" customHeight="1">
      <c r="A244" s="7"/>
      <c r="B244" s="119"/>
      <c r="C244" s="7"/>
      <c r="D244" s="24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118"/>
      <c r="R244" s="18"/>
      <c r="S244" s="18"/>
      <c r="T244" s="18"/>
      <c r="U244" s="18"/>
      <c r="V244" s="18"/>
      <c r="W244" s="18"/>
      <c r="X244" s="18"/>
      <c r="Y244" s="25"/>
    </row>
    <row r="245" ht="15.75" hidden="1" customHeight="1">
      <c r="A245" s="7"/>
      <c r="B245" s="7"/>
      <c r="C245" s="7"/>
      <c r="D245" s="24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18"/>
      <c r="R245" s="18"/>
      <c r="S245" s="18"/>
      <c r="T245" s="18"/>
      <c r="U245" s="18"/>
      <c r="V245" s="18"/>
      <c r="W245" s="18"/>
      <c r="X245" s="18"/>
      <c r="Y245" s="25"/>
    </row>
    <row r="246" ht="15.75" hidden="1" customHeight="1">
      <c r="A246" s="7"/>
      <c r="B246" s="7"/>
      <c r="C246" s="7"/>
      <c r="D246" s="24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18"/>
      <c r="R246" s="18"/>
      <c r="S246" s="18"/>
      <c r="T246" s="18"/>
      <c r="U246" s="18"/>
      <c r="V246" s="18"/>
      <c r="W246" s="18"/>
      <c r="X246" s="18"/>
      <c r="Y246" s="25"/>
    </row>
    <row r="247" ht="15.75" hidden="1" customHeight="1">
      <c r="A247" s="7"/>
      <c r="B247" s="7"/>
      <c r="C247" s="7"/>
      <c r="D247" s="24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118"/>
      <c r="R247" s="18"/>
      <c r="S247" s="18"/>
      <c r="T247" s="18"/>
      <c r="U247" s="18"/>
      <c r="V247" s="18"/>
      <c r="W247" s="18"/>
      <c r="X247" s="18"/>
      <c r="Y247" s="25"/>
    </row>
    <row r="248" ht="15.75" hidden="1" customHeight="1">
      <c r="A248" s="7"/>
      <c r="B248" s="119"/>
      <c r="C248" s="7"/>
      <c r="D248" s="24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118"/>
      <c r="R248" s="18"/>
      <c r="S248" s="18"/>
      <c r="T248" s="18"/>
      <c r="U248" s="18"/>
      <c r="V248" s="18"/>
      <c r="W248" s="18"/>
      <c r="X248" s="18"/>
      <c r="Y248" s="25"/>
    </row>
    <row r="249" ht="15.75" hidden="1" customHeight="1">
      <c r="A249" s="7"/>
      <c r="B249" s="7"/>
      <c r="C249" s="7"/>
      <c r="D249" s="24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118"/>
      <c r="R249" s="18"/>
      <c r="S249" s="18"/>
      <c r="T249" s="18"/>
      <c r="U249" s="18"/>
      <c r="V249" s="18"/>
      <c r="W249" s="18"/>
      <c r="X249" s="18"/>
      <c r="Y249" s="25"/>
    </row>
    <row r="250" ht="15.75" hidden="1" customHeight="1">
      <c r="A250" s="7"/>
      <c r="B250" s="7"/>
      <c r="C250" s="7"/>
      <c r="D250" s="24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18"/>
      <c r="R250" s="18"/>
      <c r="S250" s="18"/>
      <c r="T250" s="18"/>
      <c r="U250" s="18"/>
      <c r="V250" s="18"/>
      <c r="W250" s="18"/>
      <c r="X250" s="18"/>
      <c r="Y250" s="25"/>
    </row>
    <row r="251" ht="15.75" hidden="1" customHeight="1">
      <c r="A251" s="7"/>
      <c r="B251" s="7"/>
      <c r="C251" s="7"/>
      <c r="D251" s="24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118"/>
      <c r="R251" s="18"/>
      <c r="S251" s="18"/>
      <c r="T251" s="18"/>
      <c r="U251" s="18"/>
      <c r="V251" s="18"/>
      <c r="W251" s="18"/>
      <c r="X251" s="18"/>
      <c r="Y251" s="25"/>
    </row>
    <row r="252" ht="15.75" hidden="1" customHeight="1">
      <c r="A252" s="7"/>
      <c r="B252" s="119"/>
      <c r="C252" s="7"/>
      <c r="D252" s="24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118"/>
      <c r="R252" s="18"/>
      <c r="S252" s="18"/>
      <c r="T252" s="18"/>
      <c r="U252" s="18"/>
      <c r="V252" s="18"/>
      <c r="W252" s="18"/>
      <c r="X252" s="18"/>
      <c r="Y252" s="25"/>
    </row>
    <row r="253" ht="15.75" hidden="1" customHeight="1">
      <c r="A253" s="7"/>
      <c r="B253" s="7"/>
      <c r="C253" s="7"/>
      <c r="D253" s="24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118"/>
      <c r="R253" s="18"/>
      <c r="S253" s="18"/>
      <c r="T253" s="18"/>
      <c r="U253" s="18"/>
      <c r="V253" s="18"/>
      <c r="W253" s="18"/>
      <c r="X253" s="18"/>
      <c r="Y253" s="25"/>
    </row>
    <row r="254" ht="15.75" hidden="1" customHeight="1">
      <c r="A254" s="7"/>
      <c r="B254" s="7"/>
      <c r="C254" s="7"/>
      <c r="D254" s="24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18"/>
      <c r="S254" s="18"/>
      <c r="T254" s="18"/>
      <c r="U254" s="18"/>
      <c r="V254" s="18"/>
      <c r="W254" s="18"/>
      <c r="X254" s="18"/>
      <c r="Y254" s="25"/>
    </row>
    <row r="255" ht="15.75" hidden="1" customHeight="1">
      <c r="A255" s="7"/>
      <c r="B255" s="7"/>
      <c r="C255" s="7"/>
      <c r="D255" s="24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18"/>
      <c r="S255" s="18"/>
      <c r="T255" s="18"/>
      <c r="U255" s="18"/>
      <c r="V255" s="18"/>
      <c r="W255" s="18"/>
      <c r="X255" s="18"/>
      <c r="Y255" s="25"/>
    </row>
    <row r="256" ht="15.75" hidden="1" customHeight="1">
      <c r="A256" s="119"/>
      <c r="B256" s="119"/>
      <c r="C256" s="119"/>
      <c r="D256" s="120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22"/>
      <c r="T256" s="122"/>
      <c r="U256" s="122"/>
      <c r="V256" s="122"/>
      <c r="W256" s="122"/>
      <c r="X256" s="122"/>
      <c r="Y256" s="123"/>
      <c r="Z256" s="124"/>
    </row>
    <row r="257" ht="15.75" hidden="1" customHeight="1">
      <c r="A257" s="7"/>
      <c r="B257" s="7"/>
      <c r="C257" s="7"/>
      <c r="D257" s="24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18"/>
      <c r="T257" s="18"/>
      <c r="U257" s="18"/>
      <c r="V257" s="18"/>
      <c r="W257" s="18"/>
      <c r="X257" s="18"/>
      <c r="Y257" s="25"/>
      <c r="Z257" s="57"/>
    </row>
    <row r="258" ht="15.75" hidden="1" customHeight="1">
      <c r="A258" s="7"/>
      <c r="B258" s="7"/>
      <c r="C258" s="7"/>
      <c r="D258" s="24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18"/>
      <c r="T258" s="18"/>
      <c r="U258" s="18"/>
      <c r="V258" s="18"/>
      <c r="W258" s="18"/>
      <c r="X258" s="18"/>
      <c r="Y258" s="25"/>
      <c r="Z258" s="57"/>
    </row>
    <row r="259" ht="15.75" hidden="1" customHeight="1">
      <c r="A259" s="7"/>
      <c r="B259" s="7"/>
      <c r="C259" s="7"/>
      <c r="D259" s="24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18"/>
      <c r="T259" s="18"/>
      <c r="U259" s="18"/>
      <c r="V259" s="18"/>
      <c r="W259" s="18"/>
      <c r="X259" s="18"/>
      <c r="Y259" s="25"/>
      <c r="Z259" s="57"/>
    </row>
    <row r="260" ht="15.75" hidden="1" customHeight="1">
      <c r="A260" s="7"/>
      <c r="B260" s="7"/>
      <c r="C260" s="7"/>
      <c r="D260" s="24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18"/>
      <c r="T260" s="18"/>
      <c r="U260" s="18"/>
      <c r="V260" s="18"/>
      <c r="W260" s="18"/>
      <c r="X260" s="18"/>
      <c r="Y260" s="25"/>
      <c r="Z260" s="57"/>
    </row>
    <row r="261" ht="15.75" hidden="1" customHeight="1">
      <c r="A261" s="7"/>
      <c r="B261" s="7"/>
      <c r="C261" s="7"/>
      <c r="D261" s="24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18"/>
      <c r="T261" s="18"/>
      <c r="U261" s="18"/>
      <c r="V261" s="18"/>
      <c r="W261" s="18"/>
      <c r="X261" s="18"/>
      <c r="Y261" s="25"/>
      <c r="Z261" s="57"/>
    </row>
    <row r="262" ht="15.75" hidden="1" customHeight="1">
      <c r="A262" s="7"/>
      <c r="B262" s="7"/>
      <c r="C262" s="7"/>
      <c r="D262" s="24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18"/>
      <c r="T262" s="18"/>
      <c r="U262" s="18"/>
      <c r="V262" s="18"/>
      <c r="W262" s="18"/>
      <c r="X262" s="18"/>
      <c r="Y262" s="25"/>
      <c r="Z262" s="57"/>
    </row>
    <row r="263" ht="15.75" hidden="1" customHeight="1">
      <c r="A263" s="7"/>
      <c r="B263" s="7"/>
      <c r="C263" s="7"/>
      <c r="D263" s="24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18"/>
      <c r="T263" s="18"/>
      <c r="U263" s="18"/>
      <c r="V263" s="18"/>
      <c r="W263" s="18"/>
      <c r="X263" s="18"/>
      <c r="Y263" s="25"/>
      <c r="Z263" s="57"/>
    </row>
    <row r="264" ht="15.75" hidden="1" customHeight="1">
      <c r="A264" s="7"/>
      <c r="B264" s="7"/>
      <c r="C264" s="7"/>
      <c r="D264" s="24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18"/>
      <c r="T264" s="18"/>
      <c r="U264" s="18"/>
      <c r="V264" s="18"/>
      <c r="W264" s="18"/>
      <c r="X264" s="18"/>
      <c r="Y264" s="25"/>
      <c r="Z264" s="57"/>
    </row>
    <row r="265" ht="15.75" hidden="1" customHeight="1">
      <c r="A265" s="119"/>
      <c r="B265" s="119"/>
      <c r="C265" s="119"/>
      <c r="D265" s="120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22"/>
      <c r="T265" s="122"/>
      <c r="U265" s="122"/>
      <c r="V265" s="122"/>
      <c r="W265" s="122"/>
      <c r="X265" s="122"/>
      <c r="Y265" s="123"/>
      <c r="Z265" s="124"/>
    </row>
    <row r="266" ht="15.75" hidden="1" customHeight="1">
      <c r="A266" s="7"/>
      <c r="B266" s="7"/>
      <c r="C266" s="7"/>
      <c r="D266" s="24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18"/>
      <c r="T266" s="18"/>
      <c r="U266" s="18"/>
      <c r="V266" s="18"/>
      <c r="W266" s="18"/>
      <c r="X266" s="18"/>
      <c r="Y266" s="25"/>
      <c r="Z266" s="57"/>
    </row>
    <row r="267" ht="15.75" hidden="1" customHeight="1">
      <c r="A267" s="7"/>
      <c r="B267" s="7"/>
      <c r="C267" s="7"/>
      <c r="D267" s="24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18"/>
      <c r="T267" s="18"/>
      <c r="U267" s="18"/>
      <c r="V267" s="18"/>
      <c r="W267" s="18"/>
      <c r="X267" s="18"/>
      <c r="Y267" s="25"/>
      <c r="Z267" s="57"/>
    </row>
    <row r="268" ht="15.75" hidden="1" customHeight="1">
      <c r="A268" s="7"/>
      <c r="B268" s="7"/>
      <c r="C268" s="7"/>
      <c r="D268" s="24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18"/>
      <c r="T268" s="18"/>
      <c r="U268" s="18"/>
      <c r="V268" s="18"/>
      <c r="W268" s="18"/>
      <c r="X268" s="18"/>
      <c r="Y268" s="25"/>
      <c r="Z268" s="57"/>
    </row>
    <row r="269" ht="15.75" hidden="1" customHeight="1">
      <c r="A269" s="7"/>
      <c r="B269" s="7"/>
      <c r="C269" s="7"/>
      <c r="D269" s="24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18"/>
      <c r="T269" s="18"/>
      <c r="U269" s="18"/>
      <c r="V269" s="18"/>
      <c r="W269" s="18"/>
      <c r="X269" s="18"/>
      <c r="Y269" s="25"/>
      <c r="Z269" s="57"/>
    </row>
    <row r="270" ht="15.75" hidden="1" customHeight="1">
      <c r="A270" s="7"/>
      <c r="B270" s="7"/>
      <c r="C270" s="7"/>
      <c r="D270" s="24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18"/>
      <c r="T270" s="18"/>
      <c r="U270" s="18"/>
      <c r="V270" s="18"/>
      <c r="W270" s="18"/>
      <c r="X270" s="18"/>
      <c r="Y270" s="25"/>
      <c r="Z270" s="57"/>
    </row>
    <row r="271" ht="15.75" hidden="1" customHeight="1">
      <c r="A271" s="7"/>
      <c r="B271" s="7"/>
      <c r="C271" s="7"/>
      <c r="D271" s="24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18"/>
      <c r="T271" s="18"/>
      <c r="U271" s="18"/>
      <c r="V271" s="18"/>
      <c r="W271" s="18"/>
      <c r="X271" s="18"/>
      <c r="Y271" s="25"/>
      <c r="Z271" s="57"/>
    </row>
    <row r="272" ht="15.75" hidden="1" customHeight="1">
      <c r="A272" s="7"/>
      <c r="B272" s="7"/>
      <c r="C272" s="7"/>
      <c r="D272" s="24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18"/>
      <c r="T272" s="18"/>
      <c r="U272" s="18"/>
      <c r="V272" s="18"/>
      <c r="W272" s="18"/>
      <c r="X272" s="18"/>
      <c r="Y272" s="25"/>
      <c r="Z272" s="57"/>
    </row>
    <row r="273" ht="15.75" hidden="1" customHeight="1">
      <c r="A273" s="7"/>
      <c r="B273" s="7"/>
      <c r="C273" s="7"/>
      <c r="D273" s="24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18"/>
      <c r="T273" s="18"/>
      <c r="U273" s="18"/>
      <c r="V273" s="18"/>
      <c r="W273" s="18"/>
      <c r="X273" s="18"/>
      <c r="Y273" s="25"/>
      <c r="Z273" s="57"/>
    </row>
    <row r="274" ht="15.75" hidden="1" customHeight="1">
      <c r="A274" s="7"/>
      <c r="B274" s="7"/>
      <c r="C274" s="7"/>
      <c r="D274" s="24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18"/>
      <c r="T274" s="18"/>
      <c r="U274" s="18"/>
      <c r="V274" s="18"/>
      <c r="W274" s="18"/>
      <c r="X274" s="18"/>
      <c r="Y274" s="25"/>
      <c r="Z274" s="57"/>
    </row>
    <row r="275" ht="15.75" hidden="1" customHeight="1">
      <c r="A275" s="7"/>
      <c r="B275" s="7"/>
      <c r="C275" s="7"/>
      <c r="D275" s="24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18"/>
      <c r="T275" s="18"/>
      <c r="U275" s="18"/>
      <c r="V275" s="18"/>
      <c r="W275" s="18"/>
      <c r="X275" s="18"/>
      <c r="Y275" s="25"/>
      <c r="Z275" s="57"/>
    </row>
    <row r="276" ht="15.75" hidden="1" customHeight="1">
      <c r="A276" s="7"/>
      <c r="B276" s="7"/>
      <c r="C276" s="7"/>
      <c r="D276" s="24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18"/>
      <c r="T276" s="18"/>
      <c r="U276" s="18"/>
      <c r="V276" s="18"/>
      <c r="W276" s="18"/>
      <c r="X276" s="18"/>
      <c r="Y276" s="25"/>
      <c r="Z276" s="57"/>
    </row>
    <row r="277" ht="15.75" hidden="1" customHeight="1">
      <c r="A277" s="7"/>
      <c r="B277" s="7"/>
      <c r="C277" s="7"/>
      <c r="D277" s="24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18"/>
      <c r="T277" s="18"/>
      <c r="U277" s="18"/>
      <c r="V277" s="18"/>
      <c r="W277" s="18"/>
      <c r="X277" s="18"/>
      <c r="Y277" s="25"/>
      <c r="Z277" s="57"/>
    </row>
    <row r="278" ht="15.75" hidden="1" customHeight="1">
      <c r="A278" s="7"/>
      <c r="B278" s="7"/>
      <c r="C278" s="7"/>
      <c r="D278" s="24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18"/>
      <c r="T278" s="18"/>
      <c r="U278" s="18"/>
      <c r="V278" s="18"/>
      <c r="W278" s="18"/>
      <c r="X278" s="18"/>
      <c r="Y278" s="25"/>
      <c r="Z278" s="57"/>
    </row>
    <row r="279" ht="15.75" hidden="1" customHeight="1">
      <c r="A279" s="7"/>
      <c r="B279" s="7"/>
      <c r="C279" s="7"/>
      <c r="D279" s="24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18"/>
      <c r="T279" s="18"/>
      <c r="U279" s="18"/>
      <c r="V279" s="18"/>
      <c r="W279" s="18"/>
      <c r="X279" s="18"/>
      <c r="Y279" s="25"/>
      <c r="Z279" s="57"/>
    </row>
    <row r="280" ht="15.75" hidden="1" customHeight="1">
      <c r="A280" s="7"/>
      <c r="B280" s="7"/>
      <c r="C280" s="7"/>
      <c r="D280" s="24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18"/>
      <c r="T280" s="18"/>
      <c r="U280" s="18"/>
      <c r="V280" s="18"/>
      <c r="W280" s="18"/>
      <c r="X280" s="18"/>
      <c r="Y280" s="25"/>
      <c r="Z280" s="57"/>
    </row>
    <row r="281" ht="15.75" hidden="1" customHeight="1">
      <c r="A281" s="7"/>
      <c r="B281" s="7"/>
      <c r="C281" s="7"/>
      <c r="D281" s="24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18"/>
      <c r="T281" s="18"/>
      <c r="U281" s="18"/>
      <c r="V281" s="18"/>
      <c r="W281" s="18"/>
      <c r="X281" s="18"/>
      <c r="Y281" s="25"/>
      <c r="Z281" s="57"/>
    </row>
    <row r="282" ht="15.75" hidden="1" customHeight="1">
      <c r="A282" s="7"/>
      <c r="B282" s="7"/>
      <c r="C282" s="7"/>
      <c r="D282" s="24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18"/>
      <c r="T282" s="18"/>
      <c r="U282" s="18"/>
      <c r="V282" s="18"/>
      <c r="W282" s="18"/>
      <c r="X282" s="18"/>
      <c r="Y282" s="25"/>
      <c r="Z282" s="57"/>
    </row>
    <row r="283" ht="15.75" hidden="1" customHeight="1">
      <c r="A283" s="7"/>
      <c r="B283" s="7"/>
      <c r="C283" s="7"/>
      <c r="D283" s="24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18"/>
      <c r="T283" s="18"/>
      <c r="U283" s="18"/>
      <c r="V283" s="18"/>
      <c r="W283" s="18"/>
      <c r="X283" s="18"/>
      <c r="Y283" s="25"/>
      <c r="Z283" s="57"/>
    </row>
    <row r="284" ht="15.75" hidden="1" customHeight="1">
      <c r="A284" s="7"/>
      <c r="B284" s="7"/>
      <c r="C284" s="7"/>
      <c r="D284" s="24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18"/>
      <c r="T284" s="18"/>
      <c r="U284" s="18"/>
      <c r="V284" s="18"/>
      <c r="W284" s="18"/>
      <c r="X284" s="18"/>
      <c r="Y284" s="25"/>
      <c r="Z284" s="57"/>
    </row>
    <row r="285" ht="15.75" hidden="1" customHeight="1">
      <c r="A285" s="7"/>
      <c r="B285" s="7"/>
      <c r="C285" s="7"/>
      <c r="D285" s="24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18"/>
      <c r="T285" s="18"/>
      <c r="U285" s="18"/>
      <c r="V285" s="18"/>
      <c r="W285" s="18"/>
      <c r="X285" s="18"/>
      <c r="Y285" s="25"/>
      <c r="Z285" s="57"/>
    </row>
    <row r="286" ht="15.75" hidden="1" customHeight="1">
      <c r="A286" s="7"/>
      <c r="B286" s="7"/>
      <c r="C286" s="7"/>
      <c r="D286" s="24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18"/>
      <c r="T286" s="18"/>
      <c r="U286" s="18"/>
      <c r="V286" s="18"/>
      <c r="W286" s="18"/>
      <c r="X286" s="18"/>
      <c r="Y286" s="25"/>
      <c r="Z286" s="57"/>
    </row>
    <row r="287" ht="15.75" hidden="1" customHeight="1">
      <c r="A287" s="7"/>
      <c r="B287" s="7"/>
      <c r="C287" s="7"/>
      <c r="D287" s="24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18"/>
      <c r="T287" s="18"/>
      <c r="U287" s="18"/>
      <c r="V287" s="18"/>
      <c r="W287" s="18"/>
      <c r="X287" s="18"/>
      <c r="Y287" s="25"/>
      <c r="Z287" s="57"/>
    </row>
    <row r="288" ht="15.75" hidden="1" customHeight="1">
      <c r="A288" s="7"/>
      <c r="B288" s="7"/>
      <c r="C288" s="7"/>
      <c r="D288" s="24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18"/>
      <c r="T288" s="18"/>
      <c r="U288" s="18"/>
      <c r="V288" s="18"/>
      <c r="W288" s="18"/>
      <c r="X288" s="18"/>
      <c r="Y288" s="25"/>
      <c r="Z288" s="57"/>
    </row>
    <row r="289" ht="15.75" hidden="1" customHeight="1">
      <c r="A289" s="7"/>
      <c r="B289" s="7"/>
      <c r="C289" s="7"/>
      <c r="D289" s="24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18"/>
      <c r="T289" s="18"/>
      <c r="U289" s="18"/>
      <c r="V289" s="18"/>
      <c r="W289" s="18"/>
      <c r="X289" s="18"/>
      <c r="Y289" s="25"/>
      <c r="Z289" s="57"/>
    </row>
    <row r="290" ht="15.75" hidden="1" customHeight="1">
      <c r="A290" s="7"/>
      <c r="B290" s="7"/>
      <c r="C290" s="7"/>
      <c r="D290" s="24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18"/>
      <c r="T290" s="18"/>
      <c r="U290" s="18"/>
      <c r="V290" s="18"/>
      <c r="W290" s="18"/>
      <c r="X290" s="18"/>
      <c r="Y290" s="25"/>
      <c r="Z290" s="57"/>
    </row>
    <row r="291" ht="15.75" hidden="1" customHeight="1">
      <c r="A291" s="7"/>
      <c r="B291" s="7"/>
      <c r="C291" s="7"/>
      <c r="D291" s="24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18"/>
      <c r="T291" s="18"/>
      <c r="U291" s="18"/>
      <c r="V291" s="18"/>
      <c r="W291" s="18"/>
      <c r="X291" s="18"/>
      <c r="Y291" s="25"/>
      <c r="Z291" s="57"/>
    </row>
    <row r="292" ht="15.75" hidden="1" customHeight="1">
      <c r="A292" s="7"/>
      <c r="B292" s="7"/>
      <c r="C292" s="7"/>
      <c r="D292" s="24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18"/>
      <c r="T292" s="18"/>
      <c r="U292" s="18"/>
      <c r="V292" s="18"/>
      <c r="W292" s="18"/>
      <c r="X292" s="18"/>
      <c r="Y292" s="25"/>
      <c r="Z292" s="57"/>
    </row>
    <row r="293" ht="15.75" hidden="1" customHeight="1">
      <c r="A293" s="7"/>
      <c r="B293" s="7"/>
      <c r="C293" s="7"/>
      <c r="D293" s="24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18"/>
      <c r="T293" s="18"/>
      <c r="U293" s="18"/>
      <c r="V293" s="18"/>
      <c r="W293" s="18"/>
      <c r="X293" s="18"/>
      <c r="Y293" s="25"/>
      <c r="Z293" s="57"/>
    </row>
    <row r="294" ht="15.75" hidden="1" customHeight="1">
      <c r="A294" s="7"/>
      <c r="B294" s="7"/>
      <c r="C294" s="7"/>
      <c r="D294" s="24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18"/>
      <c r="T294" s="18"/>
      <c r="U294" s="18"/>
      <c r="V294" s="18"/>
      <c r="W294" s="18"/>
      <c r="X294" s="18"/>
      <c r="Y294" s="25"/>
      <c r="Z294" s="57"/>
    </row>
    <row r="295" ht="15.75" hidden="1" customHeight="1">
      <c r="A295" s="7"/>
      <c r="B295" s="7"/>
      <c r="C295" s="7"/>
      <c r="D295" s="24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18"/>
      <c r="T295" s="18"/>
      <c r="U295" s="18"/>
      <c r="V295" s="18"/>
      <c r="W295" s="18"/>
      <c r="X295" s="18"/>
      <c r="Y295" s="25"/>
      <c r="Z295" s="57"/>
    </row>
    <row r="296" ht="15.75" hidden="1" customHeight="1">
      <c r="A296" s="7"/>
      <c r="B296" s="7"/>
      <c r="C296" s="7"/>
      <c r="D296" s="24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18"/>
      <c r="T296" s="18"/>
      <c r="U296" s="18"/>
      <c r="V296" s="18"/>
      <c r="W296" s="18"/>
      <c r="X296" s="18"/>
      <c r="Y296" s="25"/>
      <c r="Z296" s="57"/>
    </row>
    <row r="297" ht="15.75" hidden="1" customHeight="1">
      <c r="A297" s="7"/>
      <c r="B297" s="7"/>
      <c r="C297" s="7"/>
      <c r="D297" s="24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18"/>
      <c r="T297" s="18"/>
      <c r="U297" s="18"/>
      <c r="V297" s="18"/>
      <c r="W297" s="18"/>
      <c r="X297" s="18"/>
      <c r="Y297" s="25"/>
      <c r="Z297" s="57"/>
    </row>
    <row r="298" ht="15.75" hidden="1" customHeight="1">
      <c r="A298" s="7"/>
      <c r="B298" s="7"/>
      <c r="C298" s="7"/>
      <c r="D298" s="24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18"/>
      <c r="T298" s="18"/>
      <c r="U298" s="18"/>
      <c r="V298" s="18"/>
      <c r="W298" s="18"/>
      <c r="X298" s="18"/>
      <c r="Y298" s="25"/>
      <c r="Z298" s="57"/>
    </row>
    <row r="299" ht="15.75" hidden="1" customHeight="1">
      <c r="A299" s="7"/>
      <c r="B299" s="7"/>
      <c r="C299" s="7"/>
      <c r="D299" s="24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18"/>
      <c r="T299" s="18"/>
      <c r="U299" s="18"/>
      <c r="V299" s="18"/>
      <c r="W299" s="18"/>
      <c r="X299" s="18"/>
      <c r="Y299" s="25"/>
      <c r="Z299" s="57"/>
    </row>
    <row r="300" ht="15.75" hidden="1" customHeight="1">
      <c r="A300" s="7"/>
      <c r="B300" s="7"/>
      <c r="C300" s="7"/>
      <c r="D300" s="24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18"/>
      <c r="T300" s="18"/>
      <c r="U300" s="18"/>
      <c r="V300" s="18"/>
      <c r="W300" s="18"/>
      <c r="X300" s="18"/>
      <c r="Y300" s="25"/>
      <c r="Z300" s="57"/>
    </row>
    <row r="301" ht="15.75" hidden="1" customHeight="1">
      <c r="A301" s="7"/>
      <c r="B301" s="7"/>
      <c r="C301" s="7"/>
      <c r="D301" s="24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18"/>
      <c r="T301" s="18"/>
      <c r="U301" s="18"/>
      <c r="V301" s="18"/>
      <c r="W301" s="18"/>
      <c r="X301" s="18"/>
      <c r="Y301" s="25"/>
      <c r="Z301" s="57"/>
    </row>
    <row r="302" ht="15.75" hidden="1" customHeight="1">
      <c r="A302" s="7"/>
      <c r="B302" s="7"/>
      <c r="C302" s="7"/>
      <c r="D302" s="24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18"/>
      <c r="T302" s="18"/>
      <c r="U302" s="18"/>
      <c r="V302" s="18"/>
      <c r="W302" s="18"/>
      <c r="X302" s="18"/>
      <c r="Y302" s="25"/>
      <c r="Z302" s="57"/>
    </row>
    <row r="303" ht="15.75" hidden="1" customHeight="1">
      <c r="A303" s="7"/>
      <c r="B303" s="7"/>
      <c r="C303" s="7"/>
      <c r="D303" s="24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18"/>
      <c r="T303" s="18"/>
      <c r="U303" s="18"/>
      <c r="V303" s="18"/>
      <c r="W303" s="18"/>
      <c r="X303" s="18"/>
      <c r="Y303" s="25"/>
      <c r="Z303" s="57"/>
    </row>
    <row r="304" ht="15.75" hidden="1" customHeight="1">
      <c r="A304" s="7"/>
      <c r="B304" s="7"/>
      <c r="C304" s="7"/>
      <c r="D304" s="24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18"/>
      <c r="T304" s="18"/>
      <c r="U304" s="18"/>
      <c r="V304" s="18"/>
      <c r="W304" s="18"/>
      <c r="X304" s="18"/>
      <c r="Y304" s="25"/>
      <c r="Z304" s="57"/>
    </row>
    <row r="305" ht="15.75" hidden="1" customHeight="1">
      <c r="A305" s="7"/>
      <c r="B305" s="7"/>
      <c r="C305" s="7"/>
      <c r="D305" s="24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18"/>
      <c r="T305" s="18"/>
      <c r="U305" s="18"/>
      <c r="V305" s="18"/>
      <c r="W305" s="18"/>
      <c r="X305" s="18"/>
      <c r="Y305" s="25"/>
      <c r="Z305" s="57"/>
    </row>
    <row r="306" ht="15.75" hidden="1" customHeight="1">
      <c r="A306" s="119"/>
      <c r="B306" s="119"/>
      <c r="C306" s="119"/>
      <c r="D306" s="120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22"/>
      <c r="T306" s="122"/>
      <c r="U306" s="122"/>
      <c r="V306" s="122"/>
      <c r="W306" s="122"/>
      <c r="X306" s="122"/>
      <c r="Y306" s="123"/>
      <c r="Z306" s="124"/>
    </row>
    <row r="307" ht="15.75" hidden="1" customHeight="1">
      <c r="A307" s="7"/>
      <c r="B307" s="7"/>
      <c r="C307" s="7"/>
      <c r="D307" s="24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18"/>
      <c r="T307" s="18"/>
      <c r="U307" s="18"/>
      <c r="V307" s="18"/>
      <c r="W307" s="18"/>
      <c r="X307" s="18"/>
      <c r="Y307" s="25"/>
      <c r="Z307" s="57"/>
    </row>
    <row r="308" ht="15.75" hidden="1" customHeight="1">
      <c r="A308" s="7"/>
      <c r="B308" s="7"/>
      <c r="C308" s="7"/>
      <c r="D308" s="24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18"/>
      <c r="T308" s="18"/>
      <c r="U308" s="18"/>
      <c r="V308" s="18"/>
      <c r="W308" s="18"/>
      <c r="X308" s="18"/>
      <c r="Y308" s="25"/>
      <c r="Z308" s="57"/>
    </row>
    <row r="309" ht="15.75" hidden="1" customHeight="1">
      <c r="A309" s="7"/>
      <c r="B309" s="7"/>
      <c r="C309" s="7"/>
      <c r="D309" s="24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18"/>
      <c r="T309" s="18"/>
      <c r="U309" s="18"/>
      <c r="V309" s="18"/>
      <c r="W309" s="18"/>
      <c r="X309" s="18"/>
      <c r="Y309" s="25"/>
      <c r="Z309" s="57"/>
    </row>
    <row r="310" ht="15.75" hidden="1" customHeight="1">
      <c r="A310" s="7"/>
      <c r="B310" s="7"/>
      <c r="C310" s="7"/>
      <c r="D310" s="24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18"/>
      <c r="T310" s="18"/>
      <c r="U310" s="18"/>
      <c r="V310" s="18"/>
      <c r="W310" s="18"/>
      <c r="X310" s="18"/>
      <c r="Y310" s="25"/>
      <c r="Z310" s="57"/>
    </row>
    <row r="311" ht="15.75" hidden="1" customHeight="1">
      <c r="A311" s="7"/>
      <c r="B311" s="7"/>
      <c r="C311" s="7"/>
      <c r="D311" s="24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18"/>
      <c r="T311" s="18"/>
      <c r="U311" s="18"/>
      <c r="V311" s="18"/>
      <c r="W311" s="18"/>
      <c r="X311" s="18"/>
      <c r="Y311" s="25"/>
      <c r="Z311" s="57"/>
    </row>
    <row r="312" ht="15.75" hidden="1" customHeight="1">
      <c r="A312" s="7"/>
      <c r="B312" s="7"/>
      <c r="C312" s="7"/>
      <c r="D312" s="24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18"/>
      <c r="T312" s="18"/>
      <c r="U312" s="18"/>
      <c r="V312" s="18"/>
      <c r="W312" s="18"/>
      <c r="X312" s="18"/>
      <c r="Y312" s="25"/>
      <c r="Z312" s="57"/>
    </row>
    <row r="313" ht="15.75" hidden="1" customHeight="1">
      <c r="A313" s="7"/>
      <c r="B313" s="7"/>
      <c r="C313" s="7"/>
      <c r="D313" s="24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18"/>
      <c r="T313" s="18"/>
      <c r="U313" s="18"/>
      <c r="V313" s="18"/>
      <c r="W313" s="18"/>
      <c r="X313" s="18"/>
      <c r="Y313" s="25"/>
      <c r="Z313" s="57"/>
    </row>
    <row r="314" ht="15.75" hidden="1" customHeight="1">
      <c r="A314" s="7"/>
      <c r="B314" s="7"/>
      <c r="C314" s="7"/>
      <c r="D314" s="24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18"/>
      <c r="T314" s="18"/>
      <c r="U314" s="18"/>
      <c r="V314" s="18"/>
      <c r="W314" s="18"/>
      <c r="X314" s="18"/>
      <c r="Y314" s="25"/>
      <c r="Z314" s="57"/>
    </row>
    <row r="315" ht="15.75" hidden="1" customHeight="1">
      <c r="A315" s="7"/>
      <c r="B315" s="7"/>
      <c r="C315" s="7"/>
      <c r="D315" s="24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18"/>
      <c r="T315" s="18"/>
      <c r="U315" s="18"/>
      <c r="V315" s="18"/>
      <c r="W315" s="18"/>
      <c r="X315" s="18"/>
      <c r="Y315" s="25"/>
      <c r="Z315" s="57"/>
    </row>
    <row r="316" ht="15.75" hidden="1" customHeight="1">
      <c r="A316" s="7"/>
      <c r="B316" s="7"/>
      <c r="C316" s="7"/>
      <c r="D316" s="24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18"/>
      <c r="T316" s="18"/>
      <c r="U316" s="18"/>
      <c r="V316" s="18"/>
      <c r="W316" s="18"/>
      <c r="X316" s="18"/>
      <c r="Y316" s="25"/>
      <c r="Z316" s="57"/>
    </row>
    <row r="317" ht="15.75" hidden="1" customHeight="1">
      <c r="A317" s="7"/>
      <c r="B317" s="7"/>
      <c r="C317" s="7"/>
      <c r="D317" s="24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18"/>
      <c r="T317" s="18"/>
      <c r="U317" s="18"/>
      <c r="V317" s="18"/>
      <c r="W317" s="18"/>
      <c r="X317" s="18"/>
      <c r="Y317" s="25"/>
      <c r="Z317" s="57"/>
    </row>
    <row r="318" ht="15.75" hidden="1" customHeight="1">
      <c r="A318" s="7"/>
      <c r="B318" s="7"/>
      <c r="C318" s="7"/>
      <c r="D318" s="24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18"/>
      <c r="T318" s="18"/>
      <c r="U318" s="18"/>
      <c r="V318" s="18"/>
      <c r="W318" s="18"/>
      <c r="X318" s="18"/>
      <c r="Y318" s="25"/>
      <c r="Z318" s="57"/>
    </row>
    <row r="319" ht="15.75" hidden="1" customHeight="1">
      <c r="A319" s="7"/>
      <c r="B319" s="7"/>
      <c r="C319" s="7"/>
      <c r="D319" s="24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18"/>
      <c r="T319" s="18"/>
      <c r="U319" s="18"/>
      <c r="V319" s="18"/>
      <c r="W319" s="18"/>
      <c r="X319" s="18"/>
      <c r="Y319" s="25"/>
      <c r="Z319" s="57"/>
    </row>
    <row r="320" ht="15.75" hidden="1" customHeight="1">
      <c r="A320" s="7"/>
      <c r="B320" s="7"/>
      <c r="C320" s="7"/>
      <c r="D320" s="24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18"/>
      <c r="T320" s="18"/>
      <c r="U320" s="18"/>
      <c r="V320" s="18"/>
      <c r="W320" s="18"/>
      <c r="X320" s="18"/>
      <c r="Y320" s="25"/>
      <c r="Z320" s="57"/>
    </row>
    <row r="321" ht="15.75" hidden="1" customHeight="1">
      <c r="A321" s="7"/>
      <c r="B321" s="7"/>
      <c r="C321" s="7"/>
      <c r="D321" s="24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18"/>
      <c r="T321" s="18"/>
      <c r="U321" s="18"/>
      <c r="V321" s="18"/>
      <c r="W321" s="18"/>
      <c r="X321" s="18"/>
      <c r="Y321" s="25"/>
      <c r="Z321" s="57"/>
    </row>
    <row r="322" ht="15.75" hidden="1" customHeight="1">
      <c r="A322" s="7"/>
      <c r="B322" s="7"/>
      <c r="C322" s="7"/>
      <c r="D322" s="24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18"/>
      <c r="T322" s="18"/>
      <c r="U322" s="18"/>
      <c r="V322" s="18"/>
      <c r="W322" s="18"/>
      <c r="X322" s="18"/>
      <c r="Y322" s="25"/>
      <c r="Z322" s="57"/>
    </row>
    <row r="323" ht="15.75" hidden="1" customHeight="1">
      <c r="A323" s="7"/>
      <c r="B323" s="7"/>
      <c r="C323" s="7"/>
      <c r="D323" s="24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18"/>
      <c r="T323" s="18"/>
      <c r="U323" s="18"/>
      <c r="V323" s="18"/>
      <c r="W323" s="18"/>
      <c r="X323" s="18"/>
      <c r="Y323" s="25"/>
      <c r="Z323" s="57"/>
    </row>
    <row r="324" ht="15.75" hidden="1" customHeight="1">
      <c r="A324" s="7"/>
      <c r="B324" s="7"/>
      <c r="C324" s="7"/>
      <c r="D324" s="24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18"/>
      <c r="T324" s="18"/>
      <c r="U324" s="18"/>
      <c r="V324" s="18"/>
      <c r="W324" s="18"/>
      <c r="X324" s="18"/>
      <c r="Y324" s="25"/>
      <c r="Z324" s="57"/>
    </row>
    <row r="325" ht="15.75" hidden="1" customHeight="1">
      <c r="A325" s="7"/>
      <c r="B325" s="7"/>
      <c r="C325" s="7"/>
      <c r="D325" s="24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18"/>
      <c r="T325" s="18"/>
      <c r="U325" s="18"/>
      <c r="V325" s="18"/>
      <c r="W325" s="18"/>
      <c r="X325" s="18"/>
      <c r="Y325" s="25"/>
      <c r="Z325" s="57"/>
    </row>
    <row r="326" ht="15.75" hidden="1" customHeight="1">
      <c r="A326" s="7"/>
      <c r="B326" s="7"/>
      <c r="C326" s="7"/>
      <c r="D326" s="24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18"/>
      <c r="T326" s="18"/>
      <c r="U326" s="18"/>
      <c r="V326" s="18"/>
      <c r="W326" s="18"/>
      <c r="X326" s="18"/>
      <c r="Y326" s="25"/>
      <c r="Z326" s="57"/>
    </row>
    <row r="327" ht="15.75" hidden="1" customHeight="1">
      <c r="A327" s="7"/>
      <c r="B327" s="7"/>
      <c r="C327" s="7"/>
      <c r="D327" s="24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18"/>
      <c r="T327" s="18"/>
      <c r="U327" s="18"/>
      <c r="V327" s="18"/>
      <c r="W327" s="18"/>
      <c r="X327" s="18"/>
      <c r="Y327" s="25"/>
      <c r="Z327" s="57"/>
    </row>
    <row r="328" ht="15.75" hidden="1" customHeight="1">
      <c r="A328" s="119"/>
      <c r="B328" s="119"/>
      <c r="C328" s="119"/>
      <c r="D328" s="120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22"/>
      <c r="T328" s="122"/>
      <c r="U328" s="122"/>
      <c r="V328" s="122"/>
      <c r="W328" s="122"/>
      <c r="X328" s="122"/>
      <c r="Y328" s="123"/>
      <c r="Z328" s="124"/>
    </row>
    <row r="329" ht="15.75" hidden="1" customHeight="1">
      <c r="A329" s="7"/>
      <c r="B329" s="7"/>
      <c r="C329" s="7"/>
      <c r="D329" s="24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18"/>
      <c r="T329" s="18"/>
      <c r="U329" s="18"/>
      <c r="V329" s="18"/>
      <c r="W329" s="18"/>
      <c r="X329" s="18"/>
      <c r="Y329" s="25"/>
      <c r="Z329" s="57"/>
    </row>
    <row r="330" ht="15.75" hidden="1" customHeight="1">
      <c r="A330" s="7"/>
      <c r="B330" s="7"/>
      <c r="C330" s="7"/>
      <c r="D330" s="24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18"/>
      <c r="T330" s="18"/>
      <c r="U330" s="18"/>
      <c r="V330" s="18"/>
      <c r="W330" s="18"/>
      <c r="X330" s="18"/>
      <c r="Y330" s="25"/>
      <c r="Z330" s="57"/>
    </row>
    <row r="331" ht="15.75" hidden="1" customHeight="1">
      <c r="A331" s="119"/>
      <c r="B331" s="119"/>
      <c r="C331" s="119"/>
      <c r="D331" s="120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22"/>
      <c r="T331" s="122"/>
      <c r="U331" s="122"/>
      <c r="V331" s="122"/>
      <c r="W331" s="122"/>
      <c r="X331" s="122"/>
      <c r="Y331" s="123"/>
      <c r="Z331" s="124"/>
    </row>
    <row r="332" ht="15.75" hidden="1" customHeight="1">
      <c r="A332" s="7"/>
      <c r="B332" s="7"/>
      <c r="C332" s="7"/>
      <c r="D332" s="24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18"/>
      <c r="T332" s="18"/>
      <c r="U332" s="18"/>
      <c r="V332" s="18"/>
      <c r="W332" s="18"/>
      <c r="X332" s="18"/>
      <c r="Y332" s="25"/>
      <c r="Z332" s="57"/>
    </row>
    <row r="333" ht="15.75" hidden="1" customHeight="1">
      <c r="A333" s="7"/>
      <c r="B333" s="7"/>
      <c r="C333" s="7"/>
      <c r="D333" s="24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18"/>
      <c r="T333" s="18"/>
      <c r="U333" s="18"/>
      <c r="V333" s="18"/>
      <c r="W333" s="18"/>
      <c r="X333" s="18"/>
      <c r="Y333" s="25"/>
      <c r="Z333" s="57"/>
    </row>
    <row r="334" ht="15.75" hidden="1" customHeight="1">
      <c r="A334" s="7"/>
      <c r="B334" s="7"/>
      <c r="C334" s="7"/>
      <c r="D334" s="24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18"/>
      <c r="T334" s="18"/>
      <c r="U334" s="18"/>
      <c r="V334" s="18"/>
      <c r="W334" s="18"/>
      <c r="X334" s="18"/>
      <c r="Y334" s="25"/>
      <c r="Z334" s="57"/>
    </row>
    <row r="335" ht="15.75" hidden="1" customHeight="1">
      <c r="A335" s="7"/>
      <c r="B335" s="7"/>
      <c r="C335" s="7"/>
      <c r="D335" s="24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18"/>
      <c r="T335" s="18"/>
      <c r="U335" s="18"/>
      <c r="V335" s="18"/>
      <c r="W335" s="18"/>
      <c r="X335" s="18"/>
      <c r="Y335" s="25"/>
      <c r="Z335" s="57"/>
    </row>
    <row r="336" ht="15.75" hidden="1" customHeight="1">
      <c r="A336" s="7"/>
      <c r="B336" s="7"/>
      <c r="C336" s="7"/>
      <c r="D336" s="24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18"/>
      <c r="T336" s="18"/>
      <c r="U336" s="18"/>
      <c r="V336" s="18"/>
      <c r="W336" s="18"/>
      <c r="X336" s="18"/>
      <c r="Y336" s="25"/>
      <c r="Z336" s="57"/>
    </row>
    <row r="337" ht="15.75" hidden="1" customHeight="1">
      <c r="A337" s="7"/>
      <c r="B337" s="7"/>
      <c r="C337" s="7"/>
      <c r="D337" s="24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18"/>
      <c r="T337" s="18"/>
      <c r="U337" s="18"/>
      <c r="V337" s="18"/>
      <c r="W337" s="18"/>
      <c r="X337" s="18"/>
      <c r="Y337" s="25"/>
      <c r="Z337" s="57"/>
    </row>
    <row r="338" ht="15.75" hidden="1" customHeight="1">
      <c r="A338" s="7"/>
      <c r="B338" s="7"/>
      <c r="C338" s="7"/>
      <c r="D338" s="24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18"/>
      <c r="T338" s="18"/>
      <c r="U338" s="18"/>
      <c r="V338" s="18"/>
      <c r="W338" s="18"/>
      <c r="X338" s="18"/>
      <c r="Y338" s="25"/>
      <c r="Z338" s="57"/>
    </row>
    <row r="339" ht="15.75" hidden="1" customHeight="1">
      <c r="A339" s="7"/>
      <c r="B339" s="7"/>
      <c r="C339" s="7"/>
      <c r="D339" s="24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18"/>
      <c r="T339" s="18"/>
      <c r="U339" s="18"/>
      <c r="V339" s="18"/>
      <c r="W339" s="18"/>
      <c r="X339" s="18"/>
      <c r="Y339" s="25"/>
      <c r="Z339" s="57"/>
    </row>
    <row r="340" ht="15.75" hidden="1" customHeight="1">
      <c r="A340" s="7"/>
      <c r="B340" s="7"/>
      <c r="C340" s="7"/>
      <c r="D340" s="24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18"/>
      <c r="T340" s="18"/>
      <c r="U340" s="18"/>
      <c r="V340" s="18"/>
      <c r="W340" s="18"/>
      <c r="X340" s="18"/>
      <c r="Y340" s="25"/>
      <c r="Z340" s="57"/>
    </row>
    <row r="341" ht="15.75" hidden="1" customHeight="1">
      <c r="A341" s="7"/>
      <c r="B341" s="7"/>
      <c r="C341" s="7"/>
      <c r="D341" s="24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18"/>
      <c r="T341" s="18"/>
      <c r="U341" s="18"/>
      <c r="V341" s="18"/>
      <c r="W341" s="18"/>
      <c r="X341" s="18"/>
      <c r="Y341" s="25"/>
      <c r="Z341" s="57"/>
    </row>
    <row r="342" ht="15.75" hidden="1" customHeight="1">
      <c r="A342" s="7"/>
      <c r="B342" s="7"/>
      <c r="C342" s="7"/>
      <c r="D342" s="24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18"/>
      <c r="T342" s="18"/>
      <c r="U342" s="18"/>
      <c r="V342" s="18"/>
      <c r="W342" s="18"/>
      <c r="X342" s="18"/>
      <c r="Y342" s="25"/>
      <c r="Z342" s="57"/>
    </row>
    <row r="343" ht="15.75" hidden="1" customHeight="1">
      <c r="A343" s="7"/>
      <c r="B343" s="7"/>
      <c r="C343" s="7"/>
      <c r="D343" s="24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18"/>
      <c r="T343" s="18"/>
      <c r="U343" s="18"/>
      <c r="V343" s="18"/>
      <c r="W343" s="18"/>
      <c r="X343" s="18"/>
      <c r="Y343" s="25"/>
      <c r="Z343" s="57"/>
    </row>
    <row r="344" ht="15.75" hidden="1" customHeight="1">
      <c r="A344" s="7"/>
      <c r="B344" s="7"/>
      <c r="C344" s="7"/>
      <c r="D344" s="24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18"/>
      <c r="T344" s="18"/>
      <c r="U344" s="18"/>
      <c r="V344" s="18"/>
      <c r="W344" s="18"/>
      <c r="X344" s="18"/>
      <c r="Y344" s="25"/>
      <c r="Z344" s="57"/>
    </row>
    <row r="345" ht="15.75" hidden="1" customHeight="1">
      <c r="A345" s="7"/>
      <c r="B345" s="7"/>
      <c r="C345" s="7"/>
      <c r="D345" s="24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18"/>
      <c r="T345" s="18"/>
      <c r="U345" s="18"/>
      <c r="V345" s="18"/>
      <c r="W345" s="18"/>
      <c r="X345" s="18"/>
      <c r="Y345" s="25"/>
      <c r="Z345" s="57"/>
    </row>
    <row r="346" ht="15.75" hidden="1" customHeight="1">
      <c r="A346" s="7"/>
      <c r="B346" s="7"/>
      <c r="C346" s="7"/>
      <c r="D346" s="24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18"/>
      <c r="T346" s="18"/>
      <c r="U346" s="18"/>
      <c r="V346" s="18"/>
      <c r="W346" s="18"/>
      <c r="X346" s="18"/>
      <c r="Y346" s="25"/>
      <c r="Z346" s="57"/>
    </row>
    <row r="347" ht="15.75" hidden="1" customHeight="1">
      <c r="A347" s="7"/>
      <c r="B347" s="7"/>
      <c r="C347" s="7"/>
      <c r="D347" s="24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18"/>
      <c r="T347" s="18"/>
      <c r="U347" s="18"/>
      <c r="V347" s="18"/>
      <c r="W347" s="18"/>
      <c r="X347" s="18"/>
      <c r="Y347" s="25"/>
      <c r="Z347" s="57"/>
    </row>
    <row r="348" ht="15.75" hidden="1" customHeight="1">
      <c r="A348" s="7"/>
      <c r="B348" s="7"/>
      <c r="C348" s="7"/>
      <c r="D348" s="24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18"/>
      <c r="T348" s="18"/>
      <c r="U348" s="18"/>
      <c r="V348" s="18"/>
      <c r="W348" s="18"/>
      <c r="X348" s="18"/>
      <c r="Y348" s="25"/>
      <c r="Z348" s="57"/>
    </row>
    <row r="349" ht="15.75" hidden="1" customHeight="1">
      <c r="A349" s="7"/>
      <c r="B349" s="7"/>
      <c r="C349" s="7"/>
      <c r="D349" s="24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18"/>
      <c r="T349" s="18"/>
      <c r="U349" s="18"/>
      <c r="V349" s="18"/>
      <c r="W349" s="18"/>
      <c r="X349" s="18"/>
      <c r="Y349" s="25"/>
      <c r="Z349" s="57"/>
    </row>
    <row r="350" ht="15.75" hidden="1" customHeight="1">
      <c r="A350" s="7"/>
      <c r="B350" s="7"/>
      <c r="C350" s="7"/>
      <c r="D350" s="24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18"/>
      <c r="T350" s="18"/>
      <c r="U350" s="18"/>
      <c r="V350" s="18"/>
      <c r="W350" s="18"/>
      <c r="X350" s="18"/>
      <c r="Y350" s="25"/>
      <c r="Z350" s="57"/>
    </row>
    <row r="351" ht="15.75" hidden="1" customHeight="1">
      <c r="A351" s="7"/>
      <c r="B351" s="7"/>
      <c r="C351" s="7"/>
      <c r="D351" s="24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18"/>
      <c r="T351" s="18"/>
      <c r="U351" s="18"/>
      <c r="V351" s="18"/>
      <c r="W351" s="18"/>
      <c r="X351" s="18"/>
      <c r="Y351" s="25"/>
      <c r="Z351" s="57"/>
    </row>
    <row r="352" ht="15.75" hidden="1" customHeight="1">
      <c r="A352" s="7"/>
      <c r="B352" s="7"/>
      <c r="C352" s="7"/>
      <c r="D352" s="24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18"/>
      <c r="T352" s="18"/>
      <c r="U352" s="18"/>
      <c r="V352" s="18"/>
      <c r="W352" s="18"/>
      <c r="X352" s="18"/>
      <c r="Y352" s="25"/>
      <c r="Z352" s="57"/>
    </row>
    <row r="353" ht="15.75" hidden="1" customHeight="1">
      <c r="A353" s="7"/>
      <c r="B353" s="7"/>
      <c r="C353" s="7"/>
      <c r="D353" s="24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18"/>
      <c r="T353" s="18"/>
      <c r="U353" s="18"/>
      <c r="V353" s="18"/>
      <c r="W353" s="18"/>
      <c r="X353" s="18"/>
      <c r="Y353" s="25"/>
      <c r="Z353" s="57"/>
    </row>
    <row r="354" ht="15.75" hidden="1" customHeight="1">
      <c r="A354" s="7"/>
      <c r="B354" s="7"/>
      <c r="C354" s="7"/>
      <c r="D354" s="24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18"/>
      <c r="T354" s="18"/>
      <c r="U354" s="18"/>
      <c r="V354" s="18"/>
      <c r="W354" s="18"/>
      <c r="X354" s="18"/>
      <c r="Y354" s="25"/>
      <c r="Z354" s="57"/>
    </row>
    <row r="355" ht="15.75" hidden="1" customHeight="1">
      <c r="A355" s="7"/>
      <c r="B355" s="7"/>
      <c r="C355" s="7"/>
      <c r="D355" s="24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18"/>
      <c r="T355" s="18"/>
      <c r="U355" s="18"/>
      <c r="V355" s="18"/>
      <c r="W355" s="18"/>
      <c r="X355" s="18"/>
      <c r="Y355" s="25"/>
      <c r="Z355" s="57"/>
    </row>
    <row r="356" ht="15.75" hidden="1" customHeight="1">
      <c r="A356" s="7"/>
      <c r="B356" s="7"/>
      <c r="C356" s="7"/>
      <c r="D356" s="24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18"/>
      <c r="T356" s="18"/>
      <c r="U356" s="18"/>
      <c r="V356" s="18"/>
      <c r="W356" s="18"/>
      <c r="X356" s="18"/>
      <c r="Y356" s="25"/>
      <c r="Z356" s="57"/>
    </row>
    <row r="357" ht="15.75" hidden="1" customHeight="1">
      <c r="A357" s="7"/>
      <c r="B357" s="7"/>
      <c r="C357" s="7"/>
      <c r="D357" s="24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18"/>
      <c r="T357" s="18"/>
      <c r="U357" s="18"/>
      <c r="V357" s="18"/>
      <c r="W357" s="18"/>
      <c r="X357" s="18"/>
      <c r="Y357" s="25"/>
      <c r="Z357" s="57"/>
    </row>
    <row r="358" ht="15.75" hidden="1" customHeight="1">
      <c r="A358" s="7"/>
      <c r="B358" s="7"/>
      <c r="C358" s="7"/>
      <c r="D358" s="24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18"/>
      <c r="T358" s="18"/>
      <c r="U358" s="18"/>
      <c r="V358" s="18"/>
      <c r="W358" s="18"/>
      <c r="X358" s="18"/>
      <c r="Y358" s="25"/>
      <c r="Z358" s="57"/>
    </row>
    <row r="359" ht="15.75" hidden="1" customHeight="1">
      <c r="A359" s="7"/>
      <c r="B359" s="7"/>
      <c r="C359" s="7"/>
      <c r="D359" s="24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18"/>
      <c r="T359" s="18"/>
      <c r="U359" s="18"/>
      <c r="V359" s="18"/>
      <c r="W359" s="18"/>
      <c r="X359" s="18"/>
      <c r="Y359" s="25"/>
      <c r="Z359" s="57"/>
    </row>
    <row r="360" ht="15.75" hidden="1" customHeight="1">
      <c r="A360" s="7"/>
      <c r="B360" s="7"/>
      <c r="C360" s="7"/>
      <c r="D360" s="24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18"/>
      <c r="T360" s="18"/>
      <c r="U360" s="18"/>
      <c r="V360" s="18"/>
      <c r="W360" s="18"/>
      <c r="X360" s="18"/>
      <c r="Y360" s="25"/>
      <c r="Z360" s="57"/>
    </row>
    <row r="361" ht="15.75" hidden="1" customHeight="1">
      <c r="A361" s="7"/>
      <c r="B361" s="7"/>
      <c r="C361" s="7"/>
      <c r="D361" s="24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18"/>
      <c r="T361" s="18"/>
      <c r="U361" s="18"/>
      <c r="V361" s="18"/>
      <c r="W361" s="18"/>
      <c r="X361" s="18"/>
      <c r="Y361" s="25"/>
      <c r="Z361" s="57"/>
    </row>
    <row r="362" ht="15.75" hidden="1" customHeight="1">
      <c r="A362" s="7"/>
      <c r="B362" s="7"/>
      <c r="C362" s="7"/>
      <c r="D362" s="24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18"/>
      <c r="T362" s="18"/>
      <c r="U362" s="18"/>
      <c r="V362" s="18"/>
      <c r="W362" s="18"/>
      <c r="X362" s="18"/>
      <c r="Y362" s="25"/>
      <c r="Z362" s="57"/>
    </row>
    <row r="363" ht="15.75" hidden="1" customHeight="1">
      <c r="A363" s="7"/>
      <c r="B363" s="7"/>
      <c r="C363" s="7"/>
      <c r="D363" s="24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18"/>
      <c r="T363" s="18"/>
      <c r="U363" s="18"/>
      <c r="V363" s="18"/>
      <c r="W363" s="18"/>
      <c r="X363" s="18"/>
      <c r="Y363" s="25"/>
      <c r="Z363" s="57"/>
    </row>
    <row r="364" ht="15.75" hidden="1" customHeight="1">
      <c r="A364" s="7"/>
      <c r="B364" s="7"/>
      <c r="C364" s="7"/>
      <c r="D364" s="24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18"/>
      <c r="T364" s="18"/>
      <c r="U364" s="18"/>
      <c r="V364" s="18"/>
      <c r="W364" s="18"/>
      <c r="X364" s="18"/>
      <c r="Y364" s="25"/>
      <c r="Z364" s="57"/>
    </row>
    <row r="365" ht="15.75" hidden="1" customHeight="1">
      <c r="A365" s="7"/>
      <c r="B365" s="7"/>
      <c r="C365" s="7"/>
      <c r="D365" s="24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18"/>
      <c r="T365" s="18"/>
      <c r="U365" s="18"/>
      <c r="V365" s="18"/>
      <c r="W365" s="18"/>
      <c r="X365" s="18"/>
      <c r="Y365" s="25"/>
      <c r="Z365" s="57"/>
    </row>
    <row r="366" ht="15.75" hidden="1" customHeight="1">
      <c r="A366" s="7"/>
      <c r="B366" s="7"/>
      <c r="C366" s="7"/>
      <c r="D366" s="24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18"/>
      <c r="T366" s="18"/>
      <c r="U366" s="18"/>
      <c r="V366" s="18"/>
      <c r="W366" s="18"/>
      <c r="X366" s="18"/>
      <c r="Y366" s="25"/>
      <c r="Z366" s="57"/>
    </row>
    <row r="367" ht="15.75" hidden="1" customHeight="1">
      <c r="A367" s="7"/>
      <c r="B367" s="7"/>
      <c r="C367" s="7"/>
      <c r="D367" s="24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18"/>
      <c r="T367" s="18"/>
      <c r="U367" s="18"/>
      <c r="V367" s="18"/>
      <c r="W367" s="18"/>
      <c r="X367" s="18"/>
      <c r="Y367" s="25"/>
      <c r="Z367" s="57"/>
    </row>
    <row r="368" ht="15.75" hidden="1" customHeight="1">
      <c r="A368" s="7"/>
      <c r="B368" s="7"/>
      <c r="C368" s="7"/>
      <c r="D368" s="24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18"/>
      <c r="T368" s="18"/>
      <c r="U368" s="18"/>
      <c r="V368" s="18"/>
      <c r="W368" s="18"/>
      <c r="X368" s="18"/>
      <c r="Y368" s="25"/>
      <c r="Z368" s="57"/>
    </row>
    <row r="369" ht="15.75" hidden="1" customHeight="1">
      <c r="A369" s="7"/>
      <c r="B369" s="7"/>
      <c r="C369" s="7"/>
      <c r="D369" s="24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18"/>
      <c r="T369" s="18"/>
      <c r="U369" s="18"/>
      <c r="V369" s="18"/>
      <c r="W369" s="18"/>
      <c r="X369" s="18"/>
      <c r="Y369" s="25"/>
      <c r="Z369" s="57"/>
    </row>
    <row r="370" ht="15.75" hidden="1" customHeight="1">
      <c r="A370" s="7"/>
      <c r="B370" s="7"/>
      <c r="C370" s="7"/>
      <c r="D370" s="24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18"/>
      <c r="T370" s="18"/>
      <c r="U370" s="18"/>
      <c r="V370" s="18"/>
      <c r="W370" s="18"/>
      <c r="X370" s="18"/>
      <c r="Y370" s="25"/>
      <c r="Z370" s="57"/>
    </row>
    <row r="371" ht="15.75" hidden="1" customHeight="1">
      <c r="A371" s="7"/>
      <c r="B371" s="7"/>
      <c r="C371" s="7"/>
      <c r="D371" s="24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18"/>
      <c r="T371" s="18"/>
      <c r="U371" s="18"/>
      <c r="V371" s="18"/>
      <c r="W371" s="18"/>
      <c r="X371" s="18"/>
      <c r="Y371" s="25"/>
      <c r="Z371" s="57"/>
    </row>
    <row r="372" ht="15.75" hidden="1" customHeight="1">
      <c r="A372" s="7"/>
      <c r="B372" s="119"/>
      <c r="C372" s="119"/>
      <c r="D372" s="120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8"/>
      <c r="T372" s="18"/>
      <c r="U372" s="18"/>
      <c r="V372" s="122"/>
      <c r="W372" s="122"/>
      <c r="X372" s="122"/>
      <c r="Y372" s="123"/>
      <c r="Z372" s="124"/>
    </row>
    <row r="373" ht="15.75" hidden="1" customHeight="1">
      <c r="A373" s="7"/>
      <c r="B373" s="119"/>
      <c r="C373" s="119"/>
      <c r="D373" s="120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8"/>
      <c r="T373" s="18"/>
      <c r="U373" s="18"/>
      <c r="V373" s="122"/>
      <c r="W373" s="122"/>
      <c r="X373" s="122"/>
      <c r="Y373" s="123"/>
      <c r="Z373" s="124"/>
    </row>
    <row r="374" ht="15.75" hidden="1" customHeight="1">
      <c r="A374" s="7"/>
      <c r="B374" s="119"/>
      <c r="C374" s="119"/>
      <c r="D374" s="120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8"/>
      <c r="T374" s="18"/>
      <c r="U374" s="18"/>
      <c r="V374" s="122"/>
      <c r="W374" s="122"/>
      <c r="X374" s="122"/>
      <c r="Y374" s="123"/>
      <c r="Z374" s="124"/>
    </row>
    <row r="375" ht="15.75" hidden="1" customHeight="1">
      <c r="A375" s="7"/>
      <c r="B375" s="119"/>
      <c r="C375" s="119"/>
      <c r="D375" s="120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8"/>
      <c r="T375" s="18"/>
      <c r="U375" s="18"/>
      <c r="V375" s="122"/>
      <c r="W375" s="122"/>
      <c r="X375" s="122"/>
      <c r="Y375" s="123"/>
      <c r="Z375" s="124"/>
    </row>
    <row r="376" ht="15.75" hidden="1" customHeight="1">
      <c r="A376" s="7"/>
      <c r="B376" s="119"/>
      <c r="C376" s="119"/>
      <c r="D376" s="120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8"/>
      <c r="T376" s="18"/>
      <c r="U376" s="18"/>
      <c r="V376" s="122"/>
      <c r="W376" s="122"/>
      <c r="X376" s="122"/>
      <c r="Y376" s="123"/>
      <c r="Z376" s="124"/>
    </row>
    <row r="377" ht="15.75" hidden="1" customHeight="1">
      <c r="A377" s="7"/>
      <c r="B377" s="119"/>
      <c r="C377" s="119"/>
      <c r="D377" s="120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8"/>
      <c r="T377" s="18"/>
      <c r="U377" s="18"/>
      <c r="V377" s="122"/>
      <c r="W377" s="122"/>
      <c r="X377" s="122"/>
      <c r="Y377" s="123"/>
      <c r="Z377" s="124"/>
    </row>
    <row r="378" ht="15.75" hidden="1" customHeight="1">
      <c r="A378" s="7"/>
      <c r="B378" s="119"/>
      <c r="C378" s="119"/>
      <c r="D378" s="120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8"/>
      <c r="T378" s="18"/>
      <c r="U378" s="18"/>
      <c r="V378" s="122"/>
      <c r="W378" s="122"/>
      <c r="X378" s="122"/>
      <c r="Y378" s="123"/>
      <c r="Z378" s="124"/>
    </row>
    <row r="379" ht="15.75" hidden="1" customHeight="1">
      <c r="A379" s="7"/>
      <c r="B379" s="119"/>
      <c r="C379" s="119"/>
      <c r="D379" s="120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8"/>
      <c r="T379" s="18"/>
      <c r="U379" s="18"/>
      <c r="V379" s="122"/>
      <c r="W379" s="122"/>
      <c r="X379" s="122"/>
      <c r="Y379" s="123"/>
      <c r="Z379" s="124"/>
    </row>
    <row r="380" ht="15.75" hidden="1" customHeight="1">
      <c r="A380" s="7"/>
      <c r="B380" s="119"/>
      <c r="C380" s="119"/>
      <c r="D380" s="120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8"/>
      <c r="T380" s="18"/>
      <c r="U380" s="18"/>
      <c r="V380" s="122"/>
      <c r="W380" s="122"/>
      <c r="X380" s="122"/>
      <c r="Y380" s="123"/>
      <c r="Z380" s="124"/>
    </row>
    <row r="381" ht="15.75" hidden="1" customHeight="1">
      <c r="A381" s="7"/>
      <c r="B381" s="119"/>
      <c r="C381" s="119"/>
      <c r="D381" s="120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8"/>
      <c r="T381" s="18"/>
      <c r="U381" s="18"/>
      <c r="V381" s="122"/>
      <c r="W381" s="122"/>
      <c r="X381" s="122"/>
      <c r="Y381" s="123"/>
      <c r="Z381" s="124"/>
    </row>
    <row r="382" ht="15.75" hidden="1" customHeight="1">
      <c r="A382" s="7"/>
      <c r="B382" s="119"/>
      <c r="C382" s="119"/>
      <c r="D382" s="120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8"/>
      <c r="T382" s="18"/>
      <c r="U382" s="18"/>
      <c r="V382" s="122"/>
      <c r="W382" s="122"/>
      <c r="X382" s="122"/>
      <c r="Y382" s="123"/>
      <c r="Z382" s="124"/>
    </row>
    <row r="383" ht="15.75" hidden="1" customHeight="1">
      <c r="A383" s="7"/>
      <c r="B383" s="119"/>
      <c r="C383" s="119"/>
      <c r="D383" s="120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8"/>
      <c r="T383" s="18"/>
      <c r="U383" s="18"/>
      <c r="V383" s="122"/>
      <c r="W383" s="122"/>
      <c r="X383" s="122"/>
      <c r="Y383" s="123"/>
      <c r="Z383" s="124"/>
    </row>
    <row r="384" ht="15.75" hidden="1" customHeight="1">
      <c r="A384" s="7"/>
      <c r="B384" s="119"/>
      <c r="C384" s="119"/>
      <c r="D384" s="120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8"/>
      <c r="T384" s="18"/>
      <c r="U384" s="18"/>
      <c r="V384" s="122"/>
      <c r="W384" s="122"/>
      <c r="X384" s="122"/>
      <c r="Y384" s="123"/>
      <c r="Z384" s="124"/>
    </row>
    <row r="385" ht="15.75" hidden="1" customHeight="1">
      <c r="A385" s="7"/>
      <c r="B385" s="119"/>
      <c r="C385" s="119"/>
      <c r="D385" s="120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8"/>
      <c r="T385" s="18"/>
      <c r="U385" s="18"/>
      <c r="V385" s="122"/>
      <c r="W385" s="122"/>
      <c r="X385" s="122"/>
      <c r="Y385" s="123"/>
      <c r="Z385" s="124"/>
    </row>
    <row r="386" ht="15.75" hidden="1" customHeight="1">
      <c r="A386" s="7"/>
      <c r="B386" s="119"/>
      <c r="C386" s="119"/>
      <c r="D386" s="120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8"/>
      <c r="T386" s="18"/>
      <c r="U386" s="18"/>
      <c r="V386" s="122"/>
      <c r="W386" s="122"/>
      <c r="X386" s="122"/>
      <c r="Y386" s="123"/>
      <c r="Z386" s="124"/>
    </row>
    <row r="387" ht="15.75" hidden="1" customHeight="1">
      <c r="A387" s="7"/>
      <c r="B387" s="119"/>
      <c r="C387" s="119"/>
      <c r="D387" s="120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8"/>
      <c r="T387" s="18"/>
      <c r="U387" s="18"/>
      <c r="V387" s="122"/>
      <c r="W387" s="122"/>
      <c r="X387" s="122"/>
      <c r="Y387" s="123"/>
      <c r="Z387" s="124"/>
    </row>
    <row r="388" ht="15.75" hidden="1" customHeight="1">
      <c r="A388" s="7"/>
      <c r="B388" s="119"/>
      <c r="C388" s="119"/>
      <c r="D388" s="120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8"/>
      <c r="T388" s="18"/>
      <c r="U388" s="18"/>
      <c r="V388" s="122"/>
      <c r="W388" s="122"/>
      <c r="X388" s="122"/>
      <c r="Y388" s="123"/>
      <c r="Z388" s="124"/>
    </row>
    <row r="389" ht="15.75" hidden="1" customHeight="1">
      <c r="A389" s="7"/>
      <c r="B389" s="119"/>
      <c r="C389" s="119"/>
      <c r="D389" s="120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8"/>
      <c r="T389" s="18"/>
      <c r="U389" s="18"/>
      <c r="V389" s="122"/>
      <c r="W389" s="122"/>
      <c r="X389" s="122"/>
      <c r="Y389" s="123"/>
      <c r="Z389" s="124"/>
    </row>
    <row r="390" ht="15.75" hidden="1" customHeight="1">
      <c r="A390" s="7"/>
      <c r="B390" s="119"/>
      <c r="C390" s="119"/>
      <c r="D390" s="120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8"/>
      <c r="T390" s="18"/>
      <c r="U390" s="18"/>
      <c r="V390" s="122"/>
      <c r="W390" s="122"/>
      <c r="X390" s="122"/>
      <c r="Y390" s="123"/>
      <c r="Z390" s="124"/>
    </row>
    <row r="391" ht="15.75" hidden="1" customHeight="1">
      <c r="A391" s="7"/>
      <c r="B391" s="119"/>
      <c r="C391" s="119"/>
      <c r="D391" s="120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8"/>
      <c r="T391" s="18"/>
      <c r="U391" s="18"/>
      <c r="V391" s="122"/>
      <c r="W391" s="122"/>
      <c r="X391" s="122"/>
      <c r="Y391" s="123"/>
      <c r="Z391" s="124"/>
    </row>
    <row r="392" ht="15.75" hidden="1" customHeight="1">
      <c r="A392" s="7"/>
      <c r="B392" s="119"/>
      <c r="C392" s="119"/>
      <c r="D392" s="120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8"/>
      <c r="T392" s="18"/>
      <c r="U392" s="18"/>
      <c r="V392" s="122"/>
      <c r="W392" s="122"/>
      <c r="X392" s="122"/>
      <c r="Y392" s="123"/>
      <c r="Z392" s="124"/>
    </row>
    <row r="393" ht="15.75" hidden="1" customHeight="1">
      <c r="A393" s="7"/>
      <c r="B393" s="119"/>
      <c r="C393" s="119"/>
      <c r="D393" s="120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8"/>
      <c r="T393" s="18"/>
      <c r="U393" s="18"/>
      <c r="V393" s="122"/>
      <c r="W393" s="122"/>
      <c r="X393" s="122"/>
      <c r="Y393" s="123"/>
      <c r="Z393" s="124"/>
    </row>
    <row r="394" ht="15.75" hidden="1" customHeight="1">
      <c r="A394" s="7"/>
      <c r="B394" s="119"/>
      <c r="C394" s="119"/>
      <c r="D394" s="120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8"/>
      <c r="T394" s="18"/>
      <c r="U394" s="18"/>
      <c r="V394" s="122"/>
      <c r="W394" s="122"/>
      <c r="X394" s="122"/>
      <c r="Y394" s="123"/>
      <c r="Z394" s="124"/>
    </row>
    <row r="395" ht="15.75" hidden="1" customHeight="1">
      <c r="A395" s="7"/>
      <c r="B395" s="119"/>
      <c r="C395" s="119"/>
      <c r="D395" s="120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8"/>
      <c r="T395" s="18"/>
      <c r="U395" s="18"/>
      <c r="V395" s="122"/>
      <c r="W395" s="122"/>
      <c r="X395" s="122"/>
      <c r="Y395" s="123"/>
      <c r="Z395" s="124"/>
    </row>
    <row r="396" ht="15.75" hidden="1" customHeight="1">
      <c r="A396" s="7"/>
      <c r="B396" s="119"/>
      <c r="C396" s="119"/>
      <c r="D396" s="120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8"/>
      <c r="T396" s="18"/>
      <c r="U396" s="18"/>
      <c r="V396" s="122"/>
      <c r="W396" s="122"/>
      <c r="X396" s="122"/>
      <c r="Y396" s="123"/>
      <c r="Z396" s="124"/>
    </row>
    <row r="397" ht="15.75" hidden="1" customHeight="1">
      <c r="A397" s="7"/>
      <c r="B397" s="119"/>
      <c r="C397" s="119"/>
      <c r="D397" s="120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8"/>
      <c r="T397" s="18"/>
      <c r="U397" s="18"/>
      <c r="V397" s="122"/>
      <c r="W397" s="122"/>
      <c r="X397" s="122"/>
      <c r="Y397" s="123"/>
      <c r="Z397" s="124"/>
    </row>
    <row r="398" ht="15.75" hidden="1" customHeight="1">
      <c r="A398" s="7"/>
      <c r="B398" s="119"/>
      <c r="C398" s="119"/>
      <c r="D398" s="120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8"/>
      <c r="T398" s="18"/>
      <c r="U398" s="18"/>
      <c r="V398" s="122"/>
      <c r="W398" s="122"/>
      <c r="X398" s="122"/>
      <c r="Y398" s="123"/>
      <c r="Z398" s="124"/>
    </row>
    <row r="399" ht="15.75" hidden="1" customHeight="1">
      <c r="A399" s="7"/>
      <c r="B399" s="119"/>
      <c r="C399" s="119"/>
      <c r="D399" s="120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8"/>
      <c r="T399" s="18"/>
      <c r="U399" s="18"/>
      <c r="V399" s="122"/>
      <c r="W399" s="122"/>
      <c r="X399" s="122"/>
      <c r="Y399" s="123"/>
      <c r="Z399" s="124"/>
    </row>
    <row r="400" ht="15.75" hidden="1" customHeight="1">
      <c r="A400" s="7"/>
      <c r="B400" s="119"/>
      <c r="C400" s="119"/>
      <c r="D400" s="120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8"/>
      <c r="T400" s="18"/>
      <c r="U400" s="18"/>
      <c r="V400" s="122"/>
      <c r="W400" s="122"/>
      <c r="X400" s="122"/>
      <c r="Y400" s="123"/>
      <c r="Z400" s="124"/>
    </row>
    <row r="401" ht="15.75" hidden="1" customHeight="1">
      <c r="A401" s="7"/>
      <c r="B401" s="119"/>
      <c r="C401" s="119"/>
      <c r="D401" s="120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8"/>
      <c r="T401" s="18"/>
      <c r="U401" s="18"/>
      <c r="V401" s="122"/>
      <c r="W401" s="122"/>
      <c r="X401" s="122"/>
      <c r="Y401" s="123"/>
      <c r="Z401" s="124"/>
    </row>
    <row r="402" ht="15.75" hidden="1" customHeight="1">
      <c r="A402" s="7"/>
      <c r="B402" s="119"/>
      <c r="C402" s="119"/>
      <c r="D402" s="120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8"/>
      <c r="T402" s="18"/>
      <c r="U402" s="18"/>
      <c r="V402" s="122"/>
      <c r="W402" s="122"/>
      <c r="X402" s="122"/>
      <c r="Y402" s="123"/>
      <c r="Z402" s="124"/>
    </row>
    <row r="403" ht="15.75" hidden="1" customHeight="1">
      <c r="A403" s="7"/>
      <c r="B403" s="119"/>
      <c r="C403" s="119"/>
      <c r="D403" s="120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8"/>
      <c r="T403" s="18"/>
      <c r="U403" s="18"/>
      <c r="V403" s="122"/>
      <c r="W403" s="122"/>
      <c r="X403" s="122"/>
      <c r="Y403" s="123"/>
      <c r="Z403" s="124"/>
    </row>
    <row r="404" ht="15.75" hidden="1" customHeight="1">
      <c r="A404" s="119"/>
      <c r="B404" s="119"/>
      <c r="C404" s="119"/>
      <c r="D404" s="120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8"/>
      <c r="T404" s="18"/>
      <c r="U404" s="18"/>
      <c r="V404" s="122"/>
      <c r="W404" s="122"/>
      <c r="X404" s="122"/>
      <c r="Y404" s="123"/>
      <c r="Z404" s="124"/>
    </row>
    <row r="405" ht="15.75" hidden="1" customHeight="1">
      <c r="A405" s="119"/>
      <c r="B405" s="119"/>
      <c r="C405" s="119"/>
      <c r="D405" s="120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8"/>
      <c r="T405" s="18"/>
      <c r="U405" s="18"/>
      <c r="V405" s="122"/>
      <c r="W405" s="122"/>
      <c r="X405" s="122"/>
      <c r="Y405" s="123"/>
      <c r="Z405" s="124"/>
    </row>
    <row r="406" ht="15.75" hidden="1" customHeight="1">
      <c r="A406" s="119"/>
      <c r="B406" s="119"/>
      <c r="C406" s="119"/>
      <c r="D406" s="120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8"/>
      <c r="T406" s="18"/>
      <c r="U406" s="18"/>
      <c r="V406" s="122"/>
      <c r="W406" s="122"/>
      <c r="X406" s="122"/>
      <c r="Y406" s="123"/>
      <c r="Z406" s="124"/>
    </row>
    <row r="407" ht="15.75" hidden="1" customHeight="1">
      <c r="A407" s="119"/>
      <c r="B407" s="119"/>
      <c r="C407" s="119"/>
      <c r="D407" s="120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8"/>
      <c r="T407" s="18"/>
      <c r="U407" s="18"/>
      <c r="V407" s="122"/>
      <c r="W407" s="122"/>
      <c r="X407" s="122"/>
      <c r="Y407" s="123"/>
      <c r="Z407" s="124"/>
    </row>
    <row r="408" ht="15.75" hidden="1" customHeight="1">
      <c r="A408" s="119"/>
      <c r="B408" s="119"/>
      <c r="C408" s="119"/>
      <c r="D408" s="120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8"/>
      <c r="T408" s="18"/>
      <c r="U408" s="18"/>
      <c r="V408" s="122"/>
      <c r="W408" s="122"/>
      <c r="X408" s="122"/>
      <c r="Y408" s="123"/>
      <c r="Z408" s="124"/>
    </row>
    <row r="409" ht="15.75" hidden="1" customHeight="1">
      <c r="A409" s="119"/>
      <c r="B409" s="119"/>
      <c r="C409" s="119"/>
      <c r="D409" s="120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8"/>
      <c r="T409" s="18"/>
      <c r="U409" s="18"/>
      <c r="V409" s="122"/>
      <c r="W409" s="122"/>
      <c r="X409" s="122"/>
      <c r="Y409" s="123"/>
      <c r="Z409" s="124"/>
    </row>
    <row r="410" ht="15.75" hidden="1" customHeight="1">
      <c r="A410" s="119"/>
      <c r="B410" s="119"/>
      <c r="C410" s="119"/>
      <c r="D410" s="120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8"/>
      <c r="T410" s="18"/>
      <c r="U410" s="18"/>
      <c r="V410" s="122"/>
      <c r="W410" s="122"/>
      <c r="X410" s="122"/>
      <c r="Y410" s="123"/>
      <c r="Z410" s="124"/>
    </row>
    <row r="411" ht="15.75" hidden="1" customHeight="1">
      <c r="A411" s="119"/>
      <c r="B411" s="119"/>
      <c r="C411" s="119"/>
      <c r="D411" s="120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8"/>
      <c r="T411" s="18"/>
      <c r="U411" s="18"/>
      <c r="V411" s="122"/>
      <c r="W411" s="122"/>
      <c r="X411" s="122"/>
      <c r="Y411" s="123"/>
      <c r="Z411" s="124"/>
    </row>
    <row r="412" ht="15.75" hidden="1" customHeight="1">
      <c r="A412" s="119"/>
      <c r="B412" s="119"/>
      <c r="C412" s="119"/>
      <c r="D412" s="120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8"/>
      <c r="T412" s="18"/>
      <c r="U412" s="18"/>
      <c r="V412" s="122"/>
      <c r="W412" s="122"/>
      <c r="X412" s="122"/>
      <c r="Y412" s="123"/>
      <c r="Z412" s="124"/>
    </row>
    <row r="413" ht="15.75" hidden="1" customHeight="1">
      <c r="A413" s="119"/>
      <c r="B413" s="119"/>
      <c r="C413" s="119"/>
      <c r="D413" s="120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8"/>
      <c r="T413" s="18"/>
      <c r="U413" s="18"/>
      <c r="V413" s="122"/>
      <c r="W413" s="122"/>
      <c r="X413" s="122"/>
      <c r="Y413" s="123"/>
      <c r="Z413" s="124"/>
    </row>
    <row r="414" ht="15.75" hidden="1" customHeight="1">
      <c r="A414" s="119"/>
      <c r="B414" s="119"/>
      <c r="C414" s="119"/>
      <c r="D414" s="120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8"/>
      <c r="T414" s="18"/>
      <c r="U414" s="18"/>
      <c r="V414" s="122"/>
      <c r="W414" s="122"/>
      <c r="X414" s="122"/>
      <c r="Y414" s="123"/>
      <c r="Z414" s="124"/>
    </row>
    <row r="415" ht="15.75" hidden="1" customHeight="1">
      <c r="A415" s="119"/>
      <c r="B415" s="119"/>
      <c r="C415" s="119"/>
      <c r="D415" s="120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8"/>
      <c r="T415" s="18"/>
      <c r="U415" s="18"/>
      <c r="V415" s="122"/>
      <c r="W415" s="122"/>
      <c r="X415" s="122"/>
      <c r="Y415" s="123"/>
      <c r="Z415" s="124"/>
    </row>
    <row r="416" ht="15.75" hidden="1" customHeight="1">
      <c r="A416" s="119"/>
      <c r="B416" s="119"/>
      <c r="C416" s="119"/>
      <c r="D416" s="120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8"/>
      <c r="T416" s="18"/>
      <c r="U416" s="18"/>
      <c r="V416" s="122"/>
      <c r="W416" s="122"/>
      <c r="X416" s="122"/>
      <c r="Y416" s="123"/>
      <c r="Z416" s="124"/>
    </row>
    <row r="417" ht="15.75" hidden="1" customHeight="1">
      <c r="A417" s="119"/>
      <c r="B417" s="119"/>
      <c r="C417" s="119"/>
      <c r="D417" s="120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8"/>
      <c r="T417" s="18"/>
      <c r="U417" s="18"/>
      <c r="V417" s="122"/>
      <c r="W417" s="122"/>
      <c r="X417" s="122"/>
      <c r="Y417" s="123"/>
      <c r="Z417" s="124"/>
    </row>
    <row r="418" ht="15.75" hidden="1" customHeight="1">
      <c r="A418" s="119"/>
      <c r="B418" s="119"/>
      <c r="C418" s="119"/>
      <c r="D418" s="120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8"/>
      <c r="T418" s="18"/>
      <c r="U418" s="18"/>
      <c r="V418" s="122"/>
      <c r="W418" s="122"/>
      <c r="X418" s="122"/>
      <c r="Y418" s="123"/>
      <c r="Z418" s="124"/>
    </row>
    <row r="419" ht="15.75" hidden="1" customHeight="1">
      <c r="A419" s="119"/>
      <c r="B419" s="119"/>
      <c r="C419" s="119"/>
      <c r="D419" s="120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8"/>
      <c r="T419" s="18"/>
      <c r="U419" s="18"/>
      <c r="V419" s="122"/>
      <c r="W419" s="122"/>
      <c r="X419" s="122"/>
      <c r="Y419" s="123"/>
      <c r="Z419" s="124"/>
    </row>
    <row r="420" ht="15.75" hidden="1" customHeight="1">
      <c r="A420" s="119"/>
      <c r="B420" s="119"/>
      <c r="C420" s="119"/>
      <c r="D420" s="120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8"/>
      <c r="T420" s="18"/>
      <c r="U420" s="18"/>
      <c r="V420" s="122"/>
      <c r="W420" s="122"/>
      <c r="X420" s="122"/>
      <c r="Y420" s="123"/>
      <c r="Z420" s="124"/>
    </row>
    <row r="421" ht="15.75" hidden="1" customHeight="1">
      <c r="A421" s="119"/>
      <c r="B421" s="119"/>
      <c r="C421" s="119"/>
      <c r="D421" s="120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8"/>
      <c r="T421" s="18"/>
      <c r="U421" s="18"/>
      <c r="V421" s="122"/>
      <c r="W421" s="122"/>
      <c r="X421" s="122"/>
      <c r="Y421" s="123"/>
      <c r="Z421" s="124"/>
    </row>
    <row r="422" ht="15.75" hidden="1" customHeight="1">
      <c r="A422" s="119"/>
      <c r="B422" s="119"/>
      <c r="C422" s="119"/>
      <c r="D422" s="120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8"/>
      <c r="T422" s="18"/>
      <c r="U422" s="18"/>
      <c r="V422" s="122"/>
      <c r="W422" s="122"/>
      <c r="X422" s="122"/>
      <c r="Y422" s="123"/>
      <c r="Z422" s="124"/>
    </row>
    <row r="423" ht="15.75" hidden="1" customHeight="1">
      <c r="A423" s="119"/>
      <c r="B423" s="119"/>
      <c r="C423" s="119"/>
      <c r="D423" s="120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8"/>
      <c r="T423" s="18"/>
      <c r="U423" s="18"/>
      <c r="V423" s="122"/>
      <c r="W423" s="122"/>
      <c r="X423" s="122"/>
      <c r="Y423" s="123"/>
      <c r="Z423" s="124"/>
    </row>
    <row r="424" ht="15.75" hidden="1" customHeight="1">
      <c r="A424" s="119"/>
      <c r="B424" s="119"/>
      <c r="C424" s="119"/>
      <c r="D424" s="120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8"/>
      <c r="T424" s="18"/>
      <c r="U424" s="18"/>
      <c r="V424" s="122"/>
      <c r="W424" s="122"/>
      <c r="X424" s="122"/>
      <c r="Y424" s="123"/>
      <c r="Z424" s="124"/>
    </row>
    <row r="425" ht="15.75" hidden="1" customHeight="1">
      <c r="A425" s="119"/>
      <c r="B425" s="119"/>
      <c r="C425" s="119"/>
      <c r="D425" s="120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8"/>
      <c r="T425" s="18"/>
      <c r="U425" s="18"/>
      <c r="V425" s="122"/>
      <c r="W425" s="122"/>
      <c r="X425" s="122"/>
      <c r="Y425" s="123"/>
      <c r="Z425" s="124"/>
    </row>
    <row r="426" ht="15.75" hidden="1" customHeight="1">
      <c r="A426" s="119"/>
      <c r="B426" s="119"/>
      <c r="C426" s="119"/>
      <c r="D426" s="120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8"/>
      <c r="T426" s="18"/>
      <c r="U426" s="18"/>
      <c r="V426" s="122"/>
      <c r="W426" s="122"/>
      <c r="X426" s="122"/>
      <c r="Y426" s="123"/>
      <c r="Z426" s="124"/>
    </row>
    <row r="427" ht="15.75" hidden="1" customHeight="1">
      <c r="A427" s="119"/>
      <c r="B427" s="119"/>
      <c r="C427" s="119"/>
      <c r="D427" s="120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8"/>
      <c r="T427" s="18"/>
      <c r="U427" s="18"/>
      <c r="V427" s="122"/>
      <c r="W427" s="122"/>
      <c r="X427" s="122"/>
      <c r="Y427" s="123"/>
      <c r="Z427" s="124"/>
    </row>
    <row r="428" ht="15.75" hidden="1" customHeight="1">
      <c r="A428" s="119"/>
      <c r="B428" s="119"/>
      <c r="C428" s="119"/>
      <c r="D428" s="120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8"/>
      <c r="T428" s="18"/>
      <c r="U428" s="18"/>
      <c r="V428" s="122"/>
      <c r="W428" s="122"/>
      <c r="X428" s="122"/>
      <c r="Y428" s="123"/>
      <c r="Z428" s="124"/>
    </row>
    <row r="429" ht="15.75" hidden="1" customHeight="1">
      <c r="A429" s="119"/>
      <c r="B429" s="119"/>
      <c r="C429" s="119"/>
      <c r="D429" s="120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8"/>
      <c r="T429" s="18"/>
      <c r="U429" s="18"/>
      <c r="V429" s="122"/>
      <c r="W429" s="122"/>
      <c r="X429" s="122"/>
      <c r="Y429" s="123"/>
      <c r="Z429" s="124"/>
    </row>
    <row r="430" ht="15.75" hidden="1" customHeight="1">
      <c r="A430" s="119"/>
      <c r="B430" s="119"/>
      <c r="C430" s="119"/>
      <c r="D430" s="120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8"/>
      <c r="T430" s="18"/>
      <c r="U430" s="18"/>
      <c r="V430" s="122"/>
      <c r="W430" s="122"/>
      <c r="X430" s="122"/>
      <c r="Y430" s="123"/>
      <c r="Z430" s="124"/>
    </row>
    <row r="431" ht="15.75" hidden="1" customHeight="1">
      <c r="A431" s="119"/>
      <c r="B431" s="119"/>
      <c r="C431" s="119"/>
      <c r="D431" s="120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8"/>
      <c r="T431" s="18"/>
      <c r="U431" s="18"/>
      <c r="V431" s="122"/>
      <c r="W431" s="122"/>
      <c r="X431" s="122"/>
      <c r="Y431" s="123"/>
      <c r="Z431" s="124"/>
    </row>
    <row r="432" ht="15.75" hidden="1" customHeight="1">
      <c r="A432" s="119"/>
      <c r="B432" s="119"/>
      <c r="C432" s="119"/>
      <c r="D432" s="120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8"/>
      <c r="T432" s="18"/>
      <c r="U432" s="18"/>
      <c r="V432" s="122"/>
      <c r="W432" s="122"/>
      <c r="X432" s="122"/>
      <c r="Y432" s="123"/>
      <c r="Z432" s="124"/>
    </row>
    <row r="433" ht="15.75" hidden="1" customHeight="1">
      <c r="A433" s="119"/>
      <c r="B433" s="119"/>
      <c r="C433" s="119"/>
      <c r="D433" s="120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8"/>
      <c r="T433" s="18"/>
      <c r="U433" s="18"/>
      <c r="V433" s="122"/>
      <c r="W433" s="122"/>
      <c r="X433" s="122"/>
      <c r="Y433" s="123"/>
      <c r="Z433" s="124"/>
    </row>
    <row r="434" ht="15.75" hidden="1" customHeight="1">
      <c r="A434" s="119"/>
      <c r="B434" s="119"/>
      <c r="C434" s="119"/>
      <c r="D434" s="120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8"/>
      <c r="T434" s="18"/>
      <c r="U434" s="18"/>
      <c r="V434" s="122"/>
      <c r="W434" s="122"/>
      <c r="X434" s="122"/>
      <c r="Y434" s="123"/>
      <c r="Z434" s="124"/>
    </row>
    <row r="435" ht="15.75" hidden="1" customHeight="1">
      <c r="A435" s="119"/>
      <c r="B435" s="119"/>
      <c r="C435" s="119"/>
      <c r="D435" s="120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8"/>
      <c r="T435" s="18"/>
      <c r="U435" s="18"/>
      <c r="V435" s="122"/>
      <c r="W435" s="122"/>
      <c r="X435" s="122"/>
      <c r="Y435" s="123"/>
      <c r="Z435" s="124"/>
    </row>
    <row r="436" ht="15.75" hidden="1" customHeight="1">
      <c r="A436" s="119"/>
      <c r="B436" s="119"/>
      <c r="C436" s="119"/>
      <c r="D436" s="120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8"/>
      <c r="T436" s="18"/>
      <c r="U436" s="18"/>
      <c r="V436" s="122"/>
      <c r="W436" s="122"/>
      <c r="X436" s="122"/>
      <c r="Y436" s="123"/>
      <c r="Z436" s="124"/>
    </row>
    <row r="437" ht="15.75" hidden="1" customHeight="1">
      <c r="A437" s="119"/>
      <c r="B437" s="119"/>
      <c r="C437" s="119"/>
      <c r="D437" s="120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8"/>
      <c r="T437" s="18"/>
      <c r="U437" s="18"/>
      <c r="V437" s="122"/>
      <c r="W437" s="122"/>
      <c r="X437" s="122"/>
      <c r="Y437" s="123"/>
      <c r="Z437" s="124"/>
    </row>
    <row r="438" ht="15.75" hidden="1" customHeight="1">
      <c r="A438" s="119"/>
      <c r="B438" s="119"/>
      <c r="C438" s="119"/>
      <c r="D438" s="120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8"/>
      <c r="T438" s="18"/>
      <c r="U438" s="18"/>
      <c r="V438" s="122"/>
      <c r="W438" s="122"/>
      <c r="X438" s="122"/>
      <c r="Y438" s="123"/>
      <c r="Z438" s="124"/>
    </row>
    <row r="439" ht="15.75" hidden="1" customHeight="1">
      <c r="A439" s="119"/>
      <c r="B439" s="119"/>
      <c r="C439" s="119"/>
      <c r="D439" s="120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8"/>
      <c r="T439" s="18"/>
      <c r="U439" s="18"/>
      <c r="V439" s="122"/>
      <c r="W439" s="122"/>
      <c r="X439" s="122"/>
      <c r="Y439" s="123"/>
      <c r="Z439" s="124"/>
    </row>
    <row r="440" ht="15.75" hidden="1" customHeight="1">
      <c r="A440" s="119"/>
      <c r="B440" s="119"/>
      <c r="C440" s="119"/>
      <c r="D440" s="120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8"/>
      <c r="T440" s="18"/>
      <c r="U440" s="18"/>
      <c r="V440" s="122"/>
      <c r="W440" s="122"/>
      <c r="X440" s="122"/>
      <c r="Y440" s="123"/>
      <c r="Z440" s="124"/>
    </row>
    <row r="441" ht="15.75" hidden="1" customHeight="1">
      <c r="A441" s="119"/>
      <c r="B441" s="119"/>
      <c r="C441" s="119"/>
      <c r="D441" s="120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8"/>
      <c r="T441" s="18"/>
      <c r="U441" s="18"/>
      <c r="V441" s="122"/>
      <c r="W441" s="122"/>
      <c r="X441" s="122"/>
      <c r="Y441" s="123"/>
      <c r="Z441" s="124"/>
    </row>
    <row r="442" ht="15.75" hidden="1" customHeight="1">
      <c r="A442" s="119"/>
      <c r="B442" s="119"/>
      <c r="C442" s="119"/>
      <c r="D442" s="120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8"/>
      <c r="T442" s="18"/>
      <c r="U442" s="18"/>
      <c r="V442" s="122"/>
      <c r="W442" s="122"/>
      <c r="X442" s="122"/>
      <c r="Y442" s="123"/>
      <c r="Z442" s="124"/>
    </row>
    <row r="443" ht="15.75" hidden="1" customHeight="1">
      <c r="A443" s="119"/>
      <c r="B443" s="119"/>
      <c r="C443" s="119"/>
      <c r="D443" s="120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8">
        <f>FRESADO!$R443*FRESADO!$E443</f>
        <v>0</v>
      </c>
      <c r="T443" s="18">
        <f>FRESADO!$S443*16%</f>
        <v>0</v>
      </c>
      <c r="U443" s="18">
        <f>FRESADO!$S443+FRESADO!$T443</f>
        <v>0</v>
      </c>
      <c r="V443" s="122"/>
      <c r="W443" s="122"/>
      <c r="X443" s="122"/>
      <c r="Y443" s="123"/>
      <c r="Z443" s="124"/>
    </row>
    <row r="444" ht="15.75" hidden="1" customHeight="1">
      <c r="A444" s="119"/>
      <c r="B444" s="119"/>
      <c r="C444" s="119"/>
      <c r="D444" s="120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8">
        <f>FRESADO!$R444*FRESADO!$E444</f>
        <v>0</v>
      </c>
      <c r="T444" s="18">
        <f>FRESADO!$S444*16%</f>
        <v>0</v>
      </c>
      <c r="U444" s="18">
        <f>FRESADO!$S444+FRESADO!$T444</f>
        <v>0</v>
      </c>
      <c r="V444" s="122"/>
      <c r="W444" s="122"/>
      <c r="X444" s="122"/>
      <c r="Y444" s="123"/>
      <c r="Z444" s="124"/>
    </row>
    <row r="445" ht="15.75" hidden="1" customHeight="1">
      <c r="A445" s="119"/>
      <c r="B445" s="119"/>
      <c r="C445" s="119"/>
      <c r="D445" s="120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8">
        <f>FRESADO!$R445*FRESADO!$E445</f>
        <v>0</v>
      </c>
      <c r="T445" s="18">
        <f>FRESADO!$S445*16%</f>
        <v>0</v>
      </c>
      <c r="U445" s="18">
        <f>FRESADO!$S445+FRESADO!$T445</f>
        <v>0</v>
      </c>
      <c r="V445" s="122"/>
      <c r="W445" s="122"/>
      <c r="X445" s="122"/>
      <c r="Y445" s="123"/>
      <c r="Z445" s="124"/>
    </row>
    <row r="446" ht="15.75" hidden="1" customHeight="1">
      <c r="A446" s="119"/>
      <c r="B446" s="119"/>
      <c r="C446" s="119"/>
      <c r="D446" s="120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8">
        <f>FRESADO!$R446*FRESADO!$E446</f>
        <v>0</v>
      </c>
      <c r="T446" s="18">
        <f>FRESADO!$S446*16%</f>
        <v>0</v>
      </c>
      <c r="U446" s="18">
        <f>FRESADO!$S446+FRESADO!$T446</f>
        <v>0</v>
      </c>
      <c r="V446" s="122"/>
      <c r="W446" s="122"/>
      <c r="X446" s="122"/>
      <c r="Y446" s="123"/>
      <c r="Z446" s="124"/>
    </row>
    <row r="447" ht="15.75" hidden="1" customHeight="1">
      <c r="A447" s="119"/>
      <c r="B447" s="119"/>
      <c r="C447" s="119"/>
      <c r="D447" s="120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8">
        <f>FRESADO!$R447*FRESADO!$E447</f>
        <v>0</v>
      </c>
      <c r="T447" s="18">
        <f>FRESADO!$S447*16%</f>
        <v>0</v>
      </c>
      <c r="U447" s="18">
        <f>FRESADO!$S447+FRESADO!$T447</f>
        <v>0</v>
      </c>
      <c r="V447" s="122"/>
      <c r="W447" s="122"/>
      <c r="X447" s="122"/>
      <c r="Y447" s="123"/>
      <c r="Z447" s="124"/>
    </row>
    <row r="448" ht="15.75" hidden="1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18">
        <f>FRESADO!$R448*FRESADO!$E448</f>
        <v>0</v>
      </c>
      <c r="T448" s="18">
        <f>FRESADO!$S448*16%</f>
        <v>0</v>
      </c>
      <c r="U448" s="18">
        <f>FRESADO!$S448+FRESADO!$T448</f>
        <v>0</v>
      </c>
      <c r="V448" s="18"/>
      <c r="W448" s="18"/>
      <c r="X448" s="18"/>
      <c r="Y448" s="25"/>
    </row>
    <row r="449" ht="15.75" hidden="1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18">
        <f>FRESADO!$R449*FRESADO!$E449</f>
        <v>0</v>
      </c>
      <c r="T449" s="18">
        <f>FRESADO!$S449*16%</f>
        <v>0</v>
      </c>
      <c r="U449" s="18">
        <f>FRESADO!$S449+FRESADO!$T449</f>
        <v>0</v>
      </c>
      <c r="V449" s="18"/>
      <c r="W449" s="18"/>
      <c r="X449" s="18"/>
      <c r="Y449" s="25"/>
    </row>
    <row r="450" ht="15.75" hidden="1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18">
        <f>FRESADO!$R450*FRESADO!$E450</f>
        <v>0</v>
      </c>
      <c r="T450" s="18">
        <f>FRESADO!$S450*16%</f>
        <v>0</v>
      </c>
      <c r="U450" s="18">
        <f>FRESADO!$S450+FRESADO!$T450</f>
        <v>0</v>
      </c>
      <c r="V450" s="18"/>
      <c r="W450" s="18"/>
      <c r="X450" s="18"/>
      <c r="Y450" s="25"/>
    </row>
    <row r="451" ht="15.75" hidden="1" customHeight="1">
      <c r="A451" s="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8">
        <f>FRESADO!$R451*FRESADO!$E451</f>
        <v>0</v>
      </c>
      <c r="T451" s="18">
        <f>FRESADO!$S451*16%</f>
        <v>0</v>
      </c>
      <c r="U451" s="18">
        <f>FRESADO!$S451+FRESADO!$T451</f>
        <v>0</v>
      </c>
      <c r="V451" s="134"/>
      <c r="W451" s="134"/>
      <c r="X451" s="134"/>
      <c r="Y451" s="135"/>
      <c r="Z451" s="131"/>
    </row>
    <row r="452" ht="15.75" hidden="1" customHeight="1">
      <c r="A452" s="127" t="s">
        <v>27</v>
      </c>
      <c r="B452" s="127"/>
      <c r="C452" s="128"/>
      <c r="D452" s="128"/>
      <c r="E452" s="128">
        <f>SUBTOTAL(109,FRESADO!$E$2:$E$451)</f>
        <v>3</v>
      </c>
      <c r="F452" s="128"/>
      <c r="G452" s="128"/>
      <c r="H452" s="128">
        <f>SUBTOTAL(109,FRESADO!$H$2:$H$451)</f>
        <v>42</v>
      </c>
      <c r="I452" s="128"/>
      <c r="J452" s="128"/>
      <c r="K452" s="128"/>
      <c r="L452" s="128"/>
      <c r="M452" s="128"/>
      <c r="N452" s="128"/>
      <c r="O452" s="128"/>
      <c r="P452" s="128"/>
      <c r="Q452" s="128"/>
      <c r="R452" s="129"/>
      <c r="S452" s="130"/>
      <c r="T452" s="130"/>
      <c r="U452" s="130"/>
      <c r="V452" s="18"/>
      <c r="W452" s="130"/>
      <c r="X452" s="130"/>
      <c r="Y452" s="25"/>
    </row>
    <row r="453" ht="15.75" hidden="1" customHeight="1">
      <c r="A453" s="132"/>
      <c r="B453" s="132"/>
      <c r="R453" s="133"/>
      <c r="Y453" s="25"/>
    </row>
    <row r="454" ht="15.75" hidden="1" customHeight="1">
      <c r="A454" s="132"/>
      <c r="B454" s="132"/>
      <c r="R454" s="133"/>
      <c r="Y454" s="25"/>
    </row>
    <row r="455" ht="15.75" hidden="1" customHeight="1">
      <c r="A455" s="132"/>
      <c r="B455" s="132"/>
      <c r="R455" s="133"/>
      <c r="Y455" s="25"/>
    </row>
    <row r="456" ht="15.75" hidden="1" customHeight="1">
      <c r="A456" s="132"/>
      <c r="B456" s="132"/>
      <c r="R456" s="133"/>
      <c r="Y456" s="25"/>
    </row>
    <row r="457" ht="15.75" hidden="1" customHeight="1">
      <c r="A457" s="132"/>
      <c r="B457" s="132"/>
      <c r="R457" s="133"/>
      <c r="Y457" s="25"/>
    </row>
    <row r="458" ht="15.75" hidden="1" customHeight="1">
      <c r="A458" s="132"/>
      <c r="B458" s="132"/>
      <c r="R458" s="133"/>
      <c r="Y458" s="25"/>
    </row>
    <row r="459" ht="15.75" hidden="1" customHeight="1">
      <c r="A459" s="132"/>
      <c r="B459" s="132"/>
      <c r="R459" s="133"/>
      <c r="Y459" s="25"/>
    </row>
    <row r="460" ht="15.75" hidden="1" customHeight="1">
      <c r="A460" s="132"/>
      <c r="B460" s="132"/>
      <c r="R460" s="133"/>
      <c r="Y460" s="25"/>
    </row>
    <row r="461" ht="15.75" hidden="1" customHeight="1">
      <c r="A461" s="132"/>
      <c r="B461" s="132"/>
      <c r="R461" s="133"/>
      <c r="Y461" s="25"/>
    </row>
    <row r="462" ht="15.75" hidden="1" customHeight="1">
      <c r="A462" s="132"/>
      <c r="B462" s="132"/>
      <c r="R462" s="133"/>
      <c r="Y462" s="25"/>
    </row>
    <row r="463" ht="15.75" hidden="1" customHeight="1">
      <c r="A463" s="132"/>
      <c r="B463" s="132"/>
      <c r="R463" s="133"/>
      <c r="Y463" s="25"/>
    </row>
    <row r="464" ht="15.75" hidden="1" customHeight="1">
      <c r="A464" s="132"/>
      <c r="B464" s="132"/>
      <c r="R464" s="133"/>
      <c r="Y464" s="25"/>
    </row>
    <row r="465" ht="15.75" hidden="1" customHeight="1">
      <c r="A465" s="132"/>
      <c r="B465" s="132"/>
      <c r="R465" s="133"/>
      <c r="Y465" s="25"/>
    </row>
    <row r="466" ht="15.75" hidden="1" customHeight="1">
      <c r="A466" s="132"/>
      <c r="B466" s="132"/>
      <c r="R466" s="133"/>
      <c r="Y466" s="25"/>
    </row>
    <row r="467" ht="15.75" hidden="1" customHeight="1">
      <c r="A467" s="132"/>
      <c r="B467" s="132"/>
      <c r="R467" s="133"/>
      <c r="Y467" s="25"/>
    </row>
    <row r="468" ht="15.75" hidden="1" customHeight="1">
      <c r="A468" s="132"/>
      <c r="B468" s="132"/>
      <c r="R468" s="133"/>
      <c r="Y468" s="25"/>
    </row>
    <row r="469" ht="15.75" hidden="1" customHeight="1">
      <c r="A469" s="132"/>
      <c r="B469" s="132"/>
      <c r="R469" s="133"/>
      <c r="Y469" s="25"/>
    </row>
    <row r="470" ht="15.75" hidden="1" customHeight="1">
      <c r="A470" s="132"/>
      <c r="B470" s="132"/>
      <c r="R470" s="133"/>
      <c r="Y470" s="25"/>
    </row>
    <row r="471" ht="15.75" hidden="1" customHeight="1">
      <c r="A471" s="132"/>
      <c r="B471" s="132"/>
      <c r="R471" s="133"/>
      <c r="Y471" s="25"/>
    </row>
    <row r="472" ht="15.75" hidden="1" customHeight="1">
      <c r="A472" s="132"/>
      <c r="B472" s="132"/>
      <c r="R472" s="133"/>
      <c r="Y472" s="25"/>
    </row>
    <row r="473" ht="15.75" hidden="1" customHeight="1">
      <c r="A473" s="132"/>
      <c r="B473" s="132"/>
      <c r="R473" s="133"/>
      <c r="Y473" s="25"/>
    </row>
    <row r="474" ht="15.75" hidden="1" customHeight="1">
      <c r="A474" s="132"/>
      <c r="B474" s="132"/>
      <c r="R474" s="133"/>
      <c r="Y474" s="25"/>
    </row>
    <row r="475" ht="15.75" hidden="1" customHeight="1">
      <c r="A475" s="132"/>
      <c r="B475" s="132"/>
      <c r="R475" s="133"/>
      <c r="Y475" s="25"/>
    </row>
    <row r="476" ht="15.75" hidden="1" customHeight="1">
      <c r="A476" s="132"/>
      <c r="B476" s="132"/>
      <c r="R476" s="133"/>
      <c r="Y476" s="25"/>
    </row>
    <row r="477" ht="15.75" hidden="1" customHeight="1">
      <c r="A477" s="132"/>
      <c r="B477" s="132"/>
      <c r="R477" s="133"/>
      <c r="Y477" s="25"/>
    </row>
    <row r="478" ht="15.75" hidden="1" customHeight="1">
      <c r="A478" s="132"/>
      <c r="B478" s="132"/>
      <c r="R478" s="133"/>
      <c r="Y478" s="25"/>
    </row>
    <row r="479" ht="15.75" hidden="1" customHeight="1">
      <c r="A479" s="132"/>
      <c r="B479" s="132"/>
      <c r="R479" s="133"/>
      <c r="Y479" s="25"/>
    </row>
    <row r="480" ht="15.75" hidden="1" customHeight="1">
      <c r="A480" s="132"/>
      <c r="B480" s="132"/>
      <c r="R480" s="133"/>
      <c r="Y480" s="25"/>
    </row>
    <row r="481" ht="15.75" hidden="1" customHeight="1">
      <c r="A481" s="132"/>
      <c r="B481" s="132"/>
      <c r="R481" s="133"/>
      <c r="Y481" s="25"/>
    </row>
    <row r="482" ht="15.75" hidden="1" customHeight="1">
      <c r="A482" s="132"/>
      <c r="B482" s="132"/>
      <c r="R482" s="133"/>
      <c r="Y482" s="25"/>
    </row>
    <row r="483" ht="15.75" hidden="1" customHeight="1">
      <c r="A483" s="132"/>
      <c r="B483" s="132"/>
      <c r="R483" s="133"/>
      <c r="Y483" s="25"/>
    </row>
    <row r="484" ht="15.75" hidden="1" customHeight="1">
      <c r="A484" s="132"/>
      <c r="B484" s="132"/>
      <c r="R484" s="133"/>
      <c r="Y484" s="25"/>
    </row>
    <row r="485" ht="15.75" hidden="1" customHeight="1">
      <c r="A485" s="132"/>
      <c r="B485" s="132"/>
      <c r="R485" s="133"/>
      <c r="Y485" s="25"/>
    </row>
    <row r="486" ht="15.75" hidden="1" customHeight="1">
      <c r="A486" s="132"/>
      <c r="B486" s="132"/>
      <c r="R486" s="133"/>
      <c r="Y486" s="25"/>
    </row>
    <row r="487" ht="15.75" hidden="1" customHeight="1">
      <c r="A487" s="132"/>
      <c r="B487" s="132"/>
      <c r="R487" s="133"/>
      <c r="Y487" s="25"/>
    </row>
    <row r="488" ht="15.75" hidden="1" customHeight="1">
      <c r="A488" s="132"/>
      <c r="B488" s="132"/>
      <c r="R488" s="133"/>
      <c r="Y488" s="25"/>
    </row>
    <row r="489" ht="15.75" hidden="1" customHeight="1">
      <c r="A489" s="132"/>
      <c r="B489" s="132"/>
      <c r="R489" s="133"/>
      <c r="Y489" s="25"/>
    </row>
    <row r="490" ht="15.75" hidden="1" customHeight="1">
      <c r="A490" s="132"/>
      <c r="B490" s="132"/>
      <c r="R490" s="133"/>
      <c r="Y490" s="25"/>
    </row>
    <row r="491" ht="15.75" hidden="1" customHeight="1">
      <c r="A491" s="132"/>
      <c r="B491" s="132"/>
      <c r="R491" s="133"/>
      <c r="Y491" s="25"/>
    </row>
    <row r="492" ht="15.75" hidden="1" customHeight="1">
      <c r="A492" s="132"/>
      <c r="B492" s="132"/>
      <c r="R492" s="133"/>
      <c r="Y492" s="25"/>
    </row>
    <row r="493" ht="15.75" hidden="1" customHeight="1">
      <c r="A493" s="132"/>
      <c r="B493" s="132"/>
      <c r="R493" s="133"/>
      <c r="Y493" s="25"/>
    </row>
    <row r="494" ht="15.75" hidden="1" customHeight="1">
      <c r="A494" s="132"/>
      <c r="B494" s="132"/>
      <c r="R494" s="133"/>
      <c r="Y494" s="25"/>
    </row>
    <row r="495" ht="15.75" hidden="1" customHeight="1">
      <c r="A495" s="132"/>
      <c r="B495" s="132"/>
      <c r="R495" s="133"/>
      <c r="Y495" s="25"/>
    </row>
    <row r="496" ht="15.75" hidden="1" customHeight="1">
      <c r="A496" s="132"/>
      <c r="B496" s="132"/>
      <c r="R496" s="133"/>
      <c r="Y496" s="25"/>
    </row>
    <row r="497" ht="15.75" hidden="1" customHeight="1">
      <c r="A497" s="132"/>
      <c r="B497" s="132"/>
      <c r="R497" s="133"/>
      <c r="Y497" s="25"/>
    </row>
    <row r="498" ht="15.75" hidden="1" customHeight="1">
      <c r="A498" s="132"/>
      <c r="B498" s="132"/>
      <c r="R498" s="133"/>
      <c r="Y498" s="25"/>
    </row>
    <row r="499" ht="15.75" hidden="1" customHeight="1">
      <c r="A499" s="132"/>
      <c r="B499" s="132"/>
      <c r="R499" s="133"/>
      <c r="Y499" s="25"/>
    </row>
    <row r="500" ht="15.75" hidden="1" customHeight="1">
      <c r="A500" s="132"/>
      <c r="B500" s="132"/>
      <c r="R500" s="133"/>
      <c r="Y500" s="25"/>
    </row>
    <row r="501" ht="15.75" hidden="1" customHeight="1">
      <c r="A501" s="132"/>
      <c r="B501" s="132"/>
      <c r="R501" s="133"/>
      <c r="Y501" s="25"/>
    </row>
    <row r="502" ht="15.75" hidden="1" customHeight="1">
      <c r="A502" s="132"/>
      <c r="B502" s="132"/>
      <c r="R502" s="133"/>
      <c r="Y502" s="25"/>
    </row>
    <row r="503" ht="15.75" hidden="1" customHeight="1">
      <c r="A503" s="132"/>
      <c r="B503" s="132"/>
      <c r="C503" s="15">
        <v>1.0</v>
      </c>
      <c r="R503" s="133"/>
      <c r="Y503" s="25"/>
    </row>
    <row r="504" ht="15.75" hidden="1" customHeight="1">
      <c r="A504" s="132"/>
      <c r="B504" s="132"/>
      <c r="C504" s="15">
        <v>1.0</v>
      </c>
      <c r="R504" s="133"/>
      <c r="Y504" s="25"/>
    </row>
    <row r="505" ht="15.75" hidden="1" customHeight="1">
      <c r="A505" s="132"/>
      <c r="B505" s="132"/>
      <c r="R505" s="133"/>
      <c r="Y505" s="25"/>
    </row>
    <row r="506" ht="15.75" hidden="1" customHeight="1">
      <c r="A506" s="132"/>
      <c r="B506" s="132"/>
      <c r="R506" s="133"/>
      <c r="Y506" s="25"/>
    </row>
    <row r="507" ht="15.75" hidden="1" customHeight="1">
      <c r="A507" s="132"/>
      <c r="B507" s="132"/>
      <c r="R507" s="133"/>
      <c r="Y507" s="25"/>
    </row>
    <row r="508" ht="15.75" hidden="1" customHeight="1">
      <c r="A508" s="132"/>
      <c r="B508" s="132"/>
      <c r="R508" s="133"/>
      <c r="Y508" s="25"/>
    </row>
    <row r="509" ht="15.75" hidden="1" customHeight="1">
      <c r="A509" s="132"/>
      <c r="B509" s="132"/>
      <c r="R509" s="133"/>
      <c r="Y509" s="25"/>
    </row>
    <row r="510" ht="15.75" hidden="1" customHeight="1">
      <c r="A510" s="132"/>
      <c r="B510" s="132"/>
      <c r="R510" s="133"/>
      <c r="Y510" s="25"/>
    </row>
    <row r="511" ht="15.75" hidden="1" customHeight="1">
      <c r="A511" s="132"/>
      <c r="B511" s="132"/>
      <c r="R511" s="133"/>
      <c r="Y511" s="25"/>
    </row>
    <row r="512" ht="15.75" hidden="1" customHeight="1">
      <c r="A512" s="132"/>
      <c r="B512" s="132"/>
      <c r="R512" s="133"/>
      <c r="Y512" s="25"/>
    </row>
    <row r="513" ht="15.75" hidden="1" customHeight="1">
      <c r="A513" s="132"/>
      <c r="B513" s="132"/>
      <c r="R513" s="133"/>
      <c r="Y513" s="25"/>
    </row>
    <row r="514" ht="15.75" hidden="1" customHeight="1">
      <c r="A514" s="132"/>
      <c r="B514" s="132"/>
      <c r="R514" s="133"/>
      <c r="Y514" s="25"/>
    </row>
    <row r="515" ht="15.75" hidden="1" customHeight="1">
      <c r="A515" s="132"/>
      <c r="B515" s="132"/>
      <c r="R515" s="133"/>
      <c r="Y515" s="25"/>
    </row>
    <row r="516" ht="15.75" hidden="1" customHeight="1">
      <c r="A516" s="132"/>
      <c r="B516" s="132"/>
      <c r="R516" s="133"/>
      <c r="Y516" s="25"/>
    </row>
    <row r="517" ht="15.75" hidden="1" customHeight="1">
      <c r="A517" s="132"/>
      <c r="B517" s="132"/>
      <c r="R517" s="133"/>
      <c r="Y517" s="25"/>
    </row>
    <row r="518" ht="15.75" hidden="1" customHeight="1">
      <c r="A518" s="132"/>
      <c r="B518" s="132"/>
      <c r="R518" s="133"/>
      <c r="Y518" s="25"/>
    </row>
    <row r="519" ht="15.75" hidden="1" customHeight="1">
      <c r="A519" s="132"/>
      <c r="B519" s="132"/>
      <c r="R519" s="133"/>
      <c r="Y519" s="25"/>
    </row>
    <row r="520" ht="15.75" hidden="1" customHeight="1">
      <c r="A520" s="132"/>
      <c r="B520" s="132"/>
      <c r="R520" s="133"/>
      <c r="Y520" s="25"/>
    </row>
    <row r="521" ht="15.75" hidden="1" customHeight="1">
      <c r="A521" s="132"/>
      <c r="B521" s="132"/>
      <c r="R521" s="133"/>
      <c r="Y521" s="25"/>
    </row>
    <row r="522" ht="15.75" hidden="1" customHeight="1">
      <c r="A522" s="132"/>
      <c r="B522" s="132"/>
      <c r="R522" s="133"/>
      <c r="Y522" s="25"/>
    </row>
    <row r="523" ht="15.75" hidden="1" customHeight="1">
      <c r="A523" s="132"/>
      <c r="B523" s="132"/>
      <c r="R523" s="133"/>
      <c r="Y523" s="25"/>
    </row>
    <row r="524" ht="15.75" hidden="1" customHeight="1">
      <c r="A524" s="132"/>
      <c r="B524" s="132"/>
      <c r="R524" s="133"/>
      <c r="Y524" s="25"/>
    </row>
    <row r="525" ht="15.75" hidden="1" customHeight="1">
      <c r="A525" s="132"/>
      <c r="B525" s="132"/>
      <c r="R525" s="133"/>
      <c r="Y525" s="25"/>
    </row>
    <row r="526" ht="15.75" hidden="1" customHeight="1">
      <c r="A526" s="132"/>
      <c r="B526" s="132"/>
      <c r="R526" s="133"/>
      <c r="Y526" s="25"/>
    </row>
    <row r="527" ht="15.75" hidden="1" customHeight="1">
      <c r="A527" s="132"/>
      <c r="B527" s="132"/>
      <c r="R527" s="133"/>
      <c r="Y527" s="25"/>
    </row>
    <row r="528" ht="15.75" hidden="1" customHeight="1">
      <c r="A528" s="132"/>
      <c r="B528" s="132"/>
      <c r="R528" s="133"/>
      <c r="Y528" s="25"/>
    </row>
    <row r="529" ht="15.75" hidden="1" customHeight="1">
      <c r="A529" s="132"/>
      <c r="B529" s="132"/>
      <c r="R529" s="133"/>
      <c r="Y529" s="25"/>
    </row>
    <row r="530" ht="15.75" hidden="1" customHeight="1">
      <c r="A530" s="132"/>
      <c r="B530" s="132"/>
      <c r="R530" s="133"/>
      <c r="Y530" s="25"/>
    </row>
    <row r="531" ht="15.75" hidden="1" customHeight="1">
      <c r="A531" s="132"/>
      <c r="B531" s="132"/>
      <c r="R531" s="133"/>
      <c r="Y531" s="25"/>
    </row>
    <row r="532" ht="15.75" hidden="1" customHeight="1">
      <c r="A532" s="132"/>
      <c r="B532" s="132"/>
      <c r="R532" s="133"/>
      <c r="Y532" s="25"/>
    </row>
    <row r="533" ht="15.75" hidden="1" customHeight="1">
      <c r="A533" s="132"/>
      <c r="B533" s="132"/>
      <c r="R533" s="133"/>
      <c r="Y533" s="25"/>
    </row>
    <row r="534" ht="15.75" hidden="1" customHeight="1">
      <c r="A534" s="132"/>
      <c r="B534" s="132"/>
      <c r="R534" s="133"/>
      <c r="Y534" s="25"/>
    </row>
    <row r="535" ht="15.75" hidden="1" customHeight="1">
      <c r="A535" s="132"/>
      <c r="B535" s="132"/>
      <c r="R535" s="133"/>
      <c r="Y535" s="25"/>
    </row>
    <row r="536" ht="15.75" hidden="1" customHeight="1">
      <c r="A536" s="132"/>
      <c r="B536" s="132"/>
      <c r="R536" s="133"/>
      <c r="Y536" s="25"/>
    </row>
    <row r="537" ht="15.75" hidden="1" customHeight="1">
      <c r="A537" s="132"/>
      <c r="B537" s="132"/>
      <c r="R537" s="133"/>
      <c r="Y537" s="25"/>
    </row>
    <row r="538" ht="15.75" hidden="1" customHeight="1">
      <c r="A538" s="132"/>
      <c r="B538" s="132"/>
      <c r="R538" s="133"/>
      <c r="Y538" s="25"/>
    </row>
    <row r="539" ht="15.75" hidden="1" customHeight="1">
      <c r="A539" s="132"/>
      <c r="B539" s="132"/>
      <c r="R539" s="133"/>
      <c r="Y539" s="25"/>
    </row>
    <row r="540" ht="15.75" hidden="1" customHeight="1">
      <c r="A540" s="132"/>
      <c r="B540" s="132"/>
      <c r="R540" s="133"/>
      <c r="Y540" s="25"/>
    </row>
    <row r="541" ht="15.75" hidden="1" customHeight="1">
      <c r="A541" s="132"/>
      <c r="B541" s="132"/>
      <c r="R541" s="133"/>
      <c r="Y541" s="25"/>
    </row>
    <row r="542" ht="15.75" hidden="1" customHeight="1">
      <c r="A542" s="132"/>
      <c r="B542" s="132"/>
      <c r="R542" s="133"/>
      <c r="Y542" s="25"/>
    </row>
    <row r="543" ht="15.75" hidden="1" customHeight="1">
      <c r="A543" s="132"/>
      <c r="B543" s="132"/>
      <c r="R543" s="133"/>
      <c r="Y543" s="25"/>
    </row>
    <row r="544" ht="15.75" hidden="1" customHeight="1">
      <c r="A544" s="132"/>
      <c r="B544" s="132"/>
      <c r="R544" s="133"/>
      <c r="Y544" s="25"/>
    </row>
    <row r="545" ht="15.75" hidden="1" customHeight="1">
      <c r="A545" s="132"/>
      <c r="B545" s="132"/>
      <c r="R545" s="133"/>
      <c r="Y545" s="25"/>
    </row>
    <row r="546" ht="15.75" hidden="1" customHeight="1">
      <c r="A546" s="132"/>
      <c r="B546" s="132"/>
      <c r="R546" s="133"/>
      <c r="Y546" s="25"/>
    </row>
    <row r="547" ht="15.75" hidden="1" customHeight="1">
      <c r="A547" s="132"/>
      <c r="B547" s="132"/>
      <c r="R547" s="133"/>
      <c r="Y547" s="25"/>
    </row>
    <row r="548" ht="15.75" hidden="1" customHeight="1">
      <c r="A548" s="132"/>
      <c r="B548" s="132"/>
      <c r="R548" s="133"/>
      <c r="Y548" s="25"/>
    </row>
    <row r="549" ht="15.75" hidden="1" customHeight="1">
      <c r="A549" s="132"/>
      <c r="B549" s="132"/>
      <c r="R549" s="133"/>
      <c r="Y549" s="25"/>
    </row>
    <row r="550" ht="15.75" hidden="1" customHeight="1">
      <c r="A550" s="132"/>
      <c r="B550" s="132"/>
      <c r="R550" s="133"/>
      <c r="Y550" s="25"/>
    </row>
    <row r="551" ht="15.75" hidden="1" customHeight="1">
      <c r="A551" s="132"/>
      <c r="B551" s="132"/>
      <c r="R551" s="133"/>
      <c r="Y551" s="25"/>
    </row>
    <row r="552" ht="15.75" hidden="1" customHeight="1">
      <c r="A552" s="132"/>
      <c r="B552" s="132"/>
      <c r="R552" s="133"/>
      <c r="Y552" s="25"/>
    </row>
    <row r="553" ht="15.75" hidden="1" customHeight="1">
      <c r="A553" s="132"/>
      <c r="B553" s="132"/>
      <c r="R553" s="133"/>
      <c r="Y553" s="25"/>
    </row>
    <row r="554" ht="15.75" hidden="1" customHeight="1">
      <c r="A554" s="132"/>
      <c r="B554" s="132"/>
      <c r="R554" s="133"/>
      <c r="Y554" s="25"/>
    </row>
    <row r="555" ht="15.75" hidden="1" customHeight="1">
      <c r="A555" s="132"/>
      <c r="B555" s="132"/>
      <c r="R555" s="133"/>
      <c r="Y555" s="25"/>
    </row>
    <row r="556" ht="15.75" hidden="1" customHeight="1">
      <c r="A556" s="132"/>
      <c r="B556" s="132"/>
      <c r="R556" s="133"/>
      <c r="Y556" s="25"/>
    </row>
    <row r="557" ht="15.75" hidden="1" customHeight="1">
      <c r="A557" s="132"/>
      <c r="B557" s="132"/>
      <c r="R557" s="133"/>
      <c r="Y557" s="25"/>
    </row>
    <row r="558" ht="15.75" hidden="1" customHeight="1">
      <c r="A558" s="132"/>
      <c r="B558" s="132"/>
      <c r="R558" s="133"/>
      <c r="Y558" s="25"/>
    </row>
    <row r="559" ht="15.75" hidden="1" customHeight="1">
      <c r="A559" s="132"/>
      <c r="B559" s="132"/>
      <c r="R559" s="133"/>
      <c r="Y559" s="25"/>
    </row>
    <row r="560" ht="15.75" hidden="1" customHeight="1">
      <c r="A560" s="132"/>
      <c r="B560" s="132"/>
      <c r="R560" s="133"/>
      <c r="Y560" s="25"/>
    </row>
    <row r="561" ht="15.75" hidden="1" customHeight="1">
      <c r="A561" s="132"/>
      <c r="B561" s="132"/>
      <c r="R561" s="133"/>
      <c r="Y561" s="25"/>
    </row>
    <row r="562" ht="15.75" hidden="1" customHeight="1">
      <c r="A562" s="132"/>
      <c r="B562" s="132"/>
      <c r="R562" s="133"/>
      <c r="Y562" s="25"/>
    </row>
    <row r="563" ht="15.75" hidden="1" customHeight="1">
      <c r="A563" s="132"/>
      <c r="B563" s="132"/>
      <c r="R563" s="133"/>
      <c r="Y563" s="25"/>
    </row>
    <row r="564" ht="15.75" hidden="1" customHeight="1">
      <c r="A564" s="132"/>
      <c r="B564" s="132"/>
      <c r="R564" s="133"/>
      <c r="Y564" s="25"/>
    </row>
    <row r="565" ht="15.75" hidden="1" customHeight="1">
      <c r="A565" s="132"/>
      <c r="B565" s="132"/>
      <c r="R565" s="133"/>
      <c r="Y565" s="25"/>
    </row>
    <row r="566" ht="15.75" hidden="1" customHeight="1">
      <c r="A566" s="132"/>
      <c r="B566" s="132"/>
      <c r="R566" s="133"/>
      <c r="Y566" s="25"/>
    </row>
    <row r="567" ht="15.75" hidden="1" customHeight="1">
      <c r="A567" s="132"/>
      <c r="B567" s="132"/>
      <c r="R567" s="133"/>
      <c r="Y567" s="25"/>
    </row>
    <row r="568" ht="15.75" hidden="1" customHeight="1">
      <c r="A568" s="132"/>
      <c r="B568" s="132"/>
      <c r="R568" s="133"/>
      <c r="Y568" s="25"/>
    </row>
    <row r="569" ht="15.75" hidden="1" customHeight="1">
      <c r="A569" s="132"/>
      <c r="B569" s="132"/>
      <c r="R569" s="133"/>
      <c r="Y569" s="25"/>
    </row>
    <row r="570" ht="15.75" hidden="1" customHeight="1">
      <c r="A570" s="132"/>
      <c r="B570" s="132"/>
      <c r="R570" s="133"/>
      <c r="Y570" s="25"/>
    </row>
    <row r="571" ht="15.75" hidden="1" customHeight="1">
      <c r="A571" s="132"/>
      <c r="B571" s="132"/>
      <c r="R571" s="133"/>
      <c r="Y571" s="25"/>
    </row>
    <row r="572" ht="15.75" hidden="1" customHeight="1">
      <c r="A572" s="132"/>
      <c r="B572" s="132"/>
      <c r="R572" s="133"/>
      <c r="Y572" s="25"/>
    </row>
    <row r="573" ht="15.75" hidden="1" customHeight="1">
      <c r="A573" s="132"/>
      <c r="B573" s="132"/>
      <c r="R573" s="133"/>
      <c r="Y573" s="25"/>
    </row>
    <row r="574" ht="15.75" hidden="1" customHeight="1">
      <c r="A574" s="132"/>
      <c r="B574" s="132"/>
      <c r="R574" s="133"/>
      <c r="Y574" s="25"/>
    </row>
    <row r="575" ht="15.75" hidden="1" customHeight="1">
      <c r="A575" s="132"/>
      <c r="B575" s="132"/>
      <c r="R575" s="133"/>
      <c r="Y575" s="25"/>
    </row>
    <row r="576" ht="15.75" hidden="1" customHeight="1">
      <c r="A576" s="132"/>
      <c r="B576" s="132"/>
      <c r="R576" s="133"/>
      <c r="Y576" s="25"/>
    </row>
    <row r="577" ht="15.75" hidden="1" customHeight="1">
      <c r="A577" s="132"/>
      <c r="B577" s="132"/>
      <c r="R577" s="133"/>
      <c r="Y577" s="25"/>
    </row>
    <row r="578" ht="15.75" hidden="1" customHeight="1">
      <c r="A578" s="132"/>
      <c r="B578" s="132"/>
      <c r="R578" s="133"/>
      <c r="Y578" s="25"/>
    </row>
    <row r="579" ht="15.75" hidden="1" customHeight="1">
      <c r="A579" s="132"/>
      <c r="B579" s="132"/>
      <c r="R579" s="133"/>
      <c r="Y579" s="25"/>
    </row>
    <row r="580" ht="15.75" hidden="1" customHeight="1">
      <c r="A580" s="132"/>
      <c r="B580" s="132"/>
      <c r="R580" s="133"/>
      <c r="Y580" s="25"/>
    </row>
    <row r="581" ht="15.75" hidden="1" customHeight="1">
      <c r="A581" s="132"/>
      <c r="B581" s="132"/>
      <c r="R581" s="133"/>
      <c r="Y581" s="25"/>
    </row>
    <row r="582" ht="15.75" hidden="1" customHeight="1">
      <c r="A582" s="132"/>
      <c r="B582" s="132"/>
      <c r="R582" s="133"/>
      <c r="Y582" s="25"/>
    </row>
    <row r="583" ht="15.75" hidden="1" customHeight="1">
      <c r="A583" s="132"/>
      <c r="B583" s="132"/>
      <c r="R583" s="133"/>
      <c r="Y583" s="25"/>
    </row>
    <row r="584" ht="15.75" hidden="1" customHeight="1">
      <c r="A584" s="132"/>
      <c r="B584" s="132"/>
      <c r="R584" s="133"/>
      <c r="Y584" s="25"/>
    </row>
    <row r="585" ht="15.75" hidden="1" customHeight="1">
      <c r="A585" s="132"/>
      <c r="B585" s="132"/>
      <c r="R585" s="133"/>
      <c r="Y585" s="25"/>
    </row>
    <row r="586" ht="15.75" hidden="1" customHeight="1">
      <c r="A586" s="132"/>
      <c r="B586" s="132"/>
      <c r="R586" s="133"/>
      <c r="Y586" s="25"/>
    </row>
    <row r="587" ht="15.75" hidden="1" customHeight="1">
      <c r="A587" s="132"/>
      <c r="B587" s="132"/>
      <c r="R587" s="133"/>
      <c r="Y587" s="25"/>
    </row>
    <row r="588" ht="15.75" hidden="1" customHeight="1">
      <c r="A588" s="132"/>
      <c r="B588" s="132"/>
      <c r="R588" s="133"/>
      <c r="Y588" s="25"/>
    </row>
    <row r="589" ht="15.75" hidden="1" customHeight="1">
      <c r="A589" s="132"/>
      <c r="B589" s="132"/>
      <c r="R589" s="133"/>
      <c r="Y589" s="25"/>
    </row>
    <row r="590" ht="15.75" hidden="1" customHeight="1">
      <c r="A590" s="132"/>
      <c r="B590" s="132"/>
      <c r="R590" s="133"/>
      <c r="Y590" s="25"/>
    </row>
    <row r="591" ht="15.75" hidden="1" customHeight="1">
      <c r="A591" s="132"/>
      <c r="B591" s="132"/>
      <c r="R591" s="133"/>
      <c r="Y591" s="25"/>
    </row>
    <row r="592" ht="15.75" hidden="1" customHeight="1">
      <c r="A592" s="132"/>
      <c r="B592" s="132"/>
      <c r="R592" s="133"/>
      <c r="Y592" s="25"/>
    </row>
    <row r="593" ht="15.75" hidden="1" customHeight="1">
      <c r="A593" s="132"/>
      <c r="B593" s="132"/>
      <c r="R593" s="133"/>
      <c r="Y593" s="25"/>
    </row>
    <row r="594" ht="15.75" hidden="1" customHeight="1">
      <c r="A594" s="132"/>
      <c r="B594" s="132"/>
      <c r="R594" s="133"/>
      <c r="Y594" s="25"/>
    </row>
    <row r="595" ht="15.75" hidden="1" customHeight="1">
      <c r="A595" s="132"/>
      <c r="B595" s="132"/>
      <c r="R595" s="133"/>
      <c r="Y595" s="25"/>
    </row>
    <row r="596" ht="15.75" hidden="1" customHeight="1">
      <c r="A596" s="132"/>
      <c r="B596" s="132"/>
      <c r="R596" s="133"/>
      <c r="Y596" s="25"/>
    </row>
    <row r="597" ht="15.75" hidden="1" customHeight="1">
      <c r="A597" s="132"/>
      <c r="B597" s="132"/>
      <c r="R597" s="133"/>
      <c r="Y597" s="25"/>
    </row>
    <row r="598" ht="15.75" hidden="1" customHeight="1">
      <c r="A598" s="132"/>
      <c r="B598" s="132"/>
      <c r="R598" s="133"/>
      <c r="Y598" s="25"/>
    </row>
    <row r="599" ht="15.75" hidden="1" customHeight="1">
      <c r="A599" s="132"/>
      <c r="B599" s="132"/>
      <c r="R599" s="133"/>
      <c r="Y599" s="25"/>
    </row>
    <row r="600" ht="15.75" hidden="1" customHeight="1">
      <c r="A600" s="132"/>
      <c r="B600" s="132"/>
      <c r="R600" s="133"/>
      <c r="Y600" s="25"/>
    </row>
    <row r="601" ht="15.75" hidden="1" customHeight="1">
      <c r="A601" s="132"/>
      <c r="B601" s="132"/>
      <c r="R601" s="133"/>
      <c r="Y601" s="25"/>
    </row>
    <row r="602" ht="15.75" hidden="1" customHeight="1">
      <c r="A602" s="132"/>
      <c r="B602" s="132"/>
      <c r="R602" s="133"/>
      <c r="Y602" s="25"/>
    </row>
    <row r="603" ht="15.75" hidden="1" customHeight="1">
      <c r="A603" s="132"/>
      <c r="B603" s="132"/>
      <c r="R603" s="133"/>
      <c r="Y603" s="25"/>
    </row>
    <row r="604" ht="15.75" hidden="1" customHeight="1">
      <c r="A604" s="132"/>
      <c r="B604" s="132"/>
      <c r="R604" s="133"/>
      <c r="Y604" s="25"/>
    </row>
    <row r="605" ht="15.75" hidden="1" customHeight="1">
      <c r="A605" s="132"/>
      <c r="B605" s="132"/>
      <c r="R605" s="133"/>
      <c r="Y605" s="25"/>
    </row>
    <row r="606" ht="15.75" hidden="1" customHeight="1">
      <c r="A606" s="132"/>
      <c r="B606" s="132"/>
      <c r="R606" s="133"/>
      <c r="Y606" s="25"/>
    </row>
    <row r="607" ht="15.75" hidden="1" customHeight="1">
      <c r="A607" s="132"/>
      <c r="B607" s="132"/>
      <c r="R607" s="133"/>
      <c r="Y607" s="25"/>
    </row>
    <row r="608" ht="15.75" hidden="1" customHeight="1">
      <c r="A608" s="132"/>
      <c r="B608" s="132"/>
      <c r="R608" s="133"/>
      <c r="Y608" s="25"/>
    </row>
    <row r="609" ht="15.75" hidden="1" customHeight="1">
      <c r="A609" s="132"/>
      <c r="B609" s="132"/>
      <c r="R609" s="133"/>
      <c r="Y609" s="25"/>
    </row>
    <row r="610" ht="15.75" hidden="1" customHeight="1">
      <c r="A610" s="132"/>
      <c r="B610" s="132"/>
      <c r="R610" s="133"/>
      <c r="Y610" s="25"/>
    </row>
    <row r="611" ht="15.75" hidden="1" customHeight="1">
      <c r="A611" s="132"/>
      <c r="B611" s="132"/>
      <c r="R611" s="133"/>
      <c r="Y611" s="25"/>
    </row>
    <row r="612" ht="15.75" hidden="1" customHeight="1">
      <c r="A612" s="132"/>
      <c r="B612" s="132"/>
      <c r="R612" s="133"/>
      <c r="Y612" s="25"/>
    </row>
    <row r="613" ht="15.75" hidden="1" customHeight="1">
      <c r="A613" s="132"/>
      <c r="B613" s="132"/>
      <c r="R613" s="133"/>
      <c r="Y613" s="25"/>
    </row>
    <row r="614" ht="15.75" hidden="1" customHeight="1">
      <c r="A614" s="132"/>
      <c r="B614" s="132"/>
      <c r="R614" s="133"/>
      <c r="Y614" s="25"/>
    </row>
    <row r="615" ht="15.75" hidden="1" customHeight="1">
      <c r="A615" s="132"/>
      <c r="B615" s="132"/>
      <c r="R615" s="133"/>
      <c r="Y615" s="25"/>
    </row>
    <row r="616" ht="15.75" hidden="1" customHeight="1">
      <c r="A616" s="132"/>
      <c r="B616" s="132"/>
      <c r="R616" s="133"/>
      <c r="Y616" s="25"/>
    </row>
    <row r="617" ht="15.75" hidden="1" customHeight="1">
      <c r="A617" s="132"/>
      <c r="B617" s="132"/>
      <c r="R617" s="133"/>
      <c r="Y617" s="25"/>
    </row>
    <row r="618" ht="15.75" hidden="1" customHeight="1">
      <c r="A618" s="132"/>
      <c r="B618" s="132"/>
      <c r="R618" s="133"/>
      <c r="Y618" s="25"/>
    </row>
    <row r="619" ht="15.75" hidden="1" customHeight="1">
      <c r="A619" s="132"/>
      <c r="B619" s="132"/>
      <c r="R619" s="133"/>
      <c r="Y619" s="25"/>
    </row>
    <row r="620" ht="15.75" hidden="1" customHeight="1">
      <c r="A620" s="132"/>
      <c r="B620" s="132"/>
      <c r="R620" s="133"/>
      <c r="Y620" s="25"/>
    </row>
    <row r="621" ht="15.75" hidden="1" customHeight="1">
      <c r="A621" s="132"/>
      <c r="B621" s="132"/>
      <c r="R621" s="133"/>
      <c r="Y621" s="25"/>
    </row>
    <row r="622" ht="15.75" hidden="1" customHeight="1">
      <c r="A622" s="132"/>
      <c r="B622" s="132"/>
      <c r="R622" s="133"/>
      <c r="Y622" s="25"/>
    </row>
    <row r="623" ht="15.75" hidden="1" customHeight="1">
      <c r="A623" s="132"/>
      <c r="B623" s="132"/>
      <c r="R623" s="133"/>
      <c r="Y623" s="25"/>
    </row>
    <row r="624" ht="15.75" hidden="1" customHeight="1">
      <c r="A624" s="132"/>
      <c r="B624" s="132"/>
      <c r="R624" s="133"/>
      <c r="Y624" s="25"/>
    </row>
    <row r="625" ht="15.75" hidden="1" customHeight="1">
      <c r="A625" s="132"/>
      <c r="B625" s="132"/>
      <c r="R625" s="133"/>
      <c r="Y625" s="25"/>
    </row>
    <row r="626" ht="15.75" hidden="1" customHeight="1">
      <c r="A626" s="132"/>
      <c r="B626" s="132"/>
      <c r="R626" s="133"/>
      <c r="Y626" s="25"/>
    </row>
    <row r="627" ht="15.75" hidden="1" customHeight="1">
      <c r="A627" s="132"/>
      <c r="B627" s="132"/>
      <c r="R627" s="133"/>
      <c r="Y627" s="25"/>
    </row>
    <row r="628" ht="15.75" hidden="1" customHeight="1">
      <c r="A628" s="132"/>
      <c r="B628" s="132"/>
      <c r="R628" s="133"/>
      <c r="Y628" s="25"/>
    </row>
    <row r="629" ht="15.75" hidden="1" customHeight="1">
      <c r="A629" s="132"/>
      <c r="B629" s="132"/>
      <c r="R629" s="133"/>
      <c r="Y629" s="25"/>
    </row>
    <row r="630" ht="15.75" hidden="1" customHeight="1">
      <c r="A630" s="132"/>
      <c r="B630" s="132"/>
      <c r="R630" s="133"/>
      <c r="Y630" s="25"/>
    </row>
    <row r="631" ht="15.75" hidden="1" customHeight="1">
      <c r="A631" s="132"/>
      <c r="B631" s="132"/>
      <c r="R631" s="133"/>
      <c r="Y631" s="25"/>
    </row>
    <row r="632" ht="15.75" hidden="1" customHeight="1">
      <c r="A632" s="132"/>
      <c r="B632" s="132"/>
      <c r="R632" s="133"/>
      <c r="Y632" s="25"/>
    </row>
    <row r="633" ht="15.75" hidden="1" customHeight="1">
      <c r="A633" s="132"/>
      <c r="B633" s="132"/>
      <c r="R633" s="133"/>
      <c r="Y633" s="25"/>
    </row>
    <row r="634" ht="15.75" hidden="1" customHeight="1">
      <c r="A634" s="132"/>
      <c r="B634" s="132"/>
      <c r="R634" s="133"/>
      <c r="Y634" s="25"/>
    </row>
    <row r="635" ht="15.75" hidden="1" customHeight="1">
      <c r="A635" s="132"/>
      <c r="B635" s="132"/>
      <c r="R635" s="133"/>
      <c r="Y635" s="25"/>
    </row>
    <row r="636" ht="15.75" hidden="1" customHeight="1">
      <c r="A636" s="132"/>
      <c r="B636" s="132"/>
      <c r="R636" s="133"/>
      <c r="Y636" s="25"/>
    </row>
    <row r="637" ht="15.75" hidden="1" customHeight="1">
      <c r="A637" s="132"/>
      <c r="B637" s="132"/>
      <c r="R637" s="133"/>
      <c r="Y637" s="25"/>
    </row>
    <row r="638" ht="15.75" hidden="1" customHeight="1">
      <c r="A638" s="132"/>
      <c r="B638" s="132"/>
      <c r="R638" s="133"/>
      <c r="Y638" s="25"/>
    </row>
    <row r="639" ht="15.75" hidden="1" customHeight="1">
      <c r="A639" s="132"/>
      <c r="B639" s="132"/>
      <c r="R639" s="133"/>
      <c r="Y639" s="25"/>
    </row>
    <row r="640" ht="15.75" hidden="1" customHeight="1">
      <c r="A640" s="132"/>
      <c r="B640" s="132"/>
      <c r="R640" s="133"/>
      <c r="Y640" s="25"/>
    </row>
    <row r="641" ht="15.75" hidden="1" customHeight="1">
      <c r="A641" s="132"/>
      <c r="B641" s="132"/>
      <c r="R641" s="133"/>
      <c r="Y641" s="25"/>
    </row>
    <row r="642" ht="15.75" hidden="1" customHeight="1">
      <c r="A642" s="132"/>
      <c r="B642" s="132"/>
      <c r="R642" s="133"/>
      <c r="Y642" s="25"/>
    </row>
    <row r="643" ht="15.75" hidden="1" customHeight="1">
      <c r="A643" s="132"/>
      <c r="B643" s="132"/>
      <c r="R643" s="133"/>
      <c r="Y643" s="25"/>
    </row>
    <row r="644" ht="15.75" hidden="1" customHeight="1">
      <c r="A644" s="132"/>
      <c r="B644" s="132"/>
      <c r="R644" s="133"/>
      <c r="Y644" s="25"/>
    </row>
    <row r="645" ht="15.75" hidden="1" customHeight="1">
      <c r="A645" s="132"/>
      <c r="B645" s="132"/>
      <c r="R645" s="133"/>
      <c r="Y645" s="25"/>
    </row>
    <row r="646" ht="15.75" hidden="1" customHeight="1">
      <c r="A646" s="132"/>
      <c r="B646" s="132"/>
      <c r="R646" s="133"/>
      <c r="Y646" s="25"/>
    </row>
    <row r="647" ht="15.75" hidden="1" customHeight="1">
      <c r="A647" s="132"/>
      <c r="B647" s="132"/>
      <c r="R647" s="133"/>
      <c r="Y647" s="25"/>
    </row>
    <row r="648" ht="15.75" hidden="1" customHeight="1">
      <c r="A648" s="132"/>
      <c r="B648" s="132"/>
      <c r="R648" s="133"/>
      <c r="Y648" s="25"/>
    </row>
    <row r="649" ht="15.75" hidden="1" customHeight="1">
      <c r="A649" s="132"/>
      <c r="B649" s="132"/>
      <c r="R649" s="133"/>
      <c r="Y649" s="25"/>
    </row>
    <row r="650" ht="15.75" hidden="1" customHeight="1">
      <c r="A650" s="132"/>
      <c r="B650" s="132"/>
      <c r="R650" s="133"/>
      <c r="Y650" s="25"/>
    </row>
    <row r="651" ht="15.75" hidden="1" customHeight="1">
      <c r="A651" s="132"/>
      <c r="B651" s="132"/>
      <c r="R651" s="133"/>
      <c r="Y651" s="25"/>
    </row>
    <row r="652" ht="15.75" hidden="1" customHeight="1">
      <c r="A652" s="132"/>
      <c r="B652" s="132"/>
      <c r="R652" s="133"/>
      <c r="Y652" s="25"/>
    </row>
    <row r="653" ht="15.75" hidden="1" customHeight="1">
      <c r="A653" s="132"/>
      <c r="B653" s="132"/>
      <c r="R653" s="133"/>
      <c r="Y653" s="25"/>
    </row>
    <row r="654" ht="15.75" hidden="1" customHeight="1">
      <c r="A654" s="132"/>
      <c r="B654" s="132"/>
      <c r="R654" s="133"/>
      <c r="Y654" s="25"/>
    </row>
    <row r="655" ht="15.75" hidden="1" customHeight="1">
      <c r="A655" s="132"/>
      <c r="B655" s="132"/>
      <c r="R655" s="133"/>
      <c r="Y655" s="25"/>
    </row>
    <row r="656" ht="15.75" hidden="1" customHeight="1">
      <c r="A656" s="132"/>
      <c r="B656" s="132"/>
      <c r="R656" s="133"/>
      <c r="Y656" s="25"/>
    </row>
    <row r="657" ht="15.75" hidden="1" customHeight="1">
      <c r="A657" s="132"/>
      <c r="B657" s="132"/>
      <c r="R657" s="133"/>
      <c r="Y657" s="25"/>
    </row>
    <row r="658" ht="15.75" hidden="1" customHeight="1">
      <c r="A658" s="132"/>
      <c r="B658" s="132"/>
      <c r="R658" s="133"/>
      <c r="Y658" s="25"/>
    </row>
    <row r="659" ht="15.75" hidden="1" customHeight="1">
      <c r="A659" s="132"/>
      <c r="B659" s="132"/>
      <c r="R659" s="133"/>
      <c r="Y659" s="25"/>
    </row>
    <row r="660" ht="15.75" hidden="1" customHeight="1">
      <c r="A660" s="132"/>
      <c r="B660" s="132"/>
      <c r="R660" s="133"/>
      <c r="Y660" s="25"/>
    </row>
    <row r="661" ht="15.75" hidden="1" customHeight="1">
      <c r="A661" s="132"/>
      <c r="B661" s="132"/>
      <c r="R661" s="133"/>
      <c r="Y661" s="25"/>
    </row>
    <row r="662" ht="15.75" hidden="1" customHeight="1">
      <c r="A662" s="132"/>
      <c r="B662" s="132"/>
      <c r="R662" s="133"/>
      <c r="Y662" s="25"/>
    </row>
    <row r="663" ht="15.75" hidden="1" customHeight="1">
      <c r="A663" s="132"/>
      <c r="B663" s="132"/>
      <c r="R663" s="133"/>
      <c r="Y663" s="25"/>
    </row>
    <row r="664" ht="15.75" hidden="1" customHeight="1">
      <c r="A664" s="132"/>
      <c r="B664" s="132"/>
      <c r="R664" s="133"/>
      <c r="Y664" s="25"/>
    </row>
    <row r="665" ht="15.75" hidden="1" customHeight="1">
      <c r="A665" s="132"/>
      <c r="B665" s="132"/>
      <c r="R665" s="133"/>
      <c r="Y665" s="25"/>
    </row>
    <row r="666" ht="15.75" hidden="1" customHeight="1">
      <c r="A666" s="132"/>
      <c r="B666" s="132"/>
      <c r="R666" s="133"/>
      <c r="Y666" s="25"/>
    </row>
    <row r="667" ht="15.75" hidden="1" customHeight="1">
      <c r="A667" s="132"/>
      <c r="B667" s="132"/>
      <c r="R667" s="133"/>
      <c r="Y667" s="25"/>
    </row>
    <row r="668" ht="15.75" hidden="1" customHeight="1">
      <c r="A668" s="132"/>
      <c r="B668" s="132"/>
      <c r="R668" s="133"/>
      <c r="Y668" s="25"/>
    </row>
    <row r="669" ht="15.75" hidden="1" customHeight="1">
      <c r="A669" s="132"/>
      <c r="B669" s="132"/>
      <c r="R669" s="133"/>
      <c r="Y669" s="25"/>
    </row>
    <row r="670" ht="15.75" hidden="1" customHeight="1">
      <c r="A670" s="132"/>
      <c r="B670" s="132"/>
      <c r="R670" s="133"/>
      <c r="Y670" s="25"/>
    </row>
    <row r="671" ht="15.75" hidden="1" customHeight="1">
      <c r="A671" s="132"/>
      <c r="B671" s="132"/>
      <c r="R671" s="133"/>
      <c r="Y671" s="25"/>
    </row>
    <row r="672" ht="15.75" hidden="1" customHeight="1">
      <c r="A672" s="132"/>
      <c r="B672" s="132"/>
      <c r="R672" s="133"/>
      <c r="Y672" s="25"/>
    </row>
    <row r="673" ht="15.75" hidden="1" customHeight="1">
      <c r="A673" s="132"/>
      <c r="B673" s="132"/>
      <c r="R673" s="133"/>
      <c r="Y673" s="25"/>
    </row>
    <row r="674" ht="15.75" hidden="1" customHeight="1">
      <c r="A674" s="132"/>
      <c r="B674" s="132"/>
      <c r="R674" s="133"/>
      <c r="Y674" s="25"/>
    </row>
    <row r="675" ht="15.75" hidden="1" customHeight="1">
      <c r="A675" s="132"/>
      <c r="B675" s="132"/>
      <c r="R675" s="133"/>
      <c r="Y675" s="25"/>
    </row>
    <row r="676" ht="15.75" hidden="1" customHeight="1">
      <c r="A676" s="132"/>
      <c r="B676" s="132"/>
      <c r="R676" s="133"/>
      <c r="Y676" s="25"/>
    </row>
    <row r="677" ht="15.75" hidden="1" customHeight="1">
      <c r="A677" s="132"/>
      <c r="B677" s="132"/>
      <c r="R677" s="133"/>
      <c r="Y677" s="25"/>
    </row>
    <row r="678" ht="15.75" hidden="1" customHeight="1">
      <c r="A678" s="132"/>
      <c r="B678" s="132"/>
      <c r="R678" s="133"/>
      <c r="Y678" s="25"/>
    </row>
    <row r="679" ht="15.75" hidden="1" customHeight="1">
      <c r="A679" s="132"/>
      <c r="B679" s="132"/>
      <c r="R679" s="133"/>
      <c r="Y679" s="25"/>
    </row>
    <row r="680" ht="15.75" hidden="1" customHeight="1">
      <c r="A680" s="132"/>
      <c r="B680" s="132"/>
      <c r="R680" s="133"/>
      <c r="Y680" s="25"/>
    </row>
    <row r="681" ht="15.75" hidden="1" customHeight="1">
      <c r="A681" s="132"/>
      <c r="B681" s="132"/>
      <c r="R681" s="133"/>
      <c r="Y681" s="25"/>
    </row>
    <row r="682" ht="15.75" hidden="1" customHeight="1">
      <c r="A682" s="132"/>
      <c r="B682" s="132"/>
      <c r="R682" s="133"/>
      <c r="Y682" s="25"/>
    </row>
    <row r="683" ht="15.75" hidden="1" customHeight="1">
      <c r="A683" s="132"/>
      <c r="B683" s="132"/>
      <c r="R683" s="133"/>
      <c r="Y683" s="25"/>
    </row>
    <row r="684" ht="15.75" hidden="1" customHeight="1">
      <c r="A684" s="132"/>
      <c r="B684" s="132"/>
      <c r="R684" s="133"/>
      <c r="Y684" s="25"/>
    </row>
    <row r="685" ht="15.75" hidden="1" customHeight="1">
      <c r="A685" s="132"/>
      <c r="B685" s="132"/>
      <c r="R685" s="133"/>
      <c r="Y685" s="25"/>
    </row>
    <row r="686" ht="15.75" hidden="1" customHeight="1">
      <c r="A686" s="132"/>
      <c r="B686" s="132"/>
      <c r="R686" s="133"/>
      <c r="Y686" s="25"/>
    </row>
    <row r="687" ht="15.75" hidden="1" customHeight="1">
      <c r="A687" s="132"/>
      <c r="B687" s="132"/>
      <c r="R687" s="133"/>
      <c r="Y687" s="25"/>
    </row>
    <row r="688" ht="15.75" hidden="1" customHeight="1">
      <c r="A688" s="132"/>
      <c r="B688" s="132"/>
      <c r="R688" s="133"/>
      <c r="Y688" s="25"/>
    </row>
    <row r="689" ht="15.75" hidden="1" customHeight="1">
      <c r="A689" s="132"/>
      <c r="B689" s="132"/>
      <c r="R689" s="133"/>
      <c r="Y689" s="25"/>
    </row>
    <row r="690" ht="15.75" hidden="1" customHeight="1">
      <c r="A690" s="132"/>
      <c r="B690" s="132"/>
      <c r="R690" s="133"/>
      <c r="Y690" s="25"/>
    </row>
    <row r="691" ht="15.75" hidden="1" customHeight="1">
      <c r="A691" s="132"/>
      <c r="B691" s="132"/>
      <c r="R691" s="133"/>
      <c r="Y691" s="25"/>
    </row>
    <row r="692" ht="15.75" hidden="1" customHeight="1">
      <c r="A692" s="132"/>
      <c r="B692" s="132"/>
      <c r="R692" s="133"/>
      <c r="Y692" s="25"/>
    </row>
    <row r="693" ht="15.75" hidden="1" customHeight="1">
      <c r="A693" s="132"/>
      <c r="B693" s="132"/>
      <c r="R693" s="133"/>
      <c r="Y693" s="25"/>
    </row>
    <row r="694" ht="15.75" hidden="1" customHeight="1">
      <c r="A694" s="132"/>
      <c r="B694" s="132"/>
      <c r="R694" s="133"/>
      <c r="Y694" s="25"/>
    </row>
    <row r="695" ht="15.75" hidden="1" customHeight="1">
      <c r="A695" s="132"/>
      <c r="B695" s="132"/>
      <c r="R695" s="133"/>
      <c r="Y695" s="25"/>
    </row>
    <row r="696" ht="15.75" hidden="1" customHeight="1">
      <c r="A696" s="132"/>
      <c r="B696" s="132"/>
      <c r="R696" s="133"/>
      <c r="Y696" s="25"/>
    </row>
    <row r="697" ht="15.75" hidden="1" customHeight="1">
      <c r="A697" s="132"/>
      <c r="B697" s="132"/>
      <c r="R697" s="133"/>
      <c r="Y697" s="25"/>
    </row>
    <row r="698" ht="15.75" hidden="1" customHeight="1">
      <c r="A698" s="132"/>
      <c r="B698" s="132"/>
      <c r="R698" s="133"/>
      <c r="Y698" s="25"/>
    </row>
    <row r="699" ht="15.75" hidden="1" customHeight="1">
      <c r="A699" s="132"/>
      <c r="B699" s="132"/>
      <c r="R699" s="133"/>
      <c r="Y699" s="25"/>
    </row>
    <row r="700" ht="15.75" hidden="1" customHeight="1">
      <c r="A700" s="132"/>
      <c r="B700" s="132"/>
      <c r="R700" s="133"/>
      <c r="Y700" s="25"/>
    </row>
    <row r="701" ht="15.75" hidden="1" customHeight="1">
      <c r="A701" s="132"/>
      <c r="B701" s="132"/>
      <c r="R701" s="133"/>
      <c r="Y701" s="25"/>
    </row>
    <row r="702" ht="15.75" hidden="1" customHeight="1">
      <c r="A702" s="132"/>
      <c r="B702" s="132"/>
      <c r="R702" s="133"/>
      <c r="Y702" s="25"/>
    </row>
    <row r="703" ht="15.75" hidden="1" customHeight="1">
      <c r="A703" s="132"/>
      <c r="B703" s="132"/>
      <c r="R703" s="133"/>
      <c r="Y703" s="25"/>
    </row>
    <row r="704" ht="15.75" hidden="1" customHeight="1">
      <c r="A704" s="132"/>
      <c r="B704" s="132"/>
      <c r="R704" s="133"/>
      <c r="Y704" s="25"/>
    </row>
    <row r="705" ht="15.75" hidden="1" customHeight="1">
      <c r="A705" s="132"/>
      <c r="B705" s="132"/>
      <c r="R705" s="133"/>
      <c r="Y705" s="25"/>
    </row>
    <row r="706" ht="15.75" hidden="1" customHeight="1">
      <c r="A706" s="132"/>
      <c r="B706" s="132"/>
      <c r="R706" s="133"/>
      <c r="Y706" s="25"/>
    </row>
    <row r="707" ht="15.75" hidden="1" customHeight="1">
      <c r="A707" s="132"/>
      <c r="B707" s="132"/>
      <c r="R707" s="133"/>
      <c r="Y707" s="25"/>
    </row>
    <row r="708" ht="15.75" hidden="1" customHeight="1">
      <c r="A708" s="132"/>
      <c r="B708" s="132"/>
      <c r="R708" s="133"/>
      <c r="Y708" s="25"/>
    </row>
    <row r="709" ht="15.75" hidden="1" customHeight="1">
      <c r="A709" s="132"/>
      <c r="B709" s="132"/>
      <c r="R709" s="133"/>
      <c r="Y709" s="25"/>
    </row>
    <row r="710" ht="15.75" hidden="1" customHeight="1">
      <c r="A710" s="132"/>
      <c r="B710" s="132"/>
      <c r="R710" s="133"/>
      <c r="Y710" s="25"/>
    </row>
    <row r="711" ht="15.75" hidden="1" customHeight="1">
      <c r="A711" s="132"/>
      <c r="B711" s="132"/>
      <c r="R711" s="133"/>
      <c r="Y711" s="25"/>
    </row>
    <row r="712" ht="15.75" hidden="1" customHeight="1">
      <c r="A712" s="132"/>
      <c r="B712" s="132"/>
      <c r="R712" s="133"/>
      <c r="Y712" s="25"/>
    </row>
    <row r="713" ht="15.75" hidden="1" customHeight="1">
      <c r="A713" s="132"/>
      <c r="B713" s="132"/>
      <c r="R713" s="133"/>
      <c r="Y713" s="25"/>
    </row>
    <row r="714" ht="15.75" hidden="1" customHeight="1">
      <c r="A714" s="132"/>
      <c r="B714" s="132"/>
      <c r="R714" s="133"/>
      <c r="Y714" s="25"/>
    </row>
    <row r="715" ht="15.75" hidden="1" customHeight="1">
      <c r="A715" s="132"/>
      <c r="B715" s="132"/>
      <c r="R715" s="133"/>
      <c r="Y715" s="25"/>
    </row>
    <row r="716" ht="15.75" hidden="1" customHeight="1">
      <c r="A716" s="132"/>
      <c r="B716" s="132"/>
      <c r="R716" s="133"/>
      <c r="Y716" s="25"/>
    </row>
    <row r="717" ht="15.75" hidden="1" customHeight="1">
      <c r="A717" s="132"/>
      <c r="B717" s="132"/>
      <c r="R717" s="133"/>
      <c r="Y717" s="25"/>
    </row>
    <row r="718" ht="15.75" hidden="1" customHeight="1">
      <c r="A718" s="132"/>
      <c r="B718" s="132"/>
      <c r="R718" s="133"/>
      <c r="Y718" s="25"/>
    </row>
    <row r="719" ht="15.75" hidden="1" customHeight="1">
      <c r="A719" s="132"/>
      <c r="B719" s="132"/>
      <c r="R719" s="133"/>
      <c r="Y719" s="25"/>
    </row>
    <row r="720" ht="15.75" hidden="1" customHeight="1">
      <c r="A720" s="132"/>
      <c r="B720" s="132"/>
      <c r="R720" s="133"/>
      <c r="Y720" s="25"/>
    </row>
    <row r="721" ht="15.75" hidden="1" customHeight="1">
      <c r="A721" s="132"/>
      <c r="B721" s="132"/>
      <c r="R721" s="133"/>
      <c r="Y721" s="25"/>
    </row>
    <row r="722" ht="15.75" hidden="1" customHeight="1">
      <c r="A722" s="132"/>
      <c r="B722" s="132"/>
      <c r="R722" s="133"/>
      <c r="Y722" s="25"/>
    </row>
    <row r="723" ht="15.75" hidden="1" customHeight="1">
      <c r="A723" s="132"/>
      <c r="B723" s="132"/>
      <c r="R723" s="133"/>
      <c r="Y723" s="25"/>
    </row>
    <row r="724" ht="15.75" hidden="1" customHeight="1">
      <c r="A724" s="132"/>
      <c r="B724" s="132"/>
      <c r="R724" s="133"/>
      <c r="Y724" s="25"/>
    </row>
    <row r="725" ht="15.75" hidden="1" customHeight="1">
      <c r="A725" s="132"/>
      <c r="B725" s="132"/>
      <c r="R725" s="133"/>
      <c r="Y725" s="25"/>
    </row>
    <row r="726" ht="15.75" hidden="1" customHeight="1">
      <c r="A726" s="132"/>
      <c r="B726" s="132"/>
      <c r="R726" s="133"/>
      <c r="Y726" s="25"/>
    </row>
    <row r="727" ht="15.75" hidden="1" customHeight="1">
      <c r="A727" s="132"/>
      <c r="B727" s="132"/>
      <c r="R727" s="133"/>
      <c r="Y727" s="25"/>
    </row>
    <row r="728" ht="15.75" hidden="1" customHeight="1">
      <c r="A728" s="132"/>
      <c r="B728" s="132"/>
      <c r="R728" s="133"/>
      <c r="Y728" s="25"/>
    </row>
    <row r="729" ht="15.75" hidden="1" customHeight="1">
      <c r="A729" s="132"/>
      <c r="B729" s="132"/>
      <c r="R729" s="133"/>
      <c r="Y729" s="25"/>
    </row>
    <row r="730" ht="15.75" hidden="1" customHeight="1">
      <c r="A730" s="132"/>
      <c r="B730" s="132"/>
      <c r="R730" s="133"/>
      <c r="Y730" s="25"/>
    </row>
    <row r="731" ht="15.75" hidden="1" customHeight="1">
      <c r="A731" s="132"/>
      <c r="B731" s="132"/>
      <c r="R731" s="133"/>
      <c r="Y731" s="25"/>
    </row>
    <row r="732" ht="15.75" hidden="1" customHeight="1">
      <c r="A732" s="132"/>
      <c r="B732" s="132"/>
      <c r="R732" s="133"/>
      <c r="Y732" s="25"/>
    </row>
    <row r="733" ht="15.75" hidden="1" customHeight="1">
      <c r="A733" s="132"/>
      <c r="B733" s="132"/>
      <c r="R733" s="133"/>
      <c r="Y733" s="25"/>
    </row>
    <row r="734" ht="15.75" hidden="1" customHeight="1">
      <c r="A734" s="132"/>
      <c r="B734" s="132"/>
      <c r="R734" s="133"/>
      <c r="Y734" s="25"/>
    </row>
    <row r="735" ht="15.75" hidden="1" customHeight="1">
      <c r="A735" s="132"/>
      <c r="B735" s="132"/>
      <c r="R735" s="133"/>
      <c r="Y735" s="25"/>
    </row>
    <row r="736" ht="15.75" hidden="1" customHeight="1">
      <c r="A736" s="132"/>
      <c r="B736" s="132"/>
      <c r="R736" s="133"/>
      <c r="Y736" s="25"/>
    </row>
    <row r="737" ht="15.75" hidden="1" customHeight="1">
      <c r="A737" s="132"/>
      <c r="B737" s="132"/>
      <c r="R737" s="133"/>
      <c r="Y737" s="25"/>
    </row>
    <row r="738" ht="15.75" hidden="1" customHeight="1">
      <c r="A738" s="132"/>
      <c r="B738" s="132"/>
      <c r="R738" s="133"/>
      <c r="Y738" s="25"/>
    </row>
    <row r="739" ht="15.75" hidden="1" customHeight="1">
      <c r="A739" s="132"/>
      <c r="B739" s="132"/>
      <c r="R739" s="133"/>
      <c r="Y739" s="25"/>
    </row>
    <row r="740" ht="15.75" hidden="1" customHeight="1">
      <c r="A740" s="132"/>
      <c r="B740" s="132"/>
      <c r="R740" s="133"/>
      <c r="Y740" s="25"/>
    </row>
    <row r="741" ht="15.75" hidden="1" customHeight="1">
      <c r="A741" s="132"/>
      <c r="B741" s="132"/>
      <c r="R741" s="133"/>
      <c r="Y741" s="25"/>
    </row>
    <row r="742" ht="15.75" hidden="1" customHeight="1">
      <c r="A742" s="132"/>
      <c r="B742" s="132"/>
      <c r="R742" s="133"/>
      <c r="Y742" s="25"/>
    </row>
    <row r="743" ht="15.75" hidden="1" customHeight="1">
      <c r="A743" s="132"/>
      <c r="B743" s="132"/>
      <c r="R743" s="133"/>
      <c r="Y743" s="25"/>
    </row>
    <row r="744" ht="15.75" hidden="1" customHeight="1">
      <c r="A744" s="132"/>
      <c r="B744" s="132"/>
      <c r="R744" s="133"/>
      <c r="Y744" s="25"/>
    </row>
    <row r="745" ht="15.75" hidden="1" customHeight="1">
      <c r="A745" s="132"/>
      <c r="B745" s="132"/>
      <c r="R745" s="133"/>
      <c r="Y745" s="25"/>
    </row>
    <row r="746" ht="15.75" hidden="1" customHeight="1">
      <c r="A746" s="132"/>
      <c r="B746" s="132"/>
      <c r="R746" s="133"/>
      <c r="Y746" s="25"/>
    </row>
    <row r="747" ht="15.75" hidden="1" customHeight="1">
      <c r="A747" s="132"/>
      <c r="B747" s="132"/>
      <c r="R747" s="133"/>
      <c r="Y747" s="25"/>
    </row>
    <row r="748" ht="15.75" hidden="1" customHeight="1">
      <c r="A748" s="132"/>
      <c r="B748" s="132"/>
      <c r="R748" s="133"/>
      <c r="Y748" s="25"/>
    </row>
    <row r="749" ht="15.75" hidden="1" customHeight="1">
      <c r="A749" s="132"/>
      <c r="B749" s="132"/>
      <c r="R749" s="133"/>
      <c r="Y749" s="25"/>
    </row>
    <row r="750" ht="15.75" hidden="1" customHeight="1">
      <c r="A750" s="132"/>
      <c r="B750" s="132"/>
      <c r="R750" s="133"/>
      <c r="Y750" s="25"/>
    </row>
    <row r="751" ht="15.75" hidden="1" customHeight="1">
      <c r="A751" s="132"/>
      <c r="B751" s="132"/>
      <c r="R751" s="133"/>
      <c r="Y751" s="25"/>
    </row>
    <row r="752" ht="15.75" hidden="1" customHeight="1">
      <c r="A752" s="132"/>
      <c r="B752" s="132"/>
      <c r="R752" s="133"/>
      <c r="Y752" s="25"/>
    </row>
    <row r="753" ht="15.75" hidden="1" customHeight="1">
      <c r="A753" s="132"/>
      <c r="B753" s="132"/>
      <c r="R753" s="133"/>
      <c r="Y753" s="25"/>
    </row>
    <row r="754" ht="15.75" hidden="1" customHeight="1">
      <c r="A754" s="132"/>
      <c r="B754" s="132"/>
      <c r="R754" s="133"/>
      <c r="Y754" s="25"/>
    </row>
    <row r="755" ht="15.75" hidden="1" customHeight="1">
      <c r="A755" s="132"/>
      <c r="B755" s="132"/>
      <c r="R755" s="133"/>
      <c r="Y755" s="25"/>
    </row>
    <row r="756" ht="15.75" hidden="1" customHeight="1">
      <c r="A756" s="132"/>
      <c r="B756" s="132"/>
      <c r="R756" s="133"/>
      <c r="Y756" s="25"/>
    </row>
    <row r="757" ht="15.75" hidden="1" customHeight="1">
      <c r="A757" s="132"/>
      <c r="B757" s="132"/>
      <c r="R757" s="133"/>
      <c r="Y757" s="25"/>
    </row>
    <row r="758" ht="15.75" hidden="1" customHeight="1">
      <c r="A758" s="132"/>
      <c r="B758" s="132"/>
      <c r="R758" s="133"/>
      <c r="Y758" s="25"/>
    </row>
    <row r="759" ht="15.75" hidden="1" customHeight="1">
      <c r="A759" s="132"/>
      <c r="B759" s="132"/>
      <c r="R759" s="133"/>
      <c r="Y759" s="25"/>
    </row>
    <row r="760" ht="15.75" hidden="1" customHeight="1">
      <c r="A760" s="132"/>
      <c r="B760" s="132"/>
      <c r="R760" s="133"/>
      <c r="Y760" s="25"/>
    </row>
    <row r="761" ht="15.75" hidden="1" customHeight="1">
      <c r="A761" s="132"/>
      <c r="B761" s="132"/>
      <c r="R761" s="133"/>
      <c r="Y761" s="25"/>
    </row>
    <row r="762" ht="15.75" hidden="1" customHeight="1">
      <c r="A762" s="132"/>
      <c r="B762" s="132"/>
      <c r="R762" s="133"/>
      <c r="Y762" s="25"/>
    </row>
    <row r="763" ht="15.75" hidden="1" customHeight="1">
      <c r="A763" s="132"/>
      <c r="B763" s="132"/>
      <c r="R763" s="133"/>
      <c r="Y763" s="25"/>
    </row>
    <row r="764" ht="15.75" hidden="1" customHeight="1">
      <c r="A764" s="132"/>
      <c r="B764" s="132"/>
      <c r="R764" s="133"/>
      <c r="Y764" s="25"/>
    </row>
    <row r="765" ht="15.75" hidden="1" customHeight="1">
      <c r="A765" s="132"/>
      <c r="B765" s="132"/>
      <c r="R765" s="133"/>
      <c r="Y765" s="25"/>
    </row>
    <row r="766" ht="15.75" hidden="1" customHeight="1">
      <c r="A766" s="132"/>
      <c r="B766" s="132"/>
      <c r="R766" s="133"/>
      <c r="Y766" s="25"/>
    </row>
    <row r="767" ht="15.75" hidden="1" customHeight="1">
      <c r="A767" s="132"/>
      <c r="B767" s="132"/>
      <c r="R767" s="133"/>
      <c r="Y767" s="25"/>
    </row>
    <row r="768" ht="15.75" hidden="1" customHeight="1">
      <c r="A768" s="132"/>
      <c r="B768" s="132"/>
      <c r="R768" s="133"/>
      <c r="Y768" s="25"/>
    </row>
    <row r="769" ht="15.75" hidden="1" customHeight="1">
      <c r="A769" s="132"/>
      <c r="B769" s="132"/>
      <c r="R769" s="133"/>
      <c r="Y769" s="25"/>
    </row>
    <row r="770" ht="15.75" hidden="1" customHeight="1">
      <c r="A770" s="132"/>
      <c r="B770" s="132"/>
      <c r="R770" s="133"/>
      <c r="Y770" s="25"/>
    </row>
    <row r="771" ht="15.75" hidden="1" customHeight="1">
      <c r="A771" s="132"/>
      <c r="B771" s="132"/>
      <c r="R771" s="133"/>
      <c r="Y771" s="25"/>
    </row>
    <row r="772" ht="15.75" hidden="1" customHeight="1">
      <c r="A772" s="132"/>
      <c r="B772" s="132"/>
      <c r="R772" s="133"/>
      <c r="Y772" s="25"/>
    </row>
    <row r="773" ht="15.75" hidden="1" customHeight="1">
      <c r="A773" s="132"/>
      <c r="B773" s="132"/>
      <c r="R773" s="133"/>
      <c r="Y773" s="25"/>
    </row>
    <row r="774" ht="15.75" hidden="1" customHeight="1">
      <c r="A774" s="132"/>
      <c r="B774" s="132"/>
      <c r="R774" s="133"/>
      <c r="Y774" s="25"/>
    </row>
    <row r="775" ht="15.75" hidden="1" customHeight="1">
      <c r="A775" s="132"/>
      <c r="B775" s="132"/>
      <c r="R775" s="133"/>
      <c r="Y775" s="25"/>
    </row>
    <row r="776" ht="15.75" hidden="1" customHeight="1">
      <c r="A776" s="132"/>
      <c r="B776" s="132"/>
      <c r="R776" s="133"/>
      <c r="Y776" s="25"/>
    </row>
    <row r="777" ht="15.75" hidden="1" customHeight="1">
      <c r="A777" s="132"/>
      <c r="B777" s="132"/>
      <c r="R777" s="133"/>
      <c r="Y777" s="25"/>
    </row>
    <row r="778" ht="15.75" hidden="1" customHeight="1">
      <c r="A778" s="132"/>
      <c r="B778" s="132"/>
      <c r="R778" s="133"/>
      <c r="Y778" s="25"/>
    </row>
    <row r="779" ht="15.75" hidden="1" customHeight="1">
      <c r="A779" s="132"/>
      <c r="B779" s="132"/>
      <c r="R779" s="133"/>
      <c r="Y779" s="25"/>
    </row>
    <row r="780" ht="15.75" hidden="1" customHeight="1">
      <c r="A780" s="132"/>
      <c r="B780" s="132"/>
      <c r="R780" s="133"/>
      <c r="Y780" s="25"/>
    </row>
    <row r="781" ht="15.75" hidden="1" customHeight="1">
      <c r="A781" s="132"/>
      <c r="B781" s="132"/>
      <c r="R781" s="133"/>
      <c r="Y781" s="25"/>
    </row>
    <row r="782" ht="15.75" hidden="1" customHeight="1">
      <c r="A782" s="132"/>
      <c r="B782" s="132"/>
      <c r="R782" s="133"/>
      <c r="Y782" s="25"/>
    </row>
    <row r="783" ht="15.75" hidden="1" customHeight="1">
      <c r="A783" s="132"/>
      <c r="B783" s="132"/>
      <c r="R783" s="133"/>
      <c r="Y783" s="25"/>
    </row>
    <row r="784" ht="15.75" hidden="1" customHeight="1">
      <c r="A784" s="132"/>
      <c r="B784" s="132"/>
      <c r="R784" s="133"/>
      <c r="Y784" s="25"/>
    </row>
    <row r="785" ht="15.75" hidden="1" customHeight="1">
      <c r="A785" s="132"/>
      <c r="B785" s="132"/>
      <c r="R785" s="133"/>
      <c r="Y785" s="25"/>
    </row>
    <row r="786" ht="15.75" hidden="1" customHeight="1">
      <c r="A786" s="132"/>
      <c r="B786" s="132"/>
      <c r="R786" s="133"/>
      <c r="Y786" s="25"/>
    </row>
    <row r="787" ht="15.75" hidden="1" customHeight="1">
      <c r="A787" s="132"/>
      <c r="B787" s="132"/>
      <c r="R787" s="133"/>
      <c r="Y787" s="25"/>
    </row>
    <row r="788" ht="15.75" hidden="1" customHeight="1">
      <c r="A788" s="132"/>
      <c r="B788" s="132"/>
      <c r="R788" s="133"/>
      <c r="Y788" s="25"/>
    </row>
    <row r="789" ht="15.75" hidden="1" customHeight="1">
      <c r="A789" s="132"/>
      <c r="B789" s="132"/>
      <c r="R789" s="133"/>
      <c r="Y789" s="25"/>
    </row>
    <row r="790" ht="15.75" hidden="1" customHeight="1">
      <c r="A790" s="132"/>
      <c r="B790" s="132"/>
      <c r="R790" s="133"/>
      <c r="Y790" s="25"/>
    </row>
    <row r="791" ht="15.75" hidden="1" customHeight="1">
      <c r="A791" s="132"/>
      <c r="B791" s="132"/>
      <c r="R791" s="133"/>
      <c r="Y791" s="25"/>
    </row>
    <row r="792" ht="15.75" hidden="1" customHeight="1">
      <c r="A792" s="132"/>
      <c r="B792" s="132"/>
      <c r="R792" s="133"/>
      <c r="Y792" s="25"/>
    </row>
    <row r="793" ht="15.75" hidden="1" customHeight="1">
      <c r="A793" s="132"/>
      <c r="B793" s="132"/>
      <c r="R793" s="133"/>
      <c r="Y793" s="25"/>
    </row>
    <row r="794" ht="15.75" hidden="1" customHeight="1">
      <c r="A794" s="132"/>
      <c r="B794" s="132"/>
      <c r="R794" s="133"/>
      <c r="Y794" s="25"/>
    </row>
    <row r="795" ht="15.75" hidden="1" customHeight="1">
      <c r="A795" s="132"/>
      <c r="B795" s="132"/>
      <c r="R795" s="133"/>
      <c r="Y795" s="25"/>
    </row>
    <row r="796" ht="15.75" hidden="1" customHeight="1">
      <c r="A796" s="132"/>
      <c r="B796" s="132"/>
      <c r="R796" s="133"/>
      <c r="Y796" s="25"/>
    </row>
    <row r="797" ht="15.75" hidden="1" customHeight="1">
      <c r="A797" s="132"/>
      <c r="B797" s="132"/>
      <c r="R797" s="133"/>
      <c r="Y797" s="25"/>
    </row>
    <row r="798" ht="15.75" hidden="1" customHeight="1">
      <c r="A798" s="132"/>
      <c r="B798" s="132"/>
      <c r="R798" s="133"/>
      <c r="Y798" s="25"/>
    </row>
    <row r="799" ht="15.75" hidden="1" customHeight="1">
      <c r="A799" s="132"/>
      <c r="B799" s="132"/>
      <c r="R799" s="133"/>
      <c r="Y799" s="25"/>
    </row>
    <row r="800" ht="15.75" hidden="1" customHeight="1">
      <c r="A800" s="132"/>
      <c r="B800" s="132"/>
      <c r="R800" s="133"/>
      <c r="Y800" s="25"/>
    </row>
    <row r="801" ht="15.75" hidden="1" customHeight="1">
      <c r="A801" s="132"/>
      <c r="B801" s="132"/>
      <c r="R801" s="133"/>
      <c r="Y801" s="25"/>
    </row>
    <row r="802" ht="15.75" hidden="1" customHeight="1">
      <c r="A802" s="132"/>
      <c r="B802" s="132"/>
      <c r="R802" s="133"/>
      <c r="Y802" s="25"/>
    </row>
    <row r="803" ht="15.75" hidden="1" customHeight="1">
      <c r="A803" s="132"/>
      <c r="B803" s="132"/>
      <c r="R803" s="133"/>
      <c r="Y803" s="25"/>
    </row>
    <row r="804" ht="15.75" hidden="1" customHeight="1">
      <c r="A804" s="132"/>
      <c r="B804" s="132"/>
      <c r="R804" s="133"/>
      <c r="Y804" s="25"/>
    </row>
    <row r="805" ht="15.75" hidden="1" customHeight="1">
      <c r="A805" s="132"/>
      <c r="B805" s="132"/>
      <c r="R805" s="133"/>
      <c r="Y805" s="25"/>
    </row>
    <row r="806" ht="15.75" hidden="1" customHeight="1">
      <c r="A806" s="132"/>
      <c r="B806" s="132"/>
      <c r="R806" s="133"/>
      <c r="Y806" s="25"/>
    </row>
    <row r="807" ht="15.75" hidden="1" customHeight="1">
      <c r="A807" s="132"/>
      <c r="B807" s="132"/>
      <c r="R807" s="133"/>
      <c r="Y807" s="25"/>
    </row>
    <row r="808" ht="15.75" hidden="1" customHeight="1">
      <c r="A808" s="132"/>
      <c r="B808" s="132"/>
      <c r="R808" s="133"/>
      <c r="Y808" s="25"/>
    </row>
    <row r="809" ht="15.75" hidden="1" customHeight="1">
      <c r="A809" s="132"/>
      <c r="B809" s="132"/>
      <c r="R809" s="133"/>
      <c r="Y809" s="25"/>
    </row>
    <row r="810" ht="15.75" hidden="1" customHeight="1">
      <c r="A810" s="132"/>
      <c r="B810" s="132"/>
      <c r="R810" s="133"/>
      <c r="Y810" s="25"/>
    </row>
    <row r="811" ht="15.75" hidden="1" customHeight="1">
      <c r="A811" s="132"/>
      <c r="B811" s="132"/>
      <c r="R811" s="133"/>
      <c r="Y811" s="25"/>
    </row>
    <row r="812" ht="15.75" hidden="1" customHeight="1">
      <c r="A812" s="132"/>
      <c r="B812" s="132"/>
      <c r="R812" s="133"/>
      <c r="Y812" s="25"/>
    </row>
    <row r="813" ht="15.75" hidden="1" customHeight="1">
      <c r="A813" s="132"/>
      <c r="B813" s="132"/>
      <c r="R813" s="133"/>
      <c r="Y813" s="25"/>
    </row>
    <row r="814" ht="15.75" hidden="1" customHeight="1">
      <c r="A814" s="132"/>
      <c r="B814" s="132"/>
      <c r="R814" s="133"/>
      <c r="Y814" s="25"/>
    </row>
    <row r="815" ht="15.75" hidden="1" customHeight="1">
      <c r="A815" s="132"/>
      <c r="B815" s="132"/>
      <c r="R815" s="133"/>
      <c r="Y815" s="25"/>
    </row>
    <row r="816" ht="15.75" hidden="1" customHeight="1">
      <c r="A816" s="132"/>
      <c r="B816" s="132"/>
      <c r="R816" s="133"/>
      <c r="Y816" s="25"/>
    </row>
    <row r="817" ht="15.75" hidden="1" customHeight="1">
      <c r="A817" s="132"/>
      <c r="B817" s="132"/>
      <c r="R817" s="133"/>
      <c r="Y817" s="25"/>
    </row>
    <row r="818" ht="15.75" hidden="1" customHeight="1">
      <c r="A818" s="132"/>
      <c r="B818" s="132"/>
      <c r="R818" s="133"/>
      <c r="Y818" s="25"/>
    </row>
    <row r="819" ht="15.75" hidden="1" customHeight="1">
      <c r="A819" s="132"/>
      <c r="B819" s="132"/>
      <c r="R819" s="133"/>
      <c r="Y819" s="25"/>
    </row>
    <row r="820" ht="15.75" hidden="1" customHeight="1">
      <c r="A820" s="132"/>
      <c r="B820" s="132"/>
      <c r="R820" s="133"/>
      <c r="Y820" s="25"/>
    </row>
    <row r="821" ht="15.75" hidden="1" customHeight="1">
      <c r="A821" s="132"/>
      <c r="B821" s="132"/>
      <c r="R821" s="133"/>
      <c r="Y821" s="25"/>
    </row>
    <row r="822" ht="15.75" hidden="1" customHeight="1">
      <c r="A822" s="132"/>
      <c r="B822" s="132"/>
      <c r="R822" s="133"/>
      <c r="Y822" s="25"/>
    </row>
    <row r="823" ht="15.75" hidden="1" customHeight="1">
      <c r="A823" s="132"/>
      <c r="B823" s="132"/>
      <c r="R823" s="133"/>
      <c r="Y823" s="25"/>
    </row>
    <row r="824" ht="15.75" hidden="1" customHeight="1">
      <c r="A824" s="132"/>
      <c r="B824" s="132"/>
      <c r="R824" s="133"/>
      <c r="Y824" s="25"/>
    </row>
    <row r="825" ht="15.75" hidden="1" customHeight="1">
      <c r="A825" s="132"/>
      <c r="B825" s="132"/>
      <c r="R825" s="133"/>
      <c r="Y825" s="25"/>
    </row>
    <row r="826" ht="15.75" hidden="1" customHeight="1">
      <c r="A826" s="132"/>
      <c r="B826" s="132"/>
      <c r="R826" s="133"/>
      <c r="Y826" s="25"/>
    </row>
    <row r="827" ht="15.75" hidden="1" customHeight="1">
      <c r="A827" s="132"/>
      <c r="B827" s="132"/>
      <c r="R827" s="133"/>
      <c r="Y827" s="25"/>
    </row>
    <row r="828" ht="15.75" hidden="1" customHeight="1">
      <c r="A828" s="132"/>
      <c r="B828" s="132"/>
      <c r="R828" s="133"/>
      <c r="Y828" s="25"/>
    </row>
    <row r="829" ht="15.75" hidden="1" customHeight="1">
      <c r="A829" s="132"/>
      <c r="B829" s="132"/>
      <c r="R829" s="133"/>
      <c r="Y829" s="25"/>
    </row>
    <row r="830" ht="15.75" hidden="1" customHeight="1">
      <c r="A830" s="132"/>
      <c r="B830" s="132"/>
      <c r="R830" s="133"/>
      <c r="Y830" s="25"/>
    </row>
    <row r="831" ht="15.75" hidden="1" customHeight="1">
      <c r="A831" s="132"/>
      <c r="B831" s="132"/>
      <c r="R831" s="133"/>
      <c r="Y831" s="25"/>
    </row>
    <row r="832" ht="15.75" hidden="1" customHeight="1">
      <c r="A832" s="132"/>
      <c r="B832" s="132"/>
      <c r="R832" s="133"/>
      <c r="Y832" s="25"/>
    </row>
    <row r="833" ht="15.75" hidden="1" customHeight="1">
      <c r="A833" s="132"/>
      <c r="B833" s="132"/>
      <c r="R833" s="133"/>
      <c r="Y833" s="25"/>
    </row>
    <row r="834" ht="15.75" hidden="1" customHeight="1">
      <c r="A834" s="132"/>
      <c r="B834" s="132"/>
      <c r="R834" s="133"/>
      <c r="Y834" s="25"/>
    </row>
    <row r="835" ht="15.75" hidden="1" customHeight="1">
      <c r="A835" s="132"/>
      <c r="B835" s="132"/>
      <c r="R835" s="133"/>
      <c r="Y835" s="25"/>
    </row>
    <row r="836" ht="15.75" hidden="1" customHeight="1">
      <c r="A836" s="132"/>
      <c r="B836" s="132"/>
      <c r="R836" s="133"/>
      <c r="Y836" s="25"/>
    </row>
    <row r="837" ht="15.75" hidden="1" customHeight="1">
      <c r="A837" s="132"/>
      <c r="B837" s="132"/>
      <c r="R837" s="133"/>
      <c r="Y837" s="25"/>
    </row>
    <row r="838" ht="15.75" hidden="1" customHeight="1">
      <c r="A838" s="132"/>
      <c r="B838" s="132"/>
      <c r="R838" s="133"/>
      <c r="Y838" s="25"/>
    </row>
    <row r="839" ht="15.75" hidden="1" customHeight="1">
      <c r="A839" s="132"/>
      <c r="B839" s="132"/>
      <c r="R839" s="133"/>
      <c r="Y839" s="25"/>
    </row>
    <row r="840" ht="15.75" hidden="1" customHeight="1">
      <c r="A840" s="132"/>
      <c r="B840" s="132"/>
      <c r="R840" s="133"/>
      <c r="Y840" s="25"/>
    </row>
    <row r="841" ht="15.75" hidden="1" customHeight="1">
      <c r="A841" s="132"/>
      <c r="B841" s="132"/>
      <c r="R841" s="133"/>
      <c r="Y841" s="25"/>
    </row>
    <row r="842" ht="15.75" hidden="1" customHeight="1">
      <c r="A842" s="132"/>
      <c r="B842" s="132"/>
      <c r="R842" s="133"/>
      <c r="Y842" s="25"/>
    </row>
    <row r="843" ht="15.75" hidden="1" customHeight="1">
      <c r="A843" s="132"/>
      <c r="B843" s="132"/>
      <c r="R843" s="133"/>
      <c r="Y843" s="25"/>
    </row>
    <row r="844" ht="15.75" hidden="1" customHeight="1">
      <c r="A844" s="132"/>
      <c r="B844" s="132"/>
      <c r="R844" s="133"/>
      <c r="Y844" s="25"/>
    </row>
    <row r="845" ht="15.75" hidden="1" customHeight="1">
      <c r="A845" s="132"/>
      <c r="B845" s="132"/>
      <c r="R845" s="133"/>
      <c r="Y845" s="25"/>
    </row>
    <row r="846" ht="15.75" hidden="1" customHeight="1">
      <c r="A846" s="132"/>
      <c r="B846" s="132"/>
      <c r="R846" s="133"/>
      <c r="Y846" s="25"/>
    </row>
    <row r="847" ht="15.75" hidden="1" customHeight="1">
      <c r="A847" s="132"/>
      <c r="B847" s="132"/>
      <c r="R847" s="133"/>
      <c r="Y847" s="25"/>
    </row>
    <row r="848" ht="15.75" hidden="1" customHeight="1">
      <c r="A848" s="132"/>
      <c r="B848" s="132"/>
      <c r="R848" s="133"/>
      <c r="Y848" s="25"/>
    </row>
    <row r="849" ht="15.75" hidden="1" customHeight="1">
      <c r="A849" s="132"/>
      <c r="B849" s="132"/>
      <c r="R849" s="133"/>
      <c r="Y849" s="25"/>
    </row>
    <row r="850" ht="15.75" hidden="1" customHeight="1">
      <c r="A850" s="132"/>
      <c r="B850" s="132"/>
      <c r="R850" s="133"/>
      <c r="Y850" s="25"/>
    </row>
    <row r="851" ht="15.75" hidden="1" customHeight="1">
      <c r="A851" s="132"/>
      <c r="B851" s="132"/>
      <c r="R851" s="133"/>
      <c r="Y851" s="25"/>
    </row>
    <row r="852" ht="15.75" hidden="1" customHeight="1">
      <c r="A852" s="132"/>
      <c r="B852" s="132"/>
      <c r="R852" s="133"/>
      <c r="Y852" s="25"/>
    </row>
    <row r="853" ht="15.75" hidden="1" customHeight="1">
      <c r="A853" s="132"/>
      <c r="B853" s="132"/>
      <c r="R853" s="133"/>
      <c r="Y853" s="25"/>
    </row>
    <row r="854" ht="15.75" hidden="1" customHeight="1">
      <c r="A854" s="132"/>
      <c r="B854" s="132"/>
      <c r="R854" s="133"/>
      <c r="Y854" s="25"/>
    </row>
    <row r="855" ht="15.75" hidden="1" customHeight="1">
      <c r="A855" s="132"/>
      <c r="B855" s="132"/>
      <c r="R855" s="133"/>
      <c r="Y855" s="25"/>
    </row>
    <row r="856" ht="15.75" hidden="1" customHeight="1">
      <c r="A856" s="132"/>
      <c r="B856" s="132"/>
      <c r="R856" s="133"/>
      <c r="Y856" s="25"/>
    </row>
    <row r="857" ht="15.75" hidden="1" customHeight="1">
      <c r="A857" s="132"/>
      <c r="B857" s="132"/>
      <c r="R857" s="133"/>
      <c r="Y857" s="25"/>
    </row>
    <row r="858" ht="15.75" hidden="1" customHeight="1">
      <c r="A858" s="132"/>
      <c r="B858" s="132"/>
      <c r="R858" s="133"/>
      <c r="Y858" s="25"/>
    </row>
    <row r="859" ht="15.75" hidden="1" customHeight="1">
      <c r="A859" s="132"/>
      <c r="B859" s="132"/>
      <c r="R859" s="133"/>
      <c r="Y859" s="25"/>
    </row>
    <row r="860" ht="15.75" hidden="1" customHeight="1">
      <c r="A860" s="132"/>
      <c r="B860" s="132"/>
      <c r="R860" s="133"/>
      <c r="Y860" s="25"/>
    </row>
    <row r="861" ht="15.75" hidden="1" customHeight="1">
      <c r="A861" s="132"/>
      <c r="B861" s="132"/>
      <c r="R861" s="133"/>
      <c r="Y861" s="25"/>
    </row>
    <row r="862" ht="15.75" hidden="1" customHeight="1">
      <c r="A862" s="132"/>
      <c r="B862" s="132"/>
      <c r="R862" s="133"/>
      <c r="Y862" s="25"/>
    </row>
    <row r="863" ht="15.75" hidden="1" customHeight="1">
      <c r="A863" s="132"/>
      <c r="B863" s="132"/>
      <c r="R863" s="133"/>
      <c r="Y863" s="25"/>
    </row>
    <row r="864" ht="15.75" hidden="1" customHeight="1">
      <c r="A864" s="132"/>
      <c r="B864" s="132"/>
      <c r="R864" s="133"/>
      <c r="Y864" s="25"/>
    </row>
    <row r="865" ht="15.75" hidden="1" customHeight="1">
      <c r="A865" s="132"/>
      <c r="B865" s="132"/>
      <c r="R865" s="133"/>
      <c r="Y865" s="25"/>
    </row>
    <row r="866" ht="15.75" hidden="1" customHeight="1">
      <c r="A866" s="132"/>
      <c r="B866" s="132"/>
      <c r="R866" s="133"/>
      <c r="Y866" s="25"/>
    </row>
    <row r="867" ht="15.75" hidden="1" customHeight="1">
      <c r="A867" s="132"/>
      <c r="B867" s="132"/>
      <c r="R867" s="133"/>
      <c r="Y867" s="25"/>
    </row>
    <row r="868" ht="15.75" hidden="1" customHeight="1">
      <c r="A868" s="132"/>
      <c r="B868" s="132"/>
      <c r="R868" s="133"/>
      <c r="Y868" s="25"/>
    </row>
    <row r="869" ht="15.75" hidden="1" customHeight="1">
      <c r="A869" s="132"/>
      <c r="B869" s="132"/>
      <c r="R869" s="133"/>
      <c r="Y869" s="25"/>
    </row>
    <row r="870" ht="15.75" hidden="1" customHeight="1">
      <c r="A870" s="132"/>
      <c r="B870" s="132"/>
      <c r="R870" s="133"/>
      <c r="Y870" s="25"/>
    </row>
    <row r="871" ht="15.75" hidden="1" customHeight="1">
      <c r="A871" s="132"/>
      <c r="B871" s="132"/>
      <c r="R871" s="133"/>
      <c r="Y871" s="25"/>
    </row>
    <row r="872" ht="15.75" hidden="1" customHeight="1">
      <c r="A872" s="132"/>
      <c r="B872" s="132"/>
      <c r="R872" s="133"/>
      <c r="Y872" s="25"/>
    </row>
    <row r="873" ht="15.75" hidden="1" customHeight="1">
      <c r="A873" s="132"/>
      <c r="B873" s="132"/>
      <c r="R873" s="133"/>
      <c r="Y873" s="25"/>
    </row>
    <row r="874" ht="15.75" hidden="1" customHeight="1">
      <c r="A874" s="132"/>
      <c r="B874" s="132"/>
      <c r="R874" s="133"/>
      <c r="Y874" s="25"/>
    </row>
    <row r="875" ht="15.75" hidden="1" customHeight="1">
      <c r="A875" s="132"/>
      <c r="B875" s="132"/>
      <c r="R875" s="133"/>
      <c r="Y875" s="25"/>
    </row>
    <row r="876" ht="15.75" hidden="1" customHeight="1">
      <c r="A876" s="132"/>
      <c r="B876" s="132"/>
      <c r="R876" s="133"/>
      <c r="Y876" s="25"/>
    </row>
    <row r="877" ht="15.75" hidden="1" customHeight="1">
      <c r="A877" s="132"/>
      <c r="B877" s="132"/>
      <c r="R877" s="133"/>
      <c r="Y877" s="25"/>
    </row>
    <row r="878" ht="15.75" hidden="1" customHeight="1">
      <c r="A878" s="132"/>
      <c r="B878" s="132"/>
      <c r="R878" s="133"/>
      <c r="Y878" s="25"/>
    </row>
    <row r="879" ht="15.75" hidden="1" customHeight="1">
      <c r="A879" s="132"/>
      <c r="B879" s="132"/>
      <c r="R879" s="133"/>
      <c r="Y879" s="25"/>
    </row>
    <row r="880" ht="15.75" hidden="1" customHeight="1">
      <c r="A880" s="132"/>
      <c r="B880" s="132"/>
      <c r="R880" s="133"/>
      <c r="Y880" s="25"/>
    </row>
    <row r="881" ht="15.75" hidden="1" customHeight="1">
      <c r="A881" s="132"/>
      <c r="B881" s="132"/>
      <c r="R881" s="133"/>
      <c r="Y881" s="25"/>
    </row>
    <row r="882" ht="15.75" hidden="1" customHeight="1">
      <c r="A882" s="132"/>
      <c r="B882" s="132"/>
      <c r="R882" s="133"/>
      <c r="Y882" s="25"/>
    </row>
    <row r="883" ht="15.75" hidden="1" customHeight="1">
      <c r="A883" s="132"/>
      <c r="B883" s="132"/>
      <c r="R883" s="133"/>
      <c r="Y883" s="25"/>
    </row>
    <row r="884" ht="15.75" hidden="1" customHeight="1">
      <c r="A884" s="132"/>
      <c r="B884" s="132"/>
      <c r="R884" s="133"/>
      <c r="Y884" s="25"/>
    </row>
    <row r="885" ht="15.75" hidden="1" customHeight="1">
      <c r="A885" s="132"/>
      <c r="B885" s="132"/>
      <c r="R885" s="133"/>
      <c r="Y885" s="25"/>
    </row>
    <row r="886" ht="15.75" hidden="1" customHeight="1">
      <c r="A886" s="132"/>
      <c r="B886" s="132"/>
      <c r="R886" s="133"/>
      <c r="Y886" s="25"/>
    </row>
    <row r="887" ht="15.75" hidden="1" customHeight="1">
      <c r="A887" s="132"/>
      <c r="B887" s="132"/>
      <c r="R887" s="133"/>
      <c r="Y887" s="25"/>
    </row>
    <row r="888" ht="15.75" hidden="1" customHeight="1">
      <c r="A888" s="132"/>
      <c r="B888" s="132"/>
      <c r="R888" s="133"/>
      <c r="Y888" s="25"/>
    </row>
    <row r="889" ht="15.75" hidden="1" customHeight="1">
      <c r="A889" s="132"/>
      <c r="B889" s="132"/>
      <c r="R889" s="133"/>
      <c r="Y889" s="25"/>
    </row>
    <row r="890" ht="15.75" hidden="1" customHeight="1">
      <c r="A890" s="132"/>
      <c r="B890" s="132"/>
      <c r="R890" s="133"/>
      <c r="Y890" s="25"/>
    </row>
    <row r="891" ht="15.75" hidden="1" customHeight="1">
      <c r="A891" s="132"/>
      <c r="B891" s="132"/>
      <c r="R891" s="133"/>
      <c r="Y891" s="25"/>
    </row>
    <row r="892" ht="15.75" hidden="1" customHeight="1">
      <c r="A892" s="132"/>
      <c r="B892" s="132"/>
      <c r="R892" s="133"/>
      <c r="Y892" s="25"/>
    </row>
    <row r="893" ht="15.75" hidden="1" customHeight="1">
      <c r="A893" s="132"/>
      <c r="B893" s="132"/>
      <c r="R893" s="133"/>
      <c r="Y893" s="25"/>
    </row>
    <row r="894" ht="15.75" hidden="1" customHeight="1">
      <c r="A894" s="132"/>
      <c r="B894" s="132"/>
      <c r="R894" s="133"/>
      <c r="Y894" s="25"/>
    </row>
    <row r="895" ht="15.75" hidden="1" customHeight="1">
      <c r="A895" s="132"/>
      <c r="B895" s="132"/>
      <c r="R895" s="133"/>
      <c r="Y895" s="25"/>
    </row>
    <row r="896" ht="15.75" hidden="1" customHeight="1">
      <c r="A896" s="132"/>
      <c r="B896" s="132"/>
      <c r="R896" s="133"/>
      <c r="Y896" s="25"/>
    </row>
    <row r="897" ht="15.75" hidden="1" customHeight="1">
      <c r="A897" s="132"/>
      <c r="B897" s="132"/>
      <c r="R897" s="133"/>
      <c r="Y897" s="25"/>
    </row>
    <row r="898" ht="15.75" hidden="1" customHeight="1">
      <c r="A898" s="132"/>
      <c r="B898" s="132"/>
      <c r="R898" s="133"/>
      <c r="Y898" s="25"/>
    </row>
    <row r="899" ht="15.75" hidden="1" customHeight="1">
      <c r="A899" s="132"/>
      <c r="B899" s="132"/>
      <c r="R899" s="133"/>
      <c r="Y899" s="25"/>
    </row>
    <row r="900" ht="15.75" hidden="1" customHeight="1">
      <c r="A900" s="132"/>
      <c r="B900" s="132"/>
      <c r="R900" s="133"/>
      <c r="Y900" s="25"/>
    </row>
    <row r="901" ht="15.75" hidden="1" customHeight="1">
      <c r="A901" s="132"/>
      <c r="B901" s="132"/>
      <c r="R901" s="133"/>
      <c r="Y901" s="25"/>
    </row>
    <row r="902" ht="15.75" hidden="1" customHeight="1">
      <c r="A902" s="132"/>
      <c r="B902" s="132"/>
      <c r="R902" s="133"/>
      <c r="Y902" s="25"/>
    </row>
    <row r="903" ht="15.75" hidden="1" customHeight="1">
      <c r="A903" s="132"/>
      <c r="B903" s="132"/>
      <c r="R903" s="133"/>
      <c r="Y903" s="25"/>
    </row>
    <row r="904" ht="15.75" hidden="1" customHeight="1">
      <c r="A904" s="132"/>
      <c r="B904" s="132"/>
      <c r="R904" s="133"/>
      <c r="Y904" s="25"/>
    </row>
    <row r="905" ht="15.75" hidden="1" customHeight="1">
      <c r="A905" s="132"/>
      <c r="B905" s="132"/>
      <c r="R905" s="133"/>
      <c r="Y905" s="25"/>
    </row>
    <row r="906" ht="15.75" hidden="1" customHeight="1">
      <c r="A906" s="132"/>
      <c r="B906" s="132"/>
      <c r="R906" s="133"/>
      <c r="Y906" s="25"/>
    </row>
    <row r="907" ht="15.75" hidden="1" customHeight="1">
      <c r="A907" s="132"/>
      <c r="B907" s="132"/>
      <c r="R907" s="133"/>
      <c r="Y907" s="25"/>
    </row>
    <row r="908" ht="15.75" hidden="1" customHeight="1">
      <c r="A908" s="132"/>
      <c r="B908" s="132"/>
      <c r="R908" s="133"/>
      <c r="Y908" s="25"/>
    </row>
    <row r="909" ht="15.75" hidden="1" customHeight="1">
      <c r="A909" s="132"/>
      <c r="B909" s="132"/>
      <c r="R909" s="133"/>
      <c r="Y909" s="25"/>
    </row>
    <row r="910" ht="15.75" hidden="1" customHeight="1">
      <c r="A910" s="132"/>
      <c r="B910" s="132"/>
      <c r="R910" s="133"/>
      <c r="Y910" s="25"/>
    </row>
    <row r="911" ht="15.75" hidden="1" customHeight="1">
      <c r="A911" s="132"/>
      <c r="B911" s="132"/>
      <c r="R911" s="133"/>
      <c r="Y911" s="25"/>
    </row>
    <row r="912" ht="15.75" hidden="1" customHeight="1">
      <c r="A912" s="132"/>
      <c r="B912" s="132"/>
      <c r="R912" s="133"/>
      <c r="Y912" s="25"/>
    </row>
    <row r="913" ht="15.75" hidden="1" customHeight="1">
      <c r="A913" s="132"/>
      <c r="B913" s="132"/>
      <c r="R913" s="133"/>
      <c r="Y913" s="25"/>
    </row>
    <row r="914" ht="15.75" hidden="1" customHeight="1">
      <c r="A914" s="132"/>
      <c r="B914" s="132"/>
      <c r="R914" s="133"/>
      <c r="Y914" s="25"/>
    </row>
    <row r="915" ht="15.75" hidden="1" customHeight="1">
      <c r="A915" s="132"/>
      <c r="B915" s="132"/>
      <c r="R915" s="133"/>
      <c r="Y915" s="25"/>
    </row>
    <row r="916" ht="15.75" hidden="1" customHeight="1">
      <c r="A916" s="132"/>
      <c r="B916" s="132"/>
      <c r="R916" s="133"/>
      <c r="Y916" s="25"/>
    </row>
    <row r="917" ht="15.75" hidden="1" customHeight="1">
      <c r="A917" s="132"/>
      <c r="B917" s="132"/>
      <c r="R917" s="133"/>
      <c r="Y917" s="25"/>
    </row>
    <row r="918" ht="15.75" hidden="1" customHeight="1">
      <c r="A918" s="132"/>
      <c r="B918" s="132"/>
      <c r="R918" s="133"/>
      <c r="Y918" s="25"/>
    </row>
    <row r="919" ht="15.75" hidden="1" customHeight="1">
      <c r="A919" s="132"/>
      <c r="B919" s="132"/>
      <c r="R919" s="133"/>
      <c r="Y919" s="25"/>
    </row>
    <row r="920" ht="15.75" hidden="1" customHeight="1">
      <c r="A920" s="132"/>
      <c r="B920" s="132"/>
      <c r="R920" s="133"/>
      <c r="Y920" s="25"/>
    </row>
    <row r="921" ht="15.75" hidden="1" customHeight="1">
      <c r="A921" s="132"/>
      <c r="B921" s="132"/>
      <c r="R921" s="133"/>
      <c r="Y921" s="25"/>
    </row>
    <row r="922" ht="15.75" hidden="1" customHeight="1">
      <c r="A922" s="132"/>
      <c r="B922" s="132"/>
      <c r="R922" s="133"/>
      <c r="Y922" s="25"/>
    </row>
    <row r="923" ht="15.75" hidden="1" customHeight="1">
      <c r="A923" s="132"/>
      <c r="B923" s="132"/>
      <c r="R923" s="133"/>
      <c r="Y923" s="25"/>
    </row>
    <row r="924" ht="15.75" hidden="1" customHeight="1">
      <c r="A924" s="132"/>
      <c r="B924" s="132"/>
      <c r="R924" s="133"/>
      <c r="Y924" s="25"/>
    </row>
    <row r="925" ht="15.75" hidden="1" customHeight="1">
      <c r="A925" s="132"/>
      <c r="B925" s="132"/>
      <c r="R925" s="133"/>
      <c r="Y925" s="25"/>
    </row>
    <row r="926" ht="15.75" hidden="1" customHeight="1">
      <c r="A926" s="132"/>
      <c r="B926" s="132"/>
      <c r="R926" s="133"/>
      <c r="Y926" s="25"/>
    </row>
    <row r="927" ht="15.75" hidden="1" customHeight="1">
      <c r="A927" s="132"/>
      <c r="B927" s="132"/>
      <c r="R927" s="133"/>
      <c r="Y927" s="25"/>
    </row>
    <row r="928" ht="15.75" hidden="1" customHeight="1">
      <c r="A928" s="132"/>
      <c r="B928" s="132"/>
      <c r="R928" s="133"/>
      <c r="Y928" s="25"/>
    </row>
    <row r="929" ht="15.75" hidden="1" customHeight="1">
      <c r="A929" s="132"/>
      <c r="B929" s="132"/>
      <c r="R929" s="133"/>
      <c r="Y929" s="25"/>
    </row>
    <row r="930" ht="15.75" hidden="1" customHeight="1">
      <c r="A930" s="132"/>
      <c r="B930" s="132"/>
      <c r="R930" s="133"/>
      <c r="Y930" s="25"/>
    </row>
    <row r="931" ht="15.75" hidden="1" customHeight="1">
      <c r="A931" s="132"/>
      <c r="B931" s="132"/>
      <c r="R931" s="133"/>
      <c r="Y931" s="25"/>
    </row>
    <row r="932" ht="15.75" hidden="1" customHeight="1">
      <c r="A932" s="132"/>
      <c r="B932" s="132"/>
      <c r="R932" s="133"/>
      <c r="Y932" s="25"/>
    </row>
    <row r="933" ht="15.75" hidden="1" customHeight="1">
      <c r="A933" s="132"/>
      <c r="B933" s="132"/>
      <c r="R933" s="133"/>
      <c r="Y933" s="25"/>
    </row>
    <row r="934" ht="15.75" hidden="1" customHeight="1">
      <c r="A934" s="132"/>
      <c r="B934" s="132"/>
      <c r="R934" s="133"/>
      <c r="Y934" s="25"/>
    </row>
    <row r="935" ht="15.75" hidden="1" customHeight="1">
      <c r="A935" s="132"/>
      <c r="B935" s="132"/>
      <c r="R935" s="133"/>
      <c r="Y935" s="25"/>
    </row>
    <row r="936" ht="15.75" hidden="1" customHeight="1">
      <c r="A936" s="132"/>
      <c r="B936" s="132"/>
      <c r="R936" s="133"/>
      <c r="Y936" s="25"/>
    </row>
    <row r="937" ht="15.75" hidden="1" customHeight="1">
      <c r="A937" s="132"/>
      <c r="B937" s="132"/>
      <c r="R937" s="133"/>
      <c r="Y937" s="25"/>
    </row>
    <row r="938" ht="15.75" hidden="1" customHeight="1">
      <c r="A938" s="132"/>
      <c r="B938" s="132"/>
      <c r="R938" s="133"/>
      <c r="Y938" s="25"/>
    </row>
    <row r="939" ht="15.75" hidden="1" customHeight="1">
      <c r="A939" s="132"/>
      <c r="B939" s="132"/>
      <c r="R939" s="133"/>
      <c r="Y939" s="25"/>
    </row>
    <row r="940" ht="15.75" hidden="1" customHeight="1">
      <c r="A940" s="132"/>
      <c r="B940" s="132"/>
      <c r="R940" s="133"/>
      <c r="Y940" s="25"/>
    </row>
    <row r="941" ht="15.75" hidden="1" customHeight="1">
      <c r="A941" s="132"/>
      <c r="B941" s="132"/>
      <c r="R941" s="133"/>
      <c r="Y941" s="25"/>
    </row>
    <row r="942" ht="15.75" hidden="1" customHeight="1">
      <c r="A942" s="132"/>
      <c r="B942" s="132"/>
      <c r="R942" s="133"/>
      <c r="Y942" s="25"/>
    </row>
    <row r="943" ht="15.75" hidden="1" customHeight="1">
      <c r="A943" s="132"/>
      <c r="B943" s="132"/>
      <c r="R943" s="133"/>
      <c r="Y943" s="25"/>
    </row>
    <row r="944" ht="15.75" hidden="1" customHeight="1">
      <c r="A944" s="132"/>
      <c r="B944" s="132"/>
      <c r="R944" s="133"/>
      <c r="Y944" s="25"/>
    </row>
    <row r="945" ht="15.75" hidden="1" customHeight="1">
      <c r="A945" s="132"/>
      <c r="B945" s="132"/>
      <c r="R945" s="133"/>
      <c r="Y945" s="25"/>
    </row>
    <row r="946" ht="15.75" hidden="1" customHeight="1">
      <c r="A946" s="132"/>
      <c r="B946" s="132"/>
      <c r="R946" s="133"/>
      <c r="Y946" s="25"/>
    </row>
    <row r="947" ht="15.75" hidden="1" customHeight="1">
      <c r="A947" s="132"/>
      <c r="B947" s="132"/>
      <c r="R947" s="133"/>
      <c r="Y947" s="25"/>
    </row>
    <row r="948" ht="15.75" hidden="1" customHeight="1">
      <c r="A948" s="132"/>
      <c r="B948" s="132"/>
      <c r="R948" s="133"/>
      <c r="Y948" s="25"/>
    </row>
    <row r="949" ht="15.75" hidden="1" customHeight="1">
      <c r="A949" s="132"/>
      <c r="B949" s="132"/>
      <c r="R949" s="133"/>
      <c r="Y949" s="25"/>
    </row>
    <row r="950" ht="15.75" hidden="1" customHeight="1">
      <c r="A950" s="132"/>
      <c r="B950" s="132"/>
      <c r="R950" s="133"/>
      <c r="Y950" s="25"/>
    </row>
    <row r="951" ht="15.75" hidden="1" customHeight="1">
      <c r="A951" s="132"/>
      <c r="B951" s="132"/>
      <c r="R951" s="133"/>
      <c r="Y951" s="25"/>
    </row>
    <row r="952" ht="15.75" hidden="1" customHeight="1">
      <c r="A952" s="132"/>
      <c r="B952" s="132"/>
      <c r="R952" s="133"/>
      <c r="Y952" s="25"/>
    </row>
    <row r="953" ht="15.75" hidden="1" customHeight="1">
      <c r="A953" s="132"/>
      <c r="B953" s="132"/>
      <c r="R953" s="133"/>
      <c r="Y953" s="25"/>
    </row>
    <row r="954" ht="15.75" hidden="1" customHeight="1">
      <c r="A954" s="132"/>
      <c r="B954" s="132"/>
      <c r="R954" s="133"/>
      <c r="Y954" s="25"/>
    </row>
    <row r="955" ht="15.75" hidden="1" customHeight="1">
      <c r="A955" s="132"/>
      <c r="B955" s="132"/>
      <c r="R955" s="133"/>
      <c r="Y955" s="25"/>
    </row>
    <row r="956" ht="15.75" hidden="1" customHeight="1">
      <c r="A956" s="132"/>
      <c r="B956" s="132"/>
      <c r="R956" s="133"/>
      <c r="Y956" s="25"/>
    </row>
    <row r="957" ht="15.75" hidden="1" customHeight="1">
      <c r="A957" s="132"/>
      <c r="B957" s="132"/>
      <c r="R957" s="133"/>
      <c r="Y957" s="25"/>
    </row>
    <row r="958" ht="15.75" hidden="1" customHeight="1">
      <c r="A958" s="132"/>
      <c r="B958" s="132"/>
      <c r="R958" s="133"/>
      <c r="Y958" s="25"/>
    </row>
    <row r="959" ht="15.75" hidden="1" customHeight="1">
      <c r="A959" s="132"/>
      <c r="B959" s="132"/>
      <c r="R959" s="133"/>
      <c r="Y959" s="25"/>
    </row>
    <row r="960" ht="15.75" hidden="1" customHeight="1">
      <c r="A960" s="132"/>
      <c r="B960" s="132"/>
      <c r="R960" s="133"/>
      <c r="Y960" s="25"/>
    </row>
    <row r="961" ht="15.75" hidden="1" customHeight="1">
      <c r="A961" s="132"/>
      <c r="B961" s="132"/>
      <c r="R961" s="133"/>
      <c r="Y961" s="25"/>
    </row>
    <row r="962" ht="15.75" hidden="1" customHeight="1">
      <c r="A962" s="132"/>
      <c r="B962" s="132"/>
      <c r="R962" s="133"/>
      <c r="Y962" s="25"/>
    </row>
    <row r="963" ht="15.75" hidden="1" customHeight="1">
      <c r="A963" s="132"/>
      <c r="B963" s="132"/>
      <c r="R963" s="133"/>
      <c r="Y963" s="25"/>
    </row>
    <row r="964" ht="15.75" hidden="1" customHeight="1">
      <c r="A964" s="132"/>
      <c r="B964" s="132"/>
      <c r="R964" s="133"/>
      <c r="Y964" s="57"/>
    </row>
    <row r="965" ht="15.75" hidden="1" customHeight="1">
      <c r="A965" s="132"/>
      <c r="B965" s="132"/>
      <c r="R965" s="133"/>
      <c r="Y965" s="57"/>
    </row>
    <row r="966" ht="15.75" hidden="1" customHeight="1">
      <c r="A966" s="132"/>
      <c r="B966" s="132"/>
      <c r="R966" s="133"/>
      <c r="Y966" s="57"/>
    </row>
    <row r="967" ht="15.75" hidden="1" customHeight="1">
      <c r="A967" s="132"/>
      <c r="B967" s="132"/>
      <c r="R967" s="133"/>
      <c r="Y967" s="57"/>
    </row>
    <row r="968" ht="15.75" hidden="1" customHeight="1">
      <c r="A968" s="132"/>
      <c r="B968" s="132"/>
      <c r="R968" s="133"/>
      <c r="Y968" s="57"/>
    </row>
    <row r="969" ht="15.75" hidden="1" customHeight="1">
      <c r="A969" s="132"/>
      <c r="B969" s="132"/>
      <c r="R969" s="133"/>
      <c r="Y969" s="57"/>
    </row>
    <row r="970" ht="15.75" hidden="1" customHeight="1">
      <c r="A970" s="132"/>
      <c r="B970" s="132"/>
      <c r="R970" s="133"/>
      <c r="Y970" s="57"/>
    </row>
    <row r="971" ht="15.75" hidden="1" customHeight="1">
      <c r="A971" s="132"/>
      <c r="B971" s="132"/>
      <c r="R971" s="133"/>
      <c r="Y971" s="57"/>
    </row>
    <row r="972" ht="15.75" hidden="1" customHeight="1">
      <c r="A972" s="132"/>
      <c r="B972" s="132"/>
      <c r="R972" s="133"/>
      <c r="Y972" s="57"/>
    </row>
    <row r="973" ht="15.75" hidden="1" customHeight="1">
      <c r="A973" s="132"/>
      <c r="B973" s="132"/>
      <c r="R973" s="133"/>
      <c r="Y973" s="57"/>
    </row>
    <row r="974" ht="15.75" hidden="1" customHeight="1">
      <c r="A974" s="132"/>
      <c r="B974" s="132"/>
      <c r="R974" s="133"/>
      <c r="Y974" s="57"/>
    </row>
    <row r="975" ht="15.75" hidden="1" customHeight="1">
      <c r="A975" s="132"/>
      <c r="B975" s="132"/>
      <c r="R975" s="133"/>
      <c r="Y975" s="57"/>
    </row>
    <row r="976" ht="15.75" hidden="1" customHeight="1">
      <c r="A976" s="132"/>
      <c r="B976" s="132"/>
      <c r="R976" s="133"/>
      <c r="Y976" s="57"/>
    </row>
    <row r="977" ht="15.75" hidden="1" customHeight="1">
      <c r="A977" s="132"/>
      <c r="B977" s="132"/>
      <c r="R977" s="133"/>
      <c r="Y977" s="57"/>
    </row>
    <row r="978" ht="15.75" hidden="1" customHeight="1">
      <c r="A978" s="132"/>
      <c r="B978" s="132"/>
      <c r="R978" s="133"/>
      <c r="Y978" s="57"/>
    </row>
    <row r="979" ht="15.75" hidden="1" customHeight="1">
      <c r="A979" s="132"/>
      <c r="B979" s="132"/>
      <c r="R979" s="133"/>
      <c r="Y979" s="57"/>
    </row>
    <row r="980" ht="15.75" hidden="1" customHeight="1">
      <c r="A980" s="132"/>
      <c r="B980" s="132"/>
      <c r="R980" s="133"/>
      <c r="Y980" s="57"/>
    </row>
    <row r="981" ht="15.75" hidden="1" customHeight="1">
      <c r="A981" s="132"/>
      <c r="B981" s="132"/>
      <c r="R981" s="133"/>
      <c r="Y981" s="57"/>
    </row>
    <row r="982" ht="15.75" hidden="1" customHeight="1">
      <c r="A982" s="132"/>
      <c r="B982" s="132"/>
      <c r="R982" s="133"/>
      <c r="Y982" s="57"/>
    </row>
    <row r="983" ht="15.75" hidden="1" customHeight="1">
      <c r="A983" s="132"/>
      <c r="B983" s="132"/>
      <c r="R983" s="133"/>
      <c r="Y983" s="57"/>
    </row>
    <row r="984" ht="15.75" hidden="1" customHeight="1">
      <c r="A984" s="132"/>
      <c r="B984" s="132"/>
      <c r="R984" s="133"/>
      <c r="Y984" s="57"/>
    </row>
    <row r="985" ht="15.75" hidden="1" customHeight="1">
      <c r="A985" s="132"/>
      <c r="B985" s="132"/>
      <c r="R985" s="133"/>
      <c r="Y985" s="57"/>
    </row>
    <row r="986" ht="15.75" hidden="1" customHeight="1">
      <c r="A986" s="132"/>
      <c r="B986" s="132"/>
      <c r="R986" s="133"/>
      <c r="Y986" s="57"/>
    </row>
    <row r="987" ht="15.75" hidden="1" customHeight="1">
      <c r="A987" s="132"/>
      <c r="B987" s="132"/>
      <c r="R987" s="133"/>
      <c r="Y987" s="57"/>
    </row>
    <row r="988" ht="15.75" hidden="1" customHeight="1">
      <c r="A988" s="132"/>
      <c r="B988" s="132"/>
      <c r="R988" s="133"/>
      <c r="Y988" s="57"/>
    </row>
    <row r="989" ht="15.75" hidden="1" customHeight="1">
      <c r="A989" s="132"/>
      <c r="B989" s="132"/>
      <c r="R989" s="133"/>
      <c r="Y989" s="57"/>
    </row>
    <row r="990" ht="15.75" hidden="1" customHeight="1">
      <c r="A990" s="132"/>
      <c r="B990" s="132"/>
      <c r="R990" s="133"/>
      <c r="Y990" s="57"/>
    </row>
    <row r="991" ht="15.75" hidden="1" customHeight="1">
      <c r="A991" s="132"/>
      <c r="B991" s="132"/>
      <c r="R991" s="133"/>
      <c r="Y991" s="57"/>
    </row>
    <row r="992" ht="15.75" hidden="1" customHeight="1">
      <c r="A992" s="132"/>
      <c r="B992" s="132"/>
      <c r="R992" s="133"/>
      <c r="Y992" s="57"/>
    </row>
    <row r="993" ht="15.75" hidden="1" customHeight="1">
      <c r="A993" s="132"/>
      <c r="B993" s="132"/>
      <c r="R993" s="133"/>
      <c r="Y993" s="57"/>
    </row>
    <row r="994" ht="15.75" hidden="1" customHeight="1">
      <c r="A994" s="132"/>
      <c r="B994" s="132"/>
      <c r="R994" s="133"/>
      <c r="Y994" s="57"/>
    </row>
    <row r="995" ht="15.75" hidden="1" customHeight="1">
      <c r="A995" s="132"/>
      <c r="B995" s="132"/>
      <c r="R995" s="133"/>
      <c r="Y995" s="57"/>
    </row>
    <row r="996" ht="15.75" hidden="1" customHeight="1">
      <c r="A996" s="132"/>
      <c r="B996" s="132"/>
      <c r="R996" s="133"/>
      <c r="Y996" s="57"/>
    </row>
    <row r="997" ht="15.75" hidden="1" customHeight="1">
      <c r="A997" s="132"/>
      <c r="B997" s="132"/>
      <c r="R997" s="133"/>
      <c r="Y997" s="57"/>
    </row>
    <row r="998" ht="15.75" hidden="1" customHeight="1">
      <c r="A998" s="132"/>
      <c r="B998" s="132"/>
      <c r="R998" s="133"/>
      <c r="Y998" s="57"/>
    </row>
    <row r="999" ht="15.75" hidden="1" customHeight="1">
      <c r="A999" s="132"/>
      <c r="B999" s="132"/>
      <c r="R999" s="133"/>
      <c r="Y999" s="57"/>
    </row>
    <row r="1000" ht="15.75" hidden="1" customHeight="1">
      <c r="A1000" s="132"/>
      <c r="B1000" s="132"/>
      <c r="R1000" s="133"/>
      <c r="Y1000" s="57"/>
    </row>
    <row r="1001" ht="15.75" hidden="1" customHeight="1">
      <c r="A1001" s="132"/>
      <c r="B1001" s="132"/>
      <c r="R1001" s="133"/>
      <c r="Y1001" s="57"/>
    </row>
    <row r="1002" ht="15.75" hidden="1" customHeight="1">
      <c r="A1002" s="132"/>
      <c r="B1002" s="132"/>
      <c r="R1002" s="133"/>
      <c r="Y1002" s="57"/>
    </row>
    <row r="1003" ht="15.75" hidden="1" customHeight="1">
      <c r="A1003" s="132"/>
      <c r="B1003" s="132"/>
      <c r="R1003" s="133"/>
      <c r="Y1003" s="57"/>
    </row>
    <row r="1004" ht="15.75" hidden="1" customHeight="1">
      <c r="A1004" s="132"/>
      <c r="B1004" s="132"/>
      <c r="R1004" s="133"/>
      <c r="Y1004" s="57"/>
    </row>
    <row r="1005" ht="15.75" hidden="1" customHeight="1">
      <c r="A1005" s="132"/>
      <c r="B1005" s="132"/>
      <c r="R1005" s="133"/>
      <c r="Y1005" s="57"/>
    </row>
    <row r="1006" ht="15.75" hidden="1" customHeight="1">
      <c r="A1006" s="132"/>
      <c r="B1006" s="132"/>
      <c r="R1006" s="133"/>
      <c r="Y1006" s="57"/>
    </row>
    <row r="1007" ht="15.75" hidden="1" customHeight="1">
      <c r="A1007" s="132"/>
      <c r="B1007" s="132"/>
      <c r="R1007" s="133"/>
      <c r="Y1007" s="57"/>
    </row>
    <row r="1008" ht="15.75" hidden="1" customHeight="1">
      <c r="A1008" s="132"/>
      <c r="B1008" s="132"/>
      <c r="R1008" s="133"/>
      <c r="Y1008" s="57"/>
    </row>
    <row r="1009" ht="15.75" hidden="1" customHeight="1">
      <c r="A1009" s="132"/>
      <c r="B1009" s="132"/>
      <c r="R1009" s="133"/>
      <c r="Y1009" s="57"/>
    </row>
    <row r="1010" ht="15.75" hidden="1" customHeight="1">
      <c r="A1010" s="132"/>
      <c r="B1010" s="132"/>
      <c r="R1010" s="133"/>
      <c r="Y1010" s="57"/>
    </row>
    <row r="1011" ht="15.75" hidden="1" customHeight="1">
      <c r="A1011" s="132"/>
      <c r="B1011" s="132"/>
      <c r="R1011" s="133"/>
      <c r="Y1011" s="57"/>
    </row>
    <row r="1012" ht="15.75" hidden="1" customHeight="1">
      <c r="A1012" s="132"/>
      <c r="B1012" s="132"/>
      <c r="R1012" s="133"/>
      <c r="Y1012" s="57"/>
    </row>
    <row r="1013" ht="15.75" hidden="1" customHeight="1">
      <c r="A1013" s="132"/>
      <c r="B1013" s="132"/>
      <c r="R1013" s="133"/>
      <c r="Y1013" s="57"/>
    </row>
    <row r="1014" ht="15.75" hidden="1" customHeight="1">
      <c r="A1014" s="132"/>
      <c r="B1014" s="132"/>
      <c r="R1014" s="133"/>
      <c r="Y1014" s="57"/>
    </row>
    <row r="1015" ht="15.75" hidden="1" customHeight="1">
      <c r="A1015" s="132"/>
      <c r="B1015" s="132"/>
      <c r="R1015" s="133"/>
      <c r="Y1015" s="57"/>
    </row>
    <row r="1016" ht="15.75" hidden="1" customHeight="1">
      <c r="A1016" s="132"/>
      <c r="B1016" s="132"/>
      <c r="R1016" s="133"/>
      <c r="Y1016" s="57"/>
    </row>
    <row r="1017" ht="15.75" hidden="1" customHeight="1">
      <c r="A1017" s="132"/>
      <c r="B1017" s="132"/>
      <c r="R1017" s="133"/>
      <c r="Y1017" s="57"/>
    </row>
    <row r="1018" ht="15.75" hidden="1" customHeight="1">
      <c r="A1018" s="132"/>
      <c r="B1018" s="132"/>
      <c r="R1018" s="133"/>
      <c r="Y1018" s="57"/>
    </row>
    <row r="1019" ht="15.75" hidden="1" customHeight="1">
      <c r="A1019" s="132"/>
      <c r="B1019" s="132"/>
      <c r="R1019" s="133"/>
      <c r="Y1019" s="57"/>
    </row>
    <row r="1020" ht="15.75" hidden="1" customHeight="1">
      <c r="A1020" s="132"/>
      <c r="B1020" s="132"/>
      <c r="R1020" s="133"/>
      <c r="Y1020" s="57"/>
    </row>
    <row r="1021" ht="15.75" hidden="1" customHeight="1">
      <c r="A1021" s="132"/>
      <c r="B1021" s="132"/>
      <c r="R1021" s="133"/>
      <c r="Y1021" s="57"/>
    </row>
    <row r="1022" ht="15.75" hidden="1" customHeight="1">
      <c r="A1022" s="132"/>
      <c r="B1022" s="132"/>
      <c r="R1022" s="133"/>
      <c r="Y1022" s="57"/>
    </row>
    <row r="1023" ht="15.75" hidden="1" customHeight="1">
      <c r="A1023" s="132"/>
      <c r="B1023" s="132"/>
      <c r="R1023" s="133"/>
      <c r="Y1023" s="57"/>
    </row>
    <row r="1024" ht="15.75" hidden="1" customHeight="1">
      <c r="A1024" s="132"/>
      <c r="B1024" s="132"/>
      <c r="R1024" s="133"/>
      <c r="Y1024" s="57"/>
    </row>
    <row r="1025" ht="15.75" hidden="1" customHeight="1">
      <c r="A1025" s="132"/>
      <c r="B1025" s="132"/>
      <c r="R1025" s="133"/>
      <c r="Y1025" s="57"/>
    </row>
    <row r="1026" ht="15.75" hidden="1" customHeight="1">
      <c r="A1026" s="132"/>
      <c r="B1026" s="132"/>
      <c r="R1026" s="133"/>
      <c r="Y1026" s="57"/>
    </row>
    <row r="1027" ht="15.75" hidden="1" customHeight="1">
      <c r="A1027" s="132"/>
      <c r="B1027" s="132"/>
      <c r="R1027" s="133"/>
      <c r="Y1027" s="57"/>
    </row>
    <row r="1028" ht="15.75" hidden="1" customHeight="1">
      <c r="A1028" s="132"/>
      <c r="B1028" s="132"/>
      <c r="R1028" s="133"/>
      <c r="Y1028" s="57"/>
    </row>
    <row r="1029" ht="15.75" hidden="1" customHeight="1">
      <c r="A1029" s="132"/>
      <c r="B1029" s="132"/>
      <c r="R1029" s="133"/>
      <c r="Y1029" s="57"/>
    </row>
    <row r="1030" ht="15.75" hidden="1" customHeight="1">
      <c r="A1030" s="132"/>
      <c r="B1030" s="132"/>
      <c r="R1030" s="133"/>
      <c r="Y1030" s="57"/>
    </row>
    <row r="1031" ht="15.75" hidden="1" customHeight="1">
      <c r="A1031" s="132"/>
      <c r="B1031" s="132"/>
      <c r="R1031" s="133"/>
      <c r="Y1031" s="57"/>
    </row>
    <row r="1032" ht="15.75" hidden="1" customHeight="1">
      <c r="A1032" s="132"/>
      <c r="B1032" s="132"/>
      <c r="R1032" s="133"/>
      <c r="Y1032" s="57"/>
    </row>
    <row r="1033" ht="15.75" hidden="1" customHeight="1">
      <c r="A1033" s="132"/>
      <c r="B1033" s="132"/>
      <c r="R1033" s="133"/>
      <c r="Y1033" s="57"/>
    </row>
    <row r="1034" ht="15.75" hidden="1" customHeight="1">
      <c r="A1034" s="132"/>
      <c r="B1034" s="132"/>
      <c r="R1034" s="133"/>
      <c r="Y1034" s="57"/>
    </row>
    <row r="1035" ht="15.75" hidden="1" customHeight="1">
      <c r="A1035" s="132"/>
      <c r="B1035" s="132"/>
      <c r="R1035" s="133"/>
      <c r="Y1035" s="57"/>
    </row>
    <row r="1036" ht="15.75" hidden="1" customHeight="1">
      <c r="A1036" s="132"/>
      <c r="B1036" s="132"/>
      <c r="R1036" s="133"/>
      <c r="Y1036" s="57"/>
    </row>
    <row r="1037" ht="15.75" hidden="1" customHeight="1">
      <c r="A1037" s="132"/>
      <c r="B1037" s="132"/>
      <c r="R1037" s="133"/>
      <c r="Y1037" s="57"/>
    </row>
    <row r="1038" ht="15.75" hidden="1" customHeight="1">
      <c r="A1038" s="132"/>
      <c r="B1038" s="132"/>
      <c r="R1038" s="133"/>
      <c r="Y1038" s="57"/>
    </row>
    <row r="1039" ht="15.75" hidden="1" customHeight="1">
      <c r="A1039" s="132"/>
      <c r="B1039" s="132"/>
      <c r="R1039" s="133"/>
      <c r="Y1039" s="57"/>
    </row>
    <row r="1040" ht="15.75" hidden="1" customHeight="1">
      <c r="A1040" s="132"/>
      <c r="B1040" s="132"/>
      <c r="R1040" s="133"/>
      <c r="Y1040" s="57"/>
    </row>
    <row r="1041" ht="15.75" hidden="1" customHeight="1">
      <c r="A1041" s="132"/>
      <c r="B1041" s="132"/>
      <c r="R1041" s="133"/>
      <c r="Y1041" s="57"/>
    </row>
    <row r="1042" ht="15.75" hidden="1" customHeight="1">
      <c r="A1042" s="132"/>
      <c r="B1042" s="132"/>
      <c r="R1042" s="133"/>
      <c r="Y1042" s="57"/>
    </row>
    <row r="1043" ht="15.75" hidden="1" customHeight="1">
      <c r="A1043" s="132"/>
      <c r="B1043" s="132"/>
      <c r="R1043" s="133"/>
      <c r="Y1043" s="57"/>
    </row>
    <row r="1044" ht="15.75" hidden="1" customHeight="1">
      <c r="A1044" s="132"/>
      <c r="B1044" s="132"/>
      <c r="R1044" s="133"/>
      <c r="Y1044" s="57"/>
    </row>
    <row r="1045" ht="15.75" hidden="1" customHeight="1">
      <c r="A1045" s="132"/>
      <c r="B1045" s="132"/>
      <c r="R1045" s="133"/>
      <c r="Y1045" s="57"/>
    </row>
    <row r="1046" ht="15.75" hidden="1" customHeight="1">
      <c r="A1046" s="132"/>
      <c r="B1046" s="132"/>
      <c r="R1046" s="133"/>
      <c r="Y1046" s="57"/>
    </row>
    <row r="1047" ht="15.75" hidden="1" customHeight="1">
      <c r="A1047" s="132"/>
      <c r="B1047" s="132"/>
      <c r="R1047" s="133"/>
      <c r="Y1047" s="57"/>
    </row>
    <row r="1048" ht="15.75" hidden="1" customHeight="1">
      <c r="A1048" s="132"/>
      <c r="B1048" s="132"/>
      <c r="R1048" s="133"/>
      <c r="Y1048" s="57"/>
    </row>
    <row r="1049" ht="15.75" hidden="1" customHeight="1">
      <c r="A1049" s="132"/>
      <c r="B1049" s="132"/>
      <c r="R1049" s="133"/>
      <c r="Y1049" s="57"/>
    </row>
    <row r="1050" ht="15.75" hidden="1" customHeight="1">
      <c r="A1050" s="132"/>
      <c r="B1050" s="132"/>
      <c r="R1050" s="133"/>
      <c r="Y1050" s="57"/>
    </row>
    <row r="1051" ht="15.75" hidden="1" customHeight="1">
      <c r="A1051" s="132"/>
      <c r="B1051" s="132"/>
      <c r="R1051" s="133"/>
      <c r="Y1051" s="57"/>
    </row>
    <row r="1052" ht="15.75" hidden="1" customHeight="1">
      <c r="A1052" s="132"/>
      <c r="B1052" s="132"/>
      <c r="R1052" s="133"/>
      <c r="Y1052" s="57"/>
    </row>
    <row r="1053" ht="15.75" hidden="1" customHeight="1">
      <c r="A1053" s="132"/>
      <c r="B1053" s="132"/>
      <c r="R1053" s="133"/>
      <c r="Y1053" s="57"/>
    </row>
    <row r="1054" ht="15.75" hidden="1" customHeight="1">
      <c r="A1054" s="132"/>
      <c r="B1054" s="132"/>
      <c r="R1054" s="133"/>
      <c r="Y1054" s="57"/>
    </row>
    <row r="1055" ht="15.75" hidden="1" customHeight="1">
      <c r="A1055" s="132"/>
      <c r="B1055" s="132"/>
      <c r="R1055" s="133"/>
      <c r="Y1055" s="57"/>
    </row>
    <row r="1056" ht="15.75" hidden="1" customHeight="1">
      <c r="A1056" s="132"/>
      <c r="B1056" s="132"/>
      <c r="R1056" s="133"/>
      <c r="Y1056" s="57"/>
    </row>
    <row r="1057" ht="15.75" hidden="1" customHeight="1">
      <c r="A1057" s="132"/>
      <c r="B1057" s="132"/>
      <c r="R1057" s="133"/>
      <c r="Y1057" s="57"/>
    </row>
    <row r="1058" ht="15.75" hidden="1" customHeight="1">
      <c r="A1058" s="132"/>
      <c r="B1058" s="132"/>
      <c r="R1058" s="133"/>
      <c r="Y1058" s="57"/>
    </row>
    <row r="1059" ht="15.75" hidden="1" customHeight="1">
      <c r="A1059" s="132"/>
      <c r="B1059" s="132"/>
      <c r="R1059" s="133"/>
      <c r="Y1059" s="57"/>
    </row>
    <row r="1060" ht="15.75" hidden="1" customHeight="1">
      <c r="A1060" s="132"/>
      <c r="B1060" s="132"/>
      <c r="R1060" s="133"/>
      <c r="Y1060" s="57"/>
    </row>
    <row r="1061" ht="15.75" hidden="1" customHeight="1">
      <c r="A1061" s="132"/>
      <c r="B1061" s="132"/>
      <c r="R1061" s="133"/>
      <c r="Y1061" s="57"/>
    </row>
    <row r="1062" ht="15.75" hidden="1" customHeight="1">
      <c r="A1062" s="132"/>
      <c r="B1062" s="132"/>
      <c r="R1062" s="133"/>
      <c r="Y1062" s="57"/>
    </row>
    <row r="1063" ht="15.75" hidden="1" customHeight="1">
      <c r="A1063" s="132"/>
      <c r="B1063" s="132"/>
      <c r="R1063" s="133"/>
      <c r="Y1063" s="57"/>
    </row>
    <row r="1064" ht="15.75" hidden="1" customHeight="1">
      <c r="A1064" s="132"/>
      <c r="B1064" s="132"/>
      <c r="R1064" s="133"/>
      <c r="Y1064" s="57"/>
    </row>
    <row r="1065" ht="15.75" hidden="1" customHeight="1">
      <c r="A1065" s="132"/>
      <c r="B1065" s="132"/>
      <c r="R1065" s="133"/>
      <c r="Y1065" s="57"/>
    </row>
    <row r="1066" ht="15.75" hidden="1" customHeight="1">
      <c r="A1066" s="132"/>
      <c r="B1066" s="132"/>
      <c r="R1066" s="133"/>
      <c r="Y1066" s="57"/>
    </row>
    <row r="1067" ht="15.75" hidden="1" customHeight="1">
      <c r="A1067" s="132"/>
      <c r="B1067" s="132"/>
      <c r="R1067" s="133"/>
      <c r="Y1067" s="57"/>
    </row>
    <row r="1068" ht="15.75" hidden="1" customHeight="1">
      <c r="A1068" s="132"/>
      <c r="B1068" s="132"/>
      <c r="R1068" s="133"/>
      <c r="Y1068" s="57"/>
    </row>
    <row r="1069" ht="15.75" hidden="1" customHeight="1">
      <c r="A1069" s="132"/>
      <c r="B1069" s="132"/>
      <c r="R1069" s="133"/>
      <c r="Y1069" s="57"/>
    </row>
    <row r="1070" ht="15.75" hidden="1" customHeight="1">
      <c r="A1070" s="132"/>
      <c r="B1070" s="132"/>
      <c r="R1070" s="133"/>
      <c r="Y1070" s="57"/>
    </row>
    <row r="1071" ht="15.75" hidden="1" customHeight="1">
      <c r="A1071" s="132"/>
      <c r="B1071" s="132"/>
      <c r="R1071" s="133"/>
      <c r="Y1071" s="57"/>
    </row>
    <row r="1072" ht="15.75" hidden="1" customHeight="1">
      <c r="A1072" s="132"/>
      <c r="B1072" s="132"/>
      <c r="R1072" s="133"/>
      <c r="Y1072" s="57"/>
    </row>
    <row r="1073" ht="15.75" hidden="1" customHeight="1">
      <c r="A1073" s="132"/>
      <c r="B1073" s="132"/>
      <c r="R1073" s="133"/>
      <c r="Y1073" s="57"/>
    </row>
    <row r="1074" ht="15.75" hidden="1" customHeight="1">
      <c r="A1074" s="132"/>
      <c r="B1074" s="132"/>
      <c r="R1074" s="133"/>
      <c r="Y1074" s="57"/>
    </row>
    <row r="1075" ht="15.75" hidden="1" customHeight="1">
      <c r="A1075" s="132"/>
      <c r="B1075" s="132"/>
      <c r="R1075" s="133"/>
      <c r="Y1075" s="57"/>
    </row>
    <row r="1076" ht="15.75" hidden="1" customHeight="1">
      <c r="A1076" s="132"/>
      <c r="B1076" s="132"/>
      <c r="R1076" s="133"/>
      <c r="Y1076" s="57"/>
    </row>
    <row r="1077" ht="15.75" hidden="1" customHeight="1">
      <c r="A1077" s="132"/>
      <c r="B1077" s="132"/>
      <c r="R1077" s="133"/>
      <c r="Y1077" s="57"/>
    </row>
    <row r="1078" ht="15.75" hidden="1" customHeight="1">
      <c r="A1078" s="132"/>
      <c r="B1078" s="132"/>
      <c r="R1078" s="133"/>
      <c r="Y1078" s="57"/>
    </row>
    <row r="1079" ht="15.75" hidden="1" customHeight="1">
      <c r="A1079" s="132"/>
      <c r="B1079" s="132"/>
      <c r="R1079" s="133"/>
      <c r="Y1079" s="57"/>
    </row>
    <row r="1080" ht="15.75" hidden="1" customHeight="1">
      <c r="A1080" s="132"/>
      <c r="B1080" s="132"/>
      <c r="R1080" s="133"/>
      <c r="Y1080" s="57"/>
    </row>
    <row r="1081" ht="15.75" hidden="1" customHeight="1">
      <c r="A1081" s="132"/>
      <c r="B1081" s="132"/>
      <c r="R1081" s="133"/>
      <c r="Y1081" s="57"/>
    </row>
    <row r="1082" ht="15.75" hidden="1" customHeight="1">
      <c r="A1082" s="132"/>
      <c r="B1082" s="132"/>
      <c r="R1082" s="133"/>
      <c r="Y1082" s="57"/>
    </row>
    <row r="1083" ht="15.75" hidden="1" customHeight="1">
      <c r="A1083" s="132"/>
      <c r="B1083" s="132"/>
      <c r="R1083" s="133"/>
      <c r="Y1083" s="57"/>
    </row>
    <row r="1084" ht="15.75" hidden="1" customHeight="1">
      <c r="A1084" s="132"/>
      <c r="B1084" s="132"/>
      <c r="R1084" s="133"/>
      <c r="Y1084" s="57"/>
    </row>
    <row r="1085" ht="15.75" hidden="1" customHeight="1">
      <c r="A1085" s="132"/>
      <c r="B1085" s="132"/>
      <c r="R1085" s="133"/>
      <c r="Y1085" s="57"/>
    </row>
    <row r="1086" ht="15.75" hidden="1" customHeight="1">
      <c r="A1086" s="132"/>
      <c r="B1086" s="132"/>
      <c r="R1086" s="133"/>
      <c r="Y1086" s="57"/>
    </row>
    <row r="1087" ht="15.75" hidden="1" customHeight="1">
      <c r="A1087" s="132"/>
      <c r="B1087" s="132"/>
      <c r="R1087" s="133"/>
      <c r="Y1087" s="57"/>
    </row>
    <row r="1088" ht="15.75" hidden="1" customHeight="1">
      <c r="A1088" s="132"/>
      <c r="B1088" s="132"/>
      <c r="R1088" s="133"/>
      <c r="Y1088" s="57"/>
    </row>
    <row r="1089" ht="15.75" hidden="1" customHeight="1">
      <c r="A1089" s="132"/>
      <c r="B1089" s="132"/>
      <c r="R1089" s="133"/>
      <c r="Y1089" s="57"/>
    </row>
    <row r="1090" ht="15.75" hidden="1" customHeight="1">
      <c r="A1090" s="132"/>
      <c r="B1090" s="132"/>
      <c r="R1090" s="133"/>
      <c r="Y1090" s="57"/>
    </row>
    <row r="1091" ht="15.75" hidden="1" customHeight="1">
      <c r="A1091" s="132"/>
      <c r="B1091" s="132"/>
      <c r="R1091" s="133"/>
      <c r="Y1091" s="57"/>
    </row>
    <row r="1092" ht="15.75" hidden="1" customHeight="1">
      <c r="A1092" s="132"/>
      <c r="B1092" s="132"/>
      <c r="R1092" s="133"/>
      <c r="Y1092" s="57"/>
    </row>
    <row r="1093" ht="15.75" hidden="1" customHeight="1">
      <c r="A1093" s="132"/>
      <c r="B1093" s="132"/>
      <c r="R1093" s="133"/>
      <c r="Y1093" s="57"/>
    </row>
    <row r="1094" ht="15.75" hidden="1" customHeight="1">
      <c r="A1094" s="132"/>
      <c r="B1094" s="132"/>
      <c r="R1094" s="133"/>
      <c r="Y1094" s="57"/>
    </row>
    <row r="1095" ht="15.75" hidden="1" customHeight="1">
      <c r="A1095" s="132"/>
      <c r="B1095" s="132"/>
      <c r="R1095" s="133"/>
      <c r="Y1095" s="57"/>
    </row>
    <row r="1096" ht="15.75" hidden="1" customHeight="1">
      <c r="A1096" s="132"/>
      <c r="B1096" s="132"/>
      <c r="R1096" s="133"/>
      <c r="Y1096" s="57"/>
    </row>
    <row r="1097" ht="15.75" hidden="1" customHeight="1">
      <c r="A1097" s="132"/>
      <c r="B1097" s="132"/>
      <c r="R1097" s="133"/>
      <c r="Y1097" s="57"/>
    </row>
    <row r="1098" ht="15.75" hidden="1" customHeight="1">
      <c r="A1098" s="132"/>
      <c r="B1098" s="132"/>
      <c r="R1098" s="133"/>
      <c r="Y1098" s="57"/>
    </row>
    <row r="1099" ht="15.75" hidden="1" customHeight="1">
      <c r="A1099" s="132"/>
      <c r="B1099" s="132"/>
      <c r="R1099" s="133"/>
      <c r="Y1099" s="57"/>
    </row>
    <row r="1100" ht="15.75" hidden="1" customHeight="1">
      <c r="A1100" s="132"/>
      <c r="B1100" s="132"/>
      <c r="R1100" s="133"/>
      <c r="Y1100" s="57"/>
    </row>
    <row r="1101" ht="15.75" hidden="1" customHeight="1">
      <c r="A1101" s="132"/>
      <c r="B1101" s="132"/>
      <c r="R1101" s="133"/>
      <c r="Y1101" s="57"/>
    </row>
    <row r="1102" ht="15.75" hidden="1" customHeight="1">
      <c r="A1102" s="132"/>
      <c r="B1102" s="132"/>
      <c r="R1102" s="133"/>
      <c r="Y1102" s="57"/>
    </row>
    <row r="1103" ht="15.75" hidden="1" customHeight="1">
      <c r="A1103" s="132"/>
      <c r="B1103" s="132"/>
      <c r="R1103" s="133"/>
      <c r="Y1103" s="57"/>
    </row>
    <row r="1104" ht="15.75" hidden="1" customHeight="1">
      <c r="A1104" s="132"/>
      <c r="B1104" s="132"/>
      <c r="R1104" s="133"/>
      <c r="Y1104" s="57"/>
    </row>
    <row r="1105" ht="15.75" hidden="1" customHeight="1">
      <c r="A1105" s="132"/>
      <c r="B1105" s="132"/>
      <c r="R1105" s="133"/>
      <c r="Y1105" s="57"/>
    </row>
    <row r="1106" ht="15.75" hidden="1" customHeight="1">
      <c r="A1106" s="132"/>
      <c r="B1106" s="132"/>
      <c r="R1106" s="133"/>
      <c r="Y1106" s="57"/>
    </row>
    <row r="1107" ht="15.75" hidden="1" customHeight="1">
      <c r="A1107" s="132"/>
      <c r="B1107" s="132"/>
      <c r="R1107" s="133"/>
      <c r="Y1107" s="57"/>
    </row>
    <row r="1108" ht="15.75" hidden="1" customHeight="1">
      <c r="A1108" s="132"/>
      <c r="B1108" s="132"/>
      <c r="R1108" s="133"/>
      <c r="Y1108" s="57"/>
    </row>
    <row r="1109" ht="15.75" hidden="1" customHeight="1">
      <c r="A1109" s="132"/>
      <c r="B1109" s="132"/>
      <c r="R1109" s="133"/>
      <c r="Y1109" s="57"/>
    </row>
    <row r="1110" ht="15.75" hidden="1" customHeight="1">
      <c r="A1110" s="132"/>
      <c r="B1110" s="132"/>
      <c r="R1110" s="133"/>
      <c r="Y1110" s="57"/>
    </row>
    <row r="1111" ht="15.75" hidden="1" customHeight="1">
      <c r="A1111" s="132"/>
      <c r="B1111" s="132"/>
      <c r="R1111" s="133"/>
      <c r="Y1111" s="57"/>
    </row>
    <row r="1112" ht="15.75" hidden="1" customHeight="1">
      <c r="A1112" s="132"/>
      <c r="B1112" s="132"/>
      <c r="R1112" s="133"/>
      <c r="Y1112" s="57"/>
    </row>
    <row r="1113" ht="15.75" hidden="1" customHeight="1">
      <c r="A1113" s="132"/>
      <c r="B1113" s="132"/>
      <c r="R1113" s="133"/>
      <c r="Y1113" s="57"/>
    </row>
    <row r="1114" ht="15.75" hidden="1" customHeight="1">
      <c r="A1114" s="132"/>
      <c r="B1114" s="132"/>
      <c r="R1114" s="133"/>
      <c r="Y1114" s="57"/>
    </row>
    <row r="1115" ht="15.75" hidden="1" customHeight="1">
      <c r="A1115" s="132"/>
      <c r="B1115" s="132"/>
      <c r="R1115" s="133"/>
      <c r="Y1115" s="57"/>
    </row>
    <row r="1116" ht="15.75" hidden="1" customHeight="1">
      <c r="A1116" s="132"/>
      <c r="B1116" s="132"/>
      <c r="R1116" s="133"/>
      <c r="Y1116" s="57"/>
    </row>
    <row r="1117" ht="15.75" hidden="1" customHeight="1">
      <c r="A1117" s="132"/>
      <c r="B1117" s="132"/>
      <c r="R1117" s="133"/>
      <c r="Y1117" s="57"/>
    </row>
    <row r="1118" ht="15.75" hidden="1" customHeight="1">
      <c r="A1118" s="132"/>
      <c r="B1118" s="132"/>
      <c r="R1118" s="133"/>
      <c r="Y1118" s="57"/>
    </row>
    <row r="1119" ht="15.75" hidden="1" customHeight="1">
      <c r="A1119" s="132"/>
      <c r="B1119" s="132"/>
      <c r="R1119" s="133"/>
      <c r="Y1119" s="57"/>
    </row>
    <row r="1120" ht="15.75" hidden="1" customHeight="1">
      <c r="A1120" s="132"/>
      <c r="B1120" s="132"/>
      <c r="R1120" s="133"/>
      <c r="Y1120" s="57"/>
    </row>
    <row r="1121" ht="15.75" hidden="1" customHeight="1">
      <c r="A1121" s="132"/>
      <c r="B1121" s="132"/>
      <c r="R1121" s="133"/>
      <c r="Y1121" s="57"/>
    </row>
    <row r="1122" ht="15.75" hidden="1" customHeight="1">
      <c r="A1122" s="132"/>
      <c r="B1122" s="132"/>
      <c r="R1122" s="133"/>
      <c r="Y1122" s="57"/>
    </row>
    <row r="1123" ht="15.75" hidden="1" customHeight="1">
      <c r="A1123" s="132"/>
      <c r="B1123" s="132"/>
      <c r="R1123" s="133"/>
      <c r="Y1123" s="57"/>
    </row>
    <row r="1124" ht="15.75" hidden="1" customHeight="1">
      <c r="A1124" s="132"/>
      <c r="B1124" s="132"/>
      <c r="R1124" s="133"/>
      <c r="Y1124" s="57"/>
    </row>
    <row r="1125" ht="15.75" hidden="1" customHeight="1">
      <c r="A1125" s="132"/>
      <c r="B1125" s="132"/>
      <c r="R1125" s="133"/>
      <c r="Y1125" s="57"/>
    </row>
    <row r="1126" ht="15.75" hidden="1" customHeight="1">
      <c r="A1126" s="132"/>
      <c r="B1126" s="132"/>
      <c r="R1126" s="133"/>
      <c r="Y1126" s="57"/>
    </row>
    <row r="1127" ht="15.75" hidden="1" customHeight="1">
      <c r="A1127" s="132"/>
      <c r="B1127" s="132"/>
      <c r="R1127" s="133"/>
      <c r="Y1127" s="57"/>
    </row>
    <row r="1128" ht="15.75" hidden="1" customHeight="1">
      <c r="A1128" s="132"/>
      <c r="B1128" s="132"/>
      <c r="R1128" s="133"/>
      <c r="Y1128" s="57"/>
    </row>
    <row r="1129" ht="15.75" hidden="1" customHeight="1">
      <c r="A1129" s="132"/>
      <c r="B1129" s="132"/>
      <c r="R1129" s="133"/>
      <c r="Y1129" s="57"/>
    </row>
    <row r="1130" ht="15.75" hidden="1" customHeight="1">
      <c r="A1130" s="132"/>
      <c r="B1130" s="132"/>
      <c r="R1130" s="133"/>
      <c r="Y1130" s="57"/>
    </row>
    <row r="1131" ht="15.75" hidden="1" customHeight="1">
      <c r="A1131" s="132"/>
      <c r="B1131" s="132"/>
      <c r="R1131" s="133"/>
      <c r="Y1131" s="57"/>
    </row>
    <row r="1132" ht="15.75" hidden="1" customHeight="1">
      <c r="A1132" s="132"/>
      <c r="B1132" s="132"/>
      <c r="R1132" s="133"/>
      <c r="Y1132" s="57"/>
    </row>
    <row r="1133" ht="15.75" hidden="1" customHeight="1">
      <c r="A1133" s="132"/>
      <c r="B1133" s="132"/>
      <c r="R1133" s="133"/>
      <c r="Y1133" s="57"/>
    </row>
    <row r="1134" ht="15.75" hidden="1" customHeight="1">
      <c r="A1134" s="132"/>
      <c r="B1134" s="132"/>
      <c r="R1134" s="133"/>
      <c r="Y1134" s="57"/>
    </row>
    <row r="1135" ht="15.75" hidden="1" customHeight="1">
      <c r="A1135" s="132"/>
      <c r="B1135" s="132"/>
      <c r="R1135" s="133"/>
      <c r="Y1135" s="57"/>
    </row>
    <row r="1136" ht="15.75" hidden="1" customHeight="1">
      <c r="A1136" s="132"/>
      <c r="B1136" s="132"/>
      <c r="R1136" s="133"/>
      <c r="Y1136" s="57"/>
    </row>
    <row r="1137" ht="15.75" hidden="1" customHeight="1">
      <c r="A1137" s="132"/>
      <c r="B1137" s="132"/>
      <c r="R1137" s="133"/>
      <c r="Y1137" s="57"/>
    </row>
    <row r="1138" ht="15.75" hidden="1" customHeight="1">
      <c r="A1138" s="132"/>
      <c r="B1138" s="132"/>
      <c r="R1138" s="133"/>
      <c r="Y1138" s="57"/>
    </row>
    <row r="1139" ht="15.75" hidden="1" customHeight="1">
      <c r="A1139" s="132"/>
      <c r="B1139" s="132"/>
      <c r="R1139" s="133"/>
      <c r="Y1139" s="57"/>
    </row>
    <row r="1140" ht="15.75" hidden="1" customHeight="1">
      <c r="A1140" s="132"/>
      <c r="B1140" s="132"/>
      <c r="R1140" s="133"/>
      <c r="Y1140" s="57"/>
    </row>
    <row r="1141" ht="15.75" hidden="1" customHeight="1">
      <c r="A1141" s="132"/>
      <c r="B1141" s="132"/>
      <c r="R1141" s="133"/>
      <c r="Y1141" s="57"/>
    </row>
    <row r="1142" ht="15.75" hidden="1" customHeight="1">
      <c r="A1142" s="132"/>
      <c r="B1142" s="132"/>
      <c r="R1142" s="133"/>
      <c r="Y1142" s="57"/>
    </row>
    <row r="1143" ht="15.75" hidden="1" customHeight="1">
      <c r="A1143" s="132"/>
      <c r="B1143" s="132"/>
      <c r="R1143" s="133"/>
      <c r="Y1143" s="57"/>
    </row>
    <row r="1144" ht="15.75" hidden="1" customHeight="1">
      <c r="A1144" s="132"/>
      <c r="B1144" s="132"/>
      <c r="R1144" s="133"/>
      <c r="Y1144" s="57"/>
    </row>
    <row r="1145" ht="15.75" hidden="1" customHeight="1">
      <c r="A1145" s="132"/>
      <c r="B1145" s="132"/>
      <c r="R1145" s="133"/>
      <c r="Y1145" s="57"/>
    </row>
    <row r="1146" ht="15.75" hidden="1" customHeight="1">
      <c r="A1146" s="132"/>
      <c r="B1146" s="132"/>
      <c r="R1146" s="133"/>
      <c r="Y1146" s="57"/>
    </row>
    <row r="1147" ht="15.75" hidden="1" customHeight="1">
      <c r="A1147" s="132"/>
      <c r="B1147" s="132"/>
      <c r="R1147" s="133"/>
      <c r="Y1147" s="57"/>
    </row>
    <row r="1148" ht="15.75" hidden="1" customHeight="1">
      <c r="A1148" s="132"/>
      <c r="B1148" s="132"/>
      <c r="R1148" s="133"/>
      <c r="Y1148" s="57"/>
    </row>
    <row r="1149" ht="15.75" hidden="1" customHeight="1">
      <c r="A1149" s="132"/>
      <c r="B1149" s="132"/>
      <c r="R1149" s="133"/>
      <c r="Y1149" s="57"/>
    </row>
    <row r="1150" ht="15.75" hidden="1" customHeight="1">
      <c r="A1150" s="132"/>
      <c r="B1150" s="132"/>
      <c r="R1150" s="133"/>
      <c r="Y1150" s="57"/>
    </row>
    <row r="1151" ht="15.75" hidden="1" customHeight="1">
      <c r="A1151" s="132"/>
      <c r="B1151" s="132"/>
      <c r="R1151" s="133"/>
      <c r="Y1151" s="57"/>
    </row>
    <row r="1152" ht="15.75" hidden="1" customHeight="1">
      <c r="A1152" s="132"/>
      <c r="B1152" s="132"/>
      <c r="R1152" s="133"/>
      <c r="Y1152" s="57"/>
    </row>
    <row r="1153" ht="15.75" hidden="1" customHeight="1">
      <c r="A1153" s="132"/>
      <c r="B1153" s="132"/>
      <c r="R1153" s="133"/>
      <c r="Y1153" s="57"/>
    </row>
    <row r="1154" ht="15.75" hidden="1" customHeight="1">
      <c r="A1154" s="132"/>
      <c r="B1154" s="132"/>
      <c r="R1154" s="133"/>
      <c r="Y1154" s="57"/>
    </row>
    <row r="1155" ht="15.75" hidden="1" customHeight="1">
      <c r="A1155" s="132"/>
      <c r="B1155" s="132"/>
      <c r="R1155" s="133"/>
      <c r="Y1155" s="57"/>
    </row>
    <row r="1156" ht="15.75" hidden="1" customHeight="1">
      <c r="A1156" s="132"/>
      <c r="B1156" s="132"/>
      <c r="R1156" s="133"/>
      <c r="Y1156" s="57"/>
    </row>
    <row r="1157" ht="15.75" hidden="1" customHeight="1">
      <c r="A1157" s="132"/>
      <c r="B1157" s="132"/>
      <c r="R1157" s="133"/>
      <c r="Y1157" s="57"/>
    </row>
    <row r="1158" ht="15.75" hidden="1" customHeight="1">
      <c r="A1158" s="132"/>
      <c r="B1158" s="132"/>
      <c r="R1158" s="133"/>
      <c r="Y1158" s="57"/>
    </row>
    <row r="1159" ht="15.75" hidden="1" customHeight="1">
      <c r="A1159" s="132"/>
      <c r="B1159" s="132"/>
      <c r="R1159" s="133"/>
      <c r="Y1159" s="57"/>
    </row>
    <row r="1160" ht="15.75" hidden="1" customHeight="1">
      <c r="A1160" s="132"/>
      <c r="B1160" s="132"/>
      <c r="R1160" s="133"/>
      <c r="Y1160" s="57"/>
    </row>
    <row r="1161" ht="15.75" hidden="1" customHeight="1">
      <c r="A1161" s="132"/>
      <c r="B1161" s="132"/>
      <c r="R1161" s="133"/>
      <c r="Y1161" s="57"/>
    </row>
    <row r="1162" ht="15.75" hidden="1" customHeight="1">
      <c r="A1162" s="132"/>
      <c r="B1162" s="132"/>
      <c r="R1162" s="133"/>
      <c r="Y1162" s="57"/>
    </row>
    <row r="1163" ht="15.75" hidden="1" customHeight="1">
      <c r="A1163" s="132"/>
      <c r="B1163" s="132"/>
      <c r="R1163" s="133"/>
      <c r="Y1163" s="57"/>
    </row>
    <row r="1164" ht="15.75" hidden="1" customHeight="1">
      <c r="A1164" s="132"/>
      <c r="B1164" s="132"/>
      <c r="R1164" s="133"/>
      <c r="Y1164" s="57"/>
    </row>
    <row r="1165" ht="15.75" hidden="1" customHeight="1">
      <c r="A1165" s="132"/>
      <c r="B1165" s="132"/>
      <c r="R1165" s="133"/>
      <c r="Y1165" s="57"/>
    </row>
    <row r="1166" ht="15.75" hidden="1" customHeight="1">
      <c r="A1166" s="132"/>
      <c r="B1166" s="132"/>
      <c r="R1166" s="133"/>
      <c r="Y1166" s="57"/>
    </row>
    <row r="1167" ht="15.75" hidden="1" customHeight="1">
      <c r="A1167" s="132"/>
      <c r="B1167" s="132"/>
      <c r="R1167" s="133"/>
      <c r="Y1167" s="57"/>
    </row>
    <row r="1168" ht="15.75" hidden="1" customHeight="1">
      <c r="A1168" s="132"/>
      <c r="B1168" s="132"/>
      <c r="R1168" s="133"/>
      <c r="Y1168" s="57"/>
    </row>
    <row r="1169" ht="15.75" hidden="1" customHeight="1">
      <c r="A1169" s="132"/>
      <c r="B1169" s="132"/>
      <c r="R1169" s="133"/>
      <c r="Y1169" s="57"/>
    </row>
    <row r="1170" ht="15.75" hidden="1" customHeight="1">
      <c r="A1170" s="132"/>
      <c r="B1170" s="132"/>
      <c r="R1170" s="133"/>
      <c r="Y1170" s="57"/>
    </row>
    <row r="1171" ht="15.75" hidden="1" customHeight="1">
      <c r="A1171" s="132"/>
      <c r="B1171" s="132"/>
      <c r="R1171" s="133"/>
      <c r="Y1171" s="57"/>
    </row>
    <row r="1172" ht="15.75" hidden="1" customHeight="1">
      <c r="A1172" s="132"/>
      <c r="B1172" s="132"/>
      <c r="R1172" s="133"/>
      <c r="Y1172" s="57"/>
    </row>
    <row r="1173" ht="15.75" hidden="1" customHeight="1">
      <c r="A1173" s="132"/>
      <c r="B1173" s="132"/>
      <c r="R1173" s="133"/>
      <c r="Y1173" s="57"/>
    </row>
    <row r="1174" ht="15.75" hidden="1" customHeight="1">
      <c r="A1174" s="132"/>
      <c r="B1174" s="132"/>
      <c r="R1174" s="133"/>
      <c r="Y1174" s="57"/>
    </row>
    <row r="1175" ht="15.75" hidden="1" customHeight="1">
      <c r="A1175" s="132"/>
      <c r="B1175" s="132"/>
      <c r="R1175" s="133"/>
      <c r="Y1175" s="57"/>
    </row>
    <row r="1176" ht="15.75" hidden="1" customHeight="1">
      <c r="A1176" s="132"/>
      <c r="B1176" s="132"/>
      <c r="R1176" s="133"/>
      <c r="Y1176" s="57"/>
    </row>
    <row r="1177" ht="15.75" hidden="1" customHeight="1">
      <c r="A1177" s="132"/>
      <c r="B1177" s="132"/>
      <c r="R1177" s="133"/>
      <c r="Y1177" s="57"/>
    </row>
    <row r="1178" ht="15.75" hidden="1" customHeight="1">
      <c r="A1178" s="132"/>
      <c r="B1178" s="132"/>
      <c r="R1178" s="133"/>
      <c r="Y1178" s="57"/>
    </row>
    <row r="1179" ht="15.75" hidden="1" customHeight="1">
      <c r="A1179" s="132"/>
      <c r="B1179" s="132"/>
      <c r="R1179" s="133"/>
      <c r="Y1179" s="57"/>
    </row>
    <row r="1180" ht="15.75" hidden="1" customHeight="1">
      <c r="A1180" s="132"/>
      <c r="B1180" s="132"/>
      <c r="R1180" s="133"/>
      <c r="Y1180" s="57"/>
    </row>
    <row r="1181" ht="15.75" hidden="1" customHeight="1">
      <c r="A1181" s="132"/>
      <c r="B1181" s="132"/>
      <c r="R1181" s="133"/>
      <c r="Y1181" s="57"/>
    </row>
    <row r="1182" ht="15.75" hidden="1" customHeight="1">
      <c r="A1182" s="132"/>
      <c r="B1182" s="132"/>
      <c r="R1182" s="133"/>
      <c r="Y1182" s="57"/>
    </row>
    <row r="1183" ht="15.75" hidden="1" customHeight="1">
      <c r="A1183" s="132"/>
      <c r="B1183" s="132"/>
      <c r="R1183" s="133"/>
      <c r="Y1183" s="57"/>
    </row>
    <row r="1184" ht="15.75" hidden="1" customHeight="1">
      <c r="A1184" s="132"/>
      <c r="B1184" s="132"/>
      <c r="R1184" s="133"/>
      <c r="Y1184" s="57"/>
    </row>
    <row r="1185" ht="15.75" hidden="1" customHeight="1">
      <c r="A1185" s="132"/>
      <c r="B1185" s="132"/>
      <c r="R1185" s="133"/>
      <c r="Y1185" s="57"/>
    </row>
    <row r="1186" ht="15.75" hidden="1" customHeight="1">
      <c r="A1186" s="132"/>
      <c r="B1186" s="132"/>
      <c r="R1186" s="133"/>
      <c r="Y1186" s="57"/>
    </row>
    <row r="1187" ht="15.75" hidden="1" customHeight="1">
      <c r="A1187" s="132"/>
      <c r="B1187" s="132"/>
      <c r="R1187" s="133"/>
      <c r="Y1187" s="57"/>
    </row>
    <row r="1188" ht="15.75" hidden="1" customHeight="1">
      <c r="A1188" s="132"/>
      <c r="B1188" s="132"/>
      <c r="R1188" s="133"/>
      <c r="Y1188" s="57"/>
    </row>
    <row r="1189" ht="15.75" hidden="1" customHeight="1">
      <c r="A1189" s="132"/>
      <c r="B1189" s="132"/>
      <c r="R1189" s="133"/>
      <c r="Y1189" s="57"/>
    </row>
    <row r="1190" ht="15.75" hidden="1" customHeight="1">
      <c r="A1190" s="132"/>
      <c r="B1190" s="132"/>
      <c r="R1190" s="133"/>
      <c r="Y1190" s="57"/>
    </row>
    <row r="1191" ht="15.75" hidden="1" customHeight="1">
      <c r="A1191" s="132"/>
      <c r="B1191" s="132"/>
      <c r="R1191" s="133"/>
      <c r="Y1191" s="57"/>
    </row>
    <row r="1192" ht="15.75" hidden="1" customHeight="1">
      <c r="A1192" s="132"/>
      <c r="B1192" s="132"/>
      <c r="R1192" s="133"/>
      <c r="Y1192" s="57"/>
    </row>
    <row r="1193" ht="15.75" hidden="1" customHeight="1">
      <c r="A1193" s="132"/>
      <c r="B1193" s="132"/>
      <c r="R1193" s="133"/>
      <c r="Y1193" s="57"/>
    </row>
    <row r="1194" ht="15.75" hidden="1" customHeight="1">
      <c r="A1194" s="132"/>
      <c r="B1194" s="132"/>
      <c r="R1194" s="133"/>
      <c r="Y1194" s="57"/>
    </row>
    <row r="1195" ht="15.75" hidden="1" customHeight="1">
      <c r="A1195" s="132"/>
      <c r="B1195" s="132"/>
      <c r="R1195" s="133"/>
      <c r="Y1195" s="57"/>
    </row>
    <row r="1196" ht="15.75" hidden="1" customHeight="1">
      <c r="A1196" s="132"/>
      <c r="B1196" s="132"/>
      <c r="R1196" s="133"/>
      <c r="Y1196" s="57"/>
    </row>
    <row r="1197" ht="15.75" hidden="1" customHeight="1">
      <c r="A1197" s="132"/>
      <c r="B1197" s="132"/>
      <c r="R1197" s="133"/>
      <c r="Y1197" s="57"/>
    </row>
    <row r="1198" ht="15.75" hidden="1" customHeight="1">
      <c r="A1198" s="132"/>
      <c r="B1198" s="132"/>
      <c r="R1198" s="133"/>
      <c r="Y1198" s="57"/>
    </row>
    <row r="1199" ht="15.75" hidden="1" customHeight="1">
      <c r="A1199" s="132"/>
      <c r="B1199" s="132"/>
      <c r="R1199" s="133"/>
      <c r="Y1199" s="57"/>
    </row>
    <row r="1200" ht="15.75" hidden="1" customHeight="1">
      <c r="A1200" s="132"/>
      <c r="B1200" s="132"/>
      <c r="R1200" s="133"/>
      <c r="Y1200" s="57"/>
    </row>
    <row r="1201" ht="15.75" hidden="1" customHeight="1">
      <c r="A1201" s="132"/>
      <c r="B1201" s="132"/>
      <c r="R1201" s="133"/>
      <c r="Y1201" s="57"/>
    </row>
    <row r="1202" ht="15.75" hidden="1" customHeight="1">
      <c r="A1202" s="132"/>
      <c r="B1202" s="132"/>
      <c r="R1202" s="133"/>
      <c r="Y1202" s="57"/>
    </row>
    <row r="1203" ht="15.75" hidden="1" customHeight="1">
      <c r="A1203" s="132"/>
      <c r="B1203" s="132"/>
      <c r="R1203" s="133"/>
      <c r="Y1203" s="57"/>
    </row>
    <row r="1204" ht="15.75" hidden="1" customHeight="1">
      <c r="A1204" s="132"/>
      <c r="B1204" s="132"/>
      <c r="R1204" s="133"/>
      <c r="Y1204" s="57"/>
    </row>
    <row r="1205" ht="15.75" hidden="1" customHeight="1">
      <c r="A1205" s="132"/>
      <c r="B1205" s="132"/>
      <c r="R1205" s="133"/>
      <c r="Y1205" s="57"/>
    </row>
    <row r="1206" ht="15.75" hidden="1" customHeight="1">
      <c r="A1206" s="132"/>
      <c r="B1206" s="132"/>
      <c r="R1206" s="133"/>
      <c r="Y1206" s="57"/>
    </row>
    <row r="1207" ht="15.75" hidden="1" customHeight="1">
      <c r="A1207" s="132"/>
      <c r="B1207" s="132"/>
      <c r="R1207" s="133"/>
      <c r="Y1207" s="57"/>
    </row>
    <row r="1208" ht="15.75" hidden="1" customHeight="1">
      <c r="A1208" s="132"/>
      <c r="B1208" s="132"/>
      <c r="R1208" s="133"/>
      <c r="Y1208" s="57"/>
    </row>
    <row r="1209" ht="15.75" hidden="1" customHeight="1">
      <c r="A1209" s="132"/>
      <c r="B1209" s="132"/>
      <c r="R1209" s="133"/>
      <c r="Y1209" s="57"/>
    </row>
    <row r="1210" ht="15.75" hidden="1" customHeight="1">
      <c r="A1210" s="132"/>
      <c r="B1210" s="132"/>
      <c r="R1210" s="133"/>
      <c r="Y1210" s="57"/>
    </row>
    <row r="1211" ht="15.75" hidden="1" customHeight="1">
      <c r="A1211" s="132"/>
      <c r="B1211" s="132"/>
      <c r="R1211" s="133"/>
      <c r="Y1211" s="57"/>
    </row>
    <row r="1212" ht="15.75" hidden="1" customHeight="1">
      <c r="A1212" s="132"/>
      <c r="B1212" s="132"/>
      <c r="R1212" s="133"/>
      <c r="Y1212" s="57"/>
    </row>
    <row r="1213" ht="15.75" hidden="1" customHeight="1">
      <c r="A1213" s="132"/>
      <c r="B1213" s="132"/>
      <c r="R1213" s="133"/>
      <c r="Y1213" s="57"/>
    </row>
    <row r="1214" ht="15.75" hidden="1" customHeight="1">
      <c r="A1214" s="132"/>
      <c r="B1214" s="132"/>
      <c r="R1214" s="133"/>
      <c r="Y1214" s="57"/>
    </row>
    <row r="1215" ht="15.75" hidden="1" customHeight="1">
      <c r="A1215" s="132"/>
      <c r="B1215" s="132"/>
      <c r="R1215" s="133"/>
      <c r="Y1215" s="57"/>
    </row>
    <row r="1216" ht="15.75" hidden="1" customHeight="1">
      <c r="A1216" s="132"/>
      <c r="B1216" s="132"/>
      <c r="R1216" s="133"/>
      <c r="Y1216" s="57"/>
    </row>
    <row r="1217" ht="15.75" hidden="1" customHeight="1">
      <c r="A1217" s="132"/>
      <c r="B1217" s="132"/>
      <c r="R1217" s="133"/>
      <c r="Y1217" s="57"/>
    </row>
    <row r="1218" ht="15.75" hidden="1" customHeight="1">
      <c r="A1218" s="132"/>
      <c r="B1218" s="132"/>
      <c r="R1218" s="133"/>
      <c r="Y1218" s="57"/>
    </row>
    <row r="1219" ht="15.75" hidden="1" customHeight="1">
      <c r="A1219" s="132"/>
      <c r="B1219" s="132"/>
      <c r="R1219" s="133"/>
      <c r="Y1219" s="57"/>
    </row>
    <row r="1220" ht="15.75" hidden="1" customHeight="1">
      <c r="A1220" s="132"/>
      <c r="B1220" s="132"/>
      <c r="R1220" s="133"/>
      <c r="Y1220" s="57"/>
    </row>
    <row r="1221" ht="15.75" hidden="1" customHeight="1">
      <c r="A1221" s="132"/>
      <c r="B1221" s="132"/>
      <c r="R1221" s="133"/>
      <c r="Y1221" s="57"/>
    </row>
    <row r="1222" ht="15.75" hidden="1" customHeight="1">
      <c r="A1222" s="132"/>
      <c r="B1222" s="132"/>
      <c r="R1222" s="133"/>
      <c r="Y1222" s="57"/>
    </row>
    <row r="1223" ht="15.75" hidden="1" customHeight="1">
      <c r="A1223" s="132"/>
      <c r="B1223" s="132"/>
      <c r="R1223" s="133"/>
      <c r="Y1223" s="57"/>
    </row>
    <row r="1224" ht="15.75" hidden="1" customHeight="1">
      <c r="A1224" s="132"/>
      <c r="B1224" s="132"/>
      <c r="R1224" s="133"/>
      <c r="Y1224" s="57"/>
    </row>
    <row r="1225" ht="15.75" hidden="1" customHeight="1">
      <c r="A1225" s="132"/>
      <c r="B1225" s="132"/>
      <c r="R1225" s="133"/>
      <c r="Y1225" s="57"/>
    </row>
    <row r="1226" ht="15.75" hidden="1" customHeight="1">
      <c r="A1226" s="132"/>
      <c r="B1226" s="132"/>
      <c r="R1226" s="133"/>
      <c r="Y1226" s="57"/>
    </row>
    <row r="1227" ht="15.75" hidden="1" customHeight="1">
      <c r="A1227" s="132"/>
      <c r="B1227" s="132"/>
      <c r="R1227" s="133"/>
      <c r="Y1227" s="57"/>
    </row>
    <row r="1228" ht="15.75" hidden="1" customHeight="1">
      <c r="A1228" s="132"/>
      <c r="B1228" s="132"/>
      <c r="R1228" s="133"/>
      <c r="Y1228" s="57"/>
    </row>
    <row r="1229" ht="15.75" hidden="1" customHeight="1">
      <c r="A1229" s="132"/>
      <c r="B1229" s="132"/>
      <c r="R1229" s="133"/>
      <c r="Y1229" s="57"/>
    </row>
    <row r="1230" ht="15.75" hidden="1" customHeight="1">
      <c r="A1230" s="132"/>
      <c r="B1230" s="132"/>
      <c r="R1230" s="133"/>
      <c r="Y1230" s="57"/>
    </row>
    <row r="1231" ht="15.75" hidden="1" customHeight="1">
      <c r="A1231" s="132"/>
      <c r="B1231" s="132"/>
      <c r="R1231" s="133"/>
      <c r="Y1231" s="57"/>
    </row>
    <row r="1232" ht="15.75" hidden="1" customHeight="1">
      <c r="A1232" s="132"/>
      <c r="B1232" s="132"/>
      <c r="R1232" s="133"/>
      <c r="Y1232" s="57"/>
    </row>
    <row r="1233" ht="15.75" hidden="1" customHeight="1">
      <c r="A1233" s="132"/>
      <c r="B1233" s="132"/>
      <c r="R1233" s="133"/>
      <c r="Y1233" s="57"/>
    </row>
    <row r="1234" ht="15.75" hidden="1" customHeight="1">
      <c r="A1234" s="132"/>
      <c r="B1234" s="132"/>
      <c r="R1234" s="133"/>
      <c r="Y1234" s="57"/>
    </row>
    <row r="1235" ht="15.75" hidden="1" customHeight="1">
      <c r="A1235" s="132"/>
      <c r="B1235" s="132"/>
      <c r="R1235" s="133"/>
      <c r="Y1235" s="57"/>
    </row>
    <row r="1236" ht="15.75" hidden="1" customHeight="1">
      <c r="A1236" s="132"/>
      <c r="B1236" s="132"/>
      <c r="R1236" s="133"/>
      <c r="Y1236" s="57"/>
    </row>
    <row r="1237" ht="15.75" hidden="1" customHeight="1">
      <c r="A1237" s="132"/>
      <c r="B1237" s="132"/>
      <c r="R1237" s="133"/>
      <c r="Y1237" s="57"/>
    </row>
    <row r="1238" ht="15.75" hidden="1" customHeight="1">
      <c r="A1238" s="132"/>
      <c r="B1238" s="132"/>
      <c r="R1238" s="133"/>
      <c r="Y1238" s="57"/>
    </row>
    <row r="1239" ht="15.75" hidden="1" customHeight="1">
      <c r="A1239" s="132"/>
      <c r="B1239" s="132"/>
      <c r="R1239" s="133"/>
      <c r="Y1239" s="57"/>
    </row>
    <row r="1240" ht="15.75" hidden="1" customHeight="1">
      <c r="A1240" s="132"/>
      <c r="B1240" s="132"/>
      <c r="R1240" s="133"/>
      <c r="Y1240" s="57"/>
    </row>
    <row r="1241" ht="15.75" hidden="1" customHeight="1">
      <c r="A1241" s="132"/>
      <c r="B1241" s="132"/>
      <c r="R1241" s="133"/>
      <c r="Y1241" s="57"/>
    </row>
    <row r="1242" ht="15.75" hidden="1" customHeight="1">
      <c r="A1242" s="132"/>
      <c r="B1242" s="132"/>
      <c r="R1242" s="133"/>
      <c r="Y1242" s="57"/>
    </row>
    <row r="1243" ht="15.75" hidden="1" customHeight="1">
      <c r="A1243" s="132"/>
      <c r="B1243" s="132"/>
      <c r="R1243" s="133"/>
      <c r="Y1243" s="57"/>
    </row>
    <row r="1244" ht="15.75" hidden="1" customHeight="1">
      <c r="A1244" s="132"/>
      <c r="B1244" s="132"/>
      <c r="R1244" s="133"/>
      <c r="Y1244" s="57"/>
    </row>
    <row r="1245" ht="15.75" hidden="1" customHeight="1">
      <c r="A1245" s="132"/>
      <c r="B1245" s="132"/>
      <c r="R1245" s="133"/>
      <c r="Y1245" s="57"/>
    </row>
    <row r="1246" ht="15.75" hidden="1" customHeight="1">
      <c r="A1246" s="132"/>
      <c r="B1246" s="132"/>
      <c r="R1246" s="133"/>
      <c r="Y1246" s="57"/>
    </row>
    <row r="1247" ht="15.75" hidden="1" customHeight="1">
      <c r="A1247" s="132"/>
      <c r="B1247" s="132"/>
      <c r="R1247" s="133"/>
      <c r="Y1247" s="57"/>
    </row>
    <row r="1248" ht="15.75" hidden="1" customHeight="1">
      <c r="A1248" s="132"/>
      <c r="B1248" s="132"/>
      <c r="R1248" s="133"/>
      <c r="Y1248" s="57"/>
    </row>
    <row r="1249" ht="15.75" hidden="1" customHeight="1">
      <c r="A1249" s="132"/>
      <c r="B1249" s="132"/>
      <c r="R1249" s="133"/>
      <c r="Y1249" s="57"/>
    </row>
    <row r="1250" ht="15.75" hidden="1" customHeight="1">
      <c r="A1250" s="132"/>
      <c r="B1250" s="132"/>
      <c r="R1250" s="133"/>
      <c r="Y1250" s="57"/>
    </row>
    <row r="1251" ht="15.75" hidden="1" customHeight="1">
      <c r="A1251" s="132"/>
      <c r="B1251" s="132"/>
      <c r="R1251" s="133"/>
      <c r="Y1251" s="57"/>
    </row>
    <row r="1252" ht="15.75" hidden="1" customHeight="1">
      <c r="A1252" s="132"/>
      <c r="B1252" s="132"/>
      <c r="R1252" s="133"/>
      <c r="Y1252" s="57"/>
    </row>
    <row r="1253" ht="15.75" hidden="1" customHeight="1">
      <c r="A1253" s="132"/>
      <c r="B1253" s="132"/>
      <c r="R1253" s="133"/>
      <c r="Y1253" s="57"/>
    </row>
    <row r="1254" ht="15.75" hidden="1" customHeight="1">
      <c r="A1254" s="132"/>
      <c r="B1254" s="132"/>
      <c r="R1254" s="133"/>
      <c r="Y1254" s="57"/>
    </row>
    <row r="1255" ht="15.75" hidden="1" customHeight="1">
      <c r="A1255" s="132"/>
      <c r="B1255" s="132"/>
      <c r="R1255" s="133"/>
      <c r="Y1255" s="57"/>
    </row>
    <row r="1256" ht="15.75" hidden="1" customHeight="1">
      <c r="A1256" s="132"/>
      <c r="B1256" s="132"/>
      <c r="R1256" s="133"/>
      <c r="Y1256" s="57"/>
    </row>
    <row r="1257" ht="15.75" hidden="1" customHeight="1">
      <c r="A1257" s="132"/>
      <c r="B1257" s="132"/>
      <c r="R1257" s="133"/>
      <c r="Y1257" s="57"/>
    </row>
    <row r="1258" ht="15.75" hidden="1" customHeight="1">
      <c r="A1258" s="132"/>
      <c r="B1258" s="132"/>
      <c r="R1258" s="133"/>
      <c r="Y1258" s="57"/>
    </row>
    <row r="1259" ht="15.75" hidden="1" customHeight="1">
      <c r="A1259" s="132"/>
      <c r="B1259" s="132"/>
      <c r="R1259" s="133"/>
      <c r="Y1259" s="57"/>
    </row>
    <row r="1260" ht="15.75" hidden="1" customHeight="1">
      <c r="A1260" s="132"/>
      <c r="B1260" s="132"/>
      <c r="R1260" s="133"/>
      <c r="Y1260" s="57"/>
    </row>
    <row r="1261" ht="15.75" hidden="1" customHeight="1">
      <c r="A1261" s="132"/>
      <c r="B1261" s="132"/>
      <c r="R1261" s="133"/>
      <c r="Y1261" s="57"/>
    </row>
    <row r="1262" ht="15.75" hidden="1" customHeight="1">
      <c r="A1262" s="132"/>
      <c r="B1262" s="132"/>
      <c r="R1262" s="133"/>
      <c r="Y1262" s="57"/>
    </row>
    <row r="1263" ht="15.75" hidden="1" customHeight="1">
      <c r="A1263" s="132"/>
      <c r="B1263" s="132"/>
      <c r="R1263" s="133"/>
      <c r="Y1263" s="57"/>
    </row>
    <row r="1264" ht="15.75" hidden="1" customHeight="1">
      <c r="A1264" s="132"/>
      <c r="B1264" s="132"/>
      <c r="R1264" s="133"/>
      <c r="Y1264" s="57"/>
    </row>
    <row r="1265" ht="15.75" hidden="1" customHeight="1">
      <c r="A1265" s="132"/>
      <c r="B1265" s="132"/>
      <c r="R1265" s="133"/>
      <c r="Y1265" s="57"/>
    </row>
    <row r="1266" ht="15.75" hidden="1" customHeight="1">
      <c r="A1266" s="132"/>
      <c r="B1266" s="132"/>
      <c r="R1266" s="133"/>
      <c r="Y1266" s="57"/>
    </row>
    <row r="1267" ht="15.75" hidden="1" customHeight="1">
      <c r="A1267" s="132"/>
      <c r="B1267" s="132"/>
      <c r="R1267" s="133"/>
      <c r="Y1267" s="57"/>
    </row>
    <row r="1268" ht="15.75" hidden="1" customHeight="1">
      <c r="A1268" s="132"/>
      <c r="B1268" s="132"/>
      <c r="R1268" s="133"/>
      <c r="Y1268" s="57"/>
    </row>
    <row r="1269" ht="15.75" hidden="1" customHeight="1">
      <c r="A1269" s="132"/>
      <c r="B1269" s="132"/>
      <c r="R1269" s="133"/>
      <c r="Y1269" s="57"/>
    </row>
    <row r="1270" ht="15.75" hidden="1" customHeight="1">
      <c r="A1270" s="132"/>
      <c r="B1270" s="132"/>
      <c r="R1270" s="133"/>
      <c r="Y1270" s="57"/>
    </row>
    <row r="1271" ht="15.75" hidden="1" customHeight="1">
      <c r="A1271" s="132"/>
      <c r="B1271" s="132"/>
      <c r="R1271" s="133"/>
      <c r="Y1271" s="57"/>
    </row>
    <row r="1272" ht="15.75" hidden="1" customHeight="1">
      <c r="A1272" s="132"/>
      <c r="B1272" s="132"/>
      <c r="R1272" s="133"/>
      <c r="Y1272" s="57"/>
    </row>
    <row r="1273" ht="15.75" hidden="1" customHeight="1">
      <c r="A1273" s="132"/>
      <c r="B1273" s="132"/>
      <c r="R1273" s="133"/>
      <c r="Y1273" s="57"/>
    </row>
    <row r="1274" ht="15.75" hidden="1" customHeight="1">
      <c r="A1274" s="132"/>
      <c r="B1274" s="132"/>
      <c r="R1274" s="133"/>
      <c r="Y1274" s="57"/>
    </row>
    <row r="1275" ht="15.75" hidden="1" customHeight="1">
      <c r="A1275" s="132"/>
      <c r="B1275" s="132"/>
      <c r="R1275" s="133"/>
      <c r="Y1275" s="57"/>
    </row>
    <row r="1276" ht="15.75" hidden="1" customHeight="1">
      <c r="A1276" s="132"/>
      <c r="B1276" s="132"/>
      <c r="R1276" s="133"/>
      <c r="Y1276" s="57"/>
    </row>
    <row r="1277" ht="15.75" hidden="1" customHeight="1">
      <c r="A1277" s="132"/>
      <c r="B1277" s="132"/>
      <c r="R1277" s="133"/>
      <c r="Y1277" s="57"/>
    </row>
    <row r="1278" ht="15.75" hidden="1" customHeight="1">
      <c r="A1278" s="132"/>
      <c r="B1278" s="132"/>
      <c r="R1278" s="133"/>
      <c r="Y1278" s="57"/>
    </row>
    <row r="1279" ht="15.75" hidden="1" customHeight="1">
      <c r="A1279" s="132"/>
      <c r="B1279" s="132"/>
      <c r="R1279" s="133"/>
      <c r="Y1279" s="57"/>
    </row>
    <row r="1280" ht="15.75" hidden="1" customHeight="1">
      <c r="A1280" s="132"/>
      <c r="B1280" s="132"/>
      <c r="R1280" s="133"/>
      <c r="Y1280" s="57"/>
    </row>
    <row r="1281" ht="15.75" hidden="1" customHeight="1">
      <c r="A1281" s="132"/>
      <c r="B1281" s="132"/>
      <c r="R1281" s="133"/>
      <c r="Y1281" s="57"/>
    </row>
    <row r="1282" ht="15.75" hidden="1" customHeight="1">
      <c r="A1282" s="132"/>
      <c r="B1282" s="132"/>
      <c r="R1282" s="133"/>
      <c r="Y1282" s="57"/>
    </row>
    <row r="1283" ht="15.75" hidden="1" customHeight="1">
      <c r="A1283" s="132"/>
      <c r="B1283" s="132"/>
      <c r="R1283" s="133"/>
      <c r="Y1283" s="57"/>
    </row>
    <row r="1284" ht="15.75" hidden="1" customHeight="1">
      <c r="A1284" s="132"/>
      <c r="B1284" s="132"/>
      <c r="R1284" s="133"/>
      <c r="Y1284" s="57"/>
    </row>
    <row r="1285" ht="15.75" hidden="1" customHeight="1">
      <c r="A1285" s="132"/>
      <c r="B1285" s="132"/>
      <c r="R1285" s="133"/>
      <c r="Y1285" s="57"/>
    </row>
    <row r="1286" ht="15.75" hidden="1" customHeight="1">
      <c r="A1286" s="132"/>
      <c r="B1286" s="132"/>
      <c r="R1286" s="133"/>
      <c r="Y1286" s="57"/>
    </row>
    <row r="1287" ht="15.75" hidden="1" customHeight="1">
      <c r="A1287" s="132"/>
      <c r="B1287" s="132"/>
      <c r="R1287" s="133"/>
      <c r="Y1287" s="57"/>
    </row>
    <row r="1288" ht="15.75" hidden="1" customHeight="1">
      <c r="A1288" s="132"/>
      <c r="B1288" s="132"/>
      <c r="R1288" s="133"/>
      <c r="Y1288" s="57"/>
    </row>
    <row r="1289" ht="15.75" hidden="1" customHeight="1">
      <c r="A1289" s="132"/>
      <c r="B1289" s="132"/>
      <c r="R1289" s="133"/>
      <c r="Y1289" s="57"/>
    </row>
    <row r="1290" ht="15.75" hidden="1" customHeight="1">
      <c r="A1290" s="132"/>
      <c r="B1290" s="132"/>
      <c r="R1290" s="133"/>
      <c r="Y1290" s="57"/>
    </row>
    <row r="1291" ht="15.75" hidden="1" customHeight="1">
      <c r="A1291" s="132"/>
      <c r="B1291" s="132"/>
      <c r="R1291" s="133"/>
      <c r="Y1291" s="57"/>
    </row>
    <row r="1292" ht="15.75" hidden="1" customHeight="1">
      <c r="A1292" s="132"/>
      <c r="B1292" s="132"/>
      <c r="R1292" s="133"/>
      <c r="Y1292" s="57"/>
    </row>
    <row r="1293" ht="15.75" hidden="1" customHeight="1">
      <c r="A1293" s="132"/>
      <c r="B1293" s="132"/>
      <c r="R1293" s="133"/>
      <c r="Y1293" s="57"/>
    </row>
    <row r="1294" ht="15.75" hidden="1" customHeight="1">
      <c r="A1294" s="132"/>
      <c r="B1294" s="132"/>
      <c r="R1294" s="133"/>
      <c r="Y1294" s="57"/>
    </row>
    <row r="1295" ht="15.75" hidden="1" customHeight="1">
      <c r="A1295" s="132"/>
      <c r="B1295" s="132"/>
      <c r="R1295" s="133"/>
      <c r="Y1295" s="57"/>
    </row>
    <row r="1296" ht="15.75" hidden="1" customHeight="1">
      <c r="A1296" s="132"/>
      <c r="B1296" s="132"/>
      <c r="R1296" s="133"/>
      <c r="Y1296" s="57"/>
    </row>
    <row r="1297" ht="15.75" hidden="1" customHeight="1">
      <c r="A1297" s="132"/>
      <c r="B1297" s="132"/>
      <c r="R1297" s="133"/>
      <c r="Y1297" s="57"/>
    </row>
    <row r="1298" ht="15.75" hidden="1" customHeight="1">
      <c r="A1298" s="132"/>
      <c r="B1298" s="132"/>
      <c r="R1298" s="133"/>
      <c r="Y1298" s="57"/>
    </row>
    <row r="1299" ht="15.75" hidden="1" customHeight="1">
      <c r="A1299" s="132"/>
      <c r="B1299" s="132"/>
      <c r="R1299" s="133"/>
      <c r="Y1299" s="57"/>
    </row>
    <row r="1300" ht="15.75" hidden="1" customHeight="1">
      <c r="A1300" s="132"/>
      <c r="B1300" s="132"/>
      <c r="R1300" s="133"/>
      <c r="Y1300" s="57"/>
    </row>
    <row r="1301" ht="15.75" hidden="1" customHeight="1">
      <c r="A1301" s="132"/>
      <c r="B1301" s="132"/>
      <c r="R1301" s="133"/>
      <c r="Y1301" s="57"/>
    </row>
    <row r="1302" ht="15.75" hidden="1" customHeight="1">
      <c r="A1302" s="132"/>
      <c r="B1302" s="132"/>
      <c r="R1302" s="133"/>
      <c r="Y1302" s="57"/>
    </row>
    <row r="1303" ht="15.75" hidden="1" customHeight="1">
      <c r="A1303" s="132"/>
      <c r="B1303" s="132"/>
      <c r="R1303" s="133"/>
      <c r="Y1303" s="57"/>
    </row>
    <row r="1304" ht="15.75" hidden="1" customHeight="1">
      <c r="A1304" s="132"/>
      <c r="B1304" s="132"/>
      <c r="R1304" s="133"/>
      <c r="Y1304" s="57"/>
    </row>
    <row r="1305" ht="15.75" hidden="1" customHeight="1">
      <c r="A1305" s="132"/>
      <c r="B1305" s="132"/>
      <c r="R1305" s="133"/>
      <c r="Y1305" s="57"/>
    </row>
    <row r="1306" ht="15.75" hidden="1" customHeight="1">
      <c r="A1306" s="132"/>
      <c r="B1306" s="132"/>
      <c r="R1306" s="133"/>
      <c r="Y1306" s="57"/>
    </row>
    <row r="1307" ht="15.75" hidden="1" customHeight="1">
      <c r="A1307" s="132"/>
      <c r="B1307" s="132"/>
      <c r="R1307" s="133"/>
      <c r="Y1307" s="57"/>
    </row>
    <row r="1308" ht="15.75" hidden="1" customHeight="1">
      <c r="A1308" s="132"/>
      <c r="B1308" s="132"/>
      <c r="R1308" s="133"/>
      <c r="Y1308" s="57"/>
    </row>
    <row r="1309" ht="15.75" hidden="1" customHeight="1">
      <c r="A1309" s="132"/>
      <c r="B1309" s="132"/>
      <c r="R1309" s="133"/>
      <c r="Y1309" s="57"/>
    </row>
    <row r="1310" ht="15.75" hidden="1" customHeight="1">
      <c r="A1310" s="132"/>
      <c r="B1310" s="132"/>
      <c r="R1310" s="133"/>
      <c r="Y1310" s="57"/>
    </row>
    <row r="1311" ht="15.75" hidden="1" customHeight="1">
      <c r="A1311" s="132"/>
      <c r="B1311" s="132"/>
      <c r="R1311" s="133"/>
      <c r="Y1311" s="57"/>
    </row>
    <row r="1312" ht="15.75" hidden="1" customHeight="1">
      <c r="A1312" s="132"/>
      <c r="B1312" s="132"/>
      <c r="R1312" s="133"/>
      <c r="Y1312" s="57"/>
    </row>
    <row r="1313" ht="15.75" hidden="1" customHeight="1">
      <c r="A1313" s="132"/>
      <c r="B1313" s="132"/>
      <c r="R1313" s="133"/>
      <c r="Y1313" s="57"/>
    </row>
    <row r="1314" ht="15.75" hidden="1" customHeight="1">
      <c r="A1314" s="132"/>
      <c r="B1314" s="132"/>
      <c r="R1314" s="133"/>
      <c r="Y1314" s="57"/>
    </row>
    <row r="1315" ht="15.75" hidden="1" customHeight="1">
      <c r="A1315" s="132"/>
      <c r="B1315" s="132"/>
      <c r="R1315" s="133"/>
      <c r="Y1315" s="57"/>
    </row>
    <row r="1316" ht="15.75" hidden="1" customHeight="1">
      <c r="A1316" s="132"/>
      <c r="B1316" s="132"/>
      <c r="R1316" s="133"/>
      <c r="Y1316" s="57"/>
    </row>
    <row r="1317" ht="15.75" hidden="1" customHeight="1">
      <c r="A1317" s="132"/>
      <c r="B1317" s="132"/>
      <c r="R1317" s="133"/>
      <c r="Y1317" s="57"/>
    </row>
    <row r="1318" ht="15.75" hidden="1" customHeight="1">
      <c r="A1318" s="132"/>
      <c r="B1318" s="132"/>
      <c r="R1318" s="133"/>
      <c r="Y1318" s="57"/>
    </row>
    <row r="1319" ht="15.75" hidden="1" customHeight="1">
      <c r="A1319" s="132"/>
      <c r="B1319" s="132"/>
      <c r="R1319" s="133"/>
      <c r="Y1319" s="57"/>
    </row>
    <row r="1320" ht="15.75" hidden="1" customHeight="1">
      <c r="A1320" s="132"/>
      <c r="B1320" s="132"/>
      <c r="R1320" s="133"/>
      <c r="Y1320" s="57"/>
    </row>
    <row r="1321" ht="15.75" hidden="1" customHeight="1">
      <c r="A1321" s="132"/>
      <c r="B1321" s="132"/>
      <c r="R1321" s="133"/>
      <c r="Y1321" s="57"/>
    </row>
    <row r="1322" ht="15.75" hidden="1" customHeight="1">
      <c r="A1322" s="132"/>
      <c r="B1322" s="132"/>
      <c r="R1322" s="133"/>
      <c r="Y1322" s="57"/>
    </row>
    <row r="1323" ht="15.75" hidden="1" customHeight="1">
      <c r="A1323" s="132"/>
      <c r="B1323" s="132"/>
      <c r="R1323" s="133"/>
      <c r="Y1323" s="57"/>
    </row>
    <row r="1324" ht="15.75" hidden="1" customHeight="1">
      <c r="A1324" s="132"/>
      <c r="B1324" s="132"/>
      <c r="R1324" s="133"/>
      <c r="Y1324" s="57"/>
    </row>
    <row r="1325" ht="15.75" hidden="1" customHeight="1">
      <c r="A1325" s="132"/>
      <c r="B1325" s="132"/>
      <c r="R1325" s="133"/>
      <c r="Y1325" s="57"/>
    </row>
    <row r="1326" ht="15.75" hidden="1" customHeight="1">
      <c r="A1326" s="132"/>
      <c r="B1326" s="132"/>
      <c r="R1326" s="133"/>
      <c r="Y1326" s="57"/>
    </row>
    <row r="1327" ht="15.75" hidden="1" customHeight="1">
      <c r="A1327" s="132"/>
      <c r="B1327" s="132"/>
      <c r="R1327" s="133"/>
      <c r="Y1327" s="57"/>
    </row>
    <row r="1328" ht="15.75" hidden="1" customHeight="1">
      <c r="A1328" s="132"/>
      <c r="B1328" s="132"/>
      <c r="R1328" s="133"/>
      <c r="Y1328" s="57"/>
    </row>
    <row r="1329" ht="15.75" hidden="1" customHeight="1">
      <c r="A1329" s="132"/>
      <c r="B1329" s="132"/>
      <c r="R1329" s="133"/>
      <c r="Y1329" s="57"/>
    </row>
    <row r="1330" ht="15.75" hidden="1" customHeight="1">
      <c r="A1330" s="132"/>
      <c r="B1330" s="132"/>
      <c r="R1330" s="133"/>
      <c r="Y1330" s="57"/>
    </row>
    <row r="1331" ht="15.75" hidden="1" customHeight="1">
      <c r="A1331" s="132"/>
      <c r="B1331" s="132"/>
      <c r="R1331" s="133"/>
      <c r="Y1331" s="57"/>
    </row>
    <row r="1332" ht="15.75" hidden="1" customHeight="1">
      <c r="A1332" s="132"/>
      <c r="B1332" s="132"/>
      <c r="R1332" s="133"/>
      <c r="Y1332" s="57"/>
    </row>
    <row r="1333" ht="15.75" hidden="1" customHeight="1">
      <c r="A1333" s="132"/>
      <c r="B1333" s="132"/>
      <c r="R1333" s="133"/>
      <c r="Y1333" s="57"/>
    </row>
    <row r="1334" ht="15.75" hidden="1" customHeight="1">
      <c r="A1334" s="132"/>
      <c r="B1334" s="132"/>
      <c r="R1334" s="133"/>
      <c r="Y1334" s="57"/>
    </row>
    <row r="1335" ht="15.75" hidden="1" customHeight="1">
      <c r="A1335" s="132"/>
      <c r="B1335" s="132"/>
      <c r="R1335" s="133"/>
      <c r="Y1335" s="57"/>
    </row>
    <row r="1336" ht="15.75" hidden="1" customHeight="1">
      <c r="A1336" s="132"/>
      <c r="B1336" s="132"/>
      <c r="R1336" s="133"/>
      <c r="Y1336" s="57"/>
    </row>
    <row r="1337" ht="15.75" hidden="1" customHeight="1">
      <c r="A1337" s="132"/>
      <c r="B1337" s="132"/>
      <c r="R1337" s="133"/>
      <c r="Y1337" s="57"/>
    </row>
    <row r="1338" ht="15.75" hidden="1" customHeight="1">
      <c r="A1338" s="132"/>
      <c r="B1338" s="132"/>
      <c r="R1338" s="133"/>
      <c r="Y1338" s="57"/>
    </row>
    <row r="1339" ht="15.75" hidden="1" customHeight="1">
      <c r="A1339" s="132"/>
      <c r="B1339" s="132"/>
      <c r="R1339" s="133"/>
      <c r="Y1339" s="57"/>
    </row>
    <row r="1340" ht="15.75" hidden="1" customHeight="1">
      <c r="A1340" s="132"/>
      <c r="B1340" s="132"/>
      <c r="R1340" s="133"/>
      <c r="Y1340" s="57"/>
    </row>
    <row r="1341" ht="15.75" hidden="1" customHeight="1">
      <c r="A1341" s="132"/>
      <c r="B1341" s="132"/>
      <c r="R1341" s="133"/>
      <c r="Y1341" s="57"/>
    </row>
    <row r="1342" ht="15.75" hidden="1" customHeight="1">
      <c r="A1342" s="132"/>
      <c r="B1342" s="132"/>
      <c r="R1342" s="133"/>
      <c r="Y1342" s="57"/>
    </row>
    <row r="1343" ht="15.75" hidden="1" customHeight="1">
      <c r="A1343" s="132"/>
      <c r="B1343" s="132"/>
      <c r="R1343" s="133"/>
      <c r="Y1343" s="57"/>
    </row>
    <row r="1344" ht="15.75" hidden="1" customHeight="1">
      <c r="A1344" s="132"/>
      <c r="B1344" s="132"/>
      <c r="R1344" s="133"/>
      <c r="Y1344" s="57"/>
    </row>
    <row r="1345" ht="15.75" hidden="1" customHeight="1">
      <c r="A1345" s="132"/>
      <c r="B1345" s="132"/>
      <c r="R1345" s="133"/>
      <c r="Y1345" s="57"/>
    </row>
    <row r="1346" ht="15.75" hidden="1" customHeight="1">
      <c r="A1346" s="132"/>
      <c r="B1346" s="132"/>
      <c r="R1346" s="133"/>
      <c r="Y1346" s="57"/>
    </row>
    <row r="1347" ht="15.75" hidden="1" customHeight="1">
      <c r="A1347" s="132"/>
      <c r="B1347" s="132"/>
      <c r="R1347" s="133"/>
      <c r="Y1347" s="57"/>
    </row>
    <row r="1348" ht="15.75" hidden="1" customHeight="1">
      <c r="A1348" s="132"/>
      <c r="B1348" s="132"/>
      <c r="R1348" s="133"/>
      <c r="Y1348" s="57"/>
    </row>
    <row r="1349" ht="15.75" hidden="1" customHeight="1">
      <c r="A1349" s="132"/>
      <c r="B1349" s="132"/>
      <c r="R1349" s="133"/>
      <c r="Y1349" s="57"/>
    </row>
    <row r="1350" ht="15.75" hidden="1" customHeight="1">
      <c r="A1350" s="132"/>
      <c r="B1350" s="132"/>
      <c r="R1350" s="133"/>
      <c r="Y1350" s="57"/>
    </row>
    <row r="1351" ht="15.75" hidden="1" customHeight="1">
      <c r="A1351" s="132"/>
      <c r="B1351" s="132"/>
      <c r="R1351" s="133"/>
      <c r="Y1351" s="57"/>
    </row>
    <row r="1352" ht="15.75" hidden="1" customHeight="1">
      <c r="A1352" s="132"/>
      <c r="B1352" s="132"/>
      <c r="R1352" s="133"/>
      <c r="Y1352" s="57"/>
    </row>
    <row r="1353" ht="15.75" hidden="1" customHeight="1">
      <c r="A1353" s="132"/>
      <c r="B1353" s="132"/>
      <c r="R1353" s="133"/>
      <c r="Y1353" s="57"/>
    </row>
    <row r="1354" ht="15.75" hidden="1" customHeight="1">
      <c r="A1354" s="132"/>
      <c r="B1354" s="132"/>
      <c r="R1354" s="133"/>
      <c r="Y1354" s="57"/>
    </row>
    <row r="1355" ht="15.75" hidden="1" customHeight="1">
      <c r="A1355" s="132"/>
      <c r="B1355" s="132"/>
      <c r="R1355" s="133"/>
      <c r="Y1355" s="57"/>
    </row>
    <row r="1356" ht="15.75" hidden="1" customHeight="1">
      <c r="A1356" s="132"/>
      <c r="B1356" s="132"/>
      <c r="R1356" s="133"/>
      <c r="Y1356" s="57"/>
    </row>
    <row r="1357" ht="15.75" hidden="1" customHeight="1">
      <c r="A1357" s="132"/>
      <c r="B1357" s="132"/>
      <c r="R1357" s="133"/>
      <c r="Y1357" s="57"/>
    </row>
    <row r="1358" ht="15.75" hidden="1" customHeight="1">
      <c r="A1358" s="132"/>
      <c r="B1358" s="132"/>
      <c r="R1358" s="133"/>
      <c r="Y1358" s="57"/>
    </row>
    <row r="1359" ht="15.75" hidden="1" customHeight="1">
      <c r="A1359" s="132"/>
      <c r="B1359" s="132"/>
      <c r="R1359" s="133"/>
      <c r="Y1359" s="57"/>
    </row>
    <row r="1360" ht="15.75" hidden="1" customHeight="1">
      <c r="A1360" s="132"/>
      <c r="B1360" s="132"/>
      <c r="R1360" s="133"/>
      <c r="Y1360" s="57"/>
    </row>
    <row r="1361" ht="15.75" hidden="1" customHeight="1">
      <c r="A1361" s="132"/>
      <c r="B1361" s="132"/>
      <c r="R1361" s="133"/>
      <c r="Y1361" s="57"/>
    </row>
    <row r="1362" ht="15.75" hidden="1" customHeight="1">
      <c r="A1362" s="132"/>
      <c r="B1362" s="132"/>
      <c r="R1362" s="133"/>
      <c r="Y1362" s="57"/>
    </row>
    <row r="1363" ht="15.75" hidden="1" customHeight="1">
      <c r="A1363" s="132"/>
      <c r="B1363" s="132"/>
      <c r="R1363" s="133"/>
      <c r="Y1363" s="57"/>
    </row>
    <row r="1364" ht="15.75" hidden="1" customHeight="1">
      <c r="A1364" s="132"/>
      <c r="B1364" s="132"/>
      <c r="R1364" s="133"/>
      <c r="Y1364" s="57"/>
    </row>
    <row r="1365" ht="15.75" hidden="1" customHeight="1">
      <c r="A1365" s="132"/>
      <c r="B1365" s="132"/>
      <c r="R1365" s="133"/>
      <c r="Y1365" s="57"/>
    </row>
    <row r="1366" ht="15.75" hidden="1" customHeight="1">
      <c r="A1366" s="132"/>
      <c r="B1366" s="132"/>
      <c r="R1366" s="133"/>
      <c r="Y1366" s="57"/>
    </row>
    <row r="1367" ht="15.75" hidden="1" customHeight="1">
      <c r="A1367" s="132"/>
      <c r="B1367" s="132"/>
      <c r="R1367" s="133"/>
      <c r="Y1367" s="57"/>
    </row>
    <row r="1368" ht="15.75" hidden="1" customHeight="1">
      <c r="A1368" s="132"/>
      <c r="B1368" s="132"/>
      <c r="R1368" s="133"/>
      <c r="Y1368" s="57"/>
    </row>
    <row r="1369" ht="15.75" hidden="1" customHeight="1">
      <c r="A1369" s="132"/>
      <c r="B1369" s="132"/>
      <c r="R1369" s="133"/>
      <c r="Y1369" s="57"/>
    </row>
    <row r="1370" ht="15.75" hidden="1" customHeight="1">
      <c r="A1370" s="132"/>
      <c r="B1370" s="132"/>
      <c r="R1370" s="133"/>
      <c r="Y1370" s="57"/>
    </row>
    <row r="1371" ht="15.75" hidden="1" customHeight="1">
      <c r="A1371" s="132"/>
      <c r="B1371" s="132"/>
      <c r="R1371" s="133"/>
      <c r="Y1371" s="57"/>
    </row>
    <row r="1372" ht="15.75" hidden="1" customHeight="1">
      <c r="A1372" s="132"/>
      <c r="B1372" s="132"/>
      <c r="R1372" s="133"/>
      <c r="Y1372" s="57"/>
    </row>
    <row r="1373" ht="15.75" hidden="1" customHeight="1">
      <c r="A1373" s="132"/>
      <c r="B1373" s="132"/>
      <c r="R1373" s="133"/>
      <c r="Y1373" s="57"/>
    </row>
    <row r="1374" ht="15.75" hidden="1" customHeight="1">
      <c r="A1374" s="132"/>
      <c r="B1374" s="132"/>
      <c r="R1374" s="133"/>
      <c r="Y1374" s="57"/>
    </row>
    <row r="1375" ht="15.75" hidden="1" customHeight="1">
      <c r="A1375" s="132"/>
      <c r="B1375" s="132"/>
      <c r="R1375" s="133"/>
      <c r="Y1375" s="57"/>
    </row>
    <row r="1376" ht="15.75" hidden="1" customHeight="1">
      <c r="A1376" s="132"/>
      <c r="B1376" s="132"/>
      <c r="R1376" s="133"/>
      <c r="Y1376" s="57"/>
    </row>
    <row r="1377" ht="15.75" hidden="1" customHeight="1">
      <c r="A1377" s="132"/>
      <c r="B1377" s="132"/>
      <c r="R1377" s="133"/>
      <c r="Y1377" s="57"/>
    </row>
    <row r="1378" ht="15.75" hidden="1" customHeight="1">
      <c r="A1378" s="132"/>
      <c r="B1378" s="132"/>
      <c r="R1378" s="133"/>
      <c r="Y1378" s="57"/>
    </row>
    <row r="1379" ht="15.75" hidden="1" customHeight="1">
      <c r="A1379" s="132"/>
      <c r="B1379" s="132"/>
      <c r="R1379" s="133"/>
      <c r="Y1379" s="57"/>
    </row>
    <row r="1380" ht="15.75" hidden="1" customHeight="1">
      <c r="A1380" s="132"/>
      <c r="B1380" s="132"/>
      <c r="R1380" s="133"/>
      <c r="Y1380" s="57"/>
    </row>
    <row r="1381" ht="15.75" hidden="1" customHeight="1">
      <c r="A1381" s="132"/>
      <c r="B1381" s="132"/>
      <c r="R1381" s="133"/>
      <c r="Y1381" s="57"/>
    </row>
    <row r="1382" ht="15.75" hidden="1" customHeight="1">
      <c r="A1382" s="132"/>
      <c r="B1382" s="132"/>
      <c r="R1382" s="133"/>
      <c r="Y1382" s="57"/>
    </row>
    <row r="1383" ht="15.75" hidden="1" customHeight="1">
      <c r="A1383" s="132"/>
      <c r="B1383" s="132"/>
      <c r="R1383" s="133"/>
      <c r="Y1383" s="57"/>
    </row>
    <row r="1384" ht="15.75" hidden="1" customHeight="1">
      <c r="A1384" s="132"/>
      <c r="B1384" s="132"/>
      <c r="R1384" s="133"/>
      <c r="Y1384" s="57"/>
    </row>
    <row r="1385" ht="15.75" hidden="1" customHeight="1">
      <c r="A1385" s="132"/>
      <c r="B1385" s="132"/>
      <c r="R1385" s="133"/>
      <c r="Y1385" s="57"/>
    </row>
    <row r="1386" ht="15.75" hidden="1" customHeight="1">
      <c r="A1386" s="132"/>
      <c r="B1386" s="132"/>
      <c r="R1386" s="133"/>
      <c r="Y1386" s="57"/>
    </row>
    <row r="1387" ht="15.75" hidden="1" customHeight="1">
      <c r="A1387" s="132"/>
      <c r="B1387" s="132"/>
      <c r="R1387" s="133"/>
      <c r="Y1387" s="57"/>
    </row>
    <row r="1388" ht="15.75" hidden="1" customHeight="1">
      <c r="A1388" s="132"/>
      <c r="B1388" s="132"/>
      <c r="R1388" s="133"/>
      <c r="Y1388" s="57"/>
    </row>
    <row r="1389" ht="15.75" hidden="1" customHeight="1">
      <c r="A1389" s="132"/>
      <c r="B1389" s="132"/>
      <c r="R1389" s="133"/>
      <c r="Y1389" s="57"/>
    </row>
    <row r="1390" ht="15.75" hidden="1" customHeight="1">
      <c r="A1390" s="132"/>
      <c r="B1390" s="132"/>
      <c r="R1390" s="133"/>
      <c r="Y1390" s="57"/>
    </row>
    <row r="1391" ht="15.75" hidden="1" customHeight="1">
      <c r="A1391" s="132"/>
      <c r="B1391" s="132"/>
      <c r="R1391" s="133"/>
      <c r="Y1391" s="57"/>
    </row>
    <row r="1392" ht="15.75" hidden="1" customHeight="1">
      <c r="A1392" s="132"/>
      <c r="B1392" s="132"/>
      <c r="R1392" s="133"/>
      <c r="Y1392" s="57"/>
    </row>
    <row r="1393" ht="15.75" hidden="1" customHeight="1">
      <c r="A1393" s="132"/>
      <c r="B1393" s="132"/>
      <c r="R1393" s="133"/>
      <c r="Y1393" s="57"/>
    </row>
    <row r="1394" ht="15.75" hidden="1" customHeight="1">
      <c r="A1394" s="132"/>
      <c r="B1394" s="132"/>
      <c r="R1394" s="133"/>
      <c r="Y1394" s="57"/>
    </row>
    <row r="1395" ht="15.75" hidden="1" customHeight="1">
      <c r="A1395" s="132"/>
      <c r="B1395" s="132"/>
      <c r="R1395" s="133"/>
      <c r="Y1395" s="57"/>
    </row>
    <row r="1396" ht="15.75" hidden="1" customHeight="1">
      <c r="A1396" s="132"/>
      <c r="B1396" s="132"/>
      <c r="R1396" s="133"/>
      <c r="Y1396" s="57"/>
    </row>
    <row r="1397" ht="15.75" hidden="1" customHeight="1">
      <c r="A1397" s="132"/>
      <c r="B1397" s="132"/>
      <c r="R1397" s="133"/>
      <c r="Y1397" s="57"/>
    </row>
    <row r="1398" ht="15.75" hidden="1" customHeight="1">
      <c r="A1398" s="132"/>
      <c r="B1398" s="132"/>
      <c r="R1398" s="133"/>
      <c r="Y1398" s="57"/>
    </row>
    <row r="1399" ht="15.75" hidden="1" customHeight="1">
      <c r="A1399" s="132"/>
      <c r="B1399" s="132"/>
      <c r="R1399" s="133"/>
      <c r="Y1399" s="57"/>
    </row>
    <row r="1400" ht="15.75" hidden="1" customHeight="1">
      <c r="A1400" s="132"/>
      <c r="B1400" s="132"/>
      <c r="R1400" s="133"/>
      <c r="Y1400" s="57"/>
    </row>
    <row r="1401" ht="15.75" hidden="1" customHeight="1">
      <c r="A1401" s="132"/>
      <c r="B1401" s="132"/>
      <c r="R1401" s="133"/>
      <c r="Y1401" s="57"/>
    </row>
    <row r="1402" ht="15.75" hidden="1" customHeight="1">
      <c r="A1402" s="132"/>
      <c r="B1402" s="132"/>
      <c r="R1402" s="133"/>
      <c r="Y1402" s="57"/>
    </row>
    <row r="1403" ht="15.75" hidden="1" customHeight="1">
      <c r="A1403" s="132"/>
      <c r="B1403" s="132"/>
      <c r="R1403" s="133"/>
      <c r="Y1403" s="57"/>
    </row>
    <row r="1404" ht="15.75" hidden="1" customHeight="1">
      <c r="A1404" s="132"/>
      <c r="B1404" s="132"/>
      <c r="R1404" s="133"/>
      <c r="Y1404" s="57"/>
    </row>
    <row r="1405" ht="15.75" hidden="1" customHeight="1">
      <c r="A1405" s="132"/>
      <c r="B1405" s="132"/>
      <c r="R1405" s="133"/>
      <c r="Y1405" s="57"/>
    </row>
    <row r="1406" ht="15.75" hidden="1" customHeight="1">
      <c r="A1406" s="132"/>
      <c r="B1406" s="132"/>
      <c r="R1406" s="133"/>
      <c r="Y1406" s="57"/>
    </row>
    <row r="1407" ht="15.75" hidden="1" customHeight="1">
      <c r="A1407" s="132"/>
      <c r="B1407" s="132"/>
      <c r="R1407" s="133"/>
      <c r="Y1407" s="57"/>
    </row>
    <row r="1408" ht="15.75" hidden="1" customHeight="1">
      <c r="A1408" s="132"/>
      <c r="B1408" s="132"/>
      <c r="R1408" s="133"/>
      <c r="Y1408" s="57"/>
    </row>
    <row r="1409" ht="15.75" hidden="1" customHeight="1">
      <c r="A1409" s="132"/>
      <c r="B1409" s="132"/>
      <c r="R1409" s="133"/>
      <c r="Y1409" s="57"/>
    </row>
    <row r="1410" ht="15.75" hidden="1" customHeight="1">
      <c r="A1410" s="132"/>
      <c r="B1410" s="132"/>
      <c r="R1410" s="133"/>
      <c r="Y1410" s="57"/>
    </row>
    <row r="1411" ht="15.75" hidden="1" customHeight="1">
      <c r="A1411" s="132"/>
      <c r="B1411" s="132"/>
      <c r="R1411" s="133"/>
      <c r="Y1411" s="57"/>
    </row>
    <row r="1412" ht="15.75" hidden="1" customHeight="1">
      <c r="A1412" s="132"/>
      <c r="B1412" s="132"/>
      <c r="R1412" s="133"/>
      <c r="Y1412" s="57"/>
    </row>
    <row r="1413" ht="15.75" hidden="1" customHeight="1">
      <c r="A1413" s="132"/>
      <c r="B1413" s="132"/>
      <c r="R1413" s="133"/>
      <c r="Y1413" s="57"/>
    </row>
    <row r="1414" ht="15.75" hidden="1" customHeight="1">
      <c r="A1414" s="132"/>
      <c r="B1414" s="132"/>
      <c r="R1414" s="133"/>
      <c r="Y1414" s="57"/>
    </row>
    <row r="1415" ht="15.75" hidden="1" customHeight="1">
      <c r="A1415" s="132"/>
      <c r="B1415" s="132"/>
      <c r="R1415" s="133"/>
      <c r="Y1415" s="57"/>
    </row>
    <row r="1416" ht="15.75" hidden="1" customHeight="1">
      <c r="A1416" s="132"/>
      <c r="B1416" s="132"/>
      <c r="R1416" s="133"/>
      <c r="Y1416" s="57"/>
    </row>
    <row r="1417" ht="15.75" hidden="1" customHeight="1">
      <c r="A1417" s="132"/>
      <c r="B1417" s="132"/>
      <c r="R1417" s="133"/>
      <c r="Y1417" s="57"/>
    </row>
    <row r="1418" ht="15.75" hidden="1" customHeight="1">
      <c r="A1418" s="132"/>
      <c r="B1418" s="132"/>
      <c r="R1418" s="133"/>
      <c r="Y1418" s="57"/>
    </row>
    <row r="1419" ht="15.75" hidden="1" customHeight="1">
      <c r="A1419" s="132"/>
      <c r="B1419" s="132"/>
      <c r="R1419" s="133"/>
      <c r="Y1419" s="57"/>
    </row>
    <row r="1420" ht="15.75" hidden="1" customHeight="1">
      <c r="A1420" s="132"/>
      <c r="B1420" s="132"/>
      <c r="R1420" s="133"/>
      <c r="Y1420" s="57"/>
    </row>
    <row r="1421" ht="15.75" hidden="1" customHeight="1">
      <c r="A1421" s="132"/>
      <c r="B1421" s="132"/>
      <c r="R1421" s="133"/>
      <c r="Y1421" s="57"/>
    </row>
    <row r="1422" ht="15.75" hidden="1" customHeight="1">
      <c r="A1422" s="132"/>
      <c r="B1422" s="132"/>
      <c r="R1422" s="133"/>
      <c r="Y1422" s="57"/>
    </row>
    <row r="1423" ht="15.75" hidden="1" customHeight="1">
      <c r="A1423" s="132"/>
      <c r="B1423" s="132"/>
      <c r="R1423" s="133"/>
      <c r="Y1423" s="57"/>
    </row>
    <row r="1424" ht="15.75" hidden="1" customHeight="1">
      <c r="A1424" s="132"/>
      <c r="B1424" s="132"/>
      <c r="R1424" s="133"/>
      <c r="Y1424" s="57"/>
    </row>
    <row r="1425" ht="15.75" hidden="1" customHeight="1">
      <c r="A1425" s="132"/>
      <c r="B1425" s="132"/>
      <c r="R1425" s="133"/>
      <c r="Y1425" s="57"/>
    </row>
    <row r="1426" ht="15.75" hidden="1" customHeight="1">
      <c r="A1426" s="132"/>
      <c r="B1426" s="132"/>
      <c r="R1426" s="133"/>
      <c r="Y1426" s="57"/>
    </row>
    <row r="1427" ht="15.75" hidden="1" customHeight="1">
      <c r="A1427" s="132"/>
      <c r="B1427" s="132"/>
      <c r="R1427" s="133"/>
      <c r="Y1427" s="57"/>
    </row>
    <row r="1428" ht="15.75" hidden="1" customHeight="1">
      <c r="A1428" s="132"/>
      <c r="B1428" s="132"/>
      <c r="R1428" s="133"/>
      <c r="Y1428" s="57"/>
    </row>
    <row r="1429" ht="15.75" hidden="1" customHeight="1">
      <c r="A1429" s="132"/>
      <c r="B1429" s="132"/>
      <c r="R1429" s="133"/>
      <c r="Y1429" s="57"/>
    </row>
    <row r="1430" ht="15.75" hidden="1" customHeight="1">
      <c r="A1430" s="132"/>
      <c r="B1430" s="132"/>
      <c r="R1430" s="133"/>
      <c r="Y1430" s="57"/>
    </row>
    <row r="1431" ht="15.75" hidden="1" customHeight="1">
      <c r="A1431" s="132"/>
      <c r="B1431" s="132"/>
      <c r="R1431" s="133"/>
      <c r="Y1431" s="57"/>
    </row>
    <row r="1432" ht="15.75" hidden="1" customHeight="1">
      <c r="A1432" s="132"/>
      <c r="B1432" s="132"/>
      <c r="R1432" s="133"/>
      <c r="Y1432" s="57"/>
    </row>
    <row r="1433" ht="15.75" hidden="1" customHeight="1">
      <c r="A1433" s="132"/>
      <c r="B1433" s="132"/>
      <c r="R1433" s="133"/>
      <c r="Y1433" s="57"/>
    </row>
    <row r="1434" ht="15.75" hidden="1" customHeight="1">
      <c r="A1434" s="132"/>
      <c r="B1434" s="132"/>
      <c r="R1434" s="133"/>
      <c r="Y1434" s="57"/>
    </row>
    <row r="1435" ht="15.75" hidden="1" customHeight="1">
      <c r="A1435" s="132"/>
      <c r="B1435" s="132"/>
      <c r="R1435" s="133"/>
      <c r="Y1435" s="57"/>
    </row>
    <row r="1436" ht="15.75" hidden="1" customHeight="1">
      <c r="A1436" s="132"/>
      <c r="B1436" s="132"/>
      <c r="R1436" s="133"/>
      <c r="Y1436" s="57"/>
    </row>
    <row r="1437" ht="15.75" hidden="1" customHeight="1">
      <c r="A1437" s="132"/>
      <c r="B1437" s="132"/>
      <c r="R1437" s="133"/>
      <c r="Y1437" s="57"/>
    </row>
    <row r="1438" ht="15.75" hidden="1" customHeight="1">
      <c r="A1438" s="132"/>
      <c r="B1438" s="132"/>
      <c r="R1438" s="133"/>
      <c r="Y1438" s="57"/>
    </row>
    <row r="1439" ht="15.75" hidden="1" customHeight="1">
      <c r="A1439" s="132"/>
      <c r="B1439" s="132"/>
      <c r="R1439" s="133"/>
      <c r="Y1439" s="57"/>
    </row>
    <row r="1440" ht="15.75" hidden="1" customHeight="1">
      <c r="A1440" s="132"/>
      <c r="B1440" s="132"/>
      <c r="R1440" s="133"/>
      <c r="Y1440" s="57"/>
    </row>
    <row r="1441" ht="15.75" hidden="1" customHeight="1">
      <c r="A1441" s="132"/>
      <c r="B1441" s="132"/>
      <c r="R1441" s="133"/>
      <c r="Y1441" s="57"/>
    </row>
    <row r="1442" ht="15.75" hidden="1" customHeight="1">
      <c r="A1442" s="132"/>
      <c r="B1442" s="132"/>
      <c r="R1442" s="133"/>
      <c r="Y1442" s="57"/>
    </row>
    <row r="1443" ht="15.75" hidden="1" customHeight="1">
      <c r="A1443" s="132"/>
      <c r="B1443" s="132"/>
      <c r="R1443" s="133"/>
      <c r="Y1443" s="57"/>
    </row>
    <row r="1444" ht="15.75" hidden="1" customHeight="1">
      <c r="A1444" s="132"/>
      <c r="B1444" s="132"/>
      <c r="R1444" s="133"/>
      <c r="Y1444" s="57"/>
    </row>
    <row r="1445" ht="15.75" hidden="1" customHeight="1">
      <c r="A1445" s="132"/>
      <c r="B1445" s="132"/>
      <c r="R1445" s="133"/>
      <c r="Y1445" s="57"/>
    </row>
    <row r="1446" ht="15.75" hidden="1" customHeight="1">
      <c r="A1446" s="132"/>
      <c r="B1446" s="132"/>
      <c r="R1446" s="133"/>
      <c r="Y1446" s="57"/>
    </row>
    <row r="1447" ht="15.75" hidden="1" customHeight="1">
      <c r="A1447" s="132"/>
      <c r="B1447" s="132"/>
      <c r="R1447" s="133"/>
      <c r="Y1447" s="57"/>
    </row>
    <row r="1448" ht="15.75" hidden="1" customHeight="1">
      <c r="A1448" s="132"/>
      <c r="B1448" s="132"/>
      <c r="R1448" s="133"/>
      <c r="Y1448" s="57"/>
    </row>
    <row r="1449" ht="15.75" hidden="1" customHeight="1">
      <c r="A1449" s="132"/>
      <c r="B1449" s="132"/>
      <c r="R1449" s="133"/>
      <c r="Y1449" s="57"/>
    </row>
    <row r="1450" ht="15.75" hidden="1" customHeight="1">
      <c r="A1450" s="132"/>
      <c r="B1450" s="132"/>
      <c r="R1450" s="133"/>
      <c r="Y1450" s="57"/>
    </row>
    <row r="1451" ht="15.75" hidden="1" customHeight="1">
      <c r="A1451" s="132"/>
      <c r="B1451" s="132"/>
      <c r="R1451" s="133"/>
      <c r="Y1451" s="57"/>
    </row>
    <row r="1452" ht="15.75" hidden="1" customHeight="1">
      <c r="A1452" s="132"/>
      <c r="B1452" s="132"/>
      <c r="R1452" s="133"/>
      <c r="Y1452" s="57"/>
    </row>
    <row r="1453" ht="15.75" hidden="1" customHeight="1">
      <c r="A1453" s="132"/>
      <c r="B1453" s="132"/>
      <c r="R1453" s="133"/>
      <c r="Y1453" s="57"/>
    </row>
    <row r="1454" ht="15.75" hidden="1" customHeight="1">
      <c r="A1454" s="132"/>
      <c r="B1454" s="132"/>
      <c r="R1454" s="133"/>
      <c r="Y1454" s="57"/>
    </row>
    <row r="1455" ht="15.75" hidden="1" customHeight="1">
      <c r="A1455" s="132"/>
      <c r="B1455" s="132"/>
      <c r="R1455" s="133"/>
      <c r="Y1455" s="57"/>
    </row>
    <row r="1456" ht="15.75" hidden="1" customHeight="1">
      <c r="A1456" s="132"/>
      <c r="B1456" s="132"/>
      <c r="R1456" s="133"/>
      <c r="Y1456" s="57"/>
    </row>
    <row r="1457" ht="15.75" hidden="1" customHeight="1">
      <c r="A1457" s="132"/>
      <c r="B1457" s="132"/>
      <c r="R1457" s="133"/>
      <c r="Y1457" s="57"/>
    </row>
    <row r="1458" ht="15.75" hidden="1" customHeight="1">
      <c r="A1458" s="132"/>
      <c r="B1458" s="132"/>
      <c r="R1458" s="133"/>
      <c r="Y1458" s="57"/>
    </row>
    <row r="1459" ht="15.75" hidden="1" customHeight="1">
      <c r="A1459" s="132"/>
      <c r="B1459" s="132"/>
      <c r="R1459" s="133"/>
      <c r="Y1459" s="57"/>
    </row>
    <row r="1460" ht="15.75" hidden="1" customHeight="1">
      <c r="A1460" s="132"/>
      <c r="B1460" s="132"/>
      <c r="R1460" s="133"/>
      <c r="Y1460" s="57"/>
    </row>
    <row r="1461" ht="15.75" hidden="1" customHeight="1">
      <c r="A1461" s="132"/>
      <c r="B1461" s="132"/>
      <c r="R1461" s="133"/>
      <c r="Y1461" s="57"/>
    </row>
    <row r="1462" ht="15.75" hidden="1" customHeight="1">
      <c r="A1462" s="132"/>
      <c r="B1462" s="132"/>
      <c r="R1462" s="133"/>
      <c r="Y1462" s="57"/>
    </row>
    <row r="1463" ht="15.75" hidden="1" customHeight="1">
      <c r="A1463" s="132"/>
      <c r="B1463" s="132"/>
      <c r="R1463" s="133"/>
      <c r="Y1463" s="57"/>
    </row>
    <row r="1464" ht="15.75" hidden="1" customHeight="1">
      <c r="A1464" s="132"/>
      <c r="B1464" s="132"/>
      <c r="R1464" s="133"/>
      <c r="Y1464" s="57"/>
    </row>
    <row r="1465" ht="15.75" hidden="1" customHeight="1">
      <c r="A1465" s="132"/>
      <c r="B1465" s="132"/>
      <c r="R1465" s="133"/>
      <c r="Y1465" s="57"/>
    </row>
    <row r="1466" ht="15.75" hidden="1" customHeight="1">
      <c r="A1466" s="132"/>
      <c r="B1466" s="132"/>
      <c r="R1466" s="133"/>
      <c r="Y1466" s="57"/>
    </row>
    <row r="1467" ht="15.75" hidden="1" customHeight="1">
      <c r="A1467" s="132"/>
      <c r="B1467" s="132"/>
      <c r="R1467" s="133"/>
      <c r="Y1467" s="57"/>
    </row>
    <row r="1468" ht="15.75" hidden="1" customHeight="1">
      <c r="A1468" s="132"/>
      <c r="B1468" s="132"/>
      <c r="R1468" s="133"/>
      <c r="Y1468" s="57"/>
    </row>
    <row r="1469" ht="15.75" hidden="1" customHeight="1">
      <c r="A1469" s="132"/>
      <c r="B1469" s="132"/>
      <c r="R1469" s="133"/>
      <c r="Y1469" s="57"/>
    </row>
    <row r="1470" ht="15.75" hidden="1" customHeight="1">
      <c r="A1470" s="132"/>
      <c r="B1470" s="132"/>
      <c r="R1470" s="133"/>
      <c r="Y1470" s="57"/>
    </row>
    <row r="1471" ht="15.75" hidden="1" customHeight="1">
      <c r="A1471" s="132"/>
      <c r="B1471" s="132"/>
      <c r="R1471" s="133"/>
      <c r="Y1471" s="57"/>
    </row>
    <row r="1472" ht="15.75" hidden="1" customHeight="1">
      <c r="A1472" s="132"/>
      <c r="B1472" s="132"/>
      <c r="R1472" s="133"/>
      <c r="Y1472" s="57"/>
    </row>
    <row r="1473" ht="15.75" hidden="1" customHeight="1">
      <c r="A1473" s="132"/>
      <c r="B1473" s="132"/>
      <c r="R1473" s="133"/>
      <c r="Y1473" s="57"/>
    </row>
    <row r="1474" ht="15.75" hidden="1" customHeight="1">
      <c r="A1474" s="132"/>
      <c r="B1474" s="132"/>
      <c r="R1474" s="133"/>
      <c r="Y1474" s="57"/>
    </row>
    <row r="1475" ht="15.75" hidden="1" customHeight="1">
      <c r="A1475" s="132"/>
      <c r="B1475" s="132"/>
      <c r="R1475" s="133"/>
      <c r="Y1475" s="57"/>
    </row>
    <row r="1476" ht="15.75" hidden="1" customHeight="1">
      <c r="A1476" s="132"/>
      <c r="B1476" s="132"/>
      <c r="R1476" s="133"/>
      <c r="Y1476" s="57"/>
    </row>
    <row r="1477" ht="15.75" hidden="1" customHeight="1">
      <c r="A1477" s="132"/>
      <c r="B1477" s="132"/>
      <c r="R1477" s="133"/>
      <c r="Y1477" s="57"/>
    </row>
    <row r="1478" ht="15.75" hidden="1" customHeight="1">
      <c r="A1478" s="132"/>
      <c r="B1478" s="132"/>
      <c r="R1478" s="133"/>
      <c r="Y1478" s="57"/>
    </row>
    <row r="1479" ht="15.75" hidden="1" customHeight="1">
      <c r="A1479" s="132"/>
      <c r="B1479" s="132"/>
      <c r="R1479" s="133"/>
      <c r="Y1479" s="57"/>
    </row>
    <row r="1480" ht="15.75" hidden="1" customHeight="1">
      <c r="A1480" s="132"/>
      <c r="B1480" s="132"/>
      <c r="R1480" s="133"/>
      <c r="Y1480" s="57"/>
    </row>
    <row r="1481" ht="15.75" hidden="1" customHeight="1">
      <c r="A1481" s="132"/>
      <c r="B1481" s="132"/>
      <c r="R1481" s="133"/>
      <c r="Y1481" s="57"/>
    </row>
    <row r="1482" ht="15.75" hidden="1" customHeight="1">
      <c r="A1482" s="132"/>
      <c r="B1482" s="132"/>
      <c r="R1482" s="133"/>
      <c r="Y1482" s="57"/>
    </row>
    <row r="1483" ht="15.75" hidden="1" customHeight="1">
      <c r="A1483" s="132"/>
      <c r="B1483" s="132"/>
      <c r="R1483" s="133"/>
      <c r="Y1483" s="57"/>
    </row>
    <row r="1484" ht="15.75" hidden="1" customHeight="1">
      <c r="A1484" s="132"/>
      <c r="B1484" s="132"/>
      <c r="R1484" s="133"/>
      <c r="Y1484" s="57"/>
    </row>
    <row r="1485" ht="15.75" hidden="1" customHeight="1">
      <c r="A1485" s="132"/>
      <c r="B1485" s="132"/>
      <c r="R1485" s="133"/>
      <c r="Y1485" s="57"/>
    </row>
    <row r="1486" ht="15.75" hidden="1" customHeight="1">
      <c r="A1486" s="132"/>
      <c r="B1486" s="132"/>
      <c r="R1486" s="133"/>
      <c r="Y1486" s="57"/>
    </row>
    <row r="1487" ht="15.75" hidden="1" customHeight="1">
      <c r="A1487" s="132"/>
      <c r="B1487" s="132"/>
      <c r="R1487" s="133"/>
      <c r="Y1487" s="57"/>
    </row>
    <row r="1488" ht="15.75" hidden="1" customHeight="1">
      <c r="A1488" s="132"/>
      <c r="B1488" s="132"/>
      <c r="R1488" s="133"/>
      <c r="Y1488" s="57"/>
    </row>
    <row r="1489" ht="15.75" hidden="1" customHeight="1">
      <c r="A1489" s="132"/>
      <c r="B1489" s="132"/>
      <c r="R1489" s="133"/>
      <c r="Y1489" s="57"/>
    </row>
    <row r="1490" ht="15.75" hidden="1" customHeight="1">
      <c r="A1490" s="132"/>
      <c r="B1490" s="132"/>
      <c r="R1490" s="133"/>
      <c r="Y1490" s="57"/>
    </row>
    <row r="1491" ht="15.75" hidden="1" customHeight="1">
      <c r="A1491" s="132"/>
      <c r="B1491" s="132"/>
      <c r="R1491" s="133"/>
      <c r="Y1491" s="57"/>
    </row>
    <row r="1492" ht="15.75" hidden="1" customHeight="1">
      <c r="A1492" s="132"/>
      <c r="B1492" s="132"/>
      <c r="R1492" s="133"/>
      <c r="Y1492" s="57"/>
    </row>
    <row r="1493" ht="15.75" hidden="1" customHeight="1">
      <c r="A1493" s="132"/>
      <c r="B1493" s="132"/>
      <c r="R1493" s="133"/>
      <c r="Y1493" s="57"/>
    </row>
    <row r="1494" ht="15.75" hidden="1" customHeight="1">
      <c r="A1494" s="132"/>
      <c r="B1494" s="132"/>
      <c r="R1494" s="133"/>
      <c r="Y1494" s="57"/>
    </row>
    <row r="1495" ht="15.75" hidden="1" customHeight="1">
      <c r="A1495" s="132"/>
      <c r="B1495" s="132"/>
      <c r="R1495" s="133"/>
      <c r="Y1495" s="57"/>
    </row>
    <row r="1496" ht="15.75" hidden="1" customHeight="1">
      <c r="A1496" s="132"/>
      <c r="B1496" s="132"/>
      <c r="R1496" s="133"/>
      <c r="Y1496" s="57"/>
    </row>
    <row r="1497" ht="15.75" hidden="1" customHeight="1">
      <c r="A1497" s="132"/>
      <c r="B1497" s="132"/>
      <c r="R1497" s="133"/>
      <c r="Y1497" s="57"/>
    </row>
    <row r="1498" ht="15.75" hidden="1" customHeight="1">
      <c r="A1498" s="132"/>
      <c r="B1498" s="132"/>
      <c r="R1498" s="133"/>
      <c r="Y1498" s="57"/>
    </row>
    <row r="1499" ht="15.75" hidden="1" customHeight="1">
      <c r="A1499" s="132"/>
      <c r="B1499" s="132"/>
      <c r="R1499" s="133"/>
      <c r="Y1499" s="57"/>
    </row>
    <row r="1500" ht="15.75" hidden="1" customHeight="1">
      <c r="A1500" s="132"/>
      <c r="B1500" s="132"/>
      <c r="R1500" s="133"/>
      <c r="Y1500" s="57"/>
    </row>
    <row r="1501" ht="15.75" hidden="1" customHeight="1">
      <c r="A1501" s="132"/>
      <c r="B1501" s="132"/>
      <c r="R1501" s="133"/>
      <c r="Y1501" s="57"/>
    </row>
    <row r="1502" ht="15.75" hidden="1" customHeight="1">
      <c r="A1502" s="132"/>
      <c r="B1502" s="132"/>
      <c r="R1502" s="133"/>
      <c r="Y1502" s="57"/>
    </row>
    <row r="1503" ht="15.75" hidden="1" customHeight="1">
      <c r="A1503" s="132"/>
      <c r="B1503" s="132"/>
      <c r="R1503" s="133"/>
      <c r="Y1503" s="57"/>
    </row>
    <row r="1504" ht="15.75" hidden="1" customHeight="1">
      <c r="A1504" s="132"/>
      <c r="B1504" s="132"/>
      <c r="R1504" s="133"/>
      <c r="Y1504" s="57"/>
    </row>
    <row r="1505" ht="15.75" hidden="1" customHeight="1">
      <c r="A1505" s="132"/>
      <c r="B1505" s="132"/>
      <c r="R1505" s="133"/>
      <c r="Y1505" s="57"/>
    </row>
    <row r="1506" ht="15.75" hidden="1" customHeight="1">
      <c r="A1506" s="132"/>
      <c r="B1506" s="132"/>
      <c r="R1506" s="133"/>
      <c r="Y1506" s="57"/>
    </row>
    <row r="1507" ht="15.75" hidden="1" customHeight="1">
      <c r="A1507" s="132"/>
      <c r="B1507" s="132"/>
      <c r="R1507" s="133"/>
      <c r="Y1507" s="57"/>
    </row>
    <row r="1508" ht="15.75" hidden="1" customHeight="1">
      <c r="A1508" s="132"/>
      <c r="B1508" s="132"/>
      <c r="R1508" s="133"/>
      <c r="Y1508" s="57"/>
    </row>
    <row r="1509" ht="15.75" hidden="1" customHeight="1">
      <c r="A1509" s="132"/>
      <c r="B1509" s="132"/>
      <c r="R1509" s="133"/>
      <c r="Y1509" s="57"/>
    </row>
    <row r="1510" ht="15.75" hidden="1" customHeight="1">
      <c r="A1510" s="132"/>
      <c r="B1510" s="132"/>
      <c r="R1510" s="133"/>
      <c r="Y1510" s="57"/>
    </row>
    <row r="1511" ht="15.75" hidden="1" customHeight="1">
      <c r="A1511" s="132"/>
      <c r="B1511" s="132"/>
      <c r="R1511" s="133"/>
      <c r="Y1511" s="57"/>
    </row>
    <row r="1512" ht="15.75" hidden="1" customHeight="1">
      <c r="A1512" s="132"/>
      <c r="B1512" s="132"/>
      <c r="R1512" s="133"/>
      <c r="Y1512" s="57"/>
    </row>
    <row r="1513" ht="15.75" hidden="1" customHeight="1">
      <c r="A1513" s="132"/>
      <c r="B1513" s="132"/>
      <c r="R1513" s="133"/>
      <c r="Y1513" s="57"/>
    </row>
    <row r="1514" ht="15.75" hidden="1" customHeight="1">
      <c r="A1514" s="132"/>
      <c r="B1514" s="132"/>
      <c r="R1514" s="133"/>
      <c r="Y1514" s="57"/>
    </row>
    <row r="1515" ht="15.75" hidden="1" customHeight="1">
      <c r="A1515" s="132"/>
      <c r="B1515" s="132"/>
      <c r="R1515" s="133"/>
      <c r="Y1515" s="57"/>
    </row>
    <row r="1516" ht="15.75" hidden="1" customHeight="1">
      <c r="A1516" s="132"/>
      <c r="B1516" s="132"/>
      <c r="R1516" s="133"/>
      <c r="Y1516" s="57"/>
    </row>
    <row r="1517" ht="15.75" hidden="1" customHeight="1">
      <c r="A1517" s="132"/>
      <c r="B1517" s="132"/>
      <c r="R1517" s="133"/>
      <c r="Y1517" s="57"/>
    </row>
    <row r="1518" ht="15.75" hidden="1" customHeight="1">
      <c r="A1518" s="132"/>
      <c r="B1518" s="132"/>
      <c r="R1518" s="133"/>
      <c r="Y1518" s="57"/>
    </row>
    <row r="1519" ht="15.75" hidden="1" customHeight="1">
      <c r="A1519" s="132"/>
      <c r="B1519" s="132"/>
      <c r="R1519" s="133"/>
      <c r="Y1519" s="57"/>
    </row>
    <row r="1520" ht="15.75" hidden="1" customHeight="1">
      <c r="A1520" s="132"/>
      <c r="B1520" s="132"/>
      <c r="R1520" s="133"/>
      <c r="Y1520" s="57"/>
    </row>
    <row r="1521" ht="15.75" hidden="1" customHeight="1">
      <c r="A1521" s="132"/>
      <c r="B1521" s="132"/>
      <c r="R1521" s="133"/>
      <c r="Y1521" s="57"/>
    </row>
    <row r="1522" ht="15.75" hidden="1" customHeight="1">
      <c r="A1522" s="132"/>
      <c r="B1522" s="132"/>
      <c r="R1522" s="133"/>
      <c r="Y1522" s="57"/>
    </row>
    <row r="1523" ht="15.75" hidden="1" customHeight="1">
      <c r="A1523" s="132"/>
      <c r="B1523" s="132"/>
      <c r="R1523" s="133"/>
      <c r="Y1523" s="57"/>
    </row>
    <row r="1524" ht="15.75" hidden="1" customHeight="1">
      <c r="A1524" s="132"/>
      <c r="B1524" s="132"/>
      <c r="R1524" s="133"/>
      <c r="Y1524" s="57"/>
    </row>
    <row r="1525" ht="15.75" hidden="1" customHeight="1">
      <c r="A1525" s="132"/>
      <c r="B1525" s="132"/>
      <c r="R1525" s="133"/>
      <c r="Y1525" s="57"/>
    </row>
    <row r="1526" ht="15.75" hidden="1" customHeight="1">
      <c r="A1526" s="132"/>
      <c r="B1526" s="132"/>
      <c r="R1526" s="133"/>
      <c r="Y1526" s="57"/>
    </row>
    <row r="1527" ht="15.75" hidden="1" customHeight="1">
      <c r="A1527" s="132"/>
      <c r="B1527" s="132"/>
      <c r="R1527" s="133"/>
      <c r="Y1527" s="57"/>
    </row>
    <row r="1528" ht="15.75" hidden="1" customHeight="1">
      <c r="A1528" s="132"/>
      <c r="B1528" s="132"/>
      <c r="R1528" s="133"/>
      <c r="Y1528" s="57"/>
    </row>
    <row r="1529" ht="15.75" hidden="1" customHeight="1">
      <c r="A1529" s="132"/>
      <c r="B1529" s="132"/>
      <c r="R1529" s="133"/>
      <c r="Y1529" s="57"/>
    </row>
    <row r="1530" ht="15.75" hidden="1" customHeight="1">
      <c r="A1530" s="132"/>
      <c r="B1530" s="132"/>
      <c r="R1530" s="133"/>
      <c r="Y1530" s="57"/>
    </row>
    <row r="1531" ht="15.75" hidden="1" customHeight="1">
      <c r="A1531" s="132"/>
      <c r="B1531" s="132"/>
      <c r="R1531" s="133"/>
      <c r="Y1531" s="57"/>
    </row>
    <row r="1532" ht="15.75" hidden="1" customHeight="1">
      <c r="A1532" s="132"/>
      <c r="B1532" s="132"/>
      <c r="R1532" s="133"/>
      <c r="Y1532" s="57"/>
    </row>
    <row r="1533" ht="15.75" hidden="1" customHeight="1">
      <c r="A1533" s="132"/>
      <c r="B1533" s="132"/>
      <c r="R1533" s="133"/>
      <c r="Y1533" s="57"/>
    </row>
    <row r="1534" ht="15.75" hidden="1" customHeight="1">
      <c r="A1534" s="132"/>
      <c r="B1534" s="132"/>
      <c r="R1534" s="133"/>
      <c r="Y1534" s="57"/>
    </row>
    <row r="1535" ht="15.75" hidden="1" customHeight="1">
      <c r="A1535" s="132"/>
      <c r="B1535" s="132"/>
      <c r="R1535" s="133"/>
      <c r="Y1535" s="57"/>
    </row>
    <row r="1536" ht="15.75" hidden="1" customHeight="1">
      <c r="A1536" s="132"/>
      <c r="B1536" s="132"/>
      <c r="R1536" s="133"/>
      <c r="Y1536" s="57"/>
    </row>
    <row r="1537" ht="15.75" hidden="1" customHeight="1">
      <c r="A1537" s="132"/>
      <c r="B1537" s="132"/>
      <c r="R1537" s="133"/>
      <c r="Y1537" s="57"/>
    </row>
    <row r="1538" ht="15.75" hidden="1" customHeight="1">
      <c r="A1538" s="132"/>
      <c r="B1538" s="132"/>
      <c r="R1538" s="133"/>
      <c r="Y1538" s="57"/>
    </row>
    <row r="1539" ht="15.75" hidden="1" customHeight="1">
      <c r="A1539" s="132"/>
      <c r="B1539" s="132"/>
      <c r="R1539" s="133"/>
      <c r="Y1539" s="57"/>
    </row>
    <row r="1540" ht="15.75" hidden="1" customHeight="1">
      <c r="A1540" s="132"/>
      <c r="B1540" s="132"/>
      <c r="R1540" s="133"/>
      <c r="Y1540" s="57"/>
    </row>
    <row r="1541" ht="15.75" hidden="1" customHeight="1">
      <c r="A1541" s="132"/>
      <c r="B1541" s="132"/>
      <c r="R1541" s="133"/>
      <c r="Y1541" s="57"/>
    </row>
    <row r="1542" ht="15.75" hidden="1" customHeight="1">
      <c r="A1542" s="132"/>
      <c r="B1542" s="132"/>
      <c r="R1542" s="133"/>
      <c r="Y1542" s="57"/>
    </row>
    <row r="1543" ht="15.75" hidden="1" customHeight="1">
      <c r="A1543" s="132"/>
      <c r="B1543" s="132"/>
      <c r="R1543" s="133"/>
      <c r="Y1543" s="57"/>
    </row>
    <row r="1544" ht="15.75" hidden="1" customHeight="1">
      <c r="A1544" s="132"/>
      <c r="B1544" s="132"/>
      <c r="R1544" s="133"/>
      <c r="Y1544" s="57"/>
    </row>
    <row r="1545" ht="15.75" hidden="1" customHeight="1">
      <c r="A1545" s="132"/>
      <c r="B1545" s="132"/>
      <c r="R1545" s="133"/>
      <c r="Y1545" s="57"/>
    </row>
    <row r="1546" ht="15.75" hidden="1" customHeight="1">
      <c r="A1546" s="132"/>
      <c r="B1546" s="132"/>
      <c r="R1546" s="133"/>
      <c r="Y1546" s="57"/>
    </row>
    <row r="1547" ht="15.75" hidden="1" customHeight="1">
      <c r="A1547" s="132"/>
      <c r="B1547" s="132"/>
      <c r="R1547" s="133"/>
      <c r="Y1547" s="57"/>
    </row>
    <row r="1548" ht="15.75" hidden="1" customHeight="1">
      <c r="A1548" s="132"/>
      <c r="B1548" s="132"/>
      <c r="R1548" s="133"/>
      <c r="Y1548" s="57"/>
    </row>
    <row r="1549" ht="15.75" hidden="1" customHeight="1">
      <c r="A1549" s="132"/>
      <c r="B1549" s="132"/>
      <c r="R1549" s="133"/>
      <c r="Y1549" s="57"/>
    </row>
    <row r="1550" ht="15.75" hidden="1" customHeight="1">
      <c r="A1550" s="132"/>
      <c r="B1550" s="132"/>
      <c r="R1550" s="133"/>
      <c r="Y1550" s="57"/>
    </row>
    <row r="1551" ht="15.75" hidden="1" customHeight="1">
      <c r="A1551" s="132"/>
      <c r="B1551" s="132"/>
      <c r="R1551" s="133"/>
      <c r="Y1551" s="57"/>
    </row>
    <row r="1552" ht="15.75" hidden="1" customHeight="1">
      <c r="A1552" s="132"/>
      <c r="B1552" s="132"/>
      <c r="R1552" s="133"/>
      <c r="Y1552" s="57"/>
    </row>
    <row r="1553" ht="15.75" hidden="1" customHeight="1">
      <c r="A1553" s="132"/>
      <c r="B1553" s="132"/>
      <c r="R1553" s="133"/>
      <c r="Y1553" s="57"/>
    </row>
    <row r="1554" ht="15.75" hidden="1" customHeight="1">
      <c r="A1554" s="132"/>
      <c r="B1554" s="132"/>
      <c r="R1554" s="133"/>
      <c r="Y1554" s="57"/>
    </row>
    <row r="1555" ht="15.75" hidden="1" customHeight="1">
      <c r="A1555" s="132"/>
      <c r="B1555" s="132"/>
      <c r="R1555" s="133"/>
      <c r="Y1555" s="57"/>
    </row>
    <row r="1556" ht="15.75" hidden="1" customHeight="1">
      <c r="A1556" s="132"/>
      <c r="B1556" s="132"/>
      <c r="R1556" s="133"/>
      <c r="Y1556" s="57"/>
    </row>
    <row r="1557" ht="15.75" hidden="1" customHeight="1">
      <c r="A1557" s="132"/>
      <c r="B1557" s="132"/>
      <c r="R1557" s="133"/>
      <c r="Y1557" s="57"/>
    </row>
    <row r="1558" ht="15.75" hidden="1" customHeight="1">
      <c r="A1558" s="132"/>
      <c r="B1558" s="132"/>
      <c r="R1558" s="133"/>
      <c r="Y1558" s="57"/>
    </row>
    <row r="1559" ht="15.75" hidden="1" customHeight="1">
      <c r="A1559" s="132"/>
      <c r="B1559" s="132"/>
      <c r="R1559" s="133"/>
      <c r="Y1559" s="57"/>
    </row>
    <row r="1560" ht="15.75" hidden="1" customHeight="1">
      <c r="A1560" s="132"/>
      <c r="B1560" s="132"/>
      <c r="R1560" s="133"/>
      <c r="Y1560" s="57"/>
    </row>
    <row r="1561" ht="15.75" hidden="1" customHeight="1">
      <c r="A1561" s="132"/>
      <c r="B1561" s="132"/>
      <c r="R1561" s="133"/>
      <c r="Y1561" s="57"/>
    </row>
    <row r="1562" ht="15.75" hidden="1" customHeight="1">
      <c r="A1562" s="132"/>
      <c r="B1562" s="132"/>
      <c r="R1562" s="133"/>
      <c r="Y1562" s="57"/>
    </row>
    <row r="1563" ht="15.75" hidden="1" customHeight="1">
      <c r="A1563" s="132"/>
      <c r="B1563" s="132"/>
      <c r="R1563" s="133"/>
      <c r="Y1563" s="57"/>
    </row>
    <row r="1564" ht="15.75" hidden="1" customHeight="1">
      <c r="A1564" s="132"/>
      <c r="B1564" s="132"/>
      <c r="R1564" s="133"/>
      <c r="Y1564" s="57"/>
    </row>
    <row r="1565" ht="15.75" hidden="1" customHeight="1">
      <c r="A1565" s="132"/>
      <c r="B1565" s="132"/>
      <c r="R1565" s="133"/>
      <c r="Y1565" s="57"/>
    </row>
    <row r="1566" ht="15.75" hidden="1" customHeight="1">
      <c r="A1566" s="132"/>
      <c r="B1566" s="132"/>
      <c r="R1566" s="133"/>
      <c r="Y1566" s="57"/>
    </row>
    <row r="1567" ht="15.75" hidden="1" customHeight="1">
      <c r="A1567" s="132"/>
      <c r="B1567" s="132"/>
      <c r="R1567" s="133"/>
      <c r="Y1567" s="57"/>
    </row>
    <row r="1568" ht="15.75" hidden="1" customHeight="1">
      <c r="A1568" s="132"/>
      <c r="B1568" s="132"/>
      <c r="R1568" s="133"/>
      <c r="Y1568" s="57"/>
    </row>
    <row r="1569" ht="15.75" hidden="1" customHeight="1">
      <c r="A1569" s="132"/>
      <c r="B1569" s="132"/>
      <c r="R1569" s="133"/>
      <c r="Y1569" s="57"/>
    </row>
    <row r="1570" ht="15.75" hidden="1" customHeight="1">
      <c r="A1570" s="132"/>
      <c r="B1570" s="132"/>
      <c r="R1570" s="133"/>
      <c r="Y1570" s="57"/>
    </row>
    <row r="1571" ht="15.75" hidden="1" customHeight="1">
      <c r="A1571" s="132"/>
      <c r="B1571" s="132"/>
      <c r="R1571" s="133"/>
      <c r="Y1571" s="57"/>
    </row>
    <row r="1572" ht="15.75" hidden="1" customHeight="1">
      <c r="A1572" s="132"/>
      <c r="B1572" s="132"/>
      <c r="R1572" s="133"/>
      <c r="Y1572" s="57"/>
    </row>
    <row r="1573" ht="15.75" hidden="1" customHeight="1">
      <c r="A1573" s="132"/>
      <c r="B1573" s="132"/>
      <c r="R1573" s="133"/>
      <c r="Y1573" s="57"/>
    </row>
    <row r="1574" ht="15.75" hidden="1" customHeight="1">
      <c r="A1574" s="132"/>
      <c r="B1574" s="132"/>
      <c r="R1574" s="133"/>
      <c r="Y1574" s="57"/>
    </row>
    <row r="1575" ht="15.75" hidden="1" customHeight="1">
      <c r="A1575" s="132"/>
      <c r="B1575" s="132"/>
      <c r="R1575" s="133"/>
      <c r="Y1575" s="57"/>
    </row>
    <row r="1576" ht="15.75" hidden="1" customHeight="1">
      <c r="A1576" s="132"/>
      <c r="B1576" s="132"/>
      <c r="R1576" s="133"/>
      <c r="Y1576" s="57"/>
    </row>
    <row r="1577" ht="15.75" hidden="1" customHeight="1">
      <c r="A1577" s="132"/>
      <c r="B1577" s="132"/>
      <c r="R1577" s="133"/>
      <c r="Y1577" s="57"/>
    </row>
    <row r="1578" ht="15.75" hidden="1" customHeight="1">
      <c r="A1578" s="132"/>
      <c r="B1578" s="132"/>
      <c r="R1578" s="133"/>
      <c r="Y1578" s="57"/>
    </row>
    <row r="1579" ht="15.75" hidden="1" customHeight="1">
      <c r="A1579" s="132"/>
      <c r="B1579" s="132"/>
      <c r="R1579" s="133"/>
      <c r="Y1579" s="57"/>
    </row>
    <row r="1580" ht="15.75" hidden="1" customHeight="1">
      <c r="A1580" s="132"/>
      <c r="B1580" s="132"/>
      <c r="R1580" s="133"/>
      <c r="Y1580" s="57"/>
    </row>
    <row r="1581" ht="15.75" hidden="1" customHeight="1">
      <c r="A1581" s="132"/>
      <c r="B1581" s="132"/>
      <c r="R1581" s="133"/>
      <c r="Y1581" s="57"/>
    </row>
    <row r="1582" ht="15.75" hidden="1" customHeight="1">
      <c r="A1582" s="132"/>
      <c r="B1582" s="132"/>
      <c r="R1582" s="133"/>
      <c r="Y1582" s="57"/>
    </row>
    <row r="1583" ht="15.75" hidden="1" customHeight="1">
      <c r="A1583" s="132"/>
      <c r="B1583" s="132"/>
      <c r="R1583" s="133"/>
      <c r="Y1583" s="57"/>
    </row>
    <row r="1584" ht="15.75" hidden="1" customHeight="1">
      <c r="A1584" s="132"/>
      <c r="B1584" s="132"/>
      <c r="R1584" s="133"/>
      <c r="Y1584" s="57"/>
    </row>
    <row r="1585" ht="15.75" hidden="1" customHeight="1">
      <c r="A1585" s="132"/>
      <c r="B1585" s="132"/>
      <c r="R1585" s="133"/>
      <c r="Y1585" s="57"/>
    </row>
    <row r="1586" ht="15.75" hidden="1" customHeight="1">
      <c r="A1586" s="132"/>
      <c r="B1586" s="132"/>
      <c r="R1586" s="133"/>
      <c r="Y1586" s="57"/>
    </row>
    <row r="1587" ht="15.75" hidden="1" customHeight="1">
      <c r="A1587" s="132"/>
      <c r="B1587" s="132"/>
      <c r="R1587" s="133"/>
      <c r="Y1587" s="57"/>
    </row>
    <row r="1588" ht="15.75" hidden="1" customHeight="1">
      <c r="A1588" s="132"/>
      <c r="B1588" s="132"/>
      <c r="R1588" s="133"/>
      <c r="Y1588" s="57"/>
    </row>
    <row r="1589" ht="15.75" hidden="1" customHeight="1">
      <c r="A1589" s="132"/>
      <c r="B1589" s="132"/>
      <c r="R1589" s="133"/>
      <c r="Y1589" s="57"/>
    </row>
    <row r="1590" ht="15.75" hidden="1" customHeight="1">
      <c r="A1590" s="132"/>
      <c r="B1590" s="132"/>
      <c r="R1590" s="133"/>
      <c r="Y1590" s="57"/>
    </row>
    <row r="1591" ht="15.75" hidden="1" customHeight="1">
      <c r="A1591" s="132"/>
      <c r="B1591" s="132"/>
      <c r="R1591" s="133"/>
      <c r="Y1591" s="57"/>
    </row>
    <row r="1592" ht="15.75" hidden="1" customHeight="1">
      <c r="A1592" s="132"/>
      <c r="B1592" s="132"/>
      <c r="R1592" s="133"/>
      <c r="Y1592" s="57"/>
    </row>
    <row r="1593" ht="15.75" hidden="1" customHeight="1">
      <c r="A1593" s="132"/>
      <c r="B1593" s="132"/>
      <c r="R1593" s="133"/>
      <c r="Y1593" s="57"/>
    </row>
    <row r="1594" ht="15.75" hidden="1" customHeight="1">
      <c r="A1594" s="132"/>
      <c r="B1594" s="132"/>
      <c r="R1594" s="133"/>
      <c r="Y1594" s="57"/>
    </row>
    <row r="1595" ht="15.75" hidden="1" customHeight="1">
      <c r="A1595" s="132"/>
      <c r="B1595" s="132"/>
      <c r="R1595" s="133"/>
      <c r="Y1595" s="57"/>
    </row>
    <row r="1596" ht="15.75" hidden="1" customHeight="1">
      <c r="A1596" s="132"/>
      <c r="B1596" s="132"/>
      <c r="R1596" s="133"/>
      <c r="Y1596" s="57"/>
    </row>
    <row r="1597" ht="15.75" hidden="1" customHeight="1">
      <c r="A1597" s="132"/>
      <c r="B1597" s="132"/>
      <c r="R1597" s="133"/>
      <c r="Y1597" s="57"/>
    </row>
    <row r="1598" ht="15.75" hidden="1" customHeight="1">
      <c r="A1598" s="132"/>
      <c r="B1598" s="132"/>
      <c r="R1598" s="133"/>
      <c r="Y1598" s="57"/>
    </row>
    <row r="1599" ht="15.75" hidden="1" customHeight="1">
      <c r="A1599" s="132"/>
      <c r="B1599" s="132"/>
      <c r="R1599" s="133"/>
      <c r="Y1599" s="57"/>
    </row>
    <row r="1600" ht="15.75" hidden="1" customHeight="1">
      <c r="A1600" s="132"/>
      <c r="B1600" s="132"/>
      <c r="R1600" s="133"/>
      <c r="Y1600" s="57"/>
    </row>
    <row r="1601" ht="15.75" hidden="1" customHeight="1">
      <c r="A1601" s="132"/>
      <c r="B1601" s="132"/>
      <c r="R1601" s="133"/>
      <c r="Y1601" s="57"/>
    </row>
    <row r="1602" ht="15.75" hidden="1" customHeight="1">
      <c r="A1602" s="132"/>
      <c r="B1602" s="132"/>
      <c r="R1602" s="133"/>
      <c r="Y1602" s="57"/>
    </row>
    <row r="1603" ht="15.75" hidden="1" customHeight="1">
      <c r="A1603" s="132"/>
      <c r="B1603" s="132"/>
      <c r="R1603" s="133"/>
      <c r="Y1603" s="57"/>
    </row>
    <row r="1604" ht="15.75" hidden="1" customHeight="1">
      <c r="A1604" s="132"/>
      <c r="B1604" s="132"/>
      <c r="R1604" s="133"/>
      <c r="Y1604" s="57"/>
    </row>
    <row r="1605" ht="15.75" hidden="1" customHeight="1">
      <c r="A1605" s="132"/>
      <c r="B1605" s="132"/>
      <c r="R1605" s="133"/>
      <c r="Y1605" s="57"/>
    </row>
    <row r="1606" ht="15.75" hidden="1" customHeight="1">
      <c r="A1606" s="132"/>
      <c r="B1606" s="132"/>
      <c r="R1606" s="133"/>
      <c r="Y1606" s="57"/>
    </row>
    <row r="1607" ht="15.75" hidden="1" customHeight="1">
      <c r="A1607" s="132"/>
      <c r="B1607" s="132"/>
      <c r="R1607" s="133"/>
      <c r="Y1607" s="57"/>
    </row>
    <row r="1608" ht="15.75" hidden="1" customHeight="1">
      <c r="A1608" s="132"/>
      <c r="B1608" s="132"/>
      <c r="R1608" s="133"/>
      <c r="Y1608" s="57"/>
    </row>
    <row r="1609" ht="15.75" hidden="1" customHeight="1">
      <c r="A1609" s="132"/>
      <c r="B1609" s="132"/>
      <c r="R1609" s="133"/>
      <c r="Y1609" s="57"/>
    </row>
    <row r="1610" ht="15.75" hidden="1" customHeight="1">
      <c r="A1610" s="132"/>
      <c r="B1610" s="132"/>
      <c r="R1610" s="133"/>
      <c r="Y1610" s="57"/>
    </row>
    <row r="1611" ht="15.75" hidden="1" customHeight="1">
      <c r="A1611" s="132"/>
      <c r="B1611" s="132"/>
      <c r="R1611" s="133"/>
      <c r="Y1611" s="57"/>
    </row>
    <row r="1612" ht="15.75" hidden="1" customHeight="1">
      <c r="A1612" s="132"/>
      <c r="B1612" s="132"/>
      <c r="R1612" s="133"/>
      <c r="Y1612" s="57"/>
    </row>
    <row r="1613" ht="15.75" hidden="1" customHeight="1">
      <c r="A1613" s="132"/>
      <c r="B1613" s="132"/>
      <c r="R1613" s="133"/>
      <c r="Y1613" s="57"/>
    </row>
    <row r="1614" ht="15.75" hidden="1" customHeight="1">
      <c r="A1614" s="132"/>
      <c r="B1614" s="132"/>
      <c r="R1614" s="133"/>
      <c r="Y1614" s="57"/>
    </row>
    <row r="1615" ht="15.75" hidden="1" customHeight="1">
      <c r="A1615" s="132"/>
      <c r="B1615" s="132"/>
      <c r="R1615" s="133"/>
      <c r="Y1615" s="57"/>
    </row>
    <row r="1616" ht="15.75" hidden="1" customHeight="1">
      <c r="A1616" s="132"/>
      <c r="B1616" s="132"/>
      <c r="R1616" s="133"/>
      <c r="Y1616" s="57"/>
    </row>
    <row r="1617" ht="15.75" hidden="1" customHeight="1">
      <c r="A1617" s="132"/>
      <c r="B1617" s="132"/>
      <c r="R1617" s="133"/>
      <c r="Y1617" s="57"/>
    </row>
    <row r="1618" ht="15.75" hidden="1" customHeight="1">
      <c r="A1618" s="132"/>
      <c r="B1618" s="132"/>
      <c r="R1618" s="133"/>
      <c r="Y1618" s="57"/>
    </row>
    <row r="1619" ht="15.75" hidden="1" customHeight="1">
      <c r="A1619" s="132"/>
      <c r="B1619" s="132"/>
      <c r="R1619" s="133"/>
      <c r="Y1619" s="57"/>
    </row>
    <row r="1620" ht="15.75" hidden="1" customHeight="1">
      <c r="A1620" s="132"/>
      <c r="B1620" s="132"/>
      <c r="R1620" s="133"/>
      <c r="Y1620" s="57"/>
    </row>
    <row r="1621" ht="15.75" hidden="1" customHeight="1">
      <c r="A1621" s="132"/>
      <c r="B1621" s="132"/>
      <c r="R1621" s="133"/>
      <c r="Y1621" s="57"/>
    </row>
    <row r="1622" ht="15.75" hidden="1" customHeight="1">
      <c r="A1622" s="132"/>
      <c r="B1622" s="132"/>
      <c r="R1622" s="133"/>
      <c r="Y1622" s="57"/>
    </row>
    <row r="1623" ht="15.75" hidden="1" customHeight="1">
      <c r="A1623" s="132"/>
      <c r="B1623" s="132"/>
      <c r="R1623" s="133"/>
      <c r="Y1623" s="57"/>
    </row>
    <row r="1624" ht="15.75" hidden="1" customHeight="1">
      <c r="A1624" s="132"/>
      <c r="B1624" s="132"/>
      <c r="R1624" s="133"/>
      <c r="Y1624" s="57"/>
    </row>
    <row r="1625" ht="15.75" hidden="1" customHeight="1">
      <c r="A1625" s="132"/>
      <c r="B1625" s="132"/>
      <c r="R1625" s="133"/>
      <c r="Y1625" s="57"/>
    </row>
    <row r="1626" ht="15.75" hidden="1" customHeight="1">
      <c r="A1626" s="132"/>
      <c r="B1626" s="132"/>
      <c r="R1626" s="133"/>
      <c r="Y1626" s="57"/>
    </row>
    <row r="1627" ht="15.75" hidden="1" customHeight="1">
      <c r="A1627" s="132"/>
      <c r="B1627" s="132"/>
      <c r="R1627" s="133"/>
      <c r="Y1627" s="57"/>
    </row>
    <row r="1628" ht="15.75" hidden="1" customHeight="1">
      <c r="A1628" s="132"/>
      <c r="B1628" s="132"/>
      <c r="R1628" s="133"/>
      <c r="Y1628" s="57"/>
    </row>
    <row r="1629" ht="15.75" hidden="1" customHeight="1">
      <c r="A1629" s="132"/>
      <c r="B1629" s="132"/>
      <c r="R1629" s="133"/>
      <c r="Y1629" s="57"/>
    </row>
    <row r="1630" ht="15.75" hidden="1" customHeight="1">
      <c r="A1630" s="132"/>
      <c r="B1630" s="132"/>
      <c r="R1630" s="133"/>
      <c r="Y1630" s="57"/>
    </row>
    <row r="1631" ht="15.75" hidden="1" customHeight="1">
      <c r="A1631" s="132"/>
      <c r="B1631" s="132"/>
      <c r="R1631" s="133"/>
      <c r="Y1631" s="57"/>
    </row>
    <row r="1632" ht="15.75" hidden="1" customHeight="1">
      <c r="A1632" s="132"/>
      <c r="B1632" s="132"/>
      <c r="R1632" s="133"/>
      <c r="Y1632" s="57"/>
    </row>
    <row r="1633" ht="15.75" hidden="1" customHeight="1">
      <c r="A1633" s="132"/>
      <c r="B1633" s="132"/>
      <c r="R1633" s="133"/>
      <c r="Y1633" s="57"/>
    </row>
    <row r="1634" ht="15.75" hidden="1" customHeight="1">
      <c r="A1634" s="132"/>
      <c r="B1634" s="132"/>
      <c r="R1634" s="133"/>
      <c r="Y1634" s="57"/>
    </row>
    <row r="1635" ht="15.75" hidden="1" customHeight="1">
      <c r="A1635" s="132"/>
      <c r="B1635" s="132"/>
      <c r="R1635" s="133"/>
      <c r="Y1635" s="57"/>
    </row>
    <row r="1636" ht="15.75" hidden="1" customHeight="1">
      <c r="A1636" s="132"/>
      <c r="B1636" s="132"/>
      <c r="R1636" s="133"/>
      <c r="Y1636" s="57"/>
    </row>
    <row r="1637" ht="15.75" hidden="1" customHeight="1">
      <c r="A1637" s="132"/>
      <c r="B1637" s="132"/>
      <c r="R1637" s="133"/>
      <c r="Y1637" s="57"/>
    </row>
    <row r="1638" ht="15.75" hidden="1" customHeight="1">
      <c r="A1638" s="132"/>
      <c r="B1638" s="132"/>
      <c r="R1638" s="133"/>
      <c r="Y1638" s="57"/>
    </row>
    <row r="1639" ht="15.75" hidden="1" customHeight="1">
      <c r="A1639" s="132"/>
      <c r="B1639" s="132"/>
      <c r="R1639" s="133"/>
      <c r="Y1639" s="57"/>
    </row>
    <row r="1640" ht="15.75" hidden="1" customHeight="1">
      <c r="A1640" s="132"/>
      <c r="B1640" s="132"/>
      <c r="R1640" s="133"/>
      <c r="Y1640" s="57"/>
    </row>
    <row r="1641" ht="15.75" hidden="1" customHeight="1">
      <c r="A1641" s="132"/>
      <c r="B1641" s="132"/>
      <c r="R1641" s="133"/>
      <c r="Y1641" s="57"/>
    </row>
    <row r="1642" ht="15.75" hidden="1" customHeight="1">
      <c r="A1642" s="132"/>
      <c r="B1642" s="132"/>
      <c r="R1642" s="133"/>
      <c r="Y1642" s="57"/>
    </row>
    <row r="1643" ht="15.75" hidden="1" customHeight="1">
      <c r="A1643" s="132"/>
      <c r="B1643" s="132"/>
      <c r="R1643" s="133"/>
      <c r="Y1643" s="57"/>
    </row>
    <row r="1644" ht="15.75" hidden="1" customHeight="1">
      <c r="A1644" s="132"/>
      <c r="B1644" s="132"/>
      <c r="R1644" s="133"/>
      <c r="Y1644" s="57"/>
    </row>
    <row r="1645" ht="15.75" hidden="1" customHeight="1">
      <c r="A1645" s="132"/>
      <c r="B1645" s="132"/>
      <c r="R1645" s="133"/>
      <c r="Y1645" s="57"/>
    </row>
    <row r="1646" ht="15.75" hidden="1" customHeight="1">
      <c r="A1646" s="132"/>
      <c r="B1646" s="132"/>
      <c r="R1646" s="133"/>
      <c r="Y1646" s="57"/>
    </row>
    <row r="1647" ht="15.75" hidden="1" customHeight="1">
      <c r="A1647" s="132"/>
      <c r="B1647" s="132"/>
      <c r="R1647" s="133"/>
      <c r="Y1647" s="57"/>
    </row>
    <row r="1648" ht="15.75" hidden="1" customHeight="1">
      <c r="A1648" s="132"/>
      <c r="B1648" s="132"/>
      <c r="R1648" s="133"/>
      <c r="Y1648" s="57"/>
    </row>
    <row r="1649" ht="15.75" hidden="1" customHeight="1">
      <c r="A1649" s="132"/>
      <c r="B1649" s="132"/>
      <c r="R1649" s="133"/>
      <c r="Y1649" s="57"/>
    </row>
    <row r="1650" ht="15.75" hidden="1" customHeight="1">
      <c r="A1650" s="132"/>
      <c r="B1650" s="132"/>
      <c r="R1650" s="133"/>
      <c r="Y1650" s="57"/>
    </row>
    <row r="1651" ht="15.75" hidden="1" customHeight="1">
      <c r="A1651" s="132"/>
      <c r="B1651" s="132"/>
      <c r="R1651" s="133"/>
      <c r="Y1651" s="57"/>
    </row>
    <row r="1652" ht="15.75" hidden="1" customHeight="1">
      <c r="A1652" s="132"/>
      <c r="B1652" s="132"/>
      <c r="R1652" s="133"/>
      <c r="Y1652" s="57"/>
    </row>
    <row r="1653" ht="15.75" hidden="1" customHeight="1">
      <c r="A1653" s="132"/>
      <c r="B1653" s="132"/>
      <c r="R1653" s="133"/>
      <c r="Y1653" s="57"/>
    </row>
    <row r="1654" ht="15.75" hidden="1" customHeight="1">
      <c r="A1654" s="132"/>
      <c r="B1654" s="132"/>
      <c r="R1654" s="133"/>
      <c r="Y1654" s="57"/>
    </row>
    <row r="1655" ht="15.75" hidden="1" customHeight="1">
      <c r="A1655" s="132"/>
      <c r="B1655" s="132"/>
      <c r="R1655" s="133"/>
      <c r="Y1655" s="57"/>
    </row>
    <row r="1656" ht="15.75" hidden="1" customHeight="1">
      <c r="A1656" s="132"/>
      <c r="B1656" s="132"/>
      <c r="R1656" s="133"/>
      <c r="Y1656" s="57"/>
    </row>
    <row r="1657" ht="15.75" hidden="1" customHeight="1">
      <c r="A1657" s="132"/>
      <c r="B1657" s="132"/>
      <c r="R1657" s="133"/>
      <c r="Y1657" s="57"/>
    </row>
    <row r="1658" ht="15.75" hidden="1" customHeight="1">
      <c r="A1658" s="132"/>
      <c r="B1658" s="132"/>
      <c r="R1658" s="133"/>
      <c r="Y1658" s="57"/>
    </row>
    <row r="1659" ht="15.75" hidden="1" customHeight="1">
      <c r="A1659" s="132"/>
      <c r="B1659" s="132"/>
      <c r="R1659" s="133"/>
      <c r="Y1659" s="57"/>
    </row>
    <row r="1660" ht="15.75" hidden="1" customHeight="1">
      <c r="A1660" s="132"/>
      <c r="B1660" s="132"/>
      <c r="R1660" s="133"/>
      <c r="Y1660" s="57"/>
    </row>
    <row r="1661" ht="15.75" hidden="1" customHeight="1">
      <c r="A1661" s="132"/>
      <c r="B1661" s="132"/>
      <c r="R1661" s="133"/>
      <c r="Y1661" s="57"/>
    </row>
    <row r="1662" ht="15.75" hidden="1" customHeight="1">
      <c r="A1662" s="132"/>
      <c r="B1662" s="132"/>
      <c r="R1662" s="133"/>
      <c r="Y1662" s="57"/>
    </row>
    <row r="1663" ht="15.75" hidden="1" customHeight="1">
      <c r="A1663" s="132"/>
      <c r="B1663" s="132"/>
      <c r="R1663" s="133"/>
      <c r="Y1663" s="57"/>
    </row>
    <row r="1664" ht="15.75" hidden="1" customHeight="1">
      <c r="A1664" s="132"/>
      <c r="B1664" s="132"/>
      <c r="R1664" s="133"/>
      <c r="Y1664" s="57"/>
    </row>
    <row r="1665" ht="15.75" hidden="1" customHeight="1">
      <c r="A1665" s="132"/>
      <c r="B1665" s="132"/>
      <c r="R1665" s="133"/>
      <c r="Y1665" s="57"/>
    </row>
    <row r="1666" ht="15.75" hidden="1" customHeight="1">
      <c r="A1666" s="132"/>
      <c r="B1666" s="132"/>
      <c r="R1666" s="133"/>
      <c r="Y1666" s="57"/>
    </row>
    <row r="1667" ht="15.75" hidden="1" customHeight="1">
      <c r="A1667" s="132"/>
      <c r="B1667" s="132"/>
      <c r="R1667" s="133"/>
      <c r="Y1667" s="57"/>
    </row>
    <row r="1668" ht="15.75" hidden="1" customHeight="1">
      <c r="A1668" s="132"/>
      <c r="B1668" s="132"/>
      <c r="R1668" s="133"/>
      <c r="Y1668" s="57"/>
    </row>
    <row r="1669" ht="15.75" hidden="1" customHeight="1">
      <c r="A1669" s="132"/>
      <c r="B1669" s="132"/>
      <c r="R1669" s="133"/>
      <c r="Y1669" s="57"/>
    </row>
    <row r="1670" ht="15.75" hidden="1" customHeight="1">
      <c r="A1670" s="132"/>
      <c r="B1670" s="132"/>
      <c r="R1670" s="133"/>
      <c r="Y1670" s="57"/>
    </row>
    <row r="1671" ht="15.75" hidden="1" customHeight="1">
      <c r="A1671" s="132"/>
      <c r="B1671" s="132"/>
      <c r="R1671" s="133"/>
      <c r="Y1671" s="57"/>
    </row>
    <row r="1672" ht="15.75" hidden="1" customHeight="1">
      <c r="A1672" s="132"/>
      <c r="B1672" s="132"/>
      <c r="R1672" s="133"/>
      <c r="Y1672" s="57"/>
    </row>
    <row r="1673" ht="15.75" hidden="1" customHeight="1">
      <c r="A1673" s="132"/>
      <c r="B1673" s="132"/>
      <c r="R1673" s="133"/>
      <c r="Y1673" s="57"/>
    </row>
    <row r="1674" ht="15.75" hidden="1" customHeight="1">
      <c r="A1674" s="132"/>
      <c r="B1674" s="132"/>
      <c r="R1674" s="133"/>
      <c r="Y1674" s="57"/>
    </row>
    <row r="1675" ht="15.75" hidden="1" customHeight="1">
      <c r="A1675" s="132"/>
      <c r="B1675" s="132"/>
      <c r="R1675" s="133"/>
      <c r="Y1675" s="57"/>
    </row>
    <row r="1676" ht="15.75" hidden="1" customHeight="1">
      <c r="A1676" s="132"/>
      <c r="B1676" s="132"/>
      <c r="R1676" s="133"/>
      <c r="Y1676" s="57"/>
    </row>
    <row r="1677" ht="15.75" hidden="1" customHeight="1">
      <c r="A1677" s="132"/>
      <c r="B1677" s="132"/>
      <c r="R1677" s="133"/>
      <c r="Y1677" s="57"/>
    </row>
    <row r="1678" ht="15.75" hidden="1" customHeight="1">
      <c r="A1678" s="132"/>
      <c r="B1678" s="132"/>
      <c r="R1678" s="133"/>
      <c r="Y1678" s="57"/>
    </row>
    <row r="1679" ht="15.75" hidden="1" customHeight="1">
      <c r="A1679" s="132"/>
      <c r="B1679" s="132"/>
      <c r="R1679" s="133"/>
      <c r="Y1679" s="57"/>
    </row>
    <row r="1680" ht="15.75" hidden="1" customHeight="1">
      <c r="A1680" s="132"/>
      <c r="B1680" s="132"/>
      <c r="R1680" s="133"/>
      <c r="Y1680" s="57"/>
    </row>
    <row r="1681" ht="15.75" hidden="1" customHeight="1">
      <c r="A1681" s="132"/>
      <c r="B1681" s="132"/>
      <c r="R1681" s="133"/>
      <c r="Y1681" s="57"/>
    </row>
    <row r="1682" ht="15.75" hidden="1" customHeight="1">
      <c r="A1682" s="132"/>
      <c r="B1682" s="132"/>
      <c r="R1682" s="133"/>
      <c r="Y1682" s="57"/>
    </row>
    <row r="1683" ht="15.75" hidden="1" customHeight="1">
      <c r="A1683" s="132"/>
      <c r="B1683" s="132"/>
      <c r="R1683" s="133"/>
      <c r="Y1683" s="57"/>
    </row>
    <row r="1684" ht="15.75" hidden="1" customHeight="1">
      <c r="A1684" s="132"/>
      <c r="B1684" s="132"/>
      <c r="R1684" s="133"/>
      <c r="Y1684" s="57"/>
    </row>
    <row r="1685" ht="15.75" hidden="1" customHeight="1">
      <c r="A1685" s="132"/>
      <c r="B1685" s="132"/>
      <c r="R1685" s="133"/>
      <c r="Y1685" s="57"/>
    </row>
    <row r="1686" ht="15.75" hidden="1" customHeight="1">
      <c r="A1686" s="132"/>
      <c r="B1686" s="132"/>
      <c r="R1686" s="133"/>
      <c r="Y1686" s="57"/>
    </row>
    <row r="1687" ht="15.75" hidden="1" customHeight="1">
      <c r="A1687" s="132"/>
      <c r="B1687" s="132"/>
      <c r="R1687" s="133"/>
      <c r="Y1687" s="57"/>
    </row>
    <row r="1688" ht="15.75" hidden="1" customHeight="1">
      <c r="A1688" s="132"/>
      <c r="B1688" s="132"/>
      <c r="R1688" s="133"/>
      <c r="Y1688" s="57"/>
    </row>
    <row r="1689" ht="15.75" hidden="1" customHeight="1">
      <c r="A1689" s="132"/>
      <c r="B1689" s="132"/>
      <c r="R1689" s="133"/>
      <c r="Y1689" s="57"/>
    </row>
    <row r="1690" ht="15.75" hidden="1" customHeight="1">
      <c r="A1690" s="132"/>
      <c r="B1690" s="132"/>
      <c r="R1690" s="133"/>
      <c r="Y1690" s="57"/>
    </row>
    <row r="1691" ht="15.75" hidden="1" customHeight="1">
      <c r="A1691" s="132"/>
      <c r="B1691" s="132"/>
      <c r="R1691" s="133"/>
      <c r="Y1691" s="57"/>
    </row>
    <row r="1692" ht="15.75" hidden="1" customHeight="1">
      <c r="A1692" s="132"/>
      <c r="B1692" s="132"/>
      <c r="R1692" s="133"/>
      <c r="Y1692" s="57"/>
    </row>
    <row r="1693" ht="15.75" hidden="1" customHeight="1">
      <c r="A1693" s="132"/>
      <c r="B1693" s="132"/>
      <c r="R1693" s="133"/>
      <c r="Y1693" s="57"/>
    </row>
    <row r="1694" ht="15.75" hidden="1" customHeight="1">
      <c r="A1694" s="132"/>
      <c r="B1694" s="132"/>
      <c r="R1694" s="133"/>
      <c r="Y1694" s="57"/>
    </row>
    <row r="1695" ht="15.75" hidden="1" customHeight="1">
      <c r="A1695" s="132"/>
      <c r="B1695" s="132"/>
      <c r="R1695" s="133"/>
      <c r="Y1695" s="57"/>
    </row>
    <row r="1696" ht="15.75" hidden="1" customHeight="1">
      <c r="A1696" s="132"/>
      <c r="B1696" s="132"/>
      <c r="R1696" s="133"/>
      <c r="Y1696" s="57"/>
    </row>
    <row r="1697" ht="15.75" hidden="1" customHeight="1">
      <c r="A1697" s="132"/>
      <c r="B1697" s="132"/>
      <c r="R1697" s="133"/>
      <c r="Y1697" s="57"/>
    </row>
    <row r="1698" ht="15.75" hidden="1" customHeight="1">
      <c r="A1698" s="132"/>
      <c r="B1698" s="132"/>
      <c r="R1698" s="133"/>
      <c r="Y1698" s="57"/>
    </row>
    <row r="1699" ht="15.75" hidden="1" customHeight="1">
      <c r="A1699" s="132"/>
      <c r="B1699" s="132"/>
      <c r="R1699" s="133"/>
      <c r="Y1699" s="57"/>
    </row>
    <row r="1700" ht="15.75" hidden="1" customHeight="1">
      <c r="A1700" s="132"/>
      <c r="B1700" s="132"/>
      <c r="R1700" s="133"/>
      <c r="Y1700" s="57"/>
    </row>
    <row r="1701" ht="15.75" hidden="1" customHeight="1">
      <c r="A1701" s="132"/>
      <c r="B1701" s="132"/>
      <c r="R1701" s="133"/>
      <c r="Y1701" s="57"/>
    </row>
    <row r="1702" ht="15.75" hidden="1" customHeight="1">
      <c r="A1702" s="132"/>
      <c r="B1702" s="132"/>
      <c r="R1702" s="133"/>
      <c r="Y1702" s="57"/>
    </row>
    <row r="1703" ht="15.75" hidden="1" customHeight="1">
      <c r="A1703" s="132"/>
      <c r="B1703" s="132"/>
      <c r="R1703" s="133"/>
      <c r="Y1703" s="57"/>
    </row>
    <row r="1704" ht="15.75" hidden="1" customHeight="1">
      <c r="A1704" s="132"/>
      <c r="B1704" s="132"/>
      <c r="R1704" s="133"/>
      <c r="Y1704" s="57"/>
    </row>
    <row r="1705" ht="15.75" hidden="1" customHeight="1">
      <c r="A1705" s="132"/>
      <c r="B1705" s="132"/>
      <c r="R1705" s="133"/>
      <c r="Y1705" s="57"/>
    </row>
    <row r="1706" ht="15.75" hidden="1" customHeight="1">
      <c r="A1706" s="132"/>
      <c r="B1706" s="132"/>
      <c r="R1706" s="133"/>
      <c r="Y1706" s="57"/>
    </row>
    <row r="1707" ht="15.75" hidden="1" customHeight="1">
      <c r="A1707" s="132"/>
      <c r="B1707" s="132"/>
      <c r="R1707" s="133"/>
      <c r="Y1707" s="57"/>
    </row>
    <row r="1708" ht="15.75" hidden="1" customHeight="1">
      <c r="A1708" s="132"/>
      <c r="B1708" s="132"/>
      <c r="R1708" s="133"/>
      <c r="Y1708" s="57"/>
    </row>
    <row r="1709" ht="15.75" hidden="1" customHeight="1">
      <c r="A1709" s="132"/>
      <c r="B1709" s="132"/>
      <c r="R1709" s="133"/>
      <c r="Y1709" s="57"/>
    </row>
    <row r="1710" ht="15.75" hidden="1" customHeight="1">
      <c r="A1710" s="132"/>
      <c r="B1710" s="132"/>
      <c r="R1710" s="133"/>
      <c r="Y1710" s="57"/>
    </row>
    <row r="1711" ht="15.75" hidden="1" customHeight="1">
      <c r="A1711" s="132"/>
      <c r="B1711" s="132"/>
      <c r="R1711" s="133"/>
      <c r="Y1711" s="57"/>
    </row>
    <row r="1712" ht="15.75" hidden="1" customHeight="1">
      <c r="A1712" s="132"/>
      <c r="B1712" s="132"/>
      <c r="R1712" s="133"/>
      <c r="Y1712" s="57"/>
    </row>
    <row r="1713" ht="15.75" hidden="1" customHeight="1">
      <c r="A1713" s="132"/>
      <c r="B1713" s="132"/>
      <c r="R1713" s="133"/>
      <c r="Y1713" s="57"/>
    </row>
    <row r="1714" ht="15.75" hidden="1" customHeight="1">
      <c r="A1714" s="132"/>
      <c r="B1714" s="132"/>
      <c r="R1714" s="133"/>
      <c r="Y1714" s="57"/>
    </row>
    <row r="1715" ht="15.75" hidden="1" customHeight="1">
      <c r="A1715" s="132"/>
      <c r="B1715" s="132"/>
      <c r="R1715" s="133"/>
      <c r="Y1715" s="57"/>
    </row>
    <row r="1716" ht="15.75" hidden="1" customHeight="1">
      <c r="A1716" s="132"/>
      <c r="B1716" s="132"/>
      <c r="R1716" s="133"/>
      <c r="Y1716" s="57"/>
    </row>
    <row r="1717" ht="15.75" hidden="1" customHeight="1">
      <c r="A1717" s="132"/>
      <c r="B1717" s="132"/>
      <c r="R1717" s="133"/>
      <c r="Y1717" s="57"/>
    </row>
    <row r="1718" ht="15.75" hidden="1" customHeight="1">
      <c r="A1718" s="132"/>
      <c r="B1718" s="132"/>
      <c r="R1718" s="133"/>
      <c r="Y1718" s="57"/>
    </row>
    <row r="1719" ht="15.75" hidden="1" customHeight="1">
      <c r="A1719" s="132"/>
      <c r="B1719" s="132"/>
      <c r="R1719" s="133"/>
      <c r="Y1719" s="57"/>
    </row>
    <row r="1720" ht="15.75" hidden="1" customHeight="1">
      <c r="A1720" s="132"/>
      <c r="B1720" s="132"/>
      <c r="R1720" s="133"/>
      <c r="Y1720" s="57"/>
    </row>
    <row r="1721" ht="15.75" hidden="1" customHeight="1">
      <c r="A1721" s="132"/>
      <c r="B1721" s="132"/>
      <c r="R1721" s="133"/>
      <c r="Y1721" s="57"/>
    </row>
    <row r="1722" ht="15.75" hidden="1" customHeight="1">
      <c r="A1722" s="132"/>
      <c r="B1722" s="132"/>
      <c r="R1722" s="133"/>
      <c r="Y1722" s="57"/>
    </row>
    <row r="1723" ht="15.75" hidden="1" customHeight="1">
      <c r="A1723" s="132"/>
      <c r="B1723" s="132"/>
      <c r="R1723" s="133"/>
      <c r="Y1723" s="57"/>
    </row>
    <row r="1724" ht="15.75" hidden="1" customHeight="1">
      <c r="A1724" s="132"/>
      <c r="B1724" s="132"/>
      <c r="R1724" s="133"/>
      <c r="Y1724" s="57"/>
    </row>
    <row r="1725" ht="15.75" hidden="1" customHeight="1">
      <c r="A1725" s="132"/>
      <c r="B1725" s="132"/>
      <c r="R1725" s="133"/>
      <c r="Y1725" s="57"/>
    </row>
    <row r="1726" ht="15.75" hidden="1" customHeight="1">
      <c r="A1726" s="132"/>
      <c r="B1726" s="132"/>
      <c r="R1726" s="133"/>
      <c r="Y1726" s="57"/>
    </row>
    <row r="1727" ht="15.75" hidden="1" customHeight="1">
      <c r="A1727" s="132"/>
      <c r="B1727" s="132"/>
      <c r="R1727" s="133"/>
      <c r="Y1727" s="57"/>
    </row>
    <row r="1728" ht="15.75" hidden="1" customHeight="1">
      <c r="A1728" s="132"/>
      <c r="B1728" s="132"/>
      <c r="R1728" s="133"/>
      <c r="Y1728" s="57"/>
    </row>
    <row r="1729" ht="15.75" hidden="1" customHeight="1">
      <c r="A1729" s="132"/>
      <c r="B1729" s="132"/>
      <c r="R1729" s="133"/>
      <c r="Y1729" s="57"/>
    </row>
    <row r="1730" ht="15.75" hidden="1" customHeight="1">
      <c r="A1730" s="132"/>
      <c r="B1730" s="132"/>
      <c r="R1730" s="133"/>
      <c r="Y1730" s="57"/>
    </row>
    <row r="1731" ht="15.75" hidden="1" customHeight="1">
      <c r="A1731" s="132"/>
      <c r="B1731" s="132"/>
      <c r="R1731" s="133"/>
      <c r="Y1731" s="57"/>
    </row>
    <row r="1732" ht="15.75" hidden="1" customHeight="1">
      <c r="A1732" s="132"/>
      <c r="B1732" s="132"/>
      <c r="R1732" s="133"/>
      <c r="Y1732" s="57"/>
    </row>
    <row r="1733" ht="15.75" hidden="1" customHeight="1">
      <c r="A1733" s="132"/>
      <c r="B1733" s="132"/>
      <c r="R1733" s="133"/>
      <c r="Y1733" s="57"/>
    </row>
    <row r="1734" ht="15.75" hidden="1" customHeight="1">
      <c r="A1734" s="132"/>
      <c r="B1734" s="132"/>
      <c r="R1734" s="133"/>
      <c r="Y1734" s="57"/>
    </row>
    <row r="1735" ht="15.75" hidden="1" customHeight="1">
      <c r="A1735" s="132"/>
      <c r="B1735" s="132"/>
      <c r="R1735" s="133"/>
      <c r="Y1735" s="57"/>
    </row>
    <row r="1736" ht="15.75" hidden="1" customHeight="1">
      <c r="A1736" s="132"/>
      <c r="B1736" s="132"/>
      <c r="R1736" s="133"/>
      <c r="Y1736" s="57"/>
    </row>
    <row r="1737" ht="15.75" hidden="1" customHeight="1">
      <c r="A1737" s="132"/>
      <c r="B1737" s="132"/>
      <c r="R1737" s="133"/>
      <c r="Y1737" s="57"/>
    </row>
    <row r="1738" ht="15.75" hidden="1" customHeight="1">
      <c r="A1738" s="132"/>
      <c r="B1738" s="132"/>
      <c r="R1738" s="133"/>
      <c r="Y1738" s="57"/>
    </row>
    <row r="1739" ht="15.75" hidden="1" customHeight="1">
      <c r="A1739" s="132"/>
      <c r="B1739" s="132"/>
      <c r="R1739" s="133"/>
      <c r="Y1739" s="57"/>
    </row>
    <row r="1740" ht="15.75" hidden="1" customHeight="1">
      <c r="A1740" s="132"/>
      <c r="B1740" s="132"/>
      <c r="R1740" s="133"/>
      <c r="Y1740" s="57"/>
    </row>
    <row r="1741" ht="15.75" hidden="1" customHeight="1">
      <c r="A1741" s="132"/>
      <c r="B1741" s="132"/>
      <c r="R1741" s="133"/>
      <c r="Y1741" s="57"/>
    </row>
    <row r="1742" ht="15.75" hidden="1" customHeight="1">
      <c r="A1742" s="132"/>
      <c r="B1742" s="132"/>
      <c r="R1742" s="133"/>
      <c r="Y1742" s="57"/>
    </row>
    <row r="1743" ht="15.75" hidden="1" customHeight="1">
      <c r="A1743" s="132"/>
      <c r="B1743" s="132"/>
      <c r="R1743" s="133"/>
      <c r="Y1743" s="57"/>
    </row>
    <row r="1744" ht="15.75" hidden="1" customHeight="1">
      <c r="A1744" s="132"/>
      <c r="B1744" s="132"/>
      <c r="R1744" s="133"/>
      <c r="Y1744" s="57"/>
    </row>
    <row r="1745" ht="15.75" hidden="1" customHeight="1">
      <c r="A1745" s="132"/>
      <c r="B1745" s="132"/>
      <c r="R1745" s="133"/>
      <c r="Y1745" s="57"/>
    </row>
    <row r="1746" ht="15.75" hidden="1" customHeight="1">
      <c r="A1746" s="132"/>
      <c r="B1746" s="132"/>
      <c r="R1746" s="133"/>
      <c r="Y1746" s="57"/>
    </row>
    <row r="1747" ht="15.75" hidden="1" customHeight="1">
      <c r="A1747" s="132"/>
      <c r="B1747" s="132"/>
      <c r="R1747" s="133"/>
      <c r="Y1747" s="57"/>
    </row>
    <row r="1748" ht="15.75" hidden="1" customHeight="1">
      <c r="A1748" s="132"/>
      <c r="B1748" s="132"/>
      <c r="R1748" s="133"/>
      <c r="Y1748" s="57"/>
    </row>
    <row r="1749" ht="15.75" hidden="1" customHeight="1">
      <c r="A1749" s="132"/>
      <c r="B1749" s="132"/>
      <c r="R1749" s="133"/>
      <c r="Y1749" s="57"/>
    </row>
    <row r="1750" ht="15.75" hidden="1" customHeight="1">
      <c r="A1750" s="132"/>
      <c r="B1750" s="132"/>
      <c r="R1750" s="133"/>
      <c r="Y1750" s="57"/>
    </row>
    <row r="1751" ht="15.75" hidden="1" customHeight="1">
      <c r="A1751" s="132"/>
      <c r="B1751" s="132"/>
      <c r="R1751" s="133"/>
      <c r="Y1751" s="57"/>
    </row>
    <row r="1752" ht="15.75" hidden="1" customHeight="1">
      <c r="A1752" s="132"/>
      <c r="B1752" s="132"/>
      <c r="R1752" s="133"/>
      <c r="Y1752" s="57"/>
    </row>
    <row r="1753" ht="15.75" hidden="1" customHeight="1">
      <c r="A1753" s="132"/>
      <c r="B1753" s="132"/>
      <c r="R1753" s="133"/>
      <c r="Y1753" s="57"/>
    </row>
    <row r="1754" ht="15.75" hidden="1" customHeight="1">
      <c r="A1754" s="132"/>
      <c r="B1754" s="132"/>
      <c r="R1754" s="133"/>
      <c r="Y1754" s="57"/>
    </row>
    <row r="1755" ht="15.75" hidden="1" customHeight="1">
      <c r="A1755" s="132"/>
      <c r="B1755" s="132"/>
      <c r="R1755" s="133"/>
      <c r="Y1755" s="57"/>
    </row>
    <row r="1756" ht="15.75" hidden="1" customHeight="1">
      <c r="A1756" s="132"/>
      <c r="B1756" s="132"/>
      <c r="R1756" s="133"/>
      <c r="Y1756" s="57"/>
    </row>
    <row r="1757" ht="15.75" hidden="1" customHeight="1">
      <c r="A1757" s="132"/>
      <c r="B1757" s="132"/>
      <c r="R1757" s="133"/>
      <c r="Y1757" s="57"/>
    </row>
    <row r="1758" ht="15.75" hidden="1" customHeight="1">
      <c r="A1758" s="132"/>
      <c r="B1758" s="132"/>
      <c r="R1758" s="133"/>
      <c r="Y1758" s="57"/>
    </row>
    <row r="1759" ht="15.75" hidden="1" customHeight="1">
      <c r="A1759" s="132"/>
      <c r="B1759" s="132"/>
      <c r="R1759" s="133"/>
      <c r="Y1759" s="57"/>
    </row>
    <row r="1760" ht="15.75" hidden="1" customHeight="1">
      <c r="A1760" s="132"/>
      <c r="B1760" s="132"/>
      <c r="R1760" s="133"/>
      <c r="Y1760" s="57"/>
    </row>
    <row r="1761" ht="15.75" hidden="1" customHeight="1">
      <c r="A1761" s="132"/>
      <c r="B1761" s="132"/>
      <c r="R1761" s="133"/>
      <c r="Y1761" s="57"/>
    </row>
    <row r="1762" ht="15.75" hidden="1" customHeight="1">
      <c r="A1762" s="132"/>
      <c r="B1762" s="132"/>
      <c r="R1762" s="133"/>
      <c r="Y1762" s="57"/>
    </row>
    <row r="1763" ht="15.75" hidden="1" customHeight="1">
      <c r="A1763" s="132"/>
      <c r="B1763" s="132"/>
      <c r="R1763" s="133"/>
      <c r="Y1763" s="57"/>
    </row>
    <row r="1764" ht="15.75" hidden="1" customHeight="1">
      <c r="A1764" s="132"/>
      <c r="B1764" s="132"/>
      <c r="R1764" s="133"/>
      <c r="Y1764" s="57"/>
    </row>
    <row r="1765" ht="15.75" hidden="1" customHeight="1">
      <c r="A1765" s="132"/>
      <c r="B1765" s="132"/>
      <c r="R1765" s="133"/>
      <c r="Y1765" s="57"/>
    </row>
    <row r="1766" ht="15.75" hidden="1" customHeight="1">
      <c r="A1766" s="132"/>
      <c r="B1766" s="132"/>
      <c r="R1766" s="133"/>
      <c r="Y1766" s="57"/>
    </row>
    <row r="1767" ht="15.75" hidden="1" customHeight="1">
      <c r="A1767" s="132"/>
      <c r="B1767" s="132"/>
      <c r="R1767" s="133"/>
      <c r="Y1767" s="57"/>
    </row>
    <row r="1768" ht="15.75" hidden="1" customHeight="1">
      <c r="A1768" s="132"/>
      <c r="B1768" s="132"/>
      <c r="R1768" s="133"/>
      <c r="Y1768" s="57"/>
    </row>
    <row r="1769" ht="15.75" hidden="1" customHeight="1">
      <c r="A1769" s="132"/>
      <c r="B1769" s="132"/>
      <c r="R1769" s="133"/>
      <c r="Y1769" s="57"/>
    </row>
    <row r="1770" ht="15.75" hidden="1" customHeight="1">
      <c r="A1770" s="132"/>
      <c r="B1770" s="132"/>
      <c r="R1770" s="133"/>
      <c r="Y1770" s="57"/>
    </row>
    <row r="1771" ht="15.75" hidden="1" customHeight="1">
      <c r="A1771" s="132"/>
      <c r="B1771" s="132"/>
      <c r="R1771" s="133"/>
      <c r="Y1771" s="57"/>
    </row>
    <row r="1772" ht="15.75" hidden="1" customHeight="1">
      <c r="A1772" s="132"/>
      <c r="B1772" s="132"/>
      <c r="R1772" s="133"/>
      <c r="Y1772" s="57"/>
    </row>
    <row r="1773" ht="15.75" hidden="1" customHeight="1">
      <c r="A1773" s="132"/>
      <c r="B1773" s="132"/>
      <c r="R1773" s="133"/>
      <c r="Y1773" s="57"/>
    </row>
    <row r="1774" ht="15.75" hidden="1" customHeight="1">
      <c r="A1774" s="132"/>
      <c r="B1774" s="132"/>
      <c r="R1774" s="133"/>
      <c r="Y1774" s="57"/>
    </row>
    <row r="1775" ht="15.75" hidden="1" customHeight="1">
      <c r="A1775" s="132"/>
      <c r="B1775" s="132"/>
      <c r="R1775" s="133"/>
      <c r="Y1775" s="57"/>
    </row>
    <row r="1776" ht="15.75" hidden="1" customHeight="1">
      <c r="A1776" s="132"/>
      <c r="B1776" s="132"/>
      <c r="R1776" s="133"/>
      <c r="Y1776" s="57"/>
    </row>
    <row r="1777" ht="15.75" hidden="1" customHeight="1">
      <c r="A1777" s="132"/>
      <c r="B1777" s="132"/>
      <c r="R1777" s="133"/>
      <c r="Y1777" s="57"/>
    </row>
    <row r="1778" ht="15.75" hidden="1" customHeight="1">
      <c r="A1778" s="132"/>
      <c r="B1778" s="132"/>
      <c r="R1778" s="133"/>
      <c r="Y1778" s="57"/>
    </row>
    <row r="1779" ht="15.75" hidden="1" customHeight="1">
      <c r="A1779" s="132"/>
      <c r="B1779" s="132"/>
      <c r="R1779" s="133"/>
      <c r="Y1779" s="57"/>
    </row>
    <row r="1780" ht="15.75" hidden="1" customHeight="1">
      <c r="A1780" s="132"/>
      <c r="B1780" s="132"/>
      <c r="R1780" s="133"/>
      <c r="Y1780" s="57"/>
    </row>
    <row r="1781" ht="15.75" hidden="1" customHeight="1">
      <c r="A1781" s="132"/>
      <c r="B1781" s="132"/>
      <c r="R1781" s="133"/>
      <c r="Y1781" s="57"/>
    </row>
    <row r="1782" ht="15.75" hidden="1" customHeight="1">
      <c r="A1782" s="132"/>
      <c r="B1782" s="132"/>
      <c r="R1782" s="133"/>
      <c r="Y1782" s="57"/>
    </row>
    <row r="1783" ht="15.75" hidden="1" customHeight="1">
      <c r="A1783" s="132"/>
      <c r="B1783" s="132"/>
      <c r="R1783" s="133"/>
      <c r="Y1783" s="57"/>
    </row>
    <row r="1784" ht="15.75" hidden="1" customHeight="1">
      <c r="A1784" s="132"/>
      <c r="B1784" s="132"/>
      <c r="R1784" s="133"/>
      <c r="Y1784" s="57"/>
    </row>
    <row r="1785" ht="15.75" hidden="1" customHeight="1">
      <c r="A1785" s="132"/>
      <c r="B1785" s="132"/>
      <c r="R1785" s="133"/>
      <c r="Y1785" s="57"/>
    </row>
    <row r="1786" ht="15.75" hidden="1" customHeight="1">
      <c r="A1786" s="132"/>
      <c r="B1786" s="132"/>
      <c r="R1786" s="133"/>
      <c r="Y1786" s="57"/>
    </row>
    <row r="1787" ht="15.75" hidden="1" customHeight="1">
      <c r="A1787" s="132"/>
      <c r="B1787" s="132"/>
      <c r="R1787" s="133"/>
      <c r="Y1787" s="57"/>
    </row>
    <row r="1788" ht="15.75" hidden="1" customHeight="1">
      <c r="A1788" s="132"/>
      <c r="B1788" s="132"/>
      <c r="R1788" s="133"/>
      <c r="Y1788" s="57"/>
    </row>
    <row r="1789" ht="15.75" hidden="1" customHeight="1">
      <c r="A1789" s="132"/>
      <c r="B1789" s="132"/>
      <c r="R1789" s="133"/>
      <c r="Y1789" s="57"/>
    </row>
    <row r="1790" ht="15.75" hidden="1" customHeight="1">
      <c r="A1790" s="132"/>
      <c r="B1790" s="132"/>
      <c r="R1790" s="133"/>
      <c r="Y1790" s="57"/>
    </row>
    <row r="1791" ht="15.75" hidden="1" customHeight="1">
      <c r="A1791" s="132"/>
      <c r="B1791" s="132"/>
      <c r="R1791" s="133"/>
      <c r="Y1791" s="57"/>
    </row>
    <row r="1792" ht="15.75" hidden="1" customHeight="1">
      <c r="A1792" s="132"/>
      <c r="B1792" s="132"/>
      <c r="R1792" s="133"/>
      <c r="Y1792" s="57"/>
    </row>
    <row r="1793" ht="15.75" hidden="1" customHeight="1">
      <c r="A1793" s="132"/>
      <c r="B1793" s="132"/>
      <c r="R1793" s="133"/>
      <c r="Y1793" s="57"/>
    </row>
    <row r="1794" ht="15.75" hidden="1" customHeight="1">
      <c r="A1794" s="132"/>
      <c r="B1794" s="132"/>
      <c r="R1794" s="133"/>
      <c r="Y1794" s="57"/>
    </row>
    <row r="1795" ht="15.75" hidden="1" customHeight="1">
      <c r="A1795" s="132"/>
      <c r="B1795" s="132"/>
      <c r="R1795" s="133"/>
      <c r="Y1795" s="57"/>
    </row>
    <row r="1796" ht="15.75" hidden="1" customHeight="1">
      <c r="A1796" s="132"/>
      <c r="B1796" s="132"/>
      <c r="R1796" s="133"/>
      <c r="Y1796" s="57"/>
    </row>
    <row r="1797" ht="15.75" hidden="1" customHeight="1">
      <c r="A1797" s="132"/>
      <c r="B1797" s="132"/>
      <c r="R1797" s="133"/>
      <c r="Y1797" s="57"/>
    </row>
    <row r="1798" ht="15.75" hidden="1" customHeight="1">
      <c r="A1798" s="132"/>
      <c r="B1798" s="132"/>
      <c r="R1798" s="133"/>
      <c r="Y1798" s="57"/>
    </row>
    <row r="1799" ht="15.75" hidden="1" customHeight="1">
      <c r="A1799" s="132"/>
      <c r="B1799" s="132"/>
      <c r="R1799" s="133"/>
      <c r="Y1799" s="57"/>
    </row>
    <row r="1800" ht="15.75" hidden="1" customHeight="1">
      <c r="A1800" s="132"/>
      <c r="B1800" s="132"/>
      <c r="R1800" s="133"/>
      <c r="Y1800" s="57"/>
    </row>
    <row r="1801" ht="15.75" hidden="1" customHeight="1">
      <c r="A1801" s="132"/>
      <c r="B1801" s="132"/>
      <c r="R1801" s="133"/>
      <c r="Y1801" s="57"/>
    </row>
    <row r="1802" ht="15.75" hidden="1" customHeight="1">
      <c r="A1802" s="132"/>
      <c r="B1802" s="132"/>
      <c r="R1802" s="133"/>
      <c r="Y1802" s="57"/>
    </row>
    <row r="1803" ht="15.75" hidden="1" customHeight="1">
      <c r="A1803" s="132"/>
      <c r="B1803" s="132"/>
      <c r="R1803" s="133"/>
      <c r="Y1803" s="57"/>
    </row>
    <row r="1804" ht="15.75" hidden="1" customHeight="1">
      <c r="A1804" s="132"/>
      <c r="B1804" s="132"/>
      <c r="R1804" s="133"/>
      <c r="Y1804" s="57"/>
    </row>
    <row r="1805" ht="15.75" hidden="1" customHeight="1">
      <c r="A1805" s="132"/>
      <c r="B1805" s="132"/>
      <c r="R1805" s="133"/>
      <c r="Y1805" s="57"/>
    </row>
    <row r="1806" ht="15.75" hidden="1" customHeight="1">
      <c r="A1806" s="132"/>
      <c r="B1806" s="132"/>
      <c r="R1806" s="133"/>
      <c r="Y1806" s="57"/>
    </row>
    <row r="1807" ht="15.75" hidden="1" customHeight="1">
      <c r="A1807" s="132"/>
      <c r="B1807" s="132"/>
      <c r="R1807" s="133"/>
      <c r="Y1807" s="57"/>
    </row>
    <row r="1808" ht="15.75" hidden="1" customHeight="1">
      <c r="A1808" s="132"/>
      <c r="B1808" s="132"/>
      <c r="R1808" s="133"/>
      <c r="Y1808" s="57"/>
    </row>
    <row r="1809" ht="15.75" hidden="1" customHeight="1">
      <c r="A1809" s="132"/>
      <c r="B1809" s="132"/>
      <c r="R1809" s="133"/>
      <c r="Y1809" s="57"/>
    </row>
    <row r="1810" ht="15.75" hidden="1" customHeight="1">
      <c r="A1810" s="132"/>
      <c r="B1810" s="132"/>
      <c r="R1810" s="133"/>
      <c r="Y1810" s="57"/>
    </row>
    <row r="1811" ht="15.75" hidden="1" customHeight="1">
      <c r="A1811" s="132"/>
      <c r="B1811" s="132"/>
      <c r="R1811" s="133"/>
      <c r="Y1811" s="57"/>
    </row>
    <row r="1812" ht="15.75" hidden="1" customHeight="1">
      <c r="A1812" s="132"/>
      <c r="B1812" s="132"/>
      <c r="R1812" s="133"/>
      <c r="Y1812" s="57"/>
    </row>
    <row r="1813" ht="15.75" hidden="1" customHeight="1">
      <c r="A1813" s="132"/>
      <c r="B1813" s="132"/>
      <c r="R1813" s="133"/>
      <c r="Y1813" s="57"/>
    </row>
    <row r="1814" ht="15.75" hidden="1" customHeight="1">
      <c r="A1814" s="132"/>
      <c r="B1814" s="132"/>
      <c r="R1814" s="133"/>
      <c r="Y1814" s="57"/>
    </row>
    <row r="1815" ht="15.75" hidden="1" customHeight="1">
      <c r="A1815" s="132"/>
      <c r="B1815" s="132"/>
      <c r="R1815" s="133"/>
      <c r="Y1815" s="57"/>
    </row>
    <row r="1816" ht="15.75" hidden="1" customHeight="1">
      <c r="A1816" s="132"/>
      <c r="B1816" s="132"/>
      <c r="R1816" s="133"/>
      <c r="Y1816" s="57"/>
    </row>
    <row r="1817" ht="15.75" hidden="1" customHeight="1">
      <c r="A1817" s="132"/>
      <c r="B1817" s="132"/>
      <c r="R1817" s="133"/>
      <c r="Y1817" s="57"/>
    </row>
    <row r="1818" ht="15.75" hidden="1" customHeight="1">
      <c r="A1818" s="132"/>
      <c r="B1818" s="132"/>
      <c r="R1818" s="133"/>
      <c r="Y1818" s="57"/>
    </row>
    <row r="1819" ht="15.75" hidden="1" customHeight="1">
      <c r="A1819" s="132"/>
      <c r="B1819" s="132"/>
      <c r="R1819" s="133"/>
      <c r="Y1819" s="57"/>
    </row>
    <row r="1820" ht="15.75" hidden="1" customHeight="1">
      <c r="A1820" s="132"/>
      <c r="B1820" s="132"/>
      <c r="R1820" s="133"/>
      <c r="Y1820" s="57"/>
    </row>
    <row r="1821" ht="15.75" hidden="1" customHeight="1">
      <c r="A1821" s="132"/>
      <c r="B1821" s="132"/>
      <c r="R1821" s="133"/>
      <c r="Y1821" s="57"/>
    </row>
    <row r="1822" ht="15.75" hidden="1" customHeight="1">
      <c r="A1822" s="132"/>
      <c r="B1822" s="132"/>
      <c r="R1822" s="133"/>
      <c r="Y1822" s="57"/>
    </row>
    <row r="1823" ht="15.75" hidden="1" customHeight="1">
      <c r="A1823" s="132"/>
      <c r="B1823" s="132"/>
      <c r="R1823" s="133"/>
      <c r="Y1823" s="57"/>
    </row>
    <row r="1824" ht="15.75" hidden="1" customHeight="1">
      <c r="A1824" s="132"/>
      <c r="B1824" s="132"/>
      <c r="R1824" s="133"/>
      <c r="Y1824" s="57"/>
    </row>
    <row r="1825" ht="15.75" hidden="1" customHeight="1">
      <c r="A1825" s="132"/>
      <c r="B1825" s="132"/>
      <c r="R1825" s="133"/>
      <c r="Y1825" s="57"/>
    </row>
    <row r="1826" ht="15.75" hidden="1" customHeight="1">
      <c r="A1826" s="132"/>
      <c r="B1826" s="132"/>
      <c r="R1826" s="133"/>
      <c r="Y1826" s="57"/>
    </row>
    <row r="1827" ht="15.75" hidden="1" customHeight="1">
      <c r="A1827" s="132"/>
      <c r="B1827" s="132"/>
      <c r="R1827" s="133"/>
      <c r="Y1827" s="57"/>
    </row>
    <row r="1828" ht="15.75" hidden="1" customHeight="1">
      <c r="A1828" s="132"/>
      <c r="B1828" s="132"/>
      <c r="R1828" s="133"/>
      <c r="Y1828" s="57"/>
    </row>
    <row r="1829" ht="15.75" hidden="1" customHeight="1">
      <c r="A1829" s="132"/>
      <c r="B1829" s="132"/>
      <c r="R1829" s="133"/>
      <c r="Y1829" s="57"/>
    </row>
    <row r="1830" ht="15.75" hidden="1" customHeight="1">
      <c r="A1830" s="132"/>
      <c r="B1830" s="132"/>
      <c r="R1830" s="133"/>
      <c r="Y1830" s="57"/>
    </row>
    <row r="1831" ht="15.75" hidden="1" customHeight="1">
      <c r="A1831" s="132"/>
      <c r="B1831" s="132"/>
      <c r="R1831" s="133"/>
      <c r="Y1831" s="57"/>
    </row>
    <row r="1832" ht="15.75" hidden="1" customHeight="1">
      <c r="A1832" s="132"/>
      <c r="B1832" s="132"/>
      <c r="R1832" s="133"/>
      <c r="Y1832" s="57"/>
    </row>
    <row r="1833" ht="15.75" hidden="1" customHeight="1">
      <c r="A1833" s="132"/>
      <c r="B1833" s="132"/>
      <c r="R1833" s="133"/>
      <c r="Y1833" s="57"/>
    </row>
    <row r="1834" ht="15.75" hidden="1" customHeight="1">
      <c r="A1834" s="132"/>
      <c r="B1834" s="132"/>
      <c r="R1834" s="133"/>
      <c r="Y1834" s="57"/>
    </row>
    <row r="1835" ht="15.75" hidden="1" customHeight="1">
      <c r="A1835" s="132"/>
      <c r="B1835" s="132"/>
      <c r="R1835" s="133"/>
      <c r="Y1835" s="57"/>
    </row>
    <row r="1836" ht="15.75" hidden="1" customHeight="1">
      <c r="A1836" s="132"/>
      <c r="B1836" s="132"/>
      <c r="R1836" s="133"/>
      <c r="Y1836" s="57"/>
    </row>
    <row r="1837" ht="15.75" hidden="1" customHeight="1">
      <c r="A1837" s="132"/>
      <c r="B1837" s="132"/>
      <c r="R1837" s="133"/>
      <c r="Y1837" s="57"/>
    </row>
    <row r="1838" ht="15.75" hidden="1" customHeight="1">
      <c r="A1838" s="132"/>
      <c r="B1838" s="132"/>
      <c r="R1838" s="133"/>
      <c r="Y1838" s="57"/>
    </row>
    <row r="1839" ht="15.75" hidden="1" customHeight="1">
      <c r="A1839" s="132"/>
      <c r="B1839" s="132"/>
      <c r="R1839" s="133"/>
      <c r="Y1839" s="57"/>
    </row>
    <row r="1840" ht="15.75" hidden="1" customHeight="1">
      <c r="A1840" s="132"/>
      <c r="B1840" s="132"/>
      <c r="R1840" s="133"/>
      <c r="Y1840" s="57"/>
    </row>
    <row r="1841" ht="15.75" hidden="1" customHeight="1">
      <c r="A1841" s="132"/>
      <c r="B1841" s="132"/>
      <c r="R1841" s="133"/>
      <c r="Y1841" s="57"/>
    </row>
    <row r="1842" ht="15.75" hidden="1" customHeight="1">
      <c r="A1842" s="132"/>
      <c r="B1842" s="132"/>
      <c r="R1842" s="133"/>
      <c r="Y1842" s="57"/>
    </row>
    <row r="1843" ht="15.75" hidden="1" customHeight="1">
      <c r="A1843" s="132"/>
      <c r="B1843" s="132"/>
      <c r="R1843" s="133"/>
      <c r="Y1843" s="57"/>
    </row>
    <row r="1844" ht="15.75" hidden="1" customHeight="1">
      <c r="A1844" s="132"/>
      <c r="B1844" s="132"/>
      <c r="R1844" s="133"/>
      <c r="Y1844" s="57"/>
    </row>
    <row r="1845" ht="15.75" hidden="1" customHeight="1">
      <c r="A1845" s="132"/>
      <c r="B1845" s="132"/>
      <c r="R1845" s="133"/>
      <c r="Y1845" s="57"/>
    </row>
    <row r="1846" ht="15.75" hidden="1" customHeight="1">
      <c r="A1846" s="132"/>
      <c r="B1846" s="132"/>
      <c r="R1846" s="133"/>
      <c r="Y1846" s="57"/>
    </row>
    <row r="1847" ht="15.75" hidden="1" customHeight="1">
      <c r="A1847" s="132"/>
      <c r="B1847" s="132"/>
      <c r="R1847" s="133"/>
      <c r="Y1847" s="57"/>
    </row>
    <row r="1848" ht="15.75" hidden="1" customHeight="1">
      <c r="A1848" s="132"/>
      <c r="B1848" s="132"/>
      <c r="R1848" s="133"/>
      <c r="Y1848" s="57"/>
    </row>
    <row r="1849" ht="15.75" hidden="1" customHeight="1">
      <c r="A1849" s="132"/>
      <c r="B1849" s="132"/>
      <c r="R1849" s="133"/>
      <c r="Y1849" s="57"/>
    </row>
    <row r="1850" ht="15.75" hidden="1" customHeight="1">
      <c r="A1850" s="132"/>
      <c r="B1850" s="132"/>
      <c r="R1850" s="133"/>
      <c r="Y1850" s="57"/>
    </row>
    <row r="1851" ht="15.75" hidden="1" customHeight="1">
      <c r="A1851" s="132"/>
      <c r="B1851" s="132"/>
      <c r="R1851" s="133"/>
      <c r="Y1851" s="57"/>
    </row>
    <row r="1852" ht="15.75" hidden="1" customHeight="1">
      <c r="A1852" s="132"/>
      <c r="B1852" s="132"/>
      <c r="R1852" s="133"/>
      <c r="Y1852" s="57"/>
    </row>
    <row r="1853" ht="15.75" hidden="1" customHeight="1">
      <c r="A1853" s="132"/>
      <c r="B1853" s="132"/>
      <c r="R1853" s="133"/>
      <c r="Y1853" s="57"/>
    </row>
    <row r="1854" ht="15.75" hidden="1" customHeight="1">
      <c r="A1854" s="132"/>
      <c r="B1854" s="132"/>
      <c r="R1854" s="133"/>
      <c r="Y1854" s="57"/>
    </row>
    <row r="1855" ht="15.75" hidden="1" customHeight="1">
      <c r="A1855" s="132"/>
      <c r="B1855" s="132"/>
      <c r="R1855" s="133"/>
      <c r="Y1855" s="57"/>
    </row>
    <row r="1856" ht="15.75" hidden="1" customHeight="1">
      <c r="A1856" s="132"/>
      <c r="B1856" s="132"/>
      <c r="R1856" s="133"/>
      <c r="Y1856" s="57"/>
    </row>
    <row r="1857" ht="15.75" hidden="1" customHeight="1">
      <c r="A1857" s="132"/>
      <c r="B1857" s="132"/>
      <c r="R1857" s="133"/>
      <c r="Y1857" s="57"/>
    </row>
    <row r="1858" ht="15.75" hidden="1" customHeight="1">
      <c r="A1858" s="132"/>
      <c r="B1858" s="132"/>
      <c r="R1858" s="133"/>
      <c r="Y1858" s="57"/>
    </row>
    <row r="1859" ht="15.75" hidden="1" customHeight="1">
      <c r="A1859" s="132"/>
      <c r="B1859" s="132"/>
      <c r="R1859" s="133"/>
      <c r="Y1859" s="57"/>
    </row>
    <row r="1860" ht="15.75" hidden="1" customHeight="1">
      <c r="A1860" s="132"/>
      <c r="B1860" s="132"/>
      <c r="R1860" s="133"/>
      <c r="Y1860" s="57"/>
    </row>
    <row r="1861" ht="15.75" hidden="1" customHeight="1">
      <c r="A1861" s="132"/>
      <c r="B1861" s="132"/>
      <c r="R1861" s="133"/>
      <c r="Y1861" s="57"/>
    </row>
    <row r="1862" ht="15.75" hidden="1" customHeight="1">
      <c r="A1862" s="132"/>
      <c r="B1862" s="132"/>
      <c r="R1862" s="133"/>
      <c r="Y1862" s="57"/>
    </row>
    <row r="1863" ht="15.75" hidden="1" customHeight="1">
      <c r="A1863" s="132"/>
      <c r="B1863" s="132"/>
      <c r="R1863" s="133"/>
      <c r="Y1863" s="57"/>
    </row>
    <row r="1864" ht="15.75" hidden="1" customHeight="1">
      <c r="A1864" s="132"/>
      <c r="B1864" s="132"/>
      <c r="R1864" s="133"/>
      <c r="Y1864" s="57"/>
    </row>
    <row r="1865" ht="15.75" hidden="1" customHeight="1">
      <c r="A1865" s="132"/>
      <c r="B1865" s="132"/>
      <c r="R1865" s="133"/>
      <c r="Y1865" s="57"/>
    </row>
    <row r="1866" ht="15.75" hidden="1" customHeight="1">
      <c r="A1866" s="132"/>
      <c r="B1866" s="132"/>
      <c r="R1866" s="133"/>
      <c r="Y1866" s="57"/>
    </row>
    <row r="1867" ht="15.75" hidden="1" customHeight="1">
      <c r="A1867" s="132"/>
      <c r="B1867" s="132"/>
      <c r="R1867" s="133"/>
      <c r="Y1867" s="57"/>
    </row>
    <row r="1868" ht="15.75" hidden="1" customHeight="1">
      <c r="A1868" s="132"/>
      <c r="B1868" s="132"/>
      <c r="R1868" s="133"/>
      <c r="Y1868" s="57"/>
    </row>
    <row r="1869" ht="15.75" hidden="1" customHeight="1">
      <c r="A1869" s="132"/>
      <c r="B1869" s="132"/>
      <c r="R1869" s="133"/>
      <c r="Y1869" s="57"/>
    </row>
    <row r="1870" ht="15.75" hidden="1" customHeight="1">
      <c r="A1870" s="132"/>
      <c r="B1870" s="132"/>
      <c r="R1870" s="133"/>
      <c r="Y1870" s="57"/>
    </row>
    <row r="1871" ht="15.75" hidden="1" customHeight="1">
      <c r="A1871" s="132"/>
      <c r="B1871" s="132"/>
      <c r="R1871" s="133"/>
      <c r="Y1871" s="57"/>
    </row>
    <row r="1872" ht="15.75" hidden="1" customHeight="1">
      <c r="A1872" s="132"/>
      <c r="B1872" s="132"/>
      <c r="R1872" s="133"/>
      <c r="Y1872" s="57"/>
    </row>
    <row r="1873" ht="15.75" hidden="1" customHeight="1">
      <c r="A1873" s="132"/>
      <c r="B1873" s="132"/>
      <c r="R1873" s="133"/>
      <c r="Y1873" s="57"/>
    </row>
    <row r="1874" ht="15.75" hidden="1" customHeight="1">
      <c r="A1874" s="132"/>
      <c r="B1874" s="132"/>
      <c r="R1874" s="133"/>
      <c r="Y1874" s="57"/>
    </row>
    <row r="1875" ht="15.75" hidden="1" customHeight="1">
      <c r="A1875" s="132"/>
      <c r="B1875" s="132"/>
      <c r="R1875" s="133"/>
      <c r="Y1875" s="57"/>
    </row>
    <row r="1876" ht="15.75" hidden="1" customHeight="1">
      <c r="A1876" s="132"/>
      <c r="B1876" s="132"/>
      <c r="R1876" s="133"/>
      <c r="Y1876" s="57"/>
    </row>
    <row r="1877" ht="15.75" hidden="1" customHeight="1">
      <c r="A1877" s="132"/>
      <c r="B1877" s="132"/>
      <c r="R1877" s="133"/>
      <c r="Y1877" s="57"/>
    </row>
    <row r="1878" ht="15.75" hidden="1" customHeight="1">
      <c r="A1878" s="132"/>
      <c r="B1878" s="132"/>
      <c r="R1878" s="133"/>
      <c r="Y1878" s="57"/>
    </row>
    <row r="1879" ht="15.75" hidden="1" customHeight="1">
      <c r="A1879" s="132"/>
      <c r="B1879" s="132"/>
      <c r="R1879" s="133"/>
      <c r="Y1879" s="57"/>
    </row>
    <row r="1880" ht="15.75" hidden="1" customHeight="1">
      <c r="A1880" s="132"/>
      <c r="B1880" s="132"/>
      <c r="R1880" s="133"/>
      <c r="Y1880" s="57"/>
    </row>
    <row r="1881" ht="15.75" hidden="1" customHeight="1">
      <c r="A1881" s="132"/>
      <c r="B1881" s="132"/>
      <c r="R1881" s="133"/>
      <c r="Y1881" s="57"/>
    </row>
    <row r="1882" ht="15.75" hidden="1" customHeight="1">
      <c r="A1882" s="132"/>
      <c r="B1882" s="132"/>
      <c r="R1882" s="133"/>
      <c r="Y1882" s="57"/>
    </row>
    <row r="1883" ht="15.75" hidden="1" customHeight="1">
      <c r="A1883" s="132"/>
      <c r="B1883" s="132"/>
      <c r="R1883" s="133"/>
      <c r="Y1883" s="57"/>
    </row>
    <row r="1884" ht="15.75" hidden="1" customHeight="1">
      <c r="A1884" s="132"/>
      <c r="B1884" s="132"/>
      <c r="R1884" s="133"/>
      <c r="Y1884" s="57"/>
    </row>
    <row r="1885" ht="15.75" hidden="1" customHeight="1">
      <c r="A1885" s="132"/>
      <c r="B1885" s="132"/>
      <c r="R1885" s="133"/>
      <c r="Y1885" s="57"/>
    </row>
    <row r="1886" ht="15.75" hidden="1" customHeight="1">
      <c r="A1886" s="132"/>
      <c r="B1886" s="132"/>
      <c r="R1886" s="133"/>
      <c r="Y1886" s="57"/>
    </row>
    <row r="1887" ht="15.75" hidden="1" customHeight="1">
      <c r="A1887" s="132"/>
      <c r="B1887" s="132"/>
      <c r="R1887" s="133"/>
      <c r="Y1887" s="57"/>
    </row>
    <row r="1888" ht="15.75" hidden="1" customHeight="1">
      <c r="A1888" s="132"/>
      <c r="B1888" s="132"/>
      <c r="R1888" s="133"/>
      <c r="Y1888" s="57"/>
    </row>
    <row r="1889" ht="15.75" hidden="1" customHeight="1">
      <c r="A1889" s="132"/>
      <c r="B1889" s="132"/>
      <c r="R1889" s="133"/>
      <c r="Y1889" s="57"/>
    </row>
    <row r="1890" ht="15.75" hidden="1" customHeight="1">
      <c r="A1890" s="132"/>
      <c r="B1890" s="132"/>
      <c r="R1890" s="133"/>
      <c r="Y1890" s="57"/>
    </row>
    <row r="1891" ht="15.75" hidden="1" customHeight="1">
      <c r="A1891" s="132"/>
      <c r="B1891" s="132"/>
      <c r="R1891" s="133"/>
      <c r="Y1891" s="57"/>
    </row>
    <row r="1892" ht="15.75" hidden="1" customHeight="1">
      <c r="A1892" s="132"/>
      <c r="B1892" s="132"/>
      <c r="R1892" s="133"/>
      <c r="Y1892" s="57"/>
    </row>
    <row r="1893" ht="15.75" hidden="1" customHeight="1">
      <c r="A1893" s="132"/>
      <c r="B1893" s="132"/>
      <c r="R1893" s="133"/>
      <c r="Y1893" s="57"/>
    </row>
    <row r="1894" ht="15.75" hidden="1" customHeight="1">
      <c r="A1894" s="132"/>
      <c r="B1894" s="132"/>
      <c r="R1894" s="133"/>
      <c r="Y1894" s="57"/>
    </row>
    <row r="1895" ht="15.75" hidden="1" customHeight="1">
      <c r="A1895" s="132"/>
      <c r="B1895" s="132"/>
      <c r="R1895" s="133"/>
      <c r="Y1895" s="57"/>
    </row>
    <row r="1896" ht="15.75" hidden="1" customHeight="1">
      <c r="A1896" s="132"/>
      <c r="B1896" s="132"/>
      <c r="R1896" s="133"/>
      <c r="Y1896" s="57"/>
    </row>
    <row r="1897" ht="15.75" hidden="1" customHeight="1">
      <c r="A1897" s="132"/>
      <c r="B1897" s="132"/>
      <c r="R1897" s="133"/>
      <c r="Y1897" s="57"/>
    </row>
    <row r="1898" ht="15.75" hidden="1" customHeight="1">
      <c r="A1898" s="132"/>
      <c r="B1898" s="132"/>
      <c r="R1898" s="133"/>
      <c r="Y1898" s="57"/>
    </row>
    <row r="1899" ht="15.75" hidden="1" customHeight="1">
      <c r="A1899" s="132"/>
      <c r="B1899" s="132"/>
      <c r="R1899" s="133"/>
      <c r="Y1899" s="57"/>
    </row>
    <row r="1900" ht="15.75" hidden="1" customHeight="1">
      <c r="A1900" s="132"/>
      <c r="B1900" s="132"/>
      <c r="R1900" s="133"/>
      <c r="Y1900" s="57"/>
    </row>
    <row r="1901" ht="15.75" hidden="1" customHeight="1">
      <c r="A1901" s="132"/>
      <c r="B1901" s="132"/>
      <c r="R1901" s="133"/>
      <c r="Y1901" s="57"/>
    </row>
    <row r="1902" ht="15.75" hidden="1" customHeight="1">
      <c r="A1902" s="132"/>
      <c r="B1902" s="132"/>
      <c r="R1902" s="133"/>
      <c r="Y1902" s="57"/>
    </row>
    <row r="1903" ht="15.75" hidden="1" customHeight="1">
      <c r="A1903" s="132"/>
      <c r="B1903" s="132"/>
      <c r="R1903" s="133"/>
      <c r="Y1903" s="57"/>
    </row>
    <row r="1904" ht="15.75" hidden="1" customHeight="1">
      <c r="A1904" s="132"/>
      <c r="B1904" s="132"/>
      <c r="R1904" s="133"/>
      <c r="Y1904" s="57"/>
    </row>
    <row r="1905" ht="15.75" hidden="1" customHeight="1">
      <c r="A1905" s="132"/>
      <c r="B1905" s="132"/>
      <c r="R1905" s="133"/>
      <c r="Y1905" s="57"/>
    </row>
    <row r="1906" ht="15.75" hidden="1" customHeight="1">
      <c r="A1906" s="132"/>
      <c r="B1906" s="132"/>
      <c r="R1906" s="133"/>
      <c r="Y1906" s="57"/>
    </row>
    <row r="1907" ht="15.75" hidden="1" customHeight="1">
      <c r="A1907" s="132"/>
      <c r="B1907" s="132"/>
      <c r="R1907" s="133"/>
      <c r="Y1907" s="57"/>
    </row>
    <row r="1908" ht="15.75" hidden="1" customHeight="1">
      <c r="A1908" s="132"/>
      <c r="B1908" s="132"/>
      <c r="R1908" s="133"/>
      <c r="Y1908" s="57"/>
    </row>
    <row r="1909" ht="15.75" hidden="1" customHeight="1">
      <c r="A1909" s="132"/>
      <c r="B1909" s="132"/>
      <c r="R1909" s="133"/>
      <c r="Y1909" s="57"/>
    </row>
    <row r="1910" ht="15.75" hidden="1" customHeight="1">
      <c r="A1910" s="132"/>
      <c r="B1910" s="132"/>
      <c r="R1910" s="133"/>
      <c r="Y1910" s="57"/>
    </row>
    <row r="1911" ht="15.75" hidden="1" customHeight="1">
      <c r="A1911" s="132"/>
      <c r="B1911" s="132"/>
      <c r="R1911" s="133"/>
      <c r="Y1911" s="57"/>
    </row>
    <row r="1912" ht="15.75" hidden="1" customHeight="1">
      <c r="A1912" s="132"/>
      <c r="B1912" s="132"/>
      <c r="R1912" s="133"/>
      <c r="Y1912" s="57"/>
    </row>
    <row r="1913" ht="15.75" hidden="1" customHeight="1">
      <c r="A1913" s="132"/>
      <c r="B1913" s="132"/>
      <c r="R1913" s="133"/>
      <c r="Y1913" s="57"/>
    </row>
    <row r="1914" ht="15.75" hidden="1" customHeight="1">
      <c r="A1914" s="132"/>
      <c r="B1914" s="132"/>
      <c r="R1914" s="133"/>
      <c r="Y1914" s="57"/>
    </row>
    <row r="1915" ht="15.75" hidden="1" customHeight="1">
      <c r="A1915" s="132"/>
      <c r="B1915" s="132"/>
      <c r="R1915" s="133"/>
      <c r="Y1915" s="57"/>
    </row>
    <row r="1916" ht="15.75" hidden="1" customHeight="1">
      <c r="A1916" s="132"/>
      <c r="B1916" s="132"/>
      <c r="R1916" s="133"/>
      <c r="Y1916" s="57"/>
    </row>
    <row r="1917" ht="15.75" hidden="1" customHeight="1">
      <c r="A1917" s="132"/>
      <c r="B1917" s="132"/>
      <c r="R1917" s="133"/>
      <c r="Y1917" s="57"/>
    </row>
    <row r="1918" ht="15.75" hidden="1" customHeight="1">
      <c r="A1918" s="132"/>
      <c r="B1918" s="132"/>
      <c r="R1918" s="133"/>
      <c r="Y1918" s="57"/>
    </row>
    <row r="1919" ht="15.75" hidden="1" customHeight="1">
      <c r="A1919" s="132"/>
      <c r="B1919" s="132"/>
      <c r="R1919" s="133"/>
      <c r="Y1919" s="57"/>
    </row>
    <row r="1920" ht="15.75" hidden="1" customHeight="1">
      <c r="A1920" s="132"/>
      <c r="B1920" s="132"/>
      <c r="R1920" s="133"/>
      <c r="Y1920" s="57"/>
    </row>
    <row r="1921" ht="15.75" hidden="1" customHeight="1">
      <c r="A1921" s="132"/>
      <c r="B1921" s="132"/>
      <c r="R1921" s="133"/>
      <c r="Y1921" s="57"/>
    </row>
    <row r="1922" ht="15.75" hidden="1" customHeight="1">
      <c r="A1922" s="132"/>
      <c r="B1922" s="132"/>
      <c r="R1922" s="133"/>
      <c r="Y1922" s="57"/>
    </row>
    <row r="1923" ht="15.75" hidden="1" customHeight="1">
      <c r="A1923" s="132"/>
      <c r="B1923" s="132"/>
      <c r="R1923" s="133"/>
      <c r="Y1923" s="57"/>
    </row>
    <row r="1924" ht="15.75" hidden="1" customHeight="1">
      <c r="A1924" s="132"/>
      <c r="B1924" s="132"/>
      <c r="R1924" s="133"/>
      <c r="Y1924" s="57"/>
    </row>
    <row r="1925" ht="15.75" hidden="1" customHeight="1">
      <c r="A1925" s="132"/>
      <c r="B1925" s="132"/>
      <c r="R1925" s="133"/>
      <c r="Y1925" s="57"/>
    </row>
    <row r="1926" ht="15.75" hidden="1" customHeight="1">
      <c r="A1926" s="132"/>
      <c r="B1926" s="132"/>
      <c r="R1926" s="133"/>
      <c r="Y1926" s="57"/>
    </row>
    <row r="1927" ht="15.75" hidden="1" customHeight="1">
      <c r="A1927" s="132"/>
      <c r="B1927" s="132"/>
      <c r="R1927" s="133"/>
      <c r="Y1927" s="57"/>
    </row>
    <row r="1928" ht="15.75" hidden="1" customHeight="1">
      <c r="A1928" s="132"/>
      <c r="B1928" s="132"/>
      <c r="R1928" s="133"/>
      <c r="Y1928" s="57"/>
    </row>
    <row r="1929" ht="15.75" hidden="1" customHeight="1">
      <c r="A1929" s="132"/>
      <c r="B1929" s="132"/>
      <c r="R1929" s="133"/>
      <c r="Y1929" s="57"/>
    </row>
    <row r="1930" ht="15.75" hidden="1" customHeight="1">
      <c r="A1930" s="132"/>
      <c r="B1930" s="132"/>
      <c r="R1930" s="133"/>
      <c r="Y1930" s="57"/>
    </row>
    <row r="1931" ht="15.75" hidden="1" customHeight="1">
      <c r="A1931" s="132"/>
      <c r="B1931" s="132"/>
      <c r="R1931" s="133"/>
      <c r="Y1931" s="57"/>
    </row>
    <row r="1932" ht="15.75" hidden="1" customHeight="1">
      <c r="A1932" s="132"/>
      <c r="B1932" s="132"/>
      <c r="R1932" s="133"/>
      <c r="Y1932" s="57"/>
    </row>
    <row r="1933" ht="15.75" hidden="1" customHeight="1">
      <c r="A1933" s="132"/>
      <c r="B1933" s="132"/>
      <c r="R1933" s="133"/>
      <c r="Y1933" s="57"/>
    </row>
    <row r="1934" ht="15.75" hidden="1" customHeight="1">
      <c r="A1934" s="132"/>
      <c r="B1934" s="132"/>
      <c r="R1934" s="133"/>
      <c r="Y1934" s="57"/>
    </row>
    <row r="1935" ht="15.75" hidden="1" customHeight="1">
      <c r="A1935" s="132"/>
      <c r="B1935" s="132"/>
      <c r="R1935" s="133"/>
      <c r="Y1935" s="57"/>
    </row>
    <row r="1936" ht="15.75" hidden="1" customHeight="1">
      <c r="A1936" s="132"/>
      <c r="B1936" s="132"/>
      <c r="R1936" s="133"/>
      <c r="Y1936" s="57"/>
    </row>
    <row r="1937" ht="15.75" hidden="1" customHeight="1">
      <c r="A1937" s="132"/>
      <c r="B1937" s="132"/>
      <c r="R1937" s="133"/>
      <c r="Y1937" s="57"/>
    </row>
    <row r="1938" ht="15.75" hidden="1" customHeight="1">
      <c r="A1938" s="132"/>
      <c r="B1938" s="132"/>
      <c r="R1938" s="133"/>
      <c r="Y1938" s="57"/>
    </row>
    <row r="1939" ht="15.75" hidden="1" customHeight="1">
      <c r="A1939" s="132"/>
      <c r="B1939" s="132"/>
      <c r="R1939" s="133"/>
      <c r="Y1939" s="57"/>
    </row>
    <row r="1940" ht="15.75" hidden="1" customHeight="1">
      <c r="A1940" s="132"/>
      <c r="B1940" s="132"/>
      <c r="R1940" s="133"/>
      <c r="Y1940" s="57"/>
    </row>
    <row r="1941" ht="15.75" hidden="1" customHeight="1">
      <c r="A1941" s="132"/>
      <c r="B1941" s="132"/>
      <c r="R1941" s="133"/>
      <c r="Y1941" s="57"/>
    </row>
    <row r="1942" ht="15.75" hidden="1" customHeight="1">
      <c r="A1942" s="132"/>
      <c r="B1942" s="132"/>
      <c r="R1942" s="133"/>
      <c r="Y1942" s="57"/>
    </row>
    <row r="1943" ht="15.75" hidden="1" customHeight="1">
      <c r="A1943" s="132"/>
      <c r="B1943" s="132"/>
      <c r="R1943" s="133"/>
      <c r="Y1943" s="57"/>
    </row>
    <row r="1944" ht="15.75" hidden="1" customHeight="1">
      <c r="A1944" s="132"/>
      <c r="B1944" s="132"/>
      <c r="R1944" s="133"/>
      <c r="Y1944" s="57"/>
    </row>
    <row r="1945" ht="15.75" hidden="1" customHeight="1">
      <c r="A1945" s="132"/>
      <c r="B1945" s="132"/>
      <c r="R1945" s="133"/>
      <c r="Y1945" s="57"/>
    </row>
    <row r="1946" ht="15.75" hidden="1" customHeight="1">
      <c r="A1946" s="132"/>
      <c r="B1946" s="132"/>
      <c r="R1946" s="133"/>
      <c r="Y1946" s="57"/>
    </row>
    <row r="1947" ht="15.75" hidden="1" customHeight="1">
      <c r="A1947" s="132"/>
      <c r="B1947" s="132"/>
      <c r="R1947" s="133"/>
      <c r="Y1947" s="57"/>
    </row>
    <row r="1948" ht="15.75" hidden="1" customHeight="1">
      <c r="A1948" s="132"/>
      <c r="B1948" s="132"/>
      <c r="R1948" s="133"/>
      <c r="Y1948" s="57"/>
    </row>
    <row r="1949" ht="15.75" hidden="1" customHeight="1">
      <c r="A1949" s="132"/>
      <c r="B1949" s="132"/>
      <c r="R1949" s="133"/>
      <c r="Y1949" s="57"/>
    </row>
    <row r="1950" ht="15.75" hidden="1" customHeight="1">
      <c r="A1950" s="132"/>
      <c r="B1950" s="132"/>
      <c r="R1950" s="133"/>
      <c r="Y1950" s="57"/>
    </row>
    <row r="1951" ht="15.75" hidden="1" customHeight="1">
      <c r="A1951" s="132"/>
      <c r="B1951" s="132"/>
      <c r="R1951" s="133"/>
      <c r="Y1951" s="57"/>
    </row>
    <row r="1952" ht="15.75" hidden="1" customHeight="1">
      <c r="A1952" s="132"/>
      <c r="B1952" s="132"/>
      <c r="R1952" s="133"/>
      <c r="Y1952" s="57"/>
    </row>
    <row r="1953" ht="15.75" hidden="1" customHeight="1">
      <c r="A1953" s="132"/>
      <c r="B1953" s="132"/>
      <c r="R1953" s="133"/>
      <c r="Y1953" s="57"/>
    </row>
    <row r="1954" ht="15.75" hidden="1" customHeight="1">
      <c r="A1954" s="132"/>
      <c r="B1954" s="132"/>
      <c r="R1954" s="133"/>
      <c r="Y1954" s="57"/>
    </row>
    <row r="1955" ht="15.75" hidden="1" customHeight="1">
      <c r="A1955" s="132"/>
      <c r="B1955" s="132"/>
      <c r="R1955" s="133"/>
      <c r="Y1955" s="57"/>
    </row>
    <row r="1956" ht="15.75" hidden="1" customHeight="1">
      <c r="A1956" s="132"/>
      <c r="B1956" s="132"/>
      <c r="R1956" s="133"/>
      <c r="Y1956" s="57"/>
    </row>
    <row r="1957" ht="15.75" hidden="1" customHeight="1">
      <c r="A1957" s="132"/>
      <c r="B1957" s="132"/>
      <c r="R1957" s="133"/>
      <c r="Y1957" s="57"/>
    </row>
    <row r="1958" ht="15.75" hidden="1" customHeight="1">
      <c r="A1958" s="132"/>
      <c r="B1958" s="132"/>
      <c r="R1958" s="133"/>
      <c r="Y1958" s="57"/>
    </row>
    <row r="1959" ht="15.75" hidden="1" customHeight="1">
      <c r="A1959" s="132"/>
      <c r="B1959" s="132"/>
      <c r="R1959" s="133"/>
      <c r="Y1959" s="57"/>
    </row>
    <row r="1960" ht="15.75" hidden="1" customHeight="1">
      <c r="A1960" s="132"/>
      <c r="B1960" s="132"/>
      <c r="R1960" s="133"/>
      <c r="Y1960" s="57"/>
    </row>
    <row r="1961" ht="15.75" hidden="1" customHeight="1">
      <c r="A1961" s="132"/>
      <c r="B1961" s="132"/>
      <c r="R1961" s="133"/>
      <c r="Y1961" s="57"/>
    </row>
    <row r="1962" ht="15.75" hidden="1" customHeight="1">
      <c r="A1962" s="132"/>
      <c r="B1962" s="132"/>
      <c r="R1962" s="133"/>
      <c r="Y1962" s="57"/>
    </row>
    <row r="1963" ht="15.75" hidden="1" customHeight="1">
      <c r="A1963" s="132"/>
      <c r="B1963" s="132"/>
      <c r="R1963" s="133"/>
      <c r="Y1963" s="57"/>
    </row>
  </sheetData>
  <autoFilter ref="$A$1:$Z$1963">
    <filterColumn colId="6">
      <filters>
        <filter val="LD-57-526"/>
      </filters>
    </filterColumn>
  </autoFilter>
  <mergeCells count="1">
    <mergeCell ref="N197:Q197"/>
  </mergeCells>
  <printOptions/>
  <pageMargins bottom="0.7480314960629921" footer="0.0" header="0.0" left="0.7086614173228347" right="0.7086614173228347" top="0.7480314960629921"/>
  <pageSetup scale="56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9.86"/>
    <col customWidth="1" min="4" max="4" width="11.43"/>
    <col customWidth="1" min="5" max="5" width="7.43"/>
    <col customWidth="1" min="6" max="6" width="25.71"/>
    <col customWidth="1" min="7" max="7" width="10.71"/>
    <col customWidth="1" min="8" max="8" width="18.43"/>
    <col customWidth="1" min="9" max="9" width="14.43"/>
    <col customWidth="1" min="10" max="10" width="25.14"/>
    <col customWidth="1" min="11" max="11" width="17.0"/>
    <col customWidth="1" min="12" max="14" width="14.43"/>
    <col customWidth="1" min="15" max="15" width="16.29"/>
    <col customWidth="1" min="16" max="16" width="28.0"/>
    <col customWidth="1" min="17" max="17" width="26.14"/>
    <col customWidth="1" min="18" max="18" width="15.43"/>
    <col customWidth="1" min="19" max="19" width="16.86"/>
    <col customWidth="1" min="20" max="20" width="15.43"/>
    <col customWidth="1" min="21" max="21" width="16.0"/>
    <col customWidth="1" min="22" max="22" width="14.14"/>
    <col customWidth="1" min="23" max="26" width="10.71"/>
  </cols>
  <sheetData>
    <row r="1" ht="39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11</v>
      </c>
      <c r="I1" s="2" t="s">
        <v>13</v>
      </c>
      <c r="J1" s="2" t="s">
        <v>9</v>
      </c>
      <c r="K1" s="2" t="s">
        <v>10</v>
      </c>
      <c r="L1" s="2" t="s">
        <v>15</v>
      </c>
      <c r="M1" s="2" t="s">
        <v>17</v>
      </c>
      <c r="N1" s="2" t="s">
        <v>19</v>
      </c>
      <c r="O1" s="2" t="s">
        <v>21</v>
      </c>
      <c r="P1" s="2" t="s">
        <v>22</v>
      </c>
      <c r="Q1" s="4" t="s">
        <v>23</v>
      </c>
      <c r="R1" s="2" t="s">
        <v>24</v>
      </c>
      <c r="S1" s="2" t="s">
        <v>25</v>
      </c>
      <c r="T1" s="2" t="s">
        <v>27</v>
      </c>
      <c r="U1" s="2" t="s">
        <v>28</v>
      </c>
      <c r="V1" s="2" t="s">
        <v>29</v>
      </c>
      <c r="W1" s="2" t="s">
        <v>30</v>
      </c>
      <c r="X1" s="5"/>
      <c r="Y1" s="5"/>
      <c r="Z1" s="5"/>
    </row>
    <row r="2">
      <c r="A2" s="7">
        <v>28.0</v>
      </c>
      <c r="B2" s="7">
        <v>1.0</v>
      </c>
      <c r="C2" s="8">
        <v>486.0</v>
      </c>
      <c r="D2" s="9">
        <v>46213.0</v>
      </c>
      <c r="E2" s="10">
        <v>1.0</v>
      </c>
      <c r="F2" s="10" t="s">
        <v>32</v>
      </c>
      <c r="G2" s="10" t="s">
        <v>33</v>
      </c>
      <c r="H2" s="10">
        <v>14.0</v>
      </c>
      <c r="I2" s="10">
        <v>25240.0</v>
      </c>
      <c r="J2" s="10" t="s">
        <v>35</v>
      </c>
      <c r="K2" s="12" t="s">
        <v>36</v>
      </c>
      <c r="L2" s="13" t="s">
        <v>38</v>
      </c>
      <c r="M2" s="13" t="s">
        <v>41</v>
      </c>
      <c r="N2" s="13" t="s">
        <v>43</v>
      </c>
      <c r="O2" s="10"/>
      <c r="P2" s="10" t="s">
        <v>45</v>
      </c>
      <c r="Q2" s="14">
        <v>2881.92</v>
      </c>
      <c r="R2" s="16">
        <f t="shared" ref="R2:R193" si="1">Q2*E2</f>
        <v>2881.92</v>
      </c>
      <c r="S2" s="16">
        <f t="shared" ref="S2:S193" si="2">R2*16%</f>
        <v>461.1072</v>
      </c>
      <c r="T2" s="16">
        <f t="shared" ref="T2:T193" si="3">R2+S2</f>
        <v>3343.0272</v>
      </c>
      <c r="U2" s="19" t="s">
        <v>49</v>
      </c>
      <c r="V2" s="18"/>
      <c r="W2" s="16"/>
      <c r="X2" s="20"/>
      <c r="Y2" s="20"/>
      <c r="Z2" s="20"/>
    </row>
    <row r="3">
      <c r="A3" s="7">
        <v>28.0</v>
      </c>
      <c r="B3" s="7">
        <v>2.0</v>
      </c>
      <c r="C3" s="8">
        <v>487.0</v>
      </c>
      <c r="D3" s="9">
        <v>46213.0</v>
      </c>
      <c r="E3" s="11">
        <v>1.0</v>
      </c>
      <c r="F3" s="11" t="s">
        <v>32</v>
      </c>
      <c r="G3" s="11" t="s">
        <v>50</v>
      </c>
      <c r="H3" s="11">
        <v>14.0</v>
      </c>
      <c r="I3" s="11">
        <v>23160.0</v>
      </c>
      <c r="J3" s="11" t="s">
        <v>51</v>
      </c>
      <c r="K3" s="12" t="s">
        <v>36</v>
      </c>
      <c r="L3" s="13" t="s">
        <v>41</v>
      </c>
      <c r="M3" s="13" t="s">
        <v>52</v>
      </c>
      <c r="N3" s="13" t="s">
        <v>43</v>
      </c>
      <c r="O3" s="11"/>
      <c r="P3" s="11" t="s">
        <v>45</v>
      </c>
      <c r="Q3" s="14">
        <v>2850.0</v>
      </c>
      <c r="R3" s="16">
        <f t="shared" si="1"/>
        <v>2850</v>
      </c>
      <c r="S3" s="16">
        <f t="shared" si="2"/>
        <v>456</v>
      </c>
      <c r="T3" s="16">
        <f t="shared" si="3"/>
        <v>3306</v>
      </c>
      <c r="U3" s="19" t="s">
        <v>49</v>
      </c>
      <c r="V3" s="18"/>
      <c r="W3" s="16"/>
    </row>
    <row r="4">
      <c r="A4" s="7">
        <v>28.0</v>
      </c>
      <c r="B4" s="7">
        <v>3.0</v>
      </c>
      <c r="C4" s="8">
        <v>488.0</v>
      </c>
      <c r="D4" s="9">
        <v>46213.0</v>
      </c>
      <c r="E4" s="11">
        <v>1.0</v>
      </c>
      <c r="F4" s="10" t="s">
        <v>32</v>
      </c>
      <c r="G4" s="11" t="s">
        <v>56</v>
      </c>
      <c r="H4" s="11">
        <v>14.0</v>
      </c>
      <c r="I4" s="11">
        <v>23070.0</v>
      </c>
      <c r="J4" s="11" t="s">
        <v>57</v>
      </c>
      <c r="K4" s="12" t="s">
        <v>36</v>
      </c>
      <c r="L4" s="13" t="s">
        <v>52</v>
      </c>
      <c r="M4" s="13" t="s">
        <v>58</v>
      </c>
      <c r="N4" s="13" t="s">
        <v>43</v>
      </c>
      <c r="O4" s="11"/>
      <c r="P4" s="11" t="s">
        <v>45</v>
      </c>
      <c r="Q4" s="14">
        <v>2850.0</v>
      </c>
      <c r="R4" s="16">
        <f t="shared" si="1"/>
        <v>2850</v>
      </c>
      <c r="S4" s="16">
        <f t="shared" si="2"/>
        <v>456</v>
      </c>
      <c r="T4" s="16">
        <f t="shared" si="3"/>
        <v>3306</v>
      </c>
      <c r="U4" s="19" t="s">
        <v>49</v>
      </c>
      <c r="V4" s="18"/>
      <c r="W4" s="16"/>
    </row>
    <row r="5">
      <c r="A5" s="7">
        <v>28.0</v>
      </c>
      <c r="B5" s="7">
        <v>4.0</v>
      </c>
      <c r="C5" s="8">
        <v>489.0</v>
      </c>
      <c r="D5" s="9">
        <v>46213.0</v>
      </c>
      <c r="E5" s="11">
        <v>1.0</v>
      </c>
      <c r="F5" s="10" t="s">
        <v>32</v>
      </c>
      <c r="G5" s="11" t="s">
        <v>59</v>
      </c>
      <c r="H5" s="11">
        <v>14.0</v>
      </c>
      <c r="I5" s="11">
        <v>25110.0</v>
      </c>
      <c r="J5" s="11" t="s">
        <v>60</v>
      </c>
      <c r="K5" s="12" t="s">
        <v>36</v>
      </c>
      <c r="L5" s="13" t="s">
        <v>58</v>
      </c>
      <c r="M5" s="13" t="s">
        <v>61</v>
      </c>
      <c r="N5" s="13" t="s">
        <v>43</v>
      </c>
      <c r="O5" s="11"/>
      <c r="P5" s="11" t="s">
        <v>45</v>
      </c>
      <c r="Q5" s="14">
        <v>2862.54</v>
      </c>
      <c r="R5" s="16">
        <f t="shared" si="1"/>
        <v>2862.54</v>
      </c>
      <c r="S5" s="16">
        <f t="shared" si="2"/>
        <v>458.0064</v>
      </c>
      <c r="T5" s="16">
        <f t="shared" si="3"/>
        <v>3320.5464</v>
      </c>
      <c r="U5" s="19" t="s">
        <v>49</v>
      </c>
      <c r="V5" s="18"/>
      <c r="W5" s="16"/>
    </row>
    <row r="6">
      <c r="A6" s="7">
        <v>28.0</v>
      </c>
      <c r="B6" s="7">
        <v>5.0</v>
      </c>
      <c r="C6" s="8">
        <v>491.0</v>
      </c>
      <c r="D6" s="9">
        <v>46213.0</v>
      </c>
      <c r="E6" s="11">
        <v>1.0</v>
      </c>
      <c r="F6" s="10" t="s">
        <v>32</v>
      </c>
      <c r="G6" s="11" t="s">
        <v>62</v>
      </c>
      <c r="H6" s="11">
        <v>14.0</v>
      </c>
      <c r="I6" s="11">
        <v>25120.0</v>
      </c>
      <c r="J6" s="11" t="s">
        <v>64</v>
      </c>
      <c r="K6" s="12" t="s">
        <v>36</v>
      </c>
      <c r="L6" s="13" t="s">
        <v>61</v>
      </c>
      <c r="M6" s="13" t="s">
        <v>66</v>
      </c>
      <c r="N6" s="13" t="s">
        <v>43</v>
      </c>
      <c r="O6" s="11"/>
      <c r="P6" s="11" t="s">
        <v>45</v>
      </c>
      <c r="Q6" s="14">
        <v>2863.68</v>
      </c>
      <c r="R6" s="16">
        <f t="shared" si="1"/>
        <v>2863.68</v>
      </c>
      <c r="S6" s="16">
        <f t="shared" si="2"/>
        <v>458.1888</v>
      </c>
      <c r="T6" s="16">
        <f t="shared" si="3"/>
        <v>3321.8688</v>
      </c>
      <c r="U6" s="19" t="s">
        <v>49</v>
      </c>
      <c r="V6" s="18"/>
      <c r="W6" s="16"/>
    </row>
    <row r="7">
      <c r="A7" s="7">
        <v>28.0</v>
      </c>
      <c r="B7" s="7">
        <v>6.0</v>
      </c>
      <c r="C7" s="8">
        <v>492.0</v>
      </c>
      <c r="D7" s="9">
        <v>46213.0</v>
      </c>
      <c r="E7" s="11">
        <v>1.0</v>
      </c>
      <c r="F7" s="10" t="s">
        <v>32</v>
      </c>
      <c r="G7" s="11" t="s">
        <v>67</v>
      </c>
      <c r="H7" s="11">
        <v>14.0</v>
      </c>
      <c r="I7" s="11">
        <v>22420.0</v>
      </c>
      <c r="J7" s="11" t="s">
        <v>68</v>
      </c>
      <c r="K7" s="12" t="s">
        <v>36</v>
      </c>
      <c r="L7" s="13" t="s">
        <v>66</v>
      </c>
      <c r="M7" s="13" t="s">
        <v>69</v>
      </c>
      <c r="N7" s="13" t="s">
        <v>43</v>
      </c>
      <c r="O7" s="11"/>
      <c r="P7" s="11" t="s">
        <v>45</v>
      </c>
      <c r="Q7" s="14">
        <v>2850.0</v>
      </c>
      <c r="R7" s="16">
        <f t="shared" si="1"/>
        <v>2850</v>
      </c>
      <c r="S7" s="16">
        <f t="shared" si="2"/>
        <v>456</v>
      </c>
      <c r="T7" s="16">
        <f t="shared" si="3"/>
        <v>3306</v>
      </c>
      <c r="U7" s="19" t="s">
        <v>49</v>
      </c>
      <c r="V7" s="18"/>
      <c r="W7" s="16"/>
    </row>
    <row r="8">
      <c r="A8" s="7">
        <v>28.0</v>
      </c>
      <c r="B8" s="7">
        <v>7.0</v>
      </c>
      <c r="C8" s="8">
        <v>490.0</v>
      </c>
      <c r="D8" s="9">
        <v>46213.0</v>
      </c>
      <c r="E8" s="11">
        <v>1.0</v>
      </c>
      <c r="F8" s="10" t="s">
        <v>32</v>
      </c>
      <c r="G8" s="11" t="s">
        <v>71</v>
      </c>
      <c r="H8" s="11">
        <v>14.0</v>
      </c>
      <c r="I8" s="11">
        <v>24380.0</v>
      </c>
      <c r="J8" s="11" t="s">
        <v>73</v>
      </c>
      <c r="K8" s="12" t="s">
        <v>36</v>
      </c>
      <c r="L8" s="13" t="s">
        <v>69</v>
      </c>
      <c r="M8" s="13" t="s">
        <v>74</v>
      </c>
      <c r="N8" s="13" t="s">
        <v>43</v>
      </c>
      <c r="O8" s="11"/>
      <c r="P8" s="11" t="s">
        <v>45</v>
      </c>
      <c r="Q8" s="14">
        <v>2850.0</v>
      </c>
      <c r="R8" s="16">
        <f t="shared" si="1"/>
        <v>2850</v>
      </c>
      <c r="S8" s="16">
        <f t="shared" si="2"/>
        <v>456</v>
      </c>
      <c r="T8" s="16">
        <f t="shared" si="3"/>
        <v>3306</v>
      </c>
      <c r="U8" s="19" t="s">
        <v>49</v>
      </c>
      <c r="V8" s="18"/>
      <c r="W8" s="16"/>
    </row>
    <row r="9">
      <c r="A9" s="7">
        <v>28.0</v>
      </c>
      <c r="B9" s="7">
        <v>8.0</v>
      </c>
      <c r="C9" s="8">
        <v>493.0</v>
      </c>
      <c r="D9" s="9">
        <v>46213.0</v>
      </c>
      <c r="E9" s="11">
        <v>1.0</v>
      </c>
      <c r="F9" s="10" t="s">
        <v>32</v>
      </c>
      <c r="G9" s="11" t="s">
        <v>75</v>
      </c>
      <c r="H9" s="11">
        <v>14.0</v>
      </c>
      <c r="I9" s="11">
        <v>24450.0</v>
      </c>
      <c r="J9" s="11" t="s">
        <v>54</v>
      </c>
      <c r="K9" s="12" t="s">
        <v>36</v>
      </c>
      <c r="L9" s="13" t="s">
        <v>74</v>
      </c>
      <c r="M9" s="13" t="s">
        <v>76</v>
      </c>
      <c r="N9" s="13" t="s">
        <v>43</v>
      </c>
      <c r="O9" s="11"/>
      <c r="P9" s="11" t="s">
        <v>45</v>
      </c>
      <c r="Q9" s="14">
        <v>2850.0</v>
      </c>
      <c r="R9" s="16">
        <f t="shared" si="1"/>
        <v>2850</v>
      </c>
      <c r="S9" s="16">
        <f t="shared" si="2"/>
        <v>456</v>
      </c>
      <c r="T9" s="16">
        <f t="shared" si="3"/>
        <v>3306</v>
      </c>
      <c r="U9" s="19" t="s">
        <v>49</v>
      </c>
      <c r="V9" s="18"/>
      <c r="W9" s="16"/>
    </row>
    <row r="10">
      <c r="A10" s="7">
        <v>28.0</v>
      </c>
      <c r="B10" s="7">
        <v>1.0</v>
      </c>
      <c r="C10" s="8">
        <v>494.0</v>
      </c>
      <c r="D10" s="9">
        <v>46214.0</v>
      </c>
      <c r="E10" s="11">
        <v>1.0</v>
      </c>
      <c r="F10" s="10" t="s">
        <v>32</v>
      </c>
      <c r="G10" s="11" t="s">
        <v>56</v>
      </c>
      <c r="H10" s="11">
        <v>14.0</v>
      </c>
      <c r="I10" s="26">
        <v>26210.0</v>
      </c>
      <c r="J10" s="11" t="s">
        <v>57</v>
      </c>
      <c r="K10" s="12" t="s">
        <v>36</v>
      </c>
      <c r="L10" s="13">
        <v>0.0</v>
      </c>
      <c r="M10" s="13" t="s">
        <v>79</v>
      </c>
      <c r="N10" s="13" t="s">
        <v>43</v>
      </c>
      <c r="O10" s="11"/>
      <c r="P10" s="11" t="s">
        <v>80</v>
      </c>
      <c r="Q10" s="14">
        <v>2987.94</v>
      </c>
      <c r="R10" s="16">
        <f t="shared" si="1"/>
        <v>2987.94</v>
      </c>
      <c r="S10" s="16">
        <f t="shared" si="2"/>
        <v>478.0704</v>
      </c>
      <c r="T10" s="16">
        <f t="shared" si="3"/>
        <v>3466.0104</v>
      </c>
      <c r="U10" s="19" t="s">
        <v>49</v>
      </c>
      <c r="V10" s="18"/>
      <c r="W10" s="16"/>
    </row>
    <row r="11">
      <c r="A11" s="7">
        <v>28.0</v>
      </c>
      <c r="B11" s="7">
        <v>2.0</v>
      </c>
      <c r="C11" s="8">
        <v>495.0</v>
      </c>
      <c r="D11" s="9">
        <v>46214.0</v>
      </c>
      <c r="E11" s="11">
        <v>1.0</v>
      </c>
      <c r="F11" s="10" t="s">
        <v>32</v>
      </c>
      <c r="G11" s="11" t="s">
        <v>59</v>
      </c>
      <c r="H11" s="11">
        <v>14.0</v>
      </c>
      <c r="I11" s="26">
        <v>26580.0</v>
      </c>
      <c r="J11" s="11" t="s">
        <v>60</v>
      </c>
      <c r="K11" s="12" t="s">
        <v>36</v>
      </c>
      <c r="L11" s="13" t="s">
        <v>79</v>
      </c>
      <c r="M11" s="13" t="s">
        <v>81</v>
      </c>
      <c r="N11" s="13" t="s">
        <v>43</v>
      </c>
      <c r="O11" s="11"/>
      <c r="P11" s="11" t="s">
        <v>80</v>
      </c>
      <c r="Q11" s="14">
        <v>3030.12</v>
      </c>
      <c r="R11" s="16">
        <f t="shared" si="1"/>
        <v>3030.12</v>
      </c>
      <c r="S11" s="16">
        <f t="shared" si="2"/>
        <v>484.8192</v>
      </c>
      <c r="T11" s="16">
        <f t="shared" si="3"/>
        <v>3514.9392</v>
      </c>
      <c r="U11" s="19" t="s">
        <v>49</v>
      </c>
      <c r="V11" s="18"/>
      <c r="W11" s="16"/>
    </row>
    <row r="12">
      <c r="A12" s="7">
        <v>28.0</v>
      </c>
      <c r="B12" s="7">
        <v>3.0</v>
      </c>
      <c r="C12" s="8">
        <v>496.0</v>
      </c>
      <c r="D12" s="9">
        <v>46214.0</v>
      </c>
      <c r="E12" s="11">
        <v>1.0</v>
      </c>
      <c r="F12" s="10" t="s">
        <v>32</v>
      </c>
      <c r="G12" s="11" t="s">
        <v>71</v>
      </c>
      <c r="H12" s="11">
        <v>14.0</v>
      </c>
      <c r="I12" s="26">
        <v>24860.0</v>
      </c>
      <c r="J12" s="11" t="s">
        <v>73</v>
      </c>
      <c r="K12" s="12" t="s">
        <v>36</v>
      </c>
      <c r="L12" s="13" t="s">
        <v>81</v>
      </c>
      <c r="M12" s="13" t="s">
        <v>82</v>
      </c>
      <c r="N12" s="13" t="s">
        <v>43</v>
      </c>
      <c r="O12" s="11"/>
      <c r="P12" s="11" t="s">
        <v>80</v>
      </c>
      <c r="Q12" s="14">
        <v>2850.0</v>
      </c>
      <c r="R12" s="16">
        <f t="shared" si="1"/>
        <v>2850</v>
      </c>
      <c r="S12" s="16">
        <f t="shared" si="2"/>
        <v>456</v>
      </c>
      <c r="T12" s="16">
        <f t="shared" si="3"/>
        <v>3306</v>
      </c>
      <c r="U12" s="19" t="s">
        <v>49</v>
      </c>
      <c r="V12" s="18"/>
      <c r="W12" s="16"/>
    </row>
    <row r="13">
      <c r="A13" s="7">
        <v>28.0</v>
      </c>
      <c r="B13" s="7">
        <v>4.0</v>
      </c>
      <c r="C13" s="8">
        <v>497.0</v>
      </c>
      <c r="D13" s="9">
        <v>46214.0</v>
      </c>
      <c r="E13" s="11">
        <v>1.0</v>
      </c>
      <c r="F13" s="10" t="s">
        <v>32</v>
      </c>
      <c r="G13" s="11" t="s">
        <v>33</v>
      </c>
      <c r="H13" s="11">
        <v>14.0</v>
      </c>
      <c r="I13" s="26">
        <v>26860.0</v>
      </c>
      <c r="J13" s="11" t="s">
        <v>35</v>
      </c>
      <c r="K13" s="12" t="s">
        <v>36</v>
      </c>
      <c r="L13" s="13" t="s">
        <v>82</v>
      </c>
      <c r="M13" s="13" t="s">
        <v>85</v>
      </c>
      <c r="N13" s="13" t="s">
        <v>43</v>
      </c>
      <c r="O13" s="11"/>
      <c r="P13" s="11" t="s">
        <v>80</v>
      </c>
      <c r="Q13" s="14">
        <v>3062.04</v>
      </c>
      <c r="R13" s="16">
        <f t="shared" si="1"/>
        <v>3062.04</v>
      </c>
      <c r="S13" s="16">
        <f t="shared" si="2"/>
        <v>489.9264</v>
      </c>
      <c r="T13" s="16">
        <f t="shared" si="3"/>
        <v>3551.9664</v>
      </c>
      <c r="U13" s="19" t="s">
        <v>49</v>
      </c>
      <c r="V13" s="18"/>
      <c r="W13" s="16"/>
    </row>
    <row r="14">
      <c r="A14" s="7">
        <v>28.0</v>
      </c>
      <c r="B14" s="7">
        <v>5.0</v>
      </c>
      <c r="C14" s="8">
        <v>498.0</v>
      </c>
      <c r="D14" s="9">
        <v>46214.0</v>
      </c>
      <c r="E14" s="11">
        <v>1.0</v>
      </c>
      <c r="F14" s="10" t="s">
        <v>32</v>
      </c>
      <c r="G14" s="11" t="s">
        <v>50</v>
      </c>
      <c r="H14" s="11">
        <v>14.0</v>
      </c>
      <c r="I14" s="26">
        <v>24610.0</v>
      </c>
      <c r="J14" s="11" t="s">
        <v>51</v>
      </c>
      <c r="K14" s="12" t="s">
        <v>36</v>
      </c>
      <c r="L14" s="13" t="s">
        <v>85</v>
      </c>
      <c r="M14" s="13" t="s">
        <v>69</v>
      </c>
      <c r="N14" s="13" t="s">
        <v>43</v>
      </c>
      <c r="O14" s="11"/>
      <c r="P14" s="11" t="s">
        <v>80</v>
      </c>
      <c r="Q14" s="14">
        <v>2850.0</v>
      </c>
      <c r="R14" s="16">
        <f t="shared" si="1"/>
        <v>2850</v>
      </c>
      <c r="S14" s="16">
        <f t="shared" si="2"/>
        <v>456</v>
      </c>
      <c r="T14" s="16">
        <f t="shared" si="3"/>
        <v>3306</v>
      </c>
      <c r="U14" s="19" t="s">
        <v>49</v>
      </c>
      <c r="V14" s="18"/>
      <c r="W14" s="16"/>
    </row>
    <row r="15">
      <c r="A15" s="7">
        <v>28.0</v>
      </c>
      <c r="B15" s="7">
        <v>6.0</v>
      </c>
      <c r="C15" s="8">
        <v>500.0</v>
      </c>
      <c r="D15" s="9">
        <v>46214.0</v>
      </c>
      <c r="E15" s="11">
        <v>1.0</v>
      </c>
      <c r="F15" s="10" t="s">
        <v>32</v>
      </c>
      <c r="G15" s="11" t="s">
        <v>88</v>
      </c>
      <c r="H15" s="11">
        <v>14.0</v>
      </c>
      <c r="I15" s="26">
        <v>24880.0</v>
      </c>
      <c r="J15" s="11" t="s">
        <v>72</v>
      </c>
      <c r="K15" s="12" t="s">
        <v>36</v>
      </c>
      <c r="L15" s="13" t="s">
        <v>38</v>
      </c>
      <c r="M15" s="13" t="s">
        <v>91</v>
      </c>
      <c r="N15" s="13" t="s">
        <v>43</v>
      </c>
      <c r="O15" s="11"/>
      <c r="P15" s="11" t="s">
        <v>93</v>
      </c>
      <c r="Q15" s="14">
        <v>2850.0</v>
      </c>
      <c r="R15" s="16">
        <f t="shared" si="1"/>
        <v>2850</v>
      </c>
      <c r="S15" s="16">
        <f t="shared" si="2"/>
        <v>456</v>
      </c>
      <c r="T15" s="16">
        <f t="shared" si="3"/>
        <v>3306</v>
      </c>
      <c r="U15" s="19" t="s">
        <v>49</v>
      </c>
      <c r="V15" s="18"/>
      <c r="W15" s="16"/>
    </row>
    <row r="16">
      <c r="A16" s="7">
        <v>28.0</v>
      </c>
      <c r="B16" s="7">
        <v>7.0</v>
      </c>
      <c r="C16" s="8">
        <v>601.0</v>
      </c>
      <c r="D16" s="9">
        <v>46214.0</v>
      </c>
      <c r="E16" s="11">
        <v>1.0</v>
      </c>
      <c r="F16" s="10" t="s">
        <v>32</v>
      </c>
      <c r="G16" s="11" t="s">
        <v>94</v>
      </c>
      <c r="H16" s="11">
        <v>14.0</v>
      </c>
      <c r="I16" s="26">
        <v>25670.0</v>
      </c>
      <c r="J16" s="11" t="s">
        <v>54</v>
      </c>
      <c r="K16" s="12" t="s">
        <v>36</v>
      </c>
      <c r="L16" s="13" t="s">
        <v>91</v>
      </c>
      <c r="M16" s="13" t="s">
        <v>95</v>
      </c>
      <c r="N16" s="13" t="s">
        <v>43</v>
      </c>
      <c r="O16" s="11"/>
      <c r="P16" s="11" t="s">
        <v>93</v>
      </c>
      <c r="Q16" s="14">
        <v>2926.38</v>
      </c>
      <c r="R16" s="16">
        <f t="shared" si="1"/>
        <v>2926.38</v>
      </c>
      <c r="S16" s="16">
        <f t="shared" si="2"/>
        <v>468.2208</v>
      </c>
      <c r="T16" s="16">
        <f t="shared" si="3"/>
        <v>3394.6008</v>
      </c>
      <c r="U16" s="19" t="s">
        <v>49</v>
      </c>
      <c r="V16" s="18"/>
      <c r="W16" s="16"/>
    </row>
    <row r="17">
      <c r="A17" s="7">
        <v>28.0</v>
      </c>
      <c r="B17" s="7">
        <v>8.0</v>
      </c>
      <c r="C17" s="8">
        <v>602.0</v>
      </c>
      <c r="D17" s="9">
        <v>46214.0</v>
      </c>
      <c r="E17" s="11">
        <v>1.0</v>
      </c>
      <c r="F17" s="10" t="s">
        <v>32</v>
      </c>
      <c r="G17" s="11" t="s">
        <v>97</v>
      </c>
      <c r="H17" s="11">
        <v>14.0</v>
      </c>
      <c r="I17" s="26">
        <v>26980.0</v>
      </c>
      <c r="J17" s="11" t="s">
        <v>65</v>
      </c>
      <c r="K17" s="12" t="s">
        <v>36</v>
      </c>
      <c r="L17" s="13" t="s">
        <v>95</v>
      </c>
      <c r="M17" s="13" t="s">
        <v>61</v>
      </c>
      <c r="N17" s="13" t="s">
        <v>43</v>
      </c>
      <c r="O17" s="11"/>
      <c r="P17" s="11" t="s">
        <v>93</v>
      </c>
      <c r="Q17" s="14">
        <v>3075.72</v>
      </c>
      <c r="R17" s="16">
        <f t="shared" si="1"/>
        <v>3075.72</v>
      </c>
      <c r="S17" s="16">
        <f t="shared" si="2"/>
        <v>492.1152</v>
      </c>
      <c r="T17" s="16">
        <f t="shared" si="3"/>
        <v>3567.8352</v>
      </c>
      <c r="U17" s="19" t="s">
        <v>49</v>
      </c>
      <c r="V17" s="18"/>
      <c r="W17" s="16"/>
    </row>
    <row r="18">
      <c r="A18" s="7">
        <v>28.0</v>
      </c>
      <c r="B18" s="7">
        <v>9.0</v>
      </c>
      <c r="C18" s="8">
        <v>499.0</v>
      </c>
      <c r="D18" s="9">
        <v>46214.0</v>
      </c>
      <c r="E18" s="11">
        <v>1.0</v>
      </c>
      <c r="F18" s="10" t="s">
        <v>32</v>
      </c>
      <c r="G18" s="11" t="s">
        <v>100</v>
      </c>
      <c r="H18" s="11">
        <v>14.0</v>
      </c>
      <c r="I18" s="26">
        <v>26200.0</v>
      </c>
      <c r="J18" s="11" t="s">
        <v>101</v>
      </c>
      <c r="K18" s="12" t="s">
        <v>36</v>
      </c>
      <c r="L18" s="13" t="s">
        <v>61</v>
      </c>
      <c r="M18" s="13" t="s">
        <v>102</v>
      </c>
      <c r="N18" s="13" t="s">
        <v>43</v>
      </c>
      <c r="O18" s="11"/>
      <c r="P18" s="11" t="s">
        <v>93</v>
      </c>
      <c r="Q18" s="14">
        <v>2986.8</v>
      </c>
      <c r="R18" s="16">
        <f t="shared" si="1"/>
        <v>2986.8</v>
      </c>
      <c r="S18" s="16">
        <f t="shared" si="2"/>
        <v>477.888</v>
      </c>
      <c r="T18" s="16">
        <f t="shared" si="3"/>
        <v>3464.688</v>
      </c>
      <c r="U18" s="19" t="s">
        <v>49</v>
      </c>
      <c r="V18" s="18"/>
      <c r="W18" s="16"/>
    </row>
    <row r="19">
      <c r="A19" s="7">
        <v>28.0</v>
      </c>
      <c r="B19" s="7">
        <v>10.0</v>
      </c>
      <c r="C19" s="8">
        <v>603.0</v>
      </c>
      <c r="D19" s="9">
        <v>46214.0</v>
      </c>
      <c r="E19" s="11">
        <v>1.0</v>
      </c>
      <c r="F19" s="10" t="s">
        <v>32</v>
      </c>
      <c r="G19" s="11" t="s">
        <v>37</v>
      </c>
      <c r="H19" s="11">
        <v>14.0</v>
      </c>
      <c r="I19" s="26">
        <v>22430.0</v>
      </c>
      <c r="J19" s="11" t="s">
        <v>40</v>
      </c>
      <c r="K19" s="12" t="s">
        <v>36</v>
      </c>
      <c r="L19" s="13" t="s">
        <v>102</v>
      </c>
      <c r="M19" s="13" t="s">
        <v>105</v>
      </c>
      <c r="N19" s="13" t="s">
        <v>43</v>
      </c>
      <c r="O19" s="11"/>
      <c r="P19" s="11" t="s">
        <v>93</v>
      </c>
      <c r="Q19" s="14">
        <v>2850.0</v>
      </c>
      <c r="R19" s="16">
        <f t="shared" si="1"/>
        <v>2850</v>
      </c>
      <c r="S19" s="16">
        <f t="shared" si="2"/>
        <v>456</v>
      </c>
      <c r="T19" s="16">
        <f t="shared" si="3"/>
        <v>3306</v>
      </c>
      <c r="U19" s="19" t="s">
        <v>49</v>
      </c>
      <c r="V19" s="18"/>
      <c r="W19" s="16"/>
    </row>
    <row r="20">
      <c r="A20" s="7">
        <v>28.0</v>
      </c>
      <c r="B20" s="7">
        <v>11.0</v>
      </c>
      <c r="C20" s="8">
        <v>604.0</v>
      </c>
      <c r="D20" s="9">
        <v>46214.0</v>
      </c>
      <c r="E20" s="11">
        <v>1.0</v>
      </c>
      <c r="F20" s="10" t="s">
        <v>32</v>
      </c>
      <c r="G20" s="11" t="s">
        <v>86</v>
      </c>
      <c r="H20" s="19">
        <v>8.0</v>
      </c>
      <c r="I20" s="26">
        <v>16050.0</v>
      </c>
      <c r="J20" s="11" t="s">
        <v>87</v>
      </c>
      <c r="K20" s="12" t="s">
        <v>36</v>
      </c>
      <c r="L20" s="13" t="s">
        <v>105</v>
      </c>
      <c r="M20" s="13" t="s">
        <v>106</v>
      </c>
      <c r="N20" s="13" t="s">
        <v>43</v>
      </c>
      <c r="O20" s="11"/>
      <c r="P20" s="11" t="s">
        <v>93</v>
      </c>
      <c r="Q20" s="14">
        <v>2850.0</v>
      </c>
      <c r="R20" s="16">
        <f t="shared" si="1"/>
        <v>2850</v>
      </c>
      <c r="S20" s="16">
        <f t="shared" si="2"/>
        <v>456</v>
      </c>
      <c r="T20" s="16">
        <f t="shared" si="3"/>
        <v>3306</v>
      </c>
      <c r="U20" s="19" t="s">
        <v>49</v>
      </c>
      <c r="V20" s="18"/>
      <c r="W20" s="16"/>
    </row>
    <row r="21" ht="15.75" customHeight="1">
      <c r="A21" s="27">
        <v>29.0</v>
      </c>
      <c r="B21" s="27">
        <v>1.0</v>
      </c>
      <c r="C21" s="29" t="s">
        <v>107</v>
      </c>
      <c r="D21" s="30">
        <v>46216.0</v>
      </c>
      <c r="E21" s="11">
        <v>1.0</v>
      </c>
      <c r="F21" s="10" t="s">
        <v>32</v>
      </c>
      <c r="G21" s="31" t="s">
        <v>109</v>
      </c>
      <c r="H21" s="31">
        <v>14.0</v>
      </c>
      <c r="I21" s="32" t="s">
        <v>110</v>
      </c>
      <c r="J21" s="31" t="s">
        <v>35</v>
      </c>
      <c r="K21" s="12" t="s">
        <v>36</v>
      </c>
      <c r="L21" s="33" t="s">
        <v>111</v>
      </c>
      <c r="M21" s="33" t="s">
        <v>112</v>
      </c>
      <c r="N21" s="34" t="s">
        <v>43</v>
      </c>
      <c r="O21" s="11"/>
      <c r="P21" s="11"/>
      <c r="Q21" s="14">
        <v>2850.0</v>
      </c>
      <c r="R21" s="16">
        <f t="shared" si="1"/>
        <v>2850</v>
      </c>
      <c r="S21" s="16">
        <f t="shared" si="2"/>
        <v>456</v>
      </c>
      <c r="T21" s="16">
        <f t="shared" si="3"/>
        <v>3306</v>
      </c>
      <c r="U21" s="19" t="s">
        <v>113</v>
      </c>
      <c r="V21" s="18"/>
      <c r="W21" s="16"/>
    </row>
    <row r="22" ht="15.75" customHeight="1">
      <c r="A22" s="27">
        <v>29.0</v>
      </c>
      <c r="B22" s="27">
        <v>2.0</v>
      </c>
      <c r="C22" s="29" t="s">
        <v>114</v>
      </c>
      <c r="D22" s="30">
        <v>46216.0</v>
      </c>
      <c r="E22" s="11">
        <v>1.0</v>
      </c>
      <c r="F22" s="10" t="s">
        <v>32</v>
      </c>
      <c r="G22" s="31" t="s">
        <v>116</v>
      </c>
      <c r="H22" s="31">
        <v>14.0</v>
      </c>
      <c r="I22" s="32" t="s">
        <v>117</v>
      </c>
      <c r="J22" s="31" t="s">
        <v>64</v>
      </c>
      <c r="K22" s="12" t="s">
        <v>36</v>
      </c>
      <c r="L22" s="33" t="s">
        <v>118</v>
      </c>
      <c r="M22" s="33" t="s">
        <v>119</v>
      </c>
      <c r="N22" s="34" t="s">
        <v>43</v>
      </c>
      <c r="O22" s="11"/>
      <c r="P22" s="11"/>
      <c r="Q22" s="14">
        <v>2850.0</v>
      </c>
      <c r="R22" s="16">
        <f t="shared" si="1"/>
        <v>2850</v>
      </c>
      <c r="S22" s="16">
        <f t="shared" si="2"/>
        <v>456</v>
      </c>
      <c r="T22" s="16">
        <f t="shared" si="3"/>
        <v>3306</v>
      </c>
      <c r="U22" s="19" t="s">
        <v>113</v>
      </c>
      <c r="V22" s="18"/>
      <c r="W22" s="16"/>
    </row>
    <row r="23" ht="15.75" customHeight="1">
      <c r="A23" s="27">
        <v>29.0</v>
      </c>
      <c r="B23" s="27">
        <v>3.0</v>
      </c>
      <c r="C23" s="29" t="s">
        <v>120</v>
      </c>
      <c r="D23" s="30">
        <v>46216.0</v>
      </c>
      <c r="E23" s="11">
        <v>1.0</v>
      </c>
      <c r="F23" s="10" t="s">
        <v>32</v>
      </c>
      <c r="G23" s="31" t="s">
        <v>37</v>
      </c>
      <c r="H23" s="31">
        <v>14.0</v>
      </c>
      <c r="I23" s="32" t="s">
        <v>121</v>
      </c>
      <c r="J23" s="31" t="s">
        <v>40</v>
      </c>
      <c r="K23" s="12" t="s">
        <v>36</v>
      </c>
      <c r="L23" s="33" t="s">
        <v>122</v>
      </c>
      <c r="M23" s="33" t="s">
        <v>111</v>
      </c>
      <c r="N23" s="34" t="s">
        <v>43</v>
      </c>
      <c r="O23" s="11"/>
      <c r="P23" s="11"/>
      <c r="Q23" s="14">
        <v>2850.0</v>
      </c>
      <c r="R23" s="16">
        <f t="shared" si="1"/>
        <v>2850</v>
      </c>
      <c r="S23" s="16">
        <f t="shared" si="2"/>
        <v>456</v>
      </c>
      <c r="T23" s="16">
        <f t="shared" si="3"/>
        <v>3306</v>
      </c>
      <c r="U23" s="19" t="s">
        <v>113</v>
      </c>
      <c r="V23" s="18"/>
      <c r="W23" s="16"/>
    </row>
    <row r="24" ht="15.75" customHeight="1">
      <c r="A24" s="27">
        <v>29.0</v>
      </c>
      <c r="B24" s="27">
        <v>4.0</v>
      </c>
      <c r="C24" s="29" t="s">
        <v>123</v>
      </c>
      <c r="D24" s="30">
        <v>46216.0</v>
      </c>
      <c r="E24" s="11">
        <v>1.0</v>
      </c>
      <c r="F24" s="10" t="s">
        <v>32</v>
      </c>
      <c r="G24" s="31" t="s">
        <v>124</v>
      </c>
      <c r="H24" s="31">
        <v>14.0</v>
      </c>
      <c r="I24" s="32" t="s">
        <v>125</v>
      </c>
      <c r="J24" s="31" t="s">
        <v>101</v>
      </c>
      <c r="K24" s="12" t="s">
        <v>36</v>
      </c>
      <c r="L24" s="33" t="s">
        <v>112</v>
      </c>
      <c r="M24" s="33" t="s">
        <v>118</v>
      </c>
      <c r="N24" s="34" t="s">
        <v>43</v>
      </c>
      <c r="O24" s="11"/>
      <c r="P24" s="11"/>
      <c r="Q24" s="14">
        <v>2850.0</v>
      </c>
      <c r="R24" s="16">
        <f t="shared" si="1"/>
        <v>2850</v>
      </c>
      <c r="S24" s="16">
        <f t="shared" si="2"/>
        <v>456</v>
      </c>
      <c r="T24" s="16">
        <f t="shared" si="3"/>
        <v>3306</v>
      </c>
      <c r="U24" s="19" t="s">
        <v>113</v>
      </c>
      <c r="V24" s="18"/>
      <c r="W24" s="16"/>
    </row>
    <row r="25" ht="15.75" customHeight="1">
      <c r="A25" s="27">
        <v>29.0</v>
      </c>
      <c r="B25" s="27">
        <v>5.0</v>
      </c>
      <c r="C25" s="29" t="s">
        <v>128</v>
      </c>
      <c r="D25" s="30">
        <v>46216.0</v>
      </c>
      <c r="E25" s="11">
        <v>1.0</v>
      </c>
      <c r="F25" s="10" t="s">
        <v>32</v>
      </c>
      <c r="G25" s="31" t="s">
        <v>129</v>
      </c>
      <c r="H25" s="31">
        <v>14.0</v>
      </c>
      <c r="I25" s="32" t="s">
        <v>130</v>
      </c>
      <c r="J25" s="31" t="s">
        <v>131</v>
      </c>
      <c r="K25" s="12" t="s">
        <v>36</v>
      </c>
      <c r="L25" s="33" t="s">
        <v>132</v>
      </c>
      <c r="M25" s="33" t="s">
        <v>133</v>
      </c>
      <c r="N25" s="34" t="s">
        <v>43</v>
      </c>
      <c r="O25" s="11"/>
      <c r="P25" s="11"/>
      <c r="Q25" s="14">
        <v>2850.0</v>
      </c>
      <c r="R25" s="16">
        <f t="shared" si="1"/>
        <v>2850</v>
      </c>
      <c r="S25" s="16">
        <f t="shared" si="2"/>
        <v>456</v>
      </c>
      <c r="T25" s="16">
        <f t="shared" si="3"/>
        <v>3306</v>
      </c>
      <c r="U25" s="19" t="s">
        <v>113</v>
      </c>
      <c r="V25" s="18"/>
      <c r="W25" s="16"/>
    </row>
    <row r="26" ht="15.75" customHeight="1">
      <c r="A26" s="27">
        <v>29.0</v>
      </c>
      <c r="B26" s="27">
        <v>6.0</v>
      </c>
      <c r="C26" s="29" t="s">
        <v>134</v>
      </c>
      <c r="D26" s="30">
        <v>46216.0</v>
      </c>
      <c r="E26" s="11">
        <v>1.0</v>
      </c>
      <c r="F26" s="10" t="s">
        <v>32</v>
      </c>
      <c r="G26" s="31" t="s">
        <v>135</v>
      </c>
      <c r="H26" s="31">
        <v>14.0</v>
      </c>
      <c r="I26" s="32" t="s">
        <v>136</v>
      </c>
      <c r="J26" s="31" t="s">
        <v>72</v>
      </c>
      <c r="K26" s="12" t="s">
        <v>36</v>
      </c>
      <c r="L26" s="33" t="s">
        <v>119</v>
      </c>
      <c r="M26" s="33" t="s">
        <v>132</v>
      </c>
      <c r="N26" s="34" t="s">
        <v>43</v>
      </c>
      <c r="O26" s="11"/>
      <c r="P26" s="11"/>
      <c r="Q26" s="14">
        <v>2850.0</v>
      </c>
      <c r="R26" s="16">
        <f t="shared" si="1"/>
        <v>2850</v>
      </c>
      <c r="S26" s="16">
        <f t="shared" si="2"/>
        <v>456</v>
      </c>
      <c r="T26" s="16">
        <f t="shared" si="3"/>
        <v>3306</v>
      </c>
      <c r="U26" s="19" t="s">
        <v>113</v>
      </c>
      <c r="V26" s="18"/>
      <c r="W26" s="16"/>
    </row>
    <row r="27" ht="15.75" customHeight="1">
      <c r="A27" s="27">
        <v>29.0</v>
      </c>
      <c r="B27" s="27">
        <v>7.0</v>
      </c>
      <c r="C27" s="29" t="s">
        <v>137</v>
      </c>
      <c r="D27" s="30">
        <v>46216.0</v>
      </c>
      <c r="E27" s="11">
        <v>1.0</v>
      </c>
      <c r="F27" s="10" t="s">
        <v>32</v>
      </c>
      <c r="G27" s="31" t="s">
        <v>138</v>
      </c>
      <c r="H27" s="31">
        <v>14.0</v>
      </c>
      <c r="I27" s="32" t="s">
        <v>139</v>
      </c>
      <c r="J27" s="31" t="s">
        <v>140</v>
      </c>
      <c r="K27" s="12" t="s">
        <v>36</v>
      </c>
      <c r="L27" s="33" t="s">
        <v>133</v>
      </c>
      <c r="M27" s="33" t="s">
        <v>141</v>
      </c>
      <c r="N27" s="34" t="s">
        <v>43</v>
      </c>
      <c r="O27" s="11"/>
      <c r="P27" s="11"/>
      <c r="Q27" s="14">
        <v>2850.0</v>
      </c>
      <c r="R27" s="16">
        <f t="shared" si="1"/>
        <v>2850</v>
      </c>
      <c r="S27" s="16">
        <f t="shared" si="2"/>
        <v>456</v>
      </c>
      <c r="T27" s="16">
        <f t="shared" si="3"/>
        <v>3306</v>
      </c>
      <c r="U27" s="19" t="s">
        <v>113</v>
      </c>
      <c r="V27" s="18"/>
      <c r="W27" s="16"/>
    </row>
    <row r="28" ht="15.75" customHeight="1">
      <c r="A28" s="27">
        <v>29.0</v>
      </c>
      <c r="B28" s="27">
        <v>8.0</v>
      </c>
      <c r="C28" s="29" t="s">
        <v>142</v>
      </c>
      <c r="D28" s="30">
        <v>46216.0</v>
      </c>
      <c r="E28" s="11">
        <v>1.0</v>
      </c>
      <c r="F28" s="10" t="s">
        <v>32</v>
      </c>
      <c r="G28" s="31" t="s">
        <v>143</v>
      </c>
      <c r="H28" s="31">
        <v>14.0</v>
      </c>
      <c r="I28" s="32" t="s">
        <v>144</v>
      </c>
      <c r="J28" s="31" t="s">
        <v>145</v>
      </c>
      <c r="K28" s="12" t="s">
        <v>36</v>
      </c>
      <c r="L28" s="33" t="s">
        <v>141</v>
      </c>
      <c r="M28" s="33" t="s">
        <v>147</v>
      </c>
      <c r="N28" s="34" t="s">
        <v>43</v>
      </c>
      <c r="O28" s="11"/>
      <c r="P28" s="11"/>
      <c r="Q28" s="14">
        <v>2850.0</v>
      </c>
      <c r="R28" s="16">
        <f t="shared" si="1"/>
        <v>2850</v>
      </c>
      <c r="S28" s="16">
        <f t="shared" si="2"/>
        <v>456</v>
      </c>
      <c r="T28" s="16">
        <f t="shared" si="3"/>
        <v>3306</v>
      </c>
      <c r="U28" s="19" t="s">
        <v>113</v>
      </c>
      <c r="V28" s="18"/>
      <c r="W28" s="16"/>
    </row>
    <row r="29" ht="15.75" customHeight="1">
      <c r="A29" s="27">
        <v>29.0</v>
      </c>
      <c r="B29" s="27">
        <v>9.0</v>
      </c>
      <c r="C29" s="29" t="s">
        <v>148</v>
      </c>
      <c r="D29" s="30">
        <v>46216.0</v>
      </c>
      <c r="E29" s="11">
        <v>1.0</v>
      </c>
      <c r="F29" s="10" t="s">
        <v>32</v>
      </c>
      <c r="G29" s="31" t="s">
        <v>149</v>
      </c>
      <c r="H29" s="31">
        <v>14.0</v>
      </c>
      <c r="I29" s="32" t="s">
        <v>150</v>
      </c>
      <c r="J29" s="31" t="s">
        <v>151</v>
      </c>
      <c r="K29" s="12" t="s">
        <v>36</v>
      </c>
      <c r="L29" s="33" t="s">
        <v>147</v>
      </c>
      <c r="M29" s="33" t="s">
        <v>152</v>
      </c>
      <c r="N29" s="34" t="s">
        <v>43</v>
      </c>
      <c r="O29" s="11"/>
      <c r="P29" s="11"/>
      <c r="Q29" s="14">
        <v>2850.0</v>
      </c>
      <c r="R29" s="16">
        <f t="shared" si="1"/>
        <v>2850</v>
      </c>
      <c r="S29" s="16">
        <f t="shared" si="2"/>
        <v>456</v>
      </c>
      <c r="T29" s="16">
        <f t="shared" si="3"/>
        <v>3306</v>
      </c>
      <c r="U29" s="19" t="s">
        <v>113</v>
      </c>
      <c r="V29" s="18"/>
      <c r="W29" s="16"/>
    </row>
    <row r="30" ht="15.75" customHeight="1">
      <c r="A30" s="27">
        <v>29.0</v>
      </c>
      <c r="B30" s="27">
        <v>10.0</v>
      </c>
      <c r="C30" s="29" t="s">
        <v>155</v>
      </c>
      <c r="D30" s="30">
        <v>46216.0</v>
      </c>
      <c r="E30" s="11">
        <v>1.0</v>
      </c>
      <c r="F30" s="10" t="s">
        <v>32</v>
      </c>
      <c r="G30" s="32" t="s">
        <v>156</v>
      </c>
      <c r="H30" s="31">
        <v>14.0</v>
      </c>
      <c r="I30" s="32" t="s">
        <v>157</v>
      </c>
      <c r="J30" s="31" t="s">
        <v>73</v>
      </c>
      <c r="K30" s="12" t="s">
        <v>36</v>
      </c>
      <c r="L30" s="33" t="s">
        <v>152</v>
      </c>
      <c r="M30" s="33" t="s">
        <v>158</v>
      </c>
      <c r="N30" s="34" t="s">
        <v>43</v>
      </c>
      <c r="O30" s="11"/>
      <c r="P30" s="11"/>
      <c r="Q30" s="14">
        <v>2850.0</v>
      </c>
      <c r="R30" s="16">
        <f t="shared" si="1"/>
        <v>2850</v>
      </c>
      <c r="S30" s="16">
        <f t="shared" si="2"/>
        <v>456</v>
      </c>
      <c r="T30" s="16">
        <f t="shared" si="3"/>
        <v>3306</v>
      </c>
      <c r="U30" s="19" t="s">
        <v>113</v>
      </c>
      <c r="V30" s="18"/>
      <c r="W30" s="16"/>
    </row>
    <row r="31" ht="15.75" customHeight="1">
      <c r="A31" s="27">
        <v>29.0</v>
      </c>
      <c r="B31" s="36">
        <v>1.0</v>
      </c>
      <c r="C31" s="38">
        <v>815.0</v>
      </c>
      <c r="D31" s="39">
        <v>46221.0</v>
      </c>
      <c r="E31" s="36">
        <v>1.0</v>
      </c>
      <c r="F31" s="10" t="s">
        <v>32</v>
      </c>
      <c r="G31" s="36" t="s">
        <v>162</v>
      </c>
      <c r="H31" s="36">
        <v>14.0</v>
      </c>
      <c r="I31" s="36">
        <v>23010.0</v>
      </c>
      <c r="J31" s="36" t="s">
        <v>87</v>
      </c>
      <c r="K31" s="36" t="s">
        <v>36</v>
      </c>
      <c r="L31" s="36" t="s">
        <v>163</v>
      </c>
      <c r="M31" s="36" t="s">
        <v>164</v>
      </c>
      <c r="N31" s="11"/>
      <c r="O31" s="11"/>
      <c r="P31" s="11"/>
      <c r="Q31" s="14">
        <v>3420.0</v>
      </c>
      <c r="R31" s="16">
        <f t="shared" si="1"/>
        <v>3420</v>
      </c>
      <c r="S31" s="16">
        <f t="shared" si="2"/>
        <v>547.2</v>
      </c>
      <c r="T31" s="16">
        <f t="shared" si="3"/>
        <v>3967.2</v>
      </c>
      <c r="U31" s="19" t="s">
        <v>113</v>
      </c>
      <c r="V31" s="18"/>
      <c r="W31" s="16"/>
    </row>
    <row r="32" ht="15.75" customHeight="1">
      <c r="A32" s="27">
        <v>29.0</v>
      </c>
      <c r="B32" s="36">
        <v>2.0</v>
      </c>
      <c r="C32" s="38">
        <v>816.0</v>
      </c>
      <c r="D32" s="39">
        <v>46221.0</v>
      </c>
      <c r="E32" s="36">
        <v>1.0</v>
      </c>
      <c r="F32" s="10" t="s">
        <v>32</v>
      </c>
      <c r="G32" s="36" t="s">
        <v>165</v>
      </c>
      <c r="H32" s="36">
        <v>14.0</v>
      </c>
      <c r="I32" s="36">
        <v>23520.0</v>
      </c>
      <c r="J32" s="36" t="s">
        <v>166</v>
      </c>
      <c r="K32" s="36" t="s">
        <v>36</v>
      </c>
      <c r="L32" s="36" t="s">
        <v>164</v>
      </c>
      <c r="M32" s="36" t="s">
        <v>167</v>
      </c>
      <c r="N32" s="11"/>
      <c r="O32" s="11"/>
      <c r="P32" s="11"/>
      <c r="Q32" s="14">
        <v>3420.0</v>
      </c>
      <c r="R32" s="16">
        <f t="shared" si="1"/>
        <v>3420</v>
      </c>
      <c r="S32" s="16">
        <f t="shared" si="2"/>
        <v>547.2</v>
      </c>
      <c r="T32" s="16">
        <f t="shared" si="3"/>
        <v>3967.2</v>
      </c>
      <c r="U32" s="19" t="s">
        <v>113</v>
      </c>
      <c r="V32" s="18"/>
      <c r="W32" s="16"/>
    </row>
    <row r="33" ht="15.75" customHeight="1">
      <c r="A33" s="27">
        <v>29.0</v>
      </c>
      <c r="B33" s="36">
        <v>3.0</v>
      </c>
      <c r="C33" s="38">
        <v>817.0</v>
      </c>
      <c r="D33" s="39">
        <v>46221.0</v>
      </c>
      <c r="E33" s="36">
        <v>1.0</v>
      </c>
      <c r="F33" s="10" t="s">
        <v>32</v>
      </c>
      <c r="G33" s="36" t="s">
        <v>168</v>
      </c>
      <c r="H33" s="36">
        <v>14.0</v>
      </c>
      <c r="I33" s="36">
        <v>25720.0</v>
      </c>
      <c r="J33" s="36" t="s">
        <v>54</v>
      </c>
      <c r="K33" s="36" t="s">
        <v>36</v>
      </c>
      <c r="L33" s="36" t="s">
        <v>167</v>
      </c>
      <c r="M33" s="36" t="s">
        <v>169</v>
      </c>
      <c r="N33" s="11"/>
      <c r="O33" s="11"/>
      <c r="P33" s="11"/>
      <c r="Q33" s="14">
        <v>3420.0</v>
      </c>
      <c r="R33" s="16">
        <f t="shared" si="1"/>
        <v>3420</v>
      </c>
      <c r="S33" s="16">
        <f t="shared" si="2"/>
        <v>547.2</v>
      </c>
      <c r="T33" s="16">
        <f t="shared" si="3"/>
        <v>3967.2</v>
      </c>
      <c r="U33" s="19" t="s">
        <v>113</v>
      </c>
      <c r="V33" s="18"/>
      <c r="W33" s="16"/>
    </row>
    <row r="34" ht="15.75" customHeight="1">
      <c r="A34" s="27">
        <v>29.0</v>
      </c>
      <c r="B34" s="36">
        <v>4.0</v>
      </c>
      <c r="C34" s="38">
        <v>818.0</v>
      </c>
      <c r="D34" s="39">
        <v>46221.0</v>
      </c>
      <c r="E34" s="36">
        <v>1.0</v>
      </c>
      <c r="F34" s="10" t="s">
        <v>32</v>
      </c>
      <c r="G34" s="36" t="s">
        <v>170</v>
      </c>
      <c r="H34" s="36">
        <v>14.0</v>
      </c>
      <c r="I34" s="36">
        <v>24990.0</v>
      </c>
      <c r="J34" s="36" t="s">
        <v>171</v>
      </c>
      <c r="K34" s="36" t="s">
        <v>36</v>
      </c>
      <c r="L34" s="36" t="s">
        <v>169</v>
      </c>
      <c r="M34" s="36" t="s">
        <v>172</v>
      </c>
      <c r="N34" s="11"/>
      <c r="O34" s="11"/>
      <c r="P34" s="11"/>
      <c r="Q34" s="14">
        <v>3420.0</v>
      </c>
      <c r="R34" s="16">
        <f t="shared" si="1"/>
        <v>3420</v>
      </c>
      <c r="S34" s="16">
        <f t="shared" si="2"/>
        <v>547.2</v>
      </c>
      <c r="T34" s="16">
        <f t="shared" si="3"/>
        <v>3967.2</v>
      </c>
      <c r="U34" s="19" t="s">
        <v>113</v>
      </c>
      <c r="V34" s="18"/>
      <c r="W34" s="16"/>
    </row>
    <row r="35" ht="15.75" customHeight="1">
      <c r="A35" s="27">
        <v>29.0</v>
      </c>
      <c r="B35" s="36">
        <v>5.0</v>
      </c>
      <c r="C35" s="38">
        <v>819.0</v>
      </c>
      <c r="D35" s="39">
        <v>46221.0</v>
      </c>
      <c r="E35" s="36">
        <v>1.0</v>
      </c>
      <c r="F35" s="10" t="s">
        <v>32</v>
      </c>
      <c r="G35" s="36" t="s">
        <v>173</v>
      </c>
      <c r="H35" s="36">
        <v>14.0</v>
      </c>
      <c r="I35" s="36">
        <v>25970.0</v>
      </c>
      <c r="J35" s="19" t="s">
        <v>174</v>
      </c>
      <c r="K35" s="36" t="s">
        <v>36</v>
      </c>
      <c r="L35" s="36" t="s">
        <v>172</v>
      </c>
      <c r="M35" s="36" t="s">
        <v>175</v>
      </c>
      <c r="N35" s="11"/>
      <c r="O35" s="11"/>
      <c r="P35" s="11"/>
      <c r="Q35" s="14">
        <v>3420.0</v>
      </c>
      <c r="R35" s="16">
        <f t="shared" si="1"/>
        <v>3420</v>
      </c>
      <c r="S35" s="16">
        <f t="shared" si="2"/>
        <v>547.2</v>
      </c>
      <c r="T35" s="16">
        <f t="shared" si="3"/>
        <v>3967.2</v>
      </c>
      <c r="U35" s="19" t="s">
        <v>113</v>
      </c>
      <c r="V35" s="18"/>
      <c r="W35" s="16"/>
    </row>
    <row r="36" ht="15.75" customHeight="1">
      <c r="A36" s="27">
        <v>29.0</v>
      </c>
      <c r="B36" s="36">
        <v>6.0</v>
      </c>
      <c r="C36" s="38">
        <v>820.0</v>
      </c>
      <c r="D36" s="39">
        <v>46221.0</v>
      </c>
      <c r="E36" s="36">
        <v>1.0</v>
      </c>
      <c r="F36" s="10" t="s">
        <v>32</v>
      </c>
      <c r="G36" s="36" t="s">
        <v>176</v>
      </c>
      <c r="H36" s="36">
        <v>14.0</v>
      </c>
      <c r="I36" s="36">
        <v>22410.0</v>
      </c>
      <c r="J36" s="36" t="s">
        <v>40</v>
      </c>
      <c r="K36" s="36" t="s">
        <v>36</v>
      </c>
      <c r="L36" s="36" t="s">
        <v>163</v>
      </c>
      <c r="M36" s="36" t="s">
        <v>164</v>
      </c>
      <c r="N36" s="11"/>
      <c r="O36" s="11"/>
      <c r="P36" s="11"/>
      <c r="Q36" s="14">
        <v>3420.0</v>
      </c>
      <c r="R36" s="16">
        <f t="shared" si="1"/>
        <v>3420</v>
      </c>
      <c r="S36" s="16">
        <f t="shared" si="2"/>
        <v>547.2</v>
      </c>
      <c r="T36" s="16">
        <f t="shared" si="3"/>
        <v>3967.2</v>
      </c>
      <c r="U36" s="19" t="s">
        <v>113</v>
      </c>
      <c r="V36" s="18"/>
      <c r="W36" s="16"/>
    </row>
    <row r="37" ht="15.75" customHeight="1">
      <c r="A37" s="27">
        <v>29.0</v>
      </c>
      <c r="B37" s="36">
        <v>7.0</v>
      </c>
      <c r="C37" s="38">
        <v>821.0</v>
      </c>
      <c r="D37" s="39">
        <v>46221.0</v>
      </c>
      <c r="E37" s="36">
        <v>1.0</v>
      </c>
      <c r="F37" s="10" t="s">
        <v>32</v>
      </c>
      <c r="G37" s="36" t="s">
        <v>179</v>
      </c>
      <c r="H37" s="36">
        <v>14.0</v>
      </c>
      <c r="I37" s="36">
        <v>25090.0</v>
      </c>
      <c r="J37" s="36" t="s">
        <v>180</v>
      </c>
      <c r="K37" s="36" t="s">
        <v>36</v>
      </c>
      <c r="L37" s="36" t="s">
        <v>164</v>
      </c>
      <c r="M37" s="36" t="s">
        <v>167</v>
      </c>
      <c r="N37" s="11"/>
      <c r="O37" s="11"/>
      <c r="P37" s="11"/>
      <c r="Q37" s="14">
        <v>3420.0</v>
      </c>
      <c r="R37" s="16">
        <f t="shared" si="1"/>
        <v>3420</v>
      </c>
      <c r="S37" s="16">
        <f t="shared" si="2"/>
        <v>547.2</v>
      </c>
      <c r="T37" s="16">
        <f t="shared" si="3"/>
        <v>3967.2</v>
      </c>
      <c r="U37" s="19" t="s">
        <v>113</v>
      </c>
      <c r="V37" s="18"/>
      <c r="W37" s="16"/>
    </row>
    <row r="38" ht="15.75" customHeight="1">
      <c r="A38" s="27">
        <v>29.0</v>
      </c>
      <c r="B38" s="36">
        <v>8.0</v>
      </c>
      <c r="C38" s="38">
        <v>822.0</v>
      </c>
      <c r="D38" s="39">
        <v>46221.0</v>
      </c>
      <c r="E38" s="36">
        <v>1.0</v>
      </c>
      <c r="F38" s="10" t="s">
        <v>32</v>
      </c>
      <c r="G38" s="36" t="s">
        <v>183</v>
      </c>
      <c r="H38" s="36">
        <v>14.0</v>
      </c>
      <c r="I38" s="36">
        <v>24830.0</v>
      </c>
      <c r="J38" s="36" t="s">
        <v>184</v>
      </c>
      <c r="K38" s="36" t="s">
        <v>36</v>
      </c>
      <c r="L38" s="36" t="s">
        <v>167</v>
      </c>
      <c r="M38" s="36" t="s">
        <v>185</v>
      </c>
      <c r="N38" s="11"/>
      <c r="O38" s="11"/>
      <c r="P38" s="11"/>
      <c r="Q38" s="14">
        <v>3420.0</v>
      </c>
      <c r="R38" s="16">
        <f t="shared" si="1"/>
        <v>3420</v>
      </c>
      <c r="S38" s="16">
        <f t="shared" si="2"/>
        <v>547.2</v>
      </c>
      <c r="T38" s="16">
        <f t="shared" si="3"/>
        <v>3967.2</v>
      </c>
      <c r="U38" s="19" t="s">
        <v>113</v>
      </c>
      <c r="V38" s="18"/>
      <c r="W38" s="16"/>
    </row>
    <row r="39" ht="15.75" customHeight="1">
      <c r="A39" s="27">
        <v>29.0</v>
      </c>
      <c r="B39" s="36">
        <v>9.0</v>
      </c>
      <c r="C39" s="38">
        <v>823.0</v>
      </c>
      <c r="D39" s="39">
        <v>46221.0</v>
      </c>
      <c r="E39" s="36">
        <v>1.0</v>
      </c>
      <c r="F39" s="10" t="s">
        <v>32</v>
      </c>
      <c r="G39" s="36" t="s">
        <v>188</v>
      </c>
      <c r="H39" s="36">
        <v>14.0</v>
      </c>
      <c r="I39" s="36">
        <v>24960.0</v>
      </c>
      <c r="J39" s="36" t="s">
        <v>189</v>
      </c>
      <c r="K39" s="36" t="s">
        <v>36</v>
      </c>
      <c r="L39" s="36" t="s">
        <v>185</v>
      </c>
      <c r="M39" s="36" t="s">
        <v>163</v>
      </c>
      <c r="N39" s="11"/>
      <c r="O39" s="11"/>
      <c r="P39" s="11"/>
      <c r="Q39" s="14">
        <v>3420.0</v>
      </c>
      <c r="R39" s="16">
        <f t="shared" si="1"/>
        <v>3420</v>
      </c>
      <c r="S39" s="16">
        <f t="shared" si="2"/>
        <v>547.2</v>
      </c>
      <c r="T39" s="16">
        <f t="shared" si="3"/>
        <v>3967.2</v>
      </c>
      <c r="U39" s="19" t="s">
        <v>113</v>
      </c>
      <c r="V39" s="18"/>
      <c r="W39" s="16"/>
    </row>
    <row r="40" ht="15.75" customHeight="1">
      <c r="A40" s="27">
        <v>29.0</v>
      </c>
      <c r="B40" s="36">
        <v>10.0</v>
      </c>
      <c r="C40" s="38">
        <v>824.0</v>
      </c>
      <c r="D40" s="39">
        <v>46221.0</v>
      </c>
      <c r="E40" s="36">
        <v>1.0</v>
      </c>
      <c r="F40" s="10" t="s">
        <v>32</v>
      </c>
      <c r="G40" s="36" t="s">
        <v>191</v>
      </c>
      <c r="H40" s="36">
        <v>14.0</v>
      </c>
      <c r="I40" s="36">
        <v>25400.0</v>
      </c>
      <c r="J40" s="36" t="s">
        <v>192</v>
      </c>
      <c r="K40" s="36" t="s">
        <v>36</v>
      </c>
      <c r="L40" s="36" t="s">
        <v>163</v>
      </c>
      <c r="M40" s="36" t="s">
        <v>164</v>
      </c>
      <c r="N40" s="11"/>
      <c r="O40" s="11"/>
      <c r="P40" s="11"/>
      <c r="Q40" s="14">
        <v>3420.0</v>
      </c>
      <c r="R40" s="16">
        <f t="shared" si="1"/>
        <v>3420</v>
      </c>
      <c r="S40" s="16">
        <f t="shared" si="2"/>
        <v>547.2</v>
      </c>
      <c r="T40" s="16">
        <f t="shared" si="3"/>
        <v>3967.2</v>
      </c>
      <c r="U40" s="19" t="s">
        <v>113</v>
      </c>
      <c r="V40" s="18"/>
      <c r="W40" s="16"/>
    </row>
    <row r="41" ht="15.75" customHeight="1">
      <c r="A41" s="27">
        <v>29.0</v>
      </c>
      <c r="B41" s="36">
        <v>11.0</v>
      </c>
      <c r="C41" s="38">
        <v>825.0</v>
      </c>
      <c r="D41" s="39">
        <v>46221.0</v>
      </c>
      <c r="E41" s="36">
        <v>1.0</v>
      </c>
      <c r="F41" s="10" t="s">
        <v>32</v>
      </c>
      <c r="G41" s="36" t="s">
        <v>194</v>
      </c>
      <c r="H41" s="36">
        <v>14.0</v>
      </c>
      <c r="I41" s="36">
        <v>22610.0</v>
      </c>
      <c r="J41" s="36" t="s">
        <v>195</v>
      </c>
      <c r="K41" s="36" t="s">
        <v>36</v>
      </c>
      <c r="L41" s="36" t="s">
        <v>163</v>
      </c>
      <c r="M41" s="36" t="s">
        <v>164</v>
      </c>
      <c r="N41" s="11"/>
      <c r="O41" s="11"/>
      <c r="P41" s="11"/>
      <c r="Q41" s="14">
        <v>3420.0</v>
      </c>
      <c r="R41" s="16">
        <f t="shared" si="1"/>
        <v>3420</v>
      </c>
      <c r="S41" s="16">
        <f t="shared" si="2"/>
        <v>547.2</v>
      </c>
      <c r="T41" s="16">
        <f t="shared" si="3"/>
        <v>3967.2</v>
      </c>
      <c r="U41" s="19" t="s">
        <v>113</v>
      </c>
      <c r="V41" s="18"/>
      <c r="W41" s="16"/>
    </row>
    <row r="42" ht="15.75" customHeight="1">
      <c r="A42" s="27">
        <v>29.0</v>
      </c>
      <c r="B42" s="36">
        <v>12.0</v>
      </c>
      <c r="C42" s="38">
        <v>826.0</v>
      </c>
      <c r="D42" s="39">
        <v>46221.0</v>
      </c>
      <c r="E42" s="36">
        <v>1.0</v>
      </c>
      <c r="F42" s="10" t="s">
        <v>32</v>
      </c>
      <c r="G42" s="36" t="s">
        <v>124</v>
      </c>
      <c r="H42" s="36">
        <v>14.0</v>
      </c>
      <c r="I42" s="36">
        <v>24620.0</v>
      </c>
      <c r="J42" s="36" t="s">
        <v>198</v>
      </c>
      <c r="K42" s="36" t="s">
        <v>36</v>
      </c>
      <c r="L42" s="36" t="s">
        <v>164</v>
      </c>
      <c r="M42" s="36" t="s">
        <v>199</v>
      </c>
      <c r="N42" s="11"/>
      <c r="O42" s="11"/>
      <c r="P42" s="11"/>
      <c r="Q42" s="14">
        <v>3420.0</v>
      </c>
      <c r="R42" s="16">
        <f t="shared" si="1"/>
        <v>3420</v>
      </c>
      <c r="S42" s="16">
        <f t="shared" si="2"/>
        <v>547.2</v>
      </c>
      <c r="T42" s="16">
        <f t="shared" si="3"/>
        <v>3967.2</v>
      </c>
      <c r="U42" s="19" t="s">
        <v>113</v>
      </c>
      <c r="V42" s="18"/>
      <c r="W42" s="16"/>
    </row>
    <row r="43" ht="15.75" customHeight="1">
      <c r="A43" s="27">
        <v>29.0</v>
      </c>
      <c r="B43" s="36">
        <v>13.0</v>
      </c>
      <c r="C43" s="38">
        <v>827.0</v>
      </c>
      <c r="D43" s="39">
        <v>46221.0</v>
      </c>
      <c r="E43" s="36">
        <v>1.0</v>
      </c>
      <c r="F43" s="10" t="s">
        <v>32</v>
      </c>
      <c r="G43" s="36" t="s">
        <v>202</v>
      </c>
      <c r="H43" s="36">
        <v>14.0</v>
      </c>
      <c r="I43" s="36">
        <v>32110.0</v>
      </c>
      <c r="J43" s="36" t="s">
        <v>203</v>
      </c>
      <c r="K43" s="36" t="s">
        <v>36</v>
      </c>
      <c r="L43" s="36" t="s">
        <v>199</v>
      </c>
      <c r="M43" s="36" t="s">
        <v>204</v>
      </c>
      <c r="N43" s="11"/>
      <c r="O43" s="11"/>
      <c r="P43" s="11"/>
      <c r="Q43" s="14">
        <v>3420.0</v>
      </c>
      <c r="R43" s="16">
        <f t="shared" si="1"/>
        <v>3420</v>
      </c>
      <c r="S43" s="16">
        <f t="shared" si="2"/>
        <v>547.2</v>
      </c>
      <c r="T43" s="16">
        <f t="shared" si="3"/>
        <v>3967.2</v>
      </c>
      <c r="U43" s="19" t="s">
        <v>113</v>
      </c>
      <c r="V43" s="18"/>
      <c r="W43" s="16"/>
    </row>
    <row r="44" ht="15.75" customHeight="1">
      <c r="A44" s="27">
        <v>29.0</v>
      </c>
      <c r="B44" s="36">
        <v>14.0</v>
      </c>
      <c r="C44" s="38">
        <v>828.0</v>
      </c>
      <c r="D44" s="39">
        <v>46221.0</v>
      </c>
      <c r="E44" s="36">
        <v>1.0</v>
      </c>
      <c r="F44" s="10" t="s">
        <v>32</v>
      </c>
      <c r="G44" s="36" t="s">
        <v>205</v>
      </c>
      <c r="H44" s="36">
        <v>14.0</v>
      </c>
      <c r="I44" s="36">
        <v>23780.0</v>
      </c>
      <c r="J44" s="36" t="s">
        <v>206</v>
      </c>
      <c r="K44" s="36" t="s">
        <v>36</v>
      </c>
      <c r="L44" s="36" t="s">
        <v>169</v>
      </c>
      <c r="M44" s="36" t="s">
        <v>204</v>
      </c>
      <c r="N44" s="11"/>
      <c r="O44" s="11"/>
      <c r="P44" s="11"/>
      <c r="Q44" s="14">
        <v>3420.0</v>
      </c>
      <c r="R44" s="16">
        <f t="shared" si="1"/>
        <v>3420</v>
      </c>
      <c r="S44" s="16">
        <f t="shared" si="2"/>
        <v>547.2</v>
      </c>
      <c r="T44" s="16">
        <f t="shared" si="3"/>
        <v>3967.2</v>
      </c>
      <c r="U44" s="19" t="s">
        <v>113</v>
      </c>
      <c r="V44" s="18"/>
      <c r="W44" s="16"/>
    </row>
    <row r="45" ht="15.75" customHeight="1">
      <c r="A45" s="27">
        <v>29.0</v>
      </c>
      <c r="B45" s="36">
        <v>15.0</v>
      </c>
      <c r="C45" s="38">
        <v>829.0</v>
      </c>
      <c r="D45" s="39">
        <v>46221.0</v>
      </c>
      <c r="E45" s="36">
        <v>1.0</v>
      </c>
      <c r="F45" s="10" t="s">
        <v>32</v>
      </c>
      <c r="G45" s="36" t="s">
        <v>208</v>
      </c>
      <c r="H45" s="36">
        <v>14.0</v>
      </c>
      <c r="I45" s="36">
        <v>22420.0</v>
      </c>
      <c r="J45" s="36" t="s">
        <v>68</v>
      </c>
      <c r="K45" s="36" t="s">
        <v>36</v>
      </c>
      <c r="L45" s="36" t="s">
        <v>204</v>
      </c>
      <c r="M45" s="36" t="s">
        <v>209</v>
      </c>
      <c r="N45" s="11"/>
      <c r="O45" s="11"/>
      <c r="P45" s="11"/>
      <c r="Q45" s="14">
        <v>3420.0</v>
      </c>
      <c r="R45" s="16">
        <f t="shared" si="1"/>
        <v>3420</v>
      </c>
      <c r="S45" s="16">
        <f t="shared" si="2"/>
        <v>547.2</v>
      </c>
      <c r="T45" s="16">
        <f t="shared" si="3"/>
        <v>3967.2</v>
      </c>
      <c r="U45" s="19" t="s">
        <v>113</v>
      </c>
      <c r="V45" s="18"/>
      <c r="W45" s="16"/>
    </row>
    <row r="46" ht="15.75" customHeight="1">
      <c r="A46" s="27">
        <v>29.0</v>
      </c>
      <c r="B46" s="36">
        <v>1.0</v>
      </c>
      <c r="C46" s="38">
        <v>830.0</v>
      </c>
      <c r="D46" s="39">
        <v>46221.0</v>
      </c>
      <c r="E46" s="36">
        <v>1.0</v>
      </c>
      <c r="F46" s="10" t="s">
        <v>32</v>
      </c>
      <c r="G46" s="36" t="s">
        <v>205</v>
      </c>
      <c r="H46" s="36">
        <v>14.0</v>
      </c>
      <c r="I46" s="36">
        <v>25850.0</v>
      </c>
      <c r="J46" s="36" t="s">
        <v>206</v>
      </c>
      <c r="K46" s="36" t="s">
        <v>36</v>
      </c>
      <c r="L46" s="36" t="s">
        <v>209</v>
      </c>
      <c r="M46" s="36" t="s">
        <v>175</v>
      </c>
      <c r="N46" s="11"/>
      <c r="O46" s="11"/>
      <c r="P46" s="11"/>
      <c r="Q46" s="14">
        <v>3420.0</v>
      </c>
      <c r="R46" s="16">
        <f t="shared" si="1"/>
        <v>3420</v>
      </c>
      <c r="S46" s="16">
        <f t="shared" si="2"/>
        <v>547.2</v>
      </c>
      <c r="T46" s="16">
        <f t="shared" si="3"/>
        <v>3967.2</v>
      </c>
      <c r="U46" s="19" t="s">
        <v>113</v>
      </c>
      <c r="V46" s="18"/>
      <c r="W46" s="16"/>
    </row>
    <row r="47" ht="15.75" customHeight="1">
      <c r="A47" s="27">
        <v>29.0</v>
      </c>
      <c r="B47" s="36">
        <v>2.0</v>
      </c>
      <c r="C47" s="54">
        <v>831.0</v>
      </c>
      <c r="D47" s="39">
        <v>46221.0</v>
      </c>
      <c r="E47" s="36">
        <v>1.0</v>
      </c>
      <c r="F47" s="10" t="s">
        <v>32</v>
      </c>
      <c r="G47" s="19" t="s">
        <v>211</v>
      </c>
      <c r="H47" s="36">
        <v>14.0</v>
      </c>
      <c r="I47" s="19">
        <v>25220.0</v>
      </c>
      <c r="J47" s="19" t="s">
        <v>78</v>
      </c>
      <c r="K47" s="19" t="s">
        <v>36</v>
      </c>
      <c r="L47" s="19" t="s">
        <v>175</v>
      </c>
      <c r="M47" s="19" t="s">
        <v>212</v>
      </c>
      <c r="N47" s="11"/>
      <c r="O47" s="11"/>
      <c r="P47" s="11"/>
      <c r="Q47" s="14">
        <v>3420.0</v>
      </c>
      <c r="R47" s="16">
        <f t="shared" si="1"/>
        <v>3420</v>
      </c>
      <c r="S47" s="16">
        <f t="shared" si="2"/>
        <v>547.2</v>
      </c>
      <c r="T47" s="16">
        <f t="shared" si="3"/>
        <v>3967.2</v>
      </c>
      <c r="U47" s="19" t="s">
        <v>213</v>
      </c>
      <c r="V47" s="18"/>
      <c r="W47" s="16"/>
    </row>
    <row r="48" ht="15.75" customHeight="1">
      <c r="A48" s="27">
        <v>29.0</v>
      </c>
      <c r="B48" s="36">
        <v>3.0</v>
      </c>
      <c r="C48" s="55">
        <v>832.0</v>
      </c>
      <c r="D48" s="39">
        <v>46221.0</v>
      </c>
      <c r="E48" s="36">
        <v>1.0</v>
      </c>
      <c r="F48" s="10" t="s">
        <v>32</v>
      </c>
      <c r="G48" s="56" t="s">
        <v>170</v>
      </c>
      <c r="H48" s="36">
        <v>14.0</v>
      </c>
      <c r="I48" s="56">
        <v>25800.0</v>
      </c>
      <c r="J48" s="56" t="s">
        <v>171</v>
      </c>
      <c r="K48" s="19" t="s">
        <v>36</v>
      </c>
      <c r="L48" s="56" t="s">
        <v>212</v>
      </c>
      <c r="M48" s="56" t="s">
        <v>214</v>
      </c>
      <c r="N48" s="11"/>
      <c r="O48" s="11"/>
      <c r="P48" s="11"/>
      <c r="Q48" s="14">
        <v>3420.0</v>
      </c>
      <c r="R48" s="16">
        <f t="shared" si="1"/>
        <v>3420</v>
      </c>
      <c r="S48" s="16">
        <f t="shared" si="2"/>
        <v>547.2</v>
      </c>
      <c r="T48" s="16">
        <f t="shared" si="3"/>
        <v>3967.2</v>
      </c>
      <c r="U48" s="19" t="s">
        <v>113</v>
      </c>
      <c r="V48" s="18"/>
      <c r="W48" s="16"/>
    </row>
    <row r="49" ht="15.75" customHeight="1">
      <c r="A49" s="27">
        <v>29.0</v>
      </c>
      <c r="B49" s="36">
        <v>4.0</v>
      </c>
      <c r="C49" s="55">
        <v>833.0</v>
      </c>
      <c r="D49" s="39">
        <v>46221.0</v>
      </c>
      <c r="E49" s="36">
        <v>1.0</v>
      </c>
      <c r="F49" s="10" t="s">
        <v>32</v>
      </c>
      <c r="G49" s="56" t="s">
        <v>165</v>
      </c>
      <c r="H49" s="36">
        <v>14.0</v>
      </c>
      <c r="I49" s="56">
        <v>23720.0</v>
      </c>
      <c r="J49" s="56" t="s">
        <v>72</v>
      </c>
      <c r="K49" s="19" t="s">
        <v>36</v>
      </c>
      <c r="L49" s="56" t="s">
        <v>214</v>
      </c>
      <c r="M49" s="56" t="s">
        <v>215</v>
      </c>
      <c r="N49" s="11"/>
      <c r="O49" s="11"/>
      <c r="P49" s="11"/>
      <c r="Q49" s="14">
        <v>3420.0</v>
      </c>
      <c r="R49" s="16">
        <f t="shared" si="1"/>
        <v>3420</v>
      </c>
      <c r="S49" s="16">
        <f t="shared" si="2"/>
        <v>547.2</v>
      </c>
      <c r="T49" s="16">
        <f t="shared" si="3"/>
        <v>3967.2</v>
      </c>
      <c r="U49" s="19" t="s">
        <v>113</v>
      </c>
      <c r="V49" s="16"/>
      <c r="W49" s="16"/>
    </row>
    <row r="50" ht="15.75" customHeight="1">
      <c r="A50" s="27">
        <v>29.0</v>
      </c>
      <c r="B50" s="36">
        <v>5.0</v>
      </c>
      <c r="C50" s="55">
        <v>834.0</v>
      </c>
      <c r="D50" s="39">
        <v>46221.0</v>
      </c>
      <c r="E50" s="36">
        <v>1.0</v>
      </c>
      <c r="F50" s="10" t="s">
        <v>32</v>
      </c>
      <c r="G50" s="56" t="s">
        <v>173</v>
      </c>
      <c r="H50" s="36">
        <v>14.0</v>
      </c>
      <c r="I50" s="56">
        <v>25010.0</v>
      </c>
      <c r="J50" s="56" t="s">
        <v>174</v>
      </c>
      <c r="K50" s="19" t="s">
        <v>36</v>
      </c>
      <c r="L50" s="56" t="s">
        <v>215</v>
      </c>
      <c r="M50" s="56" t="s">
        <v>216</v>
      </c>
      <c r="N50" s="11"/>
      <c r="O50" s="11"/>
      <c r="P50" s="11"/>
      <c r="Q50" s="14">
        <v>3420.0</v>
      </c>
      <c r="R50" s="16">
        <f t="shared" si="1"/>
        <v>3420</v>
      </c>
      <c r="S50" s="16">
        <f t="shared" si="2"/>
        <v>547.2</v>
      </c>
      <c r="T50" s="16">
        <f t="shared" si="3"/>
        <v>3967.2</v>
      </c>
      <c r="U50" s="19" t="s">
        <v>213</v>
      </c>
      <c r="V50" s="16"/>
      <c r="W50" s="16"/>
    </row>
    <row r="51" ht="15.75" customHeight="1">
      <c r="A51" s="27">
        <v>29.0</v>
      </c>
      <c r="B51" s="36">
        <v>6.0</v>
      </c>
      <c r="C51" s="55">
        <v>835.0</v>
      </c>
      <c r="D51" s="39">
        <v>46221.0</v>
      </c>
      <c r="E51" s="36">
        <v>1.0</v>
      </c>
      <c r="F51" s="10" t="s">
        <v>32</v>
      </c>
      <c r="G51" s="56" t="s">
        <v>176</v>
      </c>
      <c r="H51" s="36">
        <v>14.0</v>
      </c>
      <c r="I51" s="56">
        <v>23250.0</v>
      </c>
      <c r="J51" s="56" t="s">
        <v>40</v>
      </c>
      <c r="K51" s="19" t="s">
        <v>36</v>
      </c>
      <c r="L51" s="56" t="s">
        <v>216</v>
      </c>
      <c r="M51" s="56" t="s">
        <v>217</v>
      </c>
      <c r="N51" s="11"/>
      <c r="O51" s="11"/>
      <c r="P51" s="11"/>
      <c r="Q51" s="14">
        <v>3420.0</v>
      </c>
      <c r="R51" s="16">
        <f t="shared" si="1"/>
        <v>3420</v>
      </c>
      <c r="S51" s="16">
        <f t="shared" si="2"/>
        <v>547.2</v>
      </c>
      <c r="T51" s="16">
        <f t="shared" si="3"/>
        <v>3967.2</v>
      </c>
      <c r="U51" s="19" t="s">
        <v>213</v>
      </c>
      <c r="V51" s="16"/>
      <c r="W51" s="16"/>
    </row>
    <row r="52" ht="15.75" customHeight="1">
      <c r="A52" s="27">
        <v>29.0</v>
      </c>
      <c r="B52" s="36">
        <v>7.0</v>
      </c>
      <c r="C52" s="55">
        <v>836.0</v>
      </c>
      <c r="D52" s="39">
        <v>46221.0</v>
      </c>
      <c r="E52" s="36">
        <v>1.0</v>
      </c>
      <c r="F52" s="10" t="s">
        <v>32</v>
      </c>
      <c r="G52" s="56" t="s">
        <v>218</v>
      </c>
      <c r="H52" s="36">
        <v>14.0</v>
      </c>
      <c r="I52" s="56">
        <v>25520.0</v>
      </c>
      <c r="J52" s="56" t="s">
        <v>219</v>
      </c>
      <c r="K52" s="19" t="s">
        <v>36</v>
      </c>
      <c r="L52" s="56" t="s">
        <v>217</v>
      </c>
      <c r="M52" s="56" t="s">
        <v>220</v>
      </c>
      <c r="N52" s="11"/>
      <c r="O52" s="11"/>
      <c r="P52" s="11"/>
      <c r="Q52" s="14">
        <v>3420.0</v>
      </c>
      <c r="R52" s="16">
        <f t="shared" si="1"/>
        <v>3420</v>
      </c>
      <c r="S52" s="16">
        <f t="shared" si="2"/>
        <v>547.2</v>
      </c>
      <c r="T52" s="16">
        <f t="shared" si="3"/>
        <v>3967.2</v>
      </c>
      <c r="U52" s="19" t="s">
        <v>113</v>
      </c>
      <c r="V52" s="16"/>
      <c r="W52" s="16"/>
    </row>
    <row r="53" ht="15.75" customHeight="1">
      <c r="A53" s="27">
        <v>29.0</v>
      </c>
      <c r="B53" s="36">
        <v>8.0</v>
      </c>
      <c r="C53" s="55">
        <v>837.0</v>
      </c>
      <c r="D53" s="39">
        <v>46221.0</v>
      </c>
      <c r="E53" s="36">
        <v>1.0</v>
      </c>
      <c r="F53" s="10" t="s">
        <v>32</v>
      </c>
      <c r="G53" s="56" t="s">
        <v>124</v>
      </c>
      <c r="H53" s="36">
        <v>14.0</v>
      </c>
      <c r="I53" s="56">
        <v>24820.0</v>
      </c>
      <c r="J53" s="56" t="s">
        <v>198</v>
      </c>
      <c r="K53" s="19" t="s">
        <v>36</v>
      </c>
      <c r="L53" s="56" t="s">
        <v>220</v>
      </c>
      <c r="M53" s="56" t="s">
        <v>221</v>
      </c>
      <c r="N53" s="11"/>
      <c r="O53" s="11"/>
      <c r="P53" s="11"/>
      <c r="Q53" s="14">
        <v>3420.0</v>
      </c>
      <c r="R53" s="16">
        <f t="shared" si="1"/>
        <v>3420</v>
      </c>
      <c r="S53" s="16">
        <f t="shared" si="2"/>
        <v>547.2</v>
      </c>
      <c r="T53" s="16">
        <f t="shared" si="3"/>
        <v>3967.2</v>
      </c>
      <c r="U53" s="19" t="s">
        <v>213</v>
      </c>
      <c r="V53" s="16"/>
      <c r="W53" s="16"/>
    </row>
    <row r="54" ht="15.75" customHeight="1">
      <c r="A54" s="27">
        <v>29.0</v>
      </c>
      <c r="B54" s="36">
        <v>9.0</v>
      </c>
      <c r="C54" s="55">
        <v>838.0</v>
      </c>
      <c r="D54" s="39">
        <v>46221.0</v>
      </c>
      <c r="E54" s="36">
        <v>1.0</v>
      </c>
      <c r="F54" s="10" t="s">
        <v>32</v>
      </c>
      <c r="G54" s="56" t="s">
        <v>191</v>
      </c>
      <c r="H54" s="36">
        <v>14.0</v>
      </c>
      <c r="I54" s="56">
        <v>25020.0</v>
      </c>
      <c r="J54" s="56" t="s">
        <v>192</v>
      </c>
      <c r="K54" s="19" t="s">
        <v>36</v>
      </c>
      <c r="L54" s="56" t="s">
        <v>221</v>
      </c>
      <c r="M54" s="56" t="s">
        <v>222</v>
      </c>
      <c r="N54" s="11"/>
      <c r="O54" s="11"/>
      <c r="P54" s="11"/>
      <c r="Q54" s="14">
        <v>3420.0</v>
      </c>
      <c r="R54" s="16">
        <f t="shared" si="1"/>
        <v>3420</v>
      </c>
      <c r="S54" s="16">
        <f t="shared" si="2"/>
        <v>547.2</v>
      </c>
      <c r="T54" s="16">
        <f t="shared" si="3"/>
        <v>3967.2</v>
      </c>
      <c r="U54" s="19" t="s">
        <v>113</v>
      </c>
      <c r="V54" s="16"/>
      <c r="W54" s="16"/>
    </row>
    <row r="55" ht="15.75" customHeight="1">
      <c r="A55" s="27">
        <v>29.0</v>
      </c>
      <c r="B55" s="36">
        <v>10.0</v>
      </c>
      <c r="C55" s="55">
        <v>839.0</v>
      </c>
      <c r="D55" s="39">
        <v>46221.0</v>
      </c>
      <c r="E55" s="36">
        <v>1.0</v>
      </c>
      <c r="F55" s="10" t="s">
        <v>32</v>
      </c>
      <c r="G55" s="56" t="s">
        <v>179</v>
      </c>
      <c r="H55" s="36">
        <v>14.0</v>
      </c>
      <c r="I55" s="56">
        <v>24990.0</v>
      </c>
      <c r="J55" s="56" t="s">
        <v>180</v>
      </c>
      <c r="K55" s="19" t="s">
        <v>36</v>
      </c>
      <c r="L55" s="56" t="s">
        <v>175</v>
      </c>
      <c r="M55" s="56" t="s">
        <v>212</v>
      </c>
      <c r="N55" s="11"/>
      <c r="O55" s="11"/>
      <c r="P55" s="11"/>
      <c r="Q55" s="14">
        <v>3420.0</v>
      </c>
      <c r="R55" s="16">
        <f t="shared" si="1"/>
        <v>3420</v>
      </c>
      <c r="S55" s="16">
        <f t="shared" si="2"/>
        <v>547.2</v>
      </c>
      <c r="T55" s="16">
        <f t="shared" si="3"/>
        <v>3967.2</v>
      </c>
      <c r="U55" s="19" t="s">
        <v>113</v>
      </c>
      <c r="V55" s="16"/>
      <c r="W55" s="16"/>
    </row>
    <row r="56" ht="15.75" customHeight="1">
      <c r="A56" s="27">
        <v>29.0</v>
      </c>
      <c r="B56" s="36">
        <v>11.0</v>
      </c>
      <c r="C56" s="55">
        <v>840.0</v>
      </c>
      <c r="D56" s="39">
        <v>46221.0</v>
      </c>
      <c r="E56" s="36">
        <v>1.0</v>
      </c>
      <c r="F56" s="10" t="s">
        <v>32</v>
      </c>
      <c r="G56" s="56" t="s">
        <v>188</v>
      </c>
      <c r="H56" s="36">
        <v>14.0</v>
      </c>
      <c r="I56" s="56">
        <v>25190.0</v>
      </c>
      <c r="J56" s="56" t="s">
        <v>189</v>
      </c>
      <c r="K56" s="19" t="s">
        <v>36</v>
      </c>
      <c r="L56" s="56" t="s">
        <v>212</v>
      </c>
      <c r="M56" s="56" t="s">
        <v>214</v>
      </c>
      <c r="N56" s="11"/>
      <c r="O56" s="11"/>
      <c r="P56" s="11"/>
      <c r="Q56" s="14">
        <v>3420.0</v>
      </c>
      <c r="R56" s="16">
        <f t="shared" si="1"/>
        <v>3420</v>
      </c>
      <c r="S56" s="16">
        <f t="shared" si="2"/>
        <v>547.2</v>
      </c>
      <c r="T56" s="16">
        <f t="shared" si="3"/>
        <v>3967.2</v>
      </c>
      <c r="U56" s="19" t="s">
        <v>113</v>
      </c>
      <c r="V56" s="16"/>
      <c r="W56" s="16"/>
    </row>
    <row r="57" ht="15.75" customHeight="1">
      <c r="A57" s="27">
        <v>29.0</v>
      </c>
      <c r="B57" s="36">
        <v>12.0</v>
      </c>
      <c r="C57" s="55">
        <v>841.0</v>
      </c>
      <c r="D57" s="39">
        <v>46221.0</v>
      </c>
      <c r="E57" s="36">
        <v>1.0</v>
      </c>
      <c r="F57" s="10" t="s">
        <v>32</v>
      </c>
      <c r="G57" s="56" t="s">
        <v>223</v>
      </c>
      <c r="H57" s="36">
        <v>14.0</v>
      </c>
      <c r="I57" s="56">
        <v>23780.0</v>
      </c>
      <c r="J57" s="56" t="s">
        <v>224</v>
      </c>
      <c r="K57" s="19" t="s">
        <v>36</v>
      </c>
      <c r="L57" s="56" t="s">
        <v>214</v>
      </c>
      <c r="M57" s="56" t="s">
        <v>215</v>
      </c>
      <c r="N57" s="11"/>
      <c r="O57" s="11"/>
      <c r="P57" s="11"/>
      <c r="Q57" s="14">
        <v>3420.0</v>
      </c>
      <c r="R57" s="16">
        <f t="shared" si="1"/>
        <v>3420</v>
      </c>
      <c r="S57" s="16">
        <f t="shared" si="2"/>
        <v>547.2</v>
      </c>
      <c r="T57" s="16">
        <f t="shared" si="3"/>
        <v>3967.2</v>
      </c>
      <c r="U57" s="19" t="s">
        <v>213</v>
      </c>
      <c r="V57" s="18"/>
      <c r="W57" s="16"/>
    </row>
    <row r="58" ht="15.75" customHeight="1">
      <c r="A58" s="27">
        <v>29.0</v>
      </c>
      <c r="B58" s="36">
        <v>13.0</v>
      </c>
      <c r="C58" s="55">
        <v>842.0</v>
      </c>
      <c r="D58" s="39">
        <v>46221.0</v>
      </c>
      <c r="E58" s="36">
        <v>1.0</v>
      </c>
      <c r="F58" s="10" t="s">
        <v>32</v>
      </c>
      <c r="G58" s="56" t="s">
        <v>225</v>
      </c>
      <c r="H58" s="36">
        <v>14.0</v>
      </c>
      <c r="I58" s="56">
        <v>26790.0</v>
      </c>
      <c r="J58" s="56" t="s">
        <v>226</v>
      </c>
      <c r="K58" s="19" t="s">
        <v>36</v>
      </c>
      <c r="L58" s="56" t="s">
        <v>215</v>
      </c>
      <c r="M58" s="56" t="s">
        <v>227</v>
      </c>
      <c r="N58" s="11"/>
      <c r="O58" s="11"/>
      <c r="P58" s="11"/>
      <c r="Q58" s="14">
        <v>3624.0</v>
      </c>
      <c r="R58" s="16">
        <f t="shared" si="1"/>
        <v>3624</v>
      </c>
      <c r="S58" s="16">
        <f t="shared" si="2"/>
        <v>579.84</v>
      </c>
      <c r="T58" s="16">
        <f t="shared" si="3"/>
        <v>4203.84</v>
      </c>
      <c r="U58" s="19" t="s">
        <v>213</v>
      </c>
      <c r="V58" s="18"/>
      <c r="W58" s="16"/>
    </row>
    <row r="59" ht="15.75" customHeight="1">
      <c r="A59" s="27">
        <v>29.0</v>
      </c>
      <c r="B59" s="36">
        <v>14.0</v>
      </c>
      <c r="C59" s="55">
        <v>843.0</v>
      </c>
      <c r="D59" s="39">
        <v>46221.0</v>
      </c>
      <c r="E59" s="36">
        <v>1.0</v>
      </c>
      <c r="F59" s="10" t="s">
        <v>32</v>
      </c>
      <c r="G59" s="56" t="s">
        <v>228</v>
      </c>
      <c r="H59" s="36">
        <v>14.0</v>
      </c>
      <c r="I59" s="56">
        <v>26210.0</v>
      </c>
      <c r="J59" s="56" t="s">
        <v>184</v>
      </c>
      <c r="K59" s="19" t="s">
        <v>36</v>
      </c>
      <c r="L59" s="56" t="s">
        <v>227</v>
      </c>
      <c r="M59" s="56" t="s">
        <v>229</v>
      </c>
      <c r="N59" s="11"/>
      <c r="O59" s="11"/>
      <c r="P59" s="11"/>
      <c r="Q59" s="14">
        <v>3420.0</v>
      </c>
      <c r="R59" s="16">
        <f t="shared" si="1"/>
        <v>3420</v>
      </c>
      <c r="S59" s="16">
        <f t="shared" si="2"/>
        <v>547.2</v>
      </c>
      <c r="T59" s="16">
        <f t="shared" si="3"/>
        <v>3967.2</v>
      </c>
      <c r="U59" s="19" t="s">
        <v>113</v>
      </c>
      <c r="V59" s="18"/>
      <c r="W59" s="16"/>
    </row>
    <row r="60" ht="15.75" customHeight="1">
      <c r="A60" s="27">
        <v>29.0</v>
      </c>
      <c r="B60" s="36">
        <v>15.0</v>
      </c>
      <c r="C60" s="55">
        <v>844.0</v>
      </c>
      <c r="D60" s="39">
        <v>46221.0</v>
      </c>
      <c r="E60" s="36">
        <v>1.0</v>
      </c>
      <c r="F60" s="10" t="s">
        <v>32</v>
      </c>
      <c r="G60" s="56" t="s">
        <v>109</v>
      </c>
      <c r="H60" s="36">
        <v>14.0</v>
      </c>
      <c r="I60" s="56">
        <v>24830.0</v>
      </c>
      <c r="J60" s="56" t="s">
        <v>35</v>
      </c>
      <c r="K60" s="19" t="s">
        <v>36</v>
      </c>
      <c r="L60" s="56" t="s">
        <v>229</v>
      </c>
      <c r="M60" s="56" t="s">
        <v>231</v>
      </c>
      <c r="N60" s="11"/>
      <c r="O60" s="11"/>
      <c r="P60" s="11"/>
      <c r="Q60" s="14">
        <v>3420.0</v>
      </c>
      <c r="R60" s="16">
        <f t="shared" si="1"/>
        <v>3420</v>
      </c>
      <c r="S60" s="16">
        <f t="shared" si="2"/>
        <v>547.2</v>
      </c>
      <c r="T60" s="16">
        <f t="shared" si="3"/>
        <v>3967.2</v>
      </c>
      <c r="U60" s="19" t="s">
        <v>213</v>
      </c>
      <c r="V60" s="16"/>
      <c r="W60" s="16"/>
    </row>
    <row r="61" ht="15.75" customHeight="1">
      <c r="A61" s="19">
        <v>30.0</v>
      </c>
      <c r="B61" s="19">
        <v>1.0</v>
      </c>
      <c r="C61" s="55">
        <v>524.0</v>
      </c>
      <c r="D61" s="30">
        <v>46225.0</v>
      </c>
      <c r="E61" s="19">
        <v>1.0</v>
      </c>
      <c r="F61" s="10" t="s">
        <v>32</v>
      </c>
      <c r="G61" s="56" t="s">
        <v>165</v>
      </c>
      <c r="H61" s="19">
        <v>14.0</v>
      </c>
      <c r="I61" s="56">
        <v>24120.0</v>
      </c>
      <c r="J61" s="56" t="s">
        <v>72</v>
      </c>
      <c r="K61" s="19" t="s">
        <v>36</v>
      </c>
      <c r="L61" s="56" t="s">
        <v>232</v>
      </c>
      <c r="M61" s="56" t="s">
        <v>233</v>
      </c>
      <c r="N61" s="62"/>
      <c r="O61" s="62"/>
      <c r="P61" s="11"/>
      <c r="Q61" s="14">
        <v>3420.0</v>
      </c>
      <c r="R61" s="16">
        <f t="shared" si="1"/>
        <v>3420</v>
      </c>
      <c r="S61" s="16">
        <f t="shared" si="2"/>
        <v>547.2</v>
      </c>
      <c r="T61" s="16">
        <f t="shared" si="3"/>
        <v>3967.2</v>
      </c>
      <c r="U61" s="19" t="s">
        <v>213</v>
      </c>
      <c r="V61" s="16"/>
      <c r="W61" s="16"/>
    </row>
    <row r="62" ht="15.75" customHeight="1">
      <c r="A62" s="19">
        <v>30.0</v>
      </c>
      <c r="B62" s="19">
        <v>2.0</v>
      </c>
      <c r="C62" s="55">
        <v>525.0</v>
      </c>
      <c r="D62" s="30">
        <v>46225.0</v>
      </c>
      <c r="E62" s="19">
        <v>1.0</v>
      </c>
      <c r="F62" s="10" t="s">
        <v>32</v>
      </c>
      <c r="G62" s="56" t="s">
        <v>205</v>
      </c>
      <c r="H62" s="19">
        <v>14.0</v>
      </c>
      <c r="I62" s="56">
        <v>24610.0</v>
      </c>
      <c r="J62" s="56" t="s">
        <v>84</v>
      </c>
      <c r="K62" s="19" t="s">
        <v>36</v>
      </c>
      <c r="L62" s="56" t="s">
        <v>233</v>
      </c>
      <c r="M62" s="56" t="s">
        <v>237</v>
      </c>
      <c r="N62" s="62"/>
      <c r="O62" s="62"/>
      <c r="P62" s="11"/>
      <c r="Q62" s="63">
        <v>3420.0</v>
      </c>
      <c r="R62" s="16">
        <f t="shared" si="1"/>
        <v>3420</v>
      </c>
      <c r="S62" s="16">
        <f t="shared" si="2"/>
        <v>547.2</v>
      </c>
      <c r="T62" s="16">
        <f t="shared" si="3"/>
        <v>3967.2</v>
      </c>
      <c r="U62" s="19" t="s">
        <v>113</v>
      </c>
      <c r="V62" s="16"/>
      <c r="W62" s="16"/>
    </row>
    <row r="63" ht="15.75" customHeight="1">
      <c r="A63" s="19">
        <v>30.0</v>
      </c>
      <c r="B63" s="19">
        <v>3.0</v>
      </c>
      <c r="C63" s="55">
        <v>526.0</v>
      </c>
      <c r="D63" s="30">
        <v>46225.0</v>
      </c>
      <c r="E63" s="19">
        <v>1.0</v>
      </c>
      <c r="F63" s="10" t="s">
        <v>32</v>
      </c>
      <c r="G63" s="56" t="s">
        <v>173</v>
      </c>
      <c r="H63" s="19">
        <v>14.0</v>
      </c>
      <c r="I63" s="56">
        <v>25970.0</v>
      </c>
      <c r="J63" s="56" t="s">
        <v>104</v>
      </c>
      <c r="K63" s="19" t="s">
        <v>36</v>
      </c>
      <c r="L63" s="56" t="s">
        <v>237</v>
      </c>
      <c r="M63" s="56" t="s">
        <v>238</v>
      </c>
      <c r="N63" s="62"/>
      <c r="O63" s="62"/>
      <c r="P63" s="19"/>
      <c r="Q63" s="14">
        <v>3420.0</v>
      </c>
      <c r="R63" s="16">
        <f t="shared" si="1"/>
        <v>3420</v>
      </c>
      <c r="S63" s="16">
        <f t="shared" si="2"/>
        <v>547.2</v>
      </c>
      <c r="T63" s="16">
        <f t="shared" si="3"/>
        <v>3967.2</v>
      </c>
      <c r="U63" s="19" t="s">
        <v>213</v>
      </c>
      <c r="V63" s="16"/>
      <c r="W63" s="16"/>
    </row>
    <row r="64" ht="15.75" customHeight="1">
      <c r="A64" s="19">
        <v>30.0</v>
      </c>
      <c r="B64" s="19">
        <v>4.0</v>
      </c>
      <c r="C64" s="55">
        <v>527.0</v>
      </c>
      <c r="D64" s="30">
        <v>46225.0</v>
      </c>
      <c r="E64" s="19">
        <v>1.0</v>
      </c>
      <c r="F64" s="10" t="s">
        <v>32</v>
      </c>
      <c r="G64" s="56" t="s">
        <v>239</v>
      </c>
      <c r="H64" s="19">
        <v>14.0</v>
      </c>
      <c r="I64" s="56">
        <v>22230.0</v>
      </c>
      <c r="J64" s="56" t="s">
        <v>40</v>
      </c>
      <c r="K64" s="19" t="s">
        <v>36</v>
      </c>
      <c r="L64" s="56" t="s">
        <v>238</v>
      </c>
      <c r="M64" s="56" t="s">
        <v>240</v>
      </c>
      <c r="N64" s="62"/>
      <c r="O64" s="62"/>
      <c r="P64" s="11"/>
      <c r="Q64" s="14">
        <v>3420.0</v>
      </c>
      <c r="R64" s="16">
        <f t="shared" si="1"/>
        <v>3420</v>
      </c>
      <c r="S64" s="16">
        <f t="shared" si="2"/>
        <v>547.2</v>
      </c>
      <c r="T64" s="16">
        <f t="shared" si="3"/>
        <v>3967.2</v>
      </c>
      <c r="U64" s="19" t="s">
        <v>213</v>
      </c>
      <c r="V64" s="16"/>
      <c r="W64" s="16"/>
    </row>
    <row r="65" ht="15.75" customHeight="1">
      <c r="A65" s="19">
        <v>30.0</v>
      </c>
      <c r="B65" s="19">
        <v>5.0</v>
      </c>
      <c r="C65" s="55">
        <v>528.0</v>
      </c>
      <c r="D65" s="30">
        <v>46225.0</v>
      </c>
      <c r="E65" s="19">
        <v>1.0</v>
      </c>
      <c r="F65" s="10" t="s">
        <v>32</v>
      </c>
      <c r="G65" s="56" t="s">
        <v>183</v>
      </c>
      <c r="H65" s="19">
        <v>14.0</v>
      </c>
      <c r="I65" s="56">
        <v>23580.0</v>
      </c>
      <c r="J65" s="56" t="s">
        <v>184</v>
      </c>
      <c r="K65" s="19" t="s">
        <v>36</v>
      </c>
      <c r="L65" s="56" t="s">
        <v>242</v>
      </c>
      <c r="M65" s="56" t="s">
        <v>243</v>
      </c>
      <c r="N65" s="62"/>
      <c r="O65" s="62"/>
      <c r="P65" s="11"/>
      <c r="Q65" s="14">
        <v>3420.0</v>
      </c>
      <c r="R65" s="16">
        <f t="shared" si="1"/>
        <v>3420</v>
      </c>
      <c r="S65" s="16">
        <f t="shared" si="2"/>
        <v>547.2</v>
      </c>
      <c r="T65" s="16">
        <f t="shared" si="3"/>
        <v>3967.2</v>
      </c>
      <c r="U65" s="19" t="s">
        <v>213</v>
      </c>
      <c r="V65" s="16"/>
      <c r="W65" s="16"/>
    </row>
    <row r="66" ht="15.75" customHeight="1">
      <c r="A66" s="19">
        <v>30.0</v>
      </c>
      <c r="B66" s="19">
        <v>6.0</v>
      </c>
      <c r="C66" s="55">
        <v>529.0</v>
      </c>
      <c r="D66" s="30">
        <v>46225.0</v>
      </c>
      <c r="E66" s="19">
        <v>1.0</v>
      </c>
      <c r="F66" s="10" t="s">
        <v>32</v>
      </c>
      <c r="G66" s="56" t="s">
        <v>179</v>
      </c>
      <c r="H66" s="19">
        <v>14.0</v>
      </c>
      <c r="I66" s="56">
        <v>24180.0</v>
      </c>
      <c r="J66" s="56" t="s">
        <v>180</v>
      </c>
      <c r="K66" s="19" t="s">
        <v>36</v>
      </c>
      <c r="L66" s="56" t="s">
        <v>243</v>
      </c>
      <c r="M66" s="56" t="s">
        <v>244</v>
      </c>
      <c r="N66" s="62"/>
      <c r="O66" s="62"/>
      <c r="P66" s="11"/>
      <c r="Q66" s="14">
        <v>3420.0</v>
      </c>
      <c r="R66" s="16">
        <f t="shared" si="1"/>
        <v>3420</v>
      </c>
      <c r="S66" s="16">
        <f t="shared" si="2"/>
        <v>547.2</v>
      </c>
      <c r="T66" s="16">
        <f t="shared" si="3"/>
        <v>3967.2</v>
      </c>
      <c r="U66" s="19" t="s">
        <v>213</v>
      </c>
      <c r="V66" s="16"/>
      <c r="W66" s="16"/>
    </row>
    <row r="67" ht="15.75" customHeight="1">
      <c r="A67" s="19">
        <v>30.0</v>
      </c>
      <c r="B67" s="19">
        <v>7.0</v>
      </c>
      <c r="C67" s="55">
        <v>530.0</v>
      </c>
      <c r="D67" s="30">
        <v>46225.0</v>
      </c>
      <c r="E67" s="19">
        <v>1.0</v>
      </c>
      <c r="F67" s="10" t="s">
        <v>32</v>
      </c>
      <c r="G67" s="56" t="s">
        <v>124</v>
      </c>
      <c r="H67" s="19">
        <v>14.0</v>
      </c>
      <c r="I67" s="56">
        <v>23750.0</v>
      </c>
      <c r="J67" s="56" t="s">
        <v>198</v>
      </c>
      <c r="K67" s="19" t="s">
        <v>36</v>
      </c>
      <c r="L67" s="56" t="s">
        <v>244</v>
      </c>
      <c r="M67" s="56" t="s">
        <v>245</v>
      </c>
      <c r="N67" s="62"/>
      <c r="O67" s="62"/>
      <c r="P67" s="11"/>
      <c r="Q67" s="14">
        <v>3420.0</v>
      </c>
      <c r="R67" s="16">
        <f t="shared" si="1"/>
        <v>3420</v>
      </c>
      <c r="S67" s="16">
        <f t="shared" si="2"/>
        <v>547.2</v>
      </c>
      <c r="T67" s="16">
        <f t="shared" si="3"/>
        <v>3967.2</v>
      </c>
      <c r="U67" s="19" t="s">
        <v>213</v>
      </c>
      <c r="V67" s="16"/>
      <c r="W67" s="16"/>
    </row>
    <row r="68" ht="15.75" customHeight="1">
      <c r="A68" s="19">
        <v>30.0</v>
      </c>
      <c r="B68" s="19">
        <v>8.0</v>
      </c>
      <c r="C68" s="55">
        <v>531.0</v>
      </c>
      <c r="D68" s="30">
        <v>46225.0</v>
      </c>
      <c r="E68" s="19">
        <v>1.0</v>
      </c>
      <c r="F68" s="10" t="s">
        <v>32</v>
      </c>
      <c r="G68" s="56" t="s">
        <v>211</v>
      </c>
      <c r="H68" s="19">
        <v>14.0</v>
      </c>
      <c r="I68" s="56">
        <v>24650.0</v>
      </c>
      <c r="J68" s="56" t="s">
        <v>246</v>
      </c>
      <c r="K68" s="19" t="s">
        <v>36</v>
      </c>
      <c r="L68" s="56" t="s">
        <v>245</v>
      </c>
      <c r="M68" s="56" t="s">
        <v>247</v>
      </c>
      <c r="N68" s="62"/>
      <c r="O68" s="62"/>
      <c r="P68" s="11"/>
      <c r="Q68" s="14">
        <v>3420.0</v>
      </c>
      <c r="R68" s="16">
        <f t="shared" si="1"/>
        <v>3420</v>
      </c>
      <c r="S68" s="16">
        <f t="shared" si="2"/>
        <v>547.2</v>
      </c>
      <c r="T68" s="16">
        <f t="shared" si="3"/>
        <v>3967.2</v>
      </c>
      <c r="U68" s="19" t="s">
        <v>213</v>
      </c>
      <c r="V68" s="16"/>
      <c r="W68" s="16"/>
    </row>
    <row r="69" ht="15.75" customHeight="1">
      <c r="A69" s="19">
        <v>30.0</v>
      </c>
      <c r="B69" s="19">
        <v>9.0</v>
      </c>
      <c r="C69" s="55">
        <v>532.0</v>
      </c>
      <c r="D69" s="30">
        <v>46225.0</v>
      </c>
      <c r="E69" s="19">
        <v>1.0</v>
      </c>
      <c r="F69" s="10" t="s">
        <v>32</v>
      </c>
      <c r="G69" s="56" t="s">
        <v>223</v>
      </c>
      <c r="H69" s="19">
        <v>14.0</v>
      </c>
      <c r="I69" s="56">
        <v>22140.0</v>
      </c>
      <c r="J69" s="56" t="s">
        <v>224</v>
      </c>
      <c r="K69" s="19" t="s">
        <v>36</v>
      </c>
      <c r="L69" s="56" t="s">
        <v>247</v>
      </c>
      <c r="M69" s="56" t="s">
        <v>233</v>
      </c>
      <c r="N69" s="62"/>
      <c r="O69" s="62"/>
      <c r="P69" s="11"/>
      <c r="Q69" s="14">
        <v>3420.0</v>
      </c>
      <c r="R69" s="16">
        <f t="shared" si="1"/>
        <v>3420</v>
      </c>
      <c r="S69" s="16">
        <f t="shared" si="2"/>
        <v>547.2</v>
      </c>
      <c r="T69" s="16">
        <f t="shared" si="3"/>
        <v>3967.2</v>
      </c>
      <c r="U69" s="19" t="s">
        <v>213</v>
      </c>
      <c r="V69" s="16"/>
      <c r="W69" s="16"/>
    </row>
    <row r="70" ht="15.75" customHeight="1">
      <c r="A70" s="19">
        <v>30.0</v>
      </c>
      <c r="B70" s="19">
        <v>10.0</v>
      </c>
      <c r="C70" s="55">
        <v>533.0</v>
      </c>
      <c r="D70" s="30">
        <v>46225.0</v>
      </c>
      <c r="E70" s="19">
        <v>1.0</v>
      </c>
      <c r="F70" s="10" t="s">
        <v>32</v>
      </c>
      <c r="G70" s="56" t="s">
        <v>249</v>
      </c>
      <c r="H70" s="19">
        <v>14.0</v>
      </c>
      <c r="I70" s="56">
        <v>25290.0</v>
      </c>
      <c r="J70" s="56" t="s">
        <v>226</v>
      </c>
      <c r="K70" s="19" t="s">
        <v>36</v>
      </c>
      <c r="L70" s="56" t="s">
        <v>233</v>
      </c>
      <c r="M70" s="56" t="s">
        <v>237</v>
      </c>
      <c r="N70" s="62"/>
      <c r="O70" s="62"/>
      <c r="P70" s="11"/>
      <c r="Q70" s="14">
        <v>3420.0</v>
      </c>
      <c r="R70" s="16">
        <f t="shared" si="1"/>
        <v>3420</v>
      </c>
      <c r="S70" s="16">
        <f t="shared" si="2"/>
        <v>547.2</v>
      </c>
      <c r="T70" s="16">
        <f t="shared" si="3"/>
        <v>3967.2</v>
      </c>
      <c r="U70" s="19" t="s">
        <v>213</v>
      </c>
      <c r="V70" s="16"/>
      <c r="W70" s="16"/>
    </row>
    <row r="71" ht="15.75" customHeight="1">
      <c r="A71" s="19">
        <v>30.0</v>
      </c>
      <c r="B71" s="19">
        <v>11.0</v>
      </c>
      <c r="C71" s="55">
        <v>534.0</v>
      </c>
      <c r="D71" s="30">
        <v>46225.0</v>
      </c>
      <c r="E71" s="19">
        <v>1.0</v>
      </c>
      <c r="F71" s="10" t="s">
        <v>32</v>
      </c>
      <c r="G71" s="56" t="s">
        <v>251</v>
      </c>
      <c r="H71" s="19">
        <v>14.0</v>
      </c>
      <c r="I71" s="56">
        <v>24090.0</v>
      </c>
      <c r="J71" s="56" t="s">
        <v>87</v>
      </c>
      <c r="K71" s="19" t="s">
        <v>36</v>
      </c>
      <c r="L71" s="56" t="s">
        <v>237</v>
      </c>
      <c r="M71" s="56" t="s">
        <v>240</v>
      </c>
      <c r="N71" s="62"/>
      <c r="O71" s="62"/>
      <c r="P71" s="11"/>
      <c r="Q71" s="14">
        <v>3420.0</v>
      </c>
      <c r="R71" s="16">
        <f t="shared" si="1"/>
        <v>3420</v>
      </c>
      <c r="S71" s="16">
        <f t="shared" si="2"/>
        <v>547.2</v>
      </c>
      <c r="T71" s="16">
        <f t="shared" si="3"/>
        <v>3967.2</v>
      </c>
      <c r="U71" s="19" t="s">
        <v>213</v>
      </c>
      <c r="V71" s="16"/>
      <c r="W71" s="16"/>
    </row>
    <row r="72" ht="15.75" customHeight="1">
      <c r="A72" s="19">
        <v>30.0</v>
      </c>
      <c r="B72" s="19">
        <v>12.0</v>
      </c>
      <c r="C72" s="55">
        <v>535.0</v>
      </c>
      <c r="D72" s="30">
        <v>46225.0</v>
      </c>
      <c r="E72" s="19">
        <v>1.0</v>
      </c>
      <c r="F72" s="10" t="s">
        <v>32</v>
      </c>
      <c r="G72" s="56" t="s">
        <v>138</v>
      </c>
      <c r="H72" s="19">
        <v>14.0</v>
      </c>
      <c r="I72" s="56">
        <v>25620.0</v>
      </c>
      <c r="J72" s="56" t="s">
        <v>252</v>
      </c>
      <c r="K72" s="19" t="s">
        <v>36</v>
      </c>
      <c r="L72" s="56" t="s">
        <v>240</v>
      </c>
      <c r="M72" s="56" t="s">
        <v>253</v>
      </c>
      <c r="N72" s="62"/>
      <c r="O72" s="62"/>
      <c r="P72" s="11"/>
      <c r="Q72" s="14">
        <v>3420.0</v>
      </c>
      <c r="R72" s="16">
        <f t="shared" si="1"/>
        <v>3420</v>
      </c>
      <c r="S72" s="16">
        <f t="shared" si="2"/>
        <v>547.2</v>
      </c>
      <c r="T72" s="16">
        <f t="shared" si="3"/>
        <v>3967.2</v>
      </c>
      <c r="U72" s="19" t="s">
        <v>213</v>
      </c>
      <c r="V72" s="16"/>
      <c r="W72" s="16"/>
    </row>
    <row r="73" ht="15.75" customHeight="1">
      <c r="A73" s="19">
        <v>30.0</v>
      </c>
      <c r="B73" s="19">
        <v>13.0</v>
      </c>
      <c r="C73" s="55">
        <v>536.0</v>
      </c>
      <c r="D73" s="30">
        <v>46225.0</v>
      </c>
      <c r="E73" s="19">
        <v>1.0</v>
      </c>
      <c r="F73" s="10" t="s">
        <v>32</v>
      </c>
      <c r="G73" s="56" t="s">
        <v>188</v>
      </c>
      <c r="H73" s="19">
        <v>14.0</v>
      </c>
      <c r="I73" s="56">
        <v>25460.0</v>
      </c>
      <c r="J73" s="56" t="s">
        <v>189</v>
      </c>
      <c r="K73" s="19" t="s">
        <v>36</v>
      </c>
      <c r="L73" s="56" t="s">
        <v>253</v>
      </c>
      <c r="M73" s="56" t="s">
        <v>255</v>
      </c>
      <c r="N73" s="62"/>
      <c r="O73" s="62"/>
      <c r="P73" s="11"/>
      <c r="Q73" s="14">
        <v>3420.0</v>
      </c>
      <c r="R73" s="16">
        <f t="shared" si="1"/>
        <v>3420</v>
      </c>
      <c r="S73" s="16">
        <f t="shared" si="2"/>
        <v>547.2</v>
      </c>
      <c r="T73" s="16">
        <f t="shared" si="3"/>
        <v>3967.2</v>
      </c>
      <c r="U73" s="19" t="s">
        <v>213</v>
      </c>
      <c r="V73" s="16"/>
      <c r="W73" s="16"/>
    </row>
    <row r="74" ht="15.75" customHeight="1">
      <c r="A74" s="19">
        <v>30.0</v>
      </c>
      <c r="B74" s="19">
        <v>14.0</v>
      </c>
      <c r="C74" s="55">
        <v>537.0</v>
      </c>
      <c r="D74" s="30">
        <v>46225.0</v>
      </c>
      <c r="E74" s="19">
        <v>1.0</v>
      </c>
      <c r="F74" s="10" t="s">
        <v>32</v>
      </c>
      <c r="G74" s="56" t="s">
        <v>256</v>
      </c>
      <c r="H74" s="19">
        <v>14.0</v>
      </c>
      <c r="I74" s="56">
        <v>24920.0</v>
      </c>
      <c r="J74" s="56" t="s">
        <v>54</v>
      </c>
      <c r="K74" s="19" t="s">
        <v>36</v>
      </c>
      <c r="L74" s="56" t="s">
        <v>255</v>
      </c>
      <c r="M74" s="56" t="s">
        <v>257</v>
      </c>
      <c r="N74" s="62"/>
      <c r="O74" s="62"/>
      <c r="P74" s="11"/>
      <c r="Q74" s="14">
        <v>3420.0</v>
      </c>
      <c r="R74" s="16">
        <f t="shared" si="1"/>
        <v>3420</v>
      </c>
      <c r="S74" s="16">
        <f t="shared" si="2"/>
        <v>547.2</v>
      </c>
      <c r="T74" s="16">
        <f t="shared" si="3"/>
        <v>3967.2</v>
      </c>
      <c r="U74" s="19" t="s">
        <v>213</v>
      </c>
      <c r="V74" s="16"/>
      <c r="W74" s="16"/>
    </row>
    <row r="75" ht="15.75" customHeight="1">
      <c r="A75" s="19">
        <v>30.0</v>
      </c>
      <c r="B75" s="19">
        <v>15.0</v>
      </c>
      <c r="C75" s="55">
        <v>1013.0</v>
      </c>
      <c r="D75" s="30">
        <v>46226.0</v>
      </c>
      <c r="E75" s="19">
        <v>1.0</v>
      </c>
      <c r="F75" s="10" t="s">
        <v>32</v>
      </c>
      <c r="G75" s="56" t="s">
        <v>258</v>
      </c>
      <c r="H75" s="19">
        <v>14.0</v>
      </c>
      <c r="I75" s="56">
        <v>24330.0</v>
      </c>
      <c r="J75" s="56" t="s">
        <v>54</v>
      </c>
      <c r="K75" s="19" t="s">
        <v>36</v>
      </c>
      <c r="L75" s="56" t="s">
        <v>259</v>
      </c>
      <c r="M75" s="56" t="s">
        <v>260</v>
      </c>
      <c r="N75" s="62"/>
      <c r="O75" s="62"/>
      <c r="P75" s="11"/>
      <c r="Q75" s="14">
        <v>3420.0</v>
      </c>
      <c r="R75" s="16">
        <f t="shared" si="1"/>
        <v>3420</v>
      </c>
      <c r="S75" s="16">
        <f t="shared" si="2"/>
        <v>547.2</v>
      </c>
      <c r="T75" s="16">
        <f t="shared" si="3"/>
        <v>3967.2</v>
      </c>
      <c r="U75" s="19" t="s">
        <v>213</v>
      </c>
      <c r="V75" s="16"/>
      <c r="W75" s="16"/>
    </row>
    <row r="76" ht="15.75" customHeight="1">
      <c r="A76" s="19">
        <v>30.0</v>
      </c>
      <c r="B76" s="19">
        <v>16.0</v>
      </c>
      <c r="C76" s="55">
        <v>1012.0</v>
      </c>
      <c r="D76" s="30">
        <v>46226.0</v>
      </c>
      <c r="E76" s="19">
        <v>1.0</v>
      </c>
      <c r="F76" s="10" t="s">
        <v>32</v>
      </c>
      <c r="G76" s="56" t="s">
        <v>261</v>
      </c>
      <c r="H76" s="19">
        <v>14.0</v>
      </c>
      <c r="I76" s="56">
        <v>23920.0</v>
      </c>
      <c r="J76" s="56" t="s">
        <v>262</v>
      </c>
      <c r="K76" s="19" t="s">
        <v>36</v>
      </c>
      <c r="L76" s="56" t="s">
        <v>260</v>
      </c>
      <c r="M76" s="56" t="s">
        <v>263</v>
      </c>
      <c r="N76" s="62"/>
      <c r="O76" s="62"/>
      <c r="P76" s="11"/>
      <c r="Q76" s="14">
        <v>3420.0</v>
      </c>
      <c r="R76" s="16">
        <f t="shared" si="1"/>
        <v>3420</v>
      </c>
      <c r="S76" s="16">
        <f t="shared" si="2"/>
        <v>547.2</v>
      </c>
      <c r="T76" s="16">
        <f t="shared" si="3"/>
        <v>3967.2</v>
      </c>
      <c r="U76" s="19" t="s">
        <v>213</v>
      </c>
      <c r="V76" s="16"/>
      <c r="W76" s="16"/>
    </row>
    <row r="77" ht="15.75" customHeight="1">
      <c r="A77" s="19">
        <v>30.0</v>
      </c>
      <c r="B77" s="19">
        <v>17.0</v>
      </c>
      <c r="C77" s="55">
        <v>1014.0</v>
      </c>
      <c r="D77" s="30">
        <v>46226.0</v>
      </c>
      <c r="E77" s="19">
        <v>1.0</v>
      </c>
      <c r="F77" s="10" t="s">
        <v>32</v>
      </c>
      <c r="G77" s="56" t="s">
        <v>251</v>
      </c>
      <c r="H77" s="19">
        <v>14.0</v>
      </c>
      <c r="I77" s="56">
        <v>24220.0</v>
      </c>
      <c r="J77" s="56" t="s">
        <v>87</v>
      </c>
      <c r="K77" s="19" t="s">
        <v>36</v>
      </c>
      <c r="L77" s="56" t="s">
        <v>263</v>
      </c>
      <c r="M77" s="56" t="s">
        <v>264</v>
      </c>
      <c r="N77" s="62"/>
      <c r="O77" s="62"/>
      <c r="P77" s="11"/>
      <c r="Q77" s="14">
        <v>3420.0</v>
      </c>
      <c r="R77" s="16">
        <f t="shared" si="1"/>
        <v>3420</v>
      </c>
      <c r="S77" s="16">
        <f t="shared" si="2"/>
        <v>547.2</v>
      </c>
      <c r="T77" s="16">
        <f t="shared" si="3"/>
        <v>3967.2</v>
      </c>
      <c r="U77" s="19" t="s">
        <v>213</v>
      </c>
      <c r="V77" s="18"/>
      <c r="W77" s="16"/>
    </row>
    <row r="78" ht="15.75" customHeight="1">
      <c r="A78" s="19">
        <v>30.0</v>
      </c>
      <c r="B78" s="19">
        <v>18.0</v>
      </c>
      <c r="C78" s="55">
        <v>1015.0</v>
      </c>
      <c r="D78" s="30">
        <v>46226.0</v>
      </c>
      <c r="E78" s="19">
        <v>1.0</v>
      </c>
      <c r="F78" s="10" t="s">
        <v>32</v>
      </c>
      <c r="G78" s="56" t="s">
        <v>165</v>
      </c>
      <c r="H78" s="19">
        <v>14.0</v>
      </c>
      <c r="I78" s="56">
        <v>22190.0</v>
      </c>
      <c r="J78" s="56" t="s">
        <v>72</v>
      </c>
      <c r="K78" s="19" t="s">
        <v>36</v>
      </c>
      <c r="L78" s="56" t="s">
        <v>264</v>
      </c>
      <c r="M78" s="56" t="s">
        <v>265</v>
      </c>
      <c r="N78" s="62"/>
      <c r="O78" s="62"/>
      <c r="P78" s="11"/>
      <c r="Q78" s="14">
        <v>3420.0</v>
      </c>
      <c r="R78" s="16">
        <f t="shared" si="1"/>
        <v>3420</v>
      </c>
      <c r="S78" s="16">
        <f t="shared" si="2"/>
        <v>547.2</v>
      </c>
      <c r="T78" s="16">
        <f t="shared" si="3"/>
        <v>3967.2</v>
      </c>
      <c r="U78" s="19" t="s">
        <v>213</v>
      </c>
      <c r="V78" s="18"/>
      <c r="W78" s="16"/>
    </row>
    <row r="79" ht="15.75" customHeight="1">
      <c r="A79" s="19">
        <v>30.0</v>
      </c>
      <c r="B79" s="19">
        <v>19.0</v>
      </c>
      <c r="C79" s="55">
        <v>1016.0</v>
      </c>
      <c r="D79" s="30">
        <v>46226.0</v>
      </c>
      <c r="E79" s="19">
        <v>1.0</v>
      </c>
      <c r="F79" s="10" t="s">
        <v>32</v>
      </c>
      <c r="G79" s="56" t="s">
        <v>205</v>
      </c>
      <c r="H79" s="19">
        <v>14.0</v>
      </c>
      <c r="I79" s="56">
        <v>24870.0</v>
      </c>
      <c r="J79" s="56" t="s">
        <v>84</v>
      </c>
      <c r="K79" s="19" t="s">
        <v>36</v>
      </c>
      <c r="L79" s="56" t="s">
        <v>265</v>
      </c>
      <c r="M79" s="56" t="s">
        <v>266</v>
      </c>
      <c r="N79" s="62"/>
      <c r="O79" s="62"/>
      <c r="P79" s="11"/>
      <c r="Q79" s="14">
        <v>3420.0</v>
      </c>
      <c r="R79" s="16">
        <f t="shared" si="1"/>
        <v>3420</v>
      </c>
      <c r="S79" s="16">
        <f t="shared" si="2"/>
        <v>547.2</v>
      </c>
      <c r="T79" s="16">
        <f t="shared" si="3"/>
        <v>3967.2</v>
      </c>
      <c r="U79" s="19" t="s">
        <v>213</v>
      </c>
      <c r="V79" s="18"/>
      <c r="W79" s="16"/>
    </row>
    <row r="80" ht="15.75" customHeight="1">
      <c r="A80" s="19">
        <v>30.0</v>
      </c>
      <c r="B80" s="19">
        <v>20.0</v>
      </c>
      <c r="C80" s="55">
        <v>1017.0</v>
      </c>
      <c r="D80" s="30">
        <v>46226.0</v>
      </c>
      <c r="E80" s="19">
        <v>1.0</v>
      </c>
      <c r="F80" s="10" t="s">
        <v>32</v>
      </c>
      <c r="G80" s="56" t="s">
        <v>173</v>
      </c>
      <c r="H80" s="19">
        <v>14.0</v>
      </c>
      <c r="I80" s="56">
        <v>24440.0</v>
      </c>
      <c r="J80" s="56" t="s">
        <v>174</v>
      </c>
      <c r="K80" s="19" t="s">
        <v>36</v>
      </c>
      <c r="L80" s="56" t="s">
        <v>266</v>
      </c>
      <c r="M80" s="56" t="s">
        <v>267</v>
      </c>
      <c r="N80" s="62"/>
      <c r="O80" s="62"/>
      <c r="P80" s="11"/>
      <c r="Q80" s="14">
        <v>3420.0</v>
      </c>
      <c r="R80" s="16">
        <f t="shared" si="1"/>
        <v>3420</v>
      </c>
      <c r="S80" s="16">
        <f t="shared" si="2"/>
        <v>547.2</v>
      </c>
      <c r="T80" s="16">
        <f t="shared" si="3"/>
        <v>3967.2</v>
      </c>
      <c r="U80" s="19" t="s">
        <v>213</v>
      </c>
      <c r="V80" s="18"/>
      <c r="W80" s="16"/>
    </row>
    <row r="81" ht="15.75" customHeight="1">
      <c r="A81" s="19">
        <v>30.0</v>
      </c>
      <c r="B81" s="19">
        <v>21.0</v>
      </c>
      <c r="C81" s="55">
        <v>1018.0</v>
      </c>
      <c r="D81" s="30">
        <v>46226.0</v>
      </c>
      <c r="E81" s="19">
        <v>1.0</v>
      </c>
      <c r="F81" s="10" t="s">
        <v>32</v>
      </c>
      <c r="G81" s="56" t="s">
        <v>211</v>
      </c>
      <c r="H81" s="19">
        <v>14.0</v>
      </c>
      <c r="I81" s="56">
        <v>24170.0</v>
      </c>
      <c r="J81" s="56" t="s">
        <v>78</v>
      </c>
      <c r="K81" s="19" t="s">
        <v>36</v>
      </c>
      <c r="L81" s="56" t="s">
        <v>267</v>
      </c>
      <c r="M81" s="56" t="s">
        <v>268</v>
      </c>
      <c r="N81" s="62"/>
      <c r="O81" s="62"/>
      <c r="P81" s="11"/>
      <c r="Q81" s="14">
        <v>3420.0</v>
      </c>
      <c r="R81" s="16">
        <f t="shared" si="1"/>
        <v>3420</v>
      </c>
      <c r="S81" s="16">
        <f t="shared" si="2"/>
        <v>547.2</v>
      </c>
      <c r="T81" s="16">
        <f t="shared" si="3"/>
        <v>3967.2</v>
      </c>
      <c r="U81" s="19" t="s">
        <v>213</v>
      </c>
      <c r="V81" s="18"/>
      <c r="W81" s="16"/>
    </row>
    <row r="82" ht="15.75" customHeight="1">
      <c r="A82" s="19">
        <v>30.0</v>
      </c>
      <c r="B82" s="19">
        <v>22.0</v>
      </c>
      <c r="C82" s="55">
        <v>1019.0</v>
      </c>
      <c r="D82" s="30">
        <v>46226.0</v>
      </c>
      <c r="E82" s="19">
        <v>1.0</v>
      </c>
      <c r="F82" s="10" t="s">
        <v>32</v>
      </c>
      <c r="G82" s="56" t="s">
        <v>176</v>
      </c>
      <c r="H82" s="19">
        <v>14.0</v>
      </c>
      <c r="I82" s="56">
        <v>21530.0</v>
      </c>
      <c r="J82" s="56" t="s">
        <v>40</v>
      </c>
      <c r="K82" s="19" t="s">
        <v>36</v>
      </c>
      <c r="L82" s="56" t="s">
        <v>268</v>
      </c>
      <c r="M82" s="56" t="s">
        <v>269</v>
      </c>
      <c r="N82" s="62"/>
      <c r="O82" s="62"/>
      <c r="P82" s="11"/>
      <c r="Q82" s="14">
        <v>3420.0</v>
      </c>
      <c r="R82" s="16">
        <f t="shared" si="1"/>
        <v>3420</v>
      </c>
      <c r="S82" s="16">
        <f t="shared" si="2"/>
        <v>547.2</v>
      </c>
      <c r="T82" s="16">
        <f t="shared" si="3"/>
        <v>3967.2</v>
      </c>
      <c r="U82" s="19" t="s">
        <v>213</v>
      </c>
      <c r="V82" s="18"/>
      <c r="W82" s="16"/>
    </row>
    <row r="83" ht="15.75" customHeight="1">
      <c r="A83" s="19">
        <v>30.0</v>
      </c>
      <c r="B83" s="19">
        <v>23.0</v>
      </c>
      <c r="C83" s="55">
        <v>1020.0</v>
      </c>
      <c r="D83" s="30">
        <v>46226.0</v>
      </c>
      <c r="E83" s="19">
        <v>1.0</v>
      </c>
      <c r="F83" s="10" t="s">
        <v>32</v>
      </c>
      <c r="G83" s="56" t="s">
        <v>170</v>
      </c>
      <c r="H83" s="19">
        <v>14.0</v>
      </c>
      <c r="I83" s="56">
        <v>24550.0</v>
      </c>
      <c r="J83" s="56" t="s">
        <v>171</v>
      </c>
      <c r="K83" s="19" t="s">
        <v>36</v>
      </c>
      <c r="L83" s="56" t="s">
        <v>270</v>
      </c>
      <c r="M83" s="56" t="s">
        <v>271</v>
      </c>
      <c r="N83" s="62"/>
      <c r="O83" s="62"/>
      <c r="P83" s="11"/>
      <c r="Q83" s="14">
        <v>3420.0</v>
      </c>
      <c r="R83" s="16">
        <f t="shared" si="1"/>
        <v>3420</v>
      </c>
      <c r="S83" s="16">
        <f t="shared" si="2"/>
        <v>547.2</v>
      </c>
      <c r="T83" s="16">
        <f t="shared" si="3"/>
        <v>3967.2</v>
      </c>
      <c r="U83" s="19" t="s">
        <v>213</v>
      </c>
      <c r="V83" s="18"/>
      <c r="W83" s="16"/>
    </row>
    <row r="84" ht="15.75" customHeight="1">
      <c r="A84" s="19">
        <v>30.0</v>
      </c>
      <c r="B84" s="19">
        <v>24.0</v>
      </c>
      <c r="C84" s="55">
        <v>1021.0</v>
      </c>
      <c r="D84" s="30">
        <v>46226.0</v>
      </c>
      <c r="E84" s="19">
        <v>1.0</v>
      </c>
      <c r="F84" s="10" t="s">
        <v>32</v>
      </c>
      <c r="G84" s="56" t="s">
        <v>223</v>
      </c>
      <c r="H84" s="19">
        <v>14.0</v>
      </c>
      <c r="I84" s="56">
        <v>22650.0</v>
      </c>
      <c r="J84" s="56" t="s">
        <v>224</v>
      </c>
      <c r="K84" s="19" t="s">
        <v>36</v>
      </c>
      <c r="L84" s="56" t="s">
        <v>271</v>
      </c>
      <c r="M84" s="56" t="s">
        <v>264</v>
      </c>
      <c r="N84" s="62"/>
      <c r="O84" s="62"/>
      <c r="P84" s="11"/>
      <c r="Q84" s="14">
        <v>3420.0</v>
      </c>
      <c r="R84" s="16">
        <f t="shared" si="1"/>
        <v>3420</v>
      </c>
      <c r="S84" s="16">
        <f t="shared" si="2"/>
        <v>547.2</v>
      </c>
      <c r="T84" s="16">
        <f t="shared" si="3"/>
        <v>3967.2</v>
      </c>
      <c r="U84" s="19" t="s">
        <v>213</v>
      </c>
      <c r="V84" s="16"/>
      <c r="W84" s="16"/>
    </row>
    <row r="85" ht="15.75" customHeight="1">
      <c r="A85" s="19">
        <v>30.0</v>
      </c>
      <c r="B85" s="19">
        <v>25.0</v>
      </c>
      <c r="C85" s="55">
        <v>1022.0</v>
      </c>
      <c r="D85" s="30">
        <v>46226.0</v>
      </c>
      <c r="E85" s="19">
        <v>1.0</v>
      </c>
      <c r="F85" s="10" t="s">
        <v>32</v>
      </c>
      <c r="G85" s="56" t="s">
        <v>272</v>
      </c>
      <c r="H85" s="19">
        <v>14.0</v>
      </c>
      <c r="I85" s="56">
        <v>23980.0</v>
      </c>
      <c r="J85" s="56" t="s">
        <v>226</v>
      </c>
      <c r="K85" s="19" t="s">
        <v>36</v>
      </c>
      <c r="L85" s="56" t="s">
        <v>264</v>
      </c>
      <c r="M85" s="56" t="s">
        <v>273</v>
      </c>
      <c r="N85" s="62"/>
      <c r="O85" s="62"/>
      <c r="P85" s="11"/>
      <c r="Q85" s="14">
        <v>3420.0</v>
      </c>
      <c r="R85" s="16">
        <f t="shared" si="1"/>
        <v>3420</v>
      </c>
      <c r="S85" s="16">
        <f t="shared" si="2"/>
        <v>547.2</v>
      </c>
      <c r="T85" s="16">
        <f t="shared" si="3"/>
        <v>3967.2</v>
      </c>
      <c r="U85" s="19" t="s">
        <v>213</v>
      </c>
      <c r="V85" s="16"/>
      <c r="W85" s="16"/>
    </row>
    <row r="86" ht="15.75" customHeight="1">
      <c r="A86" s="19">
        <v>30.0</v>
      </c>
      <c r="B86" s="19">
        <v>26.0</v>
      </c>
      <c r="C86" s="55">
        <v>1024.0</v>
      </c>
      <c r="D86" s="30">
        <v>46226.0</v>
      </c>
      <c r="E86" s="19">
        <v>1.0</v>
      </c>
      <c r="F86" s="10" t="s">
        <v>32</v>
      </c>
      <c r="G86" s="56" t="s">
        <v>188</v>
      </c>
      <c r="H86" s="19">
        <v>14.0</v>
      </c>
      <c r="I86" s="56">
        <v>24450.0</v>
      </c>
      <c r="J86" s="56" t="s">
        <v>189</v>
      </c>
      <c r="K86" s="19" t="s">
        <v>36</v>
      </c>
      <c r="L86" s="56" t="s">
        <v>273</v>
      </c>
      <c r="M86" s="56" t="s">
        <v>276</v>
      </c>
      <c r="N86" s="62"/>
      <c r="O86" s="62"/>
      <c r="P86" s="11"/>
      <c r="Q86" s="14">
        <v>3420.0</v>
      </c>
      <c r="R86" s="16">
        <f t="shared" si="1"/>
        <v>3420</v>
      </c>
      <c r="S86" s="16">
        <f t="shared" si="2"/>
        <v>547.2</v>
      </c>
      <c r="T86" s="16">
        <f t="shared" si="3"/>
        <v>3967.2</v>
      </c>
      <c r="U86" s="19" t="s">
        <v>213</v>
      </c>
      <c r="V86" s="16"/>
      <c r="W86" s="16"/>
    </row>
    <row r="87" ht="15.75" customHeight="1">
      <c r="A87" s="19">
        <v>30.0</v>
      </c>
      <c r="B87" s="19">
        <v>27.0</v>
      </c>
      <c r="C87" s="55">
        <v>1023.0</v>
      </c>
      <c r="D87" s="30">
        <v>46226.0</v>
      </c>
      <c r="E87" s="19">
        <v>1.0</v>
      </c>
      <c r="F87" s="10" t="s">
        <v>32</v>
      </c>
      <c r="G87" s="56" t="s">
        <v>179</v>
      </c>
      <c r="H87" s="19">
        <v>14.0</v>
      </c>
      <c r="I87" s="56">
        <v>23360.0</v>
      </c>
      <c r="J87" s="56" t="s">
        <v>180</v>
      </c>
      <c r="K87" s="19" t="s">
        <v>36</v>
      </c>
      <c r="L87" s="56" t="s">
        <v>276</v>
      </c>
      <c r="M87" s="56" t="s">
        <v>277</v>
      </c>
      <c r="N87" s="62"/>
      <c r="O87" s="62"/>
      <c r="P87" s="11"/>
      <c r="Q87" s="14">
        <v>3420.0</v>
      </c>
      <c r="R87" s="16">
        <f t="shared" si="1"/>
        <v>3420</v>
      </c>
      <c r="S87" s="16">
        <f t="shared" si="2"/>
        <v>547.2</v>
      </c>
      <c r="T87" s="16">
        <f t="shared" si="3"/>
        <v>3967.2</v>
      </c>
      <c r="U87" s="19" t="s">
        <v>213</v>
      </c>
      <c r="V87" s="16"/>
      <c r="W87" s="16"/>
    </row>
    <row r="88" ht="15.75" customHeight="1">
      <c r="A88" s="19">
        <v>30.0</v>
      </c>
      <c r="B88" s="19">
        <v>28.0</v>
      </c>
      <c r="C88" s="55">
        <v>1025.0</v>
      </c>
      <c r="D88" s="30">
        <v>46226.0</v>
      </c>
      <c r="E88" s="19">
        <v>1.0</v>
      </c>
      <c r="F88" s="10" t="s">
        <v>32</v>
      </c>
      <c r="G88" s="56" t="s">
        <v>124</v>
      </c>
      <c r="H88" s="19">
        <v>14.0</v>
      </c>
      <c r="I88" s="56">
        <v>24610.0</v>
      </c>
      <c r="J88" s="56" t="s">
        <v>198</v>
      </c>
      <c r="K88" s="19" t="s">
        <v>36</v>
      </c>
      <c r="L88" s="56" t="s">
        <v>277</v>
      </c>
      <c r="M88" s="56" t="s">
        <v>279</v>
      </c>
      <c r="N88" s="62"/>
      <c r="O88" s="62"/>
      <c r="P88" s="11"/>
      <c r="Q88" s="14">
        <v>3420.0</v>
      </c>
      <c r="R88" s="16">
        <f t="shared" si="1"/>
        <v>3420</v>
      </c>
      <c r="S88" s="16">
        <f t="shared" si="2"/>
        <v>547.2</v>
      </c>
      <c r="T88" s="16">
        <f t="shared" si="3"/>
        <v>3967.2</v>
      </c>
      <c r="U88" s="19" t="s">
        <v>213</v>
      </c>
      <c r="V88" s="16"/>
      <c r="W88" s="16"/>
    </row>
    <row r="89" ht="15.75" customHeight="1">
      <c r="A89" s="19">
        <v>30.0</v>
      </c>
      <c r="B89" s="19">
        <v>29.0</v>
      </c>
      <c r="C89" s="55">
        <v>1026.0</v>
      </c>
      <c r="D89" s="30">
        <v>46226.0</v>
      </c>
      <c r="E89" s="19">
        <v>1.0</v>
      </c>
      <c r="F89" s="10" t="s">
        <v>32</v>
      </c>
      <c r="G89" s="56" t="s">
        <v>280</v>
      </c>
      <c r="H89" s="19">
        <v>14.0</v>
      </c>
      <c r="I89" s="56">
        <v>24700.0</v>
      </c>
      <c r="J89" s="56" t="s">
        <v>281</v>
      </c>
      <c r="K89" s="19" t="s">
        <v>36</v>
      </c>
      <c r="L89" s="56" t="s">
        <v>279</v>
      </c>
      <c r="M89" s="56" t="s">
        <v>282</v>
      </c>
      <c r="N89" s="62"/>
      <c r="O89" s="62"/>
      <c r="P89" s="11"/>
      <c r="Q89" s="14">
        <v>3420.0</v>
      </c>
      <c r="R89" s="16">
        <f t="shared" si="1"/>
        <v>3420</v>
      </c>
      <c r="S89" s="16">
        <f t="shared" si="2"/>
        <v>547.2</v>
      </c>
      <c r="T89" s="16">
        <f t="shared" si="3"/>
        <v>3967.2</v>
      </c>
      <c r="U89" s="19" t="s">
        <v>213</v>
      </c>
      <c r="V89" s="16"/>
      <c r="W89" s="16"/>
    </row>
    <row r="90" ht="15.75" customHeight="1">
      <c r="A90" s="19">
        <v>30.0</v>
      </c>
      <c r="B90" s="19">
        <v>30.0</v>
      </c>
      <c r="C90" s="55">
        <v>1039.0</v>
      </c>
      <c r="D90" s="30">
        <v>46227.0</v>
      </c>
      <c r="E90" s="19">
        <v>1.0</v>
      </c>
      <c r="F90" s="10" t="s">
        <v>32</v>
      </c>
      <c r="G90" s="56" t="s">
        <v>258</v>
      </c>
      <c r="H90" s="19">
        <v>14.0</v>
      </c>
      <c r="I90" s="56">
        <v>20790.0</v>
      </c>
      <c r="J90" s="56" t="s">
        <v>219</v>
      </c>
      <c r="K90" s="19" t="s">
        <v>36</v>
      </c>
      <c r="L90" s="56" t="s">
        <v>283</v>
      </c>
      <c r="M90" s="56" t="s">
        <v>238</v>
      </c>
      <c r="N90" s="62"/>
      <c r="O90" s="62"/>
      <c r="P90" s="11"/>
      <c r="Q90" s="14">
        <v>3420.0</v>
      </c>
      <c r="R90" s="16">
        <f t="shared" si="1"/>
        <v>3420</v>
      </c>
      <c r="S90" s="16">
        <f t="shared" si="2"/>
        <v>547.2</v>
      </c>
      <c r="T90" s="16">
        <f t="shared" si="3"/>
        <v>3967.2</v>
      </c>
      <c r="U90" s="19" t="s">
        <v>213</v>
      </c>
      <c r="V90" s="16"/>
      <c r="W90" s="16"/>
    </row>
    <row r="91" ht="15.75" customHeight="1">
      <c r="A91" s="19">
        <v>30.0</v>
      </c>
      <c r="B91" s="19">
        <v>31.0</v>
      </c>
      <c r="C91" s="55">
        <v>1040.0</v>
      </c>
      <c r="D91" s="30">
        <v>46227.0</v>
      </c>
      <c r="E91" s="19">
        <v>1.0</v>
      </c>
      <c r="F91" s="10" t="s">
        <v>32</v>
      </c>
      <c r="G91" s="56" t="s">
        <v>261</v>
      </c>
      <c r="H91" s="19">
        <v>14.0</v>
      </c>
      <c r="I91" s="56">
        <v>23170.0</v>
      </c>
      <c r="J91" s="56" t="s">
        <v>262</v>
      </c>
      <c r="K91" s="19" t="s">
        <v>36</v>
      </c>
      <c r="L91" s="56" t="s">
        <v>238</v>
      </c>
      <c r="M91" s="56" t="s">
        <v>245</v>
      </c>
      <c r="N91" s="62"/>
      <c r="O91" s="62"/>
      <c r="P91" s="11"/>
      <c r="Q91" s="14">
        <v>3420.0</v>
      </c>
      <c r="R91" s="16">
        <f t="shared" si="1"/>
        <v>3420</v>
      </c>
      <c r="S91" s="16">
        <f t="shared" si="2"/>
        <v>547.2</v>
      </c>
      <c r="T91" s="16">
        <f t="shared" si="3"/>
        <v>3967.2</v>
      </c>
      <c r="U91" s="19" t="s">
        <v>213</v>
      </c>
      <c r="V91" s="16"/>
      <c r="W91" s="16"/>
    </row>
    <row r="92" ht="15.75" customHeight="1">
      <c r="A92" s="19">
        <v>30.0</v>
      </c>
      <c r="B92" s="19">
        <v>32.0</v>
      </c>
      <c r="C92" s="55">
        <v>1041.0</v>
      </c>
      <c r="D92" s="30">
        <v>46227.0</v>
      </c>
      <c r="E92" s="19">
        <v>1.0</v>
      </c>
      <c r="F92" s="10" t="s">
        <v>32</v>
      </c>
      <c r="G92" s="56" t="s">
        <v>165</v>
      </c>
      <c r="H92" s="19">
        <v>14.0</v>
      </c>
      <c r="I92" s="56">
        <v>21160.0</v>
      </c>
      <c r="J92" s="56" t="s">
        <v>72</v>
      </c>
      <c r="K92" s="19" t="s">
        <v>36</v>
      </c>
      <c r="L92" s="56" t="s">
        <v>283</v>
      </c>
      <c r="M92" s="56" t="s">
        <v>284</v>
      </c>
      <c r="N92" s="62"/>
      <c r="O92" s="62"/>
      <c r="P92" s="11"/>
      <c r="Q92" s="14">
        <v>3420.0</v>
      </c>
      <c r="R92" s="16">
        <f t="shared" si="1"/>
        <v>3420</v>
      </c>
      <c r="S92" s="16">
        <f t="shared" si="2"/>
        <v>547.2</v>
      </c>
      <c r="T92" s="16">
        <f t="shared" si="3"/>
        <v>3967.2</v>
      </c>
      <c r="U92" s="19" t="s">
        <v>213</v>
      </c>
      <c r="V92" s="16"/>
      <c r="W92" s="16"/>
    </row>
    <row r="93" ht="15.75" customHeight="1">
      <c r="A93" s="19">
        <v>30.0</v>
      </c>
      <c r="B93" s="19">
        <v>33.0</v>
      </c>
      <c r="C93" s="55">
        <v>1042.0</v>
      </c>
      <c r="D93" s="30">
        <v>46227.0</v>
      </c>
      <c r="E93" s="19">
        <v>1.0</v>
      </c>
      <c r="F93" s="10" t="s">
        <v>32</v>
      </c>
      <c r="G93" s="56" t="s">
        <v>205</v>
      </c>
      <c r="H93" s="19">
        <v>14.0</v>
      </c>
      <c r="I93" s="56">
        <v>21840.0</v>
      </c>
      <c r="J93" s="56" t="s">
        <v>84</v>
      </c>
      <c r="K93" s="19" t="s">
        <v>36</v>
      </c>
      <c r="L93" s="56" t="s">
        <v>284</v>
      </c>
      <c r="M93" s="56" t="s">
        <v>285</v>
      </c>
      <c r="N93" s="62"/>
      <c r="O93" s="62"/>
      <c r="P93" s="11"/>
      <c r="Q93" s="14">
        <v>3420.0</v>
      </c>
      <c r="R93" s="16">
        <f t="shared" si="1"/>
        <v>3420</v>
      </c>
      <c r="S93" s="16">
        <f t="shared" si="2"/>
        <v>547.2</v>
      </c>
      <c r="T93" s="16">
        <f t="shared" si="3"/>
        <v>3967.2</v>
      </c>
      <c r="U93" s="19" t="s">
        <v>213</v>
      </c>
      <c r="V93" s="16"/>
      <c r="W93" s="16"/>
    </row>
    <row r="94" ht="15.75" customHeight="1">
      <c r="A94" s="19">
        <v>30.0</v>
      </c>
      <c r="B94" s="19">
        <v>34.0</v>
      </c>
      <c r="C94" s="55">
        <v>1043.0</v>
      </c>
      <c r="D94" s="30">
        <v>46227.0</v>
      </c>
      <c r="E94" s="19">
        <v>1.0</v>
      </c>
      <c r="F94" s="10" t="s">
        <v>32</v>
      </c>
      <c r="G94" s="56" t="s">
        <v>251</v>
      </c>
      <c r="H94" s="19">
        <v>14.0</v>
      </c>
      <c r="I94" s="56">
        <v>22440.0</v>
      </c>
      <c r="J94" s="56" t="s">
        <v>87</v>
      </c>
      <c r="K94" s="19" t="s">
        <v>36</v>
      </c>
      <c r="L94" s="56" t="s">
        <v>285</v>
      </c>
      <c r="M94" s="56" t="s">
        <v>288</v>
      </c>
      <c r="N94" s="62"/>
      <c r="O94" s="62"/>
      <c r="P94" s="11"/>
      <c r="Q94" s="14">
        <v>3420.0</v>
      </c>
      <c r="R94" s="16">
        <f t="shared" si="1"/>
        <v>3420</v>
      </c>
      <c r="S94" s="16">
        <f t="shared" si="2"/>
        <v>547.2</v>
      </c>
      <c r="T94" s="16">
        <f t="shared" si="3"/>
        <v>3967.2</v>
      </c>
      <c r="U94" s="19" t="s">
        <v>213</v>
      </c>
      <c r="V94" s="16"/>
      <c r="W94" s="16"/>
    </row>
    <row r="95" ht="15.75" customHeight="1">
      <c r="A95" s="19">
        <v>30.0</v>
      </c>
      <c r="B95" s="19">
        <v>35.0</v>
      </c>
      <c r="C95" s="55">
        <v>1044.0</v>
      </c>
      <c r="D95" s="30">
        <v>46227.0</v>
      </c>
      <c r="E95" s="19">
        <v>1.0</v>
      </c>
      <c r="F95" s="10" t="s">
        <v>32</v>
      </c>
      <c r="G95" s="56" t="s">
        <v>188</v>
      </c>
      <c r="H95" s="19">
        <v>14.0</v>
      </c>
      <c r="I95" s="56">
        <v>22790.0</v>
      </c>
      <c r="J95" s="56" t="s">
        <v>189</v>
      </c>
      <c r="K95" s="19" t="s">
        <v>36</v>
      </c>
      <c r="L95" s="56" t="s">
        <v>288</v>
      </c>
      <c r="M95" s="56" t="s">
        <v>289</v>
      </c>
      <c r="N95" s="62"/>
      <c r="O95" s="62"/>
      <c r="P95" s="11"/>
      <c r="Q95" s="14">
        <v>3420.0</v>
      </c>
      <c r="R95" s="16">
        <f t="shared" si="1"/>
        <v>3420</v>
      </c>
      <c r="S95" s="16">
        <f t="shared" si="2"/>
        <v>547.2</v>
      </c>
      <c r="T95" s="16">
        <f t="shared" si="3"/>
        <v>3967.2</v>
      </c>
      <c r="U95" s="19" t="s">
        <v>213</v>
      </c>
      <c r="V95" s="16"/>
      <c r="W95" s="16"/>
    </row>
    <row r="96" ht="15.75" customHeight="1">
      <c r="A96" s="19">
        <v>30.0</v>
      </c>
      <c r="B96" s="19">
        <v>36.0</v>
      </c>
      <c r="C96" s="55">
        <v>1045.0</v>
      </c>
      <c r="D96" s="30">
        <v>46227.0</v>
      </c>
      <c r="E96" s="19">
        <v>1.0</v>
      </c>
      <c r="F96" s="10" t="s">
        <v>32</v>
      </c>
      <c r="G96" s="56" t="s">
        <v>228</v>
      </c>
      <c r="H96" s="19">
        <v>14.0</v>
      </c>
      <c r="I96" s="56">
        <v>21710.0</v>
      </c>
      <c r="J96" s="56" t="s">
        <v>184</v>
      </c>
      <c r="K96" s="19" t="s">
        <v>36</v>
      </c>
      <c r="L96" s="56" t="s">
        <v>289</v>
      </c>
      <c r="M96" s="56" t="s">
        <v>240</v>
      </c>
      <c r="N96" s="62"/>
      <c r="O96" s="62"/>
      <c r="P96" s="11"/>
      <c r="Q96" s="14">
        <v>3420.0</v>
      </c>
      <c r="R96" s="16">
        <f t="shared" si="1"/>
        <v>3420</v>
      </c>
      <c r="S96" s="16">
        <f t="shared" si="2"/>
        <v>547.2</v>
      </c>
      <c r="T96" s="16">
        <f t="shared" si="3"/>
        <v>3967.2</v>
      </c>
      <c r="U96" s="19" t="s">
        <v>213</v>
      </c>
      <c r="V96" s="16"/>
      <c r="W96" s="16"/>
    </row>
    <row r="97" ht="15.75" customHeight="1">
      <c r="A97" s="19">
        <v>30.0</v>
      </c>
      <c r="B97" s="19">
        <v>37.0</v>
      </c>
      <c r="C97" s="55">
        <v>1046.0</v>
      </c>
      <c r="D97" s="30">
        <v>46227.0</v>
      </c>
      <c r="E97" s="19">
        <v>1.0</v>
      </c>
      <c r="F97" s="10" t="s">
        <v>32</v>
      </c>
      <c r="G97" s="56" t="s">
        <v>291</v>
      </c>
      <c r="H97" s="19">
        <v>14.0</v>
      </c>
      <c r="I97" s="56">
        <v>20290.0</v>
      </c>
      <c r="J97" s="56" t="s">
        <v>292</v>
      </c>
      <c r="K97" s="19" t="s">
        <v>36</v>
      </c>
      <c r="L97" s="56" t="s">
        <v>240</v>
      </c>
      <c r="M97" s="56" t="s">
        <v>243</v>
      </c>
      <c r="N97" s="62"/>
      <c r="O97" s="62"/>
      <c r="P97" s="11"/>
      <c r="Q97" s="14">
        <v>3420.0</v>
      </c>
      <c r="R97" s="16">
        <f t="shared" si="1"/>
        <v>3420</v>
      </c>
      <c r="S97" s="16">
        <f t="shared" si="2"/>
        <v>547.2</v>
      </c>
      <c r="T97" s="16">
        <f t="shared" si="3"/>
        <v>3967.2</v>
      </c>
      <c r="U97" s="19" t="s">
        <v>213</v>
      </c>
      <c r="V97" s="16"/>
      <c r="W97" s="16"/>
    </row>
    <row r="98" ht="15.75" customHeight="1">
      <c r="A98" s="19">
        <v>30.0</v>
      </c>
      <c r="B98" s="19">
        <v>38.0</v>
      </c>
      <c r="C98" s="55">
        <v>1047.0</v>
      </c>
      <c r="D98" s="30">
        <v>46227.0</v>
      </c>
      <c r="E98" s="19">
        <v>1.0</v>
      </c>
      <c r="F98" s="10" t="s">
        <v>32</v>
      </c>
      <c r="G98" s="56" t="s">
        <v>109</v>
      </c>
      <c r="H98" s="19">
        <v>14.0</v>
      </c>
      <c r="I98" s="56">
        <v>23200.0</v>
      </c>
      <c r="J98" s="56" t="s">
        <v>35</v>
      </c>
      <c r="K98" s="19" t="s">
        <v>36</v>
      </c>
      <c r="L98" s="56" t="s">
        <v>243</v>
      </c>
      <c r="M98" s="56" t="s">
        <v>293</v>
      </c>
      <c r="N98" s="62"/>
      <c r="O98" s="62"/>
      <c r="P98" s="11"/>
      <c r="Q98" s="14">
        <v>3420.0</v>
      </c>
      <c r="R98" s="16">
        <f t="shared" si="1"/>
        <v>3420</v>
      </c>
      <c r="S98" s="16">
        <f t="shared" si="2"/>
        <v>547.2</v>
      </c>
      <c r="T98" s="16">
        <f t="shared" si="3"/>
        <v>3967.2</v>
      </c>
      <c r="U98" s="19" t="s">
        <v>213</v>
      </c>
      <c r="V98" s="16"/>
      <c r="W98" s="16"/>
    </row>
    <row r="99" ht="15.75" customHeight="1">
      <c r="A99" s="19">
        <v>30.0</v>
      </c>
      <c r="B99" s="19">
        <v>39.0</v>
      </c>
      <c r="C99" s="55">
        <v>1048.0</v>
      </c>
      <c r="D99" s="30">
        <v>46227.0</v>
      </c>
      <c r="E99" s="19">
        <v>1.0</v>
      </c>
      <c r="F99" s="10" t="s">
        <v>32</v>
      </c>
      <c r="G99" s="56" t="s">
        <v>223</v>
      </c>
      <c r="H99" s="19">
        <v>14.0</v>
      </c>
      <c r="I99" s="56">
        <v>20730.0</v>
      </c>
      <c r="J99" s="56" t="s">
        <v>224</v>
      </c>
      <c r="K99" s="19" t="s">
        <v>36</v>
      </c>
      <c r="L99" s="70" t="s">
        <v>293</v>
      </c>
      <c r="M99" s="70" t="s">
        <v>295</v>
      </c>
      <c r="N99" s="62"/>
      <c r="O99" s="62"/>
      <c r="P99" s="71"/>
      <c r="Q99" s="14">
        <v>3420.0</v>
      </c>
      <c r="R99" s="16">
        <f t="shared" si="1"/>
        <v>3420</v>
      </c>
      <c r="S99" s="16">
        <f t="shared" si="2"/>
        <v>547.2</v>
      </c>
      <c r="T99" s="16">
        <f t="shared" si="3"/>
        <v>3967.2</v>
      </c>
      <c r="U99" s="19" t="s">
        <v>213</v>
      </c>
      <c r="V99" s="16"/>
      <c r="W99" s="16"/>
    </row>
    <row r="100" ht="15.75" customHeight="1">
      <c r="A100" s="19">
        <v>30.0</v>
      </c>
      <c r="B100" s="19">
        <v>40.0</v>
      </c>
      <c r="C100" s="55">
        <v>1049.0</v>
      </c>
      <c r="D100" s="30">
        <v>46227.0</v>
      </c>
      <c r="E100" s="19">
        <v>1.0</v>
      </c>
      <c r="F100" s="10" t="s">
        <v>32</v>
      </c>
      <c r="G100" s="56">
        <v>1416062.0</v>
      </c>
      <c r="H100" s="19">
        <v>14.0</v>
      </c>
      <c r="I100" s="56">
        <v>21840.0</v>
      </c>
      <c r="J100" s="56" t="s">
        <v>104</v>
      </c>
      <c r="K100" s="19" t="s">
        <v>36</v>
      </c>
      <c r="L100" s="70" t="s">
        <v>259</v>
      </c>
      <c r="M100" s="70" t="s">
        <v>270</v>
      </c>
      <c r="N100" s="72"/>
      <c r="O100" s="62"/>
      <c r="P100" s="11"/>
      <c r="Q100" s="14">
        <v>3420.0</v>
      </c>
      <c r="R100" s="16">
        <f t="shared" si="1"/>
        <v>3420</v>
      </c>
      <c r="S100" s="16">
        <f t="shared" si="2"/>
        <v>547.2</v>
      </c>
      <c r="T100" s="16">
        <f t="shared" si="3"/>
        <v>3967.2</v>
      </c>
      <c r="U100" s="19" t="s">
        <v>213</v>
      </c>
      <c r="V100" s="16"/>
      <c r="W100" s="16"/>
    </row>
    <row r="101" ht="15.75" customHeight="1">
      <c r="A101" s="19">
        <v>30.0</v>
      </c>
      <c r="B101" s="19">
        <v>41.0</v>
      </c>
      <c r="C101" s="55">
        <v>1050.0</v>
      </c>
      <c r="D101" s="30">
        <v>46227.0</v>
      </c>
      <c r="E101" s="19">
        <v>1.0</v>
      </c>
      <c r="F101" s="10" t="s">
        <v>32</v>
      </c>
      <c r="G101" s="56" t="s">
        <v>272</v>
      </c>
      <c r="H101" s="19">
        <v>14.0</v>
      </c>
      <c r="I101" s="56">
        <v>22590.0</v>
      </c>
      <c r="J101" s="56" t="s">
        <v>226</v>
      </c>
      <c r="K101" s="19" t="s">
        <v>36</v>
      </c>
      <c r="L101" s="70" t="s">
        <v>295</v>
      </c>
      <c r="M101" s="70" t="s">
        <v>245</v>
      </c>
      <c r="N101" s="72"/>
      <c r="O101" s="62"/>
      <c r="P101" s="11"/>
      <c r="Q101" s="14">
        <v>3420.0</v>
      </c>
      <c r="R101" s="16">
        <f t="shared" si="1"/>
        <v>3420</v>
      </c>
      <c r="S101" s="16">
        <f t="shared" si="2"/>
        <v>547.2</v>
      </c>
      <c r="T101" s="16">
        <f t="shared" si="3"/>
        <v>3967.2</v>
      </c>
      <c r="U101" s="19" t="s">
        <v>213</v>
      </c>
      <c r="V101" s="16"/>
      <c r="W101" s="16"/>
    </row>
    <row r="102" ht="15.75" customHeight="1">
      <c r="A102" s="19">
        <v>30.0</v>
      </c>
      <c r="B102" s="19">
        <v>42.0</v>
      </c>
      <c r="C102" s="55">
        <v>1051.0</v>
      </c>
      <c r="D102" s="30">
        <v>46227.0</v>
      </c>
      <c r="E102" s="19">
        <v>1.0</v>
      </c>
      <c r="F102" s="10" t="s">
        <v>32</v>
      </c>
      <c r="G102" s="56" t="s">
        <v>170</v>
      </c>
      <c r="H102" s="19">
        <v>14.0</v>
      </c>
      <c r="I102" s="56">
        <v>21750.0</v>
      </c>
      <c r="J102" s="56" t="s">
        <v>171</v>
      </c>
      <c r="K102" s="19" t="s">
        <v>36</v>
      </c>
      <c r="L102" s="70" t="s">
        <v>270</v>
      </c>
      <c r="M102" s="70" t="s">
        <v>297</v>
      </c>
      <c r="N102" s="72"/>
      <c r="O102" s="62"/>
      <c r="P102" s="11"/>
      <c r="Q102" s="14">
        <v>3420.0</v>
      </c>
      <c r="R102" s="16">
        <f t="shared" si="1"/>
        <v>3420</v>
      </c>
      <c r="S102" s="16">
        <f t="shared" si="2"/>
        <v>547.2</v>
      </c>
      <c r="T102" s="16">
        <f t="shared" si="3"/>
        <v>3967.2</v>
      </c>
      <c r="U102" s="19" t="s">
        <v>213</v>
      </c>
      <c r="V102" s="16"/>
      <c r="W102" s="16"/>
    </row>
    <row r="103" ht="15.75" customHeight="1">
      <c r="A103" s="19">
        <v>30.0</v>
      </c>
      <c r="B103" s="19">
        <v>43.0</v>
      </c>
      <c r="C103" s="55">
        <v>1052.0</v>
      </c>
      <c r="D103" s="30">
        <v>46227.0</v>
      </c>
      <c r="E103" s="19">
        <v>1.0</v>
      </c>
      <c r="F103" s="10" t="s">
        <v>32</v>
      </c>
      <c r="G103" s="56" t="s">
        <v>124</v>
      </c>
      <c r="H103" s="19">
        <v>14.0</v>
      </c>
      <c r="I103" s="56">
        <v>22230.0</v>
      </c>
      <c r="J103" s="56" t="s">
        <v>198</v>
      </c>
      <c r="K103" s="19" t="s">
        <v>36</v>
      </c>
      <c r="L103" s="70" t="s">
        <v>297</v>
      </c>
      <c r="M103" s="70" t="s">
        <v>298</v>
      </c>
      <c r="N103" s="72"/>
      <c r="O103" s="62"/>
      <c r="P103" s="11"/>
      <c r="Q103" s="14">
        <v>3420.0</v>
      </c>
      <c r="R103" s="16">
        <f t="shared" si="1"/>
        <v>3420</v>
      </c>
      <c r="S103" s="16">
        <f t="shared" si="2"/>
        <v>547.2</v>
      </c>
      <c r="T103" s="16">
        <f t="shared" si="3"/>
        <v>3967.2</v>
      </c>
      <c r="U103" s="19" t="s">
        <v>213</v>
      </c>
      <c r="V103" s="16"/>
      <c r="W103" s="16"/>
    </row>
    <row r="104" ht="15.75" customHeight="1">
      <c r="A104" s="19">
        <v>30.0</v>
      </c>
      <c r="B104" s="19">
        <v>44.0</v>
      </c>
      <c r="C104" s="55">
        <v>1053.0</v>
      </c>
      <c r="D104" s="30">
        <v>46227.0</v>
      </c>
      <c r="E104" s="19">
        <v>1.0</v>
      </c>
      <c r="F104" s="10" t="s">
        <v>32</v>
      </c>
      <c r="G104" s="56" t="s">
        <v>176</v>
      </c>
      <c r="H104" s="19">
        <v>14.0</v>
      </c>
      <c r="I104" s="56">
        <v>20140.0</v>
      </c>
      <c r="J104" s="56" t="s">
        <v>40</v>
      </c>
      <c r="K104" s="19" t="s">
        <v>36</v>
      </c>
      <c r="L104" s="70" t="s">
        <v>298</v>
      </c>
      <c r="M104" s="70" t="s">
        <v>299</v>
      </c>
      <c r="N104" s="72"/>
      <c r="O104" s="62"/>
      <c r="P104" s="11"/>
      <c r="Q104" s="14">
        <v>3420.0</v>
      </c>
      <c r="R104" s="16">
        <f t="shared" si="1"/>
        <v>3420</v>
      </c>
      <c r="S104" s="16">
        <f t="shared" si="2"/>
        <v>547.2</v>
      </c>
      <c r="T104" s="16">
        <f t="shared" si="3"/>
        <v>3967.2</v>
      </c>
      <c r="U104" s="19" t="s">
        <v>213</v>
      </c>
      <c r="V104" s="16"/>
      <c r="W104" s="16"/>
    </row>
    <row r="105" ht="15.75" customHeight="1">
      <c r="A105" s="19">
        <v>30.0</v>
      </c>
      <c r="B105" s="19">
        <v>45.0</v>
      </c>
      <c r="C105" s="55">
        <v>1054.0</v>
      </c>
      <c r="D105" s="30">
        <v>46227.0</v>
      </c>
      <c r="E105" s="19">
        <v>1.0</v>
      </c>
      <c r="F105" s="10" t="s">
        <v>32</v>
      </c>
      <c r="G105" s="56" t="s">
        <v>300</v>
      </c>
      <c r="H105" s="19">
        <v>14.0</v>
      </c>
      <c r="I105" s="56">
        <v>22640.0</v>
      </c>
      <c r="J105" s="56" t="s">
        <v>301</v>
      </c>
      <c r="K105" s="19" t="s">
        <v>36</v>
      </c>
      <c r="L105" s="70" t="s">
        <v>273</v>
      </c>
      <c r="M105" s="70" t="s">
        <v>266</v>
      </c>
      <c r="N105" s="72"/>
      <c r="O105" s="62"/>
      <c r="P105" s="11"/>
      <c r="Q105" s="14">
        <v>3420.0</v>
      </c>
      <c r="R105" s="16">
        <f t="shared" si="1"/>
        <v>3420</v>
      </c>
      <c r="S105" s="16">
        <f t="shared" si="2"/>
        <v>547.2</v>
      </c>
      <c r="T105" s="16">
        <f t="shared" si="3"/>
        <v>3967.2</v>
      </c>
      <c r="U105" s="19" t="s">
        <v>213</v>
      </c>
      <c r="V105" s="16"/>
      <c r="W105" s="16"/>
    </row>
    <row r="106" ht="15.75" customHeight="1">
      <c r="A106" s="19">
        <v>30.0</v>
      </c>
      <c r="B106" s="19">
        <v>46.0</v>
      </c>
      <c r="C106" s="55">
        <v>1055.0</v>
      </c>
      <c r="D106" s="30">
        <v>46227.0</v>
      </c>
      <c r="E106" s="19">
        <v>1.0</v>
      </c>
      <c r="F106" s="10" t="s">
        <v>32</v>
      </c>
      <c r="G106" s="56" t="s">
        <v>280</v>
      </c>
      <c r="H106" s="19">
        <v>14.0</v>
      </c>
      <c r="I106" s="56">
        <v>21080.0</v>
      </c>
      <c r="J106" s="56" t="s">
        <v>281</v>
      </c>
      <c r="K106" s="19" t="s">
        <v>36</v>
      </c>
      <c r="L106" s="70" t="s">
        <v>299</v>
      </c>
      <c r="M106" s="70" t="s">
        <v>273</v>
      </c>
      <c r="N106" s="72"/>
      <c r="O106" s="62"/>
      <c r="P106" s="11"/>
      <c r="Q106" s="14">
        <v>3420.0</v>
      </c>
      <c r="R106" s="16">
        <f t="shared" si="1"/>
        <v>3420</v>
      </c>
      <c r="S106" s="16">
        <f t="shared" si="2"/>
        <v>547.2</v>
      </c>
      <c r="T106" s="16">
        <f t="shared" si="3"/>
        <v>3967.2</v>
      </c>
      <c r="U106" s="19" t="s">
        <v>213</v>
      </c>
      <c r="V106" s="16"/>
      <c r="W106" s="16"/>
    </row>
    <row r="107" ht="15.75" customHeight="1">
      <c r="A107" s="19">
        <v>30.0</v>
      </c>
      <c r="B107" s="19">
        <v>47.0</v>
      </c>
      <c r="C107" s="55">
        <v>1056.0</v>
      </c>
      <c r="D107" s="30">
        <v>46227.0</v>
      </c>
      <c r="E107" s="19">
        <v>1.0</v>
      </c>
      <c r="F107" s="10" t="s">
        <v>32</v>
      </c>
      <c r="G107" s="56" t="s">
        <v>179</v>
      </c>
      <c r="H107" s="19">
        <v>14.0</v>
      </c>
      <c r="I107" s="56">
        <v>20740.0</v>
      </c>
      <c r="J107" s="56" t="s">
        <v>180</v>
      </c>
      <c r="K107" s="19" t="s">
        <v>36</v>
      </c>
      <c r="L107" s="70" t="s">
        <v>266</v>
      </c>
      <c r="M107" s="70" t="s">
        <v>277</v>
      </c>
      <c r="N107" s="72"/>
      <c r="O107" s="62"/>
      <c r="P107" s="11"/>
      <c r="Q107" s="14">
        <v>3420.0</v>
      </c>
      <c r="R107" s="16">
        <f t="shared" si="1"/>
        <v>3420</v>
      </c>
      <c r="S107" s="16">
        <f t="shared" si="2"/>
        <v>547.2</v>
      </c>
      <c r="T107" s="16">
        <f t="shared" si="3"/>
        <v>3967.2</v>
      </c>
      <c r="U107" s="19" t="s">
        <v>213</v>
      </c>
      <c r="V107" s="16"/>
      <c r="W107" s="16"/>
    </row>
    <row r="108" ht="15.75" customHeight="1">
      <c r="A108" s="19">
        <v>30.0</v>
      </c>
      <c r="B108" s="19">
        <v>48.0</v>
      </c>
      <c r="C108" s="55">
        <v>1057.0</v>
      </c>
      <c r="D108" s="30">
        <v>46227.0</v>
      </c>
      <c r="E108" s="19">
        <v>1.0</v>
      </c>
      <c r="F108" s="10" t="s">
        <v>32</v>
      </c>
      <c r="G108" s="56" t="s">
        <v>211</v>
      </c>
      <c r="H108" s="19">
        <v>14.0</v>
      </c>
      <c r="I108" s="56">
        <v>23120.0</v>
      </c>
      <c r="J108" s="56" t="s">
        <v>246</v>
      </c>
      <c r="K108" s="19" t="s">
        <v>36</v>
      </c>
      <c r="L108" s="70" t="s">
        <v>277</v>
      </c>
      <c r="M108" s="70" t="s">
        <v>268</v>
      </c>
      <c r="N108" s="72"/>
      <c r="O108" s="62"/>
      <c r="P108" s="11"/>
      <c r="Q108" s="14">
        <v>3420.0</v>
      </c>
      <c r="R108" s="16">
        <f t="shared" si="1"/>
        <v>3420</v>
      </c>
      <c r="S108" s="16">
        <f t="shared" si="2"/>
        <v>547.2</v>
      </c>
      <c r="T108" s="16">
        <f t="shared" si="3"/>
        <v>3967.2</v>
      </c>
      <c r="U108" s="19" t="s">
        <v>213</v>
      </c>
      <c r="V108" s="16"/>
      <c r="W108" s="16"/>
    </row>
    <row r="109" ht="15.75" customHeight="1">
      <c r="A109" s="19">
        <v>30.0</v>
      </c>
      <c r="B109" s="19">
        <v>49.0</v>
      </c>
      <c r="C109" s="55">
        <v>1058.0</v>
      </c>
      <c r="D109" s="30">
        <v>46227.0</v>
      </c>
      <c r="E109" s="19">
        <v>1.0</v>
      </c>
      <c r="F109" s="10" t="s">
        <v>32</v>
      </c>
      <c r="G109" s="56" t="s">
        <v>191</v>
      </c>
      <c r="H109" s="19">
        <v>14.0</v>
      </c>
      <c r="I109" s="56">
        <v>23760.0</v>
      </c>
      <c r="J109" s="56" t="s">
        <v>192</v>
      </c>
      <c r="K109" s="19" t="s">
        <v>36</v>
      </c>
      <c r="L109" s="70" t="s">
        <v>268</v>
      </c>
      <c r="M109" s="70" t="s">
        <v>269</v>
      </c>
      <c r="N109" s="72"/>
      <c r="O109" s="62"/>
      <c r="P109" s="11"/>
      <c r="Q109" s="14">
        <v>3420.0</v>
      </c>
      <c r="R109" s="16">
        <f t="shared" si="1"/>
        <v>3420</v>
      </c>
      <c r="S109" s="16">
        <f t="shared" si="2"/>
        <v>547.2</v>
      </c>
      <c r="T109" s="16">
        <f t="shared" si="3"/>
        <v>3967.2</v>
      </c>
      <c r="U109" s="19" t="s">
        <v>213</v>
      </c>
      <c r="V109" s="16"/>
      <c r="W109" s="16"/>
    </row>
    <row r="110" ht="15.75" customHeight="1">
      <c r="A110" s="27">
        <v>31.0</v>
      </c>
      <c r="B110" s="27">
        <v>1.0</v>
      </c>
      <c r="C110" s="54">
        <v>1126.0</v>
      </c>
      <c r="D110" s="30">
        <v>46233.0</v>
      </c>
      <c r="E110" s="19">
        <v>1.0</v>
      </c>
      <c r="F110" s="10" t="s">
        <v>32</v>
      </c>
      <c r="G110" s="19" t="s">
        <v>291</v>
      </c>
      <c r="H110" s="27">
        <v>14.0</v>
      </c>
      <c r="I110" s="19">
        <v>22450.0</v>
      </c>
      <c r="J110" s="19" t="s">
        <v>302</v>
      </c>
      <c r="K110" s="19" t="s">
        <v>36</v>
      </c>
      <c r="L110" s="73" t="s">
        <v>269</v>
      </c>
      <c r="M110" s="73" t="s">
        <v>303</v>
      </c>
      <c r="N110" s="74"/>
      <c r="O110" s="11"/>
      <c r="P110" s="11"/>
      <c r="Q110" s="14">
        <v>2850.0</v>
      </c>
      <c r="R110" s="16">
        <f t="shared" si="1"/>
        <v>2850</v>
      </c>
      <c r="S110" s="16">
        <f t="shared" si="2"/>
        <v>456</v>
      </c>
      <c r="T110" s="16">
        <f t="shared" si="3"/>
        <v>3306</v>
      </c>
      <c r="U110" s="19" t="s">
        <v>213</v>
      </c>
      <c r="V110" s="16"/>
      <c r="W110" s="16"/>
      <c r="X110" s="75"/>
      <c r="Y110" s="75"/>
      <c r="Z110" s="75"/>
    </row>
    <row r="111" ht="15.75" customHeight="1">
      <c r="A111" s="27">
        <v>31.0</v>
      </c>
      <c r="B111" s="27">
        <v>2.0</v>
      </c>
      <c r="C111" s="54">
        <v>1127.0</v>
      </c>
      <c r="D111" s="30">
        <v>46233.0</v>
      </c>
      <c r="E111" s="19">
        <v>1.0</v>
      </c>
      <c r="F111" s="10" t="s">
        <v>32</v>
      </c>
      <c r="G111" s="19" t="s">
        <v>179</v>
      </c>
      <c r="H111" s="27">
        <v>14.0</v>
      </c>
      <c r="I111" s="19">
        <v>24660.0</v>
      </c>
      <c r="J111" s="19" t="s">
        <v>180</v>
      </c>
      <c r="K111" s="19" t="s">
        <v>36</v>
      </c>
      <c r="L111" s="73" t="s">
        <v>303</v>
      </c>
      <c r="M111" s="73" t="s">
        <v>304</v>
      </c>
      <c r="N111" s="74"/>
      <c r="O111" s="11"/>
      <c r="P111" s="11"/>
      <c r="Q111" s="14">
        <v>2850.0</v>
      </c>
      <c r="R111" s="16">
        <f t="shared" si="1"/>
        <v>2850</v>
      </c>
      <c r="S111" s="16">
        <f t="shared" si="2"/>
        <v>456</v>
      </c>
      <c r="T111" s="16">
        <f t="shared" si="3"/>
        <v>3306</v>
      </c>
      <c r="U111" s="19" t="s">
        <v>213</v>
      </c>
      <c r="V111" s="16"/>
      <c r="W111" s="16"/>
      <c r="X111" s="75"/>
      <c r="Y111" s="75"/>
      <c r="Z111" s="75"/>
    </row>
    <row r="112" ht="15.75" customHeight="1">
      <c r="A112" s="27">
        <v>31.0</v>
      </c>
      <c r="B112" s="27">
        <v>3.0</v>
      </c>
      <c r="C112" s="54">
        <v>1128.0</v>
      </c>
      <c r="D112" s="30">
        <v>46233.0</v>
      </c>
      <c r="E112" s="19">
        <v>1.0</v>
      </c>
      <c r="F112" s="10" t="s">
        <v>32</v>
      </c>
      <c r="G112" s="19" t="s">
        <v>188</v>
      </c>
      <c r="H112" s="27">
        <v>14.0</v>
      </c>
      <c r="I112" s="19">
        <v>25540.0</v>
      </c>
      <c r="J112" s="19" t="s">
        <v>189</v>
      </c>
      <c r="K112" s="19" t="s">
        <v>36</v>
      </c>
      <c r="L112" s="73" t="s">
        <v>304</v>
      </c>
      <c r="M112" s="73" t="s">
        <v>305</v>
      </c>
      <c r="N112" s="74"/>
      <c r="O112" s="11"/>
      <c r="P112" s="11"/>
      <c r="Q112" s="14">
        <v>2850.0</v>
      </c>
      <c r="R112" s="16">
        <f t="shared" si="1"/>
        <v>2850</v>
      </c>
      <c r="S112" s="16">
        <f t="shared" si="2"/>
        <v>456</v>
      </c>
      <c r="T112" s="16">
        <f t="shared" si="3"/>
        <v>3306</v>
      </c>
      <c r="U112" s="19" t="s">
        <v>213</v>
      </c>
      <c r="V112" s="16"/>
      <c r="W112" s="16"/>
      <c r="X112" s="75"/>
      <c r="Y112" s="75"/>
      <c r="Z112" s="75"/>
    </row>
    <row r="113" ht="15.75" customHeight="1">
      <c r="A113" s="27">
        <v>31.0</v>
      </c>
      <c r="B113" s="27">
        <v>4.0</v>
      </c>
      <c r="C113" s="54">
        <v>1129.0</v>
      </c>
      <c r="D113" s="30">
        <v>46233.0</v>
      </c>
      <c r="E113" s="19">
        <v>1.0</v>
      </c>
      <c r="F113" s="10" t="s">
        <v>32</v>
      </c>
      <c r="G113" s="19" t="s">
        <v>228</v>
      </c>
      <c r="H113" s="27">
        <v>14.0</v>
      </c>
      <c r="I113" s="19">
        <v>25450.0</v>
      </c>
      <c r="J113" s="19" t="s">
        <v>306</v>
      </c>
      <c r="K113" s="19" t="s">
        <v>36</v>
      </c>
      <c r="L113" s="73" t="s">
        <v>307</v>
      </c>
      <c r="M113" s="73" t="s">
        <v>308</v>
      </c>
      <c r="N113" s="74"/>
      <c r="O113" s="11"/>
      <c r="P113" s="11"/>
      <c r="Q113" s="14">
        <v>2850.0</v>
      </c>
      <c r="R113" s="16">
        <f t="shared" si="1"/>
        <v>2850</v>
      </c>
      <c r="S113" s="16">
        <f t="shared" si="2"/>
        <v>456</v>
      </c>
      <c r="T113" s="16">
        <f t="shared" si="3"/>
        <v>3306</v>
      </c>
      <c r="U113" s="19" t="s">
        <v>213</v>
      </c>
      <c r="V113" s="16"/>
      <c r="W113" s="16"/>
      <c r="X113" s="75"/>
      <c r="Y113" s="75"/>
      <c r="Z113" s="75"/>
    </row>
    <row r="114" ht="15.75" customHeight="1">
      <c r="A114" s="27">
        <v>31.0</v>
      </c>
      <c r="B114" s="27">
        <v>5.0</v>
      </c>
      <c r="C114" s="54">
        <v>1130.0</v>
      </c>
      <c r="D114" s="30">
        <v>46233.0</v>
      </c>
      <c r="E114" s="19">
        <v>1.0</v>
      </c>
      <c r="F114" s="10" t="s">
        <v>32</v>
      </c>
      <c r="G114" s="19" t="s">
        <v>211</v>
      </c>
      <c r="H114" s="27">
        <v>14.0</v>
      </c>
      <c r="I114" s="19">
        <v>25010.0</v>
      </c>
      <c r="J114" s="19" t="s">
        <v>309</v>
      </c>
      <c r="K114" s="19" t="s">
        <v>36</v>
      </c>
      <c r="L114" s="73" t="s">
        <v>308</v>
      </c>
      <c r="M114" s="73" t="s">
        <v>310</v>
      </c>
      <c r="N114" s="74"/>
      <c r="O114" s="11"/>
      <c r="P114" s="11"/>
      <c r="Q114" s="14">
        <v>2850.0</v>
      </c>
      <c r="R114" s="16">
        <f t="shared" si="1"/>
        <v>2850</v>
      </c>
      <c r="S114" s="16">
        <f t="shared" si="2"/>
        <v>456</v>
      </c>
      <c r="T114" s="16">
        <f t="shared" si="3"/>
        <v>3306</v>
      </c>
      <c r="U114" s="19" t="s">
        <v>213</v>
      </c>
      <c r="V114" s="16"/>
      <c r="W114" s="16"/>
      <c r="X114" s="75"/>
      <c r="Y114" s="75"/>
      <c r="Z114" s="75"/>
    </row>
    <row r="115" ht="15.75" customHeight="1">
      <c r="A115" s="27">
        <v>31.0</v>
      </c>
      <c r="B115" s="27">
        <v>6.0</v>
      </c>
      <c r="C115" s="54">
        <v>1131.0</v>
      </c>
      <c r="D115" s="30">
        <v>46233.0</v>
      </c>
      <c r="E115" s="19">
        <v>1.0</v>
      </c>
      <c r="F115" s="10" t="s">
        <v>32</v>
      </c>
      <c r="G115" s="19" t="s">
        <v>311</v>
      </c>
      <c r="H115" s="27">
        <v>14.0</v>
      </c>
      <c r="I115" s="19">
        <v>26220.0</v>
      </c>
      <c r="J115" s="19" t="s">
        <v>314</v>
      </c>
      <c r="K115" s="19" t="s">
        <v>36</v>
      </c>
      <c r="L115" s="73" t="s">
        <v>310</v>
      </c>
      <c r="M115" s="73" t="s">
        <v>315</v>
      </c>
      <c r="N115" s="74"/>
      <c r="O115" s="11"/>
      <c r="P115" s="11"/>
      <c r="Q115" s="14">
        <v>2989.0</v>
      </c>
      <c r="R115" s="16">
        <f t="shared" si="1"/>
        <v>2989</v>
      </c>
      <c r="S115" s="16">
        <f t="shared" si="2"/>
        <v>478.24</v>
      </c>
      <c r="T115" s="16">
        <f t="shared" si="3"/>
        <v>3467.24</v>
      </c>
      <c r="U115" s="19" t="s">
        <v>213</v>
      </c>
      <c r="V115" s="16"/>
      <c r="W115" s="16"/>
      <c r="X115" s="75"/>
      <c r="Y115" s="75"/>
      <c r="Z115" s="75"/>
    </row>
    <row r="116" ht="15.75" customHeight="1">
      <c r="A116" s="27">
        <v>31.0</v>
      </c>
      <c r="B116" s="27">
        <v>7.0</v>
      </c>
      <c r="C116" s="54">
        <v>1132.0</v>
      </c>
      <c r="D116" s="30">
        <v>46233.0</v>
      </c>
      <c r="E116" s="19">
        <v>1.0</v>
      </c>
      <c r="F116" s="10" t="s">
        <v>32</v>
      </c>
      <c r="G116" s="19" t="s">
        <v>258</v>
      </c>
      <c r="H116" s="27">
        <v>14.0</v>
      </c>
      <c r="I116" s="19">
        <v>24630.0</v>
      </c>
      <c r="J116" s="19" t="s">
        <v>219</v>
      </c>
      <c r="K116" s="19" t="s">
        <v>36</v>
      </c>
      <c r="L116" s="73" t="s">
        <v>315</v>
      </c>
      <c r="M116" s="73" t="s">
        <v>318</v>
      </c>
      <c r="N116" s="74"/>
      <c r="O116" s="11"/>
      <c r="P116" s="11"/>
      <c r="Q116" s="14">
        <v>2850.0</v>
      </c>
      <c r="R116" s="16">
        <f t="shared" si="1"/>
        <v>2850</v>
      </c>
      <c r="S116" s="16">
        <f t="shared" si="2"/>
        <v>456</v>
      </c>
      <c r="T116" s="16">
        <f t="shared" si="3"/>
        <v>3306</v>
      </c>
      <c r="U116" s="19" t="s">
        <v>213</v>
      </c>
      <c r="V116" s="16"/>
      <c r="W116" s="16"/>
      <c r="X116" s="75"/>
      <c r="Y116" s="75"/>
      <c r="Z116" s="75"/>
    </row>
    <row r="117" ht="15.75" customHeight="1">
      <c r="A117" s="27">
        <v>31.0</v>
      </c>
      <c r="B117" s="27">
        <v>8.0</v>
      </c>
      <c r="C117" s="54">
        <v>1133.0</v>
      </c>
      <c r="D117" s="30">
        <v>46233.0</v>
      </c>
      <c r="E117" s="19">
        <v>1.0</v>
      </c>
      <c r="F117" s="10" t="s">
        <v>32</v>
      </c>
      <c r="G117" s="19" t="s">
        <v>208</v>
      </c>
      <c r="H117" s="27">
        <v>14.0</v>
      </c>
      <c r="I117" s="19">
        <v>23600.0</v>
      </c>
      <c r="J117" s="19" t="s">
        <v>68</v>
      </c>
      <c r="K117" s="19" t="s">
        <v>36</v>
      </c>
      <c r="L117" s="73" t="s">
        <v>318</v>
      </c>
      <c r="M117" s="73" t="s">
        <v>319</v>
      </c>
      <c r="N117" s="13"/>
      <c r="O117" s="11"/>
      <c r="P117" s="11"/>
      <c r="Q117" s="14">
        <v>2850.0</v>
      </c>
      <c r="R117" s="16">
        <f t="shared" si="1"/>
        <v>2850</v>
      </c>
      <c r="S117" s="16">
        <f t="shared" si="2"/>
        <v>456</v>
      </c>
      <c r="T117" s="16">
        <f t="shared" si="3"/>
        <v>3306</v>
      </c>
      <c r="U117" s="19" t="s">
        <v>213</v>
      </c>
      <c r="V117" s="16"/>
      <c r="W117" s="16"/>
      <c r="X117" s="75"/>
      <c r="Y117" s="75"/>
      <c r="Z117" s="75"/>
    </row>
    <row r="118" ht="15.75" customHeight="1">
      <c r="A118" s="27">
        <v>31.0</v>
      </c>
      <c r="B118" s="27">
        <v>9.0</v>
      </c>
      <c r="C118" s="54">
        <v>1134.0</v>
      </c>
      <c r="D118" s="30">
        <v>46233.0</v>
      </c>
      <c r="E118" s="19">
        <v>1.0</v>
      </c>
      <c r="F118" s="10" t="s">
        <v>32</v>
      </c>
      <c r="G118" s="19" t="s">
        <v>116</v>
      </c>
      <c r="H118" s="19">
        <v>14.0</v>
      </c>
      <c r="I118" s="19">
        <v>25560.0</v>
      </c>
      <c r="J118" s="19" t="s">
        <v>320</v>
      </c>
      <c r="K118" s="19" t="s">
        <v>36</v>
      </c>
      <c r="L118" s="73" t="s">
        <v>319</v>
      </c>
      <c r="M118" s="73" t="s">
        <v>321</v>
      </c>
      <c r="N118" s="74"/>
      <c r="O118" s="11"/>
      <c r="P118" s="71"/>
      <c r="Q118" s="14">
        <v>2850.0</v>
      </c>
      <c r="R118" s="16">
        <f t="shared" si="1"/>
        <v>2850</v>
      </c>
      <c r="S118" s="16">
        <f t="shared" si="2"/>
        <v>456</v>
      </c>
      <c r="T118" s="16">
        <f t="shared" si="3"/>
        <v>3306</v>
      </c>
      <c r="U118" s="19" t="s">
        <v>213</v>
      </c>
      <c r="V118" s="16"/>
      <c r="W118" s="16"/>
      <c r="X118" s="75"/>
      <c r="Y118" s="75"/>
      <c r="Z118" s="75"/>
    </row>
    <row r="119" ht="15.75" customHeight="1">
      <c r="A119" s="27">
        <v>31.0</v>
      </c>
      <c r="B119" s="27">
        <v>10.0</v>
      </c>
      <c r="C119" s="54">
        <v>1135.0</v>
      </c>
      <c r="D119" s="30">
        <v>46233.0</v>
      </c>
      <c r="E119" s="19">
        <v>1.0</v>
      </c>
      <c r="F119" s="10" t="s">
        <v>32</v>
      </c>
      <c r="G119" s="19" t="s">
        <v>322</v>
      </c>
      <c r="H119" s="27">
        <v>14.0</v>
      </c>
      <c r="I119" s="19">
        <v>24830.0</v>
      </c>
      <c r="J119" s="19" t="s">
        <v>104</v>
      </c>
      <c r="K119" s="19" t="s">
        <v>36</v>
      </c>
      <c r="L119" s="73" t="s">
        <v>321</v>
      </c>
      <c r="M119" s="73" t="s">
        <v>323</v>
      </c>
      <c r="N119" s="74"/>
      <c r="O119" s="11"/>
      <c r="P119" s="11"/>
      <c r="Q119" s="14">
        <v>2850.0</v>
      </c>
      <c r="R119" s="16">
        <f t="shared" si="1"/>
        <v>2850</v>
      </c>
      <c r="S119" s="16">
        <f t="shared" si="2"/>
        <v>456</v>
      </c>
      <c r="T119" s="16">
        <f t="shared" si="3"/>
        <v>3306</v>
      </c>
      <c r="U119" s="19" t="s">
        <v>213</v>
      </c>
      <c r="V119" s="16"/>
      <c r="W119" s="16"/>
      <c r="X119" s="75"/>
      <c r="Y119" s="75"/>
      <c r="Z119" s="75"/>
    </row>
    <row r="120" ht="15.75" customHeight="1">
      <c r="A120" s="27">
        <v>31.0</v>
      </c>
      <c r="B120" s="27">
        <v>11.0</v>
      </c>
      <c r="C120" s="54">
        <v>1136.0</v>
      </c>
      <c r="D120" s="30">
        <v>46233.0</v>
      </c>
      <c r="E120" s="19">
        <v>1.0</v>
      </c>
      <c r="F120" s="10" t="s">
        <v>32</v>
      </c>
      <c r="G120" s="19" t="s">
        <v>251</v>
      </c>
      <c r="H120" s="27">
        <v>14.0</v>
      </c>
      <c r="I120" s="19">
        <v>23210.0</v>
      </c>
      <c r="J120" s="19" t="s">
        <v>87</v>
      </c>
      <c r="K120" s="19" t="s">
        <v>36</v>
      </c>
      <c r="L120" s="73" t="s">
        <v>326</v>
      </c>
      <c r="M120" s="73" t="s">
        <v>327</v>
      </c>
      <c r="N120" s="74"/>
      <c r="O120" s="11"/>
      <c r="P120" s="11"/>
      <c r="Q120" s="14">
        <v>2850.0</v>
      </c>
      <c r="R120" s="16">
        <f t="shared" si="1"/>
        <v>2850</v>
      </c>
      <c r="S120" s="16">
        <f t="shared" si="2"/>
        <v>456</v>
      </c>
      <c r="T120" s="16">
        <f t="shared" si="3"/>
        <v>3306</v>
      </c>
      <c r="U120" s="19" t="s">
        <v>213</v>
      </c>
      <c r="V120" s="16"/>
      <c r="W120" s="16"/>
      <c r="X120" s="75"/>
      <c r="Y120" s="75"/>
      <c r="Z120" s="75"/>
    </row>
    <row r="121" ht="15.75" customHeight="1">
      <c r="A121" s="27">
        <v>31.0</v>
      </c>
      <c r="B121" s="27">
        <v>12.0</v>
      </c>
      <c r="C121" s="54">
        <v>1137.0</v>
      </c>
      <c r="D121" s="30">
        <v>46233.0</v>
      </c>
      <c r="E121" s="19">
        <v>1.0</v>
      </c>
      <c r="F121" s="10" t="s">
        <v>32</v>
      </c>
      <c r="G121" s="19" t="s">
        <v>205</v>
      </c>
      <c r="H121" s="27">
        <v>14.0</v>
      </c>
      <c r="I121" s="19">
        <v>25330.0</v>
      </c>
      <c r="J121" s="19" t="s">
        <v>84</v>
      </c>
      <c r="K121" s="19" t="s">
        <v>36</v>
      </c>
      <c r="L121" s="73" t="s">
        <v>327</v>
      </c>
      <c r="M121" s="73" t="s">
        <v>330</v>
      </c>
      <c r="N121" s="74"/>
      <c r="O121" s="11"/>
      <c r="P121" s="11"/>
      <c r="Q121" s="14">
        <v>2850.0</v>
      </c>
      <c r="R121" s="16">
        <f t="shared" si="1"/>
        <v>2850</v>
      </c>
      <c r="S121" s="16">
        <f t="shared" si="2"/>
        <v>456</v>
      </c>
      <c r="T121" s="16">
        <f t="shared" si="3"/>
        <v>3306</v>
      </c>
      <c r="U121" s="19" t="s">
        <v>213</v>
      </c>
      <c r="V121" s="16"/>
      <c r="W121" s="16"/>
      <c r="X121" s="75"/>
      <c r="Y121" s="75"/>
      <c r="Z121" s="75"/>
    </row>
    <row r="122" ht="15.75" customHeight="1">
      <c r="A122" s="27">
        <v>31.0</v>
      </c>
      <c r="B122" s="27">
        <v>13.0</v>
      </c>
      <c r="C122" s="54">
        <v>1138.0</v>
      </c>
      <c r="D122" s="30">
        <v>46233.0</v>
      </c>
      <c r="E122" s="19">
        <v>1.0</v>
      </c>
      <c r="F122" s="10" t="s">
        <v>32</v>
      </c>
      <c r="G122" s="19" t="s">
        <v>333</v>
      </c>
      <c r="H122" s="27">
        <v>14.0</v>
      </c>
      <c r="I122" s="19">
        <v>24150.0</v>
      </c>
      <c r="J122" s="19" t="s">
        <v>334</v>
      </c>
      <c r="K122" s="19" t="s">
        <v>36</v>
      </c>
      <c r="L122" s="73" t="s">
        <v>330</v>
      </c>
      <c r="M122" s="73" t="s">
        <v>335</v>
      </c>
      <c r="N122" s="74"/>
      <c r="O122" s="11"/>
      <c r="P122" s="11"/>
      <c r="Q122" s="14">
        <v>2850.0</v>
      </c>
      <c r="R122" s="16">
        <f t="shared" si="1"/>
        <v>2850</v>
      </c>
      <c r="S122" s="16">
        <f t="shared" si="2"/>
        <v>456</v>
      </c>
      <c r="T122" s="16">
        <f t="shared" si="3"/>
        <v>3306</v>
      </c>
      <c r="U122" s="19" t="s">
        <v>213</v>
      </c>
      <c r="V122" s="16"/>
      <c r="W122" s="16"/>
      <c r="X122" s="75"/>
      <c r="Y122" s="75"/>
      <c r="Z122" s="75"/>
    </row>
    <row r="123" ht="15.75" customHeight="1">
      <c r="A123" s="27">
        <v>31.0</v>
      </c>
      <c r="B123" s="27">
        <v>14.0</v>
      </c>
      <c r="C123" s="54">
        <v>1139.0</v>
      </c>
      <c r="D123" s="30">
        <v>46233.0</v>
      </c>
      <c r="E123" s="19">
        <v>1.0</v>
      </c>
      <c r="F123" s="10" t="s">
        <v>32</v>
      </c>
      <c r="G123" s="19" t="s">
        <v>331</v>
      </c>
      <c r="H123" s="27">
        <v>14.0</v>
      </c>
      <c r="I123" s="19">
        <v>25440.0</v>
      </c>
      <c r="J123" s="19" t="s">
        <v>336</v>
      </c>
      <c r="K123" s="19" t="s">
        <v>36</v>
      </c>
      <c r="L123" s="73" t="s">
        <v>335</v>
      </c>
      <c r="M123" s="73" t="s">
        <v>338</v>
      </c>
      <c r="N123" s="74"/>
      <c r="O123" s="11"/>
      <c r="P123" s="11"/>
      <c r="Q123" s="14">
        <v>2850.0</v>
      </c>
      <c r="R123" s="16">
        <f t="shared" si="1"/>
        <v>2850</v>
      </c>
      <c r="S123" s="16">
        <f t="shared" si="2"/>
        <v>456</v>
      </c>
      <c r="T123" s="16">
        <f t="shared" si="3"/>
        <v>3306</v>
      </c>
      <c r="U123" s="19" t="s">
        <v>213</v>
      </c>
      <c r="V123" s="16"/>
      <c r="W123" s="16"/>
      <c r="X123" s="75"/>
      <c r="Y123" s="75"/>
      <c r="Z123" s="75"/>
    </row>
    <row r="124" ht="15.75" customHeight="1">
      <c r="A124" s="68">
        <v>31.0</v>
      </c>
      <c r="B124" s="68">
        <v>15.0</v>
      </c>
      <c r="C124" s="54">
        <v>1159.0</v>
      </c>
      <c r="D124" s="76">
        <v>46234.0</v>
      </c>
      <c r="E124" s="77">
        <v>1.0</v>
      </c>
      <c r="F124" s="78" t="s">
        <v>32</v>
      </c>
      <c r="G124" s="77" t="s">
        <v>165</v>
      </c>
      <c r="H124" s="68">
        <v>14.0</v>
      </c>
      <c r="I124" s="77">
        <v>23790.0</v>
      </c>
      <c r="J124" s="77" t="s">
        <v>72</v>
      </c>
      <c r="K124" s="77" t="s">
        <v>36</v>
      </c>
      <c r="L124" s="79" t="s">
        <v>269</v>
      </c>
      <c r="M124" s="79" t="s">
        <v>303</v>
      </c>
      <c r="N124" s="80"/>
      <c r="O124" s="81"/>
      <c r="P124" s="81"/>
      <c r="Q124" s="82">
        <v>3420.0</v>
      </c>
      <c r="R124" s="42">
        <f t="shared" si="1"/>
        <v>3420</v>
      </c>
      <c r="S124" s="42">
        <f t="shared" si="2"/>
        <v>547.2</v>
      </c>
      <c r="T124" s="42">
        <f t="shared" si="3"/>
        <v>3967.2</v>
      </c>
      <c r="U124" s="19" t="s">
        <v>213</v>
      </c>
      <c r="V124" s="42"/>
      <c r="W124" s="42"/>
      <c r="X124" s="43"/>
      <c r="Y124" s="43"/>
      <c r="Z124" s="43"/>
    </row>
    <row r="125" ht="15.75" customHeight="1">
      <c r="A125" s="27">
        <v>31.0</v>
      </c>
      <c r="B125" s="27">
        <v>16.0</v>
      </c>
      <c r="C125" s="54">
        <v>1160.0</v>
      </c>
      <c r="D125" s="30">
        <v>46234.0</v>
      </c>
      <c r="E125" s="19">
        <v>1.0</v>
      </c>
      <c r="F125" s="10" t="s">
        <v>32</v>
      </c>
      <c r="G125" s="19" t="s">
        <v>339</v>
      </c>
      <c r="H125" s="27">
        <v>14.0</v>
      </c>
      <c r="I125" s="19">
        <v>25530.0</v>
      </c>
      <c r="J125" s="19" t="s">
        <v>262</v>
      </c>
      <c r="K125" s="19" t="s">
        <v>36</v>
      </c>
      <c r="L125" s="73" t="s">
        <v>303</v>
      </c>
      <c r="M125" s="73" t="s">
        <v>340</v>
      </c>
      <c r="N125" s="74"/>
      <c r="O125" s="11"/>
      <c r="P125" s="11"/>
      <c r="Q125" s="14">
        <v>3420.0</v>
      </c>
      <c r="R125" s="16">
        <f t="shared" si="1"/>
        <v>3420</v>
      </c>
      <c r="S125" s="16">
        <f t="shared" si="2"/>
        <v>547.2</v>
      </c>
      <c r="T125" s="16">
        <f t="shared" si="3"/>
        <v>3967.2</v>
      </c>
      <c r="U125" s="19" t="s">
        <v>213</v>
      </c>
      <c r="V125" s="16"/>
      <c r="W125" s="16"/>
    </row>
    <row r="126" ht="15.75" customHeight="1">
      <c r="A126" s="27">
        <v>31.0</v>
      </c>
      <c r="B126" s="27">
        <v>17.0</v>
      </c>
      <c r="C126" s="54">
        <v>1161.0</v>
      </c>
      <c r="D126" s="30">
        <v>46234.0</v>
      </c>
      <c r="E126" s="19">
        <v>1.0</v>
      </c>
      <c r="F126" s="10" t="s">
        <v>32</v>
      </c>
      <c r="G126" s="19" t="s">
        <v>211</v>
      </c>
      <c r="H126" s="27">
        <v>14.0</v>
      </c>
      <c r="I126" s="19">
        <v>24480.0</v>
      </c>
      <c r="J126" s="19" t="s">
        <v>78</v>
      </c>
      <c r="K126" s="19" t="s">
        <v>36</v>
      </c>
      <c r="L126" s="73" t="s">
        <v>340</v>
      </c>
      <c r="M126" s="73" t="s">
        <v>307</v>
      </c>
      <c r="N126" s="74"/>
      <c r="O126" s="11"/>
      <c r="P126" s="11"/>
      <c r="Q126" s="14">
        <v>3420.0</v>
      </c>
      <c r="R126" s="16">
        <f t="shared" si="1"/>
        <v>3420</v>
      </c>
      <c r="S126" s="16">
        <f t="shared" si="2"/>
        <v>547.2</v>
      </c>
      <c r="T126" s="16">
        <f t="shared" si="3"/>
        <v>3967.2</v>
      </c>
      <c r="U126" s="19" t="s">
        <v>213</v>
      </c>
      <c r="V126" s="16"/>
      <c r="W126" s="16"/>
    </row>
    <row r="127" ht="15.75" customHeight="1">
      <c r="A127" s="27">
        <v>31.0</v>
      </c>
      <c r="B127" s="27">
        <v>18.0</v>
      </c>
      <c r="C127" s="54">
        <v>1162.0</v>
      </c>
      <c r="D127" s="30">
        <v>46234.0</v>
      </c>
      <c r="E127" s="19">
        <v>1.0</v>
      </c>
      <c r="F127" s="10" t="s">
        <v>32</v>
      </c>
      <c r="G127" s="19" t="s">
        <v>173</v>
      </c>
      <c r="H127" s="27">
        <v>14.0</v>
      </c>
      <c r="I127" s="19">
        <v>25830.0</v>
      </c>
      <c r="J127" s="19" t="s">
        <v>174</v>
      </c>
      <c r="K127" s="19" t="s">
        <v>36</v>
      </c>
      <c r="L127" s="73" t="s">
        <v>307</v>
      </c>
      <c r="M127" s="73" t="s">
        <v>341</v>
      </c>
      <c r="N127" s="74"/>
      <c r="O127" s="11"/>
      <c r="P127" s="11"/>
      <c r="Q127" s="14">
        <v>3420.0</v>
      </c>
      <c r="R127" s="16">
        <f t="shared" si="1"/>
        <v>3420</v>
      </c>
      <c r="S127" s="16">
        <f t="shared" si="2"/>
        <v>547.2</v>
      </c>
      <c r="T127" s="16">
        <f t="shared" si="3"/>
        <v>3967.2</v>
      </c>
      <c r="U127" s="19" t="s">
        <v>213</v>
      </c>
      <c r="V127" s="16"/>
      <c r="W127" s="16"/>
    </row>
    <row r="128" ht="15.75" customHeight="1">
      <c r="A128" s="27">
        <v>31.0</v>
      </c>
      <c r="B128" s="27">
        <v>19.0</v>
      </c>
      <c r="C128" s="54">
        <v>1163.0</v>
      </c>
      <c r="D128" s="30">
        <v>46234.0</v>
      </c>
      <c r="E128" s="19">
        <v>1.0</v>
      </c>
      <c r="F128" s="10" t="s">
        <v>32</v>
      </c>
      <c r="G128" s="19" t="s">
        <v>176</v>
      </c>
      <c r="H128" s="27">
        <v>14.0</v>
      </c>
      <c r="I128" s="19">
        <v>22950.0</v>
      </c>
      <c r="J128" s="19" t="s">
        <v>40</v>
      </c>
      <c r="K128" s="19" t="s">
        <v>36</v>
      </c>
      <c r="L128" s="73" t="s">
        <v>341</v>
      </c>
      <c r="M128" s="73" t="s">
        <v>342</v>
      </c>
      <c r="N128" s="74"/>
      <c r="O128" s="11"/>
      <c r="P128" s="11"/>
      <c r="Q128" s="14">
        <v>3420.0</v>
      </c>
      <c r="R128" s="16">
        <f t="shared" si="1"/>
        <v>3420</v>
      </c>
      <c r="S128" s="16">
        <f t="shared" si="2"/>
        <v>547.2</v>
      </c>
      <c r="T128" s="16">
        <f t="shared" si="3"/>
        <v>3967.2</v>
      </c>
      <c r="U128" s="19" t="s">
        <v>213</v>
      </c>
      <c r="V128" s="16"/>
      <c r="W128" s="16"/>
    </row>
    <row r="129" ht="15.75" customHeight="1">
      <c r="A129" s="27">
        <v>31.0</v>
      </c>
      <c r="B129" s="27">
        <v>20.0</v>
      </c>
      <c r="C129" s="54">
        <v>1164.0</v>
      </c>
      <c r="D129" s="30">
        <v>46234.0</v>
      </c>
      <c r="E129" s="19">
        <v>1.0</v>
      </c>
      <c r="F129" s="10" t="s">
        <v>32</v>
      </c>
      <c r="G129" s="19" t="s">
        <v>205</v>
      </c>
      <c r="H129" s="27">
        <v>14.0</v>
      </c>
      <c r="I129" s="19">
        <v>24170.0</v>
      </c>
      <c r="J129" s="19" t="s">
        <v>84</v>
      </c>
      <c r="K129" s="19" t="s">
        <v>36</v>
      </c>
      <c r="L129" s="73" t="s">
        <v>303</v>
      </c>
      <c r="M129" s="73" t="s">
        <v>340</v>
      </c>
      <c r="N129" s="74"/>
      <c r="O129" s="11"/>
      <c r="P129" s="11"/>
      <c r="Q129" s="14">
        <v>3420.0</v>
      </c>
      <c r="R129" s="16">
        <f t="shared" si="1"/>
        <v>3420</v>
      </c>
      <c r="S129" s="16">
        <f t="shared" si="2"/>
        <v>547.2</v>
      </c>
      <c r="T129" s="16">
        <f t="shared" si="3"/>
        <v>3967.2</v>
      </c>
      <c r="U129" s="19" t="s">
        <v>213</v>
      </c>
      <c r="V129" s="16"/>
      <c r="W129" s="16"/>
    </row>
    <row r="130" ht="15.75" customHeight="1">
      <c r="A130" s="27">
        <v>31.0</v>
      </c>
      <c r="B130" s="27">
        <v>21.0</v>
      </c>
      <c r="C130" s="54">
        <v>1165.0</v>
      </c>
      <c r="D130" s="30">
        <v>46234.0</v>
      </c>
      <c r="E130" s="19">
        <v>1.0</v>
      </c>
      <c r="F130" s="10" t="s">
        <v>32</v>
      </c>
      <c r="G130" s="19" t="s">
        <v>124</v>
      </c>
      <c r="H130" s="27">
        <v>14.0</v>
      </c>
      <c r="I130" s="19">
        <v>24400.0</v>
      </c>
      <c r="J130" s="19" t="s">
        <v>198</v>
      </c>
      <c r="K130" s="19" t="s">
        <v>36</v>
      </c>
      <c r="L130" s="73" t="s">
        <v>340</v>
      </c>
      <c r="M130" s="73" t="s">
        <v>343</v>
      </c>
      <c r="N130" s="74"/>
      <c r="O130" s="11"/>
      <c r="P130" s="11"/>
      <c r="Q130" s="14">
        <v>3420.0</v>
      </c>
      <c r="R130" s="16">
        <f t="shared" si="1"/>
        <v>3420</v>
      </c>
      <c r="S130" s="16">
        <f t="shared" si="2"/>
        <v>547.2</v>
      </c>
      <c r="T130" s="16">
        <f t="shared" si="3"/>
        <v>3967.2</v>
      </c>
      <c r="U130" s="19" t="s">
        <v>213</v>
      </c>
      <c r="V130" s="16"/>
      <c r="W130" s="16"/>
    </row>
    <row r="131" ht="15.75" customHeight="1">
      <c r="A131" s="27">
        <v>31.0</v>
      </c>
      <c r="B131" s="89">
        <v>22.0</v>
      </c>
      <c r="C131" s="54">
        <v>1166.0</v>
      </c>
      <c r="D131" s="30">
        <v>46234.0</v>
      </c>
      <c r="E131" s="19">
        <v>1.0</v>
      </c>
      <c r="F131" s="10" t="s">
        <v>32</v>
      </c>
      <c r="G131" s="19" t="s">
        <v>311</v>
      </c>
      <c r="H131" s="19">
        <v>14.0</v>
      </c>
      <c r="I131" s="19">
        <v>24690.0</v>
      </c>
      <c r="J131" s="19" t="s">
        <v>314</v>
      </c>
      <c r="K131" s="19" t="s">
        <v>36</v>
      </c>
      <c r="L131" s="73" t="s">
        <v>343</v>
      </c>
      <c r="M131" s="73" t="s">
        <v>342</v>
      </c>
      <c r="N131" s="74"/>
      <c r="O131" s="11"/>
      <c r="P131" s="71"/>
      <c r="Q131" s="14">
        <v>3420.0</v>
      </c>
      <c r="R131" s="16">
        <f t="shared" si="1"/>
        <v>3420</v>
      </c>
      <c r="S131" s="16">
        <f t="shared" si="2"/>
        <v>547.2</v>
      </c>
      <c r="T131" s="16">
        <f t="shared" si="3"/>
        <v>3967.2</v>
      </c>
      <c r="U131" s="19" t="s">
        <v>213</v>
      </c>
      <c r="V131" s="16"/>
      <c r="W131" s="16"/>
    </row>
    <row r="132" ht="15.75" customHeight="1">
      <c r="A132" s="27">
        <v>31.0</v>
      </c>
      <c r="B132" s="27">
        <v>23.0</v>
      </c>
      <c r="C132" s="54">
        <v>1167.0</v>
      </c>
      <c r="D132" s="30">
        <v>46234.0</v>
      </c>
      <c r="E132" s="19">
        <v>1.0</v>
      </c>
      <c r="F132" s="10" t="s">
        <v>32</v>
      </c>
      <c r="G132" s="19" t="s">
        <v>116</v>
      </c>
      <c r="H132" s="27">
        <v>14.0</v>
      </c>
      <c r="I132" s="19">
        <v>24690.0</v>
      </c>
      <c r="J132" s="19" t="s">
        <v>320</v>
      </c>
      <c r="K132" s="19" t="s">
        <v>36</v>
      </c>
      <c r="L132" s="73" t="s">
        <v>344</v>
      </c>
      <c r="M132" s="73" t="s">
        <v>344</v>
      </c>
      <c r="N132" s="74"/>
      <c r="O132" s="11"/>
      <c r="P132" s="11"/>
      <c r="Q132" s="14">
        <v>3420.0</v>
      </c>
      <c r="R132" s="16">
        <f t="shared" si="1"/>
        <v>3420</v>
      </c>
      <c r="S132" s="16">
        <f t="shared" si="2"/>
        <v>547.2</v>
      </c>
      <c r="T132" s="16">
        <f t="shared" si="3"/>
        <v>3967.2</v>
      </c>
      <c r="U132" s="19" t="s">
        <v>213</v>
      </c>
      <c r="V132" s="16"/>
      <c r="W132" s="16"/>
    </row>
    <row r="133" ht="15.75" customHeight="1">
      <c r="A133" s="27">
        <v>31.0</v>
      </c>
      <c r="B133" s="27">
        <v>24.0</v>
      </c>
      <c r="C133" s="54">
        <v>1168.0</v>
      </c>
      <c r="D133" s="30">
        <v>46235.0</v>
      </c>
      <c r="E133" s="19">
        <v>1.0</v>
      </c>
      <c r="F133" s="10" t="s">
        <v>32</v>
      </c>
      <c r="G133" s="19" t="s">
        <v>339</v>
      </c>
      <c r="H133" s="27">
        <v>14.0</v>
      </c>
      <c r="I133" s="19">
        <v>24510.0</v>
      </c>
      <c r="J133" s="19" t="s">
        <v>262</v>
      </c>
      <c r="K133" s="19" t="s">
        <v>36</v>
      </c>
      <c r="L133" s="73" t="s">
        <v>342</v>
      </c>
      <c r="M133" s="73" t="s">
        <v>345</v>
      </c>
      <c r="N133" s="74"/>
      <c r="O133" s="11"/>
      <c r="P133" s="11"/>
      <c r="Q133" s="14">
        <v>3420.0</v>
      </c>
      <c r="R133" s="16">
        <f t="shared" si="1"/>
        <v>3420</v>
      </c>
      <c r="S133" s="16">
        <f t="shared" si="2"/>
        <v>547.2</v>
      </c>
      <c r="T133" s="16">
        <f t="shared" si="3"/>
        <v>3967.2</v>
      </c>
      <c r="U133" s="19" t="s">
        <v>213</v>
      </c>
      <c r="V133" s="16"/>
      <c r="W133" s="16"/>
    </row>
    <row r="134" ht="15.75" customHeight="1">
      <c r="A134" s="27">
        <v>31.0</v>
      </c>
      <c r="B134" s="27">
        <v>25.0</v>
      </c>
      <c r="C134" s="19">
        <v>1169.0</v>
      </c>
      <c r="D134" s="30">
        <v>46235.0</v>
      </c>
      <c r="E134" s="19">
        <v>1.0</v>
      </c>
      <c r="F134" s="10" t="s">
        <v>32</v>
      </c>
      <c r="G134" s="19" t="s">
        <v>346</v>
      </c>
      <c r="H134" s="27">
        <v>14.0</v>
      </c>
      <c r="I134" s="19">
        <v>23100.0</v>
      </c>
      <c r="J134" s="19" t="s">
        <v>40</v>
      </c>
      <c r="K134" s="19" t="s">
        <v>36</v>
      </c>
      <c r="L134" s="73" t="s">
        <v>345</v>
      </c>
      <c r="M134" s="73" t="s">
        <v>347</v>
      </c>
      <c r="N134" s="74"/>
      <c r="O134" s="11"/>
      <c r="P134" s="11"/>
      <c r="Q134" s="14">
        <v>3420.0</v>
      </c>
      <c r="R134" s="16">
        <f t="shared" si="1"/>
        <v>3420</v>
      </c>
      <c r="S134" s="16">
        <f t="shared" si="2"/>
        <v>547.2</v>
      </c>
      <c r="T134" s="16">
        <f t="shared" si="3"/>
        <v>3967.2</v>
      </c>
      <c r="U134" s="56" t="s">
        <v>254</v>
      </c>
      <c r="V134" s="16"/>
      <c r="W134" s="16"/>
    </row>
    <row r="135" ht="15.75" customHeight="1">
      <c r="A135" s="27">
        <v>31.0</v>
      </c>
      <c r="B135" s="27">
        <v>26.0</v>
      </c>
      <c r="C135" s="54">
        <v>1170.0</v>
      </c>
      <c r="D135" s="30">
        <v>46235.0</v>
      </c>
      <c r="E135" s="19">
        <v>1.0</v>
      </c>
      <c r="F135" s="10" t="s">
        <v>32</v>
      </c>
      <c r="G135" s="19" t="s">
        <v>258</v>
      </c>
      <c r="H135" s="27">
        <v>14.0</v>
      </c>
      <c r="I135" s="19">
        <v>23690.0</v>
      </c>
      <c r="J135" s="19" t="s">
        <v>219</v>
      </c>
      <c r="K135" s="19" t="s">
        <v>36</v>
      </c>
      <c r="L135" s="73" t="s">
        <v>347</v>
      </c>
      <c r="M135" s="73" t="s">
        <v>318</v>
      </c>
      <c r="N135" s="74"/>
      <c r="O135" s="11"/>
      <c r="P135" s="11"/>
      <c r="Q135" s="14">
        <v>3420.0</v>
      </c>
      <c r="R135" s="16">
        <f t="shared" si="1"/>
        <v>3420</v>
      </c>
      <c r="S135" s="16">
        <f t="shared" si="2"/>
        <v>547.2</v>
      </c>
      <c r="T135" s="16">
        <f t="shared" si="3"/>
        <v>3967.2</v>
      </c>
      <c r="U135" s="19" t="s">
        <v>213</v>
      </c>
      <c r="V135" s="16"/>
      <c r="W135" s="16"/>
    </row>
    <row r="136" ht="15.75" customHeight="1">
      <c r="A136" s="27">
        <v>31.0</v>
      </c>
      <c r="B136" s="27">
        <v>27.0</v>
      </c>
      <c r="C136" s="54">
        <v>1171.0</v>
      </c>
      <c r="D136" s="30">
        <v>46235.0</v>
      </c>
      <c r="E136" s="19">
        <v>1.0</v>
      </c>
      <c r="F136" s="10" t="s">
        <v>32</v>
      </c>
      <c r="G136" s="19" t="s">
        <v>165</v>
      </c>
      <c r="H136" s="27">
        <v>14.0</v>
      </c>
      <c r="I136" s="19">
        <v>23030.0</v>
      </c>
      <c r="J136" s="19" t="s">
        <v>72</v>
      </c>
      <c r="K136" s="19" t="s">
        <v>36</v>
      </c>
      <c r="L136" s="73" t="s">
        <v>318</v>
      </c>
      <c r="M136" s="73" t="s">
        <v>348</v>
      </c>
      <c r="N136" s="74"/>
      <c r="O136" s="11"/>
      <c r="P136" s="11"/>
      <c r="Q136" s="14">
        <v>3420.0</v>
      </c>
      <c r="R136" s="16">
        <f t="shared" si="1"/>
        <v>3420</v>
      </c>
      <c r="S136" s="16">
        <f t="shared" si="2"/>
        <v>547.2</v>
      </c>
      <c r="T136" s="16">
        <f t="shared" si="3"/>
        <v>3967.2</v>
      </c>
      <c r="U136" s="19" t="s">
        <v>213</v>
      </c>
      <c r="V136" s="16"/>
      <c r="W136" s="16"/>
    </row>
    <row r="137" ht="15.75" customHeight="1">
      <c r="A137" s="27">
        <v>31.0</v>
      </c>
      <c r="B137" s="27">
        <v>28.0</v>
      </c>
      <c r="C137" s="19">
        <v>1172.0</v>
      </c>
      <c r="D137" s="30">
        <v>46235.0</v>
      </c>
      <c r="E137" s="19">
        <v>1.0</v>
      </c>
      <c r="F137" s="10" t="s">
        <v>32</v>
      </c>
      <c r="G137" s="19" t="s">
        <v>173</v>
      </c>
      <c r="H137" s="27">
        <v>14.0</v>
      </c>
      <c r="I137" s="19">
        <v>25190.0</v>
      </c>
      <c r="J137" s="19" t="s">
        <v>174</v>
      </c>
      <c r="K137" s="19" t="s">
        <v>36</v>
      </c>
      <c r="L137" s="73" t="s">
        <v>348</v>
      </c>
      <c r="M137" s="73" t="s">
        <v>349</v>
      </c>
      <c r="N137" s="74"/>
      <c r="O137" s="11"/>
      <c r="P137" s="11"/>
      <c r="Q137" s="14">
        <v>3420.0</v>
      </c>
      <c r="R137" s="16">
        <f t="shared" si="1"/>
        <v>3420</v>
      </c>
      <c r="S137" s="16">
        <f t="shared" si="2"/>
        <v>547.2</v>
      </c>
      <c r="T137" s="16">
        <f t="shared" si="3"/>
        <v>3967.2</v>
      </c>
      <c r="U137" s="56" t="s">
        <v>254</v>
      </c>
      <c r="V137" s="16"/>
      <c r="W137" s="16"/>
    </row>
    <row r="138" ht="15.75" customHeight="1">
      <c r="A138" s="27">
        <v>31.0</v>
      </c>
      <c r="B138" s="27">
        <v>29.0</v>
      </c>
      <c r="C138" s="54">
        <v>1173.0</v>
      </c>
      <c r="D138" s="30">
        <v>46235.0</v>
      </c>
      <c r="E138" s="19">
        <v>1.0</v>
      </c>
      <c r="F138" s="10" t="s">
        <v>32</v>
      </c>
      <c r="G138" s="19" t="s">
        <v>205</v>
      </c>
      <c r="H138" s="27">
        <v>14.0</v>
      </c>
      <c r="I138" s="19">
        <v>23580.0</v>
      </c>
      <c r="J138" s="19" t="s">
        <v>84</v>
      </c>
      <c r="K138" s="19" t="s">
        <v>36</v>
      </c>
      <c r="L138" s="73" t="s">
        <v>349</v>
      </c>
      <c r="M138" s="73" t="s">
        <v>350</v>
      </c>
      <c r="N138" s="74"/>
      <c r="O138" s="11"/>
      <c r="P138" s="11"/>
      <c r="Q138" s="14">
        <v>3420.0</v>
      </c>
      <c r="R138" s="16">
        <f t="shared" si="1"/>
        <v>3420</v>
      </c>
      <c r="S138" s="16">
        <f t="shared" si="2"/>
        <v>547.2</v>
      </c>
      <c r="T138" s="16">
        <f t="shared" si="3"/>
        <v>3967.2</v>
      </c>
      <c r="U138" s="19" t="s">
        <v>213</v>
      </c>
      <c r="V138" s="16"/>
      <c r="W138" s="16"/>
    </row>
    <row r="139" ht="15.75" customHeight="1">
      <c r="A139" s="27">
        <v>31.0</v>
      </c>
      <c r="B139" s="27">
        <v>30.0</v>
      </c>
      <c r="C139" s="19">
        <v>1174.0</v>
      </c>
      <c r="D139" s="30">
        <v>46235.0</v>
      </c>
      <c r="E139" s="19">
        <v>1.0</v>
      </c>
      <c r="F139" s="10" t="s">
        <v>32</v>
      </c>
      <c r="G139" s="19" t="s">
        <v>225</v>
      </c>
      <c r="H139" s="27">
        <v>14.0</v>
      </c>
      <c r="I139" s="19">
        <v>23990.0</v>
      </c>
      <c r="J139" s="19" t="s">
        <v>226</v>
      </c>
      <c r="K139" s="19" t="s">
        <v>36</v>
      </c>
      <c r="L139" s="73" t="s">
        <v>350</v>
      </c>
      <c r="M139" s="73" t="s">
        <v>330</v>
      </c>
      <c r="N139" s="74"/>
      <c r="O139" s="11"/>
      <c r="P139" s="11"/>
      <c r="Q139" s="14">
        <v>3420.0</v>
      </c>
      <c r="R139" s="16">
        <f t="shared" si="1"/>
        <v>3420</v>
      </c>
      <c r="S139" s="16">
        <f t="shared" si="2"/>
        <v>547.2</v>
      </c>
      <c r="T139" s="16">
        <f t="shared" si="3"/>
        <v>3967.2</v>
      </c>
      <c r="U139" s="56" t="s">
        <v>254</v>
      </c>
      <c r="V139" s="16"/>
      <c r="W139" s="16"/>
    </row>
    <row r="140" ht="15.75" customHeight="1">
      <c r="A140" s="27">
        <v>31.0</v>
      </c>
      <c r="B140" s="27">
        <v>31.0</v>
      </c>
      <c r="C140" s="54">
        <v>1175.0</v>
      </c>
      <c r="D140" s="30">
        <v>46235.0</v>
      </c>
      <c r="E140" s="19">
        <v>1.0</v>
      </c>
      <c r="F140" s="10" t="s">
        <v>32</v>
      </c>
      <c r="G140" s="19" t="s">
        <v>170</v>
      </c>
      <c r="H140" s="27">
        <v>14.0</v>
      </c>
      <c r="I140" s="19">
        <v>23760.0</v>
      </c>
      <c r="J140" s="19" t="s">
        <v>351</v>
      </c>
      <c r="K140" s="19" t="s">
        <v>36</v>
      </c>
      <c r="L140" s="73" t="s">
        <v>330</v>
      </c>
      <c r="M140" s="73" t="s">
        <v>335</v>
      </c>
      <c r="N140" s="74"/>
      <c r="O140" s="11"/>
      <c r="P140" s="11"/>
      <c r="Q140" s="14">
        <v>3420.0</v>
      </c>
      <c r="R140" s="16">
        <f t="shared" si="1"/>
        <v>3420</v>
      </c>
      <c r="S140" s="16">
        <f t="shared" si="2"/>
        <v>547.2</v>
      </c>
      <c r="T140" s="16">
        <f t="shared" si="3"/>
        <v>3967.2</v>
      </c>
      <c r="U140" s="19" t="s">
        <v>213</v>
      </c>
      <c r="V140" s="16"/>
      <c r="W140" s="16"/>
    </row>
    <row r="141" ht="15.75" customHeight="1">
      <c r="A141" s="27">
        <v>31.0</v>
      </c>
      <c r="B141" s="27">
        <v>32.0</v>
      </c>
      <c r="C141" s="19">
        <v>1176.0</v>
      </c>
      <c r="D141" s="30">
        <v>46235.0</v>
      </c>
      <c r="E141" s="19">
        <v>1.0</v>
      </c>
      <c r="F141" s="10" t="s">
        <v>32</v>
      </c>
      <c r="G141" s="19" t="s">
        <v>109</v>
      </c>
      <c r="H141" s="27">
        <v>14.0</v>
      </c>
      <c r="I141" s="19">
        <v>24760.0</v>
      </c>
      <c r="J141" s="19" t="s">
        <v>35</v>
      </c>
      <c r="K141" s="19" t="s">
        <v>36</v>
      </c>
      <c r="L141" s="73" t="s">
        <v>335</v>
      </c>
      <c r="M141" s="73" t="s">
        <v>338</v>
      </c>
      <c r="N141" s="74"/>
      <c r="O141" s="11"/>
      <c r="P141" s="11"/>
      <c r="Q141" s="14">
        <v>3420.0</v>
      </c>
      <c r="R141" s="16">
        <f t="shared" si="1"/>
        <v>3420</v>
      </c>
      <c r="S141" s="16">
        <f t="shared" si="2"/>
        <v>547.2</v>
      </c>
      <c r="T141" s="16">
        <f t="shared" si="3"/>
        <v>3967.2</v>
      </c>
      <c r="U141" s="56" t="s">
        <v>254</v>
      </c>
      <c r="V141" s="16"/>
      <c r="W141" s="16"/>
    </row>
    <row r="142" ht="15.75" customHeight="1">
      <c r="A142" s="27">
        <v>31.0</v>
      </c>
      <c r="B142" s="27">
        <v>33.0</v>
      </c>
      <c r="C142" s="19">
        <v>1177.0</v>
      </c>
      <c r="D142" s="30">
        <v>46235.0</v>
      </c>
      <c r="E142" s="19">
        <v>1.0</v>
      </c>
      <c r="F142" s="10" t="s">
        <v>32</v>
      </c>
      <c r="G142" s="19" t="s">
        <v>223</v>
      </c>
      <c r="H142" s="27">
        <v>14.0</v>
      </c>
      <c r="I142" s="19">
        <v>24770.0</v>
      </c>
      <c r="J142" s="19" t="s">
        <v>224</v>
      </c>
      <c r="K142" s="19" t="s">
        <v>36</v>
      </c>
      <c r="L142" s="73" t="s">
        <v>338</v>
      </c>
      <c r="M142" s="73" t="s">
        <v>352</v>
      </c>
      <c r="N142" s="74"/>
      <c r="O142" s="11"/>
      <c r="P142" s="11"/>
      <c r="Q142" s="14">
        <v>3420.0</v>
      </c>
      <c r="R142" s="16">
        <f t="shared" si="1"/>
        <v>3420</v>
      </c>
      <c r="S142" s="16">
        <f t="shared" si="2"/>
        <v>547.2</v>
      </c>
      <c r="T142" s="16">
        <f t="shared" si="3"/>
        <v>3967.2</v>
      </c>
      <c r="U142" s="56" t="s">
        <v>254</v>
      </c>
      <c r="V142" s="16"/>
      <c r="W142" s="16"/>
    </row>
    <row r="143" ht="15.75" customHeight="1">
      <c r="A143" s="27">
        <v>31.0</v>
      </c>
      <c r="B143" s="27">
        <v>34.0</v>
      </c>
      <c r="C143" s="54">
        <v>1178.0</v>
      </c>
      <c r="D143" s="30">
        <v>46235.0</v>
      </c>
      <c r="E143" s="19">
        <v>1.0</v>
      </c>
      <c r="F143" s="10" t="s">
        <v>32</v>
      </c>
      <c r="G143" s="19" t="s">
        <v>211</v>
      </c>
      <c r="H143" s="27">
        <v>14.0</v>
      </c>
      <c r="I143" s="19">
        <v>25140.0</v>
      </c>
      <c r="J143" s="19" t="s">
        <v>78</v>
      </c>
      <c r="K143" s="19" t="s">
        <v>36</v>
      </c>
      <c r="L143" s="73" t="s">
        <v>345</v>
      </c>
      <c r="M143" s="73" t="s">
        <v>347</v>
      </c>
      <c r="N143" s="74"/>
      <c r="O143" s="11"/>
      <c r="P143" s="11"/>
      <c r="Q143" s="14">
        <v>3420.0</v>
      </c>
      <c r="R143" s="16">
        <f t="shared" si="1"/>
        <v>3420</v>
      </c>
      <c r="S143" s="16">
        <f t="shared" si="2"/>
        <v>547.2</v>
      </c>
      <c r="T143" s="16">
        <f t="shared" si="3"/>
        <v>3967.2</v>
      </c>
      <c r="U143" s="19" t="s">
        <v>213</v>
      </c>
      <c r="V143" s="16"/>
      <c r="W143" s="16"/>
    </row>
    <row r="144" ht="15.75" customHeight="1">
      <c r="A144" s="27">
        <v>31.0</v>
      </c>
      <c r="B144" s="27">
        <v>35.0</v>
      </c>
      <c r="C144" s="19">
        <v>1179.0</v>
      </c>
      <c r="D144" s="30">
        <v>46235.0</v>
      </c>
      <c r="E144" s="19">
        <v>1.0</v>
      </c>
      <c r="F144" s="10" t="s">
        <v>32</v>
      </c>
      <c r="G144" s="19" t="s">
        <v>124</v>
      </c>
      <c r="H144" s="27">
        <v>14.0</v>
      </c>
      <c r="I144" s="19">
        <v>24580.0</v>
      </c>
      <c r="J144" s="19" t="s">
        <v>198</v>
      </c>
      <c r="K144" s="19" t="s">
        <v>36</v>
      </c>
      <c r="L144" s="73" t="s">
        <v>342</v>
      </c>
      <c r="M144" s="73" t="s">
        <v>345</v>
      </c>
      <c r="N144" s="74"/>
      <c r="O144" s="11"/>
      <c r="P144" s="11"/>
      <c r="Q144" s="14">
        <v>3420.0</v>
      </c>
      <c r="R144" s="16">
        <f t="shared" si="1"/>
        <v>3420</v>
      </c>
      <c r="S144" s="16">
        <f t="shared" si="2"/>
        <v>547.2</v>
      </c>
      <c r="T144" s="16">
        <f t="shared" si="3"/>
        <v>3967.2</v>
      </c>
      <c r="U144" s="56" t="s">
        <v>254</v>
      </c>
      <c r="V144" s="16"/>
      <c r="W144" s="16"/>
    </row>
    <row r="145" ht="15.75" customHeight="1">
      <c r="A145" s="27">
        <v>31.0</v>
      </c>
      <c r="B145" s="27">
        <v>36.0</v>
      </c>
      <c r="C145" s="54">
        <v>1180.0</v>
      </c>
      <c r="D145" s="30">
        <v>46235.0</v>
      </c>
      <c r="E145" s="19">
        <v>1.0</v>
      </c>
      <c r="F145" s="10" t="s">
        <v>32</v>
      </c>
      <c r="G145" s="19" t="s">
        <v>311</v>
      </c>
      <c r="H145" s="27">
        <v>14.0</v>
      </c>
      <c r="I145" s="19">
        <v>24430.0</v>
      </c>
      <c r="J145" s="19" t="s">
        <v>314</v>
      </c>
      <c r="K145" s="19" t="s">
        <v>36</v>
      </c>
      <c r="L145" s="73" t="s">
        <v>347</v>
      </c>
      <c r="M145" s="73" t="s">
        <v>318</v>
      </c>
      <c r="N145" s="74"/>
      <c r="O145" s="11"/>
      <c r="P145" s="11"/>
      <c r="Q145" s="14">
        <v>3420.0</v>
      </c>
      <c r="R145" s="16">
        <f t="shared" si="1"/>
        <v>3420</v>
      </c>
      <c r="S145" s="16">
        <f t="shared" si="2"/>
        <v>547.2</v>
      </c>
      <c r="T145" s="16">
        <f t="shared" si="3"/>
        <v>3967.2</v>
      </c>
      <c r="U145" s="19" t="s">
        <v>213</v>
      </c>
      <c r="V145" s="16"/>
      <c r="W145" s="16"/>
    </row>
    <row r="146" ht="15.75" customHeight="1">
      <c r="A146" s="27">
        <v>31.0</v>
      </c>
      <c r="B146" s="27">
        <v>37.0</v>
      </c>
      <c r="C146" s="54">
        <v>1181.0</v>
      </c>
      <c r="D146" s="30">
        <v>46235.0</v>
      </c>
      <c r="E146" s="19">
        <v>1.0</v>
      </c>
      <c r="F146" s="10" t="s">
        <v>32</v>
      </c>
      <c r="G146" s="19" t="s">
        <v>331</v>
      </c>
      <c r="H146" s="19">
        <v>14.0</v>
      </c>
      <c r="I146" s="19">
        <v>25130.0</v>
      </c>
      <c r="J146" s="19" t="s">
        <v>336</v>
      </c>
      <c r="K146" s="19" t="s">
        <v>36</v>
      </c>
      <c r="L146" s="73" t="s">
        <v>318</v>
      </c>
      <c r="M146" s="73" t="s">
        <v>348</v>
      </c>
      <c r="N146" s="74"/>
      <c r="O146" s="11"/>
      <c r="P146" s="71"/>
      <c r="Q146" s="14">
        <v>3420.0</v>
      </c>
      <c r="R146" s="16">
        <f t="shared" si="1"/>
        <v>3420</v>
      </c>
      <c r="S146" s="16">
        <f t="shared" si="2"/>
        <v>547.2</v>
      </c>
      <c r="T146" s="16">
        <f t="shared" si="3"/>
        <v>3967.2</v>
      </c>
      <c r="U146" s="19" t="s">
        <v>213</v>
      </c>
      <c r="V146" s="16"/>
      <c r="W146" s="16"/>
    </row>
    <row r="147" ht="15.75" customHeight="1">
      <c r="A147" s="27">
        <v>31.0</v>
      </c>
      <c r="B147" s="27">
        <v>38.0</v>
      </c>
      <c r="C147" s="54">
        <v>1182.0</v>
      </c>
      <c r="D147" s="30">
        <v>46235.0</v>
      </c>
      <c r="E147" s="19">
        <v>1.0</v>
      </c>
      <c r="F147" s="10" t="s">
        <v>32</v>
      </c>
      <c r="G147" s="19" t="s">
        <v>328</v>
      </c>
      <c r="H147" s="27">
        <v>14.0</v>
      </c>
      <c r="I147" s="19">
        <v>24950.0</v>
      </c>
      <c r="J147" s="19" t="s">
        <v>325</v>
      </c>
      <c r="K147" s="19" t="s">
        <v>36</v>
      </c>
      <c r="L147" s="73" t="s">
        <v>348</v>
      </c>
      <c r="M147" s="73" t="s">
        <v>349</v>
      </c>
      <c r="N147" s="13"/>
      <c r="O147" s="11"/>
      <c r="P147" s="11"/>
      <c r="Q147" s="14">
        <v>3420.0</v>
      </c>
      <c r="R147" s="16">
        <f t="shared" si="1"/>
        <v>3420</v>
      </c>
      <c r="S147" s="16">
        <f t="shared" si="2"/>
        <v>547.2</v>
      </c>
      <c r="T147" s="16">
        <f t="shared" si="3"/>
        <v>3967.2</v>
      </c>
      <c r="U147" s="19" t="s">
        <v>213</v>
      </c>
      <c r="V147" s="16"/>
      <c r="W147" s="16"/>
    </row>
    <row r="148" ht="15.75" customHeight="1">
      <c r="A148" s="27">
        <v>31.0</v>
      </c>
      <c r="B148" s="27">
        <v>39.0</v>
      </c>
      <c r="C148" s="54">
        <v>1183.0</v>
      </c>
      <c r="D148" s="30">
        <v>46235.0</v>
      </c>
      <c r="E148" s="19">
        <v>1.0</v>
      </c>
      <c r="F148" s="10" t="s">
        <v>32</v>
      </c>
      <c r="G148" s="19" t="s">
        <v>228</v>
      </c>
      <c r="H148" s="27">
        <v>14.0</v>
      </c>
      <c r="I148" s="19">
        <v>24640.0</v>
      </c>
      <c r="J148" s="19" t="s">
        <v>184</v>
      </c>
      <c r="K148" s="19" t="s">
        <v>36</v>
      </c>
      <c r="L148" s="73" t="s">
        <v>350</v>
      </c>
      <c r="M148" s="73" t="s">
        <v>330</v>
      </c>
      <c r="N148" s="13"/>
      <c r="O148" s="11"/>
      <c r="P148" s="11"/>
      <c r="Q148" s="14">
        <v>3420.0</v>
      </c>
      <c r="R148" s="16">
        <f t="shared" si="1"/>
        <v>3420</v>
      </c>
      <c r="S148" s="16">
        <f t="shared" si="2"/>
        <v>547.2</v>
      </c>
      <c r="T148" s="16">
        <f t="shared" si="3"/>
        <v>3967.2</v>
      </c>
      <c r="U148" s="19" t="s">
        <v>213</v>
      </c>
      <c r="V148" s="16"/>
      <c r="W148" s="16"/>
    </row>
    <row r="149" ht="15.75" customHeight="1">
      <c r="A149" s="27">
        <v>31.0</v>
      </c>
      <c r="B149" s="27">
        <v>40.0</v>
      </c>
      <c r="C149" s="54">
        <v>1184.0</v>
      </c>
      <c r="D149" s="30">
        <v>46235.0</v>
      </c>
      <c r="E149" s="19">
        <v>1.0</v>
      </c>
      <c r="F149" s="10" t="s">
        <v>32</v>
      </c>
      <c r="G149" s="19" t="s">
        <v>179</v>
      </c>
      <c r="H149" s="27">
        <v>14.0</v>
      </c>
      <c r="I149" s="19">
        <v>24410.0</v>
      </c>
      <c r="J149" s="19" t="s">
        <v>180</v>
      </c>
      <c r="K149" s="19" t="s">
        <v>36</v>
      </c>
      <c r="L149" s="73" t="s">
        <v>330</v>
      </c>
      <c r="M149" s="73" t="s">
        <v>353</v>
      </c>
      <c r="N149" s="13"/>
      <c r="O149" s="11"/>
      <c r="P149" s="11"/>
      <c r="Q149" s="14">
        <v>3420.0</v>
      </c>
      <c r="R149" s="16">
        <f t="shared" si="1"/>
        <v>3420</v>
      </c>
      <c r="S149" s="16">
        <f t="shared" si="2"/>
        <v>547.2</v>
      </c>
      <c r="T149" s="16">
        <f t="shared" si="3"/>
        <v>3967.2</v>
      </c>
      <c r="U149" s="19" t="s">
        <v>213</v>
      </c>
      <c r="V149" s="16"/>
      <c r="W149" s="16"/>
    </row>
    <row r="150" ht="15.75" customHeight="1">
      <c r="A150" s="27">
        <v>31.0</v>
      </c>
      <c r="B150" s="27">
        <v>41.0</v>
      </c>
      <c r="C150" s="54">
        <v>1185.0</v>
      </c>
      <c r="D150" s="30">
        <v>46235.0</v>
      </c>
      <c r="E150" s="19">
        <v>1.0</v>
      </c>
      <c r="F150" s="10" t="s">
        <v>32</v>
      </c>
      <c r="G150" s="19" t="s">
        <v>116</v>
      </c>
      <c r="H150" s="27">
        <v>14.0</v>
      </c>
      <c r="I150" s="19">
        <v>24260.0</v>
      </c>
      <c r="J150" s="19" t="s">
        <v>320</v>
      </c>
      <c r="K150" s="19" t="s">
        <v>36</v>
      </c>
      <c r="L150" s="73" t="s">
        <v>349</v>
      </c>
      <c r="M150" s="73" t="s">
        <v>350</v>
      </c>
      <c r="N150" s="13"/>
      <c r="O150" s="11"/>
      <c r="P150" s="11"/>
      <c r="Q150" s="14">
        <v>3420.0</v>
      </c>
      <c r="R150" s="16">
        <f t="shared" si="1"/>
        <v>3420</v>
      </c>
      <c r="S150" s="16">
        <f t="shared" si="2"/>
        <v>547.2</v>
      </c>
      <c r="T150" s="16">
        <f t="shared" si="3"/>
        <v>3967.2</v>
      </c>
      <c r="U150" s="19" t="s">
        <v>213</v>
      </c>
      <c r="V150" s="16"/>
      <c r="W150" s="16"/>
    </row>
    <row r="151" ht="15.75" customHeight="1">
      <c r="A151" s="27">
        <v>31.0</v>
      </c>
      <c r="B151" s="27">
        <v>42.0</v>
      </c>
      <c r="C151" s="54">
        <v>1186.0</v>
      </c>
      <c r="D151" s="30">
        <v>46235.0</v>
      </c>
      <c r="E151" s="19">
        <v>1.0</v>
      </c>
      <c r="F151" s="10" t="s">
        <v>32</v>
      </c>
      <c r="G151" s="19" t="s">
        <v>291</v>
      </c>
      <c r="H151" s="27">
        <v>14.0</v>
      </c>
      <c r="I151" s="19">
        <v>23730.0</v>
      </c>
      <c r="J151" s="19" t="s">
        <v>302</v>
      </c>
      <c r="K151" s="19" t="s">
        <v>36</v>
      </c>
      <c r="L151" s="73" t="s">
        <v>353</v>
      </c>
      <c r="M151" s="73" t="s">
        <v>338</v>
      </c>
      <c r="N151" s="13"/>
      <c r="O151" s="11"/>
      <c r="P151" s="11"/>
      <c r="Q151" s="14">
        <v>3420.0</v>
      </c>
      <c r="R151" s="16">
        <f t="shared" si="1"/>
        <v>3420</v>
      </c>
      <c r="S151" s="16">
        <f t="shared" si="2"/>
        <v>547.2</v>
      </c>
      <c r="T151" s="16">
        <f t="shared" si="3"/>
        <v>3967.2</v>
      </c>
      <c r="U151" s="19" t="s">
        <v>213</v>
      </c>
      <c r="V151" s="16"/>
      <c r="W151" s="16"/>
    </row>
    <row r="152" ht="15.75" customHeight="1">
      <c r="A152" s="27">
        <v>31.0</v>
      </c>
      <c r="B152" s="27">
        <v>43.0</v>
      </c>
      <c r="C152" s="54">
        <v>1187.0</v>
      </c>
      <c r="D152" s="30">
        <v>46235.0</v>
      </c>
      <c r="E152" s="19">
        <v>1.0</v>
      </c>
      <c r="F152" s="10" t="s">
        <v>32</v>
      </c>
      <c r="G152" s="19" t="s">
        <v>251</v>
      </c>
      <c r="H152" s="27">
        <v>14.0</v>
      </c>
      <c r="I152" s="19">
        <v>23180.0</v>
      </c>
      <c r="J152" s="19" t="s">
        <v>87</v>
      </c>
      <c r="K152" s="19" t="s">
        <v>36</v>
      </c>
      <c r="L152" s="73" t="s">
        <v>338</v>
      </c>
      <c r="M152" s="73" t="s">
        <v>354</v>
      </c>
      <c r="N152" s="13"/>
      <c r="O152" s="11"/>
      <c r="P152" s="11"/>
      <c r="Q152" s="14">
        <v>3420.0</v>
      </c>
      <c r="R152" s="16">
        <f t="shared" si="1"/>
        <v>3420</v>
      </c>
      <c r="S152" s="16">
        <f t="shared" si="2"/>
        <v>547.2</v>
      </c>
      <c r="T152" s="16">
        <f t="shared" si="3"/>
        <v>3967.2</v>
      </c>
      <c r="U152" s="19" t="s">
        <v>213</v>
      </c>
      <c r="V152" s="16"/>
      <c r="W152" s="16"/>
    </row>
    <row r="153" ht="15.75" customHeight="1">
      <c r="A153" s="27">
        <v>32.0</v>
      </c>
      <c r="B153" s="27">
        <v>1.0</v>
      </c>
      <c r="C153" s="19">
        <v>1248.0</v>
      </c>
      <c r="D153" s="30">
        <v>45874.0</v>
      </c>
      <c r="E153" s="19">
        <v>1.0</v>
      </c>
      <c r="F153" s="19" t="s">
        <v>355</v>
      </c>
      <c r="G153" s="19" t="s">
        <v>258</v>
      </c>
      <c r="H153" s="27">
        <v>14.0</v>
      </c>
      <c r="I153" s="19">
        <v>24990.0</v>
      </c>
      <c r="J153" s="19" t="s">
        <v>54</v>
      </c>
      <c r="K153" s="19" t="s">
        <v>36</v>
      </c>
      <c r="L153" s="73" t="s">
        <v>356</v>
      </c>
      <c r="M153" s="73" t="s">
        <v>352</v>
      </c>
      <c r="N153" s="13"/>
      <c r="O153" s="11"/>
      <c r="P153" s="11"/>
      <c r="Q153" s="14">
        <v>3420.0</v>
      </c>
      <c r="R153" s="16">
        <f t="shared" si="1"/>
        <v>3420</v>
      </c>
      <c r="S153" s="16">
        <f t="shared" si="2"/>
        <v>547.2</v>
      </c>
      <c r="T153" s="16">
        <f t="shared" si="3"/>
        <v>3967.2</v>
      </c>
      <c r="U153" s="56" t="s">
        <v>254</v>
      </c>
      <c r="V153" s="16"/>
      <c r="W153" s="16"/>
    </row>
    <row r="154" ht="15.75" customHeight="1">
      <c r="A154" s="27">
        <v>32.0</v>
      </c>
      <c r="B154" s="27">
        <v>2.0</v>
      </c>
      <c r="C154" s="19">
        <v>1249.0</v>
      </c>
      <c r="D154" s="30">
        <v>45874.0</v>
      </c>
      <c r="E154" s="19">
        <v>1.0</v>
      </c>
      <c r="F154" s="19" t="s">
        <v>355</v>
      </c>
      <c r="G154" s="19" t="s">
        <v>165</v>
      </c>
      <c r="H154" s="27">
        <v>14.0</v>
      </c>
      <c r="I154" s="19">
        <v>22470.0</v>
      </c>
      <c r="J154" s="19" t="s">
        <v>72</v>
      </c>
      <c r="K154" s="19" t="s">
        <v>36</v>
      </c>
      <c r="L154" s="73" t="s">
        <v>352</v>
      </c>
      <c r="M154" s="73" t="s">
        <v>357</v>
      </c>
      <c r="N154" s="13"/>
      <c r="O154" s="11"/>
      <c r="P154" s="11"/>
      <c r="Q154" s="14">
        <v>3420.0</v>
      </c>
      <c r="R154" s="16">
        <f t="shared" si="1"/>
        <v>3420</v>
      </c>
      <c r="S154" s="16">
        <f t="shared" si="2"/>
        <v>547.2</v>
      </c>
      <c r="T154" s="16">
        <f t="shared" si="3"/>
        <v>3967.2</v>
      </c>
      <c r="U154" s="90" t="s">
        <v>358</v>
      </c>
      <c r="V154" s="16"/>
      <c r="W154" s="16"/>
    </row>
    <row r="155" ht="15.75" customHeight="1">
      <c r="A155" s="27">
        <v>32.0</v>
      </c>
      <c r="B155" s="27">
        <v>3.0</v>
      </c>
      <c r="C155" s="19">
        <v>1250.0</v>
      </c>
      <c r="D155" s="30">
        <v>45874.0</v>
      </c>
      <c r="E155" s="19">
        <v>1.0</v>
      </c>
      <c r="F155" s="19" t="s">
        <v>355</v>
      </c>
      <c r="G155" s="19" t="s">
        <v>261</v>
      </c>
      <c r="H155" s="27">
        <v>14.0</v>
      </c>
      <c r="I155" s="19">
        <v>23480.0</v>
      </c>
      <c r="J155" s="19" t="s">
        <v>262</v>
      </c>
      <c r="K155" s="19" t="s">
        <v>36</v>
      </c>
      <c r="L155" s="73" t="s">
        <v>357</v>
      </c>
      <c r="M155" s="73" t="s">
        <v>361</v>
      </c>
      <c r="N155" s="13"/>
      <c r="O155" s="11"/>
      <c r="P155" s="11"/>
      <c r="Q155" s="14">
        <v>3420.0</v>
      </c>
      <c r="R155" s="16">
        <f t="shared" si="1"/>
        <v>3420</v>
      </c>
      <c r="S155" s="16">
        <f t="shared" si="2"/>
        <v>547.2</v>
      </c>
      <c r="T155" s="16">
        <f t="shared" si="3"/>
        <v>3967.2</v>
      </c>
      <c r="U155" s="56" t="s">
        <v>254</v>
      </c>
      <c r="V155" s="16"/>
      <c r="W155" s="16"/>
    </row>
    <row r="156" ht="15.75" customHeight="1">
      <c r="A156" s="27">
        <v>32.0</v>
      </c>
      <c r="B156" s="27">
        <v>4.0</v>
      </c>
      <c r="C156" s="19">
        <v>1451.0</v>
      </c>
      <c r="D156" s="30">
        <v>45874.0</v>
      </c>
      <c r="E156" s="19">
        <v>1.0</v>
      </c>
      <c r="F156" s="19" t="s">
        <v>355</v>
      </c>
      <c r="G156" s="19" t="s">
        <v>251</v>
      </c>
      <c r="H156" s="27">
        <v>14.0</v>
      </c>
      <c r="I156" s="19">
        <v>22230.0</v>
      </c>
      <c r="J156" s="19" t="s">
        <v>87</v>
      </c>
      <c r="K156" s="19" t="s">
        <v>36</v>
      </c>
      <c r="L156" s="73" t="s">
        <v>361</v>
      </c>
      <c r="M156" s="73" t="s">
        <v>362</v>
      </c>
      <c r="N156" s="13"/>
      <c r="O156" s="11"/>
      <c r="P156" s="11"/>
      <c r="Q156" s="14">
        <v>3420.0</v>
      </c>
      <c r="R156" s="16">
        <f t="shared" si="1"/>
        <v>3420</v>
      </c>
      <c r="S156" s="16">
        <f t="shared" si="2"/>
        <v>547.2</v>
      </c>
      <c r="T156" s="16">
        <f t="shared" si="3"/>
        <v>3967.2</v>
      </c>
      <c r="U156" s="56" t="s">
        <v>254</v>
      </c>
      <c r="V156" s="16"/>
      <c r="W156" s="16"/>
    </row>
    <row r="157" ht="15.75" customHeight="1">
      <c r="A157" s="27">
        <v>32.0</v>
      </c>
      <c r="B157" s="27">
        <v>5.0</v>
      </c>
      <c r="C157" s="19">
        <v>1452.0</v>
      </c>
      <c r="D157" s="30">
        <v>45874.0</v>
      </c>
      <c r="E157" s="19">
        <v>1.0</v>
      </c>
      <c r="F157" s="19" t="s">
        <v>355</v>
      </c>
      <c r="G157" s="19" t="s">
        <v>205</v>
      </c>
      <c r="H157" s="27">
        <v>14.0</v>
      </c>
      <c r="I157" s="19">
        <v>24160.0</v>
      </c>
      <c r="J157" s="19" t="s">
        <v>84</v>
      </c>
      <c r="K157" s="19" t="s">
        <v>36</v>
      </c>
      <c r="L157" s="73" t="s">
        <v>362</v>
      </c>
      <c r="M157" s="73" t="s">
        <v>363</v>
      </c>
      <c r="N157" s="13"/>
      <c r="O157" s="11"/>
      <c r="P157" s="11"/>
      <c r="Q157" s="14">
        <v>3420.0</v>
      </c>
      <c r="R157" s="16">
        <f t="shared" si="1"/>
        <v>3420</v>
      </c>
      <c r="S157" s="16">
        <f t="shared" si="2"/>
        <v>547.2</v>
      </c>
      <c r="T157" s="16">
        <f t="shared" si="3"/>
        <v>3967.2</v>
      </c>
      <c r="U157" s="56" t="s">
        <v>254</v>
      </c>
      <c r="V157" s="16"/>
      <c r="W157" s="16"/>
    </row>
    <row r="158" ht="15.75" customHeight="1">
      <c r="A158" s="27">
        <v>32.0</v>
      </c>
      <c r="B158" s="27">
        <v>6.0</v>
      </c>
      <c r="C158" s="19">
        <v>1453.0</v>
      </c>
      <c r="D158" s="30">
        <v>45874.0</v>
      </c>
      <c r="E158" s="19">
        <v>1.0</v>
      </c>
      <c r="F158" s="19" t="s">
        <v>355</v>
      </c>
      <c r="G158" s="19" t="s">
        <v>173</v>
      </c>
      <c r="H158" s="27">
        <v>14.0</v>
      </c>
      <c r="I158" s="19">
        <v>23530.0</v>
      </c>
      <c r="J158" s="19" t="s">
        <v>104</v>
      </c>
      <c r="K158" s="19" t="s">
        <v>36</v>
      </c>
      <c r="L158" s="73" t="s">
        <v>363</v>
      </c>
      <c r="M158" s="73" t="s">
        <v>364</v>
      </c>
      <c r="N158" s="13"/>
      <c r="O158" s="11"/>
      <c r="P158" s="11"/>
      <c r="Q158" s="14">
        <v>3420.0</v>
      </c>
      <c r="R158" s="16">
        <f t="shared" si="1"/>
        <v>3420</v>
      </c>
      <c r="S158" s="16">
        <f t="shared" si="2"/>
        <v>547.2</v>
      </c>
      <c r="T158" s="16">
        <f t="shared" si="3"/>
        <v>3967.2</v>
      </c>
      <c r="U158" s="56" t="s">
        <v>254</v>
      </c>
      <c r="V158" s="16"/>
      <c r="W158" s="16"/>
    </row>
    <row r="159" ht="15.75" customHeight="1">
      <c r="A159" s="27">
        <v>32.0</v>
      </c>
      <c r="B159" s="27">
        <v>7.0</v>
      </c>
      <c r="C159" s="19">
        <v>1454.0</v>
      </c>
      <c r="D159" s="30">
        <v>45874.0</v>
      </c>
      <c r="E159" s="19">
        <v>1.0</v>
      </c>
      <c r="F159" s="19" t="s">
        <v>355</v>
      </c>
      <c r="G159" s="19" t="s">
        <v>365</v>
      </c>
      <c r="H159" s="27">
        <v>14.0</v>
      </c>
      <c r="I159" s="19">
        <v>21810.0</v>
      </c>
      <c r="J159" s="19" t="s">
        <v>40</v>
      </c>
      <c r="K159" s="19" t="s">
        <v>36</v>
      </c>
      <c r="L159" s="73" t="s">
        <v>364</v>
      </c>
      <c r="M159" s="73" t="s">
        <v>366</v>
      </c>
      <c r="N159" s="13"/>
      <c r="O159" s="11"/>
      <c r="P159" s="11"/>
      <c r="Q159" s="14">
        <v>3420.0</v>
      </c>
      <c r="R159" s="16">
        <f t="shared" si="1"/>
        <v>3420</v>
      </c>
      <c r="S159" s="16">
        <f t="shared" si="2"/>
        <v>547.2</v>
      </c>
      <c r="T159" s="16">
        <f t="shared" si="3"/>
        <v>3967.2</v>
      </c>
      <c r="U159" s="56" t="s">
        <v>254</v>
      </c>
      <c r="V159" s="16"/>
      <c r="W159" s="16"/>
    </row>
    <row r="160" ht="15.75" customHeight="1">
      <c r="A160" s="27">
        <v>32.0</v>
      </c>
      <c r="B160" s="27">
        <v>8.0</v>
      </c>
      <c r="C160" s="19">
        <v>1455.0</v>
      </c>
      <c r="D160" s="30">
        <v>45874.0</v>
      </c>
      <c r="E160" s="19">
        <v>1.0</v>
      </c>
      <c r="F160" s="19" t="s">
        <v>355</v>
      </c>
      <c r="G160" s="19" t="s">
        <v>337</v>
      </c>
      <c r="H160" s="27">
        <v>14.0</v>
      </c>
      <c r="I160" s="19">
        <v>24780.0</v>
      </c>
      <c r="J160" s="19" t="s">
        <v>314</v>
      </c>
      <c r="K160" s="19" t="s">
        <v>36</v>
      </c>
      <c r="L160" s="73" t="s">
        <v>366</v>
      </c>
      <c r="M160" s="73" t="s">
        <v>368</v>
      </c>
      <c r="N160" s="13"/>
      <c r="O160" s="11"/>
      <c r="P160" s="11"/>
      <c r="Q160" s="14">
        <v>3420.0</v>
      </c>
      <c r="R160" s="16">
        <f t="shared" si="1"/>
        <v>3420</v>
      </c>
      <c r="S160" s="16">
        <f t="shared" si="2"/>
        <v>547.2</v>
      </c>
      <c r="T160" s="16">
        <f t="shared" si="3"/>
        <v>3967.2</v>
      </c>
      <c r="U160" s="56" t="s">
        <v>254</v>
      </c>
      <c r="V160" s="16"/>
      <c r="W160" s="16"/>
    </row>
    <row r="161" ht="15.75" customHeight="1">
      <c r="A161" s="27">
        <v>32.0</v>
      </c>
      <c r="B161" s="27">
        <v>9.0</v>
      </c>
      <c r="C161" s="19">
        <v>1456.0</v>
      </c>
      <c r="D161" s="30">
        <v>45874.0</v>
      </c>
      <c r="E161" s="19">
        <v>1.0</v>
      </c>
      <c r="F161" s="19" t="s">
        <v>355</v>
      </c>
      <c r="G161" s="19" t="s">
        <v>179</v>
      </c>
      <c r="H161" s="27">
        <v>14.0</v>
      </c>
      <c r="I161" s="19">
        <v>23680.0</v>
      </c>
      <c r="J161" s="19" t="s">
        <v>180</v>
      </c>
      <c r="K161" s="19" t="s">
        <v>36</v>
      </c>
      <c r="L161" s="73" t="s">
        <v>368</v>
      </c>
      <c r="M161" s="73" t="s">
        <v>369</v>
      </c>
      <c r="N161" s="13"/>
      <c r="O161" s="11"/>
      <c r="P161" s="11"/>
      <c r="Q161" s="14">
        <v>3420.0</v>
      </c>
      <c r="R161" s="16">
        <f t="shared" si="1"/>
        <v>3420</v>
      </c>
      <c r="S161" s="16">
        <f t="shared" si="2"/>
        <v>547.2</v>
      </c>
      <c r="T161" s="16">
        <f t="shared" si="3"/>
        <v>3967.2</v>
      </c>
      <c r="U161" s="56" t="s">
        <v>254</v>
      </c>
      <c r="V161" s="16"/>
      <c r="W161" s="16"/>
    </row>
    <row r="162" ht="15.75" customHeight="1">
      <c r="A162" s="27">
        <v>32.0</v>
      </c>
      <c r="B162" s="27">
        <v>10.0</v>
      </c>
      <c r="C162" s="19">
        <v>1457.0</v>
      </c>
      <c r="D162" s="30">
        <v>45874.0</v>
      </c>
      <c r="E162" s="19">
        <v>1.0</v>
      </c>
      <c r="F162" s="19" t="s">
        <v>355</v>
      </c>
      <c r="G162" s="19" t="s">
        <v>124</v>
      </c>
      <c r="H162" s="27">
        <v>14.0</v>
      </c>
      <c r="I162" s="19">
        <v>24720.0</v>
      </c>
      <c r="J162" s="19" t="s">
        <v>198</v>
      </c>
      <c r="K162" s="19" t="s">
        <v>36</v>
      </c>
      <c r="L162" s="73" t="s">
        <v>369</v>
      </c>
      <c r="M162" s="73" t="s">
        <v>370</v>
      </c>
      <c r="N162" s="13"/>
      <c r="O162" s="11"/>
      <c r="P162" s="11"/>
      <c r="Q162" s="14">
        <v>3420.0</v>
      </c>
      <c r="R162" s="16">
        <f t="shared" si="1"/>
        <v>3420</v>
      </c>
      <c r="S162" s="16">
        <f t="shared" si="2"/>
        <v>547.2</v>
      </c>
      <c r="T162" s="16">
        <f t="shared" si="3"/>
        <v>3967.2</v>
      </c>
      <c r="U162" s="56" t="s">
        <v>254</v>
      </c>
      <c r="V162" s="16"/>
      <c r="W162" s="16"/>
    </row>
    <row r="163" ht="15.75" customHeight="1">
      <c r="A163" s="27">
        <v>32.0</v>
      </c>
      <c r="B163" s="27">
        <v>11.0</v>
      </c>
      <c r="C163" s="19">
        <v>1469.0</v>
      </c>
      <c r="D163" s="30">
        <v>46240.0</v>
      </c>
      <c r="E163" s="19">
        <v>1.0</v>
      </c>
      <c r="F163" s="19" t="s">
        <v>355</v>
      </c>
      <c r="G163" s="19" t="s">
        <v>165</v>
      </c>
      <c r="H163" s="27">
        <v>14.0</v>
      </c>
      <c r="I163" s="19">
        <v>23180.0</v>
      </c>
      <c r="J163" s="19" t="s">
        <v>72</v>
      </c>
      <c r="K163" s="19" t="s">
        <v>36</v>
      </c>
      <c r="L163" s="73" t="s">
        <v>352</v>
      </c>
      <c r="M163" s="73" t="s">
        <v>357</v>
      </c>
      <c r="N163" s="13"/>
      <c r="O163" s="11"/>
      <c r="P163" s="11"/>
      <c r="Q163" s="14">
        <v>3420.0</v>
      </c>
      <c r="R163" s="16">
        <f t="shared" si="1"/>
        <v>3420</v>
      </c>
      <c r="S163" s="16">
        <f t="shared" si="2"/>
        <v>547.2</v>
      </c>
      <c r="T163" s="16">
        <f t="shared" si="3"/>
        <v>3967.2</v>
      </c>
      <c r="U163" s="90" t="s">
        <v>358</v>
      </c>
      <c r="V163" s="16"/>
      <c r="W163" s="16"/>
    </row>
    <row r="164" ht="15.75" customHeight="1">
      <c r="A164" s="27">
        <v>32.0</v>
      </c>
      <c r="B164" s="27">
        <v>12.0</v>
      </c>
      <c r="C164" s="19">
        <v>1471.0</v>
      </c>
      <c r="D164" s="30">
        <v>46240.0</v>
      </c>
      <c r="E164" s="19">
        <v>1.0</v>
      </c>
      <c r="F164" s="19" t="s">
        <v>355</v>
      </c>
      <c r="G164" s="19" t="s">
        <v>258</v>
      </c>
      <c r="H164" s="27">
        <v>14.0</v>
      </c>
      <c r="I164" s="19">
        <v>23380.0</v>
      </c>
      <c r="J164" s="19" t="s">
        <v>54</v>
      </c>
      <c r="K164" s="19" t="s">
        <v>36</v>
      </c>
      <c r="L164" s="73" t="s">
        <v>357</v>
      </c>
      <c r="M164" s="73" t="s">
        <v>374</v>
      </c>
      <c r="N164" s="13"/>
      <c r="O164" s="11"/>
      <c r="P164" s="11"/>
      <c r="Q164" s="14">
        <v>3420.0</v>
      </c>
      <c r="R164" s="16">
        <f t="shared" si="1"/>
        <v>3420</v>
      </c>
      <c r="S164" s="16">
        <f t="shared" si="2"/>
        <v>547.2</v>
      </c>
      <c r="T164" s="16">
        <f t="shared" si="3"/>
        <v>3967.2</v>
      </c>
      <c r="U164" s="56" t="s">
        <v>254</v>
      </c>
      <c r="V164" s="16"/>
      <c r="W164" s="16"/>
    </row>
    <row r="165" ht="15.75" customHeight="1">
      <c r="A165" s="27">
        <v>32.0</v>
      </c>
      <c r="B165" s="27">
        <v>13.0</v>
      </c>
      <c r="C165" s="19">
        <v>1473.0</v>
      </c>
      <c r="D165" s="30">
        <v>46240.0</v>
      </c>
      <c r="E165" s="19">
        <v>1.0</v>
      </c>
      <c r="F165" s="19" t="s">
        <v>355</v>
      </c>
      <c r="G165" s="19" t="s">
        <v>337</v>
      </c>
      <c r="H165" s="27">
        <v>14.0</v>
      </c>
      <c r="I165" s="19">
        <v>24560.0</v>
      </c>
      <c r="J165" s="19" t="s">
        <v>314</v>
      </c>
      <c r="K165" s="19" t="s">
        <v>36</v>
      </c>
      <c r="L165" s="73" t="s">
        <v>374</v>
      </c>
      <c r="M165" s="73" t="s">
        <v>375</v>
      </c>
      <c r="N165" s="13"/>
      <c r="O165" s="11"/>
      <c r="P165" s="11"/>
      <c r="Q165" s="14">
        <v>3420.0</v>
      </c>
      <c r="R165" s="16">
        <f t="shared" si="1"/>
        <v>3420</v>
      </c>
      <c r="S165" s="16">
        <f t="shared" si="2"/>
        <v>547.2</v>
      </c>
      <c r="T165" s="16">
        <f t="shared" si="3"/>
        <v>3967.2</v>
      </c>
      <c r="U165" s="56" t="s">
        <v>254</v>
      </c>
      <c r="V165" s="16"/>
      <c r="W165" s="16"/>
    </row>
    <row r="166" ht="15.75" customHeight="1">
      <c r="A166" s="27">
        <v>32.0</v>
      </c>
      <c r="B166" s="27">
        <v>14.0</v>
      </c>
      <c r="C166" s="19">
        <v>1475.0</v>
      </c>
      <c r="D166" s="30">
        <v>46240.0</v>
      </c>
      <c r="E166" s="19">
        <v>1.0</v>
      </c>
      <c r="F166" s="19" t="s">
        <v>355</v>
      </c>
      <c r="G166" s="19" t="s">
        <v>124</v>
      </c>
      <c r="H166" s="27">
        <v>14.0</v>
      </c>
      <c r="I166" s="19">
        <v>23190.0</v>
      </c>
      <c r="J166" s="19" t="s">
        <v>198</v>
      </c>
      <c r="K166" s="19" t="s">
        <v>36</v>
      </c>
      <c r="L166" s="73" t="s">
        <v>374</v>
      </c>
      <c r="M166" s="73" t="s">
        <v>377</v>
      </c>
      <c r="N166" s="13"/>
      <c r="O166" s="11"/>
      <c r="P166" s="11"/>
      <c r="Q166" s="14">
        <v>3420.0</v>
      </c>
      <c r="R166" s="16">
        <f t="shared" si="1"/>
        <v>3420</v>
      </c>
      <c r="S166" s="16">
        <f t="shared" si="2"/>
        <v>547.2</v>
      </c>
      <c r="T166" s="16">
        <f t="shared" si="3"/>
        <v>3967.2</v>
      </c>
      <c r="U166" s="56" t="s">
        <v>254</v>
      </c>
      <c r="V166" s="16"/>
      <c r="W166" s="16"/>
    </row>
    <row r="167" ht="15.75" customHeight="1">
      <c r="A167" s="27">
        <v>32.0</v>
      </c>
      <c r="B167" s="27">
        <v>15.0</v>
      </c>
      <c r="C167" s="19">
        <v>1477.0</v>
      </c>
      <c r="D167" s="30">
        <v>46240.0</v>
      </c>
      <c r="E167" s="19">
        <v>1.0</v>
      </c>
      <c r="F167" s="19" t="s">
        <v>355</v>
      </c>
      <c r="G167" s="19" t="s">
        <v>170</v>
      </c>
      <c r="H167" s="27">
        <v>14.0</v>
      </c>
      <c r="I167" s="19">
        <v>24110.0</v>
      </c>
      <c r="J167" s="19" t="s">
        <v>171</v>
      </c>
      <c r="K167" s="19" t="s">
        <v>36</v>
      </c>
      <c r="L167" s="73" t="s">
        <v>338</v>
      </c>
      <c r="M167" s="73" t="s">
        <v>352</v>
      </c>
      <c r="N167" s="13"/>
      <c r="O167" s="11"/>
      <c r="P167" s="11"/>
      <c r="Q167" s="14">
        <v>3420.0</v>
      </c>
      <c r="R167" s="16">
        <f t="shared" si="1"/>
        <v>3420</v>
      </c>
      <c r="S167" s="16">
        <f t="shared" si="2"/>
        <v>547.2</v>
      </c>
      <c r="T167" s="16">
        <f t="shared" si="3"/>
        <v>3967.2</v>
      </c>
      <c r="U167" s="56" t="s">
        <v>254</v>
      </c>
      <c r="V167" s="16"/>
      <c r="W167" s="16"/>
    </row>
    <row r="168" ht="15.75" customHeight="1">
      <c r="A168" s="27">
        <v>32.0</v>
      </c>
      <c r="B168" s="27">
        <v>16.0</v>
      </c>
      <c r="C168" s="19">
        <v>1479.0</v>
      </c>
      <c r="D168" s="30">
        <v>46240.0</v>
      </c>
      <c r="E168" s="19">
        <v>1.0</v>
      </c>
      <c r="F168" s="19" t="s">
        <v>355</v>
      </c>
      <c r="G168" s="19" t="s">
        <v>211</v>
      </c>
      <c r="H168" s="27">
        <v>14.0</v>
      </c>
      <c r="I168" s="19">
        <v>24310.0</v>
      </c>
      <c r="J168" s="19" t="s">
        <v>78</v>
      </c>
      <c r="K168" s="19" t="s">
        <v>36</v>
      </c>
      <c r="L168" s="73" t="s">
        <v>357</v>
      </c>
      <c r="M168" s="73" t="s">
        <v>374</v>
      </c>
      <c r="N168" s="13"/>
      <c r="O168" s="11"/>
      <c r="P168" s="11"/>
      <c r="Q168" s="14">
        <v>3420.0</v>
      </c>
      <c r="R168" s="16">
        <f t="shared" si="1"/>
        <v>3420</v>
      </c>
      <c r="S168" s="16">
        <f t="shared" si="2"/>
        <v>547.2</v>
      </c>
      <c r="T168" s="16">
        <f t="shared" si="3"/>
        <v>3967.2</v>
      </c>
      <c r="U168" s="56" t="s">
        <v>254</v>
      </c>
      <c r="V168" s="16"/>
      <c r="W168" s="16"/>
    </row>
    <row r="169" ht="15.75" customHeight="1">
      <c r="A169" s="27">
        <v>32.0</v>
      </c>
      <c r="B169" s="27">
        <v>17.0</v>
      </c>
      <c r="C169" s="19">
        <v>1481.0</v>
      </c>
      <c r="D169" s="30">
        <v>46240.0</v>
      </c>
      <c r="E169" s="19">
        <v>1.0</v>
      </c>
      <c r="F169" s="19" t="s">
        <v>355</v>
      </c>
      <c r="G169" s="19" t="s">
        <v>173</v>
      </c>
      <c r="H169" s="27">
        <v>14.0</v>
      </c>
      <c r="I169" s="19">
        <v>24230.0</v>
      </c>
      <c r="J169" s="19" t="s">
        <v>174</v>
      </c>
      <c r="K169" s="19" t="s">
        <v>36</v>
      </c>
      <c r="L169" s="73" t="s">
        <v>374</v>
      </c>
      <c r="M169" s="73" t="s">
        <v>377</v>
      </c>
      <c r="N169" s="13"/>
      <c r="O169" s="11"/>
      <c r="P169" s="11"/>
      <c r="Q169" s="14">
        <v>3420.0</v>
      </c>
      <c r="R169" s="16">
        <f t="shared" si="1"/>
        <v>3420</v>
      </c>
      <c r="S169" s="16">
        <f t="shared" si="2"/>
        <v>547.2</v>
      </c>
      <c r="T169" s="16">
        <f t="shared" si="3"/>
        <v>3967.2</v>
      </c>
      <c r="U169" s="56" t="s">
        <v>254</v>
      </c>
      <c r="V169" s="16"/>
      <c r="W169" s="16"/>
    </row>
    <row r="170" ht="15.75" customHeight="1">
      <c r="A170" s="27">
        <v>32.0</v>
      </c>
      <c r="B170" s="27">
        <v>18.0</v>
      </c>
      <c r="C170" s="19">
        <v>1483.0</v>
      </c>
      <c r="D170" s="30">
        <v>46240.0</v>
      </c>
      <c r="E170" s="19">
        <v>1.0</v>
      </c>
      <c r="F170" s="19" t="s">
        <v>355</v>
      </c>
      <c r="G170" s="19" t="s">
        <v>176</v>
      </c>
      <c r="H170" s="27">
        <v>14.0</v>
      </c>
      <c r="I170" s="101">
        <v>20300.0</v>
      </c>
      <c r="J170" s="19" t="s">
        <v>40</v>
      </c>
      <c r="K170" s="19" t="s">
        <v>36</v>
      </c>
      <c r="L170" s="73" t="s">
        <v>377</v>
      </c>
      <c r="M170" s="73" t="s">
        <v>386</v>
      </c>
      <c r="N170" s="13"/>
      <c r="O170" s="11"/>
      <c r="P170" s="11"/>
      <c r="Q170" s="14">
        <v>3420.0</v>
      </c>
      <c r="R170" s="16">
        <f t="shared" si="1"/>
        <v>3420</v>
      </c>
      <c r="S170" s="16">
        <f t="shared" si="2"/>
        <v>547.2</v>
      </c>
      <c r="T170" s="16">
        <f t="shared" si="3"/>
        <v>3967.2</v>
      </c>
      <c r="U170" s="56" t="s">
        <v>254</v>
      </c>
      <c r="V170" s="16"/>
      <c r="W170" s="16"/>
    </row>
    <row r="171" ht="15.75" customHeight="1">
      <c r="A171" s="27">
        <v>32.0</v>
      </c>
      <c r="B171" s="27">
        <v>19.0</v>
      </c>
      <c r="C171" s="19">
        <v>1484.0</v>
      </c>
      <c r="D171" s="30">
        <v>46240.0</v>
      </c>
      <c r="E171" s="19">
        <v>1.0</v>
      </c>
      <c r="F171" s="19" t="s">
        <v>355</v>
      </c>
      <c r="G171" s="19" t="s">
        <v>205</v>
      </c>
      <c r="H171" s="27">
        <v>14.0</v>
      </c>
      <c r="I171" s="101">
        <v>25580.0</v>
      </c>
      <c r="J171" s="19" t="s">
        <v>84</v>
      </c>
      <c r="K171" s="19" t="s">
        <v>36</v>
      </c>
      <c r="L171" s="73" t="s">
        <v>386</v>
      </c>
      <c r="M171" s="73" t="s">
        <v>387</v>
      </c>
      <c r="N171" s="13"/>
      <c r="O171" s="11"/>
      <c r="P171" s="11"/>
      <c r="Q171" s="14">
        <v>3420.0</v>
      </c>
      <c r="R171" s="16">
        <f t="shared" si="1"/>
        <v>3420</v>
      </c>
      <c r="S171" s="16">
        <f t="shared" si="2"/>
        <v>547.2</v>
      </c>
      <c r="T171" s="16">
        <f t="shared" si="3"/>
        <v>3967.2</v>
      </c>
      <c r="U171" s="56" t="s">
        <v>254</v>
      </c>
      <c r="V171" s="16"/>
      <c r="W171" s="16"/>
    </row>
    <row r="172" ht="15.75" customHeight="1">
      <c r="A172" s="27">
        <v>32.0</v>
      </c>
      <c r="B172" s="27">
        <v>20.0</v>
      </c>
      <c r="C172" s="19">
        <v>1485.0</v>
      </c>
      <c r="D172" s="30">
        <v>46240.0</v>
      </c>
      <c r="E172" s="19">
        <v>1.0</v>
      </c>
      <c r="F172" s="19" t="s">
        <v>355</v>
      </c>
      <c r="G172" s="19" t="s">
        <v>378</v>
      </c>
      <c r="H172" s="27">
        <v>14.0</v>
      </c>
      <c r="I172" s="101">
        <v>22930.0</v>
      </c>
      <c r="J172" s="19" t="s">
        <v>379</v>
      </c>
      <c r="K172" s="19" t="s">
        <v>36</v>
      </c>
      <c r="L172" s="73" t="s">
        <v>387</v>
      </c>
      <c r="M172" s="73" t="s">
        <v>388</v>
      </c>
      <c r="N172" s="13"/>
      <c r="O172" s="11"/>
      <c r="P172" s="11"/>
      <c r="Q172" s="14">
        <v>3420.0</v>
      </c>
      <c r="R172" s="16">
        <f t="shared" si="1"/>
        <v>3420</v>
      </c>
      <c r="S172" s="16">
        <f t="shared" si="2"/>
        <v>547.2</v>
      </c>
      <c r="T172" s="16">
        <f t="shared" si="3"/>
        <v>3967.2</v>
      </c>
      <c r="U172" s="90" t="s">
        <v>358</v>
      </c>
      <c r="V172" s="16"/>
      <c r="W172" s="16"/>
    </row>
    <row r="173" ht="15.75" customHeight="1">
      <c r="A173" s="27">
        <v>32.0</v>
      </c>
      <c r="B173" s="27">
        <v>21.0</v>
      </c>
      <c r="C173" s="19">
        <v>1487.0</v>
      </c>
      <c r="D173" s="30">
        <v>46240.0</v>
      </c>
      <c r="E173" s="19">
        <v>1.0</v>
      </c>
      <c r="F173" s="19" t="s">
        <v>355</v>
      </c>
      <c r="G173" s="19" t="s">
        <v>389</v>
      </c>
      <c r="H173" s="27">
        <v>14.0</v>
      </c>
      <c r="I173" s="101">
        <v>22060.0</v>
      </c>
      <c r="J173" s="19" t="s">
        <v>390</v>
      </c>
      <c r="K173" s="19" t="s">
        <v>36</v>
      </c>
      <c r="L173" s="73" t="s">
        <v>388</v>
      </c>
      <c r="M173" s="73" t="s">
        <v>391</v>
      </c>
      <c r="N173" s="13"/>
      <c r="O173" s="11"/>
      <c r="P173" s="11"/>
      <c r="Q173" s="14">
        <v>1200.0</v>
      </c>
      <c r="R173" s="16">
        <f t="shared" si="1"/>
        <v>1200</v>
      </c>
      <c r="S173" s="16">
        <f t="shared" si="2"/>
        <v>192</v>
      </c>
      <c r="T173" s="16">
        <f t="shared" si="3"/>
        <v>1392</v>
      </c>
      <c r="U173" s="90" t="s">
        <v>358</v>
      </c>
      <c r="V173" s="16"/>
      <c r="W173" s="16"/>
    </row>
    <row r="174" ht="15.75" customHeight="1">
      <c r="A174" s="27"/>
      <c r="B174" s="27"/>
      <c r="C174" s="102">
        <v>1499.0</v>
      </c>
      <c r="D174" s="30">
        <v>46241.0</v>
      </c>
      <c r="E174" s="19">
        <v>1.0</v>
      </c>
      <c r="F174" s="19" t="s">
        <v>146</v>
      </c>
      <c r="G174" s="19" t="s">
        <v>261</v>
      </c>
      <c r="H174" s="27">
        <v>0.0</v>
      </c>
      <c r="I174" s="101"/>
      <c r="J174" s="19" t="s">
        <v>262</v>
      </c>
      <c r="K174" s="19" t="s">
        <v>36</v>
      </c>
      <c r="L174" s="73"/>
      <c r="M174" s="73"/>
      <c r="N174" s="13"/>
      <c r="O174" s="11"/>
      <c r="P174" s="11"/>
      <c r="Q174" s="14">
        <v>1200.0</v>
      </c>
      <c r="R174" s="16">
        <f t="shared" si="1"/>
        <v>1200</v>
      </c>
      <c r="S174" s="16">
        <f t="shared" si="2"/>
        <v>192</v>
      </c>
      <c r="T174" s="16">
        <f t="shared" si="3"/>
        <v>1392</v>
      </c>
      <c r="U174" s="56" t="s">
        <v>254</v>
      </c>
      <c r="V174" s="16"/>
      <c r="W174" s="16"/>
    </row>
    <row r="175" ht="15.75" customHeight="1">
      <c r="A175" s="27"/>
      <c r="B175" s="27"/>
      <c r="C175" s="102">
        <v>1500.0</v>
      </c>
      <c r="D175" s="30">
        <v>46241.0</v>
      </c>
      <c r="E175" s="19">
        <v>1.0</v>
      </c>
      <c r="F175" s="19" t="s">
        <v>146</v>
      </c>
      <c r="G175" s="19" t="s">
        <v>248</v>
      </c>
      <c r="H175" s="27">
        <v>0.0</v>
      </c>
      <c r="I175" s="101"/>
      <c r="J175" s="19" t="s">
        <v>174</v>
      </c>
      <c r="K175" s="19" t="s">
        <v>36</v>
      </c>
      <c r="L175" s="73"/>
      <c r="M175" s="73"/>
      <c r="N175" s="13"/>
      <c r="O175" s="11"/>
      <c r="P175" s="11"/>
      <c r="Q175" s="14">
        <v>1200.0</v>
      </c>
      <c r="R175" s="16">
        <f t="shared" si="1"/>
        <v>1200</v>
      </c>
      <c r="S175" s="16">
        <f t="shared" si="2"/>
        <v>192</v>
      </c>
      <c r="T175" s="16">
        <f t="shared" si="3"/>
        <v>1392</v>
      </c>
      <c r="U175" s="56" t="s">
        <v>254</v>
      </c>
      <c r="V175" s="16"/>
      <c r="W175" s="16"/>
    </row>
    <row r="176" ht="15.75" customHeight="1">
      <c r="A176" s="27"/>
      <c r="B176" s="27"/>
      <c r="C176" s="102">
        <v>1501.0</v>
      </c>
      <c r="D176" s="30">
        <v>46241.0</v>
      </c>
      <c r="E176" s="19">
        <v>1.0</v>
      </c>
      <c r="F176" s="19" t="s">
        <v>146</v>
      </c>
      <c r="G176" s="19" t="s">
        <v>176</v>
      </c>
      <c r="H176" s="27">
        <v>0.0</v>
      </c>
      <c r="I176" s="101"/>
      <c r="J176" s="19" t="s">
        <v>40</v>
      </c>
      <c r="K176" s="19" t="s">
        <v>36</v>
      </c>
      <c r="L176" s="73"/>
      <c r="M176" s="73"/>
      <c r="N176" s="13"/>
      <c r="O176" s="11"/>
      <c r="P176" s="11"/>
      <c r="Q176" s="14">
        <v>1200.0</v>
      </c>
      <c r="R176" s="16">
        <f t="shared" si="1"/>
        <v>1200</v>
      </c>
      <c r="S176" s="16">
        <f t="shared" si="2"/>
        <v>192</v>
      </c>
      <c r="T176" s="16">
        <f t="shared" si="3"/>
        <v>1392</v>
      </c>
      <c r="U176" s="56" t="s">
        <v>254</v>
      </c>
      <c r="V176" s="16"/>
      <c r="W176" s="16"/>
    </row>
    <row r="177" ht="15.75" customHeight="1">
      <c r="A177" s="27"/>
      <c r="B177" s="27"/>
      <c r="C177" s="102">
        <v>1504.0</v>
      </c>
      <c r="D177" s="30">
        <v>46241.0</v>
      </c>
      <c r="E177" s="19">
        <v>1.0</v>
      </c>
      <c r="F177" s="19" t="s">
        <v>146</v>
      </c>
      <c r="G177" s="19" t="s">
        <v>211</v>
      </c>
      <c r="H177" s="27">
        <v>0.0</v>
      </c>
      <c r="I177" s="101"/>
      <c r="J177" s="19" t="s">
        <v>78</v>
      </c>
      <c r="K177" s="19" t="s">
        <v>36</v>
      </c>
      <c r="L177" s="73"/>
      <c r="M177" s="73"/>
      <c r="N177" s="13"/>
      <c r="O177" s="11"/>
      <c r="P177" s="11"/>
      <c r="Q177" s="14">
        <v>1200.0</v>
      </c>
      <c r="R177" s="16">
        <f t="shared" si="1"/>
        <v>1200</v>
      </c>
      <c r="S177" s="16">
        <f t="shared" si="2"/>
        <v>192</v>
      </c>
      <c r="T177" s="16">
        <f t="shared" si="3"/>
        <v>1392</v>
      </c>
      <c r="U177" s="56" t="s">
        <v>254</v>
      </c>
      <c r="V177" s="16"/>
      <c r="W177" s="16"/>
    </row>
    <row r="178" ht="15.75" customHeight="1">
      <c r="A178" s="27"/>
      <c r="B178" s="27"/>
      <c r="C178" s="102">
        <v>1505.0</v>
      </c>
      <c r="D178" s="30">
        <v>46241.0</v>
      </c>
      <c r="E178" s="19">
        <v>1.0</v>
      </c>
      <c r="F178" s="19" t="s">
        <v>146</v>
      </c>
      <c r="G178" s="19" t="s">
        <v>337</v>
      </c>
      <c r="H178" s="27">
        <v>0.0</v>
      </c>
      <c r="I178" s="101"/>
      <c r="J178" s="19" t="s">
        <v>314</v>
      </c>
      <c r="K178" s="19" t="s">
        <v>36</v>
      </c>
      <c r="L178" s="73"/>
      <c r="M178" s="73"/>
      <c r="N178" s="13"/>
      <c r="O178" s="11"/>
      <c r="P178" s="11"/>
      <c r="Q178" s="14">
        <v>1200.0</v>
      </c>
      <c r="R178" s="16">
        <f t="shared" si="1"/>
        <v>1200</v>
      </c>
      <c r="S178" s="16">
        <f t="shared" si="2"/>
        <v>192</v>
      </c>
      <c r="T178" s="16">
        <f t="shared" si="3"/>
        <v>1392</v>
      </c>
      <c r="U178" s="56" t="s">
        <v>254</v>
      </c>
      <c r="V178" s="16"/>
      <c r="W178" s="16"/>
    </row>
    <row r="179" ht="15.75" customHeight="1">
      <c r="A179" s="27"/>
      <c r="B179" s="27"/>
      <c r="C179" s="102">
        <v>1506.0</v>
      </c>
      <c r="D179" s="30">
        <v>46241.0</v>
      </c>
      <c r="E179" s="19">
        <v>1.0</v>
      </c>
      <c r="F179" s="19" t="s">
        <v>146</v>
      </c>
      <c r="G179" s="19" t="s">
        <v>205</v>
      </c>
      <c r="H179" s="27">
        <v>0.0</v>
      </c>
      <c r="I179" s="101"/>
      <c r="J179" s="19" t="s">
        <v>84</v>
      </c>
      <c r="K179" s="19" t="s">
        <v>36</v>
      </c>
      <c r="L179" s="73"/>
      <c r="M179" s="73"/>
      <c r="N179" s="13"/>
      <c r="O179" s="11"/>
      <c r="P179" s="11"/>
      <c r="Q179" s="14">
        <v>1200.0</v>
      </c>
      <c r="R179" s="16">
        <f t="shared" si="1"/>
        <v>1200</v>
      </c>
      <c r="S179" s="16">
        <f t="shared" si="2"/>
        <v>192</v>
      </c>
      <c r="T179" s="16">
        <f t="shared" si="3"/>
        <v>1392</v>
      </c>
      <c r="U179" s="56" t="s">
        <v>254</v>
      </c>
      <c r="V179" s="16"/>
      <c r="W179" s="16"/>
    </row>
    <row r="180" ht="15.75" customHeight="1">
      <c r="A180" s="27"/>
      <c r="B180" s="27"/>
      <c r="C180" s="102">
        <v>1507.0</v>
      </c>
      <c r="D180" s="30">
        <v>46241.0</v>
      </c>
      <c r="E180" s="19">
        <v>1.0</v>
      </c>
      <c r="F180" s="19" t="s">
        <v>146</v>
      </c>
      <c r="G180" s="19" t="s">
        <v>392</v>
      </c>
      <c r="H180" s="27">
        <v>0.0</v>
      </c>
      <c r="I180" s="101"/>
      <c r="J180" s="19" t="s">
        <v>198</v>
      </c>
      <c r="K180" s="19" t="s">
        <v>36</v>
      </c>
      <c r="L180" s="73"/>
      <c r="M180" s="73"/>
      <c r="N180" s="13"/>
      <c r="O180" s="11"/>
      <c r="P180" s="11"/>
      <c r="Q180" s="14">
        <v>1200.0</v>
      </c>
      <c r="R180" s="16">
        <f t="shared" si="1"/>
        <v>1200</v>
      </c>
      <c r="S180" s="16">
        <f t="shared" si="2"/>
        <v>192</v>
      </c>
      <c r="T180" s="16">
        <f t="shared" si="3"/>
        <v>1392</v>
      </c>
      <c r="U180" s="56" t="s">
        <v>254</v>
      </c>
      <c r="V180" s="16"/>
      <c r="W180" s="16"/>
    </row>
    <row r="181" ht="15.75" customHeight="1">
      <c r="A181" s="27">
        <v>32.0</v>
      </c>
      <c r="B181" s="27">
        <v>22.0</v>
      </c>
      <c r="C181" s="19">
        <v>1508.0</v>
      </c>
      <c r="D181" s="30" t="s">
        <v>393</v>
      </c>
      <c r="E181" s="19">
        <v>1.0</v>
      </c>
      <c r="F181" s="19" t="s">
        <v>355</v>
      </c>
      <c r="G181" s="19" t="s">
        <v>337</v>
      </c>
      <c r="H181" s="27">
        <v>14.0</v>
      </c>
      <c r="I181" s="101">
        <v>22630.0</v>
      </c>
      <c r="J181" s="19" t="s">
        <v>314</v>
      </c>
      <c r="K181" s="19" t="s">
        <v>36</v>
      </c>
      <c r="L181" s="73" t="s">
        <v>344</v>
      </c>
      <c r="M181" s="73">
        <v>2.0</v>
      </c>
      <c r="N181" s="13"/>
      <c r="O181" s="11"/>
      <c r="P181" s="11"/>
      <c r="Q181" s="14">
        <v>3420.0</v>
      </c>
      <c r="R181" s="16">
        <f t="shared" si="1"/>
        <v>3420</v>
      </c>
      <c r="S181" s="16">
        <f t="shared" si="2"/>
        <v>547.2</v>
      </c>
      <c r="T181" s="16">
        <f t="shared" si="3"/>
        <v>3967.2</v>
      </c>
      <c r="U181" s="56" t="s">
        <v>254</v>
      </c>
      <c r="V181" s="16"/>
      <c r="W181" s="16"/>
    </row>
    <row r="182" ht="15.75" customHeight="1">
      <c r="A182" s="27">
        <v>32.0</v>
      </c>
      <c r="B182" s="27">
        <v>23.0</v>
      </c>
      <c r="C182" s="19">
        <v>1509.0</v>
      </c>
      <c r="D182" s="30" t="s">
        <v>393</v>
      </c>
      <c r="E182" s="19">
        <v>1.0</v>
      </c>
      <c r="F182" s="19" t="s">
        <v>355</v>
      </c>
      <c r="G182" s="19" t="s">
        <v>124</v>
      </c>
      <c r="H182" s="27">
        <v>14.0</v>
      </c>
      <c r="I182" s="101">
        <v>24640.0</v>
      </c>
      <c r="J182" s="19" t="s">
        <v>198</v>
      </c>
      <c r="K182" s="19" t="s">
        <v>36</v>
      </c>
      <c r="L182" s="73" t="s">
        <v>391</v>
      </c>
      <c r="M182" s="73" t="s">
        <v>396</v>
      </c>
      <c r="N182" s="13"/>
      <c r="O182" s="11"/>
      <c r="P182" s="11"/>
      <c r="Q182" s="14">
        <v>3420.0</v>
      </c>
      <c r="R182" s="16">
        <f t="shared" si="1"/>
        <v>3420</v>
      </c>
      <c r="S182" s="16">
        <f t="shared" si="2"/>
        <v>547.2</v>
      </c>
      <c r="T182" s="16">
        <f t="shared" si="3"/>
        <v>3967.2</v>
      </c>
      <c r="U182" s="90" t="s">
        <v>358</v>
      </c>
      <c r="V182" s="16"/>
      <c r="W182" s="16"/>
    </row>
    <row r="183" ht="15.75" customHeight="1">
      <c r="A183" s="27">
        <v>32.0</v>
      </c>
      <c r="B183" s="27">
        <v>24.0</v>
      </c>
      <c r="C183" s="19">
        <v>1510.0</v>
      </c>
      <c r="D183" s="30" t="s">
        <v>393</v>
      </c>
      <c r="E183" s="19">
        <v>1.0</v>
      </c>
      <c r="F183" s="19" t="s">
        <v>355</v>
      </c>
      <c r="G183" s="19" t="s">
        <v>173</v>
      </c>
      <c r="H183" s="27">
        <v>14.0</v>
      </c>
      <c r="I183" s="101">
        <v>25610.0</v>
      </c>
      <c r="J183" s="19" t="s">
        <v>174</v>
      </c>
      <c r="K183" s="19" t="s">
        <v>36</v>
      </c>
      <c r="L183" s="73" t="s">
        <v>396</v>
      </c>
      <c r="M183" s="73" t="s">
        <v>370</v>
      </c>
      <c r="N183" s="13"/>
      <c r="O183" s="11"/>
      <c r="P183" s="11"/>
      <c r="Q183" s="14">
        <v>3420.0</v>
      </c>
      <c r="R183" s="16">
        <f t="shared" si="1"/>
        <v>3420</v>
      </c>
      <c r="S183" s="16">
        <f t="shared" si="2"/>
        <v>547.2</v>
      </c>
      <c r="T183" s="16">
        <f t="shared" si="3"/>
        <v>3967.2</v>
      </c>
      <c r="U183" s="90" t="s">
        <v>358</v>
      </c>
      <c r="V183" s="16"/>
      <c r="W183" s="16"/>
    </row>
    <row r="184" ht="15.75" customHeight="1">
      <c r="A184" s="27">
        <v>32.0</v>
      </c>
      <c r="B184" s="27">
        <v>25.0</v>
      </c>
      <c r="C184" s="19">
        <v>1511.0</v>
      </c>
      <c r="D184" s="30" t="s">
        <v>393</v>
      </c>
      <c r="E184" s="19">
        <v>1.0</v>
      </c>
      <c r="F184" s="19" t="s">
        <v>355</v>
      </c>
      <c r="G184" s="19" t="s">
        <v>399</v>
      </c>
      <c r="H184" s="27">
        <v>14.0</v>
      </c>
      <c r="I184" s="101">
        <v>22630.0</v>
      </c>
      <c r="J184" s="19" t="s">
        <v>40</v>
      </c>
      <c r="K184" s="19" t="s">
        <v>36</v>
      </c>
      <c r="L184" s="73" t="s">
        <v>370</v>
      </c>
      <c r="M184" s="73" t="s">
        <v>400</v>
      </c>
      <c r="N184" s="13"/>
      <c r="O184" s="11"/>
      <c r="P184" s="11"/>
      <c r="Q184" s="14">
        <v>3420.0</v>
      </c>
      <c r="R184" s="16">
        <f t="shared" si="1"/>
        <v>3420</v>
      </c>
      <c r="S184" s="16">
        <f t="shared" si="2"/>
        <v>547.2</v>
      </c>
      <c r="T184" s="16">
        <f t="shared" si="3"/>
        <v>3967.2</v>
      </c>
      <c r="U184" s="90" t="s">
        <v>358</v>
      </c>
      <c r="V184" s="16"/>
      <c r="W184" s="16"/>
    </row>
    <row r="185" ht="15.75" customHeight="1">
      <c r="A185" s="27">
        <v>32.0</v>
      </c>
      <c r="B185" s="27">
        <v>26.0</v>
      </c>
      <c r="C185" s="19">
        <v>1512.0</v>
      </c>
      <c r="D185" s="30" t="s">
        <v>393</v>
      </c>
      <c r="E185" s="19">
        <v>1.0</v>
      </c>
      <c r="F185" s="19" t="s">
        <v>355</v>
      </c>
      <c r="G185" s="19" t="s">
        <v>403</v>
      </c>
      <c r="H185" s="27">
        <v>14.0</v>
      </c>
      <c r="I185" s="101">
        <v>23560.0</v>
      </c>
      <c r="J185" s="19" t="s">
        <v>351</v>
      </c>
      <c r="K185" s="19" t="s">
        <v>36</v>
      </c>
      <c r="L185" s="73" t="s">
        <v>400</v>
      </c>
      <c r="M185" s="73" t="s">
        <v>404</v>
      </c>
      <c r="N185" s="13"/>
      <c r="O185" s="11"/>
      <c r="P185" s="11"/>
      <c r="Q185" s="14">
        <v>6720.0</v>
      </c>
      <c r="R185" s="16">
        <f t="shared" si="1"/>
        <v>6720</v>
      </c>
      <c r="S185" s="16">
        <f t="shared" si="2"/>
        <v>1075.2</v>
      </c>
      <c r="T185" s="16">
        <f t="shared" si="3"/>
        <v>7795.2</v>
      </c>
      <c r="U185" s="56" t="s">
        <v>254</v>
      </c>
      <c r="V185" s="16"/>
      <c r="W185" s="16"/>
    </row>
    <row r="186" ht="15.75" customHeight="1">
      <c r="A186" s="27">
        <v>32.0</v>
      </c>
      <c r="B186" s="27">
        <v>27.0</v>
      </c>
      <c r="C186" s="19">
        <v>1513.0</v>
      </c>
      <c r="D186" s="30" t="s">
        <v>393</v>
      </c>
      <c r="E186" s="19">
        <v>1.0</v>
      </c>
      <c r="F186" s="19" t="s">
        <v>355</v>
      </c>
      <c r="G186" s="19" t="s">
        <v>211</v>
      </c>
      <c r="H186" s="27">
        <v>14.0</v>
      </c>
      <c r="I186" s="101">
        <v>23770.0</v>
      </c>
      <c r="J186" s="19" t="s">
        <v>78</v>
      </c>
      <c r="K186" s="19" t="s">
        <v>36</v>
      </c>
      <c r="L186" s="73" t="s">
        <v>404</v>
      </c>
      <c r="M186" s="73" t="s">
        <v>405</v>
      </c>
      <c r="N186" s="13"/>
      <c r="O186" s="11"/>
      <c r="P186" s="11"/>
      <c r="Q186" s="14">
        <v>3420.0</v>
      </c>
      <c r="R186" s="16">
        <f t="shared" si="1"/>
        <v>3420</v>
      </c>
      <c r="S186" s="16">
        <f t="shared" si="2"/>
        <v>547.2</v>
      </c>
      <c r="T186" s="16">
        <f t="shared" si="3"/>
        <v>3967.2</v>
      </c>
      <c r="U186" s="90" t="s">
        <v>358</v>
      </c>
      <c r="V186" s="16"/>
      <c r="W186" s="16"/>
    </row>
    <row r="187" ht="15.75" customHeight="1">
      <c r="A187" s="27">
        <v>32.0</v>
      </c>
      <c r="B187" s="27">
        <v>28.0</v>
      </c>
      <c r="C187" s="19">
        <v>1514.0</v>
      </c>
      <c r="D187" s="30" t="s">
        <v>393</v>
      </c>
      <c r="E187" s="19">
        <v>1.0</v>
      </c>
      <c r="F187" s="19" t="s">
        <v>355</v>
      </c>
      <c r="G187" s="19" t="s">
        <v>205</v>
      </c>
      <c r="H187" s="27">
        <v>14.0</v>
      </c>
      <c r="I187" s="101">
        <v>24650.0</v>
      </c>
      <c r="J187" s="19" t="s">
        <v>84</v>
      </c>
      <c r="K187" s="19" t="s">
        <v>36</v>
      </c>
      <c r="L187" s="73" t="s">
        <v>405</v>
      </c>
      <c r="M187" s="73" t="s">
        <v>406</v>
      </c>
      <c r="N187" s="13"/>
      <c r="O187" s="11"/>
      <c r="P187" s="11"/>
      <c r="Q187" s="14">
        <v>6720.0</v>
      </c>
      <c r="R187" s="16">
        <f t="shared" si="1"/>
        <v>6720</v>
      </c>
      <c r="S187" s="16">
        <f t="shared" si="2"/>
        <v>1075.2</v>
      </c>
      <c r="T187" s="16">
        <f t="shared" si="3"/>
        <v>7795.2</v>
      </c>
      <c r="U187" s="56" t="s">
        <v>254</v>
      </c>
      <c r="V187" s="16"/>
      <c r="W187" s="16"/>
    </row>
    <row r="188" ht="15.75" customHeight="1">
      <c r="A188" s="27">
        <v>32.0</v>
      </c>
      <c r="B188" s="27">
        <v>29.0</v>
      </c>
      <c r="C188" s="19">
        <v>1515.0</v>
      </c>
      <c r="D188" s="30" t="s">
        <v>393</v>
      </c>
      <c r="E188" s="19">
        <v>1.0</v>
      </c>
      <c r="F188" s="19" t="s">
        <v>355</v>
      </c>
      <c r="G188" s="19" t="s">
        <v>109</v>
      </c>
      <c r="H188" s="27">
        <v>14.0</v>
      </c>
      <c r="I188" s="101">
        <v>24570.0</v>
      </c>
      <c r="J188" s="19" t="s">
        <v>35</v>
      </c>
      <c r="K188" s="19" t="s">
        <v>36</v>
      </c>
      <c r="L188" s="73" t="s">
        <v>386</v>
      </c>
      <c r="M188" s="73" t="s">
        <v>366</v>
      </c>
      <c r="N188" s="13"/>
      <c r="O188" s="11"/>
      <c r="P188" s="11"/>
      <c r="Q188" s="14">
        <v>6720.0</v>
      </c>
      <c r="R188" s="16">
        <f t="shared" si="1"/>
        <v>6720</v>
      </c>
      <c r="S188" s="16">
        <f t="shared" si="2"/>
        <v>1075.2</v>
      </c>
      <c r="T188" s="16">
        <f t="shared" si="3"/>
        <v>7795.2</v>
      </c>
      <c r="U188" s="56" t="s">
        <v>254</v>
      </c>
      <c r="V188" s="16"/>
      <c r="W188" s="16"/>
    </row>
    <row r="189" ht="15.75" customHeight="1">
      <c r="A189" s="27">
        <v>32.0</v>
      </c>
      <c r="B189" s="27">
        <v>30.0</v>
      </c>
      <c r="C189" s="19">
        <v>1516.0</v>
      </c>
      <c r="D189" s="30" t="s">
        <v>393</v>
      </c>
      <c r="E189" s="19">
        <v>1.0</v>
      </c>
      <c r="F189" s="19" t="s">
        <v>355</v>
      </c>
      <c r="G189" s="19" t="s">
        <v>225</v>
      </c>
      <c r="H189" s="27">
        <v>14.0</v>
      </c>
      <c r="I189" s="101">
        <v>23920.0</v>
      </c>
      <c r="J189" s="19" t="s">
        <v>35</v>
      </c>
      <c r="K189" s="19" t="s">
        <v>36</v>
      </c>
      <c r="L189" s="73" t="s">
        <v>366</v>
      </c>
      <c r="M189" s="73" t="s">
        <v>368</v>
      </c>
      <c r="N189" s="13"/>
      <c r="O189" s="11"/>
      <c r="P189" s="11"/>
      <c r="Q189" s="14">
        <v>6720.0</v>
      </c>
      <c r="R189" s="16">
        <f t="shared" si="1"/>
        <v>6720</v>
      </c>
      <c r="S189" s="16">
        <f t="shared" si="2"/>
        <v>1075.2</v>
      </c>
      <c r="T189" s="16">
        <f t="shared" si="3"/>
        <v>7795.2</v>
      </c>
      <c r="U189" s="56" t="s">
        <v>254</v>
      </c>
      <c r="V189" s="16"/>
      <c r="W189" s="16"/>
    </row>
    <row r="190" ht="15.75" customHeight="1">
      <c r="A190" s="27">
        <v>32.0</v>
      </c>
      <c r="B190" s="27">
        <v>31.0</v>
      </c>
      <c r="C190" s="19">
        <v>1517.0</v>
      </c>
      <c r="D190" s="30" t="s">
        <v>393</v>
      </c>
      <c r="E190" s="19">
        <v>1.0</v>
      </c>
      <c r="F190" s="19" t="s">
        <v>355</v>
      </c>
      <c r="G190" s="19" t="s">
        <v>223</v>
      </c>
      <c r="H190" s="27">
        <v>14.0</v>
      </c>
      <c r="I190" s="101">
        <v>23240.0</v>
      </c>
      <c r="J190" s="19" t="s">
        <v>224</v>
      </c>
      <c r="K190" s="19" t="s">
        <v>36</v>
      </c>
      <c r="L190" s="73" t="s">
        <v>368</v>
      </c>
      <c r="M190" s="73" t="s">
        <v>407</v>
      </c>
      <c r="N190" s="11"/>
      <c r="O190" s="11"/>
      <c r="P190" s="11"/>
      <c r="Q190" s="14">
        <v>6720.0</v>
      </c>
      <c r="R190" s="16">
        <f t="shared" si="1"/>
        <v>6720</v>
      </c>
      <c r="S190" s="16">
        <f t="shared" si="2"/>
        <v>1075.2</v>
      </c>
      <c r="T190" s="16">
        <f t="shared" si="3"/>
        <v>7795.2</v>
      </c>
      <c r="U190" s="56" t="s">
        <v>254</v>
      </c>
      <c r="V190" s="16"/>
      <c r="W190" s="16"/>
    </row>
    <row r="191" ht="15.75" customHeight="1">
      <c r="A191" s="27">
        <v>32.0</v>
      </c>
      <c r="B191" s="27">
        <v>32.0</v>
      </c>
      <c r="C191" s="19">
        <v>1518.0</v>
      </c>
      <c r="D191" s="30" t="s">
        <v>393</v>
      </c>
      <c r="E191" s="19">
        <v>1.0</v>
      </c>
      <c r="F191" s="19" t="s">
        <v>355</v>
      </c>
      <c r="G191" s="19" t="s">
        <v>228</v>
      </c>
      <c r="H191" s="27">
        <v>14.0</v>
      </c>
      <c r="I191" s="101">
        <v>24560.0</v>
      </c>
      <c r="J191" s="19" t="s">
        <v>184</v>
      </c>
      <c r="K191" s="19" t="s">
        <v>36</v>
      </c>
      <c r="L191" s="73" t="s">
        <v>407</v>
      </c>
      <c r="M191" s="73" t="s">
        <v>408</v>
      </c>
      <c r="N191" s="11"/>
      <c r="O191" s="11"/>
      <c r="P191" s="11"/>
      <c r="Q191" s="14">
        <v>6720.0</v>
      </c>
      <c r="R191" s="16">
        <f t="shared" si="1"/>
        <v>6720</v>
      </c>
      <c r="S191" s="16">
        <f t="shared" si="2"/>
        <v>1075.2</v>
      </c>
      <c r="T191" s="16">
        <f t="shared" si="3"/>
        <v>7795.2</v>
      </c>
      <c r="U191" s="56" t="s">
        <v>254</v>
      </c>
      <c r="V191" s="16"/>
      <c r="W191" s="16"/>
    </row>
    <row r="192" ht="15.75" customHeight="1">
      <c r="A192" s="27">
        <v>32.0</v>
      </c>
      <c r="B192" s="27">
        <v>33.0</v>
      </c>
      <c r="C192" s="19">
        <v>1519.0</v>
      </c>
      <c r="D192" s="30" t="s">
        <v>393</v>
      </c>
      <c r="E192" s="19">
        <v>1.0</v>
      </c>
      <c r="F192" s="19" t="s">
        <v>355</v>
      </c>
      <c r="G192" s="19" t="s">
        <v>179</v>
      </c>
      <c r="H192" s="27">
        <v>14.0</v>
      </c>
      <c r="I192" s="101">
        <v>24190.0</v>
      </c>
      <c r="J192" s="19" t="s">
        <v>180</v>
      </c>
      <c r="K192" s="19" t="s">
        <v>36</v>
      </c>
      <c r="L192" s="73" t="s">
        <v>408</v>
      </c>
      <c r="M192" s="73" t="s">
        <v>409</v>
      </c>
      <c r="N192" s="11"/>
      <c r="O192" s="11"/>
      <c r="P192" s="11"/>
      <c r="Q192" s="14">
        <v>3420.0</v>
      </c>
      <c r="R192" s="16">
        <f t="shared" si="1"/>
        <v>3420</v>
      </c>
      <c r="S192" s="16">
        <f t="shared" si="2"/>
        <v>547.2</v>
      </c>
      <c r="T192" s="16">
        <f t="shared" si="3"/>
        <v>3967.2</v>
      </c>
      <c r="U192" s="56" t="s">
        <v>254</v>
      </c>
      <c r="V192" s="16"/>
      <c r="W192" s="16"/>
    </row>
    <row r="193" ht="15.75" customHeight="1">
      <c r="A193" s="27">
        <v>32.0</v>
      </c>
      <c r="B193" s="27">
        <v>34.0</v>
      </c>
      <c r="C193" s="19">
        <v>1520.0</v>
      </c>
      <c r="D193" s="30" t="s">
        <v>393</v>
      </c>
      <c r="E193" s="19">
        <v>1.0</v>
      </c>
      <c r="F193" s="19" t="s">
        <v>355</v>
      </c>
      <c r="G193" s="19" t="s">
        <v>291</v>
      </c>
      <c r="H193" s="27">
        <v>14.0</v>
      </c>
      <c r="I193" s="101">
        <v>21410.0</v>
      </c>
      <c r="J193" s="19" t="s">
        <v>410</v>
      </c>
      <c r="K193" s="19" t="s">
        <v>36</v>
      </c>
      <c r="L193" s="73" t="s">
        <v>409</v>
      </c>
      <c r="M193" s="73" t="s">
        <v>411</v>
      </c>
      <c r="N193" s="11"/>
      <c r="O193" s="11"/>
      <c r="P193" s="11"/>
      <c r="Q193" s="14">
        <v>6720.0</v>
      </c>
      <c r="R193" s="16">
        <f t="shared" si="1"/>
        <v>6720</v>
      </c>
      <c r="S193" s="16">
        <f t="shared" si="2"/>
        <v>1075.2</v>
      </c>
      <c r="T193" s="16">
        <f t="shared" si="3"/>
        <v>7795.2</v>
      </c>
      <c r="U193" s="56" t="s">
        <v>254</v>
      </c>
      <c r="V193" s="16"/>
      <c r="W193" s="16"/>
    </row>
    <row r="194" ht="15.75" customHeight="1">
      <c r="A194" s="7"/>
      <c r="B194" s="7"/>
      <c r="C194" s="11"/>
      <c r="D194" s="9"/>
      <c r="E194" s="11"/>
      <c r="F194" s="11"/>
      <c r="G194" s="11"/>
      <c r="H194" s="7"/>
      <c r="I194" s="26"/>
      <c r="J194" s="11"/>
      <c r="K194" s="11"/>
      <c r="L194" s="13"/>
      <c r="M194" s="13"/>
      <c r="N194" s="13"/>
      <c r="O194" s="11"/>
      <c r="P194" s="11"/>
      <c r="Q194" s="16"/>
      <c r="R194" s="16"/>
      <c r="S194" s="16"/>
      <c r="T194" s="16"/>
      <c r="U194" s="11"/>
      <c r="V194" s="16"/>
      <c r="W194" s="16"/>
    </row>
    <row r="195" ht="15.75" customHeight="1">
      <c r="A195" s="7"/>
      <c r="B195" s="7"/>
      <c r="C195" s="11"/>
      <c r="D195" s="9"/>
      <c r="E195" s="11"/>
      <c r="F195" s="11"/>
      <c r="G195" s="11"/>
      <c r="H195" s="7"/>
      <c r="I195" s="26"/>
      <c r="J195" s="11"/>
      <c r="K195" s="11"/>
      <c r="L195" s="13"/>
      <c r="M195" s="13"/>
      <c r="N195" s="11"/>
      <c r="O195" s="11"/>
      <c r="P195" s="11"/>
      <c r="Q195" s="16"/>
      <c r="R195" s="16"/>
      <c r="S195" s="16"/>
      <c r="T195" s="16"/>
      <c r="U195" s="11"/>
      <c r="V195" s="16"/>
      <c r="W195" s="16"/>
    </row>
    <row r="196" ht="15.75" customHeight="1">
      <c r="A196" s="7"/>
      <c r="B196" s="7"/>
      <c r="C196" s="11"/>
      <c r="D196" s="9"/>
      <c r="E196" s="11"/>
      <c r="F196" s="11"/>
      <c r="G196" s="11"/>
      <c r="H196" s="7"/>
      <c r="I196" s="26"/>
      <c r="J196" s="11"/>
      <c r="K196" s="11"/>
      <c r="L196" s="13"/>
      <c r="M196" s="13"/>
      <c r="N196" s="11"/>
      <c r="O196" s="11"/>
      <c r="P196" s="11"/>
      <c r="Q196" s="16"/>
      <c r="R196" s="16"/>
      <c r="S196" s="16">
        <f>SUBTOTAL(109,T:T)</f>
        <v>741054.5624</v>
      </c>
      <c r="T196" s="16"/>
      <c r="U196" s="11"/>
      <c r="V196" s="16"/>
      <c r="W196" s="16"/>
    </row>
    <row r="197" ht="15.75" customHeight="1">
      <c r="A197" s="7"/>
      <c r="B197" s="7"/>
      <c r="C197" s="11"/>
      <c r="D197" s="9"/>
      <c r="E197" s="11"/>
      <c r="F197" s="11"/>
      <c r="G197" s="11"/>
      <c r="H197" s="7"/>
      <c r="I197" s="26"/>
      <c r="J197" s="11"/>
      <c r="K197" s="11"/>
      <c r="L197" s="13"/>
      <c r="M197" s="13"/>
      <c r="N197" s="11"/>
      <c r="O197" s="11"/>
      <c r="P197" s="11"/>
      <c r="Q197" s="16"/>
      <c r="R197" s="16"/>
      <c r="S197" s="16"/>
      <c r="T197" s="16"/>
      <c r="U197" s="11"/>
      <c r="V197" s="16"/>
      <c r="W197" s="16"/>
    </row>
    <row r="198" ht="15.75" customHeight="1">
      <c r="A198" s="7"/>
      <c r="B198" s="7"/>
      <c r="C198" s="11"/>
      <c r="D198" s="9"/>
      <c r="E198" s="11"/>
      <c r="F198" s="11"/>
      <c r="G198" s="11"/>
      <c r="H198" s="7"/>
      <c r="I198" s="26"/>
      <c r="J198" s="11"/>
      <c r="K198" s="11"/>
      <c r="L198" s="13"/>
      <c r="M198" s="13"/>
      <c r="N198" s="11"/>
      <c r="O198" s="11"/>
      <c r="P198" s="11"/>
      <c r="Q198" s="16"/>
      <c r="R198" s="16"/>
      <c r="S198" s="16">
        <f>S196+FRESADO!T208</f>
        <v>748014.5624</v>
      </c>
      <c r="T198" s="16"/>
      <c r="U198" s="11"/>
      <c r="V198" s="16"/>
      <c r="W198" s="16"/>
    </row>
    <row r="199" ht="15.75" customHeight="1">
      <c r="A199" s="7"/>
      <c r="B199" s="7"/>
      <c r="C199" s="11"/>
      <c r="D199" s="9"/>
      <c r="E199" s="11"/>
      <c r="F199" s="11"/>
      <c r="G199" s="11"/>
      <c r="H199" s="7"/>
      <c r="I199" s="26"/>
      <c r="J199" s="11"/>
      <c r="K199" s="11"/>
      <c r="L199" s="13"/>
      <c r="M199" s="13"/>
      <c r="N199" s="11"/>
      <c r="O199" s="11"/>
      <c r="P199" s="11"/>
      <c r="Q199" s="16"/>
      <c r="R199" s="16"/>
      <c r="S199" s="16"/>
      <c r="T199" s="16"/>
      <c r="U199" s="11"/>
      <c r="V199" s="16"/>
      <c r="W199" s="16"/>
    </row>
    <row r="200" ht="15.75" customHeight="1">
      <c r="A200" s="7"/>
      <c r="B200" s="7"/>
      <c r="C200" s="11"/>
      <c r="D200" s="9"/>
      <c r="E200" s="11"/>
      <c r="F200" s="11"/>
      <c r="G200" s="11"/>
      <c r="H200" s="7"/>
      <c r="I200" s="26"/>
      <c r="J200" s="11"/>
      <c r="K200" s="11"/>
      <c r="L200" s="13"/>
      <c r="M200" s="13"/>
      <c r="N200" s="11"/>
      <c r="O200" s="11"/>
      <c r="P200" s="11"/>
      <c r="Q200" s="16"/>
      <c r="R200" s="16"/>
      <c r="S200" s="16"/>
      <c r="T200" s="16"/>
      <c r="U200" s="11"/>
      <c r="V200" s="16"/>
      <c r="W200" s="16"/>
    </row>
    <row r="201" ht="15.75" customHeight="1">
      <c r="A201" s="7"/>
      <c r="B201" s="7"/>
      <c r="C201" s="11"/>
      <c r="D201" s="9"/>
      <c r="E201" s="11"/>
      <c r="F201" s="11"/>
      <c r="G201" s="11"/>
      <c r="H201" s="7"/>
      <c r="I201" s="26"/>
      <c r="J201" s="11"/>
      <c r="K201" s="11"/>
      <c r="L201" s="13"/>
      <c r="M201" s="13"/>
      <c r="N201" s="11"/>
      <c r="O201" s="11"/>
      <c r="P201" s="11"/>
      <c r="Q201" s="16"/>
      <c r="R201" s="16"/>
      <c r="S201" s="16"/>
      <c r="T201" s="16"/>
      <c r="U201" s="11"/>
      <c r="V201" s="16"/>
      <c r="W201" s="16"/>
    </row>
    <row r="202" ht="15.75" customHeight="1">
      <c r="A202" s="7"/>
      <c r="B202" s="7"/>
      <c r="C202" s="11"/>
      <c r="D202" s="9"/>
      <c r="E202" s="11"/>
      <c r="F202" s="11"/>
      <c r="G202" s="11"/>
      <c r="H202" s="7"/>
      <c r="I202" s="26"/>
      <c r="J202" s="11"/>
      <c r="K202" s="11"/>
      <c r="L202" s="11"/>
      <c r="M202" s="13"/>
      <c r="N202" s="11"/>
      <c r="O202" s="11"/>
      <c r="P202" s="11"/>
      <c r="Q202" s="16"/>
      <c r="R202" s="16"/>
      <c r="S202" s="16"/>
      <c r="T202" s="16"/>
      <c r="U202" s="11"/>
      <c r="V202" s="16"/>
      <c r="W202" s="16"/>
    </row>
    <row r="203" ht="15.75" customHeight="1">
      <c r="A203" s="7"/>
      <c r="B203" s="7"/>
      <c r="C203" s="11"/>
      <c r="D203" s="9"/>
      <c r="E203" s="11"/>
      <c r="F203" s="11"/>
      <c r="G203" s="11"/>
      <c r="H203" s="7"/>
      <c r="I203" s="26"/>
      <c r="J203" s="11"/>
      <c r="K203" s="11"/>
      <c r="L203" s="13"/>
      <c r="M203" s="11"/>
      <c r="N203" s="13"/>
      <c r="O203" s="11"/>
      <c r="P203" s="11"/>
      <c r="Q203" s="16"/>
      <c r="R203" s="16"/>
      <c r="S203" s="16"/>
      <c r="T203" s="16"/>
      <c r="U203" s="11"/>
      <c r="V203" s="16"/>
      <c r="W203" s="16"/>
    </row>
    <row r="204" ht="15.75" customHeight="1">
      <c r="A204" s="7"/>
      <c r="B204" s="7"/>
      <c r="C204" s="11"/>
      <c r="D204" s="9"/>
      <c r="E204" s="11"/>
      <c r="F204" s="11"/>
      <c r="G204" s="11"/>
      <c r="H204" s="7"/>
      <c r="I204" s="26"/>
      <c r="J204" s="11"/>
      <c r="K204" s="11"/>
      <c r="L204" s="11"/>
      <c r="M204" s="11"/>
      <c r="N204" s="11"/>
      <c r="O204" s="11"/>
      <c r="P204" s="11"/>
      <c r="Q204" s="16"/>
      <c r="R204" s="16"/>
      <c r="S204" s="16"/>
      <c r="T204" s="16"/>
      <c r="U204" s="11"/>
      <c r="V204" s="16"/>
      <c r="W204" s="16"/>
    </row>
    <row r="205" ht="15.75" customHeight="1">
      <c r="A205" s="7"/>
      <c r="B205" s="7"/>
      <c r="C205" s="11"/>
      <c r="D205" s="9"/>
      <c r="E205" s="11"/>
      <c r="F205" s="11"/>
      <c r="G205" s="11"/>
      <c r="H205" s="7"/>
      <c r="I205" s="26"/>
      <c r="J205" s="11"/>
      <c r="K205" s="11"/>
      <c r="L205" s="11"/>
      <c r="M205" s="11"/>
      <c r="N205" s="11"/>
      <c r="O205" s="11"/>
      <c r="P205" s="11"/>
      <c r="Q205" s="16"/>
      <c r="R205" s="16"/>
      <c r="S205" s="16"/>
      <c r="T205" s="16"/>
      <c r="U205" s="11"/>
      <c r="V205" s="16"/>
      <c r="W205" s="16"/>
    </row>
    <row r="206" ht="15.75" customHeight="1">
      <c r="A206" s="7"/>
      <c r="B206" s="7"/>
      <c r="C206" s="11"/>
      <c r="D206" s="9"/>
      <c r="E206" s="11"/>
      <c r="F206" s="11"/>
      <c r="G206" s="11"/>
      <c r="H206" s="7"/>
      <c r="I206" s="26"/>
      <c r="J206" s="11"/>
      <c r="K206" s="11"/>
      <c r="L206" s="11"/>
      <c r="M206" s="11"/>
      <c r="N206" s="11"/>
      <c r="O206" s="11"/>
      <c r="P206" s="11"/>
      <c r="Q206" s="16"/>
      <c r="R206" s="16"/>
      <c r="S206" s="16"/>
      <c r="T206" s="16"/>
      <c r="U206" s="11"/>
      <c r="V206" s="16"/>
      <c r="W206" s="16"/>
    </row>
    <row r="207" ht="15.75" customHeight="1">
      <c r="A207" s="7"/>
      <c r="B207" s="7"/>
      <c r="C207" s="11"/>
      <c r="D207" s="9"/>
      <c r="E207" s="11"/>
      <c r="F207" s="11"/>
      <c r="G207" s="11"/>
      <c r="H207" s="7"/>
      <c r="I207" s="26"/>
      <c r="J207" s="11"/>
      <c r="K207" s="11"/>
      <c r="L207" s="11"/>
      <c r="M207" s="11"/>
      <c r="N207" s="11"/>
      <c r="O207" s="11"/>
      <c r="P207" s="11"/>
      <c r="Q207" s="16"/>
      <c r="R207" s="16"/>
      <c r="S207" s="16"/>
      <c r="T207" s="16"/>
      <c r="U207" s="11"/>
      <c r="V207" s="16"/>
      <c r="W207" s="16"/>
    </row>
    <row r="208" ht="15.75" customHeight="1">
      <c r="A208" s="7"/>
      <c r="B208" s="7"/>
      <c r="C208" s="11"/>
      <c r="D208" s="9"/>
      <c r="E208" s="11"/>
      <c r="F208" s="11"/>
      <c r="G208" s="11"/>
      <c r="H208" s="7"/>
      <c r="I208" s="26"/>
      <c r="J208" s="11"/>
      <c r="K208" s="11"/>
      <c r="L208" s="11"/>
      <c r="M208" s="11"/>
      <c r="N208" s="11"/>
      <c r="O208" s="11"/>
      <c r="P208" s="11"/>
      <c r="Q208" s="16"/>
      <c r="R208" s="16"/>
      <c r="S208" s="16"/>
      <c r="T208" s="16"/>
      <c r="U208" s="11"/>
      <c r="V208" s="16"/>
      <c r="W208" s="16"/>
    </row>
    <row r="209" ht="15.75" customHeight="1">
      <c r="A209" s="7"/>
      <c r="B209" s="7"/>
      <c r="C209" s="11"/>
      <c r="D209" s="9"/>
      <c r="E209" s="11"/>
      <c r="F209" s="11"/>
      <c r="G209" s="11"/>
      <c r="H209" s="7"/>
      <c r="I209" s="26"/>
      <c r="J209" s="11"/>
      <c r="K209" s="11"/>
      <c r="L209" s="13"/>
      <c r="M209" s="13"/>
      <c r="N209" s="11"/>
      <c r="O209" s="11"/>
      <c r="P209" s="11"/>
      <c r="Q209" s="16"/>
      <c r="R209" s="16"/>
      <c r="S209" s="16"/>
      <c r="T209" s="16"/>
      <c r="U209" s="11"/>
      <c r="V209" s="16"/>
      <c r="W209" s="16"/>
    </row>
    <row r="210" ht="15.75" customHeight="1">
      <c r="A210" s="7"/>
      <c r="B210" s="7"/>
      <c r="C210" s="11"/>
      <c r="D210" s="9"/>
      <c r="E210" s="11"/>
      <c r="F210" s="11"/>
      <c r="G210" s="11"/>
      <c r="H210" s="7"/>
      <c r="I210" s="26"/>
      <c r="J210" s="11"/>
      <c r="K210" s="11"/>
      <c r="L210" s="13"/>
      <c r="M210" s="13"/>
      <c r="N210" s="11"/>
      <c r="O210" s="11"/>
      <c r="P210" s="11"/>
      <c r="Q210" s="16"/>
      <c r="R210" s="16"/>
      <c r="S210" s="16"/>
      <c r="T210" s="16"/>
      <c r="U210" s="11"/>
      <c r="V210" s="16"/>
      <c r="W210" s="16"/>
    </row>
    <row r="211" ht="15.75" customHeight="1">
      <c r="A211" s="7"/>
      <c r="B211" s="7"/>
      <c r="C211" s="11"/>
      <c r="D211" s="9"/>
      <c r="E211" s="11"/>
      <c r="F211" s="11"/>
      <c r="G211" s="11"/>
      <c r="H211" s="7"/>
      <c r="I211" s="26"/>
      <c r="J211" s="11"/>
      <c r="K211" s="11"/>
      <c r="L211" s="13"/>
      <c r="M211" s="13"/>
      <c r="N211" s="11"/>
      <c r="O211" s="11"/>
      <c r="P211" s="11"/>
      <c r="Q211" s="16"/>
      <c r="R211" s="16"/>
      <c r="S211" s="16"/>
      <c r="T211" s="16"/>
      <c r="U211" s="11"/>
      <c r="V211" s="16"/>
      <c r="W211" s="16"/>
    </row>
    <row r="212" ht="15.75" customHeight="1">
      <c r="A212" s="7"/>
      <c r="B212" s="7"/>
      <c r="C212" s="11"/>
      <c r="D212" s="9"/>
      <c r="E212" s="11"/>
      <c r="F212" s="11"/>
      <c r="G212" s="11"/>
      <c r="H212" s="7"/>
      <c r="I212" s="26"/>
      <c r="J212" s="11"/>
      <c r="K212" s="11"/>
      <c r="L212" s="13"/>
      <c r="M212" s="13"/>
      <c r="N212" s="11"/>
      <c r="O212" s="11"/>
      <c r="P212" s="11"/>
      <c r="Q212" s="16"/>
      <c r="R212" s="16"/>
      <c r="S212" s="16"/>
      <c r="T212" s="16"/>
      <c r="U212" s="11"/>
      <c r="V212" s="16"/>
      <c r="W212" s="16"/>
    </row>
    <row r="213" ht="15.75" customHeight="1">
      <c r="A213" s="7"/>
      <c r="B213" s="7"/>
      <c r="C213" s="11"/>
      <c r="D213" s="9"/>
      <c r="E213" s="11"/>
      <c r="F213" s="11"/>
      <c r="G213" s="11"/>
      <c r="H213" s="7"/>
      <c r="I213" s="11"/>
      <c r="J213" s="11"/>
      <c r="K213" s="11"/>
      <c r="L213" s="11"/>
      <c r="M213" s="11"/>
      <c r="N213" s="11"/>
      <c r="O213" s="11"/>
      <c r="P213" s="11"/>
      <c r="Q213" s="16"/>
      <c r="R213" s="16"/>
      <c r="S213" s="16"/>
      <c r="T213" s="16"/>
      <c r="U213" s="11"/>
      <c r="V213" s="16"/>
      <c r="W213" s="16"/>
    </row>
    <row r="214" ht="15.75" customHeight="1">
      <c r="A214" s="7"/>
      <c r="B214" s="7"/>
      <c r="C214" s="11"/>
      <c r="D214" s="9"/>
      <c r="E214" s="11"/>
      <c r="F214" s="11"/>
      <c r="G214" s="11"/>
      <c r="H214" s="7"/>
      <c r="I214" s="26"/>
      <c r="J214" s="11"/>
      <c r="K214" s="11"/>
      <c r="L214" s="13"/>
      <c r="M214" s="13"/>
      <c r="N214" s="11"/>
      <c r="O214" s="11"/>
      <c r="P214" s="11"/>
      <c r="Q214" s="16"/>
      <c r="R214" s="16"/>
      <c r="S214" s="16"/>
      <c r="T214" s="16"/>
      <c r="U214" s="11"/>
      <c r="V214" s="16"/>
      <c r="W214" s="16"/>
    </row>
    <row r="215" ht="15.75" customHeight="1">
      <c r="A215" s="7"/>
      <c r="B215" s="7"/>
      <c r="C215" s="11"/>
      <c r="D215" s="9"/>
      <c r="E215" s="11"/>
      <c r="F215" s="11"/>
      <c r="G215" s="11"/>
      <c r="H215" s="7"/>
      <c r="I215" s="26"/>
      <c r="J215" s="11"/>
      <c r="K215" s="11"/>
      <c r="L215" s="13"/>
      <c r="M215" s="13"/>
      <c r="N215" s="11"/>
      <c r="O215" s="11"/>
      <c r="P215" s="11"/>
      <c r="Q215" s="16"/>
      <c r="R215" s="16"/>
      <c r="S215" s="16"/>
      <c r="T215" s="16"/>
      <c r="U215" s="11"/>
      <c r="V215" s="16"/>
      <c r="W215" s="16"/>
    </row>
    <row r="216" ht="15.75" customHeight="1">
      <c r="A216" s="7"/>
      <c r="B216" s="7"/>
      <c r="C216" s="11"/>
      <c r="D216" s="9"/>
      <c r="E216" s="11"/>
      <c r="F216" s="11"/>
      <c r="G216" s="11"/>
      <c r="H216" s="7"/>
      <c r="I216" s="26"/>
      <c r="J216" s="11"/>
      <c r="K216" s="11"/>
      <c r="L216" s="13"/>
      <c r="M216" s="13"/>
      <c r="N216" s="11"/>
      <c r="O216" s="11"/>
      <c r="P216" s="11"/>
      <c r="Q216" s="16"/>
      <c r="R216" s="16"/>
      <c r="S216" s="16"/>
      <c r="T216" s="16"/>
      <c r="U216" s="11"/>
      <c r="V216" s="16"/>
      <c r="W216" s="16"/>
    </row>
    <row r="217" ht="15.75" customHeight="1">
      <c r="A217" s="7"/>
      <c r="B217" s="7"/>
      <c r="C217" s="11"/>
      <c r="D217" s="9"/>
      <c r="E217" s="11"/>
      <c r="F217" s="11"/>
      <c r="G217" s="11"/>
      <c r="H217" s="7"/>
      <c r="I217" s="26"/>
      <c r="J217" s="11"/>
      <c r="K217" s="11"/>
      <c r="L217" s="13"/>
      <c r="M217" s="13"/>
      <c r="N217" s="11"/>
      <c r="O217" s="11"/>
      <c r="P217" s="11"/>
      <c r="Q217" s="16"/>
      <c r="R217" s="16"/>
      <c r="S217" s="16"/>
      <c r="T217" s="16"/>
      <c r="U217" s="11"/>
      <c r="V217" s="16"/>
      <c r="W217" s="16"/>
    </row>
    <row r="218" ht="15.75" customHeight="1">
      <c r="A218" s="7"/>
      <c r="B218" s="7"/>
      <c r="C218" s="11"/>
      <c r="D218" s="9"/>
      <c r="E218" s="11"/>
      <c r="F218" s="11"/>
      <c r="G218" s="11"/>
      <c r="H218" s="7"/>
      <c r="I218" s="26"/>
      <c r="J218" s="11"/>
      <c r="K218" s="11"/>
      <c r="L218" s="13"/>
      <c r="M218" s="13"/>
      <c r="N218" s="11"/>
      <c r="O218" s="11"/>
      <c r="P218" s="11"/>
      <c r="Q218" s="16"/>
      <c r="R218" s="16"/>
      <c r="S218" s="16"/>
      <c r="T218" s="16"/>
      <c r="U218" s="11"/>
      <c r="V218" s="16"/>
      <c r="W218" s="16"/>
    </row>
    <row r="219" ht="15.75" customHeight="1">
      <c r="A219" s="7"/>
      <c r="B219" s="7"/>
      <c r="C219" s="11"/>
      <c r="D219" s="9"/>
      <c r="E219" s="11"/>
      <c r="F219" s="11"/>
      <c r="G219" s="11"/>
      <c r="H219" s="7"/>
      <c r="I219" s="11"/>
      <c r="J219" s="11"/>
      <c r="K219" s="11"/>
      <c r="L219" s="13"/>
      <c r="M219" s="13"/>
      <c r="N219" s="13"/>
      <c r="O219" s="11"/>
      <c r="P219" s="11"/>
      <c r="Q219" s="16"/>
      <c r="R219" s="16"/>
      <c r="S219" s="16"/>
      <c r="T219" s="16"/>
      <c r="U219" s="11"/>
      <c r="V219" s="16"/>
      <c r="W219" s="16"/>
    </row>
    <row r="220" ht="15.75" customHeight="1">
      <c r="A220" s="7"/>
      <c r="B220" s="7"/>
      <c r="C220" s="11"/>
      <c r="D220" s="9"/>
      <c r="E220" s="11"/>
      <c r="F220" s="11"/>
      <c r="G220" s="11"/>
      <c r="H220" s="7"/>
      <c r="I220" s="11"/>
      <c r="J220" s="11"/>
      <c r="K220" s="11"/>
      <c r="L220" s="13"/>
      <c r="M220" s="13"/>
      <c r="N220" s="13"/>
      <c r="O220" s="11"/>
      <c r="P220" s="11"/>
      <c r="Q220" s="16"/>
      <c r="R220" s="16"/>
      <c r="S220" s="16"/>
      <c r="T220" s="16"/>
      <c r="U220" s="11"/>
      <c r="V220" s="16"/>
      <c r="W220" s="16"/>
    </row>
    <row r="221" ht="15.75" customHeight="1">
      <c r="A221" s="7"/>
      <c r="B221" s="7"/>
      <c r="C221" s="11"/>
      <c r="D221" s="9"/>
      <c r="E221" s="11"/>
      <c r="F221" s="11"/>
      <c r="G221" s="11"/>
      <c r="H221" s="7"/>
      <c r="I221" s="11"/>
      <c r="J221" s="11"/>
      <c r="K221" s="11"/>
      <c r="L221" s="13"/>
      <c r="M221" s="13"/>
      <c r="N221" s="13"/>
      <c r="O221" s="11"/>
      <c r="P221" s="11"/>
      <c r="Q221" s="16"/>
      <c r="R221" s="16"/>
      <c r="S221" s="16"/>
      <c r="T221" s="16"/>
      <c r="U221" s="11"/>
      <c r="V221" s="16"/>
      <c r="W221" s="16"/>
    </row>
    <row r="222" ht="15.75" customHeight="1">
      <c r="A222" s="7"/>
      <c r="B222" s="7"/>
      <c r="C222" s="11"/>
      <c r="D222" s="9"/>
      <c r="E222" s="11"/>
      <c r="F222" s="11"/>
      <c r="G222" s="11"/>
      <c r="H222" s="7"/>
      <c r="I222" s="11"/>
      <c r="J222" s="11"/>
      <c r="K222" s="11"/>
      <c r="L222" s="13"/>
      <c r="M222" s="13"/>
      <c r="N222" s="13"/>
      <c r="O222" s="11"/>
      <c r="P222" s="11"/>
      <c r="Q222" s="16"/>
      <c r="R222" s="16"/>
      <c r="S222" s="16"/>
      <c r="T222" s="16"/>
      <c r="U222" s="11"/>
      <c r="V222" s="16"/>
      <c r="W222" s="16"/>
    </row>
    <row r="223" ht="15.75" customHeight="1">
      <c r="A223" s="7"/>
      <c r="B223" s="7"/>
      <c r="C223" s="11"/>
      <c r="D223" s="9"/>
      <c r="E223" s="11"/>
      <c r="F223" s="11"/>
      <c r="G223" s="11"/>
      <c r="H223" s="7"/>
      <c r="I223" s="11"/>
      <c r="J223" s="11"/>
      <c r="K223" s="11"/>
      <c r="L223" s="13"/>
      <c r="M223" s="13"/>
      <c r="N223" s="13"/>
      <c r="O223" s="11"/>
      <c r="P223" s="11"/>
      <c r="Q223" s="16"/>
      <c r="R223" s="16"/>
      <c r="S223" s="16"/>
      <c r="T223" s="16"/>
      <c r="U223" s="11"/>
      <c r="V223" s="16"/>
      <c r="W223" s="16"/>
    </row>
    <row r="224" ht="15.75" customHeight="1">
      <c r="A224" s="7"/>
      <c r="B224" s="7"/>
      <c r="C224" s="11"/>
      <c r="D224" s="9"/>
      <c r="E224" s="11"/>
      <c r="F224" s="11"/>
      <c r="G224" s="11"/>
      <c r="H224" s="7"/>
      <c r="I224" s="11"/>
      <c r="J224" s="11"/>
      <c r="K224" s="11"/>
      <c r="L224" s="13"/>
      <c r="M224" s="13"/>
      <c r="N224" s="13"/>
      <c r="O224" s="11"/>
      <c r="P224" s="11"/>
      <c r="Q224" s="16"/>
      <c r="R224" s="16"/>
      <c r="S224" s="16"/>
      <c r="T224" s="16"/>
      <c r="U224" s="11"/>
      <c r="V224" s="16"/>
      <c r="W224" s="16"/>
    </row>
    <row r="225" ht="15.75" customHeight="1">
      <c r="A225" s="7"/>
      <c r="B225" s="7"/>
      <c r="C225" s="11"/>
      <c r="D225" s="9"/>
      <c r="E225" s="11"/>
      <c r="F225" s="11"/>
      <c r="G225" s="11"/>
      <c r="H225" s="7"/>
      <c r="I225" s="11"/>
      <c r="J225" s="11"/>
      <c r="K225" s="11"/>
      <c r="L225" s="13"/>
      <c r="M225" s="13"/>
      <c r="N225" s="13"/>
      <c r="O225" s="11"/>
      <c r="P225" s="11"/>
      <c r="Q225" s="16"/>
      <c r="R225" s="16"/>
      <c r="S225" s="16"/>
      <c r="T225" s="16"/>
      <c r="U225" s="11"/>
      <c r="V225" s="16"/>
      <c r="W225" s="16"/>
    </row>
    <row r="226" ht="15.75" customHeight="1">
      <c r="A226" s="7"/>
      <c r="B226" s="7"/>
      <c r="C226" s="11"/>
      <c r="D226" s="9"/>
      <c r="E226" s="11"/>
      <c r="F226" s="11"/>
      <c r="G226" s="11"/>
      <c r="H226" s="7"/>
      <c r="I226" s="26"/>
      <c r="J226" s="11"/>
      <c r="K226" s="11"/>
      <c r="L226" s="13"/>
      <c r="M226" s="13"/>
      <c r="N226" s="13"/>
      <c r="O226" s="11"/>
      <c r="P226" s="11"/>
      <c r="Q226" s="16"/>
      <c r="R226" s="16"/>
      <c r="S226" s="16"/>
      <c r="T226" s="16"/>
      <c r="U226" s="11"/>
      <c r="V226" s="16"/>
      <c r="W226" s="16"/>
    </row>
    <row r="227" ht="15.75" customHeight="1">
      <c r="A227" s="7"/>
      <c r="B227" s="7"/>
      <c r="C227" s="11"/>
      <c r="D227" s="9"/>
      <c r="E227" s="11"/>
      <c r="F227" s="11"/>
      <c r="G227" s="11"/>
      <c r="H227" s="7"/>
      <c r="I227" s="26"/>
      <c r="J227" s="11"/>
      <c r="K227" s="11"/>
      <c r="L227" s="13"/>
      <c r="M227" s="13"/>
      <c r="N227" s="13"/>
      <c r="O227" s="11"/>
      <c r="P227" s="11"/>
      <c r="Q227" s="16"/>
      <c r="R227" s="16"/>
      <c r="S227" s="16"/>
      <c r="T227" s="16"/>
      <c r="U227" s="11"/>
      <c r="V227" s="16"/>
      <c r="W227" s="16"/>
    </row>
    <row r="228" ht="15.75" customHeight="1">
      <c r="A228" s="7"/>
      <c r="B228" s="7"/>
      <c r="C228" s="11"/>
      <c r="D228" s="9"/>
      <c r="E228" s="11"/>
      <c r="F228" s="11"/>
      <c r="G228" s="11"/>
      <c r="H228" s="7"/>
      <c r="I228" s="26"/>
      <c r="J228" s="11"/>
      <c r="K228" s="11"/>
      <c r="L228" s="13"/>
      <c r="M228" s="13"/>
      <c r="N228" s="13"/>
      <c r="O228" s="11"/>
      <c r="P228" s="11"/>
      <c r="Q228" s="16"/>
      <c r="R228" s="16"/>
      <c r="S228" s="16"/>
      <c r="T228" s="16"/>
      <c r="U228" s="11"/>
      <c r="V228" s="16"/>
      <c r="W228" s="16"/>
    </row>
    <row r="229" ht="15.75" customHeight="1">
      <c r="A229" s="7"/>
      <c r="B229" s="7"/>
      <c r="C229" s="11"/>
      <c r="D229" s="9"/>
      <c r="E229" s="11"/>
      <c r="F229" s="11"/>
      <c r="G229" s="11"/>
      <c r="H229" s="7"/>
      <c r="I229" s="26"/>
      <c r="J229" s="11"/>
      <c r="K229" s="11"/>
      <c r="L229" s="13"/>
      <c r="M229" s="13"/>
      <c r="N229" s="13"/>
      <c r="O229" s="11"/>
      <c r="P229" s="11"/>
      <c r="Q229" s="16"/>
      <c r="R229" s="16"/>
      <c r="S229" s="16"/>
      <c r="T229" s="16"/>
      <c r="U229" s="11"/>
      <c r="V229" s="16"/>
      <c r="W229" s="16"/>
    </row>
    <row r="230" ht="15.75" customHeight="1">
      <c r="A230" s="7"/>
      <c r="B230" s="7"/>
      <c r="C230" s="11"/>
      <c r="D230" s="9"/>
      <c r="E230" s="11"/>
      <c r="F230" s="11"/>
      <c r="G230" s="11"/>
      <c r="H230" s="7"/>
      <c r="I230" s="26"/>
      <c r="J230" s="11"/>
      <c r="K230" s="11"/>
      <c r="L230" s="13"/>
      <c r="M230" s="13"/>
      <c r="N230" s="13"/>
      <c r="O230" s="11"/>
      <c r="P230" s="11"/>
      <c r="Q230" s="16"/>
      <c r="R230" s="16"/>
      <c r="S230" s="16"/>
      <c r="T230" s="16"/>
      <c r="U230" s="11"/>
      <c r="V230" s="16"/>
      <c r="W230" s="16"/>
    </row>
    <row r="231" ht="15.75" customHeight="1">
      <c r="A231" s="7"/>
      <c r="B231" s="7"/>
      <c r="C231" s="11"/>
      <c r="D231" s="9"/>
      <c r="E231" s="11"/>
      <c r="F231" s="11"/>
      <c r="G231" s="11"/>
      <c r="H231" s="7"/>
      <c r="I231" s="26"/>
      <c r="J231" s="11"/>
      <c r="K231" s="11"/>
      <c r="L231" s="13"/>
      <c r="M231" s="13"/>
      <c r="N231" s="13"/>
      <c r="O231" s="11"/>
      <c r="P231" s="11"/>
      <c r="Q231" s="16"/>
      <c r="R231" s="16"/>
      <c r="S231" s="16"/>
      <c r="T231" s="16"/>
      <c r="U231" s="11"/>
      <c r="V231" s="16"/>
      <c r="W231" s="16"/>
    </row>
    <row r="232" ht="15.75" customHeight="1">
      <c r="A232" s="7"/>
      <c r="B232" s="7"/>
      <c r="C232" s="11"/>
      <c r="D232" s="9"/>
      <c r="E232" s="11"/>
      <c r="F232" s="11"/>
      <c r="G232" s="11"/>
      <c r="H232" s="7"/>
      <c r="I232" s="26"/>
      <c r="J232" s="11"/>
      <c r="K232" s="11"/>
      <c r="L232" s="13"/>
      <c r="M232" s="13"/>
      <c r="N232" s="13"/>
      <c r="O232" s="11"/>
      <c r="P232" s="11"/>
      <c r="Q232" s="16"/>
      <c r="R232" s="16"/>
      <c r="S232" s="16"/>
      <c r="T232" s="16"/>
      <c r="U232" s="11"/>
      <c r="V232" s="16"/>
      <c r="W232" s="16"/>
    </row>
    <row r="233" ht="15.75" customHeight="1">
      <c r="A233" s="7"/>
      <c r="B233" s="7"/>
      <c r="C233" s="11"/>
      <c r="D233" s="9"/>
      <c r="E233" s="11"/>
      <c r="F233" s="11"/>
      <c r="G233" s="11"/>
      <c r="H233" s="7"/>
      <c r="I233" s="26"/>
      <c r="J233" s="11"/>
      <c r="K233" s="11"/>
      <c r="L233" s="13"/>
      <c r="M233" s="13"/>
      <c r="N233" s="13"/>
      <c r="O233" s="11"/>
      <c r="P233" s="11"/>
      <c r="Q233" s="16"/>
      <c r="R233" s="16"/>
      <c r="S233" s="16"/>
      <c r="T233" s="16"/>
      <c r="U233" s="11"/>
      <c r="V233" s="16"/>
      <c r="W233" s="16"/>
    </row>
    <row r="234" ht="15.75" customHeight="1">
      <c r="A234" s="7"/>
      <c r="B234" s="7"/>
      <c r="C234" s="11"/>
      <c r="D234" s="9"/>
      <c r="E234" s="11"/>
      <c r="F234" s="11"/>
      <c r="G234" s="11"/>
      <c r="H234" s="7"/>
      <c r="I234" s="26"/>
      <c r="J234" s="11"/>
      <c r="K234" s="11"/>
      <c r="L234" s="13"/>
      <c r="M234" s="13"/>
      <c r="N234" s="13"/>
      <c r="O234" s="11"/>
      <c r="P234" s="11"/>
      <c r="Q234" s="16"/>
      <c r="R234" s="16"/>
      <c r="S234" s="16"/>
      <c r="T234" s="16"/>
      <c r="U234" s="11"/>
      <c r="V234" s="16"/>
      <c r="W234" s="16"/>
    </row>
    <row r="235" ht="15.75" customHeight="1">
      <c r="A235" s="7"/>
      <c r="B235" s="7"/>
      <c r="C235" s="11"/>
      <c r="D235" s="9"/>
      <c r="E235" s="11"/>
      <c r="F235" s="11"/>
      <c r="G235" s="11"/>
      <c r="H235" s="7"/>
      <c r="I235" s="26"/>
      <c r="J235" s="11"/>
      <c r="K235" s="11"/>
      <c r="L235" s="13"/>
      <c r="M235" s="13"/>
      <c r="N235" s="13"/>
      <c r="O235" s="11"/>
      <c r="P235" s="11"/>
      <c r="Q235" s="16"/>
      <c r="R235" s="16"/>
      <c r="S235" s="16"/>
      <c r="T235" s="16"/>
      <c r="U235" s="11"/>
      <c r="V235" s="16"/>
      <c r="W235" s="16"/>
    </row>
    <row r="236" ht="15.75" customHeight="1">
      <c r="A236" s="7"/>
      <c r="B236" s="7"/>
      <c r="C236" s="11"/>
      <c r="D236" s="9"/>
      <c r="E236" s="11"/>
      <c r="F236" s="11"/>
      <c r="G236" s="11"/>
      <c r="H236" s="7"/>
      <c r="I236" s="26"/>
      <c r="J236" s="11"/>
      <c r="K236" s="11"/>
      <c r="L236" s="13"/>
      <c r="M236" s="13"/>
      <c r="N236" s="13"/>
      <c r="O236" s="11"/>
      <c r="P236" s="11"/>
      <c r="Q236" s="16"/>
      <c r="R236" s="16"/>
      <c r="S236" s="16"/>
      <c r="T236" s="16"/>
      <c r="U236" s="11"/>
      <c r="V236" s="16"/>
      <c r="W236" s="16"/>
    </row>
    <row r="237" ht="15.75" customHeight="1">
      <c r="A237" s="7"/>
      <c r="B237" s="7"/>
      <c r="C237" s="11"/>
      <c r="D237" s="9"/>
      <c r="E237" s="11"/>
      <c r="F237" s="11"/>
      <c r="G237" s="11"/>
      <c r="H237" s="7"/>
      <c r="I237" s="26"/>
      <c r="J237" s="11"/>
      <c r="K237" s="11"/>
      <c r="L237" s="13"/>
      <c r="M237" s="13"/>
      <c r="N237" s="13"/>
      <c r="O237" s="11"/>
      <c r="P237" s="11"/>
      <c r="Q237" s="16"/>
      <c r="R237" s="16"/>
      <c r="S237" s="16"/>
      <c r="T237" s="16"/>
      <c r="U237" s="11"/>
      <c r="V237" s="16"/>
      <c r="W237" s="16"/>
    </row>
    <row r="238" ht="15.75" customHeight="1">
      <c r="A238" s="7"/>
      <c r="B238" s="7"/>
      <c r="C238" s="11"/>
      <c r="D238" s="9"/>
      <c r="E238" s="11"/>
      <c r="F238" s="11"/>
      <c r="G238" s="11"/>
      <c r="H238" s="7"/>
      <c r="I238" s="26"/>
      <c r="J238" s="11"/>
      <c r="K238" s="11"/>
      <c r="L238" s="13"/>
      <c r="M238" s="13"/>
      <c r="N238" s="11"/>
      <c r="O238" s="11"/>
      <c r="P238" s="11"/>
      <c r="Q238" s="16"/>
      <c r="R238" s="16"/>
      <c r="S238" s="16"/>
      <c r="T238" s="16"/>
      <c r="U238" s="11"/>
      <c r="V238" s="16"/>
      <c r="W238" s="16"/>
    </row>
    <row r="239" ht="15.75" customHeight="1">
      <c r="A239" s="7"/>
      <c r="B239" s="7"/>
      <c r="C239" s="11"/>
      <c r="D239" s="9"/>
      <c r="E239" s="11"/>
      <c r="F239" s="11"/>
      <c r="G239" s="11"/>
      <c r="H239" s="7"/>
      <c r="I239" s="26"/>
      <c r="J239" s="11"/>
      <c r="K239" s="11"/>
      <c r="L239" s="13"/>
      <c r="M239" s="13"/>
      <c r="N239" s="11"/>
      <c r="O239" s="11"/>
      <c r="P239" s="11"/>
      <c r="Q239" s="16"/>
      <c r="R239" s="16"/>
      <c r="S239" s="16"/>
      <c r="T239" s="16"/>
      <c r="U239" s="11"/>
      <c r="V239" s="16"/>
      <c r="W239" s="16"/>
    </row>
    <row r="240" ht="15.75" customHeight="1">
      <c r="A240" s="7"/>
      <c r="B240" s="7"/>
      <c r="C240" s="11"/>
      <c r="D240" s="9"/>
      <c r="E240" s="11"/>
      <c r="F240" s="11"/>
      <c r="G240" s="11"/>
      <c r="H240" s="7"/>
      <c r="I240" s="26"/>
      <c r="J240" s="11"/>
      <c r="K240" s="11"/>
      <c r="L240" s="13"/>
      <c r="M240" s="13"/>
      <c r="N240" s="11"/>
      <c r="O240" s="11"/>
      <c r="P240" s="11"/>
      <c r="Q240" s="16"/>
      <c r="R240" s="16"/>
      <c r="S240" s="16"/>
      <c r="T240" s="16"/>
      <c r="U240" s="11"/>
      <c r="V240" s="16"/>
      <c r="W240" s="16"/>
    </row>
    <row r="241" ht="15.75" customHeight="1">
      <c r="A241" s="7"/>
      <c r="B241" s="7"/>
      <c r="C241" s="11"/>
      <c r="D241" s="9"/>
      <c r="E241" s="11"/>
      <c r="F241" s="11"/>
      <c r="G241" s="11"/>
      <c r="H241" s="7"/>
      <c r="I241" s="26"/>
      <c r="J241" s="11"/>
      <c r="K241" s="11"/>
      <c r="L241" s="13"/>
      <c r="M241" s="13"/>
      <c r="N241" s="13"/>
      <c r="O241" s="11"/>
      <c r="P241" s="11"/>
      <c r="Q241" s="16"/>
      <c r="R241" s="16"/>
      <c r="S241" s="16"/>
      <c r="T241" s="16"/>
      <c r="U241" s="11"/>
      <c r="V241" s="16"/>
      <c r="W241" s="16"/>
    </row>
    <row r="242" ht="15.75" customHeight="1">
      <c r="A242" s="7"/>
      <c r="B242" s="7"/>
      <c r="C242" s="11"/>
      <c r="D242" s="9"/>
      <c r="E242" s="11"/>
      <c r="F242" s="11"/>
      <c r="G242" s="11"/>
      <c r="H242" s="7"/>
      <c r="I242" s="26"/>
      <c r="J242" s="11"/>
      <c r="K242" s="11"/>
      <c r="L242" s="13"/>
      <c r="M242" s="13"/>
      <c r="N242" s="11"/>
      <c r="O242" s="11"/>
      <c r="P242" s="11"/>
      <c r="Q242" s="16"/>
      <c r="R242" s="16"/>
      <c r="S242" s="16"/>
      <c r="T242" s="16"/>
      <c r="U242" s="11"/>
      <c r="V242" s="16"/>
      <c r="W242" s="16"/>
    </row>
    <row r="243" ht="15.75" customHeight="1">
      <c r="A243" s="7"/>
      <c r="B243" s="7"/>
      <c r="C243" s="11"/>
      <c r="D243" s="9"/>
      <c r="E243" s="11"/>
      <c r="F243" s="11"/>
      <c r="G243" s="11"/>
      <c r="H243" s="7"/>
      <c r="I243" s="26"/>
      <c r="J243" s="11"/>
      <c r="K243" s="11"/>
      <c r="L243" s="13"/>
      <c r="M243" s="13"/>
      <c r="N243" s="11"/>
      <c r="O243" s="11"/>
      <c r="P243" s="11"/>
      <c r="Q243" s="16"/>
      <c r="R243" s="16"/>
      <c r="S243" s="16"/>
      <c r="T243" s="16"/>
      <c r="U243" s="11"/>
      <c r="V243" s="16"/>
      <c r="W243" s="16"/>
    </row>
    <row r="244" ht="15.75" customHeight="1">
      <c r="A244" s="7"/>
      <c r="B244" s="7"/>
      <c r="C244" s="11"/>
      <c r="D244" s="9"/>
      <c r="E244" s="11"/>
      <c r="F244" s="11"/>
      <c r="G244" s="11"/>
      <c r="H244" s="7"/>
      <c r="I244" s="26"/>
      <c r="J244" s="11"/>
      <c r="K244" s="11"/>
      <c r="L244" s="13"/>
      <c r="M244" s="13"/>
      <c r="N244" s="11"/>
      <c r="O244" s="11"/>
      <c r="P244" s="11"/>
      <c r="Q244" s="16"/>
      <c r="R244" s="16"/>
      <c r="S244" s="16"/>
      <c r="T244" s="16"/>
      <c r="U244" s="11"/>
      <c r="V244" s="16"/>
      <c r="W244" s="16"/>
    </row>
    <row r="245" ht="15.75" customHeight="1">
      <c r="A245" s="7"/>
      <c r="B245" s="7"/>
      <c r="C245" s="11"/>
      <c r="D245" s="9"/>
      <c r="E245" s="11"/>
      <c r="F245" s="11"/>
      <c r="G245" s="11"/>
      <c r="H245" s="7"/>
      <c r="I245" s="26"/>
      <c r="J245" s="11"/>
      <c r="K245" s="11"/>
      <c r="L245" s="11"/>
      <c r="M245" s="13"/>
      <c r="N245" s="11"/>
      <c r="O245" s="11"/>
      <c r="P245" s="11"/>
      <c r="Q245" s="16"/>
      <c r="R245" s="16"/>
      <c r="S245" s="16"/>
      <c r="T245" s="16"/>
      <c r="U245" s="11"/>
      <c r="V245" s="16"/>
      <c r="W245" s="16"/>
    </row>
    <row r="246" ht="15.75" customHeight="1">
      <c r="A246" s="7"/>
      <c r="B246" s="7"/>
      <c r="C246" s="11"/>
      <c r="D246" s="9"/>
      <c r="E246" s="11"/>
      <c r="F246" s="11"/>
      <c r="G246" s="11"/>
      <c r="H246" s="7"/>
      <c r="I246" s="26"/>
      <c r="J246" s="11"/>
      <c r="K246" s="11"/>
      <c r="L246" s="13"/>
      <c r="M246" s="11"/>
      <c r="N246" s="13"/>
      <c r="O246" s="11"/>
      <c r="P246" s="11"/>
      <c r="Q246" s="16"/>
      <c r="R246" s="16"/>
      <c r="S246" s="16"/>
      <c r="T246" s="16"/>
      <c r="U246" s="11"/>
      <c r="V246" s="16"/>
      <c r="W246" s="16"/>
    </row>
    <row r="247" ht="15.75" customHeight="1">
      <c r="A247" s="7"/>
      <c r="B247" s="7"/>
      <c r="C247" s="11"/>
      <c r="D247" s="9"/>
      <c r="E247" s="11"/>
      <c r="F247" s="11"/>
      <c r="G247" s="11"/>
      <c r="H247" s="7"/>
      <c r="I247" s="26"/>
      <c r="J247" s="11"/>
      <c r="K247" s="11"/>
      <c r="L247" s="11"/>
      <c r="M247" s="11"/>
      <c r="N247" s="11"/>
      <c r="O247" s="11"/>
      <c r="P247" s="11"/>
      <c r="Q247" s="16"/>
      <c r="R247" s="16"/>
      <c r="S247" s="16"/>
      <c r="T247" s="16"/>
      <c r="U247" s="11"/>
      <c r="V247" s="16"/>
      <c r="W247" s="16"/>
    </row>
    <row r="248" ht="15.75" customHeight="1">
      <c r="A248" s="7"/>
      <c r="B248" s="7"/>
      <c r="C248" s="11"/>
      <c r="D248" s="9"/>
      <c r="E248" s="11"/>
      <c r="F248" s="11"/>
      <c r="G248" s="11"/>
      <c r="H248" s="7"/>
      <c r="I248" s="26"/>
      <c r="J248" s="11"/>
      <c r="K248" s="11"/>
      <c r="L248" s="11"/>
      <c r="M248" s="13"/>
      <c r="N248" s="11"/>
      <c r="O248" s="11"/>
      <c r="P248" s="11"/>
      <c r="Q248" s="16"/>
      <c r="R248" s="16"/>
      <c r="S248" s="16"/>
      <c r="T248" s="16"/>
      <c r="U248" s="11"/>
      <c r="V248" s="16"/>
      <c r="W248" s="16"/>
    </row>
    <row r="249" ht="15.75" customHeight="1">
      <c r="A249" s="7"/>
      <c r="B249" s="7"/>
      <c r="C249" s="11"/>
      <c r="D249" s="9"/>
      <c r="E249" s="11"/>
      <c r="F249" s="11"/>
      <c r="G249" s="11"/>
      <c r="H249" s="7"/>
      <c r="I249" s="26"/>
      <c r="J249" s="11"/>
      <c r="K249" s="11"/>
      <c r="L249" s="13"/>
      <c r="M249" s="13"/>
      <c r="N249" s="11"/>
      <c r="O249" s="11"/>
      <c r="P249" s="11"/>
      <c r="Q249" s="16"/>
      <c r="R249" s="16"/>
      <c r="S249" s="16"/>
      <c r="T249" s="16"/>
      <c r="U249" s="11"/>
      <c r="V249" s="16"/>
      <c r="W249" s="16"/>
    </row>
    <row r="250" ht="15.75" customHeight="1">
      <c r="A250" s="7"/>
      <c r="B250" s="7"/>
      <c r="C250" s="11"/>
      <c r="D250" s="9"/>
      <c r="E250" s="11"/>
      <c r="F250" s="11"/>
      <c r="G250" s="11"/>
      <c r="H250" s="7"/>
      <c r="I250" s="26"/>
      <c r="J250" s="11"/>
      <c r="K250" s="11"/>
      <c r="L250" s="13"/>
      <c r="M250" s="13"/>
      <c r="N250" s="11"/>
      <c r="O250" s="11"/>
      <c r="P250" s="11"/>
      <c r="Q250" s="16"/>
      <c r="R250" s="16"/>
      <c r="S250" s="16"/>
      <c r="T250" s="16"/>
      <c r="U250" s="11"/>
      <c r="V250" s="16"/>
      <c r="W250" s="16"/>
    </row>
    <row r="251" ht="15.75" customHeight="1">
      <c r="A251" s="7"/>
      <c r="B251" s="7"/>
      <c r="C251" s="11"/>
      <c r="D251" s="9"/>
      <c r="E251" s="11"/>
      <c r="F251" s="11"/>
      <c r="G251" s="11"/>
      <c r="H251" s="7"/>
      <c r="I251" s="26"/>
      <c r="J251" s="11"/>
      <c r="K251" s="11"/>
      <c r="L251" s="13"/>
      <c r="M251" s="13"/>
      <c r="N251" s="11"/>
      <c r="O251" s="11"/>
      <c r="P251" s="11"/>
      <c r="Q251" s="16"/>
      <c r="R251" s="16"/>
      <c r="S251" s="16"/>
      <c r="T251" s="16"/>
      <c r="U251" s="11"/>
      <c r="V251" s="16"/>
      <c r="W251" s="16"/>
    </row>
    <row r="252" ht="15.75" customHeight="1">
      <c r="A252" s="7"/>
      <c r="B252" s="7"/>
      <c r="C252" s="11"/>
      <c r="D252" s="9"/>
      <c r="E252" s="11"/>
      <c r="F252" s="11"/>
      <c r="G252" s="11"/>
      <c r="H252" s="7"/>
      <c r="I252" s="26"/>
      <c r="J252" s="11"/>
      <c r="K252" s="11"/>
      <c r="L252" s="13"/>
      <c r="M252" s="13"/>
      <c r="N252" s="11"/>
      <c r="O252" s="11"/>
      <c r="P252" s="11"/>
      <c r="Q252" s="16"/>
      <c r="R252" s="16"/>
      <c r="S252" s="16"/>
      <c r="T252" s="16"/>
      <c r="U252" s="11"/>
      <c r="V252" s="16"/>
      <c r="W252" s="16"/>
    </row>
    <row r="253" ht="15.75" customHeight="1">
      <c r="A253" s="7"/>
      <c r="B253" s="7"/>
      <c r="C253" s="11"/>
      <c r="D253" s="9"/>
      <c r="E253" s="11"/>
      <c r="F253" s="11"/>
      <c r="G253" s="11"/>
      <c r="H253" s="7"/>
      <c r="I253" s="26"/>
      <c r="J253" s="11"/>
      <c r="K253" s="11"/>
      <c r="L253" s="11"/>
      <c r="M253" s="11"/>
      <c r="N253" s="11"/>
      <c r="O253" s="11"/>
      <c r="P253" s="11"/>
      <c r="Q253" s="16"/>
      <c r="R253" s="16"/>
      <c r="S253" s="16"/>
      <c r="T253" s="16"/>
      <c r="U253" s="11"/>
      <c r="V253" s="16"/>
      <c r="W253" s="16"/>
    </row>
    <row r="254" ht="15.75" customHeight="1">
      <c r="A254" s="7"/>
      <c r="B254" s="7"/>
      <c r="C254" s="11"/>
      <c r="D254" s="9"/>
      <c r="E254" s="11"/>
      <c r="F254" s="11"/>
      <c r="G254" s="11"/>
      <c r="H254" s="7"/>
      <c r="I254" s="11"/>
      <c r="J254" s="11"/>
      <c r="K254" s="11"/>
      <c r="L254" s="11"/>
      <c r="M254" s="11"/>
      <c r="N254" s="11"/>
      <c r="O254" s="11"/>
      <c r="P254" s="11"/>
      <c r="Q254" s="16"/>
      <c r="R254" s="16"/>
      <c r="S254" s="16"/>
      <c r="T254" s="16"/>
      <c r="U254" s="11"/>
      <c r="V254" s="16"/>
      <c r="W254" s="16"/>
    </row>
    <row r="255" ht="15.75" customHeight="1">
      <c r="A255" s="7"/>
      <c r="B255" s="7"/>
      <c r="C255" s="11"/>
      <c r="D255" s="9"/>
      <c r="E255" s="11"/>
      <c r="F255" s="11"/>
      <c r="G255" s="11"/>
      <c r="H255" s="7"/>
      <c r="I255" s="26"/>
      <c r="J255" s="11"/>
      <c r="K255" s="11"/>
      <c r="L255" s="13"/>
      <c r="M255" s="13"/>
      <c r="N255" s="11"/>
      <c r="O255" s="11"/>
      <c r="P255" s="11"/>
      <c r="Q255" s="16"/>
      <c r="R255" s="16"/>
      <c r="S255" s="16"/>
      <c r="T255" s="16"/>
      <c r="U255" s="11"/>
      <c r="V255" s="16"/>
      <c r="W255" s="16"/>
    </row>
    <row r="256" ht="15.75" customHeight="1">
      <c r="A256" s="7"/>
      <c r="B256" s="7"/>
      <c r="C256" s="11"/>
      <c r="D256" s="9"/>
      <c r="E256" s="11"/>
      <c r="F256" s="11"/>
      <c r="G256" s="11"/>
      <c r="H256" s="7"/>
      <c r="I256" s="26"/>
      <c r="J256" s="11"/>
      <c r="K256" s="11"/>
      <c r="L256" s="13"/>
      <c r="M256" s="13"/>
      <c r="N256" s="11"/>
      <c r="O256" s="11"/>
      <c r="P256" s="11"/>
      <c r="Q256" s="16"/>
      <c r="R256" s="16"/>
      <c r="S256" s="16"/>
      <c r="T256" s="16"/>
      <c r="U256" s="11"/>
      <c r="V256" s="16"/>
      <c r="W256" s="16"/>
    </row>
    <row r="257" ht="15.75" customHeight="1">
      <c r="A257" s="7"/>
      <c r="B257" s="7"/>
      <c r="C257" s="11"/>
      <c r="D257" s="9"/>
      <c r="E257" s="11"/>
      <c r="F257" s="11"/>
      <c r="G257" s="11"/>
      <c r="H257" s="7"/>
      <c r="I257" s="26"/>
      <c r="J257" s="11"/>
      <c r="K257" s="11"/>
      <c r="L257" s="13"/>
      <c r="M257" s="13"/>
      <c r="N257" s="11"/>
      <c r="O257" s="11"/>
      <c r="P257" s="11"/>
      <c r="Q257" s="16"/>
      <c r="R257" s="16"/>
      <c r="S257" s="16"/>
      <c r="T257" s="16"/>
      <c r="U257" s="11"/>
      <c r="V257" s="16"/>
      <c r="W257" s="16"/>
    </row>
    <row r="258" ht="15.75" customHeight="1">
      <c r="A258" s="7"/>
      <c r="B258" s="7"/>
      <c r="C258" s="11"/>
      <c r="D258" s="9"/>
      <c r="E258" s="11"/>
      <c r="F258" s="11"/>
      <c r="G258" s="11"/>
      <c r="H258" s="7"/>
      <c r="I258" s="26"/>
      <c r="J258" s="11"/>
      <c r="K258" s="11"/>
      <c r="L258" s="13"/>
      <c r="M258" s="13"/>
      <c r="N258" s="11"/>
      <c r="O258" s="11"/>
      <c r="P258" s="11"/>
      <c r="Q258" s="16"/>
      <c r="R258" s="16"/>
      <c r="S258" s="16"/>
      <c r="T258" s="16"/>
      <c r="U258" s="11"/>
      <c r="V258" s="16"/>
      <c r="W258" s="16"/>
    </row>
    <row r="259" ht="15.75" customHeight="1">
      <c r="A259" s="7"/>
      <c r="B259" s="7"/>
      <c r="C259" s="11"/>
      <c r="D259" s="9"/>
      <c r="E259" s="11"/>
      <c r="F259" s="11"/>
      <c r="G259" s="11"/>
      <c r="H259" s="7"/>
      <c r="I259" s="26"/>
      <c r="J259" s="11"/>
      <c r="K259" s="11"/>
      <c r="L259" s="13"/>
      <c r="M259" s="13"/>
      <c r="N259" s="11"/>
      <c r="O259" s="11"/>
      <c r="P259" s="11"/>
      <c r="Q259" s="16"/>
      <c r="R259" s="16"/>
      <c r="S259" s="16"/>
      <c r="T259" s="16"/>
      <c r="U259" s="11"/>
      <c r="V259" s="16"/>
      <c r="W259" s="16"/>
    </row>
    <row r="260" ht="15.75" customHeight="1">
      <c r="A260" s="7"/>
      <c r="B260" s="7"/>
      <c r="C260" s="11"/>
      <c r="D260" s="9"/>
      <c r="E260" s="11"/>
      <c r="F260" s="11"/>
      <c r="G260" s="11"/>
      <c r="H260" s="7"/>
      <c r="I260" s="26"/>
      <c r="J260" s="11"/>
      <c r="K260" s="11"/>
      <c r="L260" s="13"/>
      <c r="M260" s="13"/>
      <c r="N260" s="11"/>
      <c r="O260" s="11"/>
      <c r="P260" s="11"/>
      <c r="Q260" s="16"/>
      <c r="R260" s="16"/>
      <c r="S260" s="16"/>
      <c r="T260" s="16"/>
      <c r="U260" s="11"/>
      <c r="V260" s="16"/>
      <c r="W260" s="16"/>
    </row>
    <row r="261" ht="15.75" customHeight="1">
      <c r="A261" s="7"/>
      <c r="B261" s="7"/>
      <c r="C261" s="11"/>
      <c r="D261" s="9"/>
      <c r="E261" s="11"/>
      <c r="F261" s="11"/>
      <c r="G261" s="11"/>
      <c r="H261" s="7"/>
      <c r="I261" s="26"/>
      <c r="J261" s="11"/>
      <c r="K261" s="11"/>
      <c r="L261" s="13"/>
      <c r="M261" s="13"/>
      <c r="N261" s="11"/>
      <c r="O261" s="11"/>
      <c r="P261" s="11"/>
      <c r="Q261" s="16"/>
      <c r="R261" s="16"/>
      <c r="S261" s="16"/>
      <c r="T261" s="16"/>
      <c r="U261" s="11"/>
      <c r="V261" s="16"/>
      <c r="W261" s="16"/>
    </row>
    <row r="262" ht="15.75" customHeight="1">
      <c r="A262" s="7"/>
      <c r="B262" s="7"/>
      <c r="C262" s="11"/>
      <c r="D262" s="9"/>
      <c r="E262" s="11"/>
      <c r="F262" s="11"/>
      <c r="G262" s="11"/>
      <c r="H262" s="7"/>
      <c r="I262" s="26"/>
      <c r="J262" s="11"/>
      <c r="K262" s="11"/>
      <c r="L262" s="13"/>
      <c r="M262" s="13"/>
      <c r="N262" s="11"/>
      <c r="O262" s="11"/>
      <c r="P262" s="11"/>
      <c r="Q262" s="16"/>
      <c r="R262" s="16"/>
      <c r="S262" s="16"/>
      <c r="T262" s="16"/>
      <c r="U262" s="11"/>
      <c r="V262" s="16"/>
      <c r="W262" s="16"/>
    </row>
    <row r="263" ht="15.75" customHeight="1">
      <c r="A263" s="7"/>
      <c r="B263" s="7"/>
      <c r="C263" s="11"/>
      <c r="D263" s="9"/>
      <c r="E263" s="11"/>
      <c r="F263" s="11"/>
      <c r="G263" s="11"/>
      <c r="H263" s="7"/>
      <c r="I263" s="26"/>
      <c r="J263" s="11"/>
      <c r="K263" s="11"/>
      <c r="L263" s="13"/>
      <c r="M263" s="13"/>
      <c r="N263" s="11"/>
      <c r="O263" s="11"/>
      <c r="P263" s="11"/>
      <c r="Q263" s="16"/>
      <c r="R263" s="16"/>
      <c r="S263" s="16"/>
      <c r="T263" s="16"/>
      <c r="U263" s="11"/>
      <c r="V263" s="16"/>
      <c r="W263" s="16"/>
    </row>
    <row r="264" ht="15.75" customHeight="1">
      <c r="A264" s="7"/>
      <c r="B264" s="7"/>
      <c r="C264" s="11"/>
      <c r="D264" s="9"/>
      <c r="E264" s="11"/>
      <c r="F264" s="11"/>
      <c r="G264" s="11"/>
      <c r="H264" s="7"/>
      <c r="I264" s="26"/>
      <c r="J264" s="11"/>
      <c r="K264" s="11"/>
      <c r="L264" s="13"/>
      <c r="M264" s="13"/>
      <c r="N264" s="11"/>
      <c r="O264" s="11"/>
      <c r="P264" s="11"/>
      <c r="Q264" s="16"/>
      <c r="R264" s="16"/>
      <c r="S264" s="16"/>
      <c r="T264" s="16"/>
      <c r="U264" s="11"/>
      <c r="V264" s="16"/>
      <c r="W264" s="16"/>
    </row>
    <row r="265" ht="15.75" customHeight="1">
      <c r="A265" s="7"/>
      <c r="B265" s="7"/>
      <c r="C265" s="11"/>
      <c r="D265" s="9"/>
      <c r="E265" s="11"/>
      <c r="F265" s="11"/>
      <c r="G265" s="11"/>
      <c r="H265" s="7"/>
      <c r="I265" s="26"/>
      <c r="J265" s="11"/>
      <c r="K265" s="11"/>
      <c r="L265" s="13"/>
      <c r="M265" s="13"/>
      <c r="N265" s="11"/>
      <c r="O265" s="11"/>
      <c r="P265" s="11"/>
      <c r="Q265" s="16"/>
      <c r="R265" s="16"/>
      <c r="S265" s="16"/>
      <c r="T265" s="16"/>
      <c r="U265" s="11"/>
      <c r="V265" s="16"/>
      <c r="W265" s="16"/>
    </row>
    <row r="266" ht="15.75" customHeight="1">
      <c r="A266" s="7"/>
      <c r="B266" s="7"/>
      <c r="C266" s="11"/>
      <c r="D266" s="9"/>
      <c r="E266" s="11"/>
      <c r="F266" s="11"/>
      <c r="G266" s="11"/>
      <c r="H266" s="7"/>
      <c r="I266" s="26"/>
      <c r="J266" s="11"/>
      <c r="K266" s="11"/>
      <c r="L266" s="13"/>
      <c r="M266" s="13"/>
      <c r="N266" s="11"/>
      <c r="O266" s="11"/>
      <c r="P266" s="11"/>
      <c r="Q266" s="16"/>
      <c r="R266" s="16"/>
      <c r="S266" s="16"/>
      <c r="T266" s="16"/>
      <c r="U266" s="11"/>
      <c r="V266" s="16"/>
      <c r="W266" s="16"/>
    </row>
    <row r="267" ht="15.75" customHeight="1">
      <c r="A267" s="7"/>
      <c r="B267" s="7"/>
      <c r="C267" s="11"/>
      <c r="D267" s="9"/>
      <c r="E267" s="11"/>
      <c r="F267" s="11"/>
      <c r="G267" s="11"/>
      <c r="H267" s="7"/>
      <c r="I267" s="26"/>
      <c r="J267" s="11"/>
      <c r="K267" s="11"/>
      <c r="L267" s="13"/>
      <c r="M267" s="13"/>
      <c r="N267" s="11"/>
      <c r="O267" s="11"/>
      <c r="P267" s="11"/>
      <c r="Q267" s="16"/>
      <c r="R267" s="16"/>
      <c r="S267" s="16"/>
      <c r="T267" s="16"/>
      <c r="U267" s="11"/>
      <c r="V267" s="16"/>
      <c r="W267" s="16"/>
    </row>
    <row r="268" ht="15.75" customHeight="1">
      <c r="A268" s="7"/>
      <c r="B268" s="7"/>
      <c r="C268" s="11"/>
      <c r="D268" s="9"/>
      <c r="E268" s="11"/>
      <c r="F268" s="11"/>
      <c r="G268" s="11"/>
      <c r="H268" s="7"/>
      <c r="I268" s="26"/>
      <c r="J268" s="11"/>
      <c r="K268" s="11"/>
      <c r="L268" s="13"/>
      <c r="M268" s="13"/>
      <c r="N268" s="11"/>
      <c r="O268" s="11"/>
      <c r="P268" s="11"/>
      <c r="Q268" s="16"/>
      <c r="R268" s="16"/>
      <c r="S268" s="16"/>
      <c r="T268" s="16"/>
      <c r="U268" s="11"/>
      <c r="V268" s="16"/>
      <c r="W268" s="16"/>
    </row>
    <row r="269" ht="15.75" customHeight="1">
      <c r="A269" s="7"/>
      <c r="B269" s="7"/>
      <c r="C269" s="11"/>
      <c r="D269" s="9"/>
      <c r="E269" s="11"/>
      <c r="F269" s="11"/>
      <c r="G269" s="11"/>
      <c r="H269" s="7"/>
      <c r="I269" s="26"/>
      <c r="J269" s="11"/>
      <c r="K269" s="11"/>
      <c r="L269" s="13"/>
      <c r="M269" s="13"/>
      <c r="N269" s="11"/>
      <c r="O269" s="11"/>
      <c r="P269" s="11"/>
      <c r="Q269" s="16"/>
      <c r="R269" s="16"/>
      <c r="S269" s="16"/>
      <c r="T269" s="16"/>
      <c r="U269" s="11"/>
      <c r="V269" s="16"/>
      <c r="W269" s="16"/>
    </row>
    <row r="270" ht="15.75" customHeight="1">
      <c r="A270" s="7"/>
      <c r="B270" s="7"/>
      <c r="C270" s="11"/>
      <c r="D270" s="9"/>
      <c r="E270" s="11"/>
      <c r="F270" s="11"/>
      <c r="G270" s="11"/>
      <c r="H270" s="7"/>
      <c r="I270" s="11"/>
      <c r="J270" s="11"/>
      <c r="K270" s="11"/>
      <c r="L270" s="11"/>
      <c r="M270" s="13"/>
      <c r="N270" s="11"/>
      <c r="O270" s="11"/>
      <c r="P270" s="11"/>
      <c r="Q270" s="16"/>
      <c r="R270" s="16"/>
      <c r="S270" s="16"/>
      <c r="T270" s="16"/>
      <c r="U270" s="11"/>
      <c r="V270" s="16"/>
      <c r="W270" s="16"/>
    </row>
    <row r="271" ht="15.75" customHeight="1">
      <c r="A271" s="7"/>
      <c r="B271" s="7"/>
      <c r="C271" s="11"/>
      <c r="D271" s="9"/>
      <c r="E271" s="11"/>
      <c r="F271" s="11"/>
      <c r="G271" s="11"/>
      <c r="H271" s="7"/>
      <c r="I271" s="11"/>
      <c r="J271" s="11"/>
      <c r="K271" s="11"/>
      <c r="L271" s="11"/>
      <c r="M271" s="13"/>
      <c r="N271" s="11"/>
      <c r="O271" s="11"/>
      <c r="P271" s="11"/>
      <c r="Q271" s="16"/>
      <c r="R271" s="16"/>
      <c r="S271" s="16"/>
      <c r="T271" s="16"/>
      <c r="U271" s="11"/>
      <c r="V271" s="16"/>
      <c r="W271" s="16"/>
    </row>
    <row r="272" ht="15.75" customHeight="1">
      <c r="A272" s="7"/>
      <c r="B272" s="7"/>
      <c r="C272" s="11"/>
      <c r="D272" s="9"/>
      <c r="E272" s="11"/>
      <c r="F272" s="11"/>
      <c r="G272" s="11"/>
      <c r="H272" s="7"/>
      <c r="I272" s="11"/>
      <c r="J272" s="11"/>
      <c r="K272" s="11"/>
      <c r="L272" s="11"/>
      <c r="M272" s="13"/>
      <c r="N272" s="11"/>
      <c r="O272" s="11"/>
      <c r="P272" s="11"/>
      <c r="Q272" s="16"/>
      <c r="R272" s="16"/>
      <c r="S272" s="16"/>
      <c r="T272" s="16"/>
      <c r="U272" s="11"/>
      <c r="V272" s="16"/>
      <c r="W272" s="16"/>
    </row>
    <row r="273" ht="15.75" customHeight="1">
      <c r="A273" s="7"/>
      <c r="B273" s="7"/>
      <c r="C273" s="11"/>
      <c r="D273" s="9"/>
      <c r="E273" s="11"/>
      <c r="F273" s="11"/>
      <c r="G273" s="11"/>
      <c r="H273" s="7"/>
      <c r="I273" s="11"/>
      <c r="J273" s="11"/>
      <c r="K273" s="11"/>
      <c r="L273" s="11"/>
      <c r="M273" s="13"/>
      <c r="N273" s="11"/>
      <c r="O273" s="11"/>
      <c r="P273" s="11"/>
      <c r="Q273" s="16"/>
      <c r="R273" s="16"/>
      <c r="S273" s="16"/>
      <c r="T273" s="16"/>
      <c r="U273" s="11"/>
      <c r="V273" s="16"/>
      <c r="W273" s="16"/>
    </row>
    <row r="274" ht="15.75" customHeight="1">
      <c r="A274" s="7"/>
      <c r="B274" s="7"/>
      <c r="C274" s="11"/>
      <c r="D274" s="9"/>
      <c r="E274" s="11"/>
      <c r="F274" s="11"/>
      <c r="G274" s="11"/>
      <c r="H274" s="7"/>
      <c r="I274" s="11"/>
      <c r="J274" s="11"/>
      <c r="K274" s="11"/>
      <c r="L274" s="11"/>
      <c r="M274" s="13"/>
      <c r="N274" s="11"/>
      <c r="O274" s="11"/>
      <c r="P274" s="11"/>
      <c r="Q274" s="16"/>
      <c r="R274" s="16"/>
      <c r="S274" s="16"/>
      <c r="T274" s="16"/>
      <c r="U274" s="11"/>
      <c r="V274" s="16"/>
      <c r="W274" s="16"/>
    </row>
    <row r="275" ht="15.75" customHeight="1">
      <c r="A275" s="7"/>
      <c r="B275" s="7"/>
      <c r="C275" s="11"/>
      <c r="D275" s="9"/>
      <c r="E275" s="11"/>
      <c r="F275" s="11"/>
      <c r="G275" s="11"/>
      <c r="H275" s="7"/>
      <c r="I275" s="11"/>
      <c r="J275" s="11"/>
      <c r="K275" s="11"/>
      <c r="L275" s="11"/>
      <c r="M275" s="13"/>
      <c r="N275" s="11"/>
      <c r="O275" s="11"/>
      <c r="P275" s="11"/>
      <c r="Q275" s="16"/>
      <c r="R275" s="16"/>
      <c r="S275" s="16"/>
      <c r="T275" s="16"/>
      <c r="U275" s="11"/>
      <c r="V275" s="16"/>
      <c r="W275" s="16"/>
    </row>
    <row r="276" ht="15.75" customHeight="1">
      <c r="A276" s="7"/>
      <c r="B276" s="7"/>
      <c r="C276" s="11"/>
      <c r="D276" s="9"/>
      <c r="E276" s="11"/>
      <c r="F276" s="11"/>
      <c r="G276" s="11"/>
      <c r="H276" s="7"/>
      <c r="I276" s="11"/>
      <c r="J276" s="11"/>
      <c r="K276" s="11"/>
      <c r="L276" s="11"/>
      <c r="M276" s="13"/>
      <c r="N276" s="11"/>
      <c r="O276" s="11"/>
      <c r="P276" s="11"/>
      <c r="Q276" s="16"/>
      <c r="R276" s="16"/>
      <c r="S276" s="16"/>
      <c r="T276" s="16"/>
      <c r="U276" s="11"/>
      <c r="V276" s="16"/>
      <c r="W276" s="16"/>
    </row>
    <row r="277" ht="15.75" customHeight="1">
      <c r="A277" s="7"/>
      <c r="B277" s="7"/>
      <c r="C277" s="11"/>
      <c r="D277" s="9"/>
      <c r="E277" s="11"/>
      <c r="F277" s="11"/>
      <c r="G277" s="11"/>
      <c r="H277" s="7"/>
      <c r="I277" s="11"/>
      <c r="J277" s="11"/>
      <c r="K277" s="11"/>
      <c r="L277" s="11"/>
      <c r="M277" s="13"/>
      <c r="N277" s="11"/>
      <c r="O277" s="11"/>
      <c r="P277" s="11"/>
      <c r="Q277" s="16"/>
      <c r="R277" s="16"/>
      <c r="S277" s="16"/>
      <c r="T277" s="16"/>
      <c r="U277" s="11"/>
      <c r="V277" s="16"/>
      <c r="W277" s="16"/>
    </row>
    <row r="278" ht="15.75" customHeight="1">
      <c r="A278" s="7"/>
      <c r="B278" s="7"/>
      <c r="C278" s="11"/>
      <c r="D278" s="9"/>
      <c r="E278" s="11"/>
      <c r="F278" s="11"/>
      <c r="G278" s="11"/>
      <c r="H278" s="7"/>
      <c r="I278" s="11"/>
      <c r="J278" s="11"/>
      <c r="K278" s="11"/>
      <c r="L278" s="11"/>
      <c r="M278" s="13"/>
      <c r="N278" s="11"/>
      <c r="O278" s="11"/>
      <c r="P278" s="11"/>
      <c r="Q278" s="16"/>
      <c r="R278" s="16"/>
      <c r="S278" s="16"/>
      <c r="T278" s="16"/>
      <c r="U278" s="11"/>
      <c r="V278" s="16"/>
      <c r="W278" s="16"/>
    </row>
    <row r="279" ht="15.75" customHeight="1">
      <c r="A279" s="7"/>
      <c r="B279" s="7"/>
      <c r="C279" s="11"/>
      <c r="D279" s="9"/>
      <c r="E279" s="11"/>
      <c r="F279" s="11"/>
      <c r="G279" s="11"/>
      <c r="H279" s="7"/>
      <c r="I279" s="11"/>
      <c r="J279" s="11"/>
      <c r="K279" s="11"/>
      <c r="L279" s="11"/>
      <c r="M279" s="13"/>
      <c r="N279" s="11"/>
      <c r="O279" s="11"/>
      <c r="P279" s="11"/>
      <c r="Q279" s="16"/>
      <c r="R279" s="16"/>
      <c r="S279" s="16"/>
      <c r="T279" s="16"/>
      <c r="U279" s="11"/>
      <c r="V279" s="16"/>
      <c r="W279" s="16"/>
    </row>
    <row r="280" ht="15.75" customHeight="1">
      <c r="A280" s="7"/>
      <c r="B280" s="7"/>
      <c r="C280" s="11"/>
      <c r="D280" s="9"/>
      <c r="E280" s="11"/>
      <c r="F280" s="11"/>
      <c r="G280" s="11"/>
      <c r="H280" s="7"/>
      <c r="I280" s="11"/>
      <c r="J280" s="11"/>
      <c r="K280" s="11"/>
      <c r="L280" s="13"/>
      <c r="M280" s="13"/>
      <c r="N280" s="13"/>
      <c r="O280" s="11"/>
      <c r="P280" s="11"/>
      <c r="Q280" s="16"/>
      <c r="R280" s="16">
        <f>CARPETA!$Q280*CARPETA!$E280</f>
        <v>0</v>
      </c>
      <c r="S280" s="16">
        <f>CARPETA!$R280*16%</f>
        <v>0</v>
      </c>
      <c r="T280" s="16">
        <f>CARPETA!$R280+CARPETA!$S280</f>
        <v>0</v>
      </c>
      <c r="U280" s="11"/>
      <c r="V280" s="16"/>
      <c r="W280" s="16"/>
    </row>
    <row r="281" ht="15.75" customHeight="1">
      <c r="A281" s="7"/>
      <c r="B281" s="7"/>
      <c r="C281" s="11"/>
      <c r="D281" s="9"/>
      <c r="E281" s="11"/>
      <c r="F281" s="11"/>
      <c r="G281" s="11"/>
      <c r="H281" s="7"/>
      <c r="I281" s="11"/>
      <c r="J281" s="11"/>
      <c r="K281" s="11"/>
      <c r="L281" s="13"/>
      <c r="M281" s="13"/>
      <c r="N281" s="13"/>
      <c r="O281" s="11"/>
      <c r="P281" s="11"/>
      <c r="Q281" s="16"/>
      <c r="R281" s="16">
        <f>CARPETA!$Q281*CARPETA!$E281</f>
        <v>0</v>
      </c>
      <c r="S281" s="16">
        <f>CARPETA!$R281*16%</f>
        <v>0</v>
      </c>
      <c r="T281" s="16">
        <f>CARPETA!$R281+CARPETA!$S281</f>
        <v>0</v>
      </c>
      <c r="U281" s="11"/>
      <c r="V281" s="16"/>
      <c r="W281" s="16"/>
    </row>
    <row r="282" ht="15.75" customHeight="1">
      <c r="A282" s="7"/>
      <c r="B282" s="7"/>
      <c r="C282" s="11"/>
      <c r="D282" s="9"/>
      <c r="E282" s="11"/>
      <c r="F282" s="11"/>
      <c r="G282" s="11"/>
      <c r="H282" s="7"/>
      <c r="I282" s="11"/>
      <c r="J282" s="11"/>
      <c r="K282" s="11"/>
      <c r="L282" s="13"/>
      <c r="M282" s="13"/>
      <c r="N282" s="13"/>
      <c r="O282" s="11"/>
      <c r="P282" s="11"/>
      <c r="Q282" s="16"/>
      <c r="R282" s="16">
        <f>CARPETA!$Q282*CARPETA!$E282</f>
        <v>0</v>
      </c>
      <c r="S282" s="16">
        <f>CARPETA!$R282*16%</f>
        <v>0</v>
      </c>
      <c r="T282" s="16">
        <f>CARPETA!$R282+CARPETA!$S282</f>
        <v>0</v>
      </c>
      <c r="U282" s="11"/>
      <c r="V282" s="16"/>
      <c r="W282" s="16"/>
    </row>
    <row r="283" ht="15.75" customHeight="1">
      <c r="A283" s="7"/>
      <c r="B283" s="7"/>
      <c r="C283" s="11"/>
      <c r="D283" s="9"/>
      <c r="E283" s="11"/>
      <c r="F283" s="11"/>
      <c r="G283" s="11"/>
      <c r="H283" s="7"/>
      <c r="I283" s="11"/>
      <c r="J283" s="11"/>
      <c r="K283" s="11"/>
      <c r="L283" s="13"/>
      <c r="M283" s="13"/>
      <c r="N283" s="13"/>
      <c r="O283" s="11"/>
      <c r="P283" s="11"/>
      <c r="Q283" s="16"/>
      <c r="R283" s="16">
        <f>CARPETA!$Q283*CARPETA!$E283</f>
        <v>0</v>
      </c>
      <c r="S283" s="16">
        <f>CARPETA!$R283*16%</f>
        <v>0</v>
      </c>
      <c r="T283" s="16">
        <f>CARPETA!$R283+CARPETA!$S283</f>
        <v>0</v>
      </c>
      <c r="U283" s="11"/>
      <c r="V283" s="16"/>
      <c r="W283" s="16"/>
    </row>
    <row r="284" ht="15.75" customHeight="1">
      <c r="A284" s="7"/>
      <c r="B284" s="7"/>
      <c r="C284" s="11"/>
      <c r="D284" s="9"/>
      <c r="E284" s="11"/>
      <c r="F284" s="11"/>
      <c r="G284" s="11"/>
      <c r="H284" s="7"/>
      <c r="I284" s="11"/>
      <c r="J284" s="11"/>
      <c r="K284" s="11"/>
      <c r="L284" s="13"/>
      <c r="M284" s="13"/>
      <c r="N284" s="13"/>
      <c r="O284" s="11"/>
      <c r="P284" s="11"/>
      <c r="Q284" s="16"/>
      <c r="R284" s="16">
        <f>CARPETA!$Q284*CARPETA!$E284</f>
        <v>0</v>
      </c>
      <c r="S284" s="16">
        <f>CARPETA!$R284*16%</f>
        <v>0</v>
      </c>
      <c r="T284" s="16">
        <f>CARPETA!$R284+CARPETA!$S284</f>
        <v>0</v>
      </c>
      <c r="U284" s="11"/>
      <c r="V284" s="16"/>
      <c r="W284" s="16"/>
    </row>
    <row r="285" ht="15.75" customHeight="1">
      <c r="A285" s="7"/>
      <c r="B285" s="7"/>
      <c r="C285" s="11"/>
      <c r="D285" s="9"/>
      <c r="E285" s="11"/>
      <c r="F285" s="11"/>
      <c r="G285" s="11"/>
      <c r="H285" s="7"/>
      <c r="I285" s="11"/>
      <c r="J285" s="11"/>
      <c r="K285" s="11"/>
      <c r="L285" s="13"/>
      <c r="M285" s="13"/>
      <c r="N285" s="13"/>
      <c r="O285" s="11"/>
      <c r="P285" s="11"/>
      <c r="Q285" s="16"/>
      <c r="R285" s="16">
        <f>CARPETA!$Q285*CARPETA!$E285</f>
        <v>0</v>
      </c>
      <c r="S285" s="16">
        <f>CARPETA!$R285*16%</f>
        <v>0</v>
      </c>
      <c r="T285" s="16">
        <f>CARPETA!$R285+CARPETA!$S285</f>
        <v>0</v>
      </c>
      <c r="U285" s="11"/>
      <c r="V285" s="16"/>
      <c r="W285" s="16"/>
    </row>
    <row r="286" ht="15.75" customHeight="1">
      <c r="A286" s="7"/>
      <c r="B286" s="7"/>
      <c r="C286" s="11"/>
      <c r="D286" s="9"/>
      <c r="E286" s="11"/>
      <c r="F286" s="11"/>
      <c r="G286" s="11"/>
      <c r="H286" s="7"/>
      <c r="I286" s="11"/>
      <c r="J286" s="11"/>
      <c r="K286" s="11"/>
      <c r="L286" s="13"/>
      <c r="M286" s="13"/>
      <c r="N286" s="13"/>
      <c r="O286" s="11"/>
      <c r="P286" s="11"/>
      <c r="Q286" s="16"/>
      <c r="R286" s="16">
        <f>CARPETA!$Q286*CARPETA!$E286</f>
        <v>0</v>
      </c>
      <c r="S286" s="16">
        <f>CARPETA!$R286*16%</f>
        <v>0</v>
      </c>
      <c r="T286" s="16">
        <f>CARPETA!$R286+CARPETA!$S286</f>
        <v>0</v>
      </c>
      <c r="U286" s="11"/>
      <c r="V286" s="16"/>
      <c r="W286" s="16"/>
    </row>
    <row r="287" ht="15.75" customHeight="1">
      <c r="A287" s="7"/>
      <c r="B287" s="7"/>
      <c r="C287" s="11"/>
      <c r="D287" s="9"/>
      <c r="E287" s="11"/>
      <c r="F287" s="11"/>
      <c r="G287" s="11"/>
      <c r="H287" s="7"/>
      <c r="I287" s="11"/>
      <c r="J287" s="11"/>
      <c r="K287" s="11"/>
      <c r="L287" s="13"/>
      <c r="M287" s="13"/>
      <c r="N287" s="13"/>
      <c r="O287" s="11"/>
      <c r="P287" s="11"/>
      <c r="Q287" s="16"/>
      <c r="R287" s="16">
        <f>CARPETA!$Q287*CARPETA!$E287</f>
        <v>0</v>
      </c>
      <c r="S287" s="16">
        <f>CARPETA!$R287*16%</f>
        <v>0</v>
      </c>
      <c r="T287" s="16">
        <f>CARPETA!$R287+CARPETA!$S287</f>
        <v>0</v>
      </c>
      <c r="U287" s="11"/>
      <c r="V287" s="16"/>
      <c r="W287" s="16"/>
    </row>
    <row r="288" ht="15.75" customHeight="1">
      <c r="A288" s="7"/>
      <c r="B288" s="7"/>
      <c r="C288" s="11"/>
      <c r="D288" s="9"/>
      <c r="E288" s="11"/>
      <c r="F288" s="11"/>
      <c r="G288" s="11"/>
      <c r="H288" s="7"/>
      <c r="I288" s="11"/>
      <c r="J288" s="11"/>
      <c r="K288" s="11"/>
      <c r="L288" s="13"/>
      <c r="M288" s="13"/>
      <c r="N288" s="13"/>
      <c r="O288" s="11"/>
      <c r="P288" s="11"/>
      <c r="Q288" s="16"/>
      <c r="R288" s="16">
        <f>CARPETA!$Q288*CARPETA!$E288</f>
        <v>0</v>
      </c>
      <c r="S288" s="16">
        <f>CARPETA!$R288*16%</f>
        <v>0</v>
      </c>
      <c r="T288" s="16">
        <f>CARPETA!$R288+CARPETA!$S288</f>
        <v>0</v>
      </c>
      <c r="U288" s="11"/>
      <c r="V288" s="16"/>
      <c r="W288" s="16"/>
    </row>
    <row r="289" ht="15.75" customHeight="1">
      <c r="A289" s="7"/>
      <c r="B289" s="7"/>
      <c r="C289" s="11"/>
      <c r="D289" s="9"/>
      <c r="E289" s="11"/>
      <c r="F289" s="11"/>
      <c r="G289" s="11"/>
      <c r="H289" s="7"/>
      <c r="I289" s="11"/>
      <c r="J289" s="11"/>
      <c r="K289" s="11"/>
      <c r="L289" s="13"/>
      <c r="M289" s="13"/>
      <c r="N289" s="13"/>
      <c r="O289" s="11"/>
      <c r="P289" s="11"/>
      <c r="Q289" s="16"/>
      <c r="R289" s="16">
        <f>CARPETA!$Q289*CARPETA!$E289</f>
        <v>0</v>
      </c>
      <c r="S289" s="16">
        <f>CARPETA!$R289*16%</f>
        <v>0</v>
      </c>
      <c r="T289" s="16">
        <f>CARPETA!$R289+CARPETA!$S289</f>
        <v>0</v>
      </c>
      <c r="U289" s="11"/>
      <c r="V289" s="16"/>
      <c r="W289" s="16"/>
    </row>
    <row r="290" ht="15.75" customHeight="1">
      <c r="A290" s="7"/>
      <c r="B290" s="7"/>
      <c r="C290" s="11"/>
      <c r="D290" s="9"/>
      <c r="E290" s="11"/>
      <c r="F290" s="11"/>
      <c r="G290" s="11"/>
      <c r="H290" s="7"/>
      <c r="I290" s="11"/>
      <c r="J290" s="11"/>
      <c r="K290" s="11"/>
      <c r="L290" s="13"/>
      <c r="M290" s="13"/>
      <c r="N290" s="13"/>
      <c r="O290" s="11"/>
      <c r="P290" s="11"/>
      <c r="Q290" s="16"/>
      <c r="R290" s="16">
        <f>CARPETA!$Q290*CARPETA!$E290</f>
        <v>0</v>
      </c>
      <c r="S290" s="16">
        <f>CARPETA!$R290*16%</f>
        <v>0</v>
      </c>
      <c r="T290" s="16">
        <f>CARPETA!$R290+CARPETA!$S290</f>
        <v>0</v>
      </c>
      <c r="U290" s="11"/>
      <c r="V290" s="16"/>
      <c r="W290" s="16"/>
    </row>
    <row r="291" ht="15.75" customHeight="1">
      <c r="A291" s="7"/>
      <c r="B291" s="7"/>
      <c r="C291" s="11"/>
      <c r="D291" s="9"/>
      <c r="E291" s="11"/>
      <c r="F291" s="11"/>
      <c r="G291" s="11"/>
      <c r="H291" s="7"/>
      <c r="I291" s="11"/>
      <c r="J291" s="11"/>
      <c r="K291" s="11"/>
      <c r="L291" s="13"/>
      <c r="M291" s="13"/>
      <c r="N291" s="13"/>
      <c r="O291" s="11"/>
      <c r="P291" s="11"/>
      <c r="Q291" s="16"/>
      <c r="R291" s="16">
        <f>CARPETA!$Q291*CARPETA!$E291</f>
        <v>0</v>
      </c>
      <c r="S291" s="16">
        <f>CARPETA!$R291*16%</f>
        <v>0</v>
      </c>
      <c r="T291" s="16">
        <f>CARPETA!$R291+CARPETA!$S291</f>
        <v>0</v>
      </c>
      <c r="U291" s="11"/>
      <c r="V291" s="16"/>
      <c r="W291" s="16"/>
    </row>
    <row r="292" ht="15.75" customHeight="1">
      <c r="A292" s="7"/>
      <c r="B292" s="7"/>
      <c r="C292" s="11"/>
      <c r="D292" s="9"/>
      <c r="E292" s="11"/>
      <c r="F292" s="11"/>
      <c r="G292" s="11"/>
      <c r="H292" s="7"/>
      <c r="I292" s="11"/>
      <c r="J292" s="11"/>
      <c r="K292" s="11"/>
      <c r="L292" s="13"/>
      <c r="M292" s="13"/>
      <c r="N292" s="13"/>
      <c r="O292" s="11"/>
      <c r="P292" s="11"/>
      <c r="Q292" s="16"/>
      <c r="R292" s="16">
        <f>CARPETA!$Q292*CARPETA!$E292</f>
        <v>0</v>
      </c>
      <c r="S292" s="16">
        <f>CARPETA!$R292*16%</f>
        <v>0</v>
      </c>
      <c r="T292" s="16">
        <f>CARPETA!$R292+CARPETA!$S292</f>
        <v>0</v>
      </c>
      <c r="U292" s="11"/>
      <c r="V292" s="16"/>
      <c r="W292" s="16"/>
    </row>
    <row r="293" ht="15.75" customHeight="1">
      <c r="A293" s="7"/>
      <c r="B293" s="7"/>
      <c r="C293" s="11"/>
      <c r="D293" s="9"/>
      <c r="E293" s="11"/>
      <c r="F293" s="11"/>
      <c r="G293" s="11"/>
      <c r="H293" s="7"/>
      <c r="I293" s="11"/>
      <c r="J293" s="11"/>
      <c r="K293" s="11"/>
      <c r="L293" s="13"/>
      <c r="M293" s="13"/>
      <c r="N293" s="13"/>
      <c r="O293" s="11"/>
      <c r="P293" s="11"/>
      <c r="Q293" s="16"/>
      <c r="R293" s="16">
        <f>CARPETA!$Q293*CARPETA!$E293</f>
        <v>0</v>
      </c>
      <c r="S293" s="16">
        <f>CARPETA!$R293*16%</f>
        <v>0</v>
      </c>
      <c r="T293" s="16">
        <f>CARPETA!$R293+CARPETA!$S293</f>
        <v>0</v>
      </c>
      <c r="U293" s="11"/>
      <c r="V293" s="16"/>
      <c r="W293" s="16"/>
    </row>
    <row r="294" ht="15.75" customHeight="1">
      <c r="A294" s="7"/>
      <c r="B294" s="7"/>
      <c r="C294" s="11"/>
      <c r="D294" s="9"/>
      <c r="E294" s="11"/>
      <c r="F294" s="11"/>
      <c r="G294" s="11"/>
      <c r="H294" s="7"/>
      <c r="I294" s="11"/>
      <c r="J294" s="11"/>
      <c r="K294" s="11"/>
      <c r="L294" s="13"/>
      <c r="M294" s="13"/>
      <c r="N294" s="13"/>
      <c r="O294" s="11"/>
      <c r="P294" s="11"/>
      <c r="Q294" s="16"/>
      <c r="R294" s="16">
        <f>CARPETA!$Q294*CARPETA!$E294</f>
        <v>0</v>
      </c>
      <c r="S294" s="16">
        <f>CARPETA!$R294*16%</f>
        <v>0</v>
      </c>
      <c r="T294" s="16">
        <f>CARPETA!$R294+CARPETA!$S294</f>
        <v>0</v>
      </c>
      <c r="U294" s="11"/>
      <c r="V294" s="16"/>
      <c r="W294" s="16"/>
    </row>
    <row r="295" ht="15.75" customHeight="1">
      <c r="A295" s="7"/>
      <c r="B295" s="7"/>
      <c r="C295" s="11"/>
      <c r="D295" s="9"/>
      <c r="E295" s="11"/>
      <c r="F295" s="11"/>
      <c r="G295" s="11"/>
      <c r="H295" s="7"/>
      <c r="I295" s="11"/>
      <c r="J295" s="11"/>
      <c r="K295" s="11"/>
      <c r="L295" s="13"/>
      <c r="M295" s="13"/>
      <c r="N295" s="13"/>
      <c r="O295" s="11"/>
      <c r="P295" s="11"/>
      <c r="Q295" s="16"/>
      <c r="R295" s="16">
        <f>CARPETA!$Q295*CARPETA!$E295</f>
        <v>0</v>
      </c>
      <c r="S295" s="16">
        <f>CARPETA!$R295*16%</f>
        <v>0</v>
      </c>
      <c r="T295" s="16">
        <f>CARPETA!$R295+CARPETA!$S295</f>
        <v>0</v>
      </c>
      <c r="U295" s="11"/>
      <c r="V295" s="16"/>
      <c r="W295" s="16"/>
    </row>
    <row r="296" ht="15.75" customHeight="1">
      <c r="A296" s="7"/>
      <c r="B296" s="7"/>
      <c r="C296" s="11"/>
      <c r="D296" s="9"/>
      <c r="E296" s="11"/>
      <c r="F296" s="11"/>
      <c r="G296" s="11"/>
      <c r="H296" s="7"/>
      <c r="I296" s="11"/>
      <c r="J296" s="11"/>
      <c r="K296" s="11"/>
      <c r="L296" s="13"/>
      <c r="M296" s="13"/>
      <c r="N296" s="13"/>
      <c r="O296" s="11"/>
      <c r="P296" s="11"/>
      <c r="Q296" s="16"/>
      <c r="R296" s="16">
        <f>CARPETA!$Q296*CARPETA!$E296</f>
        <v>0</v>
      </c>
      <c r="S296" s="16">
        <f>CARPETA!$R296*16%</f>
        <v>0</v>
      </c>
      <c r="T296" s="16">
        <f>CARPETA!$R296+CARPETA!$S296</f>
        <v>0</v>
      </c>
      <c r="U296" s="11"/>
      <c r="V296" s="16"/>
      <c r="W296" s="16"/>
    </row>
    <row r="297" ht="15.75" customHeight="1">
      <c r="A297" s="7"/>
      <c r="B297" s="7"/>
      <c r="C297" s="11"/>
      <c r="D297" s="9"/>
      <c r="E297" s="11"/>
      <c r="F297" s="11"/>
      <c r="G297" s="11"/>
      <c r="H297" s="7"/>
      <c r="I297" s="11"/>
      <c r="J297" s="11"/>
      <c r="K297" s="11"/>
      <c r="L297" s="13"/>
      <c r="M297" s="13"/>
      <c r="N297" s="13"/>
      <c r="O297" s="11"/>
      <c r="P297" s="11"/>
      <c r="Q297" s="16"/>
      <c r="R297" s="16">
        <f>CARPETA!$Q297*CARPETA!$E297</f>
        <v>0</v>
      </c>
      <c r="S297" s="16">
        <f>CARPETA!$R297*16%</f>
        <v>0</v>
      </c>
      <c r="T297" s="16">
        <f>CARPETA!$R297+CARPETA!$S297</f>
        <v>0</v>
      </c>
      <c r="U297" s="11"/>
      <c r="V297" s="16"/>
      <c r="W297" s="16"/>
    </row>
    <row r="298" ht="15.75" customHeight="1">
      <c r="A298" s="7"/>
      <c r="B298" s="7"/>
      <c r="C298" s="11"/>
      <c r="D298" s="9"/>
      <c r="E298" s="11"/>
      <c r="F298" s="11"/>
      <c r="G298" s="11"/>
      <c r="H298" s="7"/>
      <c r="I298" s="11"/>
      <c r="J298" s="11"/>
      <c r="K298" s="11"/>
      <c r="L298" s="13"/>
      <c r="M298" s="13"/>
      <c r="N298" s="13"/>
      <c r="O298" s="11"/>
      <c r="P298" s="11"/>
      <c r="Q298" s="16"/>
      <c r="R298" s="16">
        <f>CARPETA!$Q298*CARPETA!$E298</f>
        <v>0</v>
      </c>
      <c r="S298" s="16">
        <f>CARPETA!$R298*16%</f>
        <v>0</v>
      </c>
      <c r="T298" s="16">
        <f>CARPETA!$R298+CARPETA!$S298</f>
        <v>0</v>
      </c>
      <c r="U298" s="11"/>
      <c r="V298" s="16"/>
      <c r="W298" s="16"/>
    </row>
    <row r="299" ht="15.75" customHeight="1">
      <c r="A299" s="7"/>
      <c r="B299" s="7"/>
      <c r="C299" s="11"/>
      <c r="D299" s="9"/>
      <c r="E299" s="11"/>
      <c r="F299" s="11"/>
      <c r="G299" s="11"/>
      <c r="H299" s="7"/>
      <c r="I299" s="11"/>
      <c r="J299" s="11"/>
      <c r="K299" s="11"/>
      <c r="L299" s="13"/>
      <c r="M299" s="13"/>
      <c r="N299" s="13"/>
      <c r="O299" s="11"/>
      <c r="P299" s="11"/>
      <c r="Q299" s="16"/>
      <c r="R299" s="16">
        <f>CARPETA!$Q299*CARPETA!$E299</f>
        <v>0</v>
      </c>
      <c r="S299" s="16">
        <f>CARPETA!$R299*16%</f>
        <v>0</v>
      </c>
      <c r="T299" s="16">
        <f>CARPETA!$R299+CARPETA!$S299</f>
        <v>0</v>
      </c>
      <c r="U299" s="11"/>
      <c r="V299" s="16"/>
      <c r="W299" s="16"/>
    </row>
    <row r="300" ht="15.75" customHeight="1">
      <c r="A300" s="7"/>
      <c r="B300" s="7"/>
      <c r="C300" s="11"/>
      <c r="D300" s="9"/>
      <c r="E300" s="11"/>
      <c r="F300" s="11"/>
      <c r="G300" s="11"/>
      <c r="H300" s="7"/>
      <c r="I300" s="11"/>
      <c r="J300" s="11"/>
      <c r="K300" s="11"/>
      <c r="L300" s="13"/>
      <c r="M300" s="13"/>
      <c r="N300" s="13"/>
      <c r="O300" s="11"/>
      <c r="P300" s="11"/>
      <c r="Q300" s="16"/>
      <c r="R300" s="16">
        <f>CARPETA!$Q300*CARPETA!$E300</f>
        <v>0</v>
      </c>
      <c r="S300" s="16">
        <f>CARPETA!$R300*16%</f>
        <v>0</v>
      </c>
      <c r="T300" s="16">
        <f>CARPETA!$R300+CARPETA!$S300</f>
        <v>0</v>
      </c>
      <c r="U300" s="11"/>
      <c r="V300" s="16"/>
      <c r="W300" s="16"/>
    </row>
    <row r="301" ht="15.75" customHeight="1">
      <c r="A301" s="7"/>
      <c r="B301" s="7"/>
      <c r="C301" s="11"/>
      <c r="D301" s="9"/>
      <c r="E301" s="11"/>
      <c r="F301" s="11"/>
      <c r="G301" s="11"/>
      <c r="H301" s="7"/>
      <c r="I301" s="11"/>
      <c r="J301" s="11"/>
      <c r="K301" s="11"/>
      <c r="L301" s="13"/>
      <c r="M301" s="13"/>
      <c r="N301" s="13"/>
      <c r="O301" s="11"/>
      <c r="P301" s="11"/>
      <c r="Q301" s="16"/>
      <c r="R301" s="16">
        <f>CARPETA!$Q301*CARPETA!$E301</f>
        <v>0</v>
      </c>
      <c r="S301" s="16">
        <f>CARPETA!$R301*16%</f>
        <v>0</v>
      </c>
      <c r="T301" s="16">
        <f>CARPETA!$R301+CARPETA!$S301</f>
        <v>0</v>
      </c>
      <c r="U301" s="11"/>
      <c r="V301" s="16"/>
      <c r="W301" s="16"/>
    </row>
    <row r="302" ht="15.75" customHeight="1">
      <c r="A302" s="7"/>
      <c r="B302" s="7"/>
      <c r="C302" s="11"/>
      <c r="D302" s="9"/>
      <c r="E302" s="11"/>
      <c r="F302" s="11"/>
      <c r="G302" s="11"/>
      <c r="H302" s="7"/>
      <c r="I302" s="11"/>
      <c r="J302" s="11"/>
      <c r="K302" s="11"/>
      <c r="L302" s="13"/>
      <c r="M302" s="13"/>
      <c r="N302" s="13"/>
      <c r="O302" s="11"/>
      <c r="P302" s="11"/>
      <c r="Q302" s="16"/>
      <c r="R302" s="16">
        <f>CARPETA!$Q302*CARPETA!$E302</f>
        <v>0</v>
      </c>
      <c r="S302" s="16">
        <f>CARPETA!$R302*16%</f>
        <v>0</v>
      </c>
      <c r="T302" s="16">
        <f>CARPETA!$R302+CARPETA!$S302</f>
        <v>0</v>
      </c>
      <c r="U302" s="11"/>
      <c r="V302" s="16"/>
      <c r="W302" s="16"/>
    </row>
    <row r="303" ht="15.75" customHeight="1">
      <c r="A303" s="7"/>
      <c r="B303" s="7"/>
      <c r="C303" s="11"/>
      <c r="D303" s="9"/>
      <c r="E303" s="11"/>
      <c r="F303" s="11"/>
      <c r="G303" s="11"/>
      <c r="H303" s="7"/>
      <c r="I303" s="11"/>
      <c r="J303" s="11"/>
      <c r="K303" s="11"/>
      <c r="L303" s="13"/>
      <c r="M303" s="13"/>
      <c r="N303" s="13"/>
      <c r="O303" s="11"/>
      <c r="P303" s="11"/>
      <c r="Q303" s="16"/>
      <c r="R303" s="16">
        <f>CARPETA!$Q303*CARPETA!$E303</f>
        <v>0</v>
      </c>
      <c r="S303" s="16">
        <f>CARPETA!$R303*16%</f>
        <v>0</v>
      </c>
      <c r="T303" s="16">
        <f>CARPETA!$R303+CARPETA!$S303</f>
        <v>0</v>
      </c>
      <c r="U303" s="11"/>
      <c r="V303" s="16"/>
      <c r="W303" s="16"/>
    </row>
    <row r="304" ht="15.75" customHeight="1">
      <c r="A304" s="7"/>
      <c r="B304" s="7"/>
      <c r="C304" s="11"/>
      <c r="D304" s="9"/>
      <c r="E304" s="11"/>
      <c r="F304" s="11"/>
      <c r="G304" s="11"/>
      <c r="H304" s="7"/>
      <c r="I304" s="11"/>
      <c r="J304" s="11"/>
      <c r="K304" s="11"/>
      <c r="L304" s="13"/>
      <c r="M304" s="13"/>
      <c r="N304" s="13"/>
      <c r="O304" s="11"/>
      <c r="P304" s="11"/>
      <c r="Q304" s="16"/>
      <c r="R304" s="16">
        <f>CARPETA!$Q304*CARPETA!$E304</f>
        <v>0</v>
      </c>
      <c r="S304" s="16">
        <f>CARPETA!$R304*16%</f>
        <v>0</v>
      </c>
      <c r="T304" s="16">
        <f>CARPETA!$R304+CARPETA!$S304</f>
        <v>0</v>
      </c>
      <c r="U304" s="11"/>
      <c r="V304" s="16"/>
      <c r="W304" s="16"/>
    </row>
    <row r="305" ht="15.75" customHeight="1">
      <c r="A305" s="7"/>
      <c r="B305" s="7"/>
      <c r="C305" s="11"/>
      <c r="D305" s="9"/>
      <c r="E305" s="11"/>
      <c r="F305" s="11"/>
      <c r="G305" s="11"/>
      <c r="H305" s="7"/>
      <c r="I305" s="11"/>
      <c r="J305" s="11"/>
      <c r="K305" s="11"/>
      <c r="L305" s="13"/>
      <c r="M305" s="13"/>
      <c r="N305" s="13"/>
      <c r="O305" s="11"/>
      <c r="P305" s="11"/>
      <c r="Q305" s="16"/>
      <c r="R305" s="16">
        <f>CARPETA!$Q305*CARPETA!$E305</f>
        <v>0</v>
      </c>
      <c r="S305" s="16">
        <f>CARPETA!$R305*16%</f>
        <v>0</v>
      </c>
      <c r="T305" s="16">
        <f>CARPETA!$R305+CARPETA!$S305</f>
        <v>0</v>
      </c>
      <c r="U305" s="11"/>
      <c r="V305" s="16"/>
      <c r="W305" s="16"/>
    </row>
    <row r="306" ht="15.75" customHeight="1">
      <c r="A306" s="7"/>
      <c r="B306" s="7"/>
      <c r="C306" s="11"/>
      <c r="D306" s="9"/>
      <c r="E306" s="11"/>
      <c r="F306" s="11"/>
      <c r="G306" s="11"/>
      <c r="H306" s="7"/>
      <c r="I306" s="11"/>
      <c r="J306" s="11"/>
      <c r="K306" s="11"/>
      <c r="L306" s="13"/>
      <c r="M306" s="13"/>
      <c r="N306" s="13"/>
      <c r="O306" s="11"/>
      <c r="P306" s="11"/>
      <c r="Q306" s="16"/>
      <c r="R306" s="16">
        <f>CARPETA!$Q306*CARPETA!$E306</f>
        <v>0</v>
      </c>
      <c r="S306" s="16">
        <f>CARPETA!$R306*16%</f>
        <v>0</v>
      </c>
      <c r="T306" s="16">
        <f>CARPETA!$R306+CARPETA!$S306</f>
        <v>0</v>
      </c>
      <c r="U306" s="11"/>
      <c r="V306" s="16"/>
      <c r="W306" s="16"/>
    </row>
    <row r="307" ht="15.75" customHeight="1">
      <c r="A307" s="7"/>
      <c r="B307" s="7"/>
      <c r="C307" s="11"/>
      <c r="D307" s="9"/>
      <c r="E307" s="11"/>
      <c r="F307" s="11"/>
      <c r="G307" s="11"/>
      <c r="H307" s="7"/>
      <c r="I307" s="11"/>
      <c r="J307" s="11"/>
      <c r="K307" s="11"/>
      <c r="L307" s="13"/>
      <c r="M307" s="13"/>
      <c r="N307" s="13"/>
      <c r="O307" s="11"/>
      <c r="P307" s="11"/>
      <c r="Q307" s="16"/>
      <c r="R307" s="16">
        <f>CARPETA!$Q307*CARPETA!$E307</f>
        <v>0</v>
      </c>
      <c r="S307" s="16">
        <f>CARPETA!$R307*16%</f>
        <v>0</v>
      </c>
      <c r="T307" s="16">
        <f>CARPETA!$R307+CARPETA!$S307</f>
        <v>0</v>
      </c>
      <c r="U307" s="11"/>
      <c r="V307" s="16"/>
      <c r="W307" s="16"/>
    </row>
    <row r="308" ht="15.75" customHeight="1">
      <c r="A308" s="7"/>
      <c r="B308" s="7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6"/>
      <c r="R308" s="16">
        <f>CARPETA!$Q308*CARPETA!$E308</f>
        <v>0</v>
      </c>
      <c r="S308" s="16">
        <f>CARPETA!$R308*16%</f>
        <v>0</v>
      </c>
      <c r="T308" s="16">
        <f>CARPETA!$R308+CARPETA!$S308</f>
        <v>0</v>
      </c>
      <c r="U308" s="11"/>
      <c r="V308" s="16"/>
      <c r="W308" s="16"/>
    </row>
    <row r="309" ht="15.75" customHeight="1">
      <c r="A309" s="7"/>
      <c r="B309" s="7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6"/>
      <c r="R309" s="16">
        <f>CARPETA!$Q309*CARPETA!$E309</f>
        <v>0</v>
      </c>
      <c r="S309" s="16">
        <f>CARPETA!$R309*16%</f>
        <v>0</v>
      </c>
      <c r="T309" s="16">
        <f>CARPETA!$R309+CARPETA!$S309</f>
        <v>0</v>
      </c>
      <c r="U309" s="11"/>
      <c r="V309" s="16"/>
      <c r="W309" s="16"/>
    </row>
    <row r="310" ht="15.75" customHeight="1">
      <c r="A310" s="127" t="s">
        <v>27</v>
      </c>
      <c r="B310" s="127"/>
      <c r="C310" s="128"/>
      <c r="D310" s="128"/>
      <c r="E310" s="128">
        <f>SUBTOTAL(109,CARPETA!$E$2:$E$309)</f>
        <v>192</v>
      </c>
      <c r="F310" s="128"/>
      <c r="G310" s="128"/>
      <c r="H310" s="128">
        <f>SUBTOTAL(109,CARPETA!$H$2:$H$309)</f>
        <v>2584</v>
      </c>
      <c r="I310" s="128"/>
      <c r="J310" s="128"/>
      <c r="K310" s="128"/>
      <c r="L310" s="128"/>
      <c r="M310" s="128"/>
      <c r="N310" s="128"/>
      <c r="O310" s="128"/>
      <c r="P310" s="128"/>
      <c r="Q310" s="129"/>
      <c r="R310" s="130"/>
      <c r="S310" s="130"/>
      <c r="T310" s="130"/>
      <c r="U310" s="130"/>
      <c r="V310" s="130"/>
      <c r="W310" s="130"/>
      <c r="X310" s="131"/>
      <c r="Y310" s="131"/>
      <c r="Z310" s="131"/>
    </row>
    <row r="311" ht="15.75" customHeight="1">
      <c r="A311" s="132"/>
      <c r="B311" s="13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133"/>
    </row>
    <row r="312" ht="15.75" customHeight="1">
      <c r="A312" s="132"/>
      <c r="B312" s="13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133"/>
    </row>
    <row r="313" ht="15.75" customHeight="1">
      <c r="A313" s="132"/>
      <c r="B313" s="13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133"/>
    </row>
    <row r="314" ht="15.75" customHeight="1">
      <c r="A314" s="132"/>
      <c r="B314" s="13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133"/>
    </row>
    <row r="315" ht="15.75" customHeight="1">
      <c r="A315" s="132"/>
      <c r="B315" s="13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133"/>
    </row>
    <row r="316" ht="15.75" customHeight="1">
      <c r="A316" s="132"/>
      <c r="B316" s="13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133"/>
    </row>
    <row r="317" ht="15.75" customHeight="1">
      <c r="A317" s="132"/>
      <c r="B317" s="13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133"/>
    </row>
    <row r="318" ht="15.75" customHeight="1">
      <c r="A318" s="132"/>
      <c r="B318" s="13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133"/>
    </row>
    <row r="319" ht="15.75" customHeight="1">
      <c r="A319" s="132"/>
      <c r="B319" s="13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133"/>
    </row>
    <row r="320" ht="15.75" customHeight="1">
      <c r="A320" s="132"/>
      <c r="B320" s="13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133"/>
    </row>
    <row r="321" ht="15.75" customHeight="1">
      <c r="A321" s="132"/>
      <c r="B321" s="13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133"/>
    </row>
    <row r="322" ht="15.75" customHeight="1">
      <c r="A322" s="132"/>
      <c r="B322" s="13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133"/>
    </row>
    <row r="323" ht="15.75" customHeight="1">
      <c r="A323" s="132"/>
      <c r="B323" s="13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133"/>
    </row>
    <row r="324" ht="15.75" customHeight="1">
      <c r="A324" s="132"/>
      <c r="B324" s="13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133"/>
    </row>
    <row r="325" ht="15.75" customHeight="1">
      <c r="A325" s="132"/>
      <c r="B325" s="13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133"/>
    </row>
    <row r="326" ht="15.75" customHeight="1">
      <c r="A326" s="132"/>
      <c r="B326" s="13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133"/>
    </row>
    <row r="327" ht="15.75" customHeight="1">
      <c r="A327" s="132"/>
      <c r="B327" s="13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133"/>
    </row>
    <row r="328" ht="15.75" customHeight="1">
      <c r="A328" s="132"/>
      <c r="B328" s="13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133"/>
    </row>
    <row r="329" ht="15.75" customHeight="1">
      <c r="A329" s="132"/>
      <c r="B329" s="13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133"/>
    </row>
    <row r="330" ht="15.75" customHeight="1">
      <c r="A330" s="132"/>
      <c r="B330" s="13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133"/>
    </row>
    <row r="331" ht="15.75" customHeight="1">
      <c r="A331" s="132"/>
      <c r="B331" s="13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133"/>
    </row>
    <row r="332" ht="15.75" customHeight="1">
      <c r="A332" s="132"/>
      <c r="B332" s="13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133"/>
    </row>
    <row r="333" ht="15.75" customHeight="1">
      <c r="A333" s="132"/>
      <c r="B333" s="13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133"/>
    </row>
    <row r="334" ht="15.75" customHeight="1">
      <c r="A334" s="132"/>
      <c r="B334" s="13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133"/>
    </row>
    <row r="335" ht="15.75" customHeight="1">
      <c r="A335" s="132"/>
      <c r="B335" s="13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133"/>
    </row>
    <row r="336" ht="15.75" customHeight="1">
      <c r="A336" s="132"/>
      <c r="B336" s="13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133"/>
    </row>
    <row r="337" ht="15.75" customHeight="1">
      <c r="A337" s="132"/>
      <c r="B337" s="13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133"/>
    </row>
    <row r="338" ht="15.75" customHeight="1">
      <c r="A338" s="132"/>
      <c r="B338" s="13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133"/>
    </row>
    <row r="339" ht="15.75" customHeight="1">
      <c r="A339" s="132"/>
      <c r="B339" s="13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133"/>
    </row>
    <row r="340" ht="15.75" customHeight="1">
      <c r="A340" s="132"/>
      <c r="B340" s="13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133"/>
    </row>
    <row r="341" ht="15.75" customHeight="1">
      <c r="A341" s="132"/>
      <c r="B341" s="13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133"/>
    </row>
    <row r="342" ht="15.75" customHeight="1">
      <c r="A342" s="132"/>
      <c r="B342" s="13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133"/>
    </row>
    <row r="343" ht="15.75" customHeight="1">
      <c r="A343" s="132"/>
      <c r="B343" s="13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133"/>
    </row>
    <row r="344" ht="15.75" customHeight="1">
      <c r="A344" s="132"/>
      <c r="B344" s="13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133"/>
    </row>
    <row r="345" ht="15.75" customHeight="1">
      <c r="A345" s="132"/>
      <c r="B345" s="13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133"/>
    </row>
    <row r="346" ht="15.75" customHeight="1">
      <c r="A346" s="132"/>
      <c r="B346" s="13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133"/>
    </row>
    <row r="347" ht="15.75" customHeight="1">
      <c r="A347" s="132"/>
      <c r="B347" s="13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133"/>
    </row>
    <row r="348" ht="15.75" customHeight="1">
      <c r="A348" s="132"/>
      <c r="B348" s="13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133"/>
    </row>
    <row r="349" ht="15.75" customHeight="1">
      <c r="A349" s="132"/>
      <c r="B349" s="13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133"/>
    </row>
    <row r="350" ht="15.75" customHeight="1">
      <c r="A350" s="132"/>
      <c r="B350" s="13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133"/>
    </row>
    <row r="351" ht="15.75" customHeight="1">
      <c r="A351" s="132"/>
      <c r="B351" s="13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133"/>
    </row>
    <row r="352" ht="15.75" customHeight="1">
      <c r="A352" s="132"/>
      <c r="B352" s="13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133"/>
    </row>
    <row r="353" ht="15.75" customHeight="1">
      <c r="A353" s="132"/>
      <c r="B353" s="13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133"/>
    </row>
    <row r="354" ht="15.75" customHeight="1">
      <c r="A354" s="132"/>
      <c r="B354" s="13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133"/>
    </row>
    <row r="355" ht="15.75" customHeight="1">
      <c r="A355" s="132"/>
      <c r="B355" s="13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133"/>
    </row>
    <row r="356" ht="15.75" customHeight="1">
      <c r="A356" s="132"/>
      <c r="B356" s="13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133"/>
    </row>
    <row r="357" ht="15.75" customHeight="1">
      <c r="A357" s="132"/>
      <c r="B357" s="13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133"/>
    </row>
    <row r="358" ht="15.75" customHeight="1">
      <c r="A358" s="132"/>
      <c r="B358" s="13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133"/>
    </row>
    <row r="359" ht="15.75" customHeight="1">
      <c r="A359" s="132"/>
      <c r="B359" s="13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133"/>
    </row>
    <row r="360" ht="15.75" customHeight="1">
      <c r="A360" s="132"/>
      <c r="B360" s="13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133"/>
    </row>
    <row r="361" ht="15.75" customHeight="1">
      <c r="A361" s="132"/>
      <c r="B361" s="13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133"/>
    </row>
    <row r="362" ht="15.75" customHeight="1">
      <c r="A362" s="132"/>
      <c r="B362" s="132"/>
      <c r="C362" s="22">
        <v>1.0</v>
      </c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133"/>
    </row>
    <row r="363" ht="15.75" customHeight="1">
      <c r="A363" s="132"/>
      <c r="B363" s="132"/>
      <c r="C363" s="22">
        <v>1.0</v>
      </c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133"/>
    </row>
    <row r="364" ht="15.75" customHeight="1">
      <c r="A364" s="132"/>
      <c r="B364" s="132"/>
      <c r="Q364" s="133"/>
    </row>
    <row r="365" ht="15.75" customHeight="1">
      <c r="A365" s="132"/>
      <c r="B365" s="132"/>
      <c r="Q365" s="133"/>
    </row>
    <row r="366" ht="15.75" customHeight="1">
      <c r="A366" s="132"/>
      <c r="B366" s="132"/>
      <c r="Q366" s="133"/>
    </row>
    <row r="367" ht="15.75" customHeight="1">
      <c r="A367" s="132"/>
      <c r="B367" s="132"/>
      <c r="Q367" s="133"/>
    </row>
    <row r="368" ht="15.75" customHeight="1">
      <c r="A368" s="132"/>
      <c r="B368" s="132"/>
      <c r="Q368" s="133"/>
    </row>
    <row r="369" ht="15.75" customHeight="1">
      <c r="A369" s="132"/>
      <c r="B369" s="132"/>
      <c r="Q369" s="133"/>
    </row>
    <row r="370" ht="15.75" customHeight="1">
      <c r="A370" s="132"/>
      <c r="B370" s="132"/>
      <c r="Q370" s="133"/>
    </row>
    <row r="371" ht="15.75" customHeight="1">
      <c r="A371" s="132"/>
      <c r="B371" s="132"/>
      <c r="Q371" s="133"/>
    </row>
    <row r="372" ht="15.75" customHeight="1">
      <c r="A372" s="132"/>
      <c r="B372" s="132"/>
      <c r="Q372" s="133"/>
    </row>
    <row r="373" ht="15.75" customHeight="1">
      <c r="A373" s="132"/>
      <c r="B373" s="132"/>
      <c r="Q373" s="133"/>
    </row>
    <row r="374" ht="15.75" customHeight="1">
      <c r="A374" s="132"/>
      <c r="B374" s="132"/>
      <c r="Q374" s="133"/>
    </row>
    <row r="375" ht="15.75" customHeight="1">
      <c r="A375" s="132"/>
      <c r="B375" s="132"/>
      <c r="Q375" s="133"/>
    </row>
    <row r="376" ht="15.75" customHeight="1">
      <c r="A376" s="132"/>
      <c r="B376" s="132"/>
      <c r="Q376" s="133"/>
    </row>
    <row r="377" ht="15.75" customHeight="1">
      <c r="A377" s="132"/>
      <c r="B377" s="132"/>
      <c r="Q377" s="133"/>
    </row>
    <row r="378" ht="15.75" customHeight="1">
      <c r="A378" s="132"/>
      <c r="B378" s="132"/>
      <c r="Q378" s="133"/>
    </row>
    <row r="379" ht="15.75" customHeight="1">
      <c r="A379" s="132"/>
      <c r="B379" s="132"/>
      <c r="Q379" s="133"/>
    </row>
    <row r="380" ht="15.75" customHeight="1">
      <c r="A380" s="132"/>
      <c r="B380" s="132"/>
      <c r="Q380" s="133"/>
    </row>
    <row r="381" ht="15.75" customHeight="1">
      <c r="A381" s="132"/>
      <c r="B381" s="132"/>
      <c r="Q381" s="133"/>
    </row>
    <row r="382" ht="15.75" customHeight="1">
      <c r="A382" s="132"/>
      <c r="B382" s="132"/>
      <c r="Q382" s="133"/>
    </row>
    <row r="383" ht="15.75" customHeight="1">
      <c r="A383" s="132"/>
      <c r="B383" s="132"/>
      <c r="Q383" s="133"/>
    </row>
    <row r="384" ht="15.75" customHeight="1">
      <c r="A384" s="132"/>
      <c r="B384" s="132"/>
      <c r="Q384" s="133"/>
    </row>
    <row r="385" ht="15.75" customHeight="1">
      <c r="A385" s="132"/>
      <c r="B385" s="132"/>
      <c r="Q385" s="133"/>
    </row>
    <row r="386" ht="15.75" customHeight="1">
      <c r="A386" s="132"/>
      <c r="B386" s="132"/>
      <c r="Q386" s="133"/>
    </row>
    <row r="387" ht="15.75" customHeight="1">
      <c r="A387" s="132"/>
      <c r="B387" s="132"/>
      <c r="Q387" s="133"/>
    </row>
    <row r="388" ht="15.75" customHeight="1">
      <c r="A388" s="132"/>
      <c r="B388" s="132"/>
      <c r="Q388" s="133"/>
    </row>
    <row r="389" ht="15.75" customHeight="1">
      <c r="A389" s="132"/>
      <c r="B389" s="132"/>
      <c r="Q389" s="133"/>
    </row>
    <row r="390" ht="15.75" customHeight="1">
      <c r="A390" s="132"/>
      <c r="B390" s="132"/>
      <c r="Q390" s="133"/>
    </row>
    <row r="391" ht="15.75" customHeight="1">
      <c r="A391" s="132"/>
      <c r="B391" s="132"/>
      <c r="Q391" s="133"/>
    </row>
    <row r="392" ht="15.75" customHeight="1">
      <c r="A392" s="132"/>
      <c r="B392" s="132"/>
      <c r="Q392" s="133"/>
    </row>
    <row r="393" ht="15.75" customHeight="1">
      <c r="A393" s="132"/>
      <c r="B393" s="132"/>
      <c r="Q393" s="133"/>
    </row>
    <row r="394" ht="15.75" customHeight="1">
      <c r="A394" s="132"/>
      <c r="B394" s="132"/>
      <c r="Q394" s="133"/>
    </row>
    <row r="395" ht="15.75" customHeight="1">
      <c r="A395" s="132"/>
      <c r="B395" s="132"/>
      <c r="Q395" s="133"/>
    </row>
    <row r="396" ht="15.75" customHeight="1">
      <c r="A396" s="132"/>
      <c r="B396" s="132"/>
      <c r="Q396" s="133"/>
    </row>
    <row r="397" ht="15.75" customHeight="1">
      <c r="A397" s="132"/>
      <c r="B397" s="132"/>
      <c r="Q397" s="133"/>
    </row>
    <row r="398" ht="15.75" customHeight="1">
      <c r="A398" s="132"/>
      <c r="B398" s="132"/>
      <c r="Q398" s="133"/>
    </row>
    <row r="399" ht="15.75" customHeight="1">
      <c r="A399" s="132"/>
      <c r="B399" s="132"/>
      <c r="Q399" s="133"/>
    </row>
    <row r="400" ht="15.75" customHeight="1">
      <c r="A400" s="132"/>
      <c r="B400" s="132"/>
      <c r="Q400" s="133"/>
    </row>
    <row r="401" ht="15.75" customHeight="1">
      <c r="A401" s="132"/>
      <c r="B401" s="132"/>
      <c r="Q401" s="133"/>
    </row>
    <row r="402" ht="15.75" customHeight="1">
      <c r="A402" s="132"/>
      <c r="B402" s="132"/>
      <c r="Q402" s="133"/>
    </row>
    <row r="403" ht="15.75" customHeight="1">
      <c r="A403" s="132"/>
      <c r="B403" s="132"/>
      <c r="Q403" s="133"/>
    </row>
    <row r="404" ht="15.75" customHeight="1">
      <c r="A404" s="132"/>
      <c r="B404" s="132"/>
      <c r="Q404" s="133"/>
    </row>
    <row r="405" ht="15.75" customHeight="1">
      <c r="A405" s="132"/>
      <c r="B405" s="132"/>
      <c r="Q405" s="133"/>
    </row>
    <row r="406" ht="15.75" customHeight="1">
      <c r="A406" s="132"/>
      <c r="B406" s="132"/>
      <c r="Q406" s="133"/>
    </row>
    <row r="407" ht="15.75" customHeight="1">
      <c r="A407" s="132"/>
      <c r="B407" s="132"/>
      <c r="Q407" s="133"/>
    </row>
    <row r="408" ht="15.75" customHeight="1">
      <c r="A408" s="132"/>
      <c r="B408" s="132"/>
      <c r="Q408" s="133"/>
    </row>
    <row r="409" ht="15.75" customHeight="1">
      <c r="A409" s="132"/>
      <c r="B409" s="132"/>
      <c r="Q409" s="133"/>
    </row>
    <row r="410" ht="15.75" customHeight="1">
      <c r="A410" s="132"/>
      <c r="B410" s="132"/>
      <c r="Q410" s="133"/>
    </row>
    <row r="411" ht="15.75" customHeight="1">
      <c r="A411" s="132"/>
      <c r="B411" s="132"/>
      <c r="Q411" s="133"/>
    </row>
    <row r="412" ht="15.75" customHeight="1">
      <c r="A412" s="132"/>
      <c r="B412" s="132"/>
      <c r="Q412" s="133"/>
    </row>
    <row r="413" ht="15.75" customHeight="1">
      <c r="A413" s="132"/>
      <c r="B413" s="132"/>
      <c r="Q413" s="133"/>
    </row>
    <row r="414" ht="15.75" customHeight="1">
      <c r="A414" s="132"/>
      <c r="B414" s="132"/>
      <c r="Q414" s="133"/>
    </row>
    <row r="415" ht="15.75" customHeight="1">
      <c r="A415" s="132"/>
      <c r="B415" s="132"/>
      <c r="Q415" s="133"/>
    </row>
    <row r="416" ht="15.75" customHeight="1">
      <c r="A416" s="132"/>
      <c r="B416" s="132"/>
      <c r="Q416" s="133"/>
    </row>
    <row r="417" ht="15.75" customHeight="1">
      <c r="A417" s="132"/>
      <c r="B417" s="132"/>
      <c r="Q417" s="133"/>
    </row>
    <row r="418" ht="15.75" customHeight="1">
      <c r="A418" s="132"/>
      <c r="B418" s="132"/>
      <c r="Q418" s="133"/>
    </row>
    <row r="419" ht="15.75" customHeight="1">
      <c r="A419" s="132"/>
      <c r="B419" s="132"/>
      <c r="Q419" s="133"/>
    </row>
    <row r="420" ht="15.75" customHeight="1">
      <c r="A420" s="132"/>
      <c r="B420" s="132"/>
      <c r="Q420" s="133"/>
    </row>
    <row r="421" ht="15.75" customHeight="1">
      <c r="A421" s="132"/>
      <c r="B421" s="132"/>
      <c r="Q421" s="133"/>
    </row>
    <row r="422" ht="15.75" customHeight="1">
      <c r="A422" s="132"/>
      <c r="B422" s="132"/>
      <c r="Q422" s="133"/>
    </row>
    <row r="423" ht="15.75" customHeight="1">
      <c r="A423" s="132"/>
      <c r="B423" s="132"/>
      <c r="Q423" s="133"/>
    </row>
    <row r="424" ht="15.75" customHeight="1">
      <c r="A424" s="132"/>
      <c r="B424" s="132"/>
      <c r="Q424" s="133"/>
    </row>
    <row r="425" ht="15.75" customHeight="1">
      <c r="A425" s="132"/>
      <c r="B425" s="132"/>
      <c r="Q425" s="133"/>
    </row>
    <row r="426" ht="15.75" customHeight="1">
      <c r="A426" s="132"/>
      <c r="B426" s="132"/>
      <c r="Q426" s="133"/>
    </row>
    <row r="427" ht="15.75" customHeight="1">
      <c r="A427" s="132"/>
      <c r="B427" s="132"/>
      <c r="Q427" s="133"/>
    </row>
    <row r="428" ht="15.75" customHeight="1">
      <c r="A428" s="132"/>
      <c r="B428" s="132"/>
      <c r="Q428" s="133"/>
    </row>
    <row r="429" ht="15.75" customHeight="1">
      <c r="A429" s="132"/>
      <c r="B429" s="132"/>
      <c r="Q429" s="133"/>
    </row>
    <row r="430" ht="15.75" customHeight="1">
      <c r="A430" s="132"/>
      <c r="B430" s="132"/>
      <c r="Q430" s="133"/>
    </row>
    <row r="431" ht="15.75" customHeight="1">
      <c r="A431" s="132"/>
      <c r="B431" s="132"/>
      <c r="Q431" s="133"/>
    </row>
    <row r="432" ht="15.75" customHeight="1">
      <c r="A432" s="132"/>
      <c r="B432" s="132"/>
      <c r="Q432" s="133"/>
    </row>
    <row r="433" ht="15.75" customHeight="1">
      <c r="A433" s="132"/>
      <c r="B433" s="132"/>
      <c r="Q433" s="133"/>
    </row>
    <row r="434" ht="15.75" customHeight="1">
      <c r="A434" s="132"/>
      <c r="B434" s="132"/>
      <c r="Q434" s="133"/>
    </row>
    <row r="435" ht="15.75" customHeight="1">
      <c r="A435" s="132"/>
      <c r="B435" s="132"/>
      <c r="Q435" s="133"/>
    </row>
    <row r="436" ht="15.75" customHeight="1">
      <c r="A436" s="132"/>
      <c r="B436" s="132"/>
      <c r="Q436" s="133"/>
    </row>
    <row r="437" ht="15.75" customHeight="1">
      <c r="A437" s="132"/>
      <c r="B437" s="132"/>
      <c r="Q437" s="133"/>
    </row>
    <row r="438" ht="15.75" customHeight="1">
      <c r="A438" s="132"/>
      <c r="B438" s="132"/>
      <c r="Q438" s="133"/>
    </row>
    <row r="439" ht="15.75" customHeight="1">
      <c r="A439" s="132"/>
      <c r="B439" s="132"/>
      <c r="Q439" s="133"/>
    </row>
    <row r="440" ht="15.75" customHeight="1">
      <c r="A440" s="132"/>
      <c r="B440" s="132"/>
      <c r="Q440" s="133"/>
    </row>
    <row r="441" ht="15.75" customHeight="1">
      <c r="A441" s="132"/>
      <c r="B441" s="132"/>
      <c r="Q441" s="133"/>
    </row>
    <row r="442" ht="15.75" customHeight="1">
      <c r="A442" s="132"/>
      <c r="B442" s="132"/>
      <c r="Q442" s="133"/>
    </row>
    <row r="443" ht="15.75" customHeight="1">
      <c r="A443" s="132"/>
      <c r="B443" s="132"/>
      <c r="Q443" s="133"/>
    </row>
    <row r="444" ht="15.75" customHeight="1">
      <c r="A444" s="132"/>
      <c r="B444" s="132"/>
      <c r="Q444" s="133"/>
    </row>
    <row r="445" ht="15.75" customHeight="1">
      <c r="A445" s="132"/>
      <c r="B445" s="132"/>
      <c r="Q445" s="133"/>
    </row>
    <row r="446" ht="15.75" customHeight="1">
      <c r="A446" s="132"/>
      <c r="B446" s="132"/>
      <c r="Q446" s="133"/>
    </row>
    <row r="447" ht="15.75" customHeight="1">
      <c r="A447" s="132"/>
      <c r="B447" s="132"/>
      <c r="Q447" s="133"/>
    </row>
    <row r="448" ht="15.75" customHeight="1">
      <c r="A448" s="132"/>
      <c r="B448" s="132"/>
      <c r="Q448" s="133"/>
    </row>
    <row r="449" ht="15.75" customHeight="1">
      <c r="A449" s="132"/>
      <c r="B449" s="132"/>
      <c r="Q449" s="133"/>
    </row>
    <row r="450" ht="15.75" customHeight="1">
      <c r="A450" s="132"/>
      <c r="B450" s="132"/>
      <c r="Q450" s="133"/>
    </row>
    <row r="451" ht="15.75" customHeight="1">
      <c r="A451" s="132"/>
      <c r="B451" s="132"/>
      <c r="Q451" s="133"/>
    </row>
    <row r="452" ht="15.75" customHeight="1">
      <c r="A452" s="132"/>
      <c r="B452" s="132"/>
      <c r="Q452" s="133"/>
    </row>
    <row r="453" ht="15.75" customHeight="1">
      <c r="A453" s="132"/>
      <c r="B453" s="132"/>
      <c r="Q453" s="133"/>
    </row>
    <row r="454" ht="15.75" customHeight="1">
      <c r="A454" s="132"/>
      <c r="B454" s="132"/>
      <c r="Q454" s="133"/>
    </row>
    <row r="455" ht="15.75" customHeight="1">
      <c r="A455" s="132"/>
      <c r="B455" s="132"/>
      <c r="Q455" s="133"/>
    </row>
    <row r="456" ht="15.75" customHeight="1">
      <c r="A456" s="132"/>
      <c r="B456" s="132"/>
      <c r="Q456" s="133"/>
    </row>
    <row r="457" ht="15.75" customHeight="1">
      <c r="A457" s="132"/>
      <c r="B457" s="132"/>
      <c r="Q457" s="133"/>
    </row>
    <row r="458" ht="15.75" customHeight="1">
      <c r="A458" s="132"/>
      <c r="B458" s="132"/>
      <c r="Q458" s="133"/>
    </row>
    <row r="459" ht="15.75" customHeight="1">
      <c r="A459" s="132"/>
      <c r="B459" s="132"/>
      <c r="Q459" s="133"/>
    </row>
    <row r="460" ht="15.75" customHeight="1">
      <c r="A460" s="132"/>
      <c r="B460" s="132"/>
      <c r="Q460" s="133"/>
    </row>
    <row r="461" ht="15.75" customHeight="1">
      <c r="A461" s="132"/>
      <c r="B461" s="132"/>
      <c r="Q461" s="133"/>
    </row>
    <row r="462" ht="15.75" customHeight="1">
      <c r="A462" s="132"/>
      <c r="B462" s="132"/>
      <c r="Q462" s="133"/>
    </row>
    <row r="463" ht="15.75" customHeight="1">
      <c r="A463" s="132"/>
      <c r="B463" s="132"/>
      <c r="Q463" s="133"/>
    </row>
    <row r="464" ht="15.75" customHeight="1">
      <c r="A464" s="132"/>
      <c r="B464" s="132"/>
      <c r="Q464" s="133"/>
    </row>
    <row r="465" ht="15.75" customHeight="1">
      <c r="A465" s="132"/>
      <c r="B465" s="132"/>
      <c r="Q465" s="133"/>
    </row>
    <row r="466" ht="15.75" customHeight="1">
      <c r="A466" s="132"/>
      <c r="B466" s="132"/>
      <c r="Q466" s="133"/>
    </row>
    <row r="467" ht="15.75" customHeight="1">
      <c r="A467" s="132"/>
      <c r="B467" s="132"/>
      <c r="Q467" s="133"/>
    </row>
    <row r="468" ht="15.75" customHeight="1">
      <c r="A468" s="132"/>
      <c r="B468" s="132"/>
      <c r="Q468" s="133"/>
    </row>
    <row r="469" ht="15.75" customHeight="1">
      <c r="A469" s="132"/>
      <c r="B469" s="132"/>
      <c r="Q469" s="133"/>
    </row>
    <row r="470" ht="15.75" customHeight="1">
      <c r="A470" s="132"/>
      <c r="B470" s="132"/>
      <c r="Q470" s="133"/>
    </row>
    <row r="471" ht="15.75" customHeight="1">
      <c r="A471" s="132"/>
      <c r="B471" s="132"/>
      <c r="Q471" s="133"/>
    </row>
    <row r="472" ht="15.75" customHeight="1">
      <c r="A472" s="132"/>
      <c r="B472" s="132"/>
      <c r="Q472" s="133"/>
    </row>
    <row r="473" ht="15.75" customHeight="1">
      <c r="A473" s="132"/>
      <c r="B473" s="132"/>
      <c r="Q473" s="133"/>
    </row>
    <row r="474" ht="15.75" customHeight="1">
      <c r="A474" s="132"/>
      <c r="B474" s="132"/>
      <c r="Q474" s="133"/>
    </row>
    <row r="475" ht="15.75" customHeight="1">
      <c r="A475" s="132"/>
      <c r="B475" s="132"/>
      <c r="Q475" s="133"/>
    </row>
    <row r="476" ht="15.75" customHeight="1">
      <c r="A476" s="132"/>
      <c r="B476" s="132"/>
      <c r="Q476" s="133"/>
    </row>
    <row r="477" ht="15.75" customHeight="1">
      <c r="A477" s="132"/>
      <c r="B477" s="132"/>
      <c r="Q477" s="133"/>
    </row>
    <row r="478" ht="15.75" customHeight="1">
      <c r="A478" s="132"/>
      <c r="B478" s="132"/>
      <c r="Q478" s="133"/>
    </row>
    <row r="479" ht="15.75" customHeight="1">
      <c r="A479" s="132"/>
      <c r="B479" s="132"/>
      <c r="Q479" s="133"/>
    </row>
    <row r="480" ht="15.75" customHeight="1">
      <c r="A480" s="132"/>
      <c r="B480" s="132"/>
      <c r="Q480" s="133"/>
    </row>
    <row r="481" ht="15.75" customHeight="1">
      <c r="A481" s="132"/>
      <c r="B481" s="132"/>
      <c r="Q481" s="133"/>
    </row>
    <row r="482" ht="15.75" customHeight="1">
      <c r="A482" s="132"/>
      <c r="B482" s="132"/>
      <c r="Q482" s="133"/>
    </row>
    <row r="483" ht="15.75" customHeight="1">
      <c r="A483" s="132"/>
      <c r="B483" s="132"/>
      <c r="Q483" s="133"/>
    </row>
    <row r="484" ht="15.75" customHeight="1">
      <c r="A484" s="132"/>
      <c r="B484" s="132"/>
      <c r="Q484" s="133"/>
    </row>
    <row r="485" ht="15.75" customHeight="1">
      <c r="A485" s="132"/>
      <c r="B485" s="132"/>
      <c r="Q485" s="133"/>
    </row>
    <row r="486" ht="15.75" customHeight="1">
      <c r="A486" s="132"/>
      <c r="B486" s="132"/>
      <c r="Q486" s="133"/>
    </row>
    <row r="487" ht="15.75" customHeight="1">
      <c r="A487" s="132"/>
      <c r="B487" s="132"/>
      <c r="Q487" s="133"/>
    </row>
    <row r="488" ht="15.75" customHeight="1">
      <c r="A488" s="132"/>
      <c r="B488" s="132"/>
      <c r="Q488" s="133"/>
    </row>
    <row r="489" ht="15.75" customHeight="1">
      <c r="A489" s="132"/>
      <c r="B489" s="132"/>
      <c r="Q489" s="133"/>
    </row>
    <row r="490" ht="15.75" customHeight="1">
      <c r="A490" s="132"/>
      <c r="B490" s="132"/>
      <c r="Q490" s="133"/>
    </row>
    <row r="491" ht="15.75" customHeight="1">
      <c r="A491" s="132"/>
      <c r="B491" s="132"/>
      <c r="Q491" s="133"/>
    </row>
    <row r="492" ht="15.75" customHeight="1">
      <c r="A492" s="132"/>
      <c r="B492" s="132"/>
      <c r="Q492" s="133"/>
    </row>
    <row r="493" ht="15.75" customHeight="1">
      <c r="A493" s="132"/>
      <c r="B493" s="132"/>
      <c r="Q493" s="133"/>
    </row>
    <row r="494" ht="15.75" customHeight="1">
      <c r="A494" s="132"/>
      <c r="B494" s="132"/>
      <c r="Q494" s="133"/>
    </row>
    <row r="495" ht="15.75" customHeight="1">
      <c r="A495" s="132"/>
      <c r="B495" s="132"/>
      <c r="Q495" s="133"/>
    </row>
    <row r="496" ht="15.75" customHeight="1">
      <c r="A496" s="132"/>
      <c r="B496" s="132"/>
      <c r="Q496" s="133"/>
    </row>
    <row r="497" ht="15.75" customHeight="1">
      <c r="A497" s="132"/>
      <c r="B497" s="132"/>
      <c r="Q497" s="133"/>
    </row>
    <row r="498" ht="15.75" customHeight="1">
      <c r="A498" s="132"/>
      <c r="B498" s="132"/>
      <c r="Q498" s="133"/>
    </row>
    <row r="499" ht="15.75" customHeight="1">
      <c r="A499" s="132"/>
      <c r="B499" s="132"/>
      <c r="Q499" s="133"/>
    </row>
    <row r="500" ht="15.75" customHeight="1">
      <c r="A500" s="132"/>
      <c r="B500" s="132"/>
      <c r="Q500" s="133"/>
    </row>
    <row r="501" ht="15.75" customHeight="1">
      <c r="A501" s="132"/>
      <c r="B501" s="132"/>
      <c r="Q501" s="133"/>
    </row>
    <row r="502" ht="15.75" customHeight="1">
      <c r="A502" s="132"/>
      <c r="B502" s="132"/>
      <c r="Q502" s="133"/>
    </row>
    <row r="503" ht="15.75" customHeight="1">
      <c r="A503" s="132"/>
      <c r="B503" s="132"/>
      <c r="Q503" s="133"/>
    </row>
    <row r="504" ht="15.75" customHeight="1">
      <c r="A504" s="132"/>
      <c r="B504" s="132"/>
      <c r="Q504" s="133"/>
    </row>
    <row r="505" ht="15.75" customHeight="1">
      <c r="A505" s="132"/>
      <c r="B505" s="132"/>
      <c r="Q505" s="133"/>
    </row>
    <row r="506" ht="15.75" customHeight="1">
      <c r="A506" s="132"/>
      <c r="B506" s="132"/>
      <c r="Q506" s="133"/>
    </row>
    <row r="507" ht="15.75" customHeight="1">
      <c r="A507" s="132"/>
      <c r="B507" s="132"/>
      <c r="Q507" s="133"/>
    </row>
    <row r="508" ht="15.75" customHeight="1">
      <c r="A508" s="132"/>
      <c r="B508" s="132"/>
      <c r="Q508" s="133"/>
    </row>
    <row r="509" ht="15.75" customHeight="1">
      <c r="A509" s="132"/>
      <c r="B509" s="132"/>
      <c r="Q509" s="133"/>
    </row>
    <row r="510" ht="15.75" customHeight="1">
      <c r="A510" s="132"/>
      <c r="B510" s="132"/>
      <c r="Q510" s="133"/>
    </row>
    <row r="511" ht="15.75" customHeight="1">
      <c r="A511" s="132"/>
      <c r="B511" s="132"/>
      <c r="Q511" s="133"/>
    </row>
    <row r="512" ht="15.75" customHeight="1">
      <c r="A512" s="132"/>
      <c r="B512" s="132"/>
      <c r="Q512" s="133"/>
    </row>
    <row r="513" ht="15.75" customHeight="1">
      <c r="A513" s="132"/>
      <c r="B513" s="132"/>
      <c r="Q513" s="133"/>
    </row>
    <row r="514" ht="15.75" customHeight="1">
      <c r="A514" s="132"/>
      <c r="B514" s="132"/>
      <c r="Q514" s="133"/>
    </row>
    <row r="515" ht="15.75" customHeight="1">
      <c r="A515" s="132"/>
      <c r="B515" s="132"/>
      <c r="Q515" s="133"/>
    </row>
    <row r="516" ht="15.75" customHeight="1">
      <c r="A516" s="132"/>
      <c r="B516" s="132"/>
      <c r="Q516" s="133"/>
    </row>
    <row r="517" ht="15.75" customHeight="1">
      <c r="A517" s="132"/>
      <c r="B517" s="132"/>
      <c r="Q517" s="133"/>
    </row>
    <row r="518" ht="15.75" customHeight="1">
      <c r="A518" s="132"/>
      <c r="B518" s="132"/>
      <c r="Q518" s="133"/>
    </row>
    <row r="519" ht="15.75" customHeight="1">
      <c r="A519" s="132"/>
      <c r="B519" s="132"/>
      <c r="Q519" s="133"/>
    </row>
    <row r="520" ht="15.75" customHeight="1">
      <c r="A520" s="132"/>
      <c r="B520" s="132"/>
      <c r="Q520" s="133"/>
    </row>
    <row r="521" ht="15.75" customHeight="1">
      <c r="A521" s="132"/>
      <c r="B521" s="132"/>
      <c r="Q521" s="133"/>
    </row>
    <row r="522" ht="15.75" customHeight="1">
      <c r="A522" s="132"/>
      <c r="B522" s="132"/>
      <c r="Q522" s="133"/>
    </row>
    <row r="523" ht="15.75" customHeight="1">
      <c r="A523" s="132"/>
      <c r="B523" s="132"/>
      <c r="Q523" s="133"/>
    </row>
    <row r="524" ht="15.75" customHeight="1">
      <c r="A524" s="132"/>
      <c r="B524" s="132"/>
      <c r="Q524" s="133"/>
    </row>
    <row r="525" ht="15.75" customHeight="1">
      <c r="A525" s="132"/>
      <c r="B525" s="132"/>
      <c r="Q525" s="133"/>
    </row>
    <row r="526" ht="15.75" customHeight="1">
      <c r="A526" s="132"/>
      <c r="B526" s="132"/>
      <c r="Q526" s="133"/>
    </row>
    <row r="527" ht="15.75" customHeight="1">
      <c r="A527" s="132"/>
      <c r="B527" s="132"/>
      <c r="Q527" s="133"/>
    </row>
    <row r="528" ht="15.75" customHeight="1">
      <c r="A528" s="132"/>
      <c r="B528" s="132"/>
      <c r="Q528" s="133"/>
    </row>
    <row r="529" ht="15.75" customHeight="1">
      <c r="A529" s="132"/>
      <c r="B529" s="132"/>
      <c r="Q529" s="133"/>
    </row>
    <row r="530" ht="15.75" customHeight="1">
      <c r="A530" s="132"/>
      <c r="B530" s="132"/>
      <c r="Q530" s="133"/>
    </row>
    <row r="531" ht="15.75" customHeight="1">
      <c r="A531" s="132"/>
      <c r="B531" s="132"/>
      <c r="Q531" s="133"/>
    </row>
    <row r="532" ht="15.75" customHeight="1">
      <c r="A532" s="132"/>
      <c r="B532" s="132"/>
      <c r="Q532" s="133"/>
    </row>
    <row r="533" ht="15.75" customHeight="1">
      <c r="A533" s="132"/>
      <c r="B533" s="132"/>
      <c r="Q533" s="133"/>
    </row>
    <row r="534" ht="15.75" customHeight="1">
      <c r="A534" s="132"/>
      <c r="B534" s="132"/>
      <c r="Q534" s="133"/>
    </row>
    <row r="535" ht="15.75" customHeight="1">
      <c r="A535" s="132"/>
      <c r="B535" s="132"/>
      <c r="Q535" s="133"/>
    </row>
    <row r="536" ht="15.75" customHeight="1">
      <c r="A536" s="132"/>
      <c r="B536" s="132"/>
      <c r="Q536" s="133"/>
    </row>
    <row r="537" ht="15.75" customHeight="1">
      <c r="A537" s="132"/>
      <c r="B537" s="132"/>
      <c r="Q537" s="133"/>
    </row>
    <row r="538" ht="15.75" customHeight="1">
      <c r="A538" s="132"/>
      <c r="B538" s="132"/>
      <c r="Q538" s="133"/>
    </row>
    <row r="539" ht="15.75" customHeight="1">
      <c r="A539" s="132"/>
      <c r="B539" s="132"/>
      <c r="Q539" s="133"/>
    </row>
    <row r="540" ht="15.75" customHeight="1">
      <c r="A540" s="132"/>
      <c r="B540" s="132"/>
      <c r="Q540" s="133"/>
    </row>
    <row r="541" ht="15.75" customHeight="1">
      <c r="A541" s="132"/>
      <c r="B541" s="132"/>
      <c r="Q541" s="133"/>
    </row>
    <row r="542" ht="15.75" customHeight="1">
      <c r="A542" s="132"/>
      <c r="B542" s="132"/>
      <c r="Q542" s="133"/>
    </row>
    <row r="543" ht="15.75" customHeight="1">
      <c r="A543" s="132"/>
      <c r="B543" s="132"/>
      <c r="Q543" s="133"/>
    </row>
    <row r="544" ht="15.75" customHeight="1">
      <c r="A544" s="132"/>
      <c r="B544" s="132"/>
      <c r="Q544" s="133"/>
    </row>
    <row r="545" ht="15.75" customHeight="1">
      <c r="A545" s="132"/>
      <c r="B545" s="132"/>
      <c r="Q545" s="133"/>
    </row>
    <row r="546" ht="15.75" customHeight="1">
      <c r="A546" s="132"/>
      <c r="B546" s="132"/>
      <c r="Q546" s="133"/>
    </row>
    <row r="547" ht="15.75" customHeight="1">
      <c r="A547" s="132"/>
      <c r="B547" s="132"/>
      <c r="Q547" s="133"/>
    </row>
    <row r="548" ht="15.75" customHeight="1">
      <c r="A548" s="132"/>
      <c r="B548" s="132"/>
      <c r="Q548" s="133"/>
    </row>
    <row r="549" ht="15.75" customHeight="1">
      <c r="A549" s="132"/>
      <c r="B549" s="132"/>
      <c r="Q549" s="133"/>
    </row>
    <row r="550" ht="15.75" customHeight="1">
      <c r="A550" s="132"/>
      <c r="B550" s="132"/>
      <c r="Q550" s="133"/>
    </row>
    <row r="551" ht="15.75" customHeight="1">
      <c r="A551" s="132"/>
      <c r="B551" s="132"/>
      <c r="Q551" s="133"/>
    </row>
    <row r="552" ht="15.75" customHeight="1">
      <c r="A552" s="132"/>
      <c r="B552" s="132"/>
      <c r="Q552" s="133"/>
    </row>
    <row r="553" ht="15.75" customHeight="1">
      <c r="A553" s="132"/>
      <c r="B553" s="132"/>
      <c r="Q553" s="133"/>
    </row>
    <row r="554" ht="15.75" customHeight="1">
      <c r="A554" s="132"/>
      <c r="B554" s="132"/>
      <c r="Q554" s="133"/>
    </row>
    <row r="555" ht="15.75" customHeight="1">
      <c r="A555" s="132"/>
      <c r="B555" s="132"/>
      <c r="Q555" s="133"/>
    </row>
    <row r="556" ht="15.75" customHeight="1">
      <c r="A556" s="132"/>
      <c r="B556" s="132"/>
      <c r="Q556" s="133"/>
    </row>
    <row r="557" ht="15.75" customHeight="1">
      <c r="A557" s="132"/>
      <c r="B557" s="132"/>
      <c r="Q557" s="133"/>
    </row>
    <row r="558" ht="15.75" customHeight="1">
      <c r="A558" s="132"/>
      <c r="B558" s="132"/>
      <c r="Q558" s="133"/>
    </row>
    <row r="559" ht="15.75" customHeight="1">
      <c r="A559" s="132"/>
      <c r="B559" s="132"/>
      <c r="Q559" s="133"/>
    </row>
    <row r="560" ht="15.75" customHeight="1">
      <c r="A560" s="132"/>
      <c r="B560" s="132"/>
      <c r="Q560" s="133"/>
    </row>
    <row r="561" ht="15.75" customHeight="1">
      <c r="A561" s="132"/>
      <c r="B561" s="132"/>
      <c r="Q561" s="133"/>
    </row>
    <row r="562" ht="15.75" customHeight="1">
      <c r="A562" s="132"/>
      <c r="B562" s="132"/>
      <c r="Q562" s="133"/>
    </row>
    <row r="563" ht="15.75" customHeight="1">
      <c r="A563" s="132"/>
      <c r="B563" s="132"/>
      <c r="Q563" s="133"/>
    </row>
    <row r="564" ht="15.75" customHeight="1">
      <c r="A564" s="132"/>
      <c r="B564" s="132"/>
      <c r="Q564" s="133"/>
    </row>
    <row r="565" ht="15.75" customHeight="1">
      <c r="A565" s="132"/>
      <c r="B565" s="132"/>
      <c r="Q565" s="133"/>
    </row>
    <row r="566" ht="15.75" customHeight="1">
      <c r="A566" s="132"/>
      <c r="B566" s="132"/>
      <c r="Q566" s="133"/>
    </row>
    <row r="567" ht="15.75" customHeight="1">
      <c r="A567" s="132"/>
      <c r="B567" s="132"/>
      <c r="Q567" s="133"/>
    </row>
    <row r="568" ht="15.75" customHeight="1">
      <c r="A568" s="132"/>
      <c r="B568" s="132"/>
      <c r="Q568" s="133"/>
    </row>
    <row r="569" ht="15.75" customHeight="1">
      <c r="A569" s="132"/>
      <c r="B569" s="132"/>
      <c r="Q569" s="133"/>
    </row>
    <row r="570" ht="15.75" customHeight="1">
      <c r="A570" s="132"/>
      <c r="B570" s="132"/>
      <c r="Q570" s="133"/>
    </row>
    <row r="571" ht="15.75" customHeight="1">
      <c r="A571" s="132"/>
      <c r="B571" s="132"/>
      <c r="Q571" s="133"/>
    </row>
    <row r="572" ht="15.75" customHeight="1">
      <c r="A572" s="132"/>
      <c r="B572" s="132"/>
      <c r="Q572" s="133"/>
    </row>
    <row r="573" ht="15.75" customHeight="1">
      <c r="A573" s="132"/>
      <c r="B573" s="132"/>
      <c r="Q573" s="133"/>
    </row>
    <row r="574" ht="15.75" customHeight="1">
      <c r="A574" s="132"/>
      <c r="B574" s="132"/>
      <c r="Q574" s="133"/>
    </row>
    <row r="575" ht="15.75" customHeight="1">
      <c r="A575" s="132"/>
      <c r="B575" s="132"/>
      <c r="Q575" s="133"/>
    </row>
    <row r="576" ht="15.75" customHeight="1">
      <c r="A576" s="132"/>
      <c r="B576" s="132"/>
      <c r="Q576" s="133"/>
    </row>
    <row r="577" ht="15.75" customHeight="1">
      <c r="A577" s="132"/>
      <c r="B577" s="132"/>
      <c r="Q577" s="133"/>
    </row>
    <row r="578" ht="15.75" customHeight="1">
      <c r="A578" s="132"/>
      <c r="B578" s="132"/>
      <c r="Q578" s="133"/>
    </row>
    <row r="579" ht="15.75" customHeight="1">
      <c r="A579" s="132"/>
      <c r="B579" s="132"/>
      <c r="Q579" s="133"/>
    </row>
    <row r="580" ht="15.75" customHeight="1">
      <c r="A580" s="132"/>
      <c r="B580" s="132"/>
      <c r="Q580" s="133"/>
    </row>
    <row r="581" ht="15.75" customHeight="1">
      <c r="A581" s="132"/>
      <c r="B581" s="132"/>
      <c r="Q581" s="133"/>
    </row>
    <row r="582" ht="15.75" customHeight="1">
      <c r="A582" s="132"/>
      <c r="B582" s="132"/>
      <c r="Q582" s="133"/>
    </row>
    <row r="583" ht="15.75" customHeight="1">
      <c r="A583" s="132"/>
      <c r="B583" s="132"/>
      <c r="Q583" s="133"/>
    </row>
    <row r="584" ht="15.75" customHeight="1">
      <c r="A584" s="132"/>
      <c r="B584" s="132"/>
      <c r="Q584" s="133"/>
    </row>
    <row r="585" ht="15.75" customHeight="1">
      <c r="A585" s="132"/>
      <c r="B585" s="132"/>
      <c r="Q585" s="133"/>
    </row>
    <row r="586" ht="15.75" customHeight="1">
      <c r="A586" s="132"/>
      <c r="B586" s="132"/>
      <c r="Q586" s="133"/>
    </row>
    <row r="587" ht="15.75" customHeight="1">
      <c r="A587" s="132"/>
      <c r="B587" s="132"/>
      <c r="Q587" s="133"/>
    </row>
    <row r="588" ht="15.75" customHeight="1">
      <c r="A588" s="132"/>
      <c r="B588" s="132"/>
      <c r="Q588" s="133"/>
    </row>
    <row r="589" ht="15.75" customHeight="1">
      <c r="A589" s="132"/>
      <c r="B589" s="132"/>
      <c r="Q589" s="133"/>
    </row>
    <row r="590" ht="15.75" customHeight="1">
      <c r="A590" s="132"/>
      <c r="B590" s="132"/>
      <c r="Q590" s="133"/>
    </row>
    <row r="591" ht="15.75" customHeight="1">
      <c r="A591" s="132"/>
      <c r="B591" s="132"/>
      <c r="Q591" s="133"/>
    </row>
    <row r="592" ht="15.75" customHeight="1">
      <c r="A592" s="132"/>
      <c r="B592" s="132"/>
      <c r="Q592" s="133"/>
    </row>
    <row r="593" ht="15.75" customHeight="1">
      <c r="A593" s="132"/>
      <c r="B593" s="132"/>
      <c r="Q593" s="133"/>
    </row>
    <row r="594" ht="15.75" customHeight="1">
      <c r="A594" s="132"/>
      <c r="B594" s="132"/>
      <c r="Q594" s="133"/>
    </row>
    <row r="595" ht="15.75" customHeight="1">
      <c r="A595" s="132"/>
      <c r="B595" s="132"/>
      <c r="Q595" s="133"/>
    </row>
    <row r="596" ht="15.75" customHeight="1">
      <c r="A596" s="132"/>
      <c r="B596" s="132"/>
      <c r="Q596" s="133"/>
    </row>
    <row r="597" ht="15.75" customHeight="1">
      <c r="A597" s="132"/>
      <c r="B597" s="132"/>
      <c r="Q597" s="133"/>
    </row>
    <row r="598" ht="15.75" customHeight="1">
      <c r="A598" s="132"/>
      <c r="B598" s="132"/>
      <c r="Q598" s="133"/>
    </row>
    <row r="599" ht="15.75" customHeight="1">
      <c r="A599" s="132"/>
      <c r="B599" s="132"/>
      <c r="Q599" s="133"/>
    </row>
    <row r="600" ht="15.75" customHeight="1">
      <c r="A600" s="132"/>
      <c r="B600" s="132"/>
      <c r="Q600" s="133"/>
    </row>
    <row r="601" ht="15.75" customHeight="1">
      <c r="A601" s="132"/>
      <c r="B601" s="132"/>
      <c r="Q601" s="133"/>
    </row>
    <row r="602" ht="15.75" customHeight="1">
      <c r="A602" s="132"/>
      <c r="B602" s="132"/>
      <c r="Q602" s="133"/>
    </row>
    <row r="603" ht="15.75" customHeight="1">
      <c r="A603" s="132"/>
      <c r="B603" s="132"/>
      <c r="Q603" s="133"/>
    </row>
    <row r="604" ht="15.75" customHeight="1">
      <c r="A604" s="132"/>
      <c r="B604" s="132"/>
      <c r="Q604" s="133"/>
    </row>
    <row r="605" ht="15.75" customHeight="1">
      <c r="A605" s="132"/>
      <c r="B605" s="132"/>
      <c r="Q605" s="133"/>
    </row>
    <row r="606" ht="15.75" customHeight="1">
      <c r="A606" s="132"/>
      <c r="B606" s="132"/>
      <c r="Q606" s="133"/>
    </row>
    <row r="607" ht="15.75" customHeight="1">
      <c r="A607" s="132"/>
      <c r="B607" s="132"/>
      <c r="Q607" s="133"/>
    </row>
    <row r="608" ht="15.75" customHeight="1">
      <c r="A608" s="132"/>
      <c r="B608" s="132"/>
      <c r="Q608" s="133"/>
    </row>
    <row r="609" ht="15.75" customHeight="1">
      <c r="A609" s="132"/>
      <c r="B609" s="132"/>
      <c r="Q609" s="133"/>
    </row>
    <row r="610" ht="15.75" customHeight="1">
      <c r="A610" s="132"/>
      <c r="B610" s="132"/>
      <c r="Q610" s="133"/>
    </row>
    <row r="611" ht="15.75" customHeight="1">
      <c r="A611" s="132"/>
      <c r="B611" s="132"/>
      <c r="Q611" s="133"/>
    </row>
    <row r="612" ht="15.75" customHeight="1">
      <c r="A612" s="132"/>
      <c r="B612" s="132"/>
      <c r="Q612" s="133"/>
    </row>
    <row r="613" ht="15.75" customHeight="1">
      <c r="A613" s="132"/>
      <c r="B613" s="132"/>
      <c r="Q613" s="133"/>
    </row>
    <row r="614" ht="15.75" customHeight="1">
      <c r="A614" s="132"/>
      <c r="B614" s="132"/>
      <c r="Q614" s="133"/>
    </row>
    <row r="615" ht="15.75" customHeight="1">
      <c r="A615" s="132"/>
      <c r="B615" s="132"/>
      <c r="Q615" s="133"/>
    </row>
    <row r="616" ht="15.75" customHeight="1">
      <c r="A616" s="132"/>
      <c r="B616" s="132"/>
      <c r="Q616" s="133"/>
    </row>
    <row r="617" ht="15.75" customHeight="1">
      <c r="A617" s="132"/>
      <c r="B617" s="132"/>
      <c r="Q617" s="133"/>
    </row>
    <row r="618" ht="15.75" customHeight="1">
      <c r="A618" s="132"/>
      <c r="B618" s="132"/>
      <c r="Q618" s="133"/>
    </row>
    <row r="619" ht="15.75" customHeight="1">
      <c r="A619" s="132"/>
      <c r="B619" s="132"/>
      <c r="Q619" s="133"/>
    </row>
    <row r="620" ht="15.75" customHeight="1">
      <c r="A620" s="132"/>
      <c r="B620" s="132"/>
      <c r="Q620" s="133"/>
    </row>
    <row r="621" ht="15.75" customHeight="1">
      <c r="A621" s="132"/>
      <c r="B621" s="132"/>
      <c r="Q621" s="133"/>
    </row>
    <row r="622" ht="15.75" customHeight="1">
      <c r="A622" s="132"/>
      <c r="B622" s="132"/>
      <c r="Q622" s="133"/>
    </row>
    <row r="623" ht="15.75" customHeight="1">
      <c r="A623" s="132"/>
      <c r="B623" s="132"/>
      <c r="Q623" s="133"/>
    </row>
    <row r="624" ht="15.75" customHeight="1">
      <c r="A624" s="132"/>
      <c r="B624" s="132"/>
      <c r="Q624" s="133"/>
    </row>
    <row r="625" ht="15.75" customHeight="1">
      <c r="A625" s="132"/>
      <c r="B625" s="132"/>
      <c r="Q625" s="133"/>
    </row>
    <row r="626" ht="15.75" customHeight="1">
      <c r="A626" s="132"/>
      <c r="B626" s="132"/>
      <c r="Q626" s="133"/>
    </row>
    <row r="627" ht="15.75" customHeight="1">
      <c r="A627" s="132"/>
      <c r="B627" s="132"/>
      <c r="Q627" s="133"/>
    </row>
    <row r="628" ht="15.75" customHeight="1">
      <c r="A628" s="132"/>
      <c r="B628" s="132"/>
      <c r="Q628" s="133"/>
    </row>
    <row r="629" ht="15.75" customHeight="1">
      <c r="A629" s="132"/>
      <c r="B629" s="132"/>
      <c r="Q629" s="133"/>
    </row>
    <row r="630" ht="15.75" customHeight="1">
      <c r="A630" s="132"/>
      <c r="B630" s="132"/>
      <c r="Q630" s="133"/>
    </row>
    <row r="631" ht="15.75" customHeight="1">
      <c r="A631" s="132"/>
      <c r="B631" s="132"/>
      <c r="Q631" s="133"/>
    </row>
    <row r="632" ht="15.75" customHeight="1">
      <c r="A632" s="132"/>
      <c r="B632" s="132"/>
      <c r="Q632" s="133"/>
    </row>
    <row r="633" ht="15.75" customHeight="1">
      <c r="A633" s="132"/>
      <c r="B633" s="132"/>
      <c r="Q633" s="133"/>
    </row>
    <row r="634" ht="15.75" customHeight="1">
      <c r="A634" s="132"/>
      <c r="B634" s="132"/>
      <c r="Q634" s="133"/>
    </row>
    <row r="635" ht="15.75" customHeight="1">
      <c r="A635" s="132"/>
      <c r="B635" s="132"/>
      <c r="Q635" s="133"/>
    </row>
    <row r="636" ht="15.75" customHeight="1">
      <c r="A636" s="132"/>
      <c r="B636" s="132"/>
      <c r="Q636" s="133"/>
    </row>
    <row r="637" ht="15.75" customHeight="1">
      <c r="A637" s="132"/>
      <c r="B637" s="132"/>
      <c r="Q637" s="133"/>
    </row>
    <row r="638" ht="15.75" customHeight="1">
      <c r="A638" s="132"/>
      <c r="B638" s="132"/>
      <c r="Q638" s="133"/>
    </row>
    <row r="639" ht="15.75" customHeight="1">
      <c r="A639" s="132"/>
      <c r="B639" s="132"/>
      <c r="Q639" s="133"/>
    </row>
    <row r="640" ht="15.75" customHeight="1">
      <c r="A640" s="132"/>
      <c r="B640" s="132"/>
      <c r="Q640" s="133"/>
    </row>
    <row r="641" ht="15.75" customHeight="1">
      <c r="A641" s="132"/>
      <c r="B641" s="132"/>
      <c r="Q641" s="133"/>
    </row>
    <row r="642" ht="15.75" customHeight="1">
      <c r="A642" s="132"/>
      <c r="B642" s="132"/>
      <c r="Q642" s="133"/>
    </row>
    <row r="643" ht="15.75" customHeight="1">
      <c r="A643" s="132"/>
      <c r="B643" s="132"/>
      <c r="Q643" s="133"/>
    </row>
    <row r="644" ht="15.75" customHeight="1">
      <c r="A644" s="132"/>
      <c r="B644" s="132"/>
      <c r="Q644" s="133"/>
    </row>
    <row r="645" ht="15.75" customHeight="1">
      <c r="A645" s="132"/>
      <c r="B645" s="132"/>
      <c r="Q645" s="133"/>
    </row>
    <row r="646" ht="15.75" customHeight="1">
      <c r="A646" s="132"/>
      <c r="B646" s="132"/>
      <c r="Q646" s="133"/>
    </row>
    <row r="647" ht="15.75" customHeight="1">
      <c r="A647" s="132"/>
      <c r="B647" s="132"/>
      <c r="Q647" s="133"/>
    </row>
    <row r="648" ht="15.75" customHeight="1">
      <c r="A648" s="132"/>
      <c r="B648" s="132"/>
      <c r="Q648" s="133"/>
    </row>
    <row r="649" ht="15.75" customHeight="1">
      <c r="A649" s="132"/>
      <c r="B649" s="132"/>
      <c r="Q649" s="133"/>
    </row>
    <row r="650" ht="15.75" customHeight="1">
      <c r="A650" s="132"/>
      <c r="B650" s="132"/>
      <c r="Q650" s="133"/>
    </row>
    <row r="651" ht="15.75" customHeight="1">
      <c r="A651" s="132"/>
      <c r="B651" s="132"/>
      <c r="Q651" s="133"/>
    </row>
    <row r="652" ht="15.75" customHeight="1">
      <c r="A652" s="132"/>
      <c r="B652" s="132"/>
      <c r="Q652" s="133"/>
    </row>
    <row r="653" ht="15.75" customHeight="1">
      <c r="A653" s="132"/>
      <c r="B653" s="132"/>
      <c r="Q653" s="133"/>
    </row>
    <row r="654" ht="15.75" customHeight="1">
      <c r="A654" s="132"/>
      <c r="B654" s="132"/>
      <c r="Q654" s="133"/>
    </row>
    <row r="655" ht="15.75" customHeight="1">
      <c r="A655" s="132"/>
      <c r="B655" s="132"/>
      <c r="Q655" s="133"/>
    </row>
    <row r="656" ht="15.75" customHeight="1">
      <c r="A656" s="132"/>
      <c r="B656" s="132"/>
      <c r="Q656" s="133"/>
    </row>
    <row r="657" ht="15.75" customHeight="1">
      <c r="A657" s="132"/>
      <c r="B657" s="132"/>
      <c r="Q657" s="133"/>
    </row>
    <row r="658" ht="15.75" customHeight="1">
      <c r="A658" s="132"/>
      <c r="B658" s="132"/>
      <c r="Q658" s="133"/>
    </row>
    <row r="659" ht="15.75" customHeight="1">
      <c r="A659" s="132"/>
      <c r="B659" s="132"/>
      <c r="Q659" s="133"/>
    </row>
    <row r="660" ht="15.75" customHeight="1">
      <c r="A660" s="132"/>
      <c r="B660" s="132"/>
      <c r="Q660" s="133"/>
    </row>
    <row r="661" ht="15.75" customHeight="1">
      <c r="A661" s="132"/>
      <c r="B661" s="132"/>
      <c r="Q661" s="133"/>
    </row>
    <row r="662" ht="15.75" customHeight="1">
      <c r="A662" s="132"/>
      <c r="B662" s="132"/>
      <c r="Q662" s="133"/>
    </row>
    <row r="663" ht="15.75" customHeight="1">
      <c r="A663" s="132"/>
      <c r="B663" s="132"/>
      <c r="Q663" s="133"/>
    </row>
    <row r="664" ht="15.75" customHeight="1">
      <c r="A664" s="132"/>
      <c r="B664" s="132"/>
      <c r="Q664" s="133"/>
    </row>
    <row r="665" ht="15.75" customHeight="1">
      <c r="A665" s="132"/>
      <c r="B665" s="132"/>
      <c r="Q665" s="133"/>
    </row>
    <row r="666" ht="15.75" customHeight="1">
      <c r="A666" s="132"/>
      <c r="B666" s="132"/>
      <c r="Q666" s="133"/>
    </row>
    <row r="667" ht="15.75" customHeight="1">
      <c r="A667" s="132"/>
      <c r="B667" s="132"/>
      <c r="Q667" s="133"/>
    </row>
    <row r="668" ht="15.75" customHeight="1">
      <c r="A668" s="132"/>
      <c r="B668" s="132"/>
      <c r="Q668" s="133"/>
    </row>
    <row r="669" ht="15.75" customHeight="1">
      <c r="A669" s="132"/>
      <c r="B669" s="132"/>
      <c r="Q669" s="133"/>
    </row>
    <row r="670" ht="15.75" customHeight="1">
      <c r="A670" s="132"/>
      <c r="B670" s="132"/>
      <c r="Q670" s="133"/>
    </row>
    <row r="671" ht="15.75" customHeight="1">
      <c r="A671" s="132"/>
      <c r="B671" s="132"/>
      <c r="Q671" s="133"/>
    </row>
    <row r="672" ht="15.75" customHeight="1">
      <c r="A672" s="132"/>
      <c r="B672" s="132"/>
      <c r="Q672" s="133"/>
    </row>
    <row r="673" ht="15.75" customHeight="1">
      <c r="A673" s="132"/>
      <c r="B673" s="132"/>
      <c r="Q673" s="133"/>
    </row>
    <row r="674" ht="15.75" customHeight="1">
      <c r="A674" s="132"/>
      <c r="B674" s="132"/>
      <c r="Q674" s="133"/>
    </row>
    <row r="675" ht="15.75" customHeight="1">
      <c r="A675" s="132"/>
      <c r="B675" s="132"/>
      <c r="Q675" s="133"/>
    </row>
    <row r="676" ht="15.75" customHeight="1">
      <c r="A676" s="132"/>
      <c r="B676" s="132"/>
      <c r="Q676" s="133"/>
    </row>
    <row r="677" ht="15.75" customHeight="1">
      <c r="A677" s="132"/>
      <c r="B677" s="132"/>
      <c r="Q677" s="133"/>
    </row>
    <row r="678" ht="15.75" customHeight="1">
      <c r="A678" s="132"/>
      <c r="B678" s="132"/>
      <c r="Q678" s="133"/>
    </row>
    <row r="679" ht="15.75" customHeight="1">
      <c r="A679" s="132"/>
      <c r="B679" s="132"/>
      <c r="Q679" s="133"/>
    </row>
    <row r="680" ht="15.75" customHeight="1">
      <c r="A680" s="132"/>
      <c r="B680" s="132"/>
      <c r="Q680" s="133"/>
    </row>
    <row r="681" ht="15.75" customHeight="1">
      <c r="A681" s="132"/>
      <c r="B681" s="132"/>
      <c r="Q681" s="133"/>
    </row>
    <row r="682" ht="15.75" customHeight="1">
      <c r="A682" s="132"/>
      <c r="B682" s="132"/>
      <c r="Q682" s="133"/>
    </row>
    <row r="683" ht="15.75" customHeight="1">
      <c r="A683" s="132"/>
      <c r="B683" s="132"/>
      <c r="Q683" s="133"/>
    </row>
    <row r="684" ht="15.75" customHeight="1">
      <c r="A684" s="132"/>
      <c r="B684" s="132"/>
      <c r="Q684" s="133"/>
    </row>
    <row r="685" ht="15.75" customHeight="1">
      <c r="A685" s="132"/>
      <c r="B685" s="132"/>
      <c r="Q685" s="133"/>
    </row>
    <row r="686" ht="15.75" customHeight="1">
      <c r="A686" s="132"/>
      <c r="B686" s="132"/>
      <c r="Q686" s="133"/>
    </row>
    <row r="687" ht="15.75" customHeight="1">
      <c r="A687" s="132"/>
      <c r="B687" s="132"/>
      <c r="Q687" s="133"/>
    </row>
    <row r="688" ht="15.75" customHeight="1">
      <c r="A688" s="132"/>
      <c r="B688" s="132"/>
      <c r="Q688" s="133"/>
    </row>
    <row r="689" ht="15.75" customHeight="1">
      <c r="A689" s="132"/>
      <c r="B689" s="132"/>
      <c r="Q689" s="133"/>
    </row>
    <row r="690" ht="15.75" customHeight="1">
      <c r="A690" s="132"/>
      <c r="B690" s="132"/>
      <c r="Q690" s="133"/>
    </row>
    <row r="691" ht="15.75" customHeight="1">
      <c r="A691" s="132"/>
      <c r="B691" s="132"/>
      <c r="Q691" s="133"/>
    </row>
    <row r="692" ht="15.75" customHeight="1">
      <c r="A692" s="132"/>
      <c r="B692" s="132"/>
      <c r="Q692" s="133"/>
    </row>
    <row r="693" ht="15.75" customHeight="1">
      <c r="A693" s="132"/>
      <c r="B693" s="132"/>
      <c r="Q693" s="133"/>
    </row>
    <row r="694" ht="15.75" customHeight="1">
      <c r="A694" s="132"/>
      <c r="B694" s="132"/>
      <c r="Q694" s="133"/>
    </row>
    <row r="695" ht="15.75" customHeight="1">
      <c r="A695" s="132"/>
      <c r="B695" s="132"/>
      <c r="Q695" s="133"/>
    </row>
    <row r="696" ht="15.75" customHeight="1">
      <c r="A696" s="132"/>
      <c r="B696" s="132"/>
      <c r="Q696" s="133"/>
    </row>
    <row r="697" ht="15.75" customHeight="1">
      <c r="A697" s="132"/>
      <c r="B697" s="132"/>
      <c r="Q697" s="133"/>
    </row>
    <row r="698" ht="15.75" customHeight="1">
      <c r="A698" s="132"/>
      <c r="B698" s="132"/>
      <c r="Q698" s="133"/>
    </row>
    <row r="699" ht="15.75" customHeight="1">
      <c r="A699" s="132"/>
      <c r="B699" s="132"/>
      <c r="Q699" s="133"/>
    </row>
    <row r="700" ht="15.75" customHeight="1">
      <c r="A700" s="132"/>
      <c r="B700" s="132"/>
      <c r="Q700" s="133"/>
    </row>
    <row r="701" ht="15.75" customHeight="1">
      <c r="A701" s="132"/>
      <c r="B701" s="132"/>
      <c r="Q701" s="133"/>
    </row>
    <row r="702" ht="15.75" customHeight="1">
      <c r="A702" s="132"/>
      <c r="B702" s="132"/>
      <c r="Q702" s="133"/>
    </row>
    <row r="703" ht="15.75" customHeight="1">
      <c r="A703" s="132"/>
      <c r="B703" s="132"/>
      <c r="Q703" s="133"/>
    </row>
    <row r="704" ht="15.75" customHeight="1">
      <c r="A704" s="132"/>
      <c r="B704" s="132"/>
      <c r="Q704" s="133"/>
    </row>
    <row r="705" ht="15.75" customHeight="1">
      <c r="A705" s="132"/>
      <c r="B705" s="132"/>
      <c r="Q705" s="133"/>
    </row>
    <row r="706" ht="15.75" customHeight="1">
      <c r="A706" s="132"/>
      <c r="B706" s="132"/>
      <c r="Q706" s="133"/>
    </row>
    <row r="707" ht="15.75" customHeight="1">
      <c r="A707" s="132"/>
      <c r="B707" s="132"/>
      <c r="Q707" s="133"/>
    </row>
    <row r="708" ht="15.75" customHeight="1">
      <c r="A708" s="132"/>
      <c r="B708" s="132"/>
      <c r="Q708" s="133"/>
    </row>
    <row r="709" ht="15.75" customHeight="1">
      <c r="A709" s="132"/>
      <c r="B709" s="132"/>
      <c r="Q709" s="133"/>
    </row>
    <row r="710" ht="15.75" customHeight="1">
      <c r="A710" s="132"/>
      <c r="B710" s="132"/>
      <c r="Q710" s="133"/>
    </row>
    <row r="711" ht="15.75" customHeight="1">
      <c r="A711" s="132"/>
      <c r="B711" s="132"/>
      <c r="Q711" s="133"/>
    </row>
    <row r="712" ht="15.75" customHeight="1">
      <c r="A712" s="132"/>
      <c r="B712" s="132"/>
      <c r="Q712" s="133"/>
    </row>
    <row r="713" ht="15.75" customHeight="1">
      <c r="A713" s="132"/>
      <c r="B713" s="132"/>
      <c r="Q713" s="133"/>
    </row>
    <row r="714" ht="15.75" customHeight="1">
      <c r="A714" s="132"/>
      <c r="B714" s="132"/>
      <c r="Q714" s="133"/>
    </row>
    <row r="715" ht="15.75" customHeight="1">
      <c r="A715" s="132"/>
      <c r="B715" s="132"/>
      <c r="Q715" s="133"/>
    </row>
    <row r="716" ht="15.75" customHeight="1">
      <c r="A716" s="132"/>
      <c r="B716" s="132"/>
      <c r="Q716" s="133"/>
    </row>
    <row r="717" ht="15.75" customHeight="1">
      <c r="A717" s="132"/>
      <c r="B717" s="132"/>
      <c r="Q717" s="133"/>
    </row>
    <row r="718" ht="15.75" customHeight="1">
      <c r="A718" s="132"/>
      <c r="B718" s="132"/>
      <c r="Q718" s="133"/>
    </row>
    <row r="719" ht="15.75" customHeight="1">
      <c r="A719" s="132"/>
      <c r="B719" s="132"/>
      <c r="Q719" s="133"/>
    </row>
    <row r="720" ht="15.75" customHeight="1">
      <c r="A720" s="132"/>
      <c r="B720" s="132"/>
      <c r="Q720" s="133"/>
    </row>
    <row r="721" ht="15.75" customHeight="1">
      <c r="A721" s="132"/>
      <c r="B721" s="132"/>
      <c r="Q721" s="133"/>
    </row>
    <row r="722" ht="15.75" customHeight="1">
      <c r="A722" s="132"/>
      <c r="B722" s="132"/>
      <c r="Q722" s="133"/>
    </row>
    <row r="723" ht="15.75" customHeight="1">
      <c r="A723" s="132"/>
      <c r="B723" s="132"/>
      <c r="Q723" s="133"/>
    </row>
    <row r="724" ht="15.75" customHeight="1">
      <c r="A724" s="132"/>
      <c r="B724" s="132"/>
      <c r="Q724" s="133"/>
    </row>
    <row r="725" ht="15.75" customHeight="1">
      <c r="A725" s="132"/>
      <c r="B725" s="132"/>
      <c r="Q725" s="133"/>
    </row>
    <row r="726" ht="15.75" customHeight="1">
      <c r="A726" s="132"/>
      <c r="B726" s="132"/>
      <c r="Q726" s="133"/>
    </row>
    <row r="727" ht="15.75" customHeight="1">
      <c r="A727" s="132"/>
      <c r="B727" s="132"/>
      <c r="Q727" s="133"/>
    </row>
    <row r="728" ht="15.75" customHeight="1">
      <c r="A728" s="132"/>
      <c r="B728" s="132"/>
      <c r="Q728" s="133"/>
    </row>
    <row r="729" ht="15.75" customHeight="1">
      <c r="A729" s="132"/>
      <c r="B729" s="132"/>
      <c r="Q729" s="133"/>
    </row>
    <row r="730" ht="15.75" customHeight="1">
      <c r="A730" s="132"/>
      <c r="B730" s="132"/>
      <c r="Q730" s="133"/>
    </row>
    <row r="731" ht="15.75" customHeight="1">
      <c r="A731" s="132"/>
      <c r="B731" s="132"/>
      <c r="Q731" s="133"/>
    </row>
    <row r="732" ht="15.75" customHeight="1">
      <c r="A732" s="132"/>
      <c r="B732" s="132"/>
      <c r="Q732" s="133"/>
    </row>
    <row r="733" ht="15.75" customHeight="1">
      <c r="A733" s="132"/>
      <c r="B733" s="132"/>
      <c r="Q733" s="133"/>
    </row>
    <row r="734" ht="15.75" customHeight="1">
      <c r="A734" s="132"/>
      <c r="B734" s="132"/>
      <c r="Q734" s="133"/>
    </row>
    <row r="735" ht="15.75" customHeight="1">
      <c r="A735" s="132"/>
      <c r="B735" s="132"/>
      <c r="Q735" s="133"/>
    </row>
    <row r="736" ht="15.75" customHeight="1">
      <c r="A736" s="132"/>
      <c r="B736" s="132"/>
      <c r="Q736" s="133"/>
    </row>
    <row r="737" ht="15.75" customHeight="1">
      <c r="A737" s="132"/>
      <c r="B737" s="132"/>
      <c r="Q737" s="133"/>
    </row>
    <row r="738" ht="15.75" customHeight="1">
      <c r="A738" s="132"/>
      <c r="B738" s="132"/>
      <c r="Q738" s="133"/>
    </row>
    <row r="739" ht="15.75" customHeight="1">
      <c r="A739" s="132"/>
      <c r="B739" s="132"/>
      <c r="Q739" s="133"/>
    </row>
    <row r="740" ht="15.75" customHeight="1">
      <c r="A740" s="132"/>
      <c r="B740" s="132"/>
      <c r="Q740" s="133"/>
    </row>
    <row r="741" ht="15.75" customHeight="1">
      <c r="A741" s="132"/>
      <c r="B741" s="132"/>
      <c r="Q741" s="133"/>
    </row>
    <row r="742" ht="15.75" customHeight="1">
      <c r="A742" s="132"/>
      <c r="B742" s="132"/>
      <c r="Q742" s="133"/>
    </row>
    <row r="743" ht="15.75" customHeight="1">
      <c r="A743" s="132"/>
      <c r="B743" s="132"/>
      <c r="Q743" s="133"/>
    </row>
    <row r="744" ht="15.75" customHeight="1">
      <c r="A744" s="132"/>
      <c r="B744" s="132"/>
      <c r="Q744" s="133"/>
    </row>
    <row r="745" ht="15.75" customHeight="1">
      <c r="A745" s="132"/>
      <c r="B745" s="132"/>
      <c r="Q745" s="133"/>
    </row>
    <row r="746" ht="15.75" customHeight="1">
      <c r="A746" s="132"/>
      <c r="B746" s="132"/>
      <c r="Q746" s="133"/>
    </row>
    <row r="747" ht="15.75" customHeight="1">
      <c r="A747" s="132"/>
      <c r="B747" s="132"/>
      <c r="Q747" s="133"/>
    </row>
    <row r="748" ht="15.75" customHeight="1">
      <c r="A748" s="132"/>
      <c r="B748" s="132"/>
      <c r="Q748" s="133"/>
    </row>
    <row r="749" ht="15.75" customHeight="1">
      <c r="A749" s="132"/>
      <c r="B749" s="132"/>
      <c r="Q749" s="133"/>
    </row>
    <row r="750" ht="15.75" customHeight="1">
      <c r="A750" s="132"/>
      <c r="B750" s="132"/>
      <c r="Q750" s="133"/>
    </row>
    <row r="751" ht="15.75" customHeight="1">
      <c r="A751" s="132"/>
      <c r="B751" s="132"/>
      <c r="Q751" s="133"/>
    </row>
    <row r="752" ht="15.75" customHeight="1">
      <c r="A752" s="132"/>
      <c r="B752" s="132"/>
      <c r="Q752" s="133"/>
    </row>
    <row r="753" ht="15.75" customHeight="1">
      <c r="A753" s="132"/>
      <c r="B753" s="132"/>
      <c r="Q753" s="133"/>
    </row>
    <row r="754" ht="15.75" customHeight="1">
      <c r="A754" s="132"/>
      <c r="B754" s="132"/>
      <c r="Q754" s="133"/>
    </row>
    <row r="755" ht="15.75" customHeight="1">
      <c r="A755" s="132"/>
      <c r="B755" s="132"/>
      <c r="Q755" s="133"/>
    </row>
    <row r="756" ht="15.75" customHeight="1">
      <c r="A756" s="132"/>
      <c r="B756" s="132"/>
      <c r="Q756" s="133"/>
    </row>
    <row r="757" ht="15.75" customHeight="1">
      <c r="A757" s="132"/>
      <c r="B757" s="132"/>
      <c r="Q757" s="133"/>
    </row>
    <row r="758" ht="15.75" customHeight="1">
      <c r="A758" s="132"/>
      <c r="B758" s="132"/>
      <c r="Q758" s="133"/>
    </row>
    <row r="759" ht="15.75" customHeight="1">
      <c r="A759" s="132"/>
      <c r="B759" s="132"/>
      <c r="Q759" s="133"/>
    </row>
    <row r="760" ht="15.75" customHeight="1">
      <c r="A760" s="132"/>
      <c r="B760" s="132"/>
      <c r="Q760" s="133"/>
    </row>
    <row r="761" ht="15.75" customHeight="1">
      <c r="A761" s="132"/>
      <c r="B761" s="132"/>
      <c r="Q761" s="133"/>
    </row>
    <row r="762" ht="15.75" customHeight="1">
      <c r="A762" s="132"/>
      <c r="B762" s="132"/>
      <c r="Q762" s="133"/>
    </row>
    <row r="763" ht="15.75" customHeight="1">
      <c r="A763" s="132"/>
      <c r="B763" s="132"/>
      <c r="Q763" s="133"/>
    </row>
    <row r="764" ht="15.75" customHeight="1">
      <c r="A764" s="132"/>
      <c r="B764" s="132"/>
      <c r="Q764" s="133"/>
    </row>
    <row r="765" ht="15.75" customHeight="1">
      <c r="A765" s="132"/>
      <c r="B765" s="132"/>
      <c r="Q765" s="133"/>
    </row>
    <row r="766" ht="15.75" customHeight="1">
      <c r="A766" s="132"/>
      <c r="B766" s="132"/>
      <c r="Q766" s="133"/>
    </row>
    <row r="767" ht="15.75" customHeight="1">
      <c r="A767" s="132"/>
      <c r="B767" s="132"/>
      <c r="Q767" s="133"/>
    </row>
    <row r="768" ht="15.75" customHeight="1">
      <c r="A768" s="132"/>
      <c r="B768" s="132"/>
      <c r="Q768" s="133"/>
    </row>
    <row r="769" ht="15.75" customHeight="1">
      <c r="A769" s="132"/>
      <c r="B769" s="132"/>
      <c r="Q769" s="133"/>
    </row>
    <row r="770" ht="15.75" customHeight="1">
      <c r="A770" s="132"/>
      <c r="B770" s="132"/>
      <c r="Q770" s="133"/>
    </row>
    <row r="771" ht="15.75" customHeight="1">
      <c r="A771" s="132"/>
      <c r="B771" s="132"/>
      <c r="Q771" s="133"/>
    </row>
    <row r="772" ht="15.75" customHeight="1">
      <c r="A772" s="132"/>
      <c r="B772" s="132"/>
      <c r="Q772" s="133"/>
    </row>
    <row r="773" ht="15.75" customHeight="1">
      <c r="A773" s="132"/>
      <c r="B773" s="132"/>
      <c r="Q773" s="133"/>
    </row>
    <row r="774" ht="15.75" customHeight="1">
      <c r="A774" s="132"/>
      <c r="B774" s="132"/>
      <c r="Q774" s="133"/>
    </row>
    <row r="775" ht="15.75" customHeight="1">
      <c r="A775" s="132"/>
      <c r="B775" s="132"/>
      <c r="Q775" s="133"/>
    </row>
    <row r="776" ht="15.75" customHeight="1">
      <c r="A776" s="132"/>
      <c r="B776" s="132"/>
      <c r="Q776" s="133"/>
    </row>
    <row r="777" ht="15.75" customHeight="1">
      <c r="A777" s="132"/>
      <c r="B777" s="132"/>
      <c r="Q777" s="133"/>
    </row>
    <row r="778" ht="15.75" customHeight="1">
      <c r="A778" s="132"/>
      <c r="B778" s="132"/>
      <c r="Q778" s="133"/>
    </row>
    <row r="779" ht="15.75" customHeight="1">
      <c r="A779" s="132"/>
      <c r="B779" s="132"/>
      <c r="Q779" s="133"/>
    </row>
    <row r="780" ht="15.75" customHeight="1">
      <c r="A780" s="132"/>
      <c r="B780" s="132"/>
      <c r="Q780" s="133"/>
    </row>
    <row r="781" ht="15.75" customHeight="1">
      <c r="A781" s="132"/>
      <c r="B781" s="132"/>
      <c r="Q781" s="133"/>
    </row>
    <row r="782" ht="15.75" customHeight="1">
      <c r="A782" s="132"/>
      <c r="B782" s="132"/>
      <c r="Q782" s="133"/>
    </row>
    <row r="783" ht="15.75" customHeight="1">
      <c r="A783" s="132"/>
      <c r="B783" s="132"/>
      <c r="Q783" s="133"/>
    </row>
    <row r="784" ht="15.75" customHeight="1">
      <c r="A784" s="132"/>
      <c r="B784" s="132"/>
      <c r="Q784" s="133"/>
    </row>
    <row r="785" ht="15.75" customHeight="1">
      <c r="A785" s="132"/>
      <c r="B785" s="132"/>
      <c r="Q785" s="133"/>
    </row>
    <row r="786" ht="15.75" customHeight="1">
      <c r="A786" s="132"/>
      <c r="B786" s="132"/>
      <c r="Q786" s="133"/>
    </row>
    <row r="787" ht="15.75" customHeight="1">
      <c r="A787" s="132"/>
      <c r="B787" s="132"/>
      <c r="Q787" s="133"/>
    </row>
    <row r="788" ht="15.75" customHeight="1">
      <c r="A788" s="132"/>
      <c r="B788" s="132"/>
      <c r="Q788" s="133"/>
    </row>
    <row r="789" ht="15.75" customHeight="1">
      <c r="A789" s="132"/>
      <c r="B789" s="132"/>
      <c r="Q789" s="133"/>
    </row>
    <row r="790" ht="15.75" customHeight="1">
      <c r="A790" s="132"/>
      <c r="B790" s="132"/>
      <c r="Q790" s="133"/>
    </row>
    <row r="791" ht="15.75" customHeight="1">
      <c r="A791" s="132"/>
      <c r="B791" s="132"/>
      <c r="Q791" s="133"/>
    </row>
    <row r="792" ht="15.75" customHeight="1">
      <c r="A792" s="132"/>
      <c r="B792" s="132"/>
      <c r="Q792" s="133"/>
    </row>
    <row r="793" ht="15.75" customHeight="1">
      <c r="A793" s="132"/>
      <c r="B793" s="132"/>
      <c r="Q793" s="133"/>
    </row>
    <row r="794" ht="15.75" customHeight="1">
      <c r="A794" s="132"/>
      <c r="B794" s="132"/>
      <c r="Q794" s="133"/>
    </row>
    <row r="795" ht="15.75" customHeight="1">
      <c r="A795" s="132"/>
      <c r="B795" s="132"/>
      <c r="Q795" s="133"/>
    </row>
    <row r="796" ht="15.75" customHeight="1">
      <c r="A796" s="132"/>
      <c r="B796" s="132"/>
      <c r="Q796" s="133"/>
    </row>
    <row r="797" ht="15.75" customHeight="1">
      <c r="A797" s="132"/>
      <c r="B797" s="132"/>
      <c r="Q797" s="133"/>
    </row>
    <row r="798" ht="15.75" customHeight="1">
      <c r="A798" s="132"/>
      <c r="B798" s="132"/>
      <c r="Q798" s="133"/>
    </row>
    <row r="799" ht="15.75" customHeight="1">
      <c r="A799" s="132"/>
      <c r="B799" s="132"/>
      <c r="Q799" s="133"/>
    </row>
    <row r="800" ht="15.75" customHeight="1">
      <c r="A800" s="132"/>
      <c r="B800" s="132"/>
      <c r="Q800" s="133"/>
    </row>
    <row r="801" ht="15.75" customHeight="1">
      <c r="A801" s="132"/>
      <c r="B801" s="132"/>
      <c r="Q801" s="133"/>
    </row>
    <row r="802" ht="15.75" customHeight="1">
      <c r="A802" s="132"/>
      <c r="B802" s="132"/>
      <c r="Q802" s="133"/>
    </row>
    <row r="803" ht="15.75" customHeight="1">
      <c r="A803" s="132"/>
      <c r="B803" s="132"/>
      <c r="Q803" s="133"/>
    </row>
    <row r="804" ht="15.75" customHeight="1">
      <c r="A804" s="132"/>
      <c r="B804" s="132"/>
      <c r="Q804" s="133"/>
    </row>
    <row r="805" ht="15.75" customHeight="1">
      <c r="A805" s="132"/>
      <c r="B805" s="132"/>
      <c r="Q805" s="133"/>
    </row>
    <row r="806" ht="15.75" customHeight="1">
      <c r="A806" s="132"/>
      <c r="B806" s="132"/>
      <c r="Q806" s="133"/>
    </row>
    <row r="807" ht="15.75" customHeight="1">
      <c r="A807" s="132"/>
      <c r="B807" s="132"/>
      <c r="Q807" s="133"/>
    </row>
    <row r="808" ht="15.75" customHeight="1">
      <c r="A808" s="132"/>
      <c r="B808" s="132"/>
      <c r="Q808" s="133"/>
    </row>
    <row r="809" ht="15.75" customHeight="1">
      <c r="A809" s="132"/>
      <c r="B809" s="132"/>
      <c r="Q809" s="133"/>
    </row>
    <row r="810" ht="15.75" customHeight="1">
      <c r="A810" s="132"/>
      <c r="B810" s="132"/>
      <c r="Q810" s="133"/>
    </row>
    <row r="811" ht="15.75" customHeight="1">
      <c r="A811" s="132"/>
      <c r="B811" s="132"/>
      <c r="Q811" s="133"/>
    </row>
    <row r="812" ht="15.75" customHeight="1">
      <c r="A812" s="132"/>
      <c r="B812" s="132"/>
      <c r="Q812" s="133"/>
    </row>
    <row r="813" ht="15.75" customHeight="1">
      <c r="A813" s="132"/>
      <c r="B813" s="132"/>
      <c r="Q813" s="133"/>
    </row>
    <row r="814" ht="15.75" customHeight="1">
      <c r="A814" s="132"/>
      <c r="B814" s="132"/>
      <c r="Q814" s="133"/>
    </row>
    <row r="815" ht="15.75" customHeight="1">
      <c r="A815" s="132"/>
      <c r="B815" s="132"/>
      <c r="Q815" s="133"/>
    </row>
    <row r="816" ht="15.75" customHeight="1">
      <c r="A816" s="132"/>
      <c r="B816" s="132"/>
      <c r="Q816" s="133"/>
    </row>
    <row r="817" ht="15.75" customHeight="1">
      <c r="A817" s="132"/>
      <c r="B817" s="132"/>
      <c r="Q817" s="133"/>
    </row>
    <row r="818" ht="15.75" customHeight="1">
      <c r="A818" s="132"/>
      <c r="B818" s="132"/>
      <c r="Q818" s="133"/>
    </row>
    <row r="819" ht="15.75" customHeight="1">
      <c r="A819" s="132"/>
      <c r="B819" s="132"/>
      <c r="Q819" s="133"/>
    </row>
    <row r="820" ht="15.75" customHeight="1">
      <c r="A820" s="132"/>
      <c r="B820" s="132"/>
      <c r="Q820" s="133"/>
    </row>
    <row r="821" ht="15.75" customHeight="1">
      <c r="A821" s="132"/>
      <c r="B821" s="132"/>
      <c r="Q821" s="133"/>
    </row>
    <row r="822" ht="15.75" customHeight="1">
      <c r="A822" s="132"/>
      <c r="B822" s="132"/>
      <c r="Q822" s="133"/>
    </row>
    <row r="823" ht="15.75" customHeight="1">
      <c r="A823" s="132"/>
      <c r="B823" s="132"/>
      <c r="Q823" s="133"/>
    </row>
    <row r="824" ht="15.75" customHeight="1">
      <c r="A824" s="132"/>
      <c r="B824" s="132"/>
      <c r="Q824" s="133"/>
    </row>
    <row r="825" ht="15.75" customHeight="1">
      <c r="A825" s="132"/>
      <c r="B825" s="132"/>
      <c r="Q825" s="133"/>
    </row>
    <row r="826" ht="15.75" customHeight="1">
      <c r="A826" s="132"/>
      <c r="B826" s="132"/>
      <c r="Q826" s="133"/>
    </row>
    <row r="827" ht="15.75" customHeight="1">
      <c r="A827" s="132"/>
      <c r="B827" s="132"/>
      <c r="Q827" s="133"/>
    </row>
    <row r="828" ht="15.75" customHeight="1">
      <c r="A828" s="132"/>
      <c r="B828" s="132"/>
      <c r="Q828" s="133"/>
    </row>
    <row r="829" ht="15.75" customHeight="1">
      <c r="A829" s="132"/>
      <c r="B829" s="132"/>
      <c r="Q829" s="133"/>
    </row>
    <row r="830" ht="15.75" customHeight="1">
      <c r="A830" s="132"/>
      <c r="B830" s="132"/>
      <c r="Q830" s="133"/>
    </row>
    <row r="831" ht="15.75" customHeight="1">
      <c r="A831" s="132"/>
      <c r="B831" s="132"/>
      <c r="Q831" s="133"/>
    </row>
    <row r="832" ht="15.75" customHeight="1">
      <c r="A832" s="132"/>
      <c r="B832" s="132"/>
      <c r="Q832" s="133"/>
    </row>
    <row r="833" ht="15.75" customHeight="1">
      <c r="A833" s="132"/>
      <c r="B833" s="132"/>
      <c r="Q833" s="133"/>
    </row>
    <row r="834" ht="15.75" customHeight="1">
      <c r="A834" s="132"/>
      <c r="B834" s="132"/>
      <c r="Q834" s="133"/>
    </row>
    <row r="835" ht="15.75" customHeight="1">
      <c r="A835" s="132"/>
      <c r="B835" s="132"/>
      <c r="Q835" s="133"/>
    </row>
    <row r="836" ht="15.75" customHeight="1">
      <c r="A836" s="132"/>
      <c r="B836" s="132"/>
      <c r="Q836" s="133"/>
    </row>
    <row r="837" ht="15.75" customHeight="1">
      <c r="A837" s="132"/>
      <c r="B837" s="132"/>
      <c r="Q837" s="133"/>
    </row>
    <row r="838" ht="15.75" customHeight="1">
      <c r="A838" s="132"/>
      <c r="B838" s="132"/>
      <c r="Q838" s="133"/>
    </row>
    <row r="839" ht="15.75" customHeight="1">
      <c r="A839" s="132"/>
      <c r="B839" s="132"/>
      <c r="Q839" s="133"/>
    </row>
    <row r="840" ht="15.75" customHeight="1">
      <c r="A840" s="132"/>
      <c r="B840" s="132"/>
      <c r="Q840" s="133"/>
    </row>
    <row r="841" ht="15.75" customHeight="1">
      <c r="A841" s="132"/>
      <c r="B841" s="132"/>
      <c r="Q841" s="133"/>
    </row>
    <row r="842" ht="15.75" customHeight="1">
      <c r="A842" s="132"/>
      <c r="B842" s="132"/>
      <c r="Q842" s="133"/>
    </row>
    <row r="843" ht="15.75" customHeight="1">
      <c r="A843" s="132"/>
      <c r="B843" s="132"/>
      <c r="Q843" s="133"/>
    </row>
    <row r="844" ht="15.75" customHeight="1">
      <c r="A844" s="132"/>
      <c r="B844" s="132"/>
      <c r="Q844" s="133"/>
    </row>
    <row r="845" ht="15.75" customHeight="1">
      <c r="A845" s="132"/>
      <c r="B845" s="132"/>
      <c r="Q845" s="133"/>
    </row>
    <row r="846" ht="15.75" customHeight="1">
      <c r="A846" s="132"/>
      <c r="B846" s="132"/>
      <c r="Q846" s="133"/>
    </row>
    <row r="847" ht="15.75" customHeight="1">
      <c r="A847" s="132"/>
      <c r="B847" s="132"/>
      <c r="Q847" s="133"/>
    </row>
    <row r="848" ht="15.75" customHeight="1">
      <c r="A848" s="132"/>
      <c r="B848" s="132"/>
      <c r="Q848" s="133"/>
    </row>
    <row r="849" ht="15.75" customHeight="1">
      <c r="A849" s="132"/>
      <c r="B849" s="132"/>
      <c r="Q849" s="133"/>
    </row>
    <row r="850" ht="15.75" customHeight="1">
      <c r="A850" s="132"/>
      <c r="B850" s="132"/>
      <c r="Q850" s="133"/>
    </row>
    <row r="851" ht="15.75" customHeight="1">
      <c r="A851" s="132"/>
      <c r="B851" s="132"/>
      <c r="Q851" s="133"/>
    </row>
    <row r="852" ht="15.75" customHeight="1">
      <c r="A852" s="132"/>
      <c r="B852" s="132"/>
      <c r="Q852" s="133"/>
    </row>
    <row r="853" ht="15.75" customHeight="1">
      <c r="A853" s="132"/>
      <c r="B853" s="132"/>
      <c r="Q853" s="133"/>
    </row>
    <row r="854" ht="15.75" customHeight="1">
      <c r="A854" s="132"/>
      <c r="B854" s="132"/>
      <c r="Q854" s="133"/>
    </row>
    <row r="855" ht="15.75" customHeight="1">
      <c r="A855" s="132"/>
      <c r="B855" s="132"/>
      <c r="Q855" s="133"/>
    </row>
    <row r="856" ht="15.75" customHeight="1">
      <c r="A856" s="132"/>
      <c r="B856" s="132"/>
      <c r="Q856" s="133"/>
    </row>
    <row r="857" ht="15.75" customHeight="1">
      <c r="A857" s="132"/>
      <c r="B857" s="132"/>
      <c r="Q857" s="133"/>
    </row>
    <row r="858" ht="15.75" customHeight="1">
      <c r="A858" s="132"/>
      <c r="B858" s="132"/>
      <c r="Q858" s="133"/>
    </row>
    <row r="859" ht="15.75" customHeight="1">
      <c r="A859" s="132"/>
      <c r="B859" s="132"/>
      <c r="Q859" s="133"/>
    </row>
    <row r="860" ht="15.75" customHeight="1">
      <c r="A860" s="132"/>
      <c r="B860" s="132"/>
      <c r="Q860" s="133"/>
    </row>
    <row r="861" ht="15.75" customHeight="1">
      <c r="A861" s="132"/>
      <c r="B861" s="132"/>
      <c r="Q861" s="133"/>
    </row>
    <row r="862" ht="15.75" customHeight="1">
      <c r="A862" s="132"/>
      <c r="B862" s="132"/>
      <c r="Q862" s="133"/>
    </row>
    <row r="863" ht="15.75" customHeight="1">
      <c r="A863" s="132"/>
      <c r="B863" s="132"/>
      <c r="Q863" s="133"/>
    </row>
    <row r="864" ht="15.75" customHeight="1">
      <c r="A864" s="132"/>
      <c r="B864" s="132"/>
      <c r="Q864" s="133"/>
    </row>
    <row r="865" ht="15.75" customHeight="1">
      <c r="A865" s="132"/>
      <c r="B865" s="132"/>
      <c r="Q865" s="133"/>
    </row>
    <row r="866" ht="15.75" customHeight="1">
      <c r="A866" s="132"/>
      <c r="B866" s="132"/>
      <c r="Q866" s="133"/>
    </row>
    <row r="867" ht="15.75" customHeight="1">
      <c r="A867" s="132"/>
      <c r="B867" s="132"/>
      <c r="Q867" s="133"/>
    </row>
    <row r="868" ht="15.75" customHeight="1">
      <c r="A868" s="132"/>
      <c r="B868" s="132"/>
      <c r="Q868" s="133"/>
    </row>
    <row r="869" ht="15.75" customHeight="1">
      <c r="A869" s="132"/>
      <c r="B869" s="132"/>
      <c r="Q869" s="133"/>
    </row>
    <row r="870" ht="15.75" customHeight="1">
      <c r="A870" s="132"/>
      <c r="B870" s="132"/>
      <c r="Q870" s="133"/>
    </row>
    <row r="871" ht="15.75" customHeight="1">
      <c r="A871" s="132"/>
      <c r="B871" s="132"/>
      <c r="Q871" s="133"/>
    </row>
    <row r="872" ht="15.75" customHeight="1">
      <c r="A872" s="132"/>
      <c r="B872" s="132"/>
      <c r="Q872" s="133"/>
    </row>
    <row r="873" ht="15.75" customHeight="1">
      <c r="A873" s="132"/>
      <c r="B873" s="132"/>
      <c r="Q873" s="133"/>
    </row>
    <row r="874" ht="15.75" customHeight="1">
      <c r="A874" s="132"/>
      <c r="B874" s="132"/>
      <c r="Q874" s="133"/>
    </row>
    <row r="875" ht="15.75" customHeight="1">
      <c r="A875" s="132"/>
      <c r="B875" s="132"/>
      <c r="Q875" s="133"/>
    </row>
    <row r="876" ht="15.75" customHeight="1">
      <c r="A876" s="132"/>
      <c r="B876" s="132"/>
      <c r="Q876" s="133"/>
    </row>
    <row r="877" ht="15.75" customHeight="1">
      <c r="A877" s="132"/>
      <c r="B877" s="132"/>
      <c r="Q877" s="133"/>
    </row>
    <row r="878" ht="15.75" customHeight="1">
      <c r="A878" s="132"/>
      <c r="B878" s="132"/>
      <c r="Q878" s="133"/>
    </row>
    <row r="879" ht="15.75" customHeight="1">
      <c r="A879" s="132"/>
      <c r="B879" s="132"/>
      <c r="Q879" s="133"/>
    </row>
    <row r="880" ht="15.75" customHeight="1">
      <c r="A880" s="132"/>
      <c r="B880" s="132"/>
      <c r="Q880" s="133"/>
    </row>
    <row r="881" ht="15.75" customHeight="1">
      <c r="A881" s="132"/>
      <c r="B881" s="132"/>
      <c r="Q881" s="133"/>
    </row>
    <row r="882" ht="15.75" customHeight="1">
      <c r="A882" s="132"/>
      <c r="B882" s="132"/>
      <c r="Q882" s="133"/>
    </row>
    <row r="883" ht="15.75" customHeight="1">
      <c r="A883" s="132"/>
      <c r="B883" s="132"/>
      <c r="Q883" s="133"/>
    </row>
    <row r="884" ht="15.75" customHeight="1">
      <c r="A884" s="132"/>
      <c r="B884" s="132"/>
      <c r="Q884" s="133"/>
    </row>
    <row r="885" ht="15.75" customHeight="1">
      <c r="A885" s="132"/>
      <c r="B885" s="132"/>
      <c r="Q885" s="133"/>
    </row>
    <row r="886" ht="15.75" customHeight="1">
      <c r="A886" s="132"/>
      <c r="B886" s="132"/>
      <c r="Q886" s="133"/>
    </row>
    <row r="887" ht="15.75" customHeight="1">
      <c r="A887" s="132"/>
      <c r="B887" s="132"/>
      <c r="Q887" s="133"/>
    </row>
    <row r="888" ht="15.75" customHeight="1">
      <c r="A888" s="132"/>
      <c r="B888" s="132"/>
      <c r="Q888" s="133"/>
    </row>
    <row r="889" ht="15.75" customHeight="1">
      <c r="A889" s="132"/>
      <c r="B889" s="132"/>
      <c r="Q889" s="133"/>
    </row>
    <row r="890" ht="15.75" customHeight="1">
      <c r="A890" s="132"/>
      <c r="B890" s="132"/>
      <c r="Q890" s="133"/>
    </row>
    <row r="891" ht="15.75" customHeight="1">
      <c r="A891" s="132"/>
      <c r="B891" s="132"/>
      <c r="Q891" s="133"/>
    </row>
    <row r="892" ht="15.75" customHeight="1">
      <c r="A892" s="132"/>
      <c r="B892" s="132"/>
      <c r="Q892" s="133"/>
    </row>
    <row r="893" ht="15.75" customHeight="1">
      <c r="A893" s="132"/>
      <c r="B893" s="132"/>
      <c r="Q893" s="133"/>
    </row>
    <row r="894" ht="15.75" customHeight="1">
      <c r="A894" s="132"/>
      <c r="B894" s="132"/>
      <c r="Q894" s="133"/>
    </row>
    <row r="895" ht="15.75" customHeight="1">
      <c r="A895" s="132"/>
      <c r="B895" s="132"/>
      <c r="Q895" s="133"/>
    </row>
    <row r="896" ht="15.75" customHeight="1">
      <c r="A896" s="132"/>
      <c r="B896" s="132"/>
      <c r="Q896" s="133"/>
    </row>
    <row r="897" ht="15.75" customHeight="1">
      <c r="A897" s="132"/>
      <c r="B897" s="132"/>
      <c r="Q897" s="133"/>
    </row>
    <row r="898" ht="15.75" customHeight="1">
      <c r="A898" s="132"/>
      <c r="B898" s="132"/>
      <c r="Q898" s="133"/>
    </row>
    <row r="899" ht="15.75" customHeight="1">
      <c r="A899" s="132"/>
      <c r="B899" s="132"/>
      <c r="Q899" s="133"/>
    </row>
    <row r="900" ht="15.75" customHeight="1">
      <c r="A900" s="132"/>
      <c r="B900" s="132"/>
      <c r="Q900" s="133"/>
    </row>
    <row r="901" ht="15.75" customHeight="1">
      <c r="A901" s="132"/>
      <c r="B901" s="132"/>
      <c r="Q901" s="133"/>
    </row>
    <row r="902" ht="15.75" customHeight="1">
      <c r="A902" s="132"/>
      <c r="B902" s="132"/>
      <c r="Q902" s="133"/>
    </row>
    <row r="903" ht="15.75" customHeight="1">
      <c r="A903" s="132"/>
      <c r="B903" s="132"/>
      <c r="Q903" s="133"/>
    </row>
    <row r="904" ht="15.75" customHeight="1">
      <c r="A904" s="132"/>
      <c r="B904" s="132"/>
      <c r="Q904" s="133"/>
    </row>
    <row r="905" ht="15.75" customHeight="1">
      <c r="A905" s="132"/>
      <c r="B905" s="132"/>
      <c r="Q905" s="133"/>
    </row>
    <row r="906" ht="15.75" customHeight="1">
      <c r="A906" s="132"/>
      <c r="B906" s="132"/>
      <c r="Q906" s="133"/>
    </row>
    <row r="907" ht="15.75" customHeight="1">
      <c r="A907" s="132"/>
      <c r="B907" s="132"/>
      <c r="Q907" s="133"/>
    </row>
    <row r="908" ht="15.75" customHeight="1">
      <c r="A908" s="132"/>
      <c r="B908" s="132"/>
      <c r="Q908" s="133"/>
    </row>
    <row r="909" ht="15.75" customHeight="1">
      <c r="A909" s="132"/>
      <c r="B909" s="132"/>
      <c r="Q909" s="133"/>
    </row>
    <row r="910" ht="15.75" customHeight="1">
      <c r="A910" s="132"/>
      <c r="B910" s="132"/>
      <c r="Q910" s="133"/>
    </row>
    <row r="911" ht="15.75" customHeight="1">
      <c r="A911" s="132"/>
      <c r="B911" s="132"/>
      <c r="Q911" s="133"/>
    </row>
    <row r="912" ht="15.75" customHeight="1">
      <c r="A912" s="132"/>
      <c r="B912" s="132"/>
      <c r="Q912" s="133"/>
    </row>
    <row r="913" ht="15.75" customHeight="1">
      <c r="A913" s="132"/>
      <c r="B913" s="132"/>
      <c r="Q913" s="133"/>
    </row>
    <row r="914" ht="15.75" customHeight="1">
      <c r="A914" s="132"/>
      <c r="B914" s="132"/>
      <c r="Q914" s="133"/>
    </row>
    <row r="915" ht="15.75" customHeight="1">
      <c r="A915" s="132"/>
      <c r="B915" s="132"/>
      <c r="Q915" s="133"/>
    </row>
    <row r="916" ht="15.75" customHeight="1">
      <c r="A916" s="132"/>
      <c r="B916" s="132"/>
      <c r="Q916" s="133"/>
    </row>
    <row r="917" ht="15.75" customHeight="1">
      <c r="A917" s="132"/>
      <c r="B917" s="132"/>
      <c r="Q917" s="133"/>
    </row>
    <row r="918" ht="15.75" customHeight="1">
      <c r="A918" s="132"/>
      <c r="B918" s="132"/>
      <c r="Q918" s="133"/>
    </row>
    <row r="919" ht="15.75" customHeight="1">
      <c r="A919" s="132"/>
      <c r="B919" s="132"/>
      <c r="Q919" s="133"/>
    </row>
    <row r="920" ht="15.75" customHeight="1">
      <c r="A920" s="132"/>
      <c r="B920" s="132"/>
      <c r="Q920" s="133"/>
    </row>
    <row r="921" ht="15.75" customHeight="1">
      <c r="A921" s="132"/>
      <c r="B921" s="132"/>
      <c r="Q921" s="133"/>
    </row>
    <row r="922" ht="15.75" customHeight="1">
      <c r="A922" s="132"/>
      <c r="B922" s="132"/>
      <c r="Q922" s="133"/>
    </row>
    <row r="923" ht="15.75" customHeight="1">
      <c r="A923" s="132"/>
      <c r="B923" s="132"/>
      <c r="Q923" s="133"/>
    </row>
    <row r="924" ht="15.75" customHeight="1">
      <c r="A924" s="132"/>
      <c r="B924" s="132"/>
      <c r="Q924" s="133"/>
    </row>
    <row r="925" ht="15.75" customHeight="1">
      <c r="A925" s="132"/>
      <c r="B925" s="132"/>
      <c r="Q925" s="133"/>
    </row>
    <row r="926" ht="15.75" customHeight="1">
      <c r="A926" s="132"/>
      <c r="B926" s="132"/>
      <c r="Q926" s="133"/>
    </row>
    <row r="927" ht="15.75" customHeight="1">
      <c r="A927" s="132"/>
      <c r="B927" s="132"/>
      <c r="Q927" s="133"/>
    </row>
    <row r="928" ht="15.75" customHeight="1">
      <c r="A928" s="132"/>
      <c r="B928" s="132"/>
      <c r="Q928" s="133"/>
    </row>
    <row r="929" ht="15.75" customHeight="1">
      <c r="A929" s="132"/>
      <c r="B929" s="132"/>
      <c r="Q929" s="133"/>
    </row>
    <row r="930" ht="15.75" customHeight="1">
      <c r="A930" s="132"/>
      <c r="B930" s="132"/>
      <c r="Q930" s="133"/>
    </row>
    <row r="931" ht="15.75" customHeight="1">
      <c r="A931" s="132"/>
      <c r="B931" s="132"/>
      <c r="Q931" s="133"/>
    </row>
    <row r="932" ht="15.75" customHeight="1">
      <c r="A932" s="132"/>
      <c r="B932" s="132"/>
      <c r="Q932" s="133"/>
    </row>
    <row r="933" ht="15.75" customHeight="1">
      <c r="A933" s="132"/>
      <c r="B933" s="132"/>
      <c r="Q933" s="133"/>
    </row>
    <row r="934" ht="15.75" customHeight="1">
      <c r="A934" s="132"/>
      <c r="B934" s="132"/>
      <c r="Q934" s="133"/>
    </row>
    <row r="935" ht="15.75" customHeight="1">
      <c r="A935" s="132"/>
      <c r="B935" s="132"/>
      <c r="Q935" s="133"/>
    </row>
    <row r="936" ht="15.75" customHeight="1">
      <c r="A936" s="132"/>
      <c r="B936" s="132"/>
      <c r="Q936" s="133"/>
    </row>
    <row r="937" ht="15.75" customHeight="1">
      <c r="A937" s="132"/>
      <c r="B937" s="132"/>
      <c r="Q937" s="133"/>
    </row>
    <row r="938" ht="15.75" customHeight="1">
      <c r="A938" s="132"/>
      <c r="B938" s="132"/>
      <c r="Q938" s="133"/>
    </row>
    <row r="939" ht="15.75" customHeight="1">
      <c r="A939" s="132"/>
      <c r="B939" s="132"/>
      <c r="Q939" s="133"/>
    </row>
    <row r="940" ht="15.75" customHeight="1">
      <c r="A940" s="132"/>
      <c r="B940" s="132"/>
      <c r="Q940" s="133"/>
    </row>
    <row r="941" ht="15.75" customHeight="1">
      <c r="A941" s="132"/>
      <c r="B941" s="132"/>
      <c r="Q941" s="133"/>
    </row>
    <row r="942" ht="15.75" customHeight="1">
      <c r="A942" s="132"/>
      <c r="B942" s="132"/>
      <c r="Q942" s="133"/>
    </row>
    <row r="943" ht="15.75" customHeight="1">
      <c r="A943" s="132"/>
      <c r="B943" s="132"/>
      <c r="Q943" s="133"/>
    </row>
    <row r="944" ht="15.75" customHeight="1">
      <c r="A944" s="132"/>
      <c r="B944" s="132"/>
      <c r="Q944" s="133"/>
    </row>
    <row r="945" ht="15.75" customHeight="1">
      <c r="A945" s="132"/>
      <c r="B945" s="132"/>
      <c r="Q945" s="133"/>
    </row>
    <row r="946" ht="15.75" customHeight="1">
      <c r="A946" s="132"/>
      <c r="B946" s="132"/>
      <c r="Q946" s="133"/>
    </row>
    <row r="947" ht="15.75" customHeight="1">
      <c r="A947" s="132"/>
      <c r="B947" s="132"/>
      <c r="Q947" s="133"/>
    </row>
    <row r="948" ht="15.75" customHeight="1">
      <c r="A948" s="132"/>
      <c r="B948" s="132"/>
      <c r="Q948" s="133"/>
    </row>
    <row r="949" ht="15.75" customHeight="1">
      <c r="A949" s="132"/>
      <c r="B949" s="132"/>
      <c r="Q949" s="133"/>
    </row>
    <row r="950" ht="15.75" customHeight="1">
      <c r="A950" s="132"/>
      <c r="B950" s="132"/>
      <c r="Q950" s="133"/>
    </row>
    <row r="951" ht="15.75" customHeight="1">
      <c r="A951" s="132"/>
      <c r="B951" s="132"/>
      <c r="Q951" s="133"/>
    </row>
    <row r="952" ht="15.75" customHeight="1">
      <c r="A952" s="132"/>
      <c r="B952" s="132"/>
      <c r="Q952" s="133"/>
    </row>
    <row r="953" ht="15.75" customHeight="1">
      <c r="A953" s="132"/>
      <c r="B953" s="132"/>
      <c r="Q953" s="133"/>
    </row>
    <row r="954" ht="15.75" customHeight="1">
      <c r="A954" s="132"/>
      <c r="B954" s="132"/>
      <c r="Q954" s="133"/>
    </row>
    <row r="955" ht="15.75" customHeight="1">
      <c r="A955" s="132"/>
      <c r="B955" s="132"/>
      <c r="Q955" s="133"/>
    </row>
    <row r="956" ht="15.75" customHeight="1">
      <c r="A956" s="132"/>
      <c r="B956" s="132"/>
      <c r="Q956" s="133"/>
    </row>
    <row r="957" ht="15.75" customHeight="1">
      <c r="A957" s="132"/>
      <c r="B957" s="132"/>
      <c r="Q957" s="133"/>
    </row>
    <row r="958" ht="15.75" customHeight="1">
      <c r="A958" s="132"/>
      <c r="B958" s="132"/>
      <c r="Q958" s="133"/>
    </row>
    <row r="959" ht="15.75" customHeight="1">
      <c r="A959" s="132"/>
      <c r="B959" s="132"/>
      <c r="Q959" s="133"/>
    </row>
    <row r="960" ht="15.75" customHeight="1">
      <c r="A960" s="132"/>
      <c r="B960" s="132"/>
      <c r="Q960" s="133"/>
    </row>
    <row r="961" ht="15.75" customHeight="1">
      <c r="A961" s="132"/>
      <c r="B961" s="132"/>
      <c r="Q961" s="133"/>
    </row>
    <row r="962" ht="15.75" customHeight="1">
      <c r="A962" s="132"/>
      <c r="B962" s="132"/>
      <c r="Q962" s="133"/>
    </row>
    <row r="963" ht="15.75" customHeight="1">
      <c r="A963" s="132"/>
      <c r="B963" s="132"/>
      <c r="Q963" s="133"/>
    </row>
    <row r="964" ht="15.75" customHeight="1">
      <c r="A964" s="132"/>
      <c r="B964" s="132"/>
      <c r="Q964" s="133"/>
    </row>
    <row r="965" ht="15.75" customHeight="1">
      <c r="A965" s="132"/>
      <c r="B965" s="132"/>
      <c r="Q965" s="133"/>
    </row>
    <row r="966" ht="15.75" customHeight="1">
      <c r="A966" s="132"/>
      <c r="B966" s="132"/>
      <c r="Q966" s="133"/>
    </row>
    <row r="967" ht="15.75" customHeight="1">
      <c r="A967" s="132"/>
      <c r="B967" s="132"/>
      <c r="Q967" s="133"/>
    </row>
    <row r="968" ht="15.75" customHeight="1">
      <c r="A968" s="132"/>
      <c r="B968" s="132"/>
      <c r="Q968" s="133"/>
    </row>
    <row r="969" ht="15.75" customHeight="1">
      <c r="A969" s="132"/>
      <c r="B969" s="132"/>
      <c r="Q969" s="133"/>
    </row>
    <row r="970" ht="15.75" customHeight="1">
      <c r="A970" s="132"/>
      <c r="B970" s="132"/>
      <c r="Q970" s="133"/>
    </row>
    <row r="971" ht="15.75" customHeight="1">
      <c r="A971" s="132"/>
      <c r="B971" s="132"/>
      <c r="Q971" s="133"/>
    </row>
    <row r="972" ht="15.75" customHeight="1">
      <c r="A972" s="132"/>
      <c r="B972" s="132"/>
      <c r="Q972" s="133"/>
    </row>
    <row r="973" ht="15.75" customHeight="1">
      <c r="A973" s="132"/>
      <c r="B973" s="132"/>
      <c r="Q973" s="133"/>
    </row>
    <row r="974" ht="15.75" customHeight="1">
      <c r="A974" s="132"/>
      <c r="B974" s="132"/>
      <c r="Q974" s="133"/>
    </row>
    <row r="975" ht="15.75" customHeight="1">
      <c r="A975" s="132"/>
      <c r="B975" s="132"/>
      <c r="Q975" s="133"/>
    </row>
    <row r="976" ht="15.75" customHeight="1">
      <c r="A976" s="132"/>
      <c r="B976" s="132"/>
      <c r="Q976" s="133"/>
    </row>
    <row r="977" ht="15.75" customHeight="1">
      <c r="A977" s="132"/>
      <c r="B977" s="132"/>
      <c r="Q977" s="133"/>
    </row>
    <row r="978" ht="15.75" customHeight="1">
      <c r="A978" s="132"/>
      <c r="B978" s="132"/>
      <c r="Q978" s="133"/>
    </row>
    <row r="979" ht="15.75" customHeight="1">
      <c r="A979" s="132"/>
      <c r="B979" s="132"/>
      <c r="Q979" s="133"/>
    </row>
    <row r="980" ht="15.75" customHeight="1">
      <c r="A980" s="132"/>
      <c r="B980" s="132"/>
      <c r="Q980" s="133"/>
    </row>
    <row r="981" ht="15.75" customHeight="1">
      <c r="A981" s="132"/>
      <c r="B981" s="132"/>
      <c r="Q981" s="133"/>
    </row>
    <row r="982" ht="15.75" customHeight="1">
      <c r="A982" s="132"/>
      <c r="B982" s="132"/>
      <c r="Q982" s="133"/>
    </row>
    <row r="983" ht="15.75" customHeight="1">
      <c r="A983" s="132"/>
      <c r="B983" s="132"/>
      <c r="Q983" s="133"/>
    </row>
    <row r="984" ht="15.75" customHeight="1">
      <c r="A984" s="132"/>
      <c r="B984" s="132"/>
      <c r="Q984" s="133"/>
    </row>
    <row r="985" ht="15.75" customHeight="1">
      <c r="A985" s="132"/>
      <c r="B985" s="132"/>
      <c r="Q985" s="133"/>
    </row>
    <row r="986" ht="15.75" customHeight="1">
      <c r="A986" s="132"/>
      <c r="B986" s="132"/>
      <c r="Q986" s="133"/>
    </row>
    <row r="987" ht="15.75" customHeight="1">
      <c r="A987" s="132"/>
      <c r="B987" s="132"/>
      <c r="Q987" s="133"/>
    </row>
    <row r="988" ht="15.75" customHeight="1">
      <c r="A988" s="132"/>
      <c r="B988" s="132"/>
      <c r="Q988" s="133"/>
    </row>
    <row r="989" ht="15.75" customHeight="1">
      <c r="A989" s="132"/>
      <c r="B989" s="132"/>
      <c r="Q989" s="133"/>
    </row>
    <row r="990" ht="15.75" customHeight="1">
      <c r="A990" s="132"/>
      <c r="B990" s="132"/>
      <c r="Q990" s="133"/>
    </row>
    <row r="991" ht="15.75" customHeight="1">
      <c r="A991" s="132"/>
      <c r="B991" s="132"/>
      <c r="Q991" s="133"/>
    </row>
    <row r="992" ht="15.75" customHeight="1">
      <c r="A992" s="132"/>
      <c r="B992" s="132"/>
      <c r="Q992" s="133"/>
    </row>
    <row r="993" ht="15.75" customHeight="1">
      <c r="A993" s="132"/>
      <c r="B993" s="132"/>
      <c r="Q993" s="133"/>
    </row>
    <row r="994" ht="15.75" customHeight="1">
      <c r="A994" s="132"/>
      <c r="B994" s="132"/>
      <c r="Q994" s="133"/>
    </row>
    <row r="995" ht="15.75" customHeight="1">
      <c r="A995" s="132"/>
      <c r="B995" s="132"/>
      <c r="Q995" s="133"/>
    </row>
    <row r="996" ht="15.75" customHeight="1">
      <c r="A996" s="132"/>
      <c r="B996" s="132"/>
      <c r="Q996" s="133"/>
    </row>
    <row r="997" ht="15.75" customHeight="1">
      <c r="A997" s="132"/>
      <c r="B997" s="132"/>
      <c r="Q997" s="133"/>
    </row>
    <row r="998" ht="15.75" customHeight="1">
      <c r="A998" s="132"/>
      <c r="B998" s="132"/>
      <c r="Q998" s="133"/>
    </row>
    <row r="999" ht="15.75" customHeight="1">
      <c r="A999" s="132"/>
      <c r="B999" s="132"/>
      <c r="Q999" s="133"/>
    </row>
    <row r="1000" ht="15.75" customHeight="1">
      <c r="A1000" s="132"/>
      <c r="B1000" s="132"/>
      <c r="Q1000" s="133"/>
    </row>
    <row r="1001" ht="15.75" customHeight="1">
      <c r="A1001" s="132"/>
      <c r="B1001" s="132"/>
      <c r="Q1001" s="133"/>
    </row>
    <row r="1002" ht="15.75" customHeight="1">
      <c r="A1002" s="132"/>
      <c r="B1002" s="132"/>
      <c r="Q1002" s="133"/>
    </row>
    <row r="1003" ht="15.75" customHeight="1">
      <c r="A1003" s="132"/>
      <c r="B1003" s="132"/>
      <c r="Q1003" s="133"/>
    </row>
    <row r="1004" ht="15.75" customHeight="1">
      <c r="A1004" s="132"/>
      <c r="B1004" s="132"/>
      <c r="Q1004" s="133"/>
    </row>
    <row r="1005" ht="15.75" customHeight="1">
      <c r="A1005" s="132"/>
      <c r="B1005" s="132"/>
      <c r="Q1005" s="133"/>
    </row>
    <row r="1006" ht="15.75" customHeight="1">
      <c r="A1006" s="132"/>
      <c r="B1006" s="132"/>
      <c r="Q1006" s="133"/>
    </row>
    <row r="1007" ht="15.75" customHeight="1">
      <c r="A1007" s="132"/>
      <c r="B1007" s="132"/>
      <c r="Q1007" s="133"/>
    </row>
    <row r="1008" ht="15.75" customHeight="1">
      <c r="A1008" s="132"/>
      <c r="B1008" s="132"/>
      <c r="Q1008" s="133"/>
    </row>
    <row r="1009" ht="15.75" customHeight="1">
      <c r="A1009" s="132"/>
      <c r="B1009" s="132"/>
      <c r="Q1009" s="133"/>
    </row>
    <row r="1010" ht="15.75" customHeight="1">
      <c r="A1010" s="132"/>
      <c r="B1010" s="132"/>
      <c r="Q1010" s="133"/>
    </row>
    <row r="1011" ht="15.75" customHeight="1">
      <c r="A1011" s="132"/>
      <c r="B1011" s="132"/>
      <c r="Q1011" s="133"/>
    </row>
    <row r="1012" ht="15.75" customHeight="1">
      <c r="A1012" s="132"/>
      <c r="B1012" s="132"/>
      <c r="Q1012" s="133"/>
    </row>
    <row r="1013" ht="15.75" customHeight="1">
      <c r="A1013" s="132"/>
      <c r="B1013" s="132"/>
      <c r="Q1013" s="133"/>
    </row>
    <row r="1014" ht="15.75" customHeight="1">
      <c r="A1014" s="132"/>
      <c r="B1014" s="132"/>
      <c r="Q1014" s="133"/>
    </row>
    <row r="1015" ht="15.75" customHeight="1">
      <c r="A1015" s="132"/>
      <c r="B1015" s="132"/>
      <c r="Q1015" s="133"/>
    </row>
    <row r="1016" ht="15.75" customHeight="1">
      <c r="A1016" s="132"/>
      <c r="B1016" s="132"/>
      <c r="Q1016" s="133"/>
    </row>
    <row r="1017" ht="15.75" customHeight="1">
      <c r="A1017" s="132"/>
      <c r="B1017" s="132"/>
      <c r="Q1017" s="133"/>
    </row>
    <row r="1018" ht="15.75" customHeight="1">
      <c r="A1018" s="132"/>
      <c r="B1018" s="132"/>
      <c r="Q1018" s="133"/>
    </row>
    <row r="1019" ht="15.75" customHeight="1">
      <c r="A1019" s="132"/>
      <c r="B1019" s="132"/>
      <c r="Q1019" s="133"/>
    </row>
    <row r="1020" ht="15.75" customHeight="1">
      <c r="A1020" s="132"/>
      <c r="B1020" s="132"/>
      <c r="Q1020" s="133"/>
    </row>
    <row r="1021" ht="15.75" customHeight="1">
      <c r="A1021" s="132"/>
      <c r="B1021" s="132"/>
      <c r="Q1021" s="133"/>
    </row>
    <row r="1022" ht="15.75" customHeight="1">
      <c r="A1022" s="132"/>
      <c r="B1022" s="132"/>
      <c r="Q1022" s="133"/>
    </row>
    <row r="1023" ht="15.75" customHeight="1">
      <c r="A1023" s="132"/>
      <c r="B1023" s="132"/>
      <c r="Q1023" s="133"/>
    </row>
    <row r="1024" ht="15.75" customHeight="1">
      <c r="A1024" s="132"/>
      <c r="B1024" s="132"/>
      <c r="Q1024" s="133"/>
    </row>
    <row r="1025" ht="15.75" customHeight="1">
      <c r="A1025" s="132"/>
      <c r="B1025" s="132"/>
      <c r="Q1025" s="133"/>
    </row>
    <row r="1026" ht="15.75" customHeight="1">
      <c r="A1026" s="132"/>
      <c r="B1026" s="132"/>
      <c r="Q1026" s="133"/>
    </row>
    <row r="1027" ht="15.75" customHeight="1">
      <c r="A1027" s="132"/>
      <c r="B1027" s="132"/>
      <c r="Q1027" s="133"/>
    </row>
    <row r="1028" ht="15.75" customHeight="1">
      <c r="A1028" s="132"/>
      <c r="B1028" s="132"/>
      <c r="Q1028" s="133"/>
    </row>
    <row r="1029" ht="15.75" customHeight="1">
      <c r="A1029" s="132"/>
      <c r="B1029" s="132"/>
      <c r="Q1029" s="133"/>
    </row>
    <row r="1030" ht="15.75" customHeight="1">
      <c r="A1030" s="132"/>
      <c r="B1030" s="132"/>
      <c r="Q1030" s="133"/>
    </row>
    <row r="1031" ht="15.75" customHeight="1">
      <c r="A1031" s="132"/>
      <c r="B1031" s="132"/>
      <c r="Q1031" s="133"/>
    </row>
    <row r="1032" ht="15.75" customHeight="1">
      <c r="A1032" s="132"/>
      <c r="B1032" s="132"/>
      <c r="Q1032" s="133"/>
    </row>
    <row r="1033" ht="15.75" customHeight="1">
      <c r="A1033" s="132"/>
      <c r="B1033" s="132"/>
      <c r="Q1033" s="133"/>
    </row>
    <row r="1034" ht="15.75" customHeight="1">
      <c r="A1034" s="132"/>
      <c r="B1034" s="132"/>
      <c r="Q1034" s="133"/>
    </row>
    <row r="1035" ht="15.75" customHeight="1">
      <c r="A1035" s="132"/>
      <c r="B1035" s="132"/>
      <c r="Q1035" s="133"/>
    </row>
    <row r="1036" ht="15.75" customHeight="1">
      <c r="A1036" s="132"/>
      <c r="B1036" s="132"/>
      <c r="Q1036" s="133"/>
    </row>
    <row r="1037" ht="15.75" customHeight="1">
      <c r="A1037" s="132"/>
      <c r="B1037" s="132"/>
      <c r="Q1037" s="133"/>
    </row>
    <row r="1038" ht="15.75" customHeight="1">
      <c r="A1038" s="132"/>
      <c r="B1038" s="132"/>
      <c r="Q1038" s="133"/>
    </row>
    <row r="1039" ht="15.75" customHeight="1">
      <c r="A1039" s="132"/>
      <c r="B1039" s="132"/>
      <c r="Q1039" s="133"/>
    </row>
    <row r="1040" ht="15.75" customHeight="1">
      <c r="A1040" s="132"/>
      <c r="B1040" s="132"/>
      <c r="Q1040" s="133"/>
    </row>
    <row r="1041" ht="15.75" customHeight="1">
      <c r="A1041" s="132"/>
      <c r="B1041" s="132"/>
      <c r="Q1041" s="133"/>
    </row>
    <row r="1042" ht="15.75" customHeight="1">
      <c r="A1042" s="132"/>
      <c r="B1042" s="132"/>
      <c r="Q1042" s="133"/>
    </row>
    <row r="1043" ht="15.75" customHeight="1">
      <c r="A1043" s="132"/>
      <c r="B1043" s="132"/>
      <c r="Q1043" s="133"/>
    </row>
    <row r="1044" ht="15.75" customHeight="1">
      <c r="A1044" s="132"/>
      <c r="B1044" s="132"/>
      <c r="Q1044" s="133"/>
    </row>
    <row r="1045" ht="15.75" customHeight="1">
      <c r="A1045" s="132"/>
      <c r="B1045" s="132"/>
      <c r="Q1045" s="133"/>
    </row>
    <row r="1046" ht="15.75" customHeight="1">
      <c r="A1046" s="132"/>
      <c r="B1046" s="132"/>
      <c r="Q1046" s="133"/>
    </row>
    <row r="1047" ht="15.75" customHeight="1">
      <c r="A1047" s="132"/>
      <c r="B1047" s="132"/>
      <c r="Q1047" s="133"/>
    </row>
    <row r="1048" ht="15.75" customHeight="1">
      <c r="A1048" s="132"/>
      <c r="B1048" s="132"/>
      <c r="Q1048" s="133"/>
    </row>
    <row r="1049" ht="15.75" customHeight="1">
      <c r="A1049" s="132"/>
      <c r="B1049" s="132"/>
      <c r="Q1049" s="133"/>
    </row>
    <row r="1050" ht="15.75" customHeight="1">
      <c r="A1050" s="132"/>
      <c r="B1050" s="132"/>
      <c r="Q1050" s="133"/>
    </row>
    <row r="1051" ht="15.75" customHeight="1">
      <c r="A1051" s="132"/>
      <c r="B1051" s="132"/>
      <c r="Q1051" s="133"/>
    </row>
    <row r="1052" ht="15.75" customHeight="1">
      <c r="A1052" s="132"/>
      <c r="B1052" s="132"/>
      <c r="Q1052" s="133"/>
    </row>
    <row r="1053" ht="15.75" customHeight="1">
      <c r="A1053" s="132"/>
      <c r="B1053" s="132"/>
      <c r="Q1053" s="133"/>
    </row>
    <row r="1054" ht="15.75" customHeight="1">
      <c r="A1054" s="132"/>
      <c r="B1054" s="132"/>
      <c r="Q1054" s="133"/>
    </row>
    <row r="1055" ht="15.75" customHeight="1">
      <c r="A1055" s="132"/>
      <c r="B1055" s="132"/>
      <c r="Q1055" s="133"/>
    </row>
    <row r="1056" ht="15.75" customHeight="1">
      <c r="A1056" s="132"/>
      <c r="B1056" s="132"/>
      <c r="Q1056" s="133"/>
    </row>
    <row r="1057" ht="15.75" customHeight="1">
      <c r="A1057" s="132"/>
      <c r="B1057" s="132"/>
      <c r="Q1057" s="133"/>
    </row>
    <row r="1058" ht="15.75" customHeight="1">
      <c r="A1058" s="132"/>
      <c r="B1058" s="132"/>
      <c r="Q1058" s="133"/>
    </row>
    <row r="1059" ht="15.75" customHeight="1">
      <c r="A1059" s="132"/>
      <c r="B1059" s="132"/>
      <c r="Q1059" s="133"/>
    </row>
    <row r="1060" ht="15.75" customHeight="1">
      <c r="A1060" s="132"/>
      <c r="B1060" s="132"/>
      <c r="Q1060" s="133"/>
    </row>
    <row r="1061" ht="15.75" customHeight="1">
      <c r="A1061" s="132"/>
      <c r="B1061" s="132"/>
      <c r="Q1061" s="133"/>
    </row>
    <row r="1062" ht="15.75" customHeight="1">
      <c r="A1062" s="132"/>
      <c r="B1062" s="132"/>
      <c r="Q1062" s="133"/>
    </row>
    <row r="1063" ht="15.75" customHeight="1">
      <c r="A1063" s="132"/>
      <c r="B1063" s="132"/>
      <c r="Q1063" s="133"/>
    </row>
    <row r="1064" ht="15.75" customHeight="1">
      <c r="A1064" s="132"/>
      <c r="B1064" s="132"/>
      <c r="Q1064" s="133"/>
    </row>
    <row r="1065" ht="15.75" customHeight="1">
      <c r="A1065" s="132"/>
      <c r="B1065" s="132"/>
      <c r="Q1065" s="133"/>
    </row>
    <row r="1066" ht="15.75" customHeight="1">
      <c r="A1066" s="132"/>
      <c r="B1066" s="132"/>
      <c r="Q1066" s="133"/>
    </row>
    <row r="1067" ht="15.75" customHeight="1">
      <c r="A1067" s="132"/>
      <c r="B1067" s="132"/>
      <c r="Q1067" s="133"/>
    </row>
    <row r="1068" ht="15.75" customHeight="1">
      <c r="A1068" s="132"/>
      <c r="B1068" s="132"/>
      <c r="Q1068" s="133"/>
    </row>
    <row r="1069" ht="15.75" customHeight="1">
      <c r="A1069" s="132"/>
      <c r="B1069" s="132"/>
      <c r="Q1069" s="133"/>
    </row>
    <row r="1070" ht="15.75" customHeight="1">
      <c r="A1070" s="132"/>
      <c r="B1070" s="132"/>
      <c r="Q1070" s="133"/>
    </row>
    <row r="1071" ht="15.75" customHeight="1">
      <c r="A1071" s="132"/>
      <c r="B1071" s="132"/>
      <c r="Q1071" s="133"/>
    </row>
    <row r="1072" ht="15.75" customHeight="1">
      <c r="A1072" s="132"/>
      <c r="B1072" s="132"/>
      <c r="Q1072" s="133"/>
    </row>
    <row r="1073" ht="15.75" customHeight="1">
      <c r="A1073" s="132"/>
      <c r="B1073" s="132"/>
      <c r="Q1073" s="133"/>
    </row>
    <row r="1074" ht="15.75" customHeight="1">
      <c r="A1074" s="132"/>
      <c r="B1074" s="132"/>
      <c r="Q1074" s="133"/>
    </row>
    <row r="1075" ht="15.75" customHeight="1">
      <c r="A1075" s="132"/>
      <c r="B1075" s="132"/>
      <c r="Q1075" s="133"/>
    </row>
    <row r="1076" ht="15.75" customHeight="1">
      <c r="A1076" s="132"/>
      <c r="B1076" s="132"/>
      <c r="Q1076" s="133"/>
    </row>
    <row r="1077" ht="15.75" customHeight="1">
      <c r="A1077" s="132"/>
      <c r="B1077" s="132"/>
      <c r="Q1077" s="133"/>
    </row>
    <row r="1078" ht="15.75" customHeight="1">
      <c r="A1078" s="132"/>
      <c r="B1078" s="132"/>
      <c r="Q1078" s="133"/>
    </row>
    <row r="1079" ht="15.75" customHeight="1">
      <c r="A1079" s="132"/>
      <c r="B1079" s="132"/>
      <c r="Q1079" s="133"/>
    </row>
    <row r="1080" ht="15.75" customHeight="1">
      <c r="A1080" s="132"/>
      <c r="B1080" s="132"/>
      <c r="Q1080" s="133"/>
    </row>
    <row r="1081" ht="15.75" customHeight="1">
      <c r="A1081" s="132"/>
      <c r="B1081" s="132"/>
      <c r="Q1081" s="133"/>
    </row>
    <row r="1082" ht="15.75" customHeight="1">
      <c r="A1082" s="132"/>
      <c r="B1082" s="132"/>
      <c r="Q1082" s="133"/>
    </row>
    <row r="1083" ht="15.75" customHeight="1">
      <c r="A1083" s="132"/>
      <c r="B1083" s="132"/>
      <c r="Q1083" s="133"/>
    </row>
    <row r="1084" ht="15.75" customHeight="1">
      <c r="A1084" s="132"/>
      <c r="B1084" s="132"/>
      <c r="Q1084" s="133"/>
    </row>
    <row r="1085" ht="15.75" customHeight="1">
      <c r="A1085" s="132"/>
      <c r="B1085" s="132"/>
      <c r="Q1085" s="133"/>
    </row>
    <row r="1086" ht="15.75" customHeight="1">
      <c r="A1086" s="132"/>
      <c r="B1086" s="132"/>
      <c r="Q1086" s="133"/>
    </row>
    <row r="1087" ht="15.75" customHeight="1">
      <c r="A1087" s="132"/>
      <c r="B1087" s="132"/>
      <c r="Q1087" s="133"/>
    </row>
    <row r="1088" ht="15.75" customHeight="1">
      <c r="A1088" s="132"/>
      <c r="B1088" s="132"/>
      <c r="Q1088" s="133"/>
    </row>
    <row r="1089" ht="15.75" customHeight="1">
      <c r="A1089" s="132"/>
      <c r="B1089" s="132"/>
      <c r="Q1089" s="133"/>
    </row>
    <row r="1090" ht="15.75" customHeight="1">
      <c r="A1090" s="132"/>
      <c r="B1090" s="132"/>
      <c r="Q1090" s="133"/>
    </row>
    <row r="1091" ht="15.75" customHeight="1">
      <c r="A1091" s="132"/>
      <c r="B1091" s="132"/>
      <c r="Q1091" s="133"/>
    </row>
    <row r="1092" ht="15.75" customHeight="1">
      <c r="A1092" s="132"/>
      <c r="B1092" s="132"/>
      <c r="Q1092" s="133"/>
    </row>
    <row r="1093" ht="15.75" customHeight="1">
      <c r="A1093" s="132"/>
      <c r="B1093" s="132"/>
      <c r="Q1093" s="133"/>
    </row>
    <row r="1094" ht="15.75" customHeight="1">
      <c r="A1094" s="132"/>
      <c r="B1094" s="132"/>
      <c r="Q1094" s="133"/>
    </row>
    <row r="1095" ht="15.75" customHeight="1">
      <c r="A1095" s="132"/>
      <c r="B1095" s="132"/>
      <c r="Q1095" s="133"/>
    </row>
    <row r="1096" ht="15.75" customHeight="1">
      <c r="A1096" s="132"/>
      <c r="B1096" s="132"/>
      <c r="Q1096" s="133"/>
    </row>
    <row r="1097" ht="15.75" customHeight="1">
      <c r="A1097" s="132"/>
      <c r="B1097" s="132"/>
      <c r="Q1097" s="133"/>
    </row>
    <row r="1098" ht="15.75" customHeight="1">
      <c r="A1098" s="132"/>
      <c r="B1098" s="132"/>
      <c r="Q1098" s="133"/>
    </row>
    <row r="1099" ht="15.75" customHeight="1">
      <c r="A1099" s="132"/>
      <c r="B1099" s="132"/>
      <c r="Q1099" s="133"/>
    </row>
    <row r="1100" ht="15.75" customHeight="1">
      <c r="A1100" s="132"/>
      <c r="B1100" s="132"/>
      <c r="Q1100" s="133"/>
    </row>
    <row r="1101" ht="15.75" customHeight="1">
      <c r="A1101" s="132"/>
      <c r="B1101" s="132"/>
      <c r="Q1101" s="133"/>
    </row>
    <row r="1102" ht="15.75" customHeight="1">
      <c r="A1102" s="132"/>
      <c r="B1102" s="132"/>
      <c r="Q1102" s="133"/>
    </row>
    <row r="1103" ht="15.75" customHeight="1">
      <c r="A1103" s="132"/>
      <c r="B1103" s="132"/>
      <c r="Q1103" s="133"/>
    </row>
    <row r="1104" ht="15.75" customHeight="1">
      <c r="A1104" s="132"/>
      <c r="B1104" s="132"/>
      <c r="Q1104" s="133"/>
    </row>
    <row r="1105" ht="15.75" customHeight="1">
      <c r="A1105" s="132"/>
      <c r="B1105" s="132"/>
      <c r="Q1105" s="133"/>
    </row>
    <row r="1106" ht="15.75" customHeight="1">
      <c r="A1106" s="132"/>
      <c r="B1106" s="132"/>
      <c r="Q1106" s="133"/>
    </row>
    <row r="1107" ht="15.75" customHeight="1">
      <c r="A1107" s="132"/>
      <c r="B1107" s="132"/>
      <c r="Q1107" s="133"/>
    </row>
    <row r="1108" ht="15.75" customHeight="1">
      <c r="A1108" s="132"/>
      <c r="B1108" s="132"/>
      <c r="Q1108" s="133"/>
    </row>
    <row r="1109" ht="15.75" customHeight="1">
      <c r="A1109" s="132"/>
      <c r="B1109" s="132"/>
      <c r="Q1109" s="133"/>
    </row>
    <row r="1110" ht="15.75" customHeight="1">
      <c r="A1110" s="132"/>
      <c r="B1110" s="132"/>
      <c r="Q1110" s="133"/>
    </row>
    <row r="1111" ht="15.75" customHeight="1">
      <c r="A1111" s="132"/>
      <c r="B1111" s="132"/>
      <c r="Q1111" s="133"/>
    </row>
    <row r="1112" ht="15.75" customHeight="1">
      <c r="A1112" s="132"/>
      <c r="B1112" s="132"/>
      <c r="Q1112" s="133"/>
    </row>
    <row r="1113" ht="15.75" customHeight="1">
      <c r="A1113" s="132"/>
      <c r="B1113" s="132"/>
      <c r="Q1113" s="133"/>
    </row>
    <row r="1114" ht="15.75" customHeight="1">
      <c r="A1114" s="132"/>
      <c r="B1114" s="132"/>
      <c r="Q1114" s="133"/>
    </row>
    <row r="1115" ht="15.75" customHeight="1">
      <c r="A1115" s="132"/>
      <c r="B1115" s="132"/>
      <c r="Q1115" s="133"/>
    </row>
    <row r="1116" ht="15.75" customHeight="1">
      <c r="A1116" s="132"/>
      <c r="B1116" s="132"/>
      <c r="Q1116" s="133"/>
    </row>
    <row r="1117" ht="15.75" customHeight="1">
      <c r="A1117" s="132"/>
      <c r="B1117" s="132"/>
      <c r="Q1117" s="133"/>
    </row>
    <row r="1118" ht="15.75" customHeight="1">
      <c r="A1118" s="132"/>
      <c r="B1118" s="132"/>
      <c r="Q1118" s="133"/>
    </row>
    <row r="1119" ht="15.75" customHeight="1">
      <c r="A1119" s="132"/>
      <c r="B1119" s="132"/>
      <c r="Q1119" s="133"/>
    </row>
    <row r="1120" ht="15.75" customHeight="1">
      <c r="A1120" s="132"/>
      <c r="B1120" s="132"/>
      <c r="Q1120" s="133"/>
    </row>
    <row r="1121" ht="15.75" customHeight="1">
      <c r="A1121" s="132"/>
      <c r="B1121" s="132"/>
      <c r="Q1121" s="133"/>
    </row>
    <row r="1122" ht="15.75" customHeight="1">
      <c r="A1122" s="132"/>
      <c r="B1122" s="132"/>
      <c r="Q1122" s="133"/>
    </row>
    <row r="1123" ht="15.75" customHeight="1">
      <c r="A1123" s="132"/>
      <c r="B1123" s="132"/>
      <c r="Q1123" s="133"/>
    </row>
    <row r="1124" ht="15.75" customHeight="1">
      <c r="A1124" s="132"/>
      <c r="B1124" s="132"/>
      <c r="Q1124" s="133"/>
    </row>
    <row r="1125" ht="15.75" customHeight="1">
      <c r="A1125" s="132"/>
      <c r="B1125" s="132"/>
      <c r="Q1125" s="133"/>
    </row>
    <row r="1126" ht="15.75" customHeight="1">
      <c r="A1126" s="132"/>
      <c r="B1126" s="132"/>
      <c r="Q1126" s="133"/>
    </row>
    <row r="1127" ht="15.75" customHeight="1">
      <c r="A1127" s="132"/>
      <c r="B1127" s="132"/>
      <c r="Q1127" s="133"/>
    </row>
    <row r="1128" ht="15.75" customHeight="1">
      <c r="A1128" s="132"/>
      <c r="B1128" s="132"/>
      <c r="Q1128" s="133"/>
    </row>
    <row r="1129" ht="15.75" customHeight="1">
      <c r="A1129" s="132"/>
      <c r="B1129" s="132"/>
      <c r="Q1129" s="133"/>
    </row>
    <row r="1130" ht="15.75" customHeight="1">
      <c r="A1130" s="132"/>
      <c r="B1130" s="132"/>
      <c r="Q1130" s="133"/>
    </row>
    <row r="1131" ht="15.75" customHeight="1">
      <c r="A1131" s="132"/>
      <c r="B1131" s="132"/>
      <c r="Q1131" s="133"/>
    </row>
    <row r="1132" ht="15.75" customHeight="1">
      <c r="A1132" s="132"/>
      <c r="B1132" s="132"/>
      <c r="Q1132" s="133"/>
    </row>
    <row r="1133" ht="15.75" customHeight="1">
      <c r="A1133" s="132"/>
      <c r="B1133" s="132"/>
      <c r="Q1133" s="133"/>
    </row>
    <row r="1134" ht="15.75" customHeight="1">
      <c r="A1134" s="132"/>
      <c r="B1134" s="132"/>
      <c r="Q1134" s="133"/>
    </row>
    <row r="1135" ht="15.75" customHeight="1">
      <c r="A1135" s="132"/>
      <c r="B1135" s="132"/>
      <c r="Q1135" s="133"/>
    </row>
    <row r="1136" ht="15.75" customHeight="1">
      <c r="A1136" s="132"/>
      <c r="B1136" s="132"/>
      <c r="Q1136" s="133"/>
    </row>
    <row r="1137" ht="15.75" customHeight="1">
      <c r="A1137" s="132"/>
      <c r="B1137" s="132"/>
      <c r="Q1137" s="133"/>
    </row>
    <row r="1138" ht="15.75" customHeight="1">
      <c r="A1138" s="132"/>
      <c r="B1138" s="132"/>
      <c r="Q1138" s="133"/>
    </row>
    <row r="1139" ht="15.75" customHeight="1">
      <c r="A1139" s="132"/>
      <c r="B1139" s="132"/>
      <c r="Q1139" s="133"/>
    </row>
    <row r="1140" ht="15.75" customHeight="1">
      <c r="A1140" s="132"/>
      <c r="B1140" s="132"/>
      <c r="Q1140" s="133"/>
    </row>
    <row r="1141" ht="15.75" customHeight="1">
      <c r="A1141" s="132"/>
      <c r="B1141" s="132"/>
      <c r="Q1141" s="133"/>
    </row>
    <row r="1142" ht="15.75" customHeight="1">
      <c r="A1142" s="132"/>
      <c r="B1142" s="132"/>
      <c r="Q1142" s="133"/>
    </row>
    <row r="1143" ht="15.75" customHeight="1">
      <c r="A1143" s="132"/>
      <c r="B1143" s="132"/>
      <c r="Q1143" s="133"/>
    </row>
    <row r="1144" ht="15.75" customHeight="1">
      <c r="A1144" s="132"/>
      <c r="B1144" s="132"/>
      <c r="Q1144" s="133"/>
    </row>
    <row r="1145" ht="15.75" customHeight="1">
      <c r="A1145" s="132"/>
      <c r="B1145" s="132"/>
      <c r="Q1145" s="133"/>
    </row>
    <row r="1146" ht="15.75" customHeight="1">
      <c r="A1146" s="132"/>
      <c r="B1146" s="132"/>
      <c r="Q1146" s="133"/>
    </row>
    <row r="1147" ht="15.75" customHeight="1">
      <c r="A1147" s="132"/>
      <c r="B1147" s="132"/>
      <c r="Q1147" s="133"/>
    </row>
    <row r="1148" ht="15.75" customHeight="1">
      <c r="A1148" s="132"/>
      <c r="B1148" s="132"/>
      <c r="Q1148" s="133"/>
    </row>
    <row r="1149" ht="15.75" customHeight="1">
      <c r="A1149" s="132"/>
      <c r="B1149" s="132"/>
      <c r="Q1149" s="133"/>
    </row>
    <row r="1150" ht="15.75" customHeight="1">
      <c r="A1150" s="132"/>
      <c r="B1150" s="132"/>
      <c r="Q1150" s="133"/>
    </row>
    <row r="1151" ht="15.75" customHeight="1">
      <c r="A1151" s="132"/>
      <c r="B1151" s="132"/>
      <c r="Q1151" s="133"/>
    </row>
    <row r="1152" ht="15.75" customHeight="1">
      <c r="A1152" s="132"/>
      <c r="B1152" s="132"/>
      <c r="Q1152" s="133"/>
    </row>
    <row r="1153" ht="15.75" customHeight="1">
      <c r="A1153" s="132"/>
      <c r="B1153" s="132"/>
      <c r="Q1153" s="133"/>
    </row>
    <row r="1154" ht="15.75" customHeight="1">
      <c r="A1154" s="132"/>
      <c r="B1154" s="132"/>
      <c r="Q1154" s="133"/>
    </row>
    <row r="1155" ht="15.75" customHeight="1">
      <c r="A1155" s="132"/>
      <c r="B1155" s="132"/>
      <c r="Q1155" s="133"/>
    </row>
    <row r="1156" ht="15.75" customHeight="1">
      <c r="A1156" s="132"/>
      <c r="B1156" s="132"/>
      <c r="Q1156" s="133"/>
    </row>
    <row r="1157" ht="15.75" customHeight="1">
      <c r="A1157" s="132"/>
      <c r="B1157" s="132"/>
      <c r="Q1157" s="133"/>
    </row>
    <row r="1158" ht="15.75" customHeight="1">
      <c r="A1158" s="132"/>
      <c r="B1158" s="132"/>
      <c r="Q1158" s="133"/>
    </row>
    <row r="1159" ht="15.75" customHeight="1">
      <c r="A1159" s="132"/>
      <c r="B1159" s="132"/>
      <c r="Q1159" s="133"/>
    </row>
    <row r="1160" ht="15.75" customHeight="1">
      <c r="A1160" s="132"/>
      <c r="B1160" s="132"/>
      <c r="Q1160" s="133"/>
    </row>
    <row r="1161" ht="15.75" customHeight="1">
      <c r="A1161" s="132"/>
      <c r="B1161" s="132"/>
      <c r="Q1161" s="133"/>
    </row>
    <row r="1162" ht="15.75" customHeight="1">
      <c r="A1162" s="132"/>
      <c r="B1162" s="132"/>
      <c r="Q1162" s="133"/>
    </row>
    <row r="1163" ht="15.75" customHeight="1">
      <c r="A1163" s="132"/>
      <c r="B1163" s="132"/>
      <c r="Q1163" s="133"/>
    </row>
    <row r="1164" ht="15.75" customHeight="1">
      <c r="A1164" s="132"/>
      <c r="B1164" s="132"/>
      <c r="Q1164" s="133"/>
    </row>
    <row r="1165" ht="15.75" customHeight="1">
      <c r="A1165" s="132"/>
      <c r="B1165" s="132"/>
      <c r="Q1165" s="133"/>
    </row>
    <row r="1166" ht="15.75" customHeight="1">
      <c r="A1166" s="132"/>
      <c r="B1166" s="132"/>
      <c r="Q1166" s="133"/>
    </row>
    <row r="1167" ht="15.75" customHeight="1">
      <c r="A1167" s="132"/>
      <c r="B1167" s="132"/>
      <c r="Q1167" s="133"/>
    </row>
    <row r="1168" ht="15.75" customHeight="1">
      <c r="A1168" s="132"/>
      <c r="B1168" s="132"/>
      <c r="Q1168" s="133"/>
    </row>
    <row r="1169" ht="15.75" customHeight="1">
      <c r="A1169" s="132"/>
      <c r="B1169" s="132"/>
      <c r="Q1169" s="133"/>
    </row>
    <row r="1170" ht="15.75" customHeight="1">
      <c r="A1170" s="132"/>
      <c r="B1170" s="132"/>
      <c r="Q1170" s="133"/>
    </row>
    <row r="1171" ht="15.75" customHeight="1">
      <c r="A1171" s="132"/>
      <c r="B1171" s="132"/>
      <c r="Q1171" s="133"/>
    </row>
    <row r="1172" ht="15.75" customHeight="1">
      <c r="A1172" s="132"/>
      <c r="B1172" s="132"/>
      <c r="Q1172" s="133"/>
    </row>
    <row r="1173" ht="15.75" customHeight="1">
      <c r="A1173" s="132"/>
      <c r="B1173" s="132"/>
      <c r="Q1173" s="133"/>
    </row>
    <row r="1174" ht="15.75" customHeight="1">
      <c r="A1174" s="132"/>
      <c r="B1174" s="132"/>
      <c r="Q1174" s="133"/>
    </row>
    <row r="1175" ht="15.75" customHeight="1">
      <c r="A1175" s="132"/>
      <c r="B1175" s="132"/>
      <c r="Q1175" s="133"/>
    </row>
    <row r="1176" ht="15.75" customHeight="1">
      <c r="A1176" s="132"/>
      <c r="B1176" s="132"/>
      <c r="Q1176" s="133"/>
    </row>
    <row r="1177" ht="15.75" customHeight="1">
      <c r="A1177" s="132"/>
      <c r="B1177" s="132"/>
      <c r="Q1177" s="133"/>
    </row>
    <row r="1178" ht="15.75" customHeight="1">
      <c r="A1178" s="132"/>
      <c r="B1178" s="132"/>
      <c r="Q1178" s="133"/>
    </row>
    <row r="1179" ht="15.75" customHeight="1">
      <c r="A1179" s="132"/>
      <c r="B1179" s="132"/>
      <c r="Q1179" s="133"/>
    </row>
    <row r="1180" ht="15.75" customHeight="1">
      <c r="A1180" s="132"/>
      <c r="B1180" s="132"/>
      <c r="Q1180" s="133"/>
    </row>
    <row r="1181" ht="15.75" customHeight="1">
      <c r="A1181" s="132"/>
      <c r="B1181" s="132"/>
      <c r="Q1181" s="133"/>
    </row>
    <row r="1182" ht="15.75" customHeight="1">
      <c r="A1182" s="132"/>
      <c r="B1182" s="132"/>
      <c r="Q1182" s="133"/>
    </row>
    <row r="1183" ht="15.75" customHeight="1">
      <c r="A1183" s="132"/>
      <c r="B1183" s="132"/>
      <c r="Q1183" s="133"/>
    </row>
    <row r="1184" ht="15.75" customHeight="1">
      <c r="A1184" s="132"/>
      <c r="B1184" s="132"/>
      <c r="Q1184" s="133"/>
    </row>
    <row r="1185" ht="15.75" customHeight="1">
      <c r="A1185" s="132"/>
      <c r="B1185" s="132"/>
      <c r="Q1185" s="133"/>
    </row>
    <row r="1186" ht="15.75" customHeight="1">
      <c r="A1186" s="132"/>
      <c r="B1186" s="132"/>
      <c r="Q1186" s="133"/>
    </row>
    <row r="1187" ht="15.75" customHeight="1">
      <c r="A1187" s="132"/>
      <c r="B1187" s="132"/>
      <c r="Q1187" s="133"/>
    </row>
    <row r="1188" ht="15.75" customHeight="1">
      <c r="A1188" s="132"/>
      <c r="B1188" s="132"/>
      <c r="Q1188" s="133"/>
    </row>
    <row r="1189" ht="15.75" customHeight="1">
      <c r="A1189" s="132"/>
      <c r="B1189" s="132"/>
      <c r="Q1189" s="133"/>
    </row>
    <row r="1190" ht="15.75" customHeight="1">
      <c r="A1190" s="132"/>
      <c r="B1190" s="132"/>
      <c r="Q1190" s="133"/>
    </row>
    <row r="1191" ht="15.75" customHeight="1">
      <c r="A1191" s="132"/>
      <c r="B1191" s="132"/>
      <c r="Q1191" s="133"/>
    </row>
    <row r="1192" ht="15.75" customHeight="1">
      <c r="A1192" s="132"/>
      <c r="B1192" s="132"/>
      <c r="Q1192" s="133"/>
    </row>
    <row r="1193" ht="15.75" customHeight="1">
      <c r="A1193" s="132"/>
      <c r="B1193" s="132"/>
      <c r="Q1193" s="133"/>
    </row>
    <row r="1194" ht="15.75" customHeight="1">
      <c r="A1194" s="132"/>
      <c r="B1194" s="132"/>
      <c r="Q1194" s="133"/>
    </row>
    <row r="1195" ht="15.75" customHeight="1">
      <c r="A1195" s="132"/>
      <c r="B1195" s="132"/>
      <c r="Q1195" s="133"/>
    </row>
    <row r="1196" ht="15.75" customHeight="1">
      <c r="A1196" s="132"/>
      <c r="B1196" s="132"/>
      <c r="Q1196" s="133"/>
    </row>
    <row r="1197" ht="15.75" customHeight="1">
      <c r="A1197" s="132"/>
      <c r="B1197" s="132"/>
      <c r="Q1197" s="133"/>
    </row>
    <row r="1198" ht="15.75" customHeight="1">
      <c r="A1198" s="132"/>
      <c r="B1198" s="132"/>
      <c r="Q1198" s="133"/>
    </row>
    <row r="1199" ht="15.75" customHeight="1">
      <c r="A1199" s="132"/>
      <c r="B1199" s="132"/>
      <c r="Q1199" s="133"/>
    </row>
    <row r="1200" ht="15.75" customHeight="1">
      <c r="A1200" s="132"/>
      <c r="B1200" s="132"/>
      <c r="Q1200" s="133"/>
    </row>
    <row r="1201" ht="15.75" customHeight="1">
      <c r="A1201" s="132"/>
      <c r="B1201" s="132"/>
      <c r="Q1201" s="133"/>
    </row>
    <row r="1202" ht="15.75" customHeight="1">
      <c r="A1202" s="132"/>
      <c r="B1202" s="132"/>
      <c r="Q1202" s="133"/>
    </row>
    <row r="1203" ht="15.75" customHeight="1">
      <c r="A1203" s="132"/>
      <c r="B1203" s="132"/>
      <c r="Q1203" s="133"/>
    </row>
    <row r="1204" ht="15.75" customHeight="1">
      <c r="A1204" s="132"/>
      <c r="B1204" s="132"/>
      <c r="Q1204" s="133"/>
    </row>
    <row r="1205" ht="15.75" customHeight="1">
      <c r="A1205" s="132"/>
      <c r="B1205" s="132"/>
      <c r="Q1205" s="133"/>
    </row>
    <row r="1206" ht="15.75" customHeight="1">
      <c r="A1206" s="132"/>
      <c r="B1206" s="132"/>
      <c r="Q1206" s="133"/>
    </row>
    <row r="1207" ht="15.75" customHeight="1">
      <c r="A1207" s="132"/>
      <c r="B1207" s="132"/>
      <c r="Q1207" s="133"/>
    </row>
    <row r="1208" ht="15.75" customHeight="1">
      <c r="A1208" s="132"/>
      <c r="B1208" s="132"/>
      <c r="Q1208" s="133"/>
    </row>
    <row r="1209" ht="15.75" customHeight="1">
      <c r="A1209" s="132"/>
      <c r="B1209" s="132"/>
      <c r="Q1209" s="133"/>
    </row>
    <row r="1210" ht="15.75" customHeight="1">
      <c r="A1210" s="132"/>
      <c r="B1210" s="132"/>
      <c r="Q1210" s="133"/>
    </row>
    <row r="1211" ht="15.75" customHeight="1">
      <c r="A1211" s="132"/>
      <c r="B1211" s="132"/>
      <c r="Q1211" s="133"/>
    </row>
    <row r="1212" ht="15.75" customHeight="1">
      <c r="A1212" s="132"/>
      <c r="B1212" s="132"/>
      <c r="Q1212" s="133"/>
    </row>
    <row r="1213" ht="15.75" customHeight="1">
      <c r="A1213" s="132"/>
      <c r="B1213" s="132"/>
      <c r="Q1213" s="133"/>
    </row>
    <row r="1214" ht="15.75" customHeight="1">
      <c r="A1214" s="132"/>
      <c r="B1214" s="132"/>
      <c r="Q1214" s="133"/>
    </row>
    <row r="1215" ht="15.75" customHeight="1">
      <c r="A1215" s="132"/>
      <c r="B1215" s="132"/>
      <c r="Q1215" s="133"/>
    </row>
    <row r="1216" ht="15.75" customHeight="1">
      <c r="A1216" s="132"/>
      <c r="B1216" s="132"/>
      <c r="Q1216" s="133"/>
    </row>
    <row r="1217" ht="15.75" customHeight="1">
      <c r="A1217" s="132"/>
      <c r="B1217" s="132"/>
      <c r="Q1217" s="133"/>
    </row>
    <row r="1218" ht="15.75" customHeight="1">
      <c r="A1218" s="132"/>
      <c r="B1218" s="132"/>
      <c r="Q1218" s="133"/>
    </row>
    <row r="1219" ht="15.75" customHeight="1">
      <c r="A1219" s="132"/>
      <c r="B1219" s="132"/>
      <c r="Q1219" s="133"/>
    </row>
    <row r="1220" ht="15.75" customHeight="1">
      <c r="A1220" s="132"/>
      <c r="B1220" s="132"/>
      <c r="Q1220" s="133"/>
    </row>
    <row r="1221" ht="15.75" customHeight="1">
      <c r="A1221" s="132"/>
      <c r="B1221" s="132"/>
      <c r="Q1221" s="133"/>
    </row>
    <row r="1222" ht="15.75" customHeight="1">
      <c r="A1222" s="132"/>
      <c r="B1222" s="132"/>
      <c r="Q1222" s="133"/>
    </row>
    <row r="1223" ht="15.75" customHeight="1">
      <c r="A1223" s="132"/>
      <c r="B1223" s="132"/>
      <c r="Q1223" s="133"/>
    </row>
    <row r="1224" ht="15.75" customHeight="1">
      <c r="A1224" s="132"/>
      <c r="B1224" s="132"/>
      <c r="Q1224" s="133"/>
    </row>
    <row r="1225" ht="15.75" customHeight="1">
      <c r="A1225" s="132"/>
      <c r="B1225" s="132"/>
      <c r="Q1225" s="133"/>
    </row>
    <row r="1226" ht="15.75" customHeight="1">
      <c r="A1226" s="132"/>
      <c r="B1226" s="132"/>
      <c r="Q1226" s="133"/>
    </row>
    <row r="1227" ht="15.75" customHeight="1">
      <c r="A1227" s="132"/>
      <c r="B1227" s="132"/>
      <c r="Q1227" s="133"/>
    </row>
    <row r="1228" ht="15.75" customHeight="1">
      <c r="A1228" s="132"/>
      <c r="B1228" s="132"/>
      <c r="Q1228" s="133"/>
    </row>
    <row r="1229" ht="15.75" customHeight="1">
      <c r="A1229" s="132"/>
      <c r="B1229" s="132"/>
      <c r="Q1229" s="133"/>
    </row>
    <row r="1230" ht="15.75" customHeight="1">
      <c r="A1230" s="132"/>
      <c r="B1230" s="132"/>
      <c r="Q1230" s="133"/>
    </row>
    <row r="1231" ht="15.75" customHeight="1">
      <c r="A1231" s="132"/>
      <c r="B1231" s="132"/>
      <c r="Q1231" s="133"/>
    </row>
    <row r="1232" ht="15.75" customHeight="1">
      <c r="A1232" s="132"/>
      <c r="B1232" s="132"/>
      <c r="Q1232" s="133"/>
    </row>
    <row r="1233" ht="15.75" customHeight="1">
      <c r="A1233" s="132"/>
      <c r="B1233" s="132"/>
      <c r="Q1233" s="133"/>
    </row>
    <row r="1234" ht="15.75" customHeight="1">
      <c r="A1234" s="132"/>
      <c r="B1234" s="132"/>
      <c r="Q1234" s="133"/>
    </row>
    <row r="1235" ht="15.75" customHeight="1">
      <c r="A1235" s="132"/>
      <c r="B1235" s="132"/>
      <c r="Q1235" s="133"/>
    </row>
    <row r="1236" ht="15.75" customHeight="1">
      <c r="A1236" s="132"/>
      <c r="B1236" s="132"/>
      <c r="Q1236" s="133"/>
    </row>
    <row r="1237" ht="15.75" customHeight="1">
      <c r="A1237" s="132"/>
      <c r="B1237" s="132"/>
      <c r="Q1237" s="133"/>
    </row>
    <row r="1238" ht="15.75" customHeight="1">
      <c r="A1238" s="132"/>
      <c r="B1238" s="132"/>
      <c r="Q1238" s="133"/>
    </row>
    <row r="1239" ht="15.75" customHeight="1">
      <c r="A1239" s="132"/>
      <c r="B1239" s="132"/>
      <c r="Q1239" s="133"/>
    </row>
    <row r="1240" ht="15.75" customHeight="1">
      <c r="A1240" s="132"/>
      <c r="B1240" s="132"/>
      <c r="Q1240" s="133"/>
    </row>
    <row r="1241" ht="15.75" customHeight="1">
      <c r="A1241" s="132"/>
      <c r="B1241" s="132"/>
      <c r="Q1241" s="133"/>
    </row>
    <row r="1242" ht="15.75" customHeight="1">
      <c r="A1242" s="132"/>
      <c r="B1242" s="132"/>
      <c r="Q1242" s="133"/>
    </row>
    <row r="1243" ht="15.75" customHeight="1">
      <c r="A1243" s="132"/>
      <c r="B1243" s="132"/>
      <c r="Q1243" s="133"/>
    </row>
    <row r="1244" ht="15.75" customHeight="1">
      <c r="A1244" s="132"/>
      <c r="B1244" s="132"/>
      <c r="Q1244" s="133"/>
    </row>
    <row r="1245" ht="15.75" customHeight="1">
      <c r="A1245" s="132"/>
      <c r="B1245" s="132"/>
      <c r="Q1245" s="133"/>
    </row>
    <row r="1246" ht="15.75" customHeight="1">
      <c r="A1246" s="132"/>
      <c r="B1246" s="132"/>
      <c r="Q1246" s="133"/>
    </row>
    <row r="1247" ht="15.75" customHeight="1">
      <c r="A1247" s="132"/>
      <c r="B1247" s="132"/>
      <c r="Q1247" s="133"/>
    </row>
    <row r="1248" ht="15.75" customHeight="1">
      <c r="A1248" s="132"/>
      <c r="B1248" s="132"/>
      <c r="Q1248" s="133"/>
    </row>
    <row r="1249" ht="15.75" customHeight="1">
      <c r="A1249" s="132"/>
      <c r="B1249" s="132"/>
      <c r="Q1249" s="133"/>
    </row>
    <row r="1250" ht="15.75" customHeight="1">
      <c r="A1250" s="132"/>
      <c r="B1250" s="132"/>
      <c r="Q1250" s="133"/>
    </row>
    <row r="1251" ht="15.75" customHeight="1">
      <c r="A1251" s="132"/>
      <c r="B1251" s="132"/>
      <c r="Q1251" s="133"/>
    </row>
    <row r="1252" ht="15.75" customHeight="1">
      <c r="A1252" s="132"/>
      <c r="B1252" s="132"/>
      <c r="Q1252" s="133"/>
    </row>
    <row r="1253" ht="15.75" customHeight="1">
      <c r="A1253" s="132"/>
      <c r="B1253" s="132"/>
      <c r="Q1253" s="133"/>
    </row>
    <row r="1254" ht="15.75" customHeight="1">
      <c r="A1254" s="132"/>
      <c r="B1254" s="132"/>
      <c r="Q1254" s="133"/>
    </row>
    <row r="1255" ht="15.75" customHeight="1">
      <c r="A1255" s="132"/>
      <c r="B1255" s="132"/>
      <c r="Q1255" s="133"/>
    </row>
    <row r="1256" ht="15.75" customHeight="1">
      <c r="A1256" s="132"/>
      <c r="B1256" s="132"/>
      <c r="Q1256" s="133"/>
    </row>
    <row r="1257" ht="15.75" customHeight="1">
      <c r="A1257" s="132"/>
      <c r="B1257" s="132"/>
      <c r="Q1257" s="133"/>
    </row>
    <row r="1258" ht="15.75" customHeight="1">
      <c r="A1258" s="132"/>
      <c r="B1258" s="132"/>
      <c r="Q1258" s="133"/>
    </row>
    <row r="1259" ht="15.75" customHeight="1">
      <c r="A1259" s="132"/>
      <c r="B1259" s="132"/>
      <c r="Q1259" s="133"/>
    </row>
    <row r="1260" ht="15.75" customHeight="1">
      <c r="A1260" s="132"/>
      <c r="B1260" s="132"/>
      <c r="Q1260" s="133"/>
    </row>
    <row r="1261" ht="15.75" customHeight="1">
      <c r="A1261" s="132"/>
      <c r="B1261" s="132"/>
      <c r="Q1261" s="133"/>
    </row>
    <row r="1262" ht="15.75" customHeight="1">
      <c r="A1262" s="132"/>
      <c r="B1262" s="132"/>
      <c r="Q1262" s="133"/>
    </row>
    <row r="1263" ht="15.75" customHeight="1">
      <c r="A1263" s="132"/>
      <c r="B1263" s="132"/>
      <c r="Q1263" s="133"/>
    </row>
    <row r="1264" ht="15.75" customHeight="1">
      <c r="A1264" s="132"/>
      <c r="B1264" s="132"/>
      <c r="Q1264" s="133"/>
    </row>
    <row r="1265" ht="15.75" customHeight="1">
      <c r="A1265" s="132"/>
      <c r="B1265" s="132"/>
      <c r="Q1265" s="133"/>
    </row>
    <row r="1266" ht="15.75" customHeight="1">
      <c r="A1266" s="132"/>
      <c r="B1266" s="132"/>
      <c r="Q1266" s="133"/>
    </row>
    <row r="1267" ht="15.75" customHeight="1">
      <c r="A1267" s="132"/>
      <c r="B1267" s="132"/>
      <c r="Q1267" s="133"/>
    </row>
    <row r="1268" ht="15.75" customHeight="1">
      <c r="A1268" s="132"/>
      <c r="B1268" s="132"/>
      <c r="Q1268" s="133"/>
    </row>
    <row r="1269" ht="15.75" customHeight="1">
      <c r="A1269" s="132"/>
      <c r="B1269" s="132"/>
      <c r="Q1269" s="133"/>
    </row>
    <row r="1270" ht="15.75" customHeight="1">
      <c r="A1270" s="132"/>
      <c r="B1270" s="132"/>
      <c r="Q1270" s="133"/>
    </row>
    <row r="1271" ht="15.75" customHeight="1">
      <c r="A1271" s="132"/>
      <c r="B1271" s="132"/>
      <c r="Q1271" s="133"/>
    </row>
    <row r="1272" ht="15.75" customHeight="1">
      <c r="A1272" s="132"/>
      <c r="B1272" s="132"/>
      <c r="Q1272" s="133"/>
    </row>
    <row r="1273" ht="15.75" customHeight="1">
      <c r="A1273" s="132"/>
      <c r="B1273" s="132"/>
      <c r="Q1273" s="133"/>
    </row>
    <row r="1274" ht="15.75" customHeight="1">
      <c r="A1274" s="132"/>
      <c r="B1274" s="132"/>
      <c r="Q1274" s="133"/>
    </row>
    <row r="1275" ht="15.75" customHeight="1">
      <c r="A1275" s="132"/>
      <c r="B1275" s="132"/>
      <c r="Q1275" s="133"/>
    </row>
    <row r="1276" ht="15.75" customHeight="1">
      <c r="A1276" s="132"/>
      <c r="B1276" s="132"/>
      <c r="Q1276" s="133"/>
    </row>
    <row r="1277" ht="15.75" customHeight="1">
      <c r="A1277" s="132"/>
      <c r="B1277" s="132"/>
      <c r="Q1277" s="133"/>
    </row>
    <row r="1278" ht="15.75" customHeight="1">
      <c r="A1278" s="132"/>
      <c r="B1278" s="132"/>
      <c r="Q1278" s="133"/>
    </row>
    <row r="1279" ht="15.75" customHeight="1">
      <c r="A1279" s="132"/>
      <c r="B1279" s="132"/>
      <c r="Q1279" s="133"/>
    </row>
    <row r="1280" ht="15.75" customHeight="1">
      <c r="A1280" s="132"/>
      <c r="B1280" s="132"/>
      <c r="Q1280" s="133"/>
    </row>
    <row r="1281" ht="15.75" customHeight="1">
      <c r="A1281" s="132"/>
      <c r="B1281" s="132"/>
      <c r="Q1281" s="133"/>
    </row>
    <row r="1282" ht="15.75" customHeight="1">
      <c r="A1282" s="132"/>
      <c r="B1282" s="132"/>
      <c r="Q1282" s="133"/>
    </row>
    <row r="1283" ht="15.75" customHeight="1">
      <c r="A1283" s="132"/>
      <c r="B1283" s="132"/>
      <c r="Q1283" s="133"/>
    </row>
    <row r="1284" ht="15.75" customHeight="1">
      <c r="A1284" s="132"/>
      <c r="B1284" s="132"/>
      <c r="Q1284" s="133"/>
    </row>
    <row r="1285" ht="15.75" customHeight="1">
      <c r="A1285" s="132"/>
      <c r="B1285" s="132"/>
      <c r="Q1285" s="133"/>
    </row>
    <row r="1286" ht="15.75" customHeight="1">
      <c r="A1286" s="132"/>
      <c r="B1286" s="132"/>
      <c r="Q1286" s="133"/>
    </row>
    <row r="1287" ht="15.75" customHeight="1">
      <c r="A1287" s="132"/>
      <c r="B1287" s="132"/>
      <c r="Q1287" s="133"/>
    </row>
    <row r="1288" ht="15.75" customHeight="1">
      <c r="A1288" s="132"/>
      <c r="B1288" s="132"/>
      <c r="Q1288" s="133"/>
    </row>
    <row r="1289" ht="15.75" customHeight="1">
      <c r="A1289" s="132"/>
      <c r="B1289" s="132"/>
      <c r="Q1289" s="133"/>
    </row>
    <row r="1290" ht="15.75" customHeight="1">
      <c r="A1290" s="132"/>
      <c r="B1290" s="132"/>
      <c r="Q1290" s="133"/>
    </row>
    <row r="1291" ht="15.75" customHeight="1">
      <c r="A1291" s="132"/>
      <c r="B1291" s="132"/>
      <c r="Q1291" s="133"/>
    </row>
    <row r="1292" ht="15.75" customHeight="1">
      <c r="A1292" s="132"/>
      <c r="B1292" s="132"/>
      <c r="Q1292" s="133"/>
    </row>
    <row r="1293" ht="15.75" customHeight="1">
      <c r="A1293" s="132"/>
      <c r="B1293" s="132"/>
      <c r="Q1293" s="133"/>
    </row>
    <row r="1294" ht="15.75" customHeight="1">
      <c r="A1294" s="132"/>
      <c r="B1294" s="132"/>
      <c r="Q1294" s="133"/>
    </row>
    <row r="1295" ht="15.75" customHeight="1">
      <c r="A1295" s="132"/>
      <c r="B1295" s="132"/>
      <c r="Q1295" s="133"/>
    </row>
    <row r="1296" ht="15.75" customHeight="1">
      <c r="A1296" s="132"/>
      <c r="B1296" s="132"/>
      <c r="Q1296" s="133"/>
    </row>
    <row r="1297" ht="15.75" customHeight="1">
      <c r="A1297" s="132"/>
      <c r="B1297" s="132"/>
      <c r="Q1297" s="133"/>
    </row>
    <row r="1298" ht="15.75" customHeight="1">
      <c r="A1298" s="132"/>
      <c r="B1298" s="132"/>
      <c r="Q1298" s="133"/>
    </row>
    <row r="1299" ht="15.75" customHeight="1">
      <c r="A1299" s="132"/>
      <c r="B1299" s="132"/>
      <c r="Q1299" s="133"/>
    </row>
    <row r="1300" ht="15.75" customHeight="1">
      <c r="A1300" s="132"/>
      <c r="B1300" s="132"/>
      <c r="Q1300" s="133"/>
    </row>
    <row r="1301" ht="15.75" customHeight="1">
      <c r="A1301" s="132"/>
      <c r="B1301" s="132"/>
      <c r="Q1301" s="133"/>
    </row>
    <row r="1302" ht="15.75" customHeight="1">
      <c r="A1302" s="132"/>
      <c r="B1302" s="132"/>
      <c r="Q1302" s="133"/>
    </row>
    <row r="1303" ht="15.75" customHeight="1">
      <c r="A1303" s="132"/>
      <c r="B1303" s="132"/>
      <c r="Q1303" s="133"/>
    </row>
    <row r="1304" ht="15.75" customHeight="1">
      <c r="A1304" s="132"/>
      <c r="B1304" s="132"/>
      <c r="Q1304" s="133"/>
    </row>
    <row r="1305" ht="15.75" customHeight="1">
      <c r="A1305" s="132"/>
      <c r="B1305" s="132"/>
      <c r="Q1305" s="133"/>
    </row>
    <row r="1306" ht="15.75" customHeight="1">
      <c r="A1306" s="132"/>
      <c r="B1306" s="132"/>
      <c r="Q1306" s="133"/>
    </row>
    <row r="1307" ht="15.75" customHeight="1">
      <c r="A1307" s="132"/>
      <c r="B1307" s="132"/>
      <c r="Q1307" s="133"/>
    </row>
    <row r="1308" ht="15.75" customHeight="1">
      <c r="A1308" s="132"/>
      <c r="B1308" s="132"/>
      <c r="Q1308" s="133"/>
    </row>
    <row r="1309" ht="15.75" customHeight="1">
      <c r="A1309" s="132"/>
      <c r="B1309" s="132"/>
      <c r="Q1309" s="133"/>
    </row>
    <row r="1310" ht="15.75" customHeight="1">
      <c r="A1310" s="132"/>
      <c r="B1310" s="132"/>
      <c r="Q1310" s="133"/>
    </row>
    <row r="1311" ht="15.75" customHeight="1">
      <c r="A1311" s="132"/>
      <c r="B1311" s="132"/>
      <c r="Q1311" s="133"/>
    </row>
    <row r="1312" ht="15.75" customHeight="1">
      <c r="A1312" s="132"/>
      <c r="B1312" s="132"/>
      <c r="Q1312" s="133"/>
    </row>
    <row r="1313" ht="15.75" customHeight="1">
      <c r="A1313" s="132"/>
      <c r="B1313" s="132"/>
      <c r="Q1313" s="133"/>
    </row>
    <row r="1314" ht="15.75" customHeight="1">
      <c r="A1314" s="132"/>
      <c r="B1314" s="132"/>
      <c r="Q1314" s="133"/>
    </row>
    <row r="1315" ht="15.75" customHeight="1">
      <c r="A1315" s="132"/>
      <c r="B1315" s="132"/>
      <c r="Q1315" s="133"/>
    </row>
    <row r="1316" ht="15.75" customHeight="1">
      <c r="A1316" s="132"/>
      <c r="B1316" s="132"/>
      <c r="Q1316" s="133"/>
    </row>
    <row r="1317" ht="15.75" customHeight="1">
      <c r="A1317" s="132"/>
      <c r="B1317" s="132"/>
      <c r="Q1317" s="133"/>
    </row>
    <row r="1318" ht="15.75" customHeight="1">
      <c r="A1318" s="132"/>
      <c r="B1318" s="132"/>
      <c r="Q1318" s="133"/>
    </row>
    <row r="1319" ht="15.75" customHeight="1">
      <c r="A1319" s="132"/>
      <c r="B1319" s="132"/>
      <c r="Q1319" s="133"/>
    </row>
    <row r="1320" ht="15.75" customHeight="1">
      <c r="A1320" s="132"/>
      <c r="B1320" s="132"/>
      <c r="Q1320" s="133"/>
    </row>
    <row r="1321" ht="15.75" customHeight="1">
      <c r="A1321" s="132"/>
      <c r="B1321" s="132"/>
      <c r="Q1321" s="133"/>
    </row>
    <row r="1322" ht="15.75" customHeight="1">
      <c r="A1322" s="132"/>
      <c r="B1322" s="132"/>
      <c r="Q1322" s="133"/>
    </row>
    <row r="1323" ht="15.75" customHeight="1">
      <c r="A1323" s="132"/>
      <c r="B1323" s="132"/>
      <c r="Q1323" s="133"/>
    </row>
    <row r="1324" ht="15.75" customHeight="1">
      <c r="A1324" s="132"/>
      <c r="B1324" s="132"/>
      <c r="Q1324" s="133"/>
    </row>
    <row r="1325" ht="15.75" customHeight="1">
      <c r="A1325" s="132"/>
      <c r="B1325" s="132"/>
      <c r="Q1325" s="133"/>
    </row>
    <row r="1326" ht="15.75" customHeight="1">
      <c r="A1326" s="132"/>
      <c r="B1326" s="132"/>
      <c r="Q1326" s="133"/>
    </row>
    <row r="1327" ht="15.75" customHeight="1">
      <c r="A1327" s="132"/>
      <c r="B1327" s="132"/>
      <c r="Q1327" s="133"/>
    </row>
    <row r="1328" ht="15.75" customHeight="1">
      <c r="A1328" s="132"/>
      <c r="B1328" s="132"/>
      <c r="Q1328" s="133"/>
    </row>
    <row r="1329" ht="15.75" customHeight="1">
      <c r="A1329" s="132"/>
      <c r="B1329" s="132"/>
      <c r="Q1329" s="133"/>
    </row>
    <row r="1330" ht="15.75" customHeight="1">
      <c r="A1330" s="132"/>
      <c r="B1330" s="132"/>
      <c r="Q1330" s="133"/>
    </row>
    <row r="1331" ht="15.75" customHeight="1">
      <c r="A1331" s="132"/>
      <c r="B1331" s="132"/>
      <c r="Q1331" s="133"/>
    </row>
    <row r="1332" ht="15.75" customHeight="1">
      <c r="A1332" s="132"/>
      <c r="B1332" s="132"/>
      <c r="Q1332" s="133"/>
    </row>
    <row r="1333" ht="15.75" customHeight="1">
      <c r="A1333" s="132"/>
      <c r="B1333" s="132"/>
      <c r="Q1333" s="133"/>
    </row>
    <row r="1334" ht="15.75" customHeight="1">
      <c r="A1334" s="132"/>
      <c r="B1334" s="132"/>
      <c r="Q1334" s="133"/>
    </row>
    <row r="1335" ht="15.75" customHeight="1">
      <c r="A1335" s="132"/>
      <c r="B1335" s="132"/>
      <c r="Q1335" s="133"/>
    </row>
    <row r="1336" ht="15.75" customHeight="1">
      <c r="A1336" s="132"/>
      <c r="B1336" s="132"/>
      <c r="Q1336" s="133"/>
    </row>
    <row r="1337" ht="15.75" customHeight="1">
      <c r="A1337" s="132"/>
      <c r="B1337" s="132"/>
      <c r="Q1337" s="133"/>
    </row>
    <row r="1338" ht="15.75" customHeight="1">
      <c r="A1338" s="132"/>
      <c r="B1338" s="132"/>
      <c r="Q1338" s="133"/>
    </row>
    <row r="1339" ht="15.75" customHeight="1">
      <c r="A1339" s="132"/>
      <c r="B1339" s="132"/>
      <c r="Q1339" s="133"/>
    </row>
    <row r="1340" ht="15.75" customHeight="1">
      <c r="A1340" s="132"/>
      <c r="B1340" s="132"/>
      <c r="Q1340" s="133"/>
    </row>
    <row r="1341" ht="15.75" customHeight="1">
      <c r="A1341" s="132"/>
      <c r="B1341" s="132"/>
      <c r="Q1341" s="133"/>
    </row>
    <row r="1342" ht="15.75" customHeight="1">
      <c r="A1342" s="132"/>
      <c r="B1342" s="132"/>
      <c r="Q1342" s="133"/>
    </row>
    <row r="1343" ht="15.75" customHeight="1">
      <c r="A1343" s="132"/>
      <c r="B1343" s="132"/>
      <c r="Q1343" s="133"/>
    </row>
    <row r="1344" ht="15.75" customHeight="1">
      <c r="A1344" s="132"/>
      <c r="B1344" s="132"/>
      <c r="Q1344" s="133"/>
    </row>
    <row r="1345" ht="15.75" customHeight="1">
      <c r="A1345" s="132"/>
      <c r="B1345" s="132"/>
      <c r="Q1345" s="133"/>
    </row>
    <row r="1346" ht="15.75" customHeight="1">
      <c r="A1346" s="132"/>
      <c r="B1346" s="132"/>
      <c r="Q1346" s="133"/>
    </row>
    <row r="1347" ht="15.75" customHeight="1">
      <c r="A1347" s="132"/>
      <c r="B1347" s="132"/>
      <c r="Q1347" s="133"/>
    </row>
    <row r="1348" ht="15.75" customHeight="1">
      <c r="A1348" s="132"/>
      <c r="B1348" s="132"/>
      <c r="Q1348" s="133"/>
    </row>
    <row r="1349" ht="15.75" customHeight="1">
      <c r="A1349" s="132"/>
      <c r="B1349" s="132"/>
      <c r="Q1349" s="133"/>
    </row>
    <row r="1350" ht="15.75" customHeight="1">
      <c r="A1350" s="132"/>
      <c r="B1350" s="132"/>
      <c r="Q1350" s="133"/>
    </row>
    <row r="1351" ht="15.75" customHeight="1">
      <c r="A1351" s="132"/>
      <c r="B1351" s="132"/>
      <c r="Q1351" s="133"/>
    </row>
    <row r="1352" ht="15.75" customHeight="1">
      <c r="A1352" s="132"/>
      <c r="B1352" s="132"/>
      <c r="Q1352" s="133"/>
    </row>
    <row r="1353" ht="15.75" customHeight="1">
      <c r="A1353" s="132"/>
      <c r="B1353" s="132"/>
      <c r="Q1353" s="133"/>
    </row>
    <row r="1354" ht="15.75" customHeight="1">
      <c r="A1354" s="132"/>
      <c r="B1354" s="132"/>
      <c r="Q1354" s="133"/>
    </row>
    <row r="1355" ht="15.75" customHeight="1">
      <c r="A1355" s="132"/>
      <c r="B1355" s="132"/>
      <c r="Q1355" s="133"/>
    </row>
    <row r="1356" ht="15.75" customHeight="1">
      <c r="A1356" s="132"/>
      <c r="B1356" s="132"/>
      <c r="Q1356" s="133"/>
    </row>
    <row r="1357" ht="15.75" customHeight="1">
      <c r="A1357" s="132"/>
      <c r="B1357" s="132"/>
      <c r="Q1357" s="133"/>
    </row>
    <row r="1358" ht="15.75" customHeight="1">
      <c r="A1358" s="132"/>
      <c r="B1358" s="132"/>
      <c r="Q1358" s="133"/>
    </row>
    <row r="1359" ht="15.75" customHeight="1">
      <c r="A1359" s="132"/>
      <c r="B1359" s="132"/>
      <c r="Q1359" s="133"/>
    </row>
    <row r="1360" ht="15.75" customHeight="1">
      <c r="A1360" s="132"/>
      <c r="B1360" s="132"/>
      <c r="Q1360" s="133"/>
    </row>
    <row r="1361" ht="15.75" customHeight="1">
      <c r="A1361" s="132"/>
      <c r="B1361" s="132"/>
      <c r="Q1361" s="133"/>
    </row>
    <row r="1362" ht="15.75" customHeight="1">
      <c r="A1362" s="132"/>
      <c r="B1362" s="132"/>
      <c r="Q1362" s="133"/>
    </row>
    <row r="1363" ht="15.75" customHeight="1">
      <c r="A1363" s="132"/>
      <c r="B1363" s="132"/>
      <c r="Q1363" s="133"/>
    </row>
    <row r="1364" ht="15.75" customHeight="1">
      <c r="A1364" s="132"/>
      <c r="B1364" s="132"/>
      <c r="Q1364" s="133"/>
    </row>
    <row r="1365" ht="15.75" customHeight="1">
      <c r="A1365" s="132"/>
      <c r="B1365" s="132"/>
      <c r="Q1365" s="133"/>
    </row>
    <row r="1366" ht="15.75" customHeight="1">
      <c r="A1366" s="132"/>
      <c r="B1366" s="132"/>
      <c r="Q1366" s="133"/>
    </row>
    <row r="1367" ht="15.75" customHeight="1">
      <c r="A1367" s="132"/>
      <c r="B1367" s="132"/>
      <c r="Q1367" s="133"/>
    </row>
    <row r="1368" ht="15.75" customHeight="1">
      <c r="A1368" s="132"/>
      <c r="B1368" s="132"/>
      <c r="Q1368" s="133"/>
    </row>
    <row r="1369" ht="15.75" customHeight="1">
      <c r="A1369" s="132"/>
      <c r="B1369" s="132"/>
      <c r="Q1369" s="133"/>
    </row>
    <row r="1370" ht="15.75" customHeight="1">
      <c r="A1370" s="132"/>
      <c r="B1370" s="132"/>
      <c r="Q1370" s="133"/>
    </row>
    <row r="1371" ht="15.75" customHeight="1">
      <c r="A1371" s="132"/>
      <c r="B1371" s="132"/>
      <c r="Q1371" s="133"/>
    </row>
    <row r="1372" ht="15.75" customHeight="1">
      <c r="A1372" s="132"/>
      <c r="B1372" s="132"/>
      <c r="Q1372" s="133"/>
    </row>
    <row r="1373" ht="15.75" customHeight="1">
      <c r="A1373" s="132"/>
      <c r="B1373" s="132"/>
      <c r="Q1373" s="133"/>
    </row>
    <row r="1374" ht="15.75" customHeight="1">
      <c r="A1374" s="132"/>
      <c r="B1374" s="132"/>
      <c r="Q1374" s="133"/>
    </row>
    <row r="1375" ht="15.75" customHeight="1">
      <c r="A1375" s="132"/>
      <c r="B1375" s="132"/>
      <c r="Q1375" s="133"/>
    </row>
    <row r="1376" ht="15.75" customHeight="1">
      <c r="A1376" s="132"/>
      <c r="B1376" s="132"/>
      <c r="Q1376" s="133"/>
    </row>
    <row r="1377" ht="15.75" customHeight="1">
      <c r="A1377" s="132"/>
      <c r="B1377" s="132"/>
      <c r="Q1377" s="133"/>
    </row>
    <row r="1378" ht="15.75" customHeight="1">
      <c r="A1378" s="132"/>
      <c r="B1378" s="132"/>
      <c r="Q1378" s="133"/>
    </row>
    <row r="1379" ht="15.75" customHeight="1">
      <c r="A1379" s="132"/>
      <c r="B1379" s="132"/>
      <c r="Q1379" s="133"/>
    </row>
    <row r="1380" ht="15.75" customHeight="1">
      <c r="A1380" s="132"/>
      <c r="B1380" s="132"/>
      <c r="Q1380" s="133"/>
    </row>
    <row r="1381" ht="15.75" customHeight="1">
      <c r="A1381" s="132"/>
      <c r="B1381" s="132"/>
      <c r="Q1381" s="133"/>
    </row>
    <row r="1382" ht="15.75" customHeight="1">
      <c r="A1382" s="132"/>
      <c r="B1382" s="132"/>
      <c r="Q1382" s="133"/>
    </row>
    <row r="1383" ht="15.75" customHeight="1">
      <c r="A1383" s="132"/>
      <c r="B1383" s="132"/>
      <c r="Q1383" s="133"/>
    </row>
    <row r="1384" ht="15.75" customHeight="1">
      <c r="A1384" s="132"/>
      <c r="B1384" s="132"/>
      <c r="Q1384" s="133"/>
    </row>
    <row r="1385" ht="15.75" customHeight="1">
      <c r="A1385" s="132"/>
      <c r="B1385" s="132"/>
      <c r="Q1385" s="133"/>
    </row>
    <row r="1386" ht="15.75" customHeight="1">
      <c r="A1386" s="132"/>
      <c r="B1386" s="132"/>
      <c r="Q1386" s="133"/>
    </row>
    <row r="1387" ht="15.75" customHeight="1">
      <c r="A1387" s="132"/>
      <c r="B1387" s="132"/>
      <c r="Q1387" s="133"/>
    </row>
    <row r="1388" ht="15.75" customHeight="1">
      <c r="A1388" s="132"/>
      <c r="B1388" s="132"/>
      <c r="Q1388" s="133"/>
    </row>
    <row r="1389" ht="15.75" customHeight="1">
      <c r="A1389" s="132"/>
      <c r="B1389" s="132"/>
      <c r="Q1389" s="133"/>
    </row>
    <row r="1390" ht="15.75" customHeight="1">
      <c r="A1390" s="132"/>
      <c r="B1390" s="132"/>
      <c r="Q1390" s="133"/>
    </row>
    <row r="1391" ht="15.75" customHeight="1">
      <c r="A1391" s="132"/>
      <c r="B1391" s="132"/>
      <c r="Q1391" s="133"/>
    </row>
    <row r="1392" ht="15.75" customHeight="1">
      <c r="A1392" s="132"/>
      <c r="B1392" s="132"/>
      <c r="Q1392" s="133"/>
    </row>
    <row r="1393" ht="15.75" customHeight="1">
      <c r="A1393" s="132"/>
      <c r="B1393" s="132"/>
      <c r="Q1393" s="133"/>
    </row>
    <row r="1394" ht="15.75" customHeight="1">
      <c r="A1394" s="132"/>
      <c r="B1394" s="132"/>
      <c r="Q1394" s="133"/>
    </row>
    <row r="1395" ht="15.75" customHeight="1">
      <c r="A1395" s="132"/>
      <c r="B1395" s="132"/>
      <c r="Q1395" s="133"/>
    </row>
    <row r="1396" ht="15.75" customHeight="1">
      <c r="A1396" s="132"/>
      <c r="B1396" s="132"/>
      <c r="Q1396" s="133"/>
    </row>
    <row r="1397" ht="15.75" customHeight="1">
      <c r="A1397" s="132"/>
      <c r="B1397" s="132"/>
      <c r="Q1397" s="133"/>
    </row>
    <row r="1398" ht="15.75" customHeight="1">
      <c r="A1398" s="132"/>
      <c r="B1398" s="132"/>
      <c r="Q1398" s="133"/>
    </row>
    <row r="1399" ht="15.75" customHeight="1">
      <c r="A1399" s="132"/>
      <c r="B1399" s="132"/>
      <c r="Q1399" s="133"/>
    </row>
    <row r="1400" ht="15.75" customHeight="1">
      <c r="A1400" s="132"/>
      <c r="B1400" s="132"/>
      <c r="Q1400" s="133"/>
    </row>
    <row r="1401" ht="15.75" customHeight="1">
      <c r="A1401" s="132"/>
      <c r="B1401" s="132"/>
      <c r="Q1401" s="133"/>
    </row>
    <row r="1402" ht="15.75" customHeight="1">
      <c r="A1402" s="132"/>
      <c r="B1402" s="132"/>
      <c r="Q1402" s="133"/>
    </row>
    <row r="1403" ht="15.75" customHeight="1">
      <c r="A1403" s="132"/>
      <c r="B1403" s="132"/>
      <c r="Q1403" s="133"/>
    </row>
    <row r="1404" ht="15.75" customHeight="1">
      <c r="A1404" s="132"/>
      <c r="B1404" s="132"/>
      <c r="Q1404" s="133"/>
    </row>
    <row r="1405" ht="15.75" customHeight="1">
      <c r="A1405" s="132"/>
      <c r="B1405" s="132"/>
      <c r="Q1405" s="133"/>
    </row>
    <row r="1406" ht="15.75" customHeight="1">
      <c r="A1406" s="132"/>
      <c r="B1406" s="132"/>
      <c r="Q1406" s="133"/>
    </row>
    <row r="1407" ht="15.75" customHeight="1">
      <c r="A1407" s="132"/>
      <c r="B1407" s="132"/>
      <c r="Q1407" s="133"/>
    </row>
    <row r="1408" ht="15.75" customHeight="1">
      <c r="A1408" s="132"/>
      <c r="B1408" s="132"/>
      <c r="Q1408" s="133"/>
    </row>
    <row r="1409" ht="15.75" customHeight="1">
      <c r="A1409" s="132"/>
      <c r="B1409" s="132"/>
      <c r="Q1409" s="133"/>
    </row>
    <row r="1410" ht="15.75" customHeight="1">
      <c r="A1410" s="132"/>
      <c r="B1410" s="132"/>
      <c r="Q1410" s="133"/>
    </row>
    <row r="1411" ht="15.75" customHeight="1">
      <c r="A1411" s="132"/>
      <c r="B1411" s="132"/>
      <c r="Q1411" s="133"/>
    </row>
    <row r="1412" ht="15.75" customHeight="1">
      <c r="A1412" s="132"/>
      <c r="B1412" s="132"/>
      <c r="Q1412" s="133"/>
    </row>
    <row r="1413" ht="15.75" customHeight="1">
      <c r="A1413" s="132"/>
      <c r="B1413" s="132"/>
      <c r="Q1413" s="133"/>
    </row>
    <row r="1414" ht="15.75" customHeight="1">
      <c r="A1414" s="132"/>
      <c r="B1414" s="132"/>
      <c r="Q1414" s="133"/>
    </row>
    <row r="1415" ht="15.75" customHeight="1">
      <c r="A1415" s="132"/>
      <c r="B1415" s="132"/>
      <c r="Q1415" s="133"/>
    </row>
    <row r="1416" ht="15.75" customHeight="1">
      <c r="A1416" s="132"/>
      <c r="B1416" s="132"/>
      <c r="Q1416" s="133"/>
    </row>
    <row r="1417" ht="15.75" customHeight="1">
      <c r="A1417" s="132"/>
      <c r="B1417" s="132"/>
      <c r="Q1417" s="133"/>
    </row>
    <row r="1418" ht="15.75" customHeight="1">
      <c r="A1418" s="132"/>
      <c r="B1418" s="132"/>
      <c r="Q1418" s="133"/>
    </row>
    <row r="1419" ht="15.75" customHeight="1">
      <c r="A1419" s="132"/>
      <c r="B1419" s="132"/>
      <c r="Q1419" s="133"/>
    </row>
    <row r="1420" ht="15.75" customHeight="1">
      <c r="A1420" s="132"/>
      <c r="B1420" s="132"/>
      <c r="Q1420" s="133"/>
    </row>
    <row r="1421" ht="15.75" customHeight="1">
      <c r="A1421" s="132"/>
      <c r="B1421" s="132"/>
      <c r="Q1421" s="133"/>
    </row>
    <row r="1422" ht="15.75" customHeight="1">
      <c r="A1422" s="132"/>
      <c r="B1422" s="132"/>
      <c r="Q1422" s="133"/>
    </row>
    <row r="1423" ht="15.75" customHeight="1">
      <c r="A1423" s="132"/>
      <c r="B1423" s="132"/>
      <c r="Q1423" s="133"/>
    </row>
    <row r="1424" ht="15.75" customHeight="1">
      <c r="A1424" s="132"/>
      <c r="B1424" s="132"/>
      <c r="Q1424" s="133"/>
    </row>
    <row r="1425" ht="15.75" customHeight="1">
      <c r="A1425" s="132"/>
      <c r="B1425" s="132"/>
      <c r="Q1425" s="133"/>
    </row>
    <row r="1426" ht="15.75" customHeight="1">
      <c r="A1426" s="132"/>
      <c r="B1426" s="132"/>
      <c r="Q1426" s="133"/>
    </row>
    <row r="1427" ht="15.75" customHeight="1">
      <c r="A1427" s="132"/>
      <c r="B1427" s="132"/>
      <c r="Q1427" s="133"/>
    </row>
    <row r="1428" ht="15.75" customHeight="1">
      <c r="A1428" s="132"/>
      <c r="B1428" s="132"/>
      <c r="Q1428" s="133"/>
    </row>
    <row r="1429" ht="15.75" customHeight="1">
      <c r="A1429" s="132"/>
      <c r="B1429" s="132"/>
      <c r="Q1429" s="133"/>
    </row>
    <row r="1430" ht="15.75" customHeight="1">
      <c r="A1430" s="132"/>
      <c r="B1430" s="132"/>
      <c r="Q1430" s="133"/>
    </row>
    <row r="1431" ht="15.75" customHeight="1">
      <c r="A1431" s="132"/>
      <c r="B1431" s="132"/>
      <c r="Q1431" s="133"/>
    </row>
    <row r="1432" ht="15.75" customHeight="1">
      <c r="A1432" s="132"/>
      <c r="B1432" s="132"/>
      <c r="Q1432" s="133"/>
    </row>
    <row r="1433" ht="15.75" customHeight="1">
      <c r="A1433" s="132"/>
      <c r="B1433" s="132"/>
      <c r="Q1433" s="133"/>
    </row>
    <row r="1434" ht="15.75" customHeight="1">
      <c r="A1434" s="132"/>
      <c r="B1434" s="132"/>
      <c r="Q1434" s="133"/>
    </row>
    <row r="1435" ht="15.75" customHeight="1">
      <c r="A1435" s="132"/>
      <c r="B1435" s="132"/>
      <c r="Q1435" s="133"/>
    </row>
    <row r="1436" ht="15.75" customHeight="1">
      <c r="A1436" s="132"/>
      <c r="B1436" s="132"/>
      <c r="Q1436" s="133"/>
    </row>
    <row r="1437" ht="15.75" customHeight="1">
      <c r="A1437" s="132"/>
      <c r="B1437" s="132"/>
      <c r="Q1437" s="133"/>
    </row>
    <row r="1438" ht="15.75" customHeight="1">
      <c r="A1438" s="132"/>
      <c r="B1438" s="132"/>
      <c r="Q1438" s="133"/>
    </row>
    <row r="1439" ht="15.75" customHeight="1">
      <c r="A1439" s="132"/>
      <c r="B1439" s="132"/>
      <c r="Q1439" s="133"/>
    </row>
    <row r="1440" ht="15.75" customHeight="1">
      <c r="A1440" s="132"/>
      <c r="B1440" s="132"/>
      <c r="Q1440" s="133"/>
    </row>
    <row r="1441" ht="15.75" customHeight="1">
      <c r="A1441" s="132"/>
      <c r="B1441" s="132"/>
      <c r="Q1441" s="133"/>
    </row>
    <row r="1442" ht="15.75" customHeight="1">
      <c r="A1442" s="132"/>
      <c r="B1442" s="132"/>
      <c r="Q1442" s="133"/>
    </row>
    <row r="1443" ht="15.75" customHeight="1">
      <c r="A1443" s="132"/>
      <c r="B1443" s="132"/>
      <c r="Q1443" s="133"/>
    </row>
    <row r="1444" ht="15.75" customHeight="1">
      <c r="A1444" s="132"/>
      <c r="B1444" s="132"/>
      <c r="Q1444" s="133"/>
    </row>
    <row r="1445" ht="15.75" customHeight="1">
      <c r="A1445" s="132"/>
      <c r="B1445" s="132"/>
      <c r="Q1445" s="133"/>
    </row>
    <row r="1446" ht="15.75" customHeight="1">
      <c r="A1446" s="132"/>
      <c r="B1446" s="132"/>
      <c r="Q1446" s="133"/>
    </row>
    <row r="1447" ht="15.75" customHeight="1">
      <c r="A1447" s="132"/>
      <c r="B1447" s="132"/>
      <c r="Q1447" s="133"/>
    </row>
    <row r="1448" ht="15.75" customHeight="1">
      <c r="A1448" s="132"/>
      <c r="B1448" s="132"/>
      <c r="Q1448" s="133"/>
    </row>
    <row r="1449" ht="15.75" customHeight="1">
      <c r="A1449" s="132"/>
      <c r="B1449" s="132"/>
      <c r="Q1449" s="133"/>
    </row>
    <row r="1450" ht="15.75" customHeight="1">
      <c r="A1450" s="132"/>
      <c r="B1450" s="132"/>
      <c r="Q1450" s="133"/>
    </row>
    <row r="1451" ht="15.75" customHeight="1">
      <c r="A1451" s="132"/>
      <c r="B1451" s="132"/>
      <c r="Q1451" s="133"/>
    </row>
    <row r="1452" ht="15.75" customHeight="1">
      <c r="A1452" s="132"/>
      <c r="B1452" s="132"/>
      <c r="Q1452" s="133"/>
    </row>
    <row r="1453" ht="15.75" customHeight="1">
      <c r="A1453" s="132"/>
      <c r="B1453" s="132"/>
      <c r="Q1453" s="133"/>
    </row>
    <row r="1454" ht="15.75" customHeight="1">
      <c r="A1454" s="132"/>
      <c r="B1454" s="132"/>
      <c r="Q1454" s="133"/>
    </row>
    <row r="1455" ht="15.75" customHeight="1">
      <c r="A1455" s="132"/>
      <c r="B1455" s="132"/>
      <c r="Q1455" s="133"/>
    </row>
    <row r="1456" ht="15.75" customHeight="1">
      <c r="A1456" s="132"/>
      <c r="B1456" s="132"/>
      <c r="Q1456" s="133"/>
    </row>
    <row r="1457" ht="15.75" customHeight="1">
      <c r="A1457" s="132"/>
      <c r="B1457" s="132"/>
      <c r="Q1457" s="133"/>
    </row>
    <row r="1458" ht="15.75" customHeight="1">
      <c r="A1458" s="132"/>
      <c r="B1458" s="132"/>
      <c r="Q1458" s="133"/>
    </row>
    <row r="1459" ht="15.75" customHeight="1">
      <c r="A1459" s="132"/>
      <c r="B1459" s="132"/>
      <c r="Q1459" s="133"/>
    </row>
    <row r="1460" ht="15.75" customHeight="1">
      <c r="A1460" s="132"/>
      <c r="B1460" s="132"/>
      <c r="Q1460" s="133"/>
    </row>
    <row r="1461" ht="15.75" customHeight="1">
      <c r="A1461" s="132"/>
      <c r="B1461" s="132"/>
      <c r="Q1461" s="133"/>
    </row>
    <row r="1462" ht="15.75" customHeight="1">
      <c r="A1462" s="132"/>
      <c r="B1462" s="132"/>
      <c r="Q1462" s="133"/>
    </row>
    <row r="1463" ht="15.75" customHeight="1">
      <c r="A1463" s="132"/>
      <c r="B1463" s="132"/>
      <c r="Q1463" s="133"/>
    </row>
    <row r="1464" ht="15.75" customHeight="1">
      <c r="A1464" s="132"/>
      <c r="B1464" s="132"/>
      <c r="Q1464" s="133"/>
    </row>
    <row r="1465" ht="15.75" customHeight="1">
      <c r="A1465" s="132"/>
      <c r="B1465" s="132"/>
      <c r="Q1465" s="133"/>
    </row>
    <row r="1466" ht="15.75" customHeight="1">
      <c r="A1466" s="132"/>
      <c r="B1466" s="132"/>
      <c r="Q1466" s="133"/>
    </row>
    <row r="1467" ht="15.75" customHeight="1">
      <c r="A1467" s="132"/>
      <c r="B1467" s="132"/>
      <c r="Q1467" s="133"/>
    </row>
    <row r="1468" ht="15.75" customHeight="1">
      <c r="A1468" s="132"/>
      <c r="B1468" s="132"/>
      <c r="Q1468" s="133"/>
    </row>
    <row r="1469" ht="15.75" customHeight="1">
      <c r="A1469" s="132"/>
      <c r="B1469" s="132"/>
      <c r="Q1469" s="133"/>
    </row>
    <row r="1470" ht="15.75" customHeight="1">
      <c r="A1470" s="132"/>
      <c r="B1470" s="132"/>
      <c r="Q1470" s="133"/>
    </row>
    <row r="1471" ht="15.75" customHeight="1">
      <c r="A1471" s="132"/>
      <c r="B1471" s="132"/>
      <c r="Q1471" s="133"/>
    </row>
    <row r="1472" ht="15.75" customHeight="1">
      <c r="A1472" s="132"/>
      <c r="B1472" s="132"/>
      <c r="Q1472" s="133"/>
    </row>
    <row r="1473" ht="15.75" customHeight="1">
      <c r="A1473" s="132"/>
      <c r="B1473" s="132"/>
      <c r="Q1473" s="133"/>
    </row>
    <row r="1474" ht="15.75" customHeight="1">
      <c r="A1474" s="132"/>
      <c r="B1474" s="132"/>
      <c r="Q1474" s="133"/>
    </row>
    <row r="1475" ht="15.75" customHeight="1">
      <c r="A1475" s="132"/>
      <c r="B1475" s="132"/>
      <c r="Q1475" s="133"/>
    </row>
    <row r="1476" ht="15.75" customHeight="1">
      <c r="A1476" s="132"/>
      <c r="B1476" s="132"/>
      <c r="Q1476" s="133"/>
    </row>
    <row r="1477" ht="15.75" customHeight="1">
      <c r="A1477" s="132"/>
      <c r="B1477" s="132"/>
      <c r="Q1477" s="133"/>
    </row>
    <row r="1478" ht="15.75" customHeight="1">
      <c r="A1478" s="132"/>
      <c r="B1478" s="132"/>
      <c r="Q1478" s="133"/>
    </row>
    <row r="1479" ht="15.75" customHeight="1">
      <c r="A1479" s="132"/>
      <c r="B1479" s="132"/>
      <c r="Q1479" s="133"/>
    </row>
    <row r="1480" ht="15.75" customHeight="1">
      <c r="A1480" s="132"/>
      <c r="B1480" s="132"/>
      <c r="Q1480" s="133"/>
    </row>
    <row r="1481" ht="15.75" customHeight="1">
      <c r="A1481" s="132"/>
      <c r="B1481" s="132"/>
      <c r="Q1481" s="133"/>
    </row>
    <row r="1482" ht="15.75" customHeight="1">
      <c r="A1482" s="132"/>
      <c r="B1482" s="132"/>
      <c r="Q1482" s="133"/>
    </row>
    <row r="1483" ht="15.75" customHeight="1">
      <c r="A1483" s="132"/>
      <c r="B1483" s="132"/>
      <c r="Q1483" s="133"/>
    </row>
    <row r="1484" ht="15.75" customHeight="1">
      <c r="A1484" s="132"/>
      <c r="B1484" s="132"/>
      <c r="Q1484" s="133"/>
    </row>
    <row r="1485" ht="15.75" customHeight="1">
      <c r="A1485" s="132"/>
      <c r="B1485" s="132"/>
      <c r="Q1485" s="133"/>
    </row>
    <row r="1486" ht="15.75" customHeight="1">
      <c r="A1486" s="132"/>
      <c r="B1486" s="132"/>
      <c r="Q1486" s="133"/>
    </row>
    <row r="1487" ht="15.75" customHeight="1">
      <c r="A1487" s="132"/>
      <c r="B1487" s="132"/>
      <c r="Q1487" s="133"/>
    </row>
    <row r="1488" ht="15.75" customHeight="1">
      <c r="A1488" s="132"/>
      <c r="B1488" s="132"/>
      <c r="Q1488" s="133"/>
    </row>
    <row r="1489" ht="15.75" customHeight="1">
      <c r="A1489" s="132"/>
      <c r="B1489" s="132"/>
      <c r="Q1489" s="133"/>
    </row>
    <row r="1490" ht="15.75" customHeight="1">
      <c r="A1490" s="132"/>
      <c r="B1490" s="132"/>
      <c r="Q1490" s="133"/>
    </row>
    <row r="1491" ht="15.75" customHeight="1">
      <c r="A1491" s="132"/>
      <c r="B1491" s="132"/>
      <c r="Q1491" s="133"/>
    </row>
    <row r="1492" ht="15.75" customHeight="1">
      <c r="A1492" s="132"/>
      <c r="B1492" s="132"/>
      <c r="Q1492" s="133"/>
    </row>
    <row r="1493" ht="15.75" customHeight="1">
      <c r="A1493" s="132"/>
      <c r="B1493" s="132"/>
      <c r="Q1493" s="133"/>
    </row>
    <row r="1494" ht="15.75" customHeight="1">
      <c r="A1494" s="132"/>
      <c r="B1494" s="132"/>
      <c r="Q1494" s="133"/>
    </row>
    <row r="1495" ht="15.75" customHeight="1">
      <c r="A1495" s="132"/>
      <c r="B1495" s="132"/>
      <c r="Q1495" s="133"/>
    </row>
    <row r="1496" ht="15.75" customHeight="1">
      <c r="A1496" s="132"/>
      <c r="B1496" s="132"/>
      <c r="Q1496" s="133"/>
    </row>
    <row r="1497" ht="15.75" customHeight="1">
      <c r="A1497" s="132"/>
      <c r="B1497" s="132"/>
      <c r="Q1497" s="133"/>
    </row>
    <row r="1498" ht="15.75" customHeight="1">
      <c r="A1498" s="132"/>
      <c r="B1498" s="132"/>
      <c r="Q1498" s="133"/>
    </row>
    <row r="1499" ht="15.75" customHeight="1">
      <c r="A1499" s="132"/>
      <c r="B1499" s="132"/>
      <c r="Q1499" s="133"/>
    </row>
    <row r="1500" ht="15.75" customHeight="1">
      <c r="A1500" s="132"/>
      <c r="B1500" s="132"/>
      <c r="Q1500" s="133"/>
    </row>
    <row r="1501" ht="15.75" customHeight="1">
      <c r="A1501" s="132"/>
      <c r="B1501" s="132"/>
      <c r="Q1501" s="133"/>
    </row>
    <row r="1502" ht="15.75" customHeight="1">
      <c r="A1502" s="132"/>
      <c r="B1502" s="132"/>
      <c r="Q1502" s="133"/>
    </row>
    <row r="1503" ht="15.75" customHeight="1">
      <c r="A1503" s="132"/>
      <c r="B1503" s="132"/>
      <c r="Q1503" s="133"/>
    </row>
    <row r="1504" ht="15.75" customHeight="1">
      <c r="A1504" s="132"/>
      <c r="B1504" s="132"/>
      <c r="Q1504" s="133"/>
    </row>
    <row r="1505" ht="15.75" customHeight="1">
      <c r="A1505" s="132"/>
      <c r="B1505" s="132"/>
      <c r="Q1505" s="133"/>
    </row>
    <row r="1506" ht="15.75" customHeight="1">
      <c r="A1506" s="132"/>
      <c r="B1506" s="132"/>
      <c r="Q1506" s="133"/>
    </row>
    <row r="1507" ht="15.75" customHeight="1">
      <c r="A1507" s="132"/>
      <c r="B1507" s="132"/>
      <c r="Q1507" s="133"/>
    </row>
    <row r="1508" ht="15.75" customHeight="1">
      <c r="A1508" s="132"/>
      <c r="B1508" s="132"/>
      <c r="Q1508" s="133"/>
    </row>
    <row r="1509" ht="15.75" customHeight="1">
      <c r="A1509" s="132"/>
      <c r="B1509" s="132"/>
      <c r="Q1509" s="133"/>
    </row>
    <row r="1510" ht="15.75" customHeight="1">
      <c r="A1510" s="132"/>
      <c r="B1510" s="132"/>
      <c r="Q1510" s="133"/>
    </row>
    <row r="1511" ht="15.75" customHeight="1">
      <c r="A1511" s="132"/>
      <c r="B1511" s="132"/>
      <c r="Q1511" s="133"/>
    </row>
    <row r="1512" ht="15.75" customHeight="1">
      <c r="A1512" s="132"/>
      <c r="B1512" s="132"/>
      <c r="Q1512" s="133"/>
    </row>
    <row r="1513" ht="15.75" customHeight="1">
      <c r="A1513" s="132"/>
      <c r="B1513" s="132"/>
      <c r="Q1513" s="133"/>
    </row>
    <row r="1514" ht="15.75" customHeight="1">
      <c r="A1514" s="132"/>
      <c r="B1514" s="132"/>
      <c r="Q1514" s="133"/>
    </row>
    <row r="1515" ht="15.75" customHeight="1">
      <c r="A1515" s="132"/>
      <c r="B1515" s="132"/>
      <c r="Q1515" s="133"/>
    </row>
    <row r="1516" ht="15.75" customHeight="1">
      <c r="A1516" s="132"/>
      <c r="B1516" s="132"/>
      <c r="Q1516" s="133"/>
    </row>
    <row r="1517" ht="15.75" customHeight="1">
      <c r="A1517" s="132"/>
      <c r="B1517" s="132"/>
      <c r="Q1517" s="133"/>
    </row>
    <row r="1518" ht="15.75" customHeight="1">
      <c r="A1518" s="132"/>
      <c r="B1518" s="132"/>
      <c r="Q1518" s="133"/>
    </row>
    <row r="1519" ht="15.75" customHeight="1">
      <c r="A1519" s="132"/>
      <c r="B1519" s="132"/>
      <c r="Q1519" s="133"/>
    </row>
    <row r="1520" ht="15.75" customHeight="1">
      <c r="A1520" s="132"/>
      <c r="B1520" s="132"/>
      <c r="Q1520" s="133"/>
    </row>
    <row r="1521" ht="15.75" customHeight="1">
      <c r="A1521" s="132"/>
      <c r="B1521" s="132"/>
      <c r="Q1521" s="133"/>
    </row>
    <row r="1522" ht="15.75" customHeight="1">
      <c r="A1522" s="132"/>
      <c r="B1522" s="132"/>
      <c r="Q1522" s="133"/>
    </row>
    <row r="1523" ht="15.75" customHeight="1">
      <c r="A1523" s="132"/>
      <c r="B1523" s="132"/>
      <c r="Q1523" s="133"/>
    </row>
    <row r="1524" ht="15.75" customHeight="1">
      <c r="A1524" s="132"/>
      <c r="B1524" s="132"/>
      <c r="Q1524" s="133"/>
    </row>
    <row r="1525" ht="15.75" customHeight="1">
      <c r="A1525" s="132"/>
      <c r="B1525" s="132"/>
      <c r="Q1525" s="133"/>
    </row>
    <row r="1526" ht="15.75" customHeight="1">
      <c r="A1526" s="132"/>
      <c r="B1526" s="132"/>
      <c r="Q1526" s="133"/>
    </row>
    <row r="1527" ht="15.75" customHeight="1">
      <c r="A1527" s="132"/>
      <c r="B1527" s="132"/>
      <c r="Q1527" s="133"/>
    </row>
    <row r="1528" ht="15.75" customHeight="1">
      <c r="A1528" s="132"/>
      <c r="B1528" s="132"/>
      <c r="Q1528" s="133"/>
    </row>
    <row r="1529" ht="15.75" customHeight="1">
      <c r="A1529" s="132"/>
      <c r="B1529" s="132"/>
      <c r="Q1529" s="133"/>
    </row>
    <row r="1530" ht="15.75" customHeight="1">
      <c r="A1530" s="132"/>
      <c r="B1530" s="132"/>
      <c r="Q1530" s="133"/>
    </row>
    <row r="1531" ht="15.75" customHeight="1">
      <c r="A1531" s="132"/>
      <c r="B1531" s="132"/>
      <c r="Q1531" s="133"/>
    </row>
    <row r="1532" ht="15.75" customHeight="1">
      <c r="A1532" s="132"/>
      <c r="B1532" s="132"/>
      <c r="Q1532" s="133"/>
    </row>
    <row r="1533" ht="15.75" customHeight="1">
      <c r="A1533" s="132"/>
      <c r="B1533" s="132"/>
      <c r="Q1533" s="133"/>
    </row>
    <row r="1534" ht="15.75" customHeight="1">
      <c r="A1534" s="132"/>
      <c r="B1534" s="132"/>
      <c r="Q1534" s="133"/>
    </row>
    <row r="1535" ht="15.75" customHeight="1">
      <c r="A1535" s="132"/>
      <c r="B1535" s="132"/>
      <c r="Q1535" s="133"/>
    </row>
    <row r="1536" ht="15.75" customHeight="1">
      <c r="A1536" s="132"/>
      <c r="B1536" s="132"/>
      <c r="Q1536" s="133"/>
    </row>
    <row r="1537" ht="15.75" customHeight="1">
      <c r="A1537" s="132"/>
      <c r="B1537" s="132"/>
      <c r="Q1537" s="133"/>
    </row>
    <row r="1538" ht="15.75" customHeight="1">
      <c r="A1538" s="132"/>
      <c r="B1538" s="132"/>
      <c r="Q1538" s="133"/>
    </row>
    <row r="1539" ht="15.75" customHeight="1">
      <c r="A1539" s="132"/>
      <c r="B1539" s="132"/>
      <c r="Q1539" s="133"/>
    </row>
    <row r="1540" ht="15.75" customHeight="1">
      <c r="A1540" s="132"/>
      <c r="B1540" s="132"/>
      <c r="Q1540" s="133"/>
    </row>
    <row r="1541" ht="15.75" customHeight="1">
      <c r="A1541" s="132"/>
      <c r="B1541" s="132"/>
      <c r="Q1541" s="133"/>
    </row>
    <row r="1542" ht="15.75" customHeight="1">
      <c r="A1542" s="132"/>
      <c r="B1542" s="132"/>
      <c r="Q1542" s="133"/>
    </row>
    <row r="1543" ht="15.75" customHeight="1">
      <c r="A1543" s="132"/>
      <c r="B1543" s="132"/>
      <c r="Q1543" s="133"/>
    </row>
    <row r="1544" ht="15.75" customHeight="1">
      <c r="A1544" s="132"/>
      <c r="B1544" s="132"/>
      <c r="Q1544" s="133"/>
    </row>
    <row r="1545" ht="15.75" customHeight="1">
      <c r="A1545" s="132"/>
      <c r="B1545" s="132"/>
      <c r="Q1545" s="133"/>
    </row>
    <row r="1546" ht="15.75" customHeight="1">
      <c r="A1546" s="132"/>
      <c r="B1546" s="132"/>
      <c r="Q1546" s="133"/>
    </row>
    <row r="1547" ht="15.75" customHeight="1">
      <c r="A1547" s="132"/>
      <c r="B1547" s="132"/>
      <c r="Q1547" s="133"/>
    </row>
    <row r="1548" ht="15.75" customHeight="1">
      <c r="A1548" s="132"/>
      <c r="B1548" s="132"/>
      <c r="Q1548" s="133"/>
    </row>
    <row r="1549" ht="15.75" customHeight="1">
      <c r="A1549" s="132"/>
      <c r="B1549" s="132"/>
      <c r="Q1549" s="133"/>
    </row>
    <row r="1550" ht="15.75" customHeight="1">
      <c r="A1550" s="132"/>
      <c r="B1550" s="132"/>
      <c r="Q1550" s="133"/>
    </row>
    <row r="1551" ht="15.75" customHeight="1">
      <c r="A1551" s="132"/>
      <c r="B1551" s="132"/>
      <c r="Q1551" s="133"/>
    </row>
    <row r="1552" ht="15.75" customHeight="1">
      <c r="A1552" s="132"/>
      <c r="B1552" s="132"/>
      <c r="Q1552" s="133"/>
    </row>
    <row r="1553" ht="15.75" customHeight="1">
      <c r="A1553" s="132"/>
      <c r="B1553" s="132"/>
      <c r="Q1553" s="133"/>
    </row>
    <row r="1554" ht="15.75" customHeight="1">
      <c r="A1554" s="132"/>
      <c r="B1554" s="132"/>
      <c r="Q1554" s="133"/>
    </row>
    <row r="1555" ht="15.75" customHeight="1">
      <c r="A1555" s="132"/>
      <c r="B1555" s="132"/>
      <c r="Q1555" s="133"/>
    </row>
    <row r="1556" ht="15.75" customHeight="1">
      <c r="A1556" s="132"/>
      <c r="B1556" s="132"/>
      <c r="Q1556" s="133"/>
    </row>
    <row r="1557" ht="15.75" customHeight="1">
      <c r="A1557" s="132"/>
      <c r="B1557" s="132"/>
      <c r="Q1557" s="133"/>
    </row>
    <row r="1558" ht="15.75" customHeight="1">
      <c r="A1558" s="132"/>
      <c r="B1558" s="132"/>
      <c r="Q1558" s="133"/>
    </row>
    <row r="1559" ht="15.75" customHeight="1">
      <c r="A1559" s="132"/>
      <c r="B1559" s="132"/>
      <c r="Q1559" s="133"/>
    </row>
    <row r="1560" ht="15.75" customHeight="1">
      <c r="A1560" s="132"/>
      <c r="B1560" s="132"/>
      <c r="Q1560" s="133"/>
    </row>
    <row r="1561" ht="15.75" customHeight="1">
      <c r="A1561" s="132"/>
      <c r="B1561" s="132"/>
      <c r="Q1561" s="133"/>
    </row>
    <row r="1562" ht="15.75" customHeight="1">
      <c r="A1562" s="132"/>
      <c r="B1562" s="132"/>
      <c r="Q1562" s="133"/>
    </row>
    <row r="1563" ht="15.75" customHeight="1">
      <c r="A1563" s="132"/>
      <c r="B1563" s="132"/>
      <c r="Q1563" s="133"/>
    </row>
    <row r="1564" ht="15.75" customHeight="1">
      <c r="A1564" s="132"/>
      <c r="B1564" s="132"/>
      <c r="Q1564" s="133"/>
    </row>
    <row r="1565" ht="15.75" customHeight="1">
      <c r="A1565" s="132"/>
      <c r="B1565" s="132"/>
      <c r="Q1565" s="133"/>
    </row>
    <row r="1566" ht="15.75" customHeight="1">
      <c r="A1566" s="132"/>
      <c r="B1566" s="132"/>
      <c r="Q1566" s="133"/>
    </row>
    <row r="1567" ht="15.75" customHeight="1">
      <c r="A1567" s="132"/>
      <c r="B1567" s="132"/>
      <c r="Q1567" s="133"/>
    </row>
    <row r="1568" ht="15.75" customHeight="1">
      <c r="A1568" s="132"/>
      <c r="B1568" s="132"/>
      <c r="Q1568" s="133"/>
    </row>
    <row r="1569" ht="15.75" customHeight="1">
      <c r="A1569" s="132"/>
      <c r="B1569" s="132"/>
      <c r="Q1569" s="133"/>
    </row>
    <row r="1570" ht="15.75" customHeight="1">
      <c r="A1570" s="132"/>
      <c r="B1570" s="132"/>
      <c r="Q1570" s="133"/>
    </row>
    <row r="1571" ht="15.75" customHeight="1">
      <c r="A1571" s="132"/>
      <c r="B1571" s="132"/>
      <c r="Q1571" s="133"/>
    </row>
    <row r="1572" ht="15.75" customHeight="1">
      <c r="A1572" s="132"/>
      <c r="B1572" s="132"/>
      <c r="Q1572" s="133"/>
    </row>
    <row r="1573" ht="15.75" customHeight="1">
      <c r="A1573" s="132"/>
      <c r="B1573" s="132"/>
      <c r="Q1573" s="133"/>
    </row>
    <row r="1574" ht="15.75" customHeight="1">
      <c r="A1574" s="132"/>
      <c r="B1574" s="132"/>
      <c r="Q1574" s="133"/>
    </row>
    <row r="1575" ht="15.75" customHeight="1">
      <c r="A1575" s="132"/>
      <c r="B1575" s="132"/>
      <c r="Q1575" s="133"/>
    </row>
    <row r="1576" ht="15.75" customHeight="1">
      <c r="A1576" s="132"/>
      <c r="B1576" s="132"/>
      <c r="Q1576" s="133"/>
    </row>
    <row r="1577" ht="15.75" customHeight="1">
      <c r="A1577" s="132"/>
      <c r="B1577" s="132"/>
      <c r="Q1577" s="133"/>
    </row>
    <row r="1578" ht="15.75" customHeight="1">
      <c r="A1578" s="132"/>
      <c r="B1578" s="132"/>
      <c r="Q1578" s="133"/>
    </row>
    <row r="1579" ht="15.75" customHeight="1">
      <c r="A1579" s="132"/>
      <c r="B1579" s="132"/>
      <c r="Q1579" s="133"/>
    </row>
    <row r="1580" ht="15.75" customHeight="1">
      <c r="A1580" s="132"/>
      <c r="B1580" s="132"/>
      <c r="Q1580" s="133"/>
    </row>
    <row r="1581" ht="15.75" customHeight="1">
      <c r="A1581" s="132"/>
      <c r="B1581" s="132"/>
      <c r="Q1581" s="133"/>
    </row>
    <row r="1582" ht="15.75" customHeight="1">
      <c r="A1582" s="132"/>
      <c r="B1582" s="132"/>
      <c r="Q1582" s="133"/>
    </row>
    <row r="1583" ht="15.75" customHeight="1">
      <c r="A1583" s="132"/>
      <c r="B1583" s="132"/>
      <c r="Q1583" s="133"/>
    </row>
    <row r="1584" ht="15.75" customHeight="1">
      <c r="A1584" s="132"/>
      <c r="B1584" s="132"/>
      <c r="Q1584" s="133"/>
    </row>
    <row r="1585" ht="15.75" customHeight="1">
      <c r="A1585" s="132"/>
      <c r="B1585" s="132"/>
      <c r="Q1585" s="133"/>
    </row>
    <row r="1586" ht="15.75" customHeight="1">
      <c r="A1586" s="132"/>
      <c r="B1586" s="132"/>
      <c r="Q1586" s="133"/>
    </row>
    <row r="1587" ht="15.75" customHeight="1">
      <c r="A1587" s="132"/>
      <c r="B1587" s="132"/>
      <c r="Q1587" s="133"/>
    </row>
    <row r="1588" ht="15.75" customHeight="1">
      <c r="A1588" s="132"/>
      <c r="B1588" s="132"/>
      <c r="Q1588" s="133"/>
    </row>
    <row r="1589" ht="15.75" customHeight="1">
      <c r="A1589" s="132"/>
      <c r="B1589" s="132"/>
      <c r="Q1589" s="133"/>
    </row>
    <row r="1590" ht="15.75" customHeight="1">
      <c r="A1590" s="132"/>
      <c r="B1590" s="132"/>
      <c r="Q1590" s="133"/>
    </row>
    <row r="1591" ht="15.75" customHeight="1">
      <c r="A1591" s="132"/>
      <c r="B1591" s="132"/>
      <c r="Q1591" s="133"/>
    </row>
    <row r="1592" ht="15.75" customHeight="1">
      <c r="A1592" s="132"/>
      <c r="B1592" s="132"/>
      <c r="Q1592" s="133"/>
    </row>
    <row r="1593" ht="15.75" customHeight="1">
      <c r="A1593" s="132"/>
      <c r="B1593" s="132"/>
      <c r="Q1593" s="133"/>
    </row>
    <row r="1594" ht="15.75" customHeight="1">
      <c r="A1594" s="132"/>
      <c r="B1594" s="132"/>
      <c r="Q1594" s="133"/>
    </row>
    <row r="1595" ht="15.75" customHeight="1">
      <c r="A1595" s="132"/>
      <c r="B1595" s="132"/>
      <c r="Q1595" s="133"/>
    </row>
    <row r="1596" ht="15.75" customHeight="1">
      <c r="A1596" s="132"/>
      <c r="B1596" s="132"/>
      <c r="Q1596" s="133"/>
    </row>
    <row r="1597" ht="15.75" customHeight="1">
      <c r="A1597" s="132"/>
      <c r="B1597" s="132"/>
      <c r="Q1597" s="133"/>
    </row>
    <row r="1598" ht="15.75" customHeight="1">
      <c r="A1598" s="132"/>
      <c r="B1598" s="132"/>
      <c r="Q1598" s="133"/>
    </row>
    <row r="1599" ht="15.75" customHeight="1">
      <c r="A1599" s="132"/>
      <c r="B1599" s="132"/>
      <c r="Q1599" s="133"/>
    </row>
    <row r="1600" ht="15.75" customHeight="1">
      <c r="A1600" s="132"/>
      <c r="B1600" s="132"/>
      <c r="Q1600" s="133"/>
    </row>
    <row r="1601" ht="15.75" customHeight="1">
      <c r="A1601" s="132"/>
      <c r="B1601" s="132"/>
      <c r="Q1601" s="133"/>
    </row>
    <row r="1602" ht="15.75" customHeight="1">
      <c r="A1602" s="132"/>
      <c r="B1602" s="132"/>
      <c r="Q1602" s="133"/>
    </row>
    <row r="1603" ht="15.75" customHeight="1">
      <c r="A1603" s="132"/>
      <c r="B1603" s="132"/>
      <c r="Q1603" s="133"/>
    </row>
    <row r="1604" ht="15.75" customHeight="1">
      <c r="A1604" s="132"/>
      <c r="B1604" s="132"/>
      <c r="Q1604" s="133"/>
    </row>
    <row r="1605" ht="15.75" customHeight="1">
      <c r="A1605" s="132"/>
      <c r="B1605" s="132"/>
      <c r="Q1605" s="133"/>
    </row>
    <row r="1606" ht="15.75" customHeight="1">
      <c r="A1606" s="132"/>
      <c r="B1606" s="132"/>
      <c r="Q1606" s="133"/>
    </row>
    <row r="1607" ht="15.75" customHeight="1">
      <c r="A1607" s="132"/>
      <c r="B1607" s="132"/>
      <c r="Q1607" s="133"/>
    </row>
    <row r="1608" ht="15.75" customHeight="1">
      <c r="A1608" s="132"/>
      <c r="B1608" s="132"/>
      <c r="Q1608" s="133"/>
    </row>
    <row r="1609" ht="15.75" customHeight="1">
      <c r="A1609" s="132"/>
      <c r="B1609" s="132"/>
      <c r="Q1609" s="133"/>
    </row>
    <row r="1610" ht="15.75" customHeight="1">
      <c r="A1610" s="132"/>
      <c r="B1610" s="132"/>
      <c r="Q1610" s="133"/>
    </row>
    <row r="1611" ht="15.75" customHeight="1">
      <c r="A1611" s="132"/>
      <c r="B1611" s="132"/>
      <c r="Q1611" s="133"/>
    </row>
    <row r="1612" ht="15.75" customHeight="1">
      <c r="A1612" s="132"/>
      <c r="B1612" s="132"/>
      <c r="Q1612" s="133"/>
    </row>
    <row r="1613" ht="15.75" customHeight="1">
      <c r="A1613" s="132"/>
      <c r="B1613" s="132"/>
      <c r="Q1613" s="133"/>
    </row>
    <row r="1614" ht="15.75" customHeight="1">
      <c r="A1614" s="132"/>
      <c r="B1614" s="132"/>
      <c r="Q1614" s="133"/>
    </row>
    <row r="1615" ht="15.75" customHeight="1">
      <c r="A1615" s="132"/>
      <c r="B1615" s="132"/>
      <c r="Q1615" s="133"/>
    </row>
    <row r="1616" ht="15.75" customHeight="1">
      <c r="A1616" s="132"/>
      <c r="B1616" s="132"/>
      <c r="Q1616" s="133"/>
    </row>
    <row r="1617" ht="15.75" customHeight="1">
      <c r="A1617" s="132"/>
      <c r="B1617" s="132"/>
      <c r="Q1617" s="133"/>
    </row>
    <row r="1618" ht="15.75" customHeight="1">
      <c r="A1618" s="132"/>
      <c r="B1618" s="132"/>
      <c r="Q1618" s="133"/>
    </row>
    <row r="1619" ht="15.75" customHeight="1">
      <c r="A1619" s="132"/>
      <c r="B1619" s="132"/>
      <c r="Q1619" s="133"/>
    </row>
    <row r="1620" ht="15.75" customHeight="1">
      <c r="A1620" s="132"/>
      <c r="B1620" s="132"/>
      <c r="Q1620" s="133"/>
    </row>
    <row r="1621" ht="15.75" customHeight="1">
      <c r="A1621" s="132"/>
      <c r="B1621" s="132"/>
      <c r="Q1621" s="133"/>
    </row>
    <row r="1622" ht="15.75" customHeight="1">
      <c r="A1622" s="132"/>
      <c r="B1622" s="132"/>
      <c r="Q1622" s="133"/>
    </row>
    <row r="1623" ht="15.75" customHeight="1">
      <c r="A1623" s="132"/>
      <c r="B1623" s="132"/>
      <c r="Q1623" s="133"/>
    </row>
    <row r="1624" ht="15.75" customHeight="1">
      <c r="A1624" s="132"/>
      <c r="B1624" s="132"/>
      <c r="Q1624" s="133"/>
    </row>
    <row r="1625" ht="15.75" customHeight="1">
      <c r="A1625" s="132"/>
      <c r="B1625" s="132"/>
      <c r="Q1625" s="133"/>
    </row>
    <row r="1626" ht="15.75" customHeight="1">
      <c r="A1626" s="132"/>
      <c r="B1626" s="132"/>
      <c r="Q1626" s="133"/>
    </row>
    <row r="1627" ht="15.75" customHeight="1">
      <c r="A1627" s="132"/>
      <c r="B1627" s="132"/>
      <c r="Q1627" s="133"/>
    </row>
    <row r="1628" ht="15.75" customHeight="1">
      <c r="A1628" s="132"/>
      <c r="B1628" s="132"/>
      <c r="Q1628" s="133"/>
    </row>
    <row r="1629" ht="15.75" customHeight="1">
      <c r="A1629" s="132"/>
      <c r="B1629" s="132"/>
      <c r="Q1629" s="133"/>
    </row>
    <row r="1630" ht="15.75" customHeight="1">
      <c r="A1630" s="132"/>
      <c r="B1630" s="132"/>
      <c r="Q1630" s="133"/>
    </row>
    <row r="1631" ht="15.75" customHeight="1">
      <c r="A1631" s="132"/>
      <c r="B1631" s="132"/>
      <c r="Q1631" s="133"/>
    </row>
    <row r="1632" ht="15.75" customHeight="1">
      <c r="A1632" s="132"/>
      <c r="B1632" s="132"/>
      <c r="Q1632" s="133"/>
    </row>
    <row r="1633" ht="15.75" customHeight="1">
      <c r="A1633" s="132"/>
      <c r="B1633" s="132"/>
      <c r="Q1633" s="133"/>
    </row>
    <row r="1634" ht="15.75" customHeight="1">
      <c r="A1634" s="132"/>
      <c r="B1634" s="132"/>
      <c r="Q1634" s="133"/>
    </row>
    <row r="1635" ht="15.75" customHeight="1">
      <c r="A1635" s="132"/>
      <c r="B1635" s="132"/>
      <c r="Q1635" s="133"/>
    </row>
    <row r="1636" ht="15.75" customHeight="1">
      <c r="A1636" s="132"/>
      <c r="B1636" s="132"/>
      <c r="Q1636" s="133"/>
    </row>
    <row r="1637" ht="15.75" customHeight="1">
      <c r="A1637" s="132"/>
      <c r="B1637" s="132"/>
      <c r="Q1637" s="133"/>
    </row>
    <row r="1638" ht="15.75" customHeight="1">
      <c r="A1638" s="132"/>
      <c r="B1638" s="132"/>
      <c r="Q1638" s="133"/>
    </row>
    <row r="1639" ht="15.75" customHeight="1">
      <c r="A1639" s="132"/>
      <c r="B1639" s="132"/>
      <c r="Q1639" s="133"/>
    </row>
    <row r="1640" ht="15.75" customHeight="1">
      <c r="A1640" s="132"/>
      <c r="B1640" s="132"/>
      <c r="Q1640" s="133"/>
    </row>
    <row r="1641" ht="15.75" customHeight="1">
      <c r="A1641" s="132"/>
      <c r="B1641" s="132"/>
      <c r="Q1641" s="133"/>
    </row>
    <row r="1642" ht="15.75" customHeight="1">
      <c r="A1642" s="132"/>
      <c r="B1642" s="132"/>
      <c r="Q1642" s="133"/>
    </row>
    <row r="1643" ht="15.75" customHeight="1">
      <c r="A1643" s="132"/>
      <c r="B1643" s="132"/>
      <c r="Q1643" s="133"/>
    </row>
    <row r="1644" ht="15.75" customHeight="1">
      <c r="A1644" s="132"/>
      <c r="B1644" s="132"/>
      <c r="Q1644" s="133"/>
    </row>
    <row r="1645" ht="15.75" customHeight="1">
      <c r="A1645" s="132"/>
      <c r="B1645" s="132"/>
      <c r="Q1645" s="133"/>
    </row>
    <row r="1646" ht="15.75" customHeight="1">
      <c r="A1646" s="132"/>
      <c r="B1646" s="132"/>
      <c r="Q1646" s="133"/>
    </row>
    <row r="1647" ht="15.75" customHeight="1">
      <c r="A1647" s="132"/>
      <c r="B1647" s="132"/>
      <c r="Q1647" s="133"/>
    </row>
    <row r="1648" ht="15.75" customHeight="1">
      <c r="A1648" s="132"/>
      <c r="B1648" s="132"/>
      <c r="Q1648" s="133"/>
    </row>
    <row r="1649" ht="15.75" customHeight="1">
      <c r="A1649" s="132"/>
      <c r="B1649" s="132"/>
      <c r="Q1649" s="133"/>
    </row>
    <row r="1650" ht="15.75" customHeight="1">
      <c r="A1650" s="132"/>
      <c r="B1650" s="132"/>
      <c r="Q1650" s="133"/>
    </row>
    <row r="1651" ht="15.75" customHeight="1">
      <c r="A1651" s="132"/>
      <c r="B1651" s="132"/>
      <c r="Q1651" s="133"/>
    </row>
    <row r="1652" ht="15.75" customHeight="1">
      <c r="A1652" s="132"/>
      <c r="B1652" s="132"/>
      <c r="Q1652" s="133"/>
    </row>
    <row r="1653" ht="15.75" customHeight="1">
      <c r="A1653" s="132"/>
      <c r="B1653" s="132"/>
      <c r="Q1653" s="133"/>
    </row>
    <row r="1654" ht="15.75" customHeight="1">
      <c r="A1654" s="132"/>
      <c r="B1654" s="132"/>
      <c r="Q1654" s="133"/>
    </row>
    <row r="1655" ht="15.75" customHeight="1">
      <c r="A1655" s="132"/>
      <c r="B1655" s="132"/>
      <c r="Q1655" s="133"/>
    </row>
    <row r="1656" ht="15.75" customHeight="1">
      <c r="A1656" s="132"/>
      <c r="B1656" s="132"/>
      <c r="Q1656" s="133"/>
    </row>
    <row r="1657" ht="15.75" customHeight="1">
      <c r="A1657" s="132"/>
      <c r="B1657" s="132"/>
      <c r="Q1657" s="133"/>
    </row>
    <row r="1658" ht="15.75" customHeight="1">
      <c r="A1658" s="132"/>
      <c r="B1658" s="132"/>
      <c r="Q1658" s="133"/>
    </row>
    <row r="1659" ht="15.75" customHeight="1">
      <c r="A1659" s="132"/>
      <c r="B1659" s="132"/>
      <c r="Q1659" s="133"/>
    </row>
    <row r="1660" ht="15.75" customHeight="1">
      <c r="A1660" s="132"/>
      <c r="B1660" s="132"/>
      <c r="Q1660" s="133"/>
    </row>
    <row r="1661" ht="15.75" customHeight="1">
      <c r="A1661" s="132"/>
      <c r="B1661" s="132"/>
      <c r="Q1661" s="133"/>
    </row>
    <row r="1662" ht="15.75" customHeight="1">
      <c r="A1662" s="132"/>
      <c r="B1662" s="132"/>
      <c r="Q1662" s="133"/>
    </row>
    <row r="1663" ht="15.75" customHeight="1">
      <c r="A1663" s="132"/>
      <c r="B1663" s="132"/>
      <c r="Q1663" s="133"/>
    </row>
    <row r="1664" ht="15.75" customHeight="1">
      <c r="A1664" s="132"/>
      <c r="B1664" s="132"/>
      <c r="Q1664" s="133"/>
    </row>
    <row r="1665" ht="15.75" customHeight="1">
      <c r="A1665" s="132"/>
      <c r="B1665" s="132"/>
      <c r="Q1665" s="133"/>
    </row>
    <row r="1666" ht="15.75" customHeight="1">
      <c r="A1666" s="132"/>
      <c r="B1666" s="132"/>
      <c r="Q1666" s="133"/>
    </row>
    <row r="1667" ht="15.75" customHeight="1">
      <c r="A1667" s="132"/>
      <c r="B1667" s="132"/>
      <c r="Q1667" s="133"/>
    </row>
    <row r="1668" ht="15.75" customHeight="1">
      <c r="A1668" s="132"/>
      <c r="B1668" s="132"/>
      <c r="Q1668" s="133"/>
    </row>
    <row r="1669" ht="15.75" customHeight="1">
      <c r="A1669" s="132"/>
      <c r="B1669" s="132"/>
      <c r="Q1669" s="133"/>
    </row>
    <row r="1670" ht="15.75" customHeight="1">
      <c r="A1670" s="132"/>
      <c r="B1670" s="132"/>
      <c r="Q1670" s="133"/>
    </row>
    <row r="1671" ht="15.75" customHeight="1">
      <c r="A1671" s="132"/>
      <c r="B1671" s="132"/>
      <c r="Q1671" s="133"/>
    </row>
    <row r="1672" ht="15.75" customHeight="1">
      <c r="A1672" s="132"/>
      <c r="B1672" s="132"/>
      <c r="Q1672" s="133"/>
    </row>
    <row r="1673" ht="15.75" customHeight="1">
      <c r="A1673" s="132"/>
      <c r="B1673" s="132"/>
      <c r="Q1673" s="133"/>
    </row>
    <row r="1674" ht="15.75" customHeight="1">
      <c r="A1674" s="132"/>
      <c r="B1674" s="132"/>
      <c r="Q1674" s="133"/>
    </row>
    <row r="1675" ht="15.75" customHeight="1">
      <c r="A1675" s="132"/>
      <c r="B1675" s="132"/>
      <c r="Q1675" s="133"/>
    </row>
    <row r="1676" ht="15.75" customHeight="1">
      <c r="A1676" s="132"/>
      <c r="B1676" s="132"/>
      <c r="Q1676" s="133"/>
    </row>
    <row r="1677" ht="15.75" customHeight="1">
      <c r="A1677" s="132"/>
      <c r="B1677" s="132"/>
      <c r="Q1677" s="133"/>
    </row>
    <row r="1678" ht="15.75" customHeight="1">
      <c r="A1678" s="132"/>
      <c r="B1678" s="132"/>
      <c r="Q1678" s="133"/>
    </row>
    <row r="1679" ht="15.75" customHeight="1">
      <c r="A1679" s="132"/>
      <c r="B1679" s="132"/>
      <c r="Q1679" s="133"/>
    </row>
    <row r="1680" ht="15.75" customHeight="1">
      <c r="A1680" s="132"/>
      <c r="B1680" s="132"/>
      <c r="Q1680" s="133"/>
    </row>
    <row r="1681" ht="15.75" customHeight="1">
      <c r="A1681" s="132"/>
      <c r="B1681" s="132"/>
      <c r="Q1681" s="133"/>
    </row>
    <row r="1682" ht="15.75" customHeight="1">
      <c r="A1682" s="132"/>
      <c r="B1682" s="132"/>
      <c r="Q1682" s="133"/>
    </row>
    <row r="1683" ht="15.75" customHeight="1">
      <c r="A1683" s="132"/>
      <c r="B1683" s="132"/>
      <c r="Q1683" s="133"/>
    </row>
    <row r="1684" ht="15.75" customHeight="1">
      <c r="A1684" s="132"/>
      <c r="B1684" s="132"/>
      <c r="Q1684" s="133"/>
    </row>
    <row r="1685" ht="15.75" customHeight="1">
      <c r="A1685" s="132"/>
      <c r="B1685" s="132"/>
      <c r="Q1685" s="133"/>
    </row>
    <row r="1686" ht="15.75" customHeight="1">
      <c r="A1686" s="132"/>
      <c r="B1686" s="132"/>
      <c r="Q1686" s="133"/>
    </row>
    <row r="1687" ht="15.75" customHeight="1">
      <c r="A1687" s="132"/>
      <c r="B1687" s="132"/>
      <c r="Q1687" s="133"/>
    </row>
    <row r="1688" ht="15.75" customHeight="1">
      <c r="A1688" s="132"/>
      <c r="B1688" s="132"/>
      <c r="Q1688" s="133"/>
    </row>
    <row r="1689" ht="15.75" customHeight="1">
      <c r="A1689" s="132"/>
      <c r="B1689" s="132"/>
      <c r="Q1689" s="133"/>
    </row>
    <row r="1690" ht="15.75" customHeight="1">
      <c r="A1690" s="132"/>
      <c r="B1690" s="132"/>
      <c r="Q1690" s="133"/>
    </row>
    <row r="1691" ht="15.75" customHeight="1">
      <c r="A1691" s="132"/>
      <c r="B1691" s="132"/>
      <c r="Q1691" s="133"/>
    </row>
    <row r="1692" ht="15.75" customHeight="1">
      <c r="A1692" s="132"/>
      <c r="B1692" s="132"/>
      <c r="Q1692" s="133"/>
    </row>
    <row r="1693" ht="15.75" customHeight="1">
      <c r="A1693" s="132"/>
      <c r="B1693" s="132"/>
      <c r="Q1693" s="133"/>
    </row>
    <row r="1694" ht="15.75" customHeight="1">
      <c r="A1694" s="132"/>
      <c r="B1694" s="132"/>
      <c r="Q1694" s="133"/>
    </row>
    <row r="1695" ht="15.75" customHeight="1">
      <c r="A1695" s="132"/>
      <c r="B1695" s="132"/>
      <c r="Q1695" s="133"/>
    </row>
    <row r="1696" ht="15.75" customHeight="1">
      <c r="A1696" s="132"/>
      <c r="B1696" s="132"/>
      <c r="Q1696" s="133"/>
    </row>
    <row r="1697" ht="15.75" customHeight="1">
      <c r="A1697" s="132"/>
      <c r="B1697" s="132"/>
      <c r="Q1697" s="133"/>
    </row>
    <row r="1698" ht="15.75" customHeight="1">
      <c r="A1698" s="132"/>
      <c r="B1698" s="132"/>
      <c r="Q1698" s="133"/>
    </row>
    <row r="1699" ht="15.75" customHeight="1">
      <c r="A1699" s="132"/>
      <c r="B1699" s="132"/>
      <c r="Q1699" s="133"/>
    </row>
    <row r="1700" ht="15.75" customHeight="1">
      <c r="A1700" s="132"/>
      <c r="B1700" s="132"/>
      <c r="Q1700" s="133"/>
    </row>
    <row r="1701" ht="15.75" customHeight="1">
      <c r="A1701" s="132"/>
      <c r="B1701" s="132"/>
      <c r="Q1701" s="133"/>
    </row>
    <row r="1702" ht="15.75" customHeight="1">
      <c r="A1702" s="132"/>
      <c r="B1702" s="132"/>
      <c r="Q1702" s="133"/>
    </row>
    <row r="1703" ht="15.75" customHeight="1">
      <c r="A1703" s="132"/>
      <c r="B1703" s="132"/>
      <c r="Q1703" s="133"/>
    </row>
    <row r="1704" ht="15.75" customHeight="1">
      <c r="A1704" s="132"/>
      <c r="B1704" s="132"/>
      <c r="Q1704" s="133"/>
    </row>
    <row r="1705" ht="15.75" customHeight="1">
      <c r="A1705" s="132"/>
      <c r="B1705" s="132"/>
      <c r="Q1705" s="133"/>
    </row>
    <row r="1706" ht="15.75" customHeight="1">
      <c r="A1706" s="132"/>
      <c r="B1706" s="132"/>
      <c r="Q1706" s="133"/>
    </row>
    <row r="1707" ht="15.75" customHeight="1">
      <c r="A1707" s="132"/>
      <c r="B1707" s="132"/>
      <c r="Q1707" s="133"/>
    </row>
    <row r="1708" ht="15.75" customHeight="1">
      <c r="A1708" s="132"/>
      <c r="B1708" s="132"/>
      <c r="Q1708" s="133"/>
    </row>
    <row r="1709" ht="15.75" customHeight="1">
      <c r="A1709" s="132"/>
      <c r="B1709" s="132"/>
      <c r="Q1709" s="133"/>
    </row>
    <row r="1710" ht="15.75" customHeight="1">
      <c r="A1710" s="132"/>
      <c r="B1710" s="132"/>
      <c r="Q1710" s="133"/>
    </row>
    <row r="1711" ht="15.75" customHeight="1">
      <c r="A1711" s="132"/>
      <c r="B1711" s="132"/>
      <c r="Q1711" s="133"/>
    </row>
    <row r="1712" ht="15.75" customHeight="1">
      <c r="A1712" s="132"/>
      <c r="B1712" s="132"/>
      <c r="Q1712" s="133"/>
    </row>
    <row r="1713" ht="15.75" customHeight="1">
      <c r="A1713" s="132"/>
      <c r="B1713" s="132"/>
      <c r="Q1713" s="133"/>
    </row>
    <row r="1714" ht="15.75" customHeight="1">
      <c r="A1714" s="132"/>
      <c r="B1714" s="132"/>
      <c r="Q1714" s="133"/>
    </row>
    <row r="1715" ht="15.75" customHeight="1">
      <c r="A1715" s="132"/>
      <c r="B1715" s="132"/>
      <c r="Q1715" s="133"/>
    </row>
    <row r="1716" ht="15.75" customHeight="1">
      <c r="A1716" s="132"/>
      <c r="B1716" s="132"/>
      <c r="Q1716" s="133"/>
    </row>
    <row r="1717" ht="15.75" customHeight="1">
      <c r="A1717" s="132"/>
      <c r="B1717" s="132"/>
      <c r="Q1717" s="133"/>
    </row>
    <row r="1718" ht="15.75" customHeight="1">
      <c r="A1718" s="132"/>
      <c r="B1718" s="132"/>
      <c r="Q1718" s="133"/>
    </row>
    <row r="1719" ht="15.75" customHeight="1">
      <c r="A1719" s="132"/>
      <c r="B1719" s="132"/>
      <c r="Q1719" s="133"/>
    </row>
    <row r="1720" ht="15.75" customHeight="1">
      <c r="A1720" s="132"/>
      <c r="B1720" s="132"/>
      <c r="Q1720" s="133"/>
    </row>
    <row r="1721" ht="15.75" customHeight="1">
      <c r="A1721" s="132"/>
      <c r="B1721" s="132"/>
      <c r="Q1721" s="133"/>
    </row>
    <row r="1722" ht="15.75" customHeight="1">
      <c r="A1722" s="132"/>
      <c r="B1722" s="132"/>
      <c r="Q1722" s="133"/>
    </row>
    <row r="1723" ht="15.75" customHeight="1">
      <c r="A1723" s="132"/>
      <c r="B1723" s="132"/>
      <c r="Q1723" s="133"/>
    </row>
    <row r="1724" ht="15.75" customHeight="1">
      <c r="A1724" s="132"/>
      <c r="B1724" s="132"/>
      <c r="Q1724" s="133"/>
    </row>
    <row r="1725" ht="15.75" customHeight="1">
      <c r="A1725" s="132"/>
      <c r="B1725" s="132"/>
      <c r="Q1725" s="133"/>
    </row>
    <row r="1726" ht="15.75" customHeight="1">
      <c r="A1726" s="132"/>
      <c r="B1726" s="132"/>
      <c r="Q1726" s="133"/>
    </row>
    <row r="1727" ht="15.75" customHeight="1">
      <c r="A1727" s="132"/>
      <c r="B1727" s="132"/>
      <c r="Q1727" s="133"/>
    </row>
    <row r="1728" ht="15.75" customHeight="1">
      <c r="A1728" s="132"/>
      <c r="B1728" s="132"/>
      <c r="Q1728" s="133"/>
    </row>
    <row r="1729" ht="15.75" customHeight="1">
      <c r="A1729" s="132"/>
      <c r="B1729" s="132"/>
      <c r="Q1729" s="133"/>
    </row>
    <row r="1730" ht="15.75" customHeight="1">
      <c r="A1730" s="132"/>
      <c r="B1730" s="132"/>
      <c r="Q1730" s="133"/>
    </row>
    <row r="1731" ht="15.75" customHeight="1">
      <c r="A1731" s="132"/>
      <c r="B1731" s="132"/>
      <c r="Q1731" s="133"/>
    </row>
    <row r="1732" ht="15.75" customHeight="1">
      <c r="A1732" s="132"/>
      <c r="B1732" s="132"/>
      <c r="Q1732" s="133"/>
    </row>
    <row r="1733" ht="15.75" customHeight="1">
      <c r="A1733" s="132"/>
      <c r="B1733" s="132"/>
      <c r="Q1733" s="133"/>
    </row>
    <row r="1734" ht="15.75" customHeight="1">
      <c r="A1734" s="132"/>
      <c r="B1734" s="132"/>
      <c r="Q1734" s="133"/>
    </row>
    <row r="1735" ht="15.75" customHeight="1">
      <c r="A1735" s="132"/>
      <c r="B1735" s="132"/>
      <c r="Q1735" s="133"/>
    </row>
    <row r="1736" ht="15.75" customHeight="1">
      <c r="A1736" s="132"/>
      <c r="B1736" s="132"/>
      <c r="Q1736" s="133"/>
    </row>
    <row r="1737" ht="15.75" customHeight="1">
      <c r="A1737" s="132"/>
      <c r="B1737" s="132"/>
      <c r="Q1737" s="133"/>
    </row>
    <row r="1738" ht="15.75" customHeight="1">
      <c r="A1738" s="132"/>
      <c r="B1738" s="132"/>
      <c r="Q1738" s="133"/>
    </row>
    <row r="1739" ht="15.75" customHeight="1">
      <c r="A1739" s="132"/>
      <c r="B1739" s="132"/>
      <c r="Q1739" s="133"/>
    </row>
    <row r="1740" ht="15.75" customHeight="1">
      <c r="A1740" s="132"/>
      <c r="B1740" s="132"/>
      <c r="Q1740" s="133"/>
    </row>
    <row r="1741" ht="15.75" customHeight="1">
      <c r="A1741" s="132"/>
      <c r="B1741" s="132"/>
      <c r="Q1741" s="133"/>
    </row>
    <row r="1742" ht="15.75" customHeight="1">
      <c r="A1742" s="132"/>
      <c r="B1742" s="132"/>
      <c r="Q1742" s="133"/>
    </row>
    <row r="1743" ht="15.75" customHeight="1">
      <c r="A1743" s="132"/>
      <c r="B1743" s="132"/>
      <c r="Q1743" s="133"/>
    </row>
    <row r="1744" ht="15.75" customHeight="1">
      <c r="A1744" s="132"/>
      <c r="B1744" s="132"/>
      <c r="Q1744" s="133"/>
    </row>
    <row r="1745" ht="15.75" customHeight="1">
      <c r="A1745" s="132"/>
      <c r="B1745" s="132"/>
      <c r="Q1745" s="133"/>
    </row>
    <row r="1746" ht="15.75" customHeight="1">
      <c r="A1746" s="132"/>
      <c r="B1746" s="132"/>
      <c r="Q1746" s="133"/>
    </row>
    <row r="1747" ht="15.75" customHeight="1">
      <c r="A1747" s="132"/>
      <c r="B1747" s="132"/>
      <c r="Q1747" s="133"/>
    </row>
    <row r="1748" ht="15.75" customHeight="1">
      <c r="A1748" s="132"/>
      <c r="B1748" s="132"/>
      <c r="Q1748" s="133"/>
    </row>
    <row r="1749" ht="15.75" customHeight="1">
      <c r="A1749" s="132"/>
      <c r="B1749" s="132"/>
      <c r="Q1749" s="133"/>
    </row>
    <row r="1750" ht="15.75" customHeight="1">
      <c r="A1750" s="132"/>
      <c r="B1750" s="132"/>
      <c r="Q1750" s="133"/>
    </row>
    <row r="1751" ht="15.75" customHeight="1">
      <c r="A1751" s="132"/>
      <c r="B1751" s="132"/>
      <c r="Q1751" s="133"/>
    </row>
    <row r="1752" ht="15.75" customHeight="1">
      <c r="A1752" s="132"/>
      <c r="B1752" s="132"/>
      <c r="Q1752" s="133"/>
    </row>
    <row r="1753" ht="15.75" customHeight="1">
      <c r="A1753" s="132"/>
      <c r="B1753" s="132"/>
      <c r="Q1753" s="133"/>
    </row>
    <row r="1754" ht="15.75" customHeight="1">
      <c r="A1754" s="132"/>
      <c r="B1754" s="132"/>
      <c r="Q1754" s="133"/>
    </row>
    <row r="1755" ht="15.75" customHeight="1">
      <c r="A1755" s="132"/>
      <c r="B1755" s="132"/>
      <c r="Q1755" s="133"/>
    </row>
    <row r="1756" ht="15.75" customHeight="1">
      <c r="A1756" s="132"/>
      <c r="B1756" s="132"/>
      <c r="Q1756" s="133"/>
    </row>
    <row r="1757" ht="15.75" customHeight="1">
      <c r="A1757" s="132"/>
      <c r="B1757" s="132"/>
      <c r="Q1757" s="133"/>
    </row>
    <row r="1758" ht="15.75" customHeight="1">
      <c r="A1758" s="132"/>
      <c r="B1758" s="132"/>
      <c r="Q1758" s="133"/>
    </row>
    <row r="1759" ht="15.75" customHeight="1">
      <c r="A1759" s="132"/>
      <c r="B1759" s="132"/>
      <c r="Q1759" s="133"/>
    </row>
    <row r="1760" ht="15.75" customHeight="1">
      <c r="A1760" s="132"/>
      <c r="B1760" s="132"/>
      <c r="Q1760" s="133"/>
    </row>
    <row r="1761" ht="15.75" customHeight="1">
      <c r="A1761" s="132"/>
      <c r="B1761" s="132"/>
      <c r="Q1761" s="133"/>
    </row>
    <row r="1762" ht="15.75" customHeight="1">
      <c r="A1762" s="132"/>
      <c r="B1762" s="132"/>
      <c r="Q1762" s="133"/>
    </row>
    <row r="1763" ht="15.75" customHeight="1">
      <c r="A1763" s="132"/>
      <c r="B1763" s="132"/>
      <c r="Q1763" s="133"/>
    </row>
    <row r="1764" ht="15.75" customHeight="1">
      <c r="A1764" s="132"/>
      <c r="B1764" s="132"/>
      <c r="Q1764" s="133"/>
    </row>
    <row r="1765" ht="15.75" customHeight="1">
      <c r="A1765" s="132"/>
      <c r="B1765" s="132"/>
      <c r="Q1765" s="133"/>
    </row>
    <row r="1766" ht="15.75" customHeight="1">
      <c r="A1766" s="132"/>
      <c r="B1766" s="132"/>
      <c r="Q1766" s="133"/>
    </row>
    <row r="1767" ht="15.75" customHeight="1">
      <c r="A1767" s="132"/>
      <c r="B1767" s="132"/>
      <c r="Q1767" s="133"/>
    </row>
    <row r="1768" ht="15.75" customHeight="1">
      <c r="A1768" s="132"/>
      <c r="B1768" s="132"/>
      <c r="Q1768" s="133"/>
    </row>
    <row r="1769" ht="15.75" customHeight="1">
      <c r="A1769" s="132"/>
      <c r="B1769" s="132"/>
      <c r="Q1769" s="133"/>
    </row>
    <row r="1770" ht="15.75" customHeight="1">
      <c r="A1770" s="132"/>
      <c r="B1770" s="132"/>
      <c r="Q1770" s="133"/>
    </row>
    <row r="1771" ht="15.75" customHeight="1">
      <c r="A1771" s="132"/>
      <c r="B1771" s="132"/>
      <c r="Q1771" s="133"/>
    </row>
    <row r="1772" ht="15.75" customHeight="1">
      <c r="A1772" s="132"/>
      <c r="B1772" s="132"/>
      <c r="Q1772" s="133"/>
    </row>
    <row r="1773" ht="15.75" customHeight="1">
      <c r="A1773" s="132"/>
      <c r="B1773" s="132"/>
      <c r="Q1773" s="133"/>
    </row>
    <row r="1774" ht="15.75" customHeight="1">
      <c r="A1774" s="132"/>
      <c r="B1774" s="132"/>
      <c r="Q1774" s="133"/>
    </row>
    <row r="1775" ht="15.75" customHeight="1">
      <c r="A1775" s="132"/>
      <c r="B1775" s="132"/>
      <c r="Q1775" s="133"/>
    </row>
    <row r="1776" ht="15.75" customHeight="1">
      <c r="A1776" s="132"/>
      <c r="B1776" s="132"/>
      <c r="Q1776" s="133"/>
    </row>
    <row r="1777" ht="15.75" customHeight="1">
      <c r="A1777" s="132"/>
      <c r="B1777" s="132"/>
      <c r="Q1777" s="133"/>
    </row>
    <row r="1778" ht="15.75" customHeight="1">
      <c r="A1778" s="132"/>
      <c r="B1778" s="132"/>
      <c r="Q1778" s="133"/>
    </row>
    <row r="1779" ht="15.75" customHeight="1">
      <c r="A1779" s="132"/>
      <c r="B1779" s="132"/>
      <c r="Q1779" s="133"/>
    </row>
    <row r="1780" ht="15.75" customHeight="1">
      <c r="A1780" s="132"/>
      <c r="B1780" s="132"/>
      <c r="Q1780" s="133"/>
    </row>
    <row r="1781" ht="15.75" customHeight="1">
      <c r="A1781" s="132"/>
      <c r="B1781" s="132"/>
      <c r="Q1781" s="133"/>
    </row>
    <row r="1782" ht="15.75" customHeight="1">
      <c r="A1782" s="132"/>
      <c r="B1782" s="132"/>
      <c r="Q1782" s="133"/>
    </row>
    <row r="1783" ht="15.75" customHeight="1">
      <c r="A1783" s="132"/>
      <c r="B1783" s="132"/>
      <c r="Q1783" s="133"/>
    </row>
    <row r="1784" ht="15.75" customHeight="1">
      <c r="A1784" s="132"/>
      <c r="B1784" s="132"/>
      <c r="Q1784" s="133"/>
    </row>
    <row r="1785" ht="15.75" customHeight="1">
      <c r="A1785" s="132"/>
      <c r="B1785" s="132"/>
      <c r="Q1785" s="133"/>
    </row>
    <row r="1786" ht="15.75" customHeight="1">
      <c r="A1786" s="132"/>
      <c r="B1786" s="132"/>
      <c r="Q1786" s="133"/>
    </row>
    <row r="1787" ht="15.75" customHeight="1">
      <c r="A1787" s="132"/>
      <c r="B1787" s="132"/>
      <c r="Q1787" s="133"/>
    </row>
    <row r="1788" ht="15.75" customHeight="1">
      <c r="A1788" s="132"/>
      <c r="B1788" s="132"/>
      <c r="Q1788" s="133"/>
    </row>
    <row r="1789" ht="15.75" customHeight="1">
      <c r="A1789" s="132"/>
      <c r="B1789" s="132"/>
      <c r="Q1789" s="133"/>
    </row>
    <row r="1790" ht="15.75" customHeight="1">
      <c r="A1790" s="132"/>
      <c r="B1790" s="132"/>
      <c r="Q1790" s="133"/>
    </row>
    <row r="1791" ht="15.75" customHeight="1">
      <c r="A1791" s="132"/>
      <c r="B1791" s="132"/>
      <c r="Q1791" s="133"/>
    </row>
    <row r="1792" ht="15.75" customHeight="1">
      <c r="A1792" s="132"/>
      <c r="B1792" s="132"/>
      <c r="Q1792" s="133"/>
    </row>
    <row r="1793" ht="15.75" customHeight="1">
      <c r="A1793" s="132"/>
      <c r="B1793" s="132"/>
      <c r="Q1793" s="133"/>
    </row>
    <row r="1794" ht="15.75" customHeight="1">
      <c r="A1794" s="132"/>
      <c r="B1794" s="132"/>
      <c r="Q1794" s="133"/>
    </row>
    <row r="1795" ht="15.75" customHeight="1">
      <c r="A1795" s="132"/>
      <c r="B1795" s="132"/>
      <c r="Q1795" s="133"/>
    </row>
    <row r="1796" ht="15.75" customHeight="1">
      <c r="A1796" s="132"/>
      <c r="B1796" s="132"/>
      <c r="Q1796" s="133"/>
    </row>
    <row r="1797" ht="15.75" customHeight="1">
      <c r="A1797" s="132"/>
      <c r="B1797" s="132"/>
      <c r="Q1797" s="133"/>
    </row>
    <row r="1798" ht="15.75" customHeight="1">
      <c r="A1798" s="132"/>
      <c r="B1798" s="132"/>
      <c r="Q1798" s="133"/>
    </row>
    <row r="1799" ht="15.75" customHeight="1">
      <c r="A1799" s="132"/>
      <c r="B1799" s="132"/>
      <c r="Q1799" s="133"/>
    </row>
    <row r="1800" ht="15.75" customHeight="1">
      <c r="A1800" s="132"/>
      <c r="B1800" s="132"/>
      <c r="Q1800" s="133"/>
    </row>
    <row r="1801" ht="15.75" customHeight="1">
      <c r="A1801" s="132"/>
      <c r="B1801" s="132"/>
      <c r="Q1801" s="133"/>
    </row>
    <row r="1802" ht="15.75" customHeight="1">
      <c r="A1802" s="132"/>
      <c r="B1802" s="132"/>
      <c r="Q1802" s="133"/>
    </row>
    <row r="1803" ht="15.75" customHeight="1">
      <c r="A1803" s="132"/>
      <c r="B1803" s="132"/>
      <c r="Q1803" s="133"/>
    </row>
    <row r="1804" ht="15.75" customHeight="1">
      <c r="A1804" s="132"/>
      <c r="B1804" s="132"/>
      <c r="Q1804" s="133"/>
    </row>
    <row r="1805" ht="15.75" customHeight="1">
      <c r="A1805" s="132"/>
      <c r="B1805" s="132"/>
      <c r="Q1805" s="133"/>
    </row>
    <row r="1806" ht="15.75" customHeight="1">
      <c r="A1806" s="132"/>
      <c r="B1806" s="132"/>
      <c r="Q1806" s="133"/>
    </row>
    <row r="1807" ht="15.75" customHeight="1">
      <c r="A1807" s="132"/>
      <c r="B1807" s="132"/>
      <c r="Q1807" s="133"/>
    </row>
    <row r="1808" ht="15.75" customHeight="1">
      <c r="A1808" s="132"/>
      <c r="B1808" s="132"/>
      <c r="Q1808" s="133"/>
    </row>
    <row r="1809" ht="15.75" customHeight="1">
      <c r="A1809" s="132"/>
      <c r="B1809" s="132"/>
      <c r="Q1809" s="133"/>
    </row>
    <row r="1810" ht="15.75" customHeight="1">
      <c r="A1810" s="132"/>
      <c r="B1810" s="132"/>
      <c r="Q1810" s="133"/>
    </row>
    <row r="1811" ht="15.75" customHeight="1">
      <c r="A1811" s="132"/>
      <c r="B1811" s="132"/>
      <c r="Q1811" s="133"/>
    </row>
    <row r="1812" ht="15.75" customHeight="1">
      <c r="A1812" s="132"/>
      <c r="B1812" s="132"/>
      <c r="Q1812" s="133"/>
    </row>
    <row r="1813" ht="15.75" customHeight="1">
      <c r="A1813" s="132"/>
      <c r="B1813" s="132"/>
      <c r="Q1813" s="133"/>
    </row>
    <row r="1814" ht="15.75" customHeight="1">
      <c r="A1814" s="132"/>
      <c r="B1814" s="132"/>
      <c r="Q1814" s="133"/>
    </row>
    <row r="1815" ht="15.75" customHeight="1">
      <c r="A1815" s="132"/>
      <c r="B1815" s="132"/>
      <c r="Q1815" s="133"/>
    </row>
    <row r="1816" ht="15.75" customHeight="1">
      <c r="A1816" s="132"/>
      <c r="B1816" s="132"/>
      <c r="Q1816" s="133"/>
    </row>
    <row r="1817" ht="15.75" customHeight="1">
      <c r="A1817" s="132"/>
      <c r="B1817" s="132"/>
      <c r="Q1817" s="133"/>
    </row>
    <row r="1818" ht="15.75" customHeight="1">
      <c r="A1818" s="132"/>
      <c r="B1818" s="132"/>
      <c r="Q1818" s="133"/>
    </row>
    <row r="1819" ht="15.75" customHeight="1">
      <c r="A1819" s="132"/>
      <c r="B1819" s="132"/>
      <c r="Q1819" s="133"/>
    </row>
    <row r="1820" ht="15.75" customHeight="1">
      <c r="A1820" s="132"/>
      <c r="B1820" s="132"/>
      <c r="Q1820" s="133"/>
    </row>
    <row r="1821" ht="15.75" customHeight="1">
      <c r="A1821" s="132"/>
      <c r="B1821" s="132"/>
      <c r="Q1821" s="133"/>
    </row>
    <row r="1822" ht="15.75" customHeight="1">
      <c r="A1822" s="132"/>
      <c r="B1822" s="132"/>
      <c r="Q1822" s="133"/>
    </row>
    <row r="1823" ht="15.75" customHeight="1">
      <c r="A1823" s="132"/>
      <c r="B1823" s="132"/>
      <c r="Q1823" s="133"/>
    </row>
    <row r="1824" ht="15.75" customHeight="1">
      <c r="A1824" s="132"/>
      <c r="B1824" s="132"/>
      <c r="Q1824" s="133"/>
    </row>
    <row r="1825" ht="15.75" customHeight="1">
      <c r="A1825" s="132"/>
      <c r="B1825" s="132"/>
      <c r="Q1825" s="133"/>
    </row>
    <row r="1826" ht="15.75" customHeight="1">
      <c r="A1826" s="132"/>
      <c r="B1826" s="132"/>
      <c r="Q1826" s="133"/>
    </row>
    <row r="1827" ht="15.75" customHeight="1">
      <c r="A1827" s="132"/>
      <c r="B1827" s="132"/>
      <c r="Q1827" s="133"/>
    </row>
    <row r="1828" ht="15.75" customHeight="1">
      <c r="A1828" s="132"/>
      <c r="B1828" s="132"/>
      <c r="Q1828" s="133"/>
    </row>
    <row r="1829" ht="15.75" customHeight="1">
      <c r="A1829" s="132"/>
      <c r="B1829" s="132"/>
      <c r="Q1829" s="133"/>
    </row>
    <row r="1830" ht="15.75" customHeight="1">
      <c r="A1830" s="132"/>
      <c r="B1830" s="132"/>
      <c r="Q1830" s="133"/>
    </row>
    <row r="1831" ht="15.75" customHeight="1">
      <c r="A1831" s="132"/>
      <c r="B1831" s="132"/>
      <c r="Q1831" s="133"/>
    </row>
    <row r="1832" ht="15.75" customHeight="1">
      <c r="A1832" s="132"/>
      <c r="B1832" s="132"/>
      <c r="Q1832" s="133"/>
    </row>
    <row r="1833" ht="15.75" customHeight="1">
      <c r="A1833" s="132"/>
      <c r="B1833" s="132"/>
      <c r="Q1833" s="133"/>
    </row>
    <row r="1834" ht="15.75" customHeight="1">
      <c r="A1834" s="132"/>
      <c r="B1834" s="132"/>
      <c r="Q1834" s="133"/>
    </row>
    <row r="1835" ht="15.75" customHeight="1">
      <c r="A1835" s="132"/>
      <c r="B1835" s="132"/>
      <c r="Q1835" s="133"/>
    </row>
    <row r="1836" ht="15.75" customHeight="1">
      <c r="A1836" s="132"/>
      <c r="B1836" s="132"/>
      <c r="Q1836" s="133"/>
    </row>
    <row r="1837" ht="15.75" customHeight="1">
      <c r="A1837" s="132"/>
      <c r="B1837" s="132"/>
      <c r="Q1837" s="133"/>
    </row>
    <row r="1838" ht="15.75" customHeight="1">
      <c r="A1838" s="132"/>
      <c r="B1838" s="132"/>
      <c r="Q1838" s="133"/>
    </row>
    <row r="1839" ht="15.75" customHeight="1">
      <c r="A1839" s="132"/>
      <c r="B1839" s="132"/>
      <c r="Q1839" s="133"/>
    </row>
    <row r="1840" ht="15.75" customHeight="1">
      <c r="A1840" s="132"/>
      <c r="B1840" s="132"/>
      <c r="Q1840" s="133"/>
    </row>
    <row r="1841" ht="15.75" customHeight="1">
      <c r="A1841" s="132"/>
      <c r="B1841" s="132"/>
      <c r="Q1841" s="133"/>
    </row>
    <row r="1842" ht="15.75" customHeight="1">
      <c r="A1842" s="132"/>
      <c r="B1842" s="132"/>
      <c r="Q1842" s="133"/>
    </row>
    <row r="1843" ht="15.75" customHeight="1">
      <c r="A1843" s="132"/>
      <c r="B1843" s="132"/>
      <c r="Q1843" s="133"/>
    </row>
    <row r="1844" ht="15.75" customHeight="1">
      <c r="A1844" s="132"/>
      <c r="B1844" s="132"/>
      <c r="Q1844" s="133"/>
    </row>
    <row r="1845" ht="15.75" customHeight="1">
      <c r="A1845" s="132"/>
      <c r="B1845" s="132"/>
      <c r="Q1845" s="133"/>
    </row>
    <row r="1846" ht="15.75" customHeight="1">
      <c r="A1846" s="132"/>
      <c r="B1846" s="132"/>
      <c r="Q1846" s="133"/>
    </row>
    <row r="1847" ht="15.75" customHeight="1">
      <c r="A1847" s="132"/>
      <c r="B1847" s="132"/>
      <c r="Q1847" s="133"/>
    </row>
    <row r="1848" ht="15.75" customHeight="1">
      <c r="A1848" s="132"/>
      <c r="B1848" s="132"/>
      <c r="Q1848" s="133"/>
    </row>
    <row r="1849" ht="15.75" customHeight="1">
      <c r="A1849" s="132"/>
      <c r="B1849" s="132"/>
      <c r="Q1849" s="133"/>
    </row>
    <row r="1850" ht="15.75" customHeight="1">
      <c r="A1850" s="132"/>
      <c r="B1850" s="132"/>
      <c r="Q1850" s="133"/>
    </row>
    <row r="1851" ht="15.75" customHeight="1">
      <c r="A1851" s="132"/>
      <c r="B1851" s="132"/>
      <c r="Q1851" s="133"/>
    </row>
    <row r="1852" ht="15.75" customHeight="1">
      <c r="A1852" s="132"/>
      <c r="B1852" s="132"/>
      <c r="Q1852" s="133"/>
    </row>
    <row r="1853" ht="15.75" customHeight="1">
      <c r="A1853" s="132"/>
      <c r="B1853" s="132"/>
      <c r="Q1853" s="133"/>
    </row>
    <row r="1854" ht="15.75" customHeight="1">
      <c r="A1854" s="132"/>
      <c r="B1854" s="132"/>
      <c r="Q1854" s="133"/>
    </row>
    <row r="1855" ht="15.75" customHeight="1">
      <c r="A1855" s="132"/>
      <c r="B1855" s="132"/>
      <c r="Q1855" s="133"/>
    </row>
    <row r="1856" ht="15.75" customHeight="1">
      <c r="A1856" s="132"/>
      <c r="B1856" s="132"/>
      <c r="Q1856" s="133"/>
    </row>
    <row r="1857" ht="15.75" customHeight="1">
      <c r="A1857" s="132"/>
      <c r="B1857" s="132"/>
      <c r="Q1857" s="133"/>
    </row>
    <row r="1858" ht="15.75" customHeight="1">
      <c r="A1858" s="132"/>
      <c r="B1858" s="132"/>
      <c r="Q1858" s="133"/>
    </row>
    <row r="1859" ht="15.75" customHeight="1">
      <c r="A1859" s="132"/>
      <c r="B1859" s="132"/>
      <c r="Q1859" s="133"/>
    </row>
    <row r="1860" ht="15.75" customHeight="1">
      <c r="A1860" s="132"/>
      <c r="B1860" s="132"/>
      <c r="Q1860" s="133"/>
    </row>
    <row r="1861" ht="15.75" customHeight="1">
      <c r="A1861" s="132"/>
      <c r="B1861" s="132"/>
      <c r="Q1861" s="133"/>
    </row>
    <row r="1862" ht="15.75" customHeight="1">
      <c r="A1862" s="132"/>
      <c r="B1862" s="132"/>
      <c r="Q1862" s="133"/>
    </row>
    <row r="1863" ht="15.75" customHeight="1">
      <c r="A1863" s="132"/>
      <c r="B1863" s="132"/>
      <c r="Q1863" s="133"/>
    </row>
    <row r="1864" ht="15.75" customHeight="1">
      <c r="A1864" s="132"/>
      <c r="B1864" s="132"/>
      <c r="Q1864" s="133"/>
    </row>
    <row r="1865" ht="15.75" customHeight="1">
      <c r="A1865" s="132"/>
      <c r="B1865" s="132"/>
      <c r="Q1865" s="133"/>
    </row>
    <row r="1866" ht="15.75" customHeight="1">
      <c r="A1866" s="132"/>
      <c r="B1866" s="132"/>
      <c r="Q1866" s="133"/>
    </row>
    <row r="1867" ht="15.75" customHeight="1">
      <c r="A1867" s="132"/>
      <c r="B1867" s="132"/>
      <c r="Q1867" s="133"/>
    </row>
    <row r="1868" ht="15.75" customHeight="1">
      <c r="A1868" s="132"/>
      <c r="B1868" s="132"/>
      <c r="Q1868" s="133"/>
    </row>
    <row r="1869" ht="15.75" customHeight="1">
      <c r="A1869" s="132"/>
      <c r="B1869" s="132"/>
      <c r="Q1869" s="133"/>
    </row>
    <row r="1870" ht="15.75" customHeight="1">
      <c r="A1870" s="132"/>
      <c r="B1870" s="132"/>
      <c r="Q1870" s="133"/>
    </row>
    <row r="1871" ht="15.75" customHeight="1">
      <c r="A1871" s="132"/>
      <c r="B1871" s="132"/>
      <c r="Q1871" s="133"/>
    </row>
    <row r="1872" ht="15.75" customHeight="1">
      <c r="A1872" s="132"/>
      <c r="B1872" s="132"/>
      <c r="Q1872" s="133"/>
    </row>
    <row r="1873" ht="15.75" customHeight="1">
      <c r="A1873" s="132"/>
      <c r="B1873" s="132"/>
      <c r="Q1873" s="133"/>
    </row>
    <row r="1874" ht="15.75" customHeight="1">
      <c r="A1874" s="132"/>
      <c r="B1874" s="132"/>
      <c r="Q1874" s="133"/>
    </row>
    <row r="1875" ht="15.75" customHeight="1">
      <c r="A1875" s="132"/>
      <c r="B1875" s="132"/>
      <c r="Q1875" s="133"/>
    </row>
    <row r="1876" ht="15.75" customHeight="1">
      <c r="A1876" s="132"/>
      <c r="B1876" s="132"/>
      <c r="Q1876" s="133"/>
    </row>
    <row r="1877" ht="15.75" customHeight="1">
      <c r="A1877" s="132"/>
      <c r="B1877" s="132"/>
      <c r="Q1877" s="133"/>
    </row>
    <row r="1878" ht="15.75" customHeight="1">
      <c r="A1878" s="132"/>
      <c r="B1878" s="132"/>
      <c r="Q1878" s="133"/>
    </row>
    <row r="1879" ht="15.75" customHeight="1">
      <c r="A1879" s="132"/>
      <c r="B1879" s="132"/>
      <c r="Q1879" s="133"/>
    </row>
    <row r="1880" ht="15.75" customHeight="1">
      <c r="A1880" s="132"/>
      <c r="B1880" s="132"/>
      <c r="Q1880" s="133"/>
    </row>
    <row r="1881" ht="15.75" customHeight="1">
      <c r="A1881" s="132"/>
      <c r="B1881" s="132"/>
      <c r="Q1881" s="133"/>
    </row>
    <row r="1882" ht="15.75" customHeight="1">
      <c r="A1882" s="132"/>
      <c r="B1882" s="132"/>
      <c r="Q1882" s="133"/>
    </row>
    <row r="1883" ht="15.75" customHeight="1">
      <c r="A1883" s="132"/>
      <c r="B1883" s="132"/>
      <c r="Q1883" s="133"/>
    </row>
    <row r="1884" ht="15.75" customHeight="1">
      <c r="A1884" s="132"/>
      <c r="B1884" s="132"/>
      <c r="Q1884" s="133"/>
    </row>
    <row r="1885" ht="15.75" customHeight="1">
      <c r="A1885" s="132"/>
      <c r="B1885" s="132"/>
      <c r="Q1885" s="133"/>
    </row>
    <row r="1886" ht="15.75" customHeight="1">
      <c r="A1886" s="132"/>
      <c r="B1886" s="132"/>
      <c r="Q1886" s="133"/>
    </row>
    <row r="1887" ht="15.75" customHeight="1">
      <c r="A1887" s="132"/>
      <c r="B1887" s="132"/>
      <c r="Q1887" s="133"/>
    </row>
    <row r="1888" ht="15.75" customHeight="1">
      <c r="A1888" s="132"/>
      <c r="B1888" s="132"/>
      <c r="Q1888" s="133"/>
    </row>
    <row r="1889" ht="15.75" customHeight="1">
      <c r="A1889" s="132"/>
      <c r="B1889" s="132"/>
      <c r="Q1889" s="133"/>
    </row>
    <row r="1890" ht="15.75" customHeight="1">
      <c r="A1890" s="132"/>
      <c r="B1890" s="132"/>
      <c r="Q1890" s="133"/>
    </row>
    <row r="1891" ht="15.75" customHeight="1">
      <c r="A1891" s="132"/>
      <c r="B1891" s="132"/>
      <c r="Q1891" s="133"/>
    </row>
    <row r="1892" ht="15.75" customHeight="1">
      <c r="A1892" s="132"/>
      <c r="B1892" s="132"/>
      <c r="Q1892" s="133"/>
    </row>
    <row r="1893" ht="15.75" customHeight="1">
      <c r="A1893" s="132"/>
      <c r="B1893" s="132"/>
      <c r="Q1893" s="133"/>
    </row>
    <row r="1894" ht="15.75" customHeight="1">
      <c r="A1894" s="132"/>
      <c r="B1894" s="132"/>
      <c r="Q1894" s="133"/>
    </row>
    <row r="1895" ht="15.75" customHeight="1">
      <c r="A1895" s="132"/>
      <c r="B1895" s="132"/>
      <c r="Q1895" s="133"/>
    </row>
    <row r="1896" ht="15.75" customHeight="1">
      <c r="A1896" s="132"/>
      <c r="B1896" s="132"/>
      <c r="Q1896" s="133"/>
    </row>
    <row r="1897" ht="15.75" customHeight="1">
      <c r="A1897" s="132"/>
      <c r="B1897" s="132"/>
      <c r="Q1897" s="133"/>
    </row>
    <row r="1898" ht="15.75" customHeight="1">
      <c r="A1898" s="132"/>
      <c r="B1898" s="132"/>
      <c r="Q1898" s="133"/>
    </row>
    <row r="1899" ht="15.75" customHeight="1">
      <c r="A1899" s="132"/>
      <c r="B1899" s="132"/>
      <c r="Q1899" s="133"/>
    </row>
    <row r="1900" ht="15.75" customHeight="1">
      <c r="A1900" s="132"/>
      <c r="B1900" s="132"/>
      <c r="Q1900" s="133"/>
    </row>
    <row r="1901" ht="15.75" customHeight="1">
      <c r="A1901" s="132"/>
      <c r="B1901" s="132"/>
      <c r="Q1901" s="133"/>
    </row>
    <row r="1902" ht="15.75" customHeight="1">
      <c r="A1902" s="132"/>
      <c r="B1902" s="132"/>
      <c r="Q1902" s="133"/>
    </row>
    <row r="1903" ht="15.75" customHeight="1">
      <c r="A1903" s="132"/>
      <c r="B1903" s="132"/>
      <c r="Q1903" s="133"/>
    </row>
    <row r="1904" ht="15.75" customHeight="1">
      <c r="A1904" s="132"/>
      <c r="B1904" s="132"/>
      <c r="Q1904" s="133"/>
    </row>
    <row r="1905" ht="15.75" customHeight="1">
      <c r="A1905" s="132"/>
      <c r="B1905" s="132"/>
      <c r="Q1905" s="133"/>
    </row>
    <row r="1906" ht="15.75" customHeight="1">
      <c r="A1906" s="132"/>
      <c r="B1906" s="132"/>
      <c r="Q1906" s="133"/>
    </row>
    <row r="1907" ht="15.75" customHeight="1">
      <c r="A1907" s="132"/>
      <c r="B1907" s="132"/>
      <c r="Q1907" s="133"/>
    </row>
    <row r="1908" ht="15.75" customHeight="1">
      <c r="A1908" s="132"/>
      <c r="B1908" s="132"/>
      <c r="Q1908" s="133"/>
    </row>
    <row r="1909" ht="15.75" customHeight="1">
      <c r="A1909" s="132"/>
      <c r="B1909" s="132"/>
      <c r="Q1909" s="133"/>
    </row>
    <row r="1910" ht="15.75" customHeight="1">
      <c r="A1910" s="132"/>
      <c r="B1910" s="132"/>
      <c r="Q1910" s="133"/>
    </row>
    <row r="1911" ht="15.75" customHeight="1">
      <c r="A1911" s="132"/>
      <c r="B1911" s="132"/>
      <c r="Q1911" s="133"/>
    </row>
    <row r="1912" ht="15.75" customHeight="1">
      <c r="A1912" s="132"/>
      <c r="B1912" s="132"/>
      <c r="Q1912" s="133"/>
    </row>
    <row r="1913" ht="15.75" customHeight="1">
      <c r="A1913" s="132"/>
      <c r="B1913" s="132"/>
      <c r="Q1913" s="133"/>
    </row>
    <row r="1914" ht="15.75" customHeight="1">
      <c r="A1914" s="132"/>
      <c r="B1914" s="132"/>
      <c r="Q1914" s="133"/>
    </row>
    <row r="1915" ht="15.75" customHeight="1">
      <c r="A1915" s="132"/>
      <c r="B1915" s="132"/>
      <c r="Q1915" s="133"/>
    </row>
    <row r="1916" ht="15.75" customHeight="1">
      <c r="A1916" s="132"/>
      <c r="B1916" s="132"/>
      <c r="Q1916" s="133"/>
    </row>
    <row r="1917" ht="15.75" customHeight="1">
      <c r="A1917" s="132"/>
      <c r="B1917" s="132"/>
      <c r="Q1917" s="133"/>
    </row>
    <row r="1918" ht="15.75" customHeight="1">
      <c r="A1918" s="132"/>
      <c r="B1918" s="132"/>
      <c r="Q1918" s="133"/>
    </row>
    <row r="1919" ht="15.75" customHeight="1">
      <c r="A1919" s="132"/>
      <c r="B1919" s="132"/>
      <c r="Q1919" s="133"/>
    </row>
    <row r="1920" ht="15.75" customHeight="1">
      <c r="A1920" s="132"/>
      <c r="B1920" s="132"/>
      <c r="Q1920" s="133"/>
    </row>
    <row r="1921" ht="15.75" customHeight="1">
      <c r="A1921" s="132"/>
      <c r="B1921" s="132"/>
      <c r="Q1921" s="133"/>
    </row>
    <row r="1922" ht="15.75" customHeight="1">
      <c r="A1922" s="132"/>
      <c r="B1922" s="132"/>
      <c r="Q1922" s="133"/>
    </row>
    <row r="1923" ht="15.75" customHeight="1">
      <c r="A1923" s="132"/>
      <c r="B1923" s="132"/>
      <c r="Q1923" s="133"/>
    </row>
    <row r="1924" ht="15.75" customHeight="1">
      <c r="A1924" s="132"/>
      <c r="B1924" s="132"/>
      <c r="Q1924" s="133"/>
    </row>
    <row r="1925" ht="15.75" customHeight="1">
      <c r="A1925" s="132"/>
      <c r="B1925" s="132"/>
      <c r="Q1925" s="133"/>
    </row>
    <row r="1926" ht="15.75" customHeight="1">
      <c r="A1926" s="132"/>
      <c r="B1926" s="132"/>
      <c r="Q1926" s="133"/>
    </row>
    <row r="1927" ht="15.75" customHeight="1">
      <c r="A1927" s="132"/>
      <c r="B1927" s="132"/>
      <c r="Q1927" s="133"/>
    </row>
    <row r="1928" ht="15.75" customHeight="1">
      <c r="A1928" s="132"/>
      <c r="B1928" s="132"/>
      <c r="Q1928" s="133"/>
    </row>
    <row r="1929" ht="15.75" customHeight="1">
      <c r="A1929" s="132"/>
      <c r="B1929" s="132"/>
      <c r="Q1929" s="133"/>
    </row>
    <row r="1930" ht="15.75" customHeight="1">
      <c r="A1930" s="132"/>
      <c r="B1930" s="132"/>
      <c r="Q1930" s="133"/>
    </row>
    <row r="1931" ht="15.75" customHeight="1">
      <c r="A1931" s="132"/>
      <c r="B1931" s="132"/>
      <c r="Q1931" s="133"/>
    </row>
    <row r="1932" ht="15.75" customHeight="1">
      <c r="A1932" s="132"/>
      <c r="B1932" s="132"/>
      <c r="Q1932" s="133"/>
    </row>
    <row r="1933" ht="15.75" customHeight="1">
      <c r="A1933" s="132"/>
      <c r="B1933" s="132"/>
      <c r="Q1933" s="133"/>
    </row>
    <row r="1934" ht="15.75" customHeight="1">
      <c r="A1934" s="132"/>
      <c r="B1934" s="132"/>
      <c r="Q1934" s="133"/>
    </row>
    <row r="1935" ht="15.75" customHeight="1">
      <c r="A1935" s="132"/>
      <c r="B1935" s="132"/>
      <c r="Q1935" s="133"/>
    </row>
    <row r="1936" ht="15.75" customHeight="1">
      <c r="A1936" s="132"/>
      <c r="B1936" s="132"/>
      <c r="Q1936" s="133"/>
    </row>
    <row r="1937" ht="15.75" customHeight="1">
      <c r="A1937" s="132"/>
      <c r="B1937" s="132"/>
      <c r="Q1937" s="133"/>
    </row>
    <row r="1938" ht="15.75" customHeight="1">
      <c r="A1938" s="132"/>
      <c r="B1938" s="132"/>
      <c r="Q1938" s="133"/>
    </row>
    <row r="1939" ht="15.75" customHeight="1">
      <c r="A1939" s="132"/>
      <c r="B1939" s="132"/>
      <c r="Q1939" s="133"/>
    </row>
    <row r="1940" ht="15.75" customHeight="1">
      <c r="A1940" s="132"/>
      <c r="B1940" s="132"/>
      <c r="Q1940" s="133"/>
    </row>
    <row r="1941" ht="15.75" customHeight="1">
      <c r="A1941" s="132"/>
      <c r="B1941" s="132"/>
      <c r="Q1941" s="133"/>
    </row>
    <row r="1942" ht="15.75" customHeight="1">
      <c r="A1942" s="132"/>
      <c r="B1942" s="132"/>
      <c r="Q1942" s="133"/>
    </row>
    <row r="1943" ht="15.75" customHeight="1">
      <c r="A1943" s="132"/>
      <c r="B1943" s="132"/>
      <c r="Q1943" s="133"/>
    </row>
    <row r="1944" ht="15.75" customHeight="1">
      <c r="A1944" s="132"/>
      <c r="B1944" s="132"/>
      <c r="Q1944" s="133"/>
    </row>
    <row r="1945" ht="15.75" customHeight="1">
      <c r="A1945" s="132"/>
      <c r="B1945" s="132"/>
      <c r="Q1945" s="133"/>
    </row>
    <row r="1946" ht="15.75" customHeight="1">
      <c r="A1946" s="132"/>
      <c r="B1946" s="132"/>
      <c r="Q1946" s="133"/>
    </row>
    <row r="1947" ht="15.75" customHeight="1">
      <c r="A1947" s="132"/>
      <c r="B1947" s="132"/>
      <c r="Q1947" s="133"/>
    </row>
    <row r="1948" ht="15.75" customHeight="1">
      <c r="A1948" s="132"/>
      <c r="B1948" s="132"/>
      <c r="Q1948" s="133"/>
    </row>
    <row r="1949" ht="15.75" customHeight="1">
      <c r="A1949" s="132"/>
      <c r="B1949" s="132"/>
      <c r="Q1949" s="133"/>
    </row>
    <row r="1950" ht="15.75" customHeight="1">
      <c r="A1950" s="132"/>
      <c r="B1950" s="132"/>
      <c r="Q1950" s="133"/>
    </row>
    <row r="1951" ht="15.75" customHeight="1">
      <c r="A1951" s="132"/>
      <c r="B1951" s="132"/>
      <c r="Q1951" s="133"/>
    </row>
    <row r="1952" ht="15.75" customHeight="1">
      <c r="A1952" s="132"/>
      <c r="B1952" s="132"/>
      <c r="Q1952" s="133"/>
    </row>
    <row r="1953" ht="15.75" customHeight="1">
      <c r="A1953" s="132"/>
      <c r="B1953" s="132"/>
      <c r="Q1953" s="133"/>
    </row>
    <row r="1954" ht="15.75" customHeight="1">
      <c r="A1954" s="132"/>
      <c r="B1954" s="132"/>
      <c r="Q1954" s="133"/>
    </row>
    <row r="1955" ht="15.75" customHeight="1">
      <c r="A1955" s="132"/>
      <c r="B1955" s="132"/>
      <c r="Q1955" s="133"/>
    </row>
    <row r="1956" ht="15.75" customHeight="1">
      <c r="A1956" s="132"/>
      <c r="B1956" s="132"/>
      <c r="Q1956" s="133"/>
    </row>
    <row r="1957" ht="15.75" customHeight="1">
      <c r="A1957" s="132"/>
      <c r="B1957" s="132"/>
      <c r="Q1957" s="133"/>
    </row>
    <row r="1958" ht="15.75" customHeight="1">
      <c r="A1958" s="132"/>
      <c r="B1958" s="132"/>
      <c r="Q1958" s="133"/>
    </row>
    <row r="1959" ht="15.75" customHeight="1">
      <c r="A1959" s="132"/>
      <c r="B1959" s="132"/>
      <c r="Q1959" s="133"/>
    </row>
    <row r="1960" ht="15.75" customHeight="1">
      <c r="A1960" s="132"/>
      <c r="B1960" s="132"/>
      <c r="Q1960" s="133"/>
    </row>
    <row r="1961" ht="15.75" customHeight="1">
      <c r="A1961" s="132"/>
      <c r="B1961" s="132"/>
      <c r="Q1961" s="133"/>
    </row>
    <row r="1962" ht="15.75" customHeight="1">
      <c r="A1962" s="132"/>
      <c r="B1962" s="132"/>
      <c r="Q1962" s="133"/>
    </row>
    <row r="1963" ht="15.75" customHeight="1">
      <c r="A1963" s="132"/>
      <c r="B1963" s="132"/>
      <c r="Q1963" s="133"/>
    </row>
    <row r="1964" ht="15.75" customHeight="1">
      <c r="A1964" s="132"/>
      <c r="B1964" s="132"/>
      <c r="Q1964" s="133"/>
    </row>
    <row r="1965" ht="15.75" customHeight="1">
      <c r="A1965" s="132"/>
      <c r="B1965" s="132"/>
      <c r="Q1965" s="133"/>
    </row>
    <row r="1966" ht="15.75" customHeight="1">
      <c r="A1966" s="132"/>
      <c r="B1966" s="132"/>
      <c r="Q1966" s="133"/>
    </row>
    <row r="1967" ht="15.75" customHeight="1">
      <c r="A1967" s="132"/>
      <c r="B1967" s="132"/>
      <c r="Q1967" s="133"/>
    </row>
    <row r="1968" ht="15.75" customHeight="1">
      <c r="A1968" s="132"/>
      <c r="B1968" s="132"/>
      <c r="Q1968" s="133"/>
    </row>
    <row r="1969" ht="15.75" customHeight="1">
      <c r="A1969" s="132"/>
      <c r="B1969" s="132"/>
      <c r="Q1969" s="133"/>
    </row>
    <row r="1970" ht="15.75" customHeight="1">
      <c r="A1970" s="132"/>
      <c r="B1970" s="132"/>
      <c r="Q1970" s="133"/>
    </row>
    <row r="1971" ht="15.75" customHeight="1">
      <c r="A1971" s="132"/>
      <c r="B1971" s="132"/>
      <c r="Q1971" s="133"/>
    </row>
    <row r="1972" ht="15.75" customHeight="1">
      <c r="A1972" s="132"/>
      <c r="B1972" s="132"/>
      <c r="Q1972" s="133"/>
    </row>
    <row r="1973" ht="15.75" customHeight="1">
      <c r="A1973" s="132"/>
      <c r="B1973" s="132"/>
      <c r="Q1973" s="133"/>
    </row>
    <row r="1974" ht="15.75" customHeight="1">
      <c r="A1974" s="132"/>
      <c r="B1974" s="132"/>
      <c r="Q1974" s="133"/>
    </row>
    <row r="1975" ht="15.75" customHeight="1">
      <c r="A1975" s="132"/>
      <c r="B1975" s="132"/>
      <c r="Q1975" s="133"/>
    </row>
    <row r="1976" ht="15.75" customHeight="1">
      <c r="A1976" s="132"/>
      <c r="B1976" s="132"/>
      <c r="Q1976" s="133"/>
    </row>
    <row r="1977" ht="15.75" customHeight="1">
      <c r="A1977" s="132"/>
      <c r="B1977" s="132"/>
      <c r="Q1977" s="133"/>
    </row>
    <row r="1978" ht="15.75" customHeight="1">
      <c r="A1978" s="132"/>
      <c r="B1978" s="132"/>
      <c r="Q1978" s="133"/>
    </row>
    <row r="1979" ht="15.75" customHeight="1">
      <c r="A1979" s="132"/>
      <c r="B1979" s="132"/>
      <c r="Q1979" s="133"/>
    </row>
    <row r="1980" ht="15.75" customHeight="1">
      <c r="A1980" s="132"/>
      <c r="B1980" s="132"/>
      <c r="Q1980" s="133"/>
    </row>
    <row r="1981" ht="15.75" customHeight="1">
      <c r="A1981" s="132"/>
      <c r="B1981" s="132"/>
      <c r="Q1981" s="133"/>
    </row>
    <row r="1982" ht="15.75" customHeight="1">
      <c r="A1982" s="132"/>
      <c r="B1982" s="132"/>
      <c r="Q1982" s="133"/>
    </row>
    <row r="1983" ht="15.75" customHeight="1">
      <c r="A1983" s="132"/>
      <c r="B1983" s="132"/>
      <c r="Q1983" s="133"/>
    </row>
    <row r="1984" ht="15.75" customHeight="1">
      <c r="A1984" s="132"/>
      <c r="B1984" s="132"/>
      <c r="Q1984" s="133"/>
    </row>
    <row r="1985" ht="15.75" customHeight="1">
      <c r="A1985" s="132"/>
      <c r="B1985" s="132"/>
      <c r="Q1985" s="133"/>
    </row>
    <row r="1986" ht="15.75" customHeight="1">
      <c r="A1986" s="132"/>
      <c r="B1986" s="132"/>
      <c r="Q1986" s="133"/>
    </row>
    <row r="1987" ht="15.75" customHeight="1">
      <c r="A1987" s="132"/>
      <c r="B1987" s="132"/>
      <c r="Q1987" s="133"/>
    </row>
    <row r="1988" ht="15.75" customHeight="1">
      <c r="A1988" s="132"/>
      <c r="B1988" s="132"/>
      <c r="Q1988" s="133"/>
    </row>
    <row r="1989" ht="15.75" customHeight="1">
      <c r="A1989" s="132"/>
      <c r="B1989" s="132"/>
      <c r="Q1989" s="133"/>
    </row>
    <row r="1990" ht="15.75" customHeight="1">
      <c r="A1990" s="132"/>
      <c r="B1990" s="132"/>
      <c r="Q1990" s="133"/>
    </row>
    <row r="1991" ht="15.75" customHeight="1">
      <c r="A1991" s="132"/>
      <c r="B1991" s="132"/>
      <c r="Q1991" s="133"/>
    </row>
    <row r="1992" ht="15.75" customHeight="1">
      <c r="A1992" s="132"/>
      <c r="B1992" s="132"/>
      <c r="Q1992" s="133"/>
    </row>
    <row r="1993" ht="15.75" customHeight="1">
      <c r="A1993" s="132"/>
      <c r="B1993" s="132"/>
      <c r="Q1993" s="133"/>
    </row>
    <row r="1994" ht="15.75" customHeight="1">
      <c r="A1994" s="132"/>
      <c r="B1994" s="132"/>
      <c r="Q1994" s="133"/>
    </row>
    <row r="1995" ht="15.75" customHeight="1">
      <c r="A1995" s="132"/>
      <c r="B1995" s="132"/>
      <c r="Q1995" s="133"/>
    </row>
    <row r="1996" ht="15.75" customHeight="1">
      <c r="A1996" s="132"/>
      <c r="B1996" s="132"/>
      <c r="Q1996" s="133"/>
    </row>
    <row r="1997" ht="15.75" customHeight="1">
      <c r="A1997" s="132"/>
      <c r="B1997" s="132"/>
      <c r="Q1997" s="133"/>
    </row>
    <row r="1998" ht="15.75" customHeight="1">
      <c r="A1998" s="132"/>
      <c r="B1998" s="132"/>
      <c r="Q1998" s="133"/>
    </row>
    <row r="1999" ht="15.75" customHeight="1">
      <c r="A1999" s="132"/>
      <c r="B1999" s="132"/>
      <c r="Q1999" s="133"/>
    </row>
    <row r="2000" ht="15.75" customHeight="1">
      <c r="A2000" s="132"/>
      <c r="B2000" s="132"/>
      <c r="Q2000" s="133"/>
    </row>
    <row r="2001" ht="15.75" customHeight="1">
      <c r="A2001" s="132"/>
      <c r="B2001" s="132"/>
      <c r="Q2001" s="133"/>
    </row>
    <row r="2002" ht="15.75" customHeight="1">
      <c r="A2002" s="132"/>
      <c r="B2002" s="132"/>
      <c r="Q2002" s="133"/>
    </row>
    <row r="2003" ht="15.75" customHeight="1">
      <c r="A2003" s="132"/>
      <c r="B2003" s="132"/>
      <c r="Q2003" s="133"/>
    </row>
    <row r="2004" ht="15.75" customHeight="1">
      <c r="A2004" s="132"/>
      <c r="B2004" s="132"/>
      <c r="Q2004" s="133"/>
    </row>
    <row r="2005" ht="15.75" customHeight="1">
      <c r="A2005" s="132"/>
      <c r="B2005" s="132"/>
      <c r="Q2005" s="133"/>
    </row>
    <row r="2006" ht="15.75" customHeight="1">
      <c r="A2006" s="132"/>
      <c r="B2006" s="132"/>
      <c r="Q2006" s="133"/>
    </row>
    <row r="2007" ht="15.75" customHeight="1">
      <c r="A2007" s="132"/>
      <c r="B2007" s="132"/>
      <c r="Q2007" s="133"/>
    </row>
    <row r="2008" ht="15.75" customHeight="1">
      <c r="A2008" s="132"/>
      <c r="B2008" s="132"/>
      <c r="Q2008" s="133"/>
    </row>
    <row r="2009" ht="15.75" customHeight="1">
      <c r="A2009" s="132"/>
      <c r="B2009" s="132"/>
      <c r="Q2009" s="133"/>
    </row>
    <row r="2010" ht="15.75" customHeight="1">
      <c r="A2010" s="132"/>
      <c r="B2010" s="132"/>
      <c r="Q2010" s="133"/>
    </row>
    <row r="2011" ht="15.75" customHeight="1">
      <c r="A2011" s="132"/>
      <c r="B2011" s="132"/>
      <c r="Q2011" s="133"/>
    </row>
    <row r="2012" ht="15.75" customHeight="1">
      <c r="A2012" s="132"/>
      <c r="B2012" s="132"/>
      <c r="Q2012" s="133"/>
    </row>
    <row r="2013" ht="15.75" customHeight="1">
      <c r="A2013" s="132"/>
      <c r="B2013" s="132"/>
      <c r="Q2013" s="133"/>
    </row>
    <row r="2014" ht="15.75" customHeight="1">
      <c r="A2014" s="132"/>
      <c r="B2014" s="132"/>
      <c r="Q2014" s="133"/>
    </row>
    <row r="2015" ht="15.75" customHeight="1">
      <c r="A2015" s="132"/>
      <c r="B2015" s="132"/>
      <c r="Q2015" s="133"/>
    </row>
    <row r="2016" ht="15.75" customHeight="1">
      <c r="A2016" s="132"/>
      <c r="B2016" s="132"/>
      <c r="Q2016" s="133"/>
    </row>
    <row r="2017" ht="15.75" customHeight="1">
      <c r="A2017" s="132"/>
      <c r="B2017" s="132"/>
      <c r="Q2017" s="133"/>
    </row>
    <row r="2018" ht="15.75" customHeight="1">
      <c r="A2018" s="132"/>
      <c r="B2018" s="132"/>
      <c r="Q2018" s="133"/>
    </row>
    <row r="2019" ht="15.75" customHeight="1">
      <c r="A2019" s="132"/>
      <c r="B2019" s="132"/>
      <c r="Q2019" s="133"/>
    </row>
    <row r="2020" ht="15.75" customHeight="1">
      <c r="A2020" s="132"/>
      <c r="B2020" s="132"/>
      <c r="Q2020" s="133"/>
    </row>
    <row r="2021" ht="15.75" customHeight="1">
      <c r="A2021" s="132"/>
      <c r="B2021" s="132"/>
      <c r="Q2021" s="133"/>
    </row>
    <row r="2022" ht="15.75" customHeight="1">
      <c r="A2022" s="132"/>
      <c r="B2022" s="132"/>
      <c r="Q2022" s="133"/>
    </row>
    <row r="2023" ht="15.75" customHeight="1">
      <c r="A2023" s="132"/>
      <c r="B2023" s="132"/>
      <c r="Q2023" s="133"/>
    </row>
    <row r="2024" ht="15.75" customHeight="1">
      <c r="A2024" s="132"/>
      <c r="B2024" s="132"/>
      <c r="Q2024" s="133"/>
    </row>
    <row r="2025" ht="15.75" customHeight="1">
      <c r="A2025" s="132"/>
      <c r="B2025" s="132"/>
      <c r="Q2025" s="133"/>
    </row>
    <row r="2026" ht="15.75" customHeight="1">
      <c r="A2026" s="132"/>
      <c r="B2026" s="132"/>
      <c r="Q2026" s="133"/>
    </row>
    <row r="2027" ht="15.75" customHeight="1">
      <c r="A2027" s="132"/>
      <c r="B2027" s="132"/>
      <c r="Q2027" s="133"/>
    </row>
    <row r="2028" ht="15.75" customHeight="1">
      <c r="A2028" s="132"/>
      <c r="B2028" s="132"/>
      <c r="Q2028" s="133"/>
    </row>
    <row r="2029" ht="15.75" customHeight="1">
      <c r="A2029" s="132"/>
      <c r="B2029" s="132"/>
      <c r="Q2029" s="133"/>
    </row>
    <row r="2030" ht="15.75" customHeight="1">
      <c r="A2030" s="132"/>
      <c r="B2030" s="132"/>
      <c r="Q2030" s="133"/>
    </row>
    <row r="2031" ht="15.75" customHeight="1">
      <c r="A2031" s="132"/>
      <c r="B2031" s="132"/>
      <c r="Q2031" s="133"/>
    </row>
    <row r="2032" ht="15.75" customHeight="1">
      <c r="A2032" s="132"/>
      <c r="B2032" s="132"/>
      <c r="Q2032" s="133"/>
    </row>
    <row r="2033" ht="15.75" customHeight="1">
      <c r="A2033" s="132"/>
      <c r="B2033" s="132"/>
      <c r="Q2033" s="133"/>
    </row>
    <row r="2034" ht="15.75" customHeight="1">
      <c r="A2034" s="132"/>
      <c r="B2034" s="132"/>
      <c r="Q2034" s="133"/>
    </row>
    <row r="2035" ht="15.75" customHeight="1">
      <c r="A2035" s="132"/>
      <c r="B2035" s="132"/>
      <c r="Q2035" s="133"/>
    </row>
    <row r="2036" ht="15.75" customHeight="1">
      <c r="A2036" s="132"/>
      <c r="B2036" s="132"/>
      <c r="Q2036" s="133"/>
    </row>
    <row r="2037" ht="15.75" customHeight="1">
      <c r="A2037" s="132"/>
      <c r="B2037" s="132"/>
      <c r="Q2037" s="133"/>
    </row>
    <row r="2038" ht="15.75" customHeight="1">
      <c r="A2038" s="132"/>
      <c r="B2038" s="132"/>
      <c r="Q2038" s="133"/>
    </row>
    <row r="2039" ht="15.75" customHeight="1">
      <c r="A2039" s="132"/>
      <c r="B2039" s="132"/>
      <c r="Q2039" s="133"/>
    </row>
    <row r="2040" ht="15.75" customHeight="1">
      <c r="A2040" s="132"/>
      <c r="B2040" s="132"/>
      <c r="Q2040" s="133"/>
    </row>
    <row r="2041" ht="15.75" customHeight="1">
      <c r="A2041" s="132"/>
      <c r="B2041" s="132"/>
      <c r="Q2041" s="133"/>
    </row>
    <row r="2042" ht="15.75" customHeight="1">
      <c r="A2042" s="132"/>
      <c r="B2042" s="132"/>
      <c r="Q2042" s="133"/>
    </row>
    <row r="2043" ht="15.75" customHeight="1">
      <c r="A2043" s="132"/>
      <c r="B2043" s="132"/>
      <c r="Q2043" s="133"/>
    </row>
    <row r="2044" ht="15.75" customHeight="1">
      <c r="A2044" s="132"/>
      <c r="B2044" s="132"/>
      <c r="Q2044" s="133"/>
    </row>
    <row r="2045" ht="15.75" customHeight="1">
      <c r="A2045" s="132"/>
      <c r="B2045" s="132"/>
      <c r="Q2045" s="133"/>
    </row>
    <row r="2046" ht="15.75" customHeight="1">
      <c r="A2046" s="132"/>
      <c r="B2046" s="132"/>
      <c r="Q2046" s="133"/>
    </row>
    <row r="2047" ht="15.75" customHeight="1">
      <c r="A2047" s="132"/>
      <c r="B2047" s="132"/>
      <c r="Q2047" s="133"/>
    </row>
    <row r="2048" ht="15.75" customHeight="1">
      <c r="A2048" s="132"/>
      <c r="B2048" s="132"/>
      <c r="Q2048" s="133"/>
    </row>
    <row r="2049" ht="15.75" customHeight="1">
      <c r="A2049" s="132"/>
      <c r="B2049" s="132"/>
      <c r="Q2049" s="133"/>
    </row>
    <row r="2050" ht="15.75" customHeight="1">
      <c r="A2050" s="132"/>
      <c r="B2050" s="132"/>
      <c r="Q2050" s="133"/>
    </row>
    <row r="2051" ht="15.75" customHeight="1">
      <c r="A2051" s="132"/>
      <c r="B2051" s="132"/>
      <c r="Q2051" s="133"/>
    </row>
    <row r="2052" ht="15.75" customHeight="1">
      <c r="A2052" s="132"/>
      <c r="B2052" s="132"/>
      <c r="Q2052" s="133"/>
    </row>
    <row r="2053" ht="15.75" customHeight="1">
      <c r="A2053" s="132"/>
      <c r="B2053" s="132"/>
      <c r="Q2053" s="133"/>
    </row>
    <row r="2054" ht="15.75" customHeight="1">
      <c r="A2054" s="132"/>
      <c r="B2054" s="132"/>
      <c r="Q2054" s="133"/>
    </row>
    <row r="2055" ht="15.75" customHeight="1">
      <c r="A2055" s="132"/>
      <c r="B2055" s="132"/>
      <c r="Q2055" s="133"/>
    </row>
    <row r="2056" ht="15.75" customHeight="1">
      <c r="A2056" s="132"/>
      <c r="B2056" s="132"/>
      <c r="Q2056" s="133"/>
    </row>
    <row r="2057" ht="15.75" customHeight="1">
      <c r="A2057" s="132"/>
      <c r="B2057" s="132"/>
      <c r="Q2057" s="133"/>
    </row>
    <row r="2058" ht="15.75" customHeight="1">
      <c r="A2058" s="132"/>
      <c r="B2058" s="132"/>
      <c r="Q2058" s="133"/>
    </row>
    <row r="2059" ht="15.75" customHeight="1">
      <c r="A2059" s="132"/>
      <c r="B2059" s="132"/>
      <c r="Q2059" s="133"/>
    </row>
    <row r="2060" ht="15.75" customHeight="1">
      <c r="A2060" s="132"/>
      <c r="B2060" s="132"/>
      <c r="Q2060" s="133"/>
    </row>
    <row r="2061" ht="15.75" customHeight="1">
      <c r="A2061" s="132"/>
      <c r="B2061" s="132"/>
      <c r="Q2061" s="133"/>
    </row>
    <row r="2062" ht="15.75" customHeight="1">
      <c r="A2062" s="132"/>
      <c r="B2062" s="132"/>
      <c r="Q2062" s="133"/>
    </row>
    <row r="2063" ht="15.75" customHeight="1">
      <c r="A2063" s="132"/>
      <c r="B2063" s="132"/>
      <c r="Q2063" s="133"/>
    </row>
    <row r="2064" ht="15.75" customHeight="1">
      <c r="A2064" s="132"/>
      <c r="B2064" s="132"/>
      <c r="Q2064" s="133"/>
    </row>
    <row r="2065" ht="15.75" customHeight="1">
      <c r="A2065" s="132"/>
      <c r="B2065" s="132"/>
      <c r="Q2065" s="133"/>
    </row>
    <row r="2066" ht="15.75" customHeight="1">
      <c r="A2066" s="132"/>
      <c r="B2066" s="132"/>
      <c r="Q2066" s="133"/>
    </row>
    <row r="2067" ht="15.75" customHeight="1">
      <c r="A2067" s="132"/>
      <c r="B2067" s="132"/>
      <c r="Q2067" s="133"/>
    </row>
    <row r="2068" ht="15.75" customHeight="1">
      <c r="A2068" s="132"/>
      <c r="B2068" s="132"/>
      <c r="Q2068" s="133"/>
    </row>
    <row r="2069" ht="15.75" customHeight="1">
      <c r="A2069" s="132"/>
      <c r="B2069" s="132"/>
      <c r="Q2069" s="133"/>
    </row>
    <row r="2070" ht="15.75" customHeight="1">
      <c r="A2070" s="132"/>
      <c r="B2070" s="132"/>
      <c r="Q2070" s="133"/>
    </row>
    <row r="2071" ht="15.75" customHeight="1">
      <c r="A2071" s="132"/>
      <c r="B2071" s="132"/>
      <c r="Q2071" s="133"/>
    </row>
    <row r="2072" ht="15.75" customHeight="1">
      <c r="A2072" s="132"/>
      <c r="B2072" s="132"/>
      <c r="Q2072" s="133"/>
    </row>
    <row r="2073" ht="15.75" customHeight="1">
      <c r="A2073" s="132"/>
      <c r="B2073" s="132"/>
      <c r="Q2073" s="133"/>
    </row>
    <row r="2074" ht="15.75" customHeight="1">
      <c r="A2074" s="132"/>
      <c r="B2074" s="132"/>
      <c r="Q2074" s="133"/>
    </row>
    <row r="2075" ht="15.75" customHeight="1">
      <c r="A2075" s="132"/>
      <c r="B2075" s="132"/>
      <c r="Q2075" s="133"/>
    </row>
    <row r="2076" ht="15.75" customHeight="1">
      <c r="A2076" s="132"/>
      <c r="B2076" s="132"/>
      <c r="Q2076" s="133"/>
    </row>
    <row r="2077" ht="15.75" customHeight="1">
      <c r="A2077" s="132"/>
      <c r="B2077" s="132"/>
      <c r="Q2077" s="133"/>
    </row>
    <row r="2078" ht="15.75" customHeight="1">
      <c r="A2078" s="132"/>
      <c r="B2078" s="132"/>
      <c r="Q2078" s="133"/>
    </row>
    <row r="2079" ht="15.75" customHeight="1">
      <c r="A2079" s="132"/>
      <c r="B2079" s="132"/>
      <c r="Q2079" s="133"/>
    </row>
    <row r="2080" ht="15.75" customHeight="1">
      <c r="A2080" s="132"/>
      <c r="B2080" s="132"/>
      <c r="Q2080" s="133"/>
    </row>
    <row r="2081" ht="15.75" customHeight="1">
      <c r="A2081" s="132"/>
      <c r="B2081" s="132"/>
      <c r="Q2081" s="133"/>
    </row>
    <row r="2082" ht="15.75" customHeight="1">
      <c r="A2082" s="132"/>
      <c r="B2082" s="132"/>
      <c r="Q2082" s="133"/>
    </row>
    <row r="2083" ht="15.75" customHeight="1">
      <c r="A2083" s="132"/>
      <c r="B2083" s="132"/>
      <c r="Q2083" s="133"/>
    </row>
    <row r="2084" ht="15.75" customHeight="1">
      <c r="A2084" s="132"/>
      <c r="B2084" s="132"/>
      <c r="Q2084" s="133"/>
    </row>
    <row r="2085" ht="15.75" customHeight="1">
      <c r="A2085" s="132"/>
      <c r="B2085" s="132"/>
      <c r="Q2085" s="133"/>
    </row>
    <row r="2086" ht="15.75" customHeight="1">
      <c r="A2086" s="132"/>
      <c r="B2086" s="132"/>
      <c r="Q2086" s="133"/>
    </row>
    <row r="2087" ht="15.75" customHeight="1">
      <c r="A2087" s="132"/>
      <c r="B2087" s="132"/>
      <c r="Q2087" s="133"/>
    </row>
    <row r="2088" ht="15.75" customHeight="1">
      <c r="A2088" s="132"/>
      <c r="B2088" s="132"/>
      <c r="Q2088" s="133"/>
    </row>
    <row r="2089" ht="15.75" customHeight="1">
      <c r="A2089" s="132"/>
      <c r="B2089" s="132"/>
      <c r="Q2089" s="133"/>
    </row>
    <row r="2090" ht="15.75" customHeight="1">
      <c r="A2090" s="132"/>
      <c r="B2090" s="132"/>
      <c r="Q2090" s="133"/>
    </row>
    <row r="2091" ht="15.75" customHeight="1">
      <c r="A2091" s="132"/>
      <c r="B2091" s="132"/>
      <c r="Q2091" s="133"/>
    </row>
    <row r="2092" ht="15.75" customHeight="1">
      <c r="A2092" s="132"/>
      <c r="B2092" s="132"/>
      <c r="Q2092" s="133"/>
    </row>
    <row r="2093" ht="15.75" customHeight="1">
      <c r="A2093" s="132"/>
      <c r="B2093" s="132"/>
      <c r="Q2093" s="133"/>
    </row>
    <row r="2094" ht="15.75" customHeight="1">
      <c r="A2094" s="132"/>
      <c r="B2094" s="132"/>
      <c r="Q2094" s="133"/>
    </row>
    <row r="2095" ht="15.75" customHeight="1">
      <c r="A2095" s="132"/>
      <c r="B2095" s="132"/>
      <c r="Q2095" s="133"/>
    </row>
    <row r="2096" ht="15.75" customHeight="1">
      <c r="A2096" s="132"/>
      <c r="B2096" s="132"/>
      <c r="Q2096" s="133"/>
    </row>
    <row r="2097" ht="15.75" customHeight="1">
      <c r="A2097" s="132"/>
      <c r="B2097" s="132"/>
      <c r="Q2097" s="133"/>
    </row>
    <row r="2098" ht="15.75" customHeight="1">
      <c r="A2098" s="132"/>
      <c r="B2098" s="132"/>
      <c r="Q2098" s="133"/>
    </row>
    <row r="2099" ht="15.75" customHeight="1">
      <c r="A2099" s="132"/>
      <c r="B2099" s="132"/>
      <c r="Q2099" s="133"/>
    </row>
    <row r="2100" ht="15.75" customHeight="1">
      <c r="A2100" s="132"/>
      <c r="B2100" s="132"/>
      <c r="Q2100" s="133"/>
    </row>
    <row r="2101" ht="15.75" customHeight="1">
      <c r="A2101" s="132"/>
      <c r="B2101" s="132"/>
      <c r="Q2101" s="133"/>
    </row>
    <row r="2102" ht="15.75" customHeight="1">
      <c r="A2102" s="132"/>
      <c r="B2102" s="132"/>
      <c r="Q2102" s="133"/>
    </row>
    <row r="2103" ht="15.75" customHeight="1">
      <c r="A2103" s="132"/>
      <c r="B2103" s="132"/>
      <c r="Q2103" s="133"/>
    </row>
    <row r="2104" ht="15.75" customHeight="1">
      <c r="A2104" s="132"/>
      <c r="B2104" s="132"/>
      <c r="Q2104" s="133"/>
    </row>
    <row r="2105" ht="15.75" customHeight="1">
      <c r="A2105" s="132"/>
      <c r="B2105" s="132"/>
      <c r="Q2105" s="133"/>
    </row>
    <row r="2106" ht="15.75" customHeight="1">
      <c r="A2106" s="132"/>
      <c r="B2106" s="132"/>
      <c r="Q2106" s="133"/>
    </row>
    <row r="2107" ht="15.75" customHeight="1">
      <c r="A2107" s="132"/>
      <c r="B2107" s="132"/>
      <c r="Q2107" s="133"/>
    </row>
    <row r="2108" ht="15.75" customHeight="1">
      <c r="A2108" s="132"/>
      <c r="B2108" s="132"/>
      <c r="Q2108" s="133"/>
    </row>
    <row r="2109" ht="15.75" customHeight="1">
      <c r="A2109" s="132"/>
      <c r="B2109" s="132"/>
      <c r="Q2109" s="133"/>
    </row>
    <row r="2110" ht="15.75" customHeight="1">
      <c r="A2110" s="132"/>
      <c r="B2110" s="132"/>
      <c r="Q2110" s="133"/>
    </row>
    <row r="2111" ht="15.75" customHeight="1">
      <c r="A2111" s="132"/>
      <c r="B2111" s="132"/>
      <c r="Q2111" s="133"/>
    </row>
    <row r="2112" ht="15.75" customHeight="1">
      <c r="A2112" s="132"/>
      <c r="B2112" s="132"/>
      <c r="Q2112" s="133"/>
    </row>
    <row r="2113" ht="15.75" customHeight="1">
      <c r="A2113" s="132"/>
      <c r="B2113" s="132"/>
      <c r="Q2113" s="133"/>
    </row>
    <row r="2114" ht="15.75" customHeight="1">
      <c r="A2114" s="132"/>
      <c r="B2114" s="132"/>
      <c r="Q2114" s="133"/>
    </row>
    <row r="2115" ht="15.75" customHeight="1">
      <c r="A2115" s="132"/>
      <c r="B2115" s="132"/>
      <c r="Q2115" s="133"/>
    </row>
    <row r="2116" ht="15.75" customHeight="1">
      <c r="A2116" s="132"/>
      <c r="B2116" s="132"/>
      <c r="Q2116" s="133"/>
    </row>
    <row r="2117" ht="15.75" customHeight="1">
      <c r="A2117" s="132"/>
      <c r="B2117" s="132"/>
      <c r="Q2117" s="133"/>
    </row>
    <row r="2118" ht="15.75" customHeight="1">
      <c r="A2118" s="132"/>
      <c r="B2118" s="132"/>
      <c r="Q2118" s="133"/>
    </row>
    <row r="2119" ht="15.75" customHeight="1">
      <c r="A2119" s="132"/>
      <c r="B2119" s="132"/>
      <c r="Q2119" s="133"/>
    </row>
    <row r="2120" ht="15.75" customHeight="1">
      <c r="A2120" s="132"/>
      <c r="B2120" s="132"/>
      <c r="Q2120" s="133"/>
    </row>
    <row r="2121" ht="15.75" customHeight="1">
      <c r="A2121" s="132"/>
      <c r="B2121" s="132"/>
      <c r="Q2121" s="133"/>
    </row>
    <row r="2122" ht="15.75" customHeight="1">
      <c r="A2122" s="132"/>
      <c r="B2122" s="132"/>
      <c r="Q2122" s="133"/>
    </row>
    <row r="2123" ht="15.75" customHeight="1">
      <c r="A2123" s="132"/>
      <c r="B2123" s="132"/>
      <c r="Q2123" s="133"/>
    </row>
    <row r="2124" ht="15.75" customHeight="1">
      <c r="A2124" s="132"/>
      <c r="B2124" s="132"/>
      <c r="Q2124" s="133"/>
    </row>
    <row r="2125" ht="15.75" customHeight="1">
      <c r="A2125" s="132"/>
      <c r="B2125" s="132"/>
      <c r="Q2125" s="133"/>
    </row>
    <row r="2126" ht="15.75" customHeight="1">
      <c r="A2126" s="132"/>
      <c r="B2126" s="132"/>
      <c r="Q2126" s="133"/>
    </row>
    <row r="2127" ht="15.75" customHeight="1">
      <c r="A2127" s="132"/>
      <c r="B2127" s="132"/>
      <c r="Q2127" s="133"/>
    </row>
    <row r="2128" ht="15.75" customHeight="1">
      <c r="A2128" s="132"/>
      <c r="B2128" s="132"/>
      <c r="Q2128" s="133"/>
    </row>
    <row r="2129" ht="15.75" customHeight="1">
      <c r="A2129" s="132"/>
      <c r="B2129" s="132"/>
      <c r="Q2129" s="133"/>
    </row>
    <row r="2130" ht="15.75" customHeight="1">
      <c r="A2130" s="132"/>
      <c r="B2130" s="132"/>
      <c r="Q2130" s="133"/>
    </row>
    <row r="2131" ht="15.75" customHeight="1">
      <c r="A2131" s="132"/>
      <c r="B2131" s="132"/>
      <c r="Q2131" s="133"/>
    </row>
    <row r="2132" ht="15.75" customHeight="1">
      <c r="A2132" s="132"/>
      <c r="B2132" s="132"/>
      <c r="Q2132" s="133"/>
    </row>
    <row r="2133" ht="15.75" customHeight="1">
      <c r="A2133" s="132"/>
      <c r="B2133" s="132"/>
      <c r="Q2133" s="133"/>
    </row>
    <row r="2134" ht="15.75" customHeight="1">
      <c r="A2134" s="132"/>
      <c r="B2134" s="132"/>
      <c r="Q2134" s="133"/>
    </row>
    <row r="2135" ht="15.75" customHeight="1">
      <c r="A2135" s="132"/>
      <c r="B2135" s="132"/>
      <c r="Q2135" s="133"/>
    </row>
    <row r="2136" ht="15.75" customHeight="1">
      <c r="A2136" s="132"/>
      <c r="B2136" s="132"/>
      <c r="Q2136" s="133"/>
    </row>
    <row r="2137" ht="15.75" customHeight="1">
      <c r="A2137" s="132"/>
      <c r="B2137" s="132"/>
      <c r="Q2137" s="133"/>
    </row>
    <row r="2138" ht="15.75" customHeight="1">
      <c r="A2138" s="132"/>
      <c r="B2138" s="132"/>
      <c r="Q2138" s="133"/>
    </row>
    <row r="2139" ht="15.75" customHeight="1">
      <c r="A2139" s="132"/>
      <c r="B2139" s="132"/>
      <c r="Q2139" s="133"/>
    </row>
    <row r="2140" ht="15.75" customHeight="1">
      <c r="A2140" s="132"/>
      <c r="B2140" s="132"/>
      <c r="Q2140" s="133"/>
    </row>
    <row r="2141" ht="15.75" customHeight="1">
      <c r="A2141" s="132"/>
      <c r="B2141" s="132"/>
      <c r="Q2141" s="133"/>
    </row>
    <row r="2142" ht="15.75" customHeight="1">
      <c r="A2142" s="132"/>
      <c r="B2142" s="132"/>
      <c r="Q2142" s="133"/>
    </row>
    <row r="2143" ht="15.75" customHeight="1">
      <c r="A2143" s="132"/>
      <c r="B2143" s="132"/>
      <c r="Q2143" s="133"/>
    </row>
    <row r="2144" ht="15.75" customHeight="1">
      <c r="A2144" s="132"/>
      <c r="B2144" s="132"/>
      <c r="Q2144" s="133"/>
    </row>
    <row r="2145" ht="15.75" customHeight="1">
      <c r="A2145" s="132"/>
      <c r="B2145" s="132"/>
      <c r="Q2145" s="133"/>
    </row>
    <row r="2146" ht="15.75" customHeight="1">
      <c r="A2146" s="132"/>
      <c r="B2146" s="132"/>
      <c r="Q2146" s="133"/>
    </row>
    <row r="2147" ht="15.75" customHeight="1">
      <c r="A2147" s="132"/>
      <c r="B2147" s="132"/>
      <c r="Q2147" s="133"/>
    </row>
    <row r="2148" ht="15.75" customHeight="1">
      <c r="A2148" s="132"/>
      <c r="B2148" s="132"/>
      <c r="Q2148" s="133"/>
    </row>
    <row r="2149" ht="15.75" customHeight="1">
      <c r="A2149" s="132"/>
      <c r="B2149" s="132"/>
      <c r="Q2149" s="133"/>
    </row>
    <row r="2150" ht="15.75" customHeight="1">
      <c r="A2150" s="132"/>
      <c r="B2150" s="132"/>
      <c r="Q2150" s="133"/>
    </row>
    <row r="2151" ht="15.75" customHeight="1">
      <c r="A2151" s="132"/>
      <c r="B2151" s="132"/>
      <c r="Q2151" s="133"/>
    </row>
    <row r="2152" ht="15.75" customHeight="1">
      <c r="A2152" s="132"/>
      <c r="B2152" s="132"/>
      <c r="Q2152" s="133"/>
    </row>
    <row r="2153" ht="15.75" customHeight="1">
      <c r="A2153" s="132"/>
      <c r="B2153" s="132"/>
      <c r="Q2153" s="133"/>
    </row>
    <row r="2154" ht="15.75" customHeight="1">
      <c r="A2154" s="132"/>
      <c r="B2154" s="132"/>
      <c r="Q2154" s="133"/>
    </row>
    <row r="2155" ht="15.75" customHeight="1">
      <c r="A2155" s="132"/>
      <c r="B2155" s="132"/>
      <c r="Q2155" s="133"/>
    </row>
    <row r="2156" ht="15.75" customHeight="1">
      <c r="A2156" s="132"/>
      <c r="B2156" s="132"/>
      <c r="Q2156" s="133"/>
    </row>
    <row r="2157" ht="15.75" customHeight="1">
      <c r="A2157" s="132"/>
      <c r="B2157" s="132"/>
      <c r="Q2157" s="133"/>
    </row>
    <row r="2158" ht="15.75" customHeight="1">
      <c r="A2158" s="132"/>
      <c r="B2158" s="132"/>
      <c r="Q2158" s="133"/>
    </row>
    <row r="2159" ht="15.75" customHeight="1">
      <c r="A2159" s="132"/>
      <c r="B2159" s="132"/>
      <c r="Q2159" s="133"/>
    </row>
    <row r="2160" ht="15.75" customHeight="1">
      <c r="A2160" s="132"/>
      <c r="B2160" s="132"/>
      <c r="Q2160" s="133"/>
    </row>
    <row r="2161" ht="15.75" customHeight="1">
      <c r="A2161" s="132"/>
      <c r="B2161" s="132"/>
      <c r="Q2161" s="133"/>
    </row>
    <row r="2162" ht="15.75" customHeight="1">
      <c r="A2162" s="132"/>
      <c r="B2162" s="132"/>
      <c r="Q2162" s="133"/>
    </row>
    <row r="2163" ht="15.75" customHeight="1">
      <c r="A2163" s="132"/>
      <c r="B2163" s="132"/>
      <c r="Q2163" s="133"/>
    </row>
    <row r="2164" ht="15.75" customHeight="1">
      <c r="A2164" s="132"/>
      <c r="B2164" s="132"/>
      <c r="Q2164" s="133"/>
    </row>
    <row r="2165" ht="15.75" customHeight="1">
      <c r="A2165" s="132"/>
      <c r="B2165" s="132"/>
      <c r="Q2165" s="133"/>
    </row>
    <row r="2166" ht="15.75" customHeight="1">
      <c r="A2166" s="132"/>
      <c r="B2166" s="132"/>
      <c r="Q2166" s="133"/>
    </row>
    <row r="2167" ht="15.75" customHeight="1">
      <c r="A2167" s="132"/>
      <c r="B2167" s="132"/>
      <c r="Q2167" s="133"/>
    </row>
    <row r="2168" ht="15.75" customHeight="1">
      <c r="A2168" s="132"/>
      <c r="B2168" s="132"/>
      <c r="Q2168" s="133"/>
    </row>
    <row r="2169" ht="15.75" customHeight="1">
      <c r="A2169" s="132"/>
      <c r="B2169" s="132"/>
      <c r="Q2169" s="133"/>
    </row>
    <row r="2170" ht="15.75" customHeight="1">
      <c r="A2170" s="132"/>
      <c r="B2170" s="132"/>
      <c r="Q2170" s="133"/>
    </row>
    <row r="2171" ht="15.75" customHeight="1">
      <c r="A2171" s="132"/>
      <c r="B2171" s="132"/>
      <c r="Q2171" s="133"/>
    </row>
    <row r="2172" ht="15.75" customHeight="1">
      <c r="A2172" s="132"/>
      <c r="B2172" s="132"/>
      <c r="Q2172" s="133"/>
    </row>
    <row r="2173" ht="15.75" customHeight="1">
      <c r="A2173" s="132"/>
      <c r="B2173" s="132"/>
      <c r="Q2173" s="133"/>
    </row>
    <row r="2174" ht="15.75" customHeight="1">
      <c r="A2174" s="132"/>
      <c r="B2174" s="132"/>
      <c r="Q2174" s="133"/>
    </row>
    <row r="2175" ht="15.75" customHeight="1">
      <c r="A2175" s="132"/>
      <c r="B2175" s="132"/>
      <c r="Q2175" s="133"/>
    </row>
    <row r="2176" ht="15.75" customHeight="1">
      <c r="A2176" s="132"/>
      <c r="B2176" s="132"/>
      <c r="Q2176" s="133"/>
    </row>
    <row r="2177" ht="15.75" customHeight="1">
      <c r="A2177" s="132"/>
      <c r="B2177" s="132"/>
      <c r="Q2177" s="133"/>
    </row>
    <row r="2178" ht="15.75" customHeight="1">
      <c r="A2178" s="132"/>
      <c r="B2178" s="132"/>
      <c r="Q2178" s="133"/>
    </row>
    <row r="2179" ht="15.75" customHeight="1">
      <c r="A2179" s="132"/>
      <c r="B2179" s="132"/>
      <c r="Q2179" s="133"/>
    </row>
    <row r="2180" ht="15.75" customHeight="1">
      <c r="A2180" s="132"/>
      <c r="B2180" s="132"/>
      <c r="Q2180" s="133"/>
    </row>
    <row r="2181" ht="15.75" customHeight="1">
      <c r="A2181" s="132"/>
      <c r="B2181" s="132"/>
      <c r="Q2181" s="133"/>
    </row>
    <row r="2182" ht="15.75" customHeight="1">
      <c r="A2182" s="132"/>
      <c r="B2182" s="132"/>
      <c r="Q2182" s="133"/>
    </row>
    <row r="2183" ht="15.75" customHeight="1">
      <c r="A2183" s="132"/>
      <c r="B2183" s="132"/>
      <c r="Q2183" s="133"/>
    </row>
    <row r="2184" ht="15.75" customHeight="1">
      <c r="A2184" s="132"/>
      <c r="B2184" s="132"/>
      <c r="Q2184" s="133"/>
    </row>
    <row r="2185" ht="15.75" customHeight="1">
      <c r="A2185" s="132"/>
      <c r="B2185" s="132"/>
      <c r="Q2185" s="133"/>
    </row>
    <row r="2186" ht="15.75" customHeight="1">
      <c r="A2186" s="132"/>
      <c r="B2186" s="132"/>
      <c r="Q2186" s="133"/>
    </row>
    <row r="2187" ht="15.75" customHeight="1">
      <c r="A2187" s="132"/>
      <c r="B2187" s="132"/>
      <c r="Q2187" s="133"/>
    </row>
    <row r="2188" ht="15.75" customHeight="1">
      <c r="A2188" s="132"/>
      <c r="B2188" s="132"/>
      <c r="Q2188" s="133"/>
    </row>
    <row r="2189" ht="15.75" customHeight="1">
      <c r="A2189" s="132"/>
      <c r="B2189" s="132"/>
      <c r="Q2189" s="133"/>
    </row>
    <row r="2190" ht="15.75" customHeight="1">
      <c r="A2190" s="132"/>
      <c r="B2190" s="132"/>
      <c r="Q2190" s="133"/>
    </row>
    <row r="2191" ht="15.75" customHeight="1">
      <c r="A2191" s="132"/>
      <c r="B2191" s="132"/>
      <c r="Q2191" s="133"/>
    </row>
    <row r="2192" ht="15.75" customHeight="1">
      <c r="A2192" s="132"/>
      <c r="B2192" s="132"/>
      <c r="Q2192" s="133"/>
    </row>
    <row r="2193" ht="15.75" customHeight="1">
      <c r="A2193" s="132"/>
      <c r="B2193" s="132"/>
      <c r="Q2193" s="133"/>
    </row>
    <row r="2194" ht="15.75" customHeight="1">
      <c r="A2194" s="132"/>
      <c r="B2194" s="132"/>
      <c r="Q2194" s="133"/>
    </row>
    <row r="2195" ht="15.75" customHeight="1">
      <c r="A2195" s="132"/>
      <c r="B2195" s="132"/>
      <c r="Q2195" s="133"/>
    </row>
    <row r="2196" ht="15.75" customHeight="1">
      <c r="A2196" s="132"/>
      <c r="B2196" s="132"/>
      <c r="Q2196" s="133"/>
    </row>
    <row r="2197" ht="15.75" customHeight="1">
      <c r="A2197" s="132"/>
      <c r="B2197" s="132"/>
      <c r="Q2197" s="133"/>
    </row>
    <row r="2198" ht="15.75" customHeight="1">
      <c r="A2198" s="132"/>
      <c r="B2198" s="132"/>
      <c r="Q2198" s="133"/>
    </row>
    <row r="2199" ht="15.75" customHeight="1">
      <c r="A2199" s="132"/>
      <c r="B2199" s="132"/>
      <c r="Q2199" s="133"/>
    </row>
    <row r="2200" ht="15.75" customHeight="1">
      <c r="A2200" s="132"/>
      <c r="B2200" s="132"/>
      <c r="Q2200" s="133"/>
    </row>
    <row r="2201" ht="15.75" customHeight="1">
      <c r="A2201" s="132"/>
      <c r="B2201" s="132"/>
      <c r="Q2201" s="133"/>
    </row>
    <row r="2202" ht="15.75" customHeight="1">
      <c r="A2202" s="132"/>
      <c r="B2202" s="132"/>
      <c r="Q2202" s="133"/>
    </row>
    <row r="2203" ht="15.75" customHeight="1">
      <c r="A2203" s="132"/>
      <c r="B2203" s="132"/>
      <c r="Q2203" s="133"/>
    </row>
    <row r="2204" ht="15.75" customHeight="1">
      <c r="A2204" s="132"/>
      <c r="B2204" s="132"/>
      <c r="Q2204" s="133"/>
    </row>
    <row r="2205" ht="15.75" customHeight="1">
      <c r="A2205" s="132"/>
      <c r="B2205" s="132"/>
      <c r="Q2205" s="133"/>
    </row>
    <row r="2206" ht="15.75" customHeight="1">
      <c r="A2206" s="132"/>
      <c r="B2206" s="132"/>
      <c r="Q2206" s="133"/>
    </row>
    <row r="2207" ht="15.75" customHeight="1">
      <c r="A2207" s="132"/>
      <c r="B2207" s="132"/>
      <c r="Q2207" s="133"/>
    </row>
    <row r="2208" ht="15.75" customHeight="1">
      <c r="A2208" s="132"/>
      <c r="B2208" s="132"/>
      <c r="Q2208" s="133"/>
    </row>
    <row r="2209" ht="15.75" customHeight="1">
      <c r="A2209" s="132"/>
      <c r="B2209" s="132"/>
      <c r="Q2209" s="133"/>
    </row>
    <row r="2210" ht="15.75" customHeight="1">
      <c r="A2210" s="132"/>
      <c r="B2210" s="132"/>
      <c r="Q2210" s="133"/>
    </row>
    <row r="2211" ht="15.75" customHeight="1">
      <c r="A2211" s="132"/>
      <c r="B2211" s="132"/>
      <c r="Q2211" s="133"/>
    </row>
    <row r="2212" ht="15.75" customHeight="1">
      <c r="A2212" s="132"/>
      <c r="B2212" s="132"/>
      <c r="Q2212" s="133"/>
    </row>
    <row r="2213" ht="15.75" customHeight="1">
      <c r="A2213" s="132"/>
      <c r="B2213" s="132"/>
      <c r="Q2213" s="133"/>
    </row>
    <row r="2214" ht="15.75" customHeight="1">
      <c r="A2214" s="132"/>
      <c r="B2214" s="132"/>
      <c r="Q2214" s="133"/>
    </row>
    <row r="2215" ht="15.75" customHeight="1">
      <c r="A2215" s="132"/>
      <c r="B2215" s="132"/>
      <c r="Q2215" s="133"/>
    </row>
    <row r="2216" ht="15.75" customHeight="1">
      <c r="A2216" s="132"/>
      <c r="B2216" s="132"/>
      <c r="Q2216" s="133"/>
    </row>
    <row r="2217" ht="15.75" customHeight="1">
      <c r="A2217" s="132"/>
      <c r="B2217" s="132"/>
      <c r="Q2217" s="133"/>
    </row>
    <row r="2218" ht="15.75" customHeight="1">
      <c r="A2218" s="132"/>
      <c r="B2218" s="132"/>
      <c r="Q2218" s="133"/>
    </row>
    <row r="2219" ht="15.75" customHeight="1">
      <c r="A2219" s="132"/>
      <c r="B2219" s="132"/>
      <c r="Q2219" s="133"/>
    </row>
    <row r="2220" ht="15.75" customHeight="1">
      <c r="A2220" s="132"/>
      <c r="B2220" s="132"/>
      <c r="Q2220" s="133"/>
    </row>
    <row r="2221" ht="15.75" customHeight="1">
      <c r="A2221" s="132"/>
      <c r="B2221" s="132"/>
      <c r="Q2221" s="133"/>
    </row>
    <row r="2222" ht="15.75" customHeight="1">
      <c r="A2222" s="132"/>
      <c r="B2222" s="132"/>
      <c r="Q2222" s="133"/>
    </row>
    <row r="2223" ht="15.75" customHeight="1">
      <c r="A2223" s="132"/>
      <c r="B2223" s="132"/>
      <c r="Q2223" s="133"/>
    </row>
    <row r="2224" ht="15.75" customHeight="1">
      <c r="A2224" s="132"/>
      <c r="B2224" s="132"/>
      <c r="Q2224" s="133"/>
    </row>
    <row r="2225" ht="15.75" customHeight="1">
      <c r="A2225" s="132"/>
      <c r="B2225" s="132"/>
      <c r="Q2225" s="133"/>
    </row>
    <row r="2226" ht="15.75" customHeight="1">
      <c r="A2226" s="132"/>
      <c r="B2226" s="132"/>
      <c r="Q2226" s="133"/>
    </row>
    <row r="2227" ht="15.75" customHeight="1">
      <c r="A2227" s="132"/>
      <c r="B2227" s="132"/>
      <c r="Q2227" s="133"/>
    </row>
    <row r="2228" ht="15.75" customHeight="1">
      <c r="A2228" s="132"/>
      <c r="B2228" s="132"/>
      <c r="Q2228" s="133"/>
    </row>
    <row r="2229" ht="15.75" customHeight="1">
      <c r="A2229" s="132"/>
      <c r="B2229" s="132"/>
      <c r="Q2229" s="133"/>
    </row>
    <row r="2230" ht="15.75" customHeight="1">
      <c r="A2230" s="132"/>
      <c r="B2230" s="132"/>
      <c r="Q2230" s="133"/>
    </row>
    <row r="2231" ht="15.75" customHeight="1">
      <c r="A2231" s="132"/>
      <c r="B2231" s="132"/>
      <c r="Q2231" s="133"/>
    </row>
    <row r="2232" ht="15.75" customHeight="1">
      <c r="A2232" s="132"/>
      <c r="B2232" s="132"/>
      <c r="Q2232" s="133"/>
    </row>
    <row r="2233" ht="15.75" customHeight="1">
      <c r="A2233" s="132"/>
      <c r="B2233" s="132"/>
      <c r="Q2233" s="133"/>
    </row>
    <row r="2234" ht="15.75" customHeight="1">
      <c r="A2234" s="132"/>
      <c r="B2234" s="132"/>
      <c r="Q2234" s="133"/>
    </row>
    <row r="2235" ht="15.75" customHeight="1">
      <c r="A2235" s="132"/>
      <c r="B2235" s="132"/>
      <c r="Q2235" s="133"/>
    </row>
    <row r="2236" ht="15.75" customHeight="1">
      <c r="A2236" s="132"/>
      <c r="B2236" s="132"/>
      <c r="Q2236" s="133"/>
    </row>
    <row r="2237" ht="15.75" customHeight="1">
      <c r="A2237" s="132"/>
      <c r="B2237" s="132"/>
      <c r="Q2237" s="133"/>
    </row>
    <row r="2238" ht="15.75" customHeight="1">
      <c r="A2238" s="132"/>
      <c r="B2238" s="132"/>
      <c r="Q2238" s="133"/>
    </row>
    <row r="2239" ht="15.75" customHeight="1">
      <c r="A2239" s="132"/>
      <c r="B2239" s="132"/>
      <c r="Q2239" s="133"/>
    </row>
    <row r="2240" ht="15.75" customHeight="1">
      <c r="A2240" s="132"/>
      <c r="B2240" s="132"/>
      <c r="Q2240" s="133"/>
    </row>
    <row r="2241" ht="15.75" customHeight="1">
      <c r="A2241" s="132"/>
      <c r="B2241" s="132"/>
      <c r="Q2241" s="133"/>
    </row>
    <row r="2242" ht="15.75" customHeight="1">
      <c r="A2242" s="132"/>
      <c r="B2242" s="132"/>
      <c r="Q2242" s="133"/>
    </row>
    <row r="2243" ht="15.75" customHeight="1">
      <c r="A2243" s="132"/>
      <c r="B2243" s="132"/>
      <c r="Q2243" s="133"/>
    </row>
    <row r="2244" ht="15.75" customHeight="1">
      <c r="A2244" s="132"/>
      <c r="B2244" s="132"/>
      <c r="Q2244" s="133"/>
    </row>
    <row r="2245" ht="15.75" customHeight="1">
      <c r="A2245" s="132"/>
      <c r="B2245" s="132"/>
      <c r="Q2245" s="133"/>
    </row>
    <row r="2246" ht="15.75" customHeight="1">
      <c r="A2246" s="132"/>
      <c r="B2246" s="132"/>
      <c r="Q2246" s="133"/>
    </row>
    <row r="2247" ht="15.75" customHeight="1">
      <c r="A2247" s="132"/>
      <c r="B2247" s="132"/>
      <c r="Q2247" s="133"/>
    </row>
    <row r="2248" ht="15.75" customHeight="1">
      <c r="A2248" s="132"/>
      <c r="B2248" s="132"/>
      <c r="Q2248" s="133"/>
    </row>
    <row r="2249" ht="15.75" customHeight="1">
      <c r="A2249" s="132"/>
      <c r="B2249" s="132"/>
      <c r="Q2249" s="133"/>
    </row>
    <row r="2250" ht="15.75" customHeight="1">
      <c r="A2250" s="132"/>
      <c r="B2250" s="132"/>
      <c r="Q2250" s="133"/>
    </row>
    <row r="2251" ht="15.75" customHeight="1">
      <c r="A2251" s="132"/>
      <c r="B2251" s="132"/>
      <c r="Q2251" s="133"/>
    </row>
    <row r="2252" ht="15.75" customHeight="1">
      <c r="A2252" s="132"/>
      <c r="B2252" s="132"/>
      <c r="Q2252" s="133"/>
    </row>
    <row r="2253" ht="15.75" customHeight="1">
      <c r="A2253" s="132"/>
      <c r="B2253" s="132"/>
      <c r="Q2253" s="133"/>
    </row>
    <row r="2254" ht="15.75" customHeight="1">
      <c r="A2254" s="132"/>
      <c r="B2254" s="132"/>
      <c r="Q2254" s="133"/>
    </row>
    <row r="2255" ht="15.75" customHeight="1">
      <c r="A2255" s="132"/>
      <c r="B2255" s="132"/>
      <c r="Q2255" s="133"/>
    </row>
    <row r="2256" ht="15.75" customHeight="1">
      <c r="A2256" s="132"/>
      <c r="B2256" s="132"/>
      <c r="Q2256" s="133"/>
    </row>
    <row r="2257" ht="15.75" customHeight="1">
      <c r="A2257" s="132"/>
      <c r="B2257" s="132"/>
      <c r="Q2257" s="133"/>
    </row>
    <row r="2258" ht="15.75" customHeight="1">
      <c r="A2258" s="132"/>
      <c r="B2258" s="132"/>
      <c r="Q2258" s="133"/>
    </row>
    <row r="2259" ht="15.75" customHeight="1">
      <c r="A2259" s="132"/>
      <c r="B2259" s="132"/>
      <c r="Q2259" s="133"/>
    </row>
    <row r="2260" ht="15.75" customHeight="1">
      <c r="A2260" s="132"/>
      <c r="B2260" s="132"/>
      <c r="Q2260" s="133"/>
    </row>
    <row r="2261" ht="15.75" customHeight="1">
      <c r="A2261" s="132"/>
      <c r="B2261" s="132"/>
      <c r="Q2261" s="133"/>
    </row>
    <row r="2262" ht="15.75" customHeight="1">
      <c r="A2262" s="132"/>
      <c r="B2262" s="132"/>
      <c r="Q2262" s="133"/>
    </row>
    <row r="2263" ht="15.75" customHeight="1">
      <c r="A2263" s="132"/>
      <c r="B2263" s="132"/>
      <c r="Q2263" s="133"/>
    </row>
    <row r="2264" ht="15.75" customHeight="1">
      <c r="A2264" s="132"/>
      <c r="B2264" s="132"/>
      <c r="Q2264" s="133"/>
    </row>
    <row r="2265" ht="15.75" customHeight="1">
      <c r="A2265" s="132"/>
      <c r="B2265" s="132"/>
      <c r="Q2265" s="133"/>
    </row>
    <row r="2266" ht="15.75" customHeight="1">
      <c r="A2266" s="132"/>
      <c r="B2266" s="132"/>
      <c r="Q2266" s="133"/>
    </row>
    <row r="2267" ht="15.75" customHeight="1">
      <c r="A2267" s="132"/>
      <c r="B2267" s="132"/>
      <c r="Q2267" s="133"/>
    </row>
    <row r="2268" ht="15.75" customHeight="1">
      <c r="A2268" s="132"/>
      <c r="B2268" s="132"/>
      <c r="Q2268" s="133"/>
    </row>
    <row r="2269" ht="15.75" customHeight="1">
      <c r="A2269" s="132"/>
      <c r="B2269" s="132"/>
      <c r="Q2269" s="133"/>
    </row>
    <row r="2270" ht="15.75" customHeight="1">
      <c r="A2270" s="132"/>
      <c r="B2270" s="132"/>
      <c r="Q2270" s="133"/>
    </row>
    <row r="2271" ht="15.75" customHeight="1">
      <c r="A2271" s="132"/>
      <c r="B2271" s="132"/>
      <c r="Q2271" s="133"/>
    </row>
    <row r="2272" ht="15.75" customHeight="1">
      <c r="A2272" s="132"/>
      <c r="B2272" s="132"/>
      <c r="Q2272" s="133"/>
    </row>
    <row r="2273" ht="15.75" customHeight="1">
      <c r="A2273" s="132"/>
      <c r="B2273" s="132"/>
      <c r="Q2273" s="133"/>
    </row>
    <row r="2274" ht="15.75" customHeight="1">
      <c r="A2274" s="132"/>
      <c r="B2274" s="132"/>
      <c r="Q2274" s="133"/>
    </row>
    <row r="2275" ht="15.75" customHeight="1">
      <c r="A2275" s="132"/>
      <c r="B2275" s="132"/>
      <c r="Q2275" s="133"/>
    </row>
    <row r="2276" ht="15.75" customHeight="1">
      <c r="A2276" s="132"/>
      <c r="B2276" s="132"/>
      <c r="Q2276" s="133"/>
    </row>
    <row r="2277" ht="15.75" customHeight="1">
      <c r="A2277" s="132"/>
      <c r="B2277" s="132"/>
      <c r="Q2277" s="133"/>
    </row>
    <row r="2278" ht="15.75" customHeight="1">
      <c r="A2278" s="132"/>
      <c r="B2278" s="132"/>
      <c r="Q2278" s="133"/>
    </row>
    <row r="2279" ht="15.75" customHeight="1">
      <c r="A2279" s="132"/>
      <c r="B2279" s="132"/>
      <c r="Q2279" s="133"/>
    </row>
    <row r="2280" ht="15.75" customHeight="1">
      <c r="A2280" s="132"/>
      <c r="B2280" s="132"/>
      <c r="Q2280" s="133"/>
    </row>
    <row r="2281" ht="15.75" customHeight="1">
      <c r="A2281" s="132"/>
      <c r="B2281" s="132"/>
      <c r="Q2281" s="133"/>
    </row>
    <row r="2282" ht="15.75" customHeight="1">
      <c r="A2282" s="132"/>
      <c r="B2282" s="132"/>
      <c r="Q2282" s="133"/>
    </row>
    <row r="2283" ht="15.75" customHeight="1">
      <c r="A2283" s="132"/>
      <c r="B2283" s="132"/>
      <c r="Q2283" s="133"/>
    </row>
    <row r="2284" ht="15.75" customHeight="1">
      <c r="A2284" s="132"/>
      <c r="B2284" s="132"/>
      <c r="Q2284" s="133"/>
    </row>
    <row r="2285" ht="15.75" customHeight="1">
      <c r="A2285" s="132"/>
      <c r="B2285" s="132"/>
      <c r="Q2285" s="133"/>
    </row>
    <row r="2286" ht="15.75" customHeight="1">
      <c r="A2286" s="132"/>
      <c r="B2286" s="132"/>
      <c r="Q2286" s="133"/>
    </row>
    <row r="2287" ht="15.75" customHeight="1">
      <c r="A2287" s="132"/>
      <c r="B2287" s="132"/>
      <c r="Q2287" s="133"/>
    </row>
    <row r="2288" ht="15.75" customHeight="1">
      <c r="A2288" s="132"/>
      <c r="B2288" s="132"/>
      <c r="Q2288" s="133"/>
    </row>
    <row r="2289" ht="15.75" customHeight="1">
      <c r="A2289" s="132"/>
      <c r="B2289" s="132"/>
      <c r="Q2289" s="133"/>
    </row>
    <row r="2290" ht="15.75" customHeight="1">
      <c r="A2290" s="132"/>
      <c r="B2290" s="132"/>
      <c r="Q2290" s="133"/>
    </row>
    <row r="2291" ht="15.75" customHeight="1">
      <c r="A2291" s="132"/>
      <c r="B2291" s="132"/>
      <c r="Q2291" s="133"/>
    </row>
    <row r="2292" ht="15.75" customHeight="1">
      <c r="A2292" s="132"/>
      <c r="B2292" s="132"/>
      <c r="Q2292" s="133"/>
    </row>
    <row r="2293" ht="15.75" customHeight="1">
      <c r="A2293" s="132"/>
      <c r="B2293" s="132"/>
      <c r="Q2293" s="133"/>
    </row>
    <row r="2294" ht="15.75" customHeight="1">
      <c r="A2294" s="132"/>
      <c r="B2294" s="132"/>
      <c r="Q2294" s="133"/>
    </row>
    <row r="2295" ht="15.75" customHeight="1">
      <c r="A2295" s="132"/>
      <c r="B2295" s="132"/>
      <c r="Q2295" s="133"/>
    </row>
    <row r="2296" ht="15.75" customHeight="1">
      <c r="A2296" s="132"/>
      <c r="B2296" s="132"/>
      <c r="Q2296" s="133"/>
    </row>
    <row r="2297" ht="15.75" customHeight="1">
      <c r="A2297" s="132"/>
      <c r="B2297" s="132"/>
      <c r="Q2297" s="133"/>
    </row>
    <row r="2298" ht="15.75" customHeight="1">
      <c r="A2298" s="132"/>
      <c r="B2298" s="132"/>
      <c r="Q2298" s="133"/>
    </row>
    <row r="2299" ht="15.75" customHeight="1">
      <c r="A2299" s="132"/>
      <c r="B2299" s="132"/>
      <c r="Q2299" s="133"/>
    </row>
    <row r="2300" ht="15.75" customHeight="1">
      <c r="A2300" s="132"/>
      <c r="B2300" s="132"/>
      <c r="Q2300" s="133"/>
    </row>
    <row r="2301" ht="15.75" customHeight="1">
      <c r="A2301" s="132"/>
      <c r="B2301" s="132"/>
      <c r="Q2301" s="133"/>
    </row>
    <row r="2302" ht="15.75" customHeight="1">
      <c r="A2302" s="132"/>
      <c r="B2302" s="132"/>
      <c r="Q2302" s="133"/>
    </row>
    <row r="2303" ht="15.75" customHeight="1">
      <c r="A2303" s="132"/>
      <c r="B2303" s="132"/>
      <c r="Q2303" s="133"/>
    </row>
    <row r="2304" ht="15.75" customHeight="1">
      <c r="A2304" s="132"/>
      <c r="B2304" s="132"/>
      <c r="Q2304" s="133"/>
    </row>
    <row r="2305" ht="15.75" customHeight="1">
      <c r="A2305" s="132"/>
      <c r="B2305" s="132"/>
      <c r="Q2305" s="133"/>
    </row>
    <row r="2306" ht="15.75" customHeight="1">
      <c r="A2306" s="132"/>
      <c r="B2306" s="132"/>
      <c r="Q2306" s="133"/>
    </row>
    <row r="2307" ht="15.75" customHeight="1">
      <c r="A2307" s="132"/>
      <c r="B2307" s="132"/>
      <c r="Q2307" s="133"/>
    </row>
    <row r="2308" ht="15.75" customHeight="1">
      <c r="A2308" s="132"/>
      <c r="B2308" s="132"/>
      <c r="Q2308" s="133"/>
    </row>
    <row r="2309" ht="15.75" customHeight="1">
      <c r="A2309" s="132"/>
      <c r="B2309" s="132"/>
      <c r="Q2309" s="133"/>
    </row>
    <row r="2310" ht="15.75" customHeight="1">
      <c r="A2310" s="132"/>
      <c r="B2310" s="132"/>
      <c r="Q2310" s="133"/>
    </row>
    <row r="2311" ht="15.75" customHeight="1">
      <c r="A2311" s="132"/>
      <c r="B2311" s="132"/>
      <c r="Q2311" s="133"/>
    </row>
    <row r="2312" ht="15.75" customHeight="1">
      <c r="A2312" s="132"/>
      <c r="B2312" s="132"/>
      <c r="Q2312" s="133"/>
    </row>
    <row r="2313" ht="15.75" customHeight="1">
      <c r="A2313" s="132"/>
      <c r="B2313" s="132"/>
      <c r="Q2313" s="133"/>
    </row>
    <row r="2314" ht="15.75" customHeight="1">
      <c r="A2314" s="132"/>
      <c r="B2314" s="132"/>
      <c r="Q2314" s="133"/>
    </row>
    <row r="2315" ht="15.75" customHeight="1">
      <c r="A2315" s="132"/>
      <c r="B2315" s="132"/>
      <c r="Q2315" s="133"/>
    </row>
    <row r="2316" ht="15.75" customHeight="1">
      <c r="A2316" s="132"/>
      <c r="B2316" s="132"/>
      <c r="Q2316" s="133"/>
    </row>
    <row r="2317" ht="15.75" customHeight="1">
      <c r="A2317" s="132"/>
      <c r="B2317" s="132"/>
      <c r="Q2317" s="133"/>
    </row>
    <row r="2318" ht="15.75" customHeight="1">
      <c r="A2318" s="132"/>
      <c r="B2318" s="132"/>
      <c r="Q2318" s="133"/>
    </row>
    <row r="2319" ht="15.75" customHeight="1">
      <c r="A2319" s="132"/>
      <c r="B2319" s="132"/>
      <c r="Q2319" s="133"/>
    </row>
    <row r="2320" ht="15.75" customHeight="1">
      <c r="A2320" s="132"/>
      <c r="B2320" s="132"/>
      <c r="Q2320" s="133"/>
    </row>
    <row r="2321" ht="15.75" customHeight="1">
      <c r="A2321" s="132"/>
      <c r="B2321" s="132"/>
      <c r="Q2321" s="133"/>
    </row>
    <row r="2322" ht="15.75" customHeight="1">
      <c r="A2322" s="132"/>
      <c r="B2322" s="132"/>
      <c r="Q2322" s="133"/>
    </row>
    <row r="2323" ht="15.75" customHeight="1">
      <c r="A2323" s="132"/>
      <c r="B2323" s="132"/>
      <c r="Q2323" s="133"/>
    </row>
    <row r="2324" ht="15.75" customHeight="1">
      <c r="A2324" s="132"/>
      <c r="B2324" s="132"/>
      <c r="Q2324" s="133"/>
    </row>
    <row r="2325" ht="15.75" customHeight="1">
      <c r="A2325" s="132"/>
      <c r="B2325" s="132"/>
      <c r="Q2325" s="133"/>
    </row>
    <row r="2326" ht="15.75" customHeight="1">
      <c r="A2326" s="132"/>
      <c r="B2326" s="132"/>
      <c r="Q2326" s="133"/>
    </row>
    <row r="2327" ht="15.75" customHeight="1">
      <c r="A2327" s="132"/>
      <c r="B2327" s="132"/>
      <c r="Q2327" s="133"/>
    </row>
    <row r="2328" ht="15.75" customHeight="1">
      <c r="A2328" s="132"/>
      <c r="B2328" s="132"/>
      <c r="Q2328" s="133"/>
    </row>
    <row r="2329" ht="15.75" customHeight="1">
      <c r="A2329" s="132"/>
      <c r="B2329" s="132"/>
      <c r="Q2329" s="133"/>
    </row>
    <row r="2330" ht="15.75" customHeight="1">
      <c r="A2330" s="132"/>
      <c r="B2330" s="132"/>
      <c r="Q2330" s="133"/>
    </row>
    <row r="2331" ht="15.75" customHeight="1">
      <c r="A2331" s="132"/>
      <c r="B2331" s="132"/>
      <c r="Q2331" s="133"/>
    </row>
    <row r="2332" ht="15.75" customHeight="1">
      <c r="A2332" s="132"/>
      <c r="B2332" s="132"/>
      <c r="Q2332" s="133"/>
    </row>
    <row r="2333" ht="15.75" customHeight="1">
      <c r="A2333" s="132"/>
      <c r="B2333" s="132"/>
      <c r="Q2333" s="133"/>
    </row>
    <row r="2334" ht="15.75" customHeight="1">
      <c r="A2334" s="132"/>
      <c r="B2334" s="132"/>
      <c r="Q2334" s="133"/>
    </row>
    <row r="2335" ht="15.75" customHeight="1">
      <c r="A2335" s="132"/>
      <c r="B2335" s="132"/>
      <c r="Q2335" s="133"/>
    </row>
    <row r="2336" ht="15.75" customHeight="1">
      <c r="A2336" s="132"/>
      <c r="B2336" s="132"/>
      <c r="Q2336" s="133"/>
    </row>
    <row r="2337" ht="15.75" customHeight="1">
      <c r="A2337" s="132"/>
      <c r="B2337" s="132"/>
      <c r="Q2337" s="133"/>
    </row>
    <row r="2338" ht="15.75" customHeight="1">
      <c r="A2338" s="132"/>
      <c r="B2338" s="132"/>
      <c r="Q2338" s="133"/>
    </row>
    <row r="2339" ht="15.75" customHeight="1">
      <c r="A2339" s="132"/>
      <c r="B2339" s="132"/>
      <c r="Q2339" s="133"/>
    </row>
    <row r="2340" ht="15.75" customHeight="1">
      <c r="A2340" s="132"/>
      <c r="B2340" s="132"/>
      <c r="Q2340" s="133"/>
    </row>
    <row r="2341" ht="15.75" customHeight="1">
      <c r="A2341" s="132"/>
      <c r="B2341" s="132"/>
      <c r="Q2341" s="133"/>
    </row>
    <row r="2342" ht="15.75" customHeight="1">
      <c r="A2342" s="132"/>
      <c r="B2342" s="132"/>
      <c r="Q2342" s="133"/>
    </row>
    <row r="2343" ht="15.75" customHeight="1">
      <c r="A2343" s="132"/>
      <c r="B2343" s="132"/>
      <c r="Q2343" s="133"/>
    </row>
    <row r="2344" ht="15.75" customHeight="1">
      <c r="A2344" s="132"/>
      <c r="B2344" s="132"/>
      <c r="Q2344" s="133"/>
    </row>
    <row r="2345" ht="15.75" customHeight="1">
      <c r="A2345" s="132"/>
      <c r="B2345" s="132"/>
      <c r="Q2345" s="133"/>
    </row>
    <row r="2346" ht="15.75" customHeight="1">
      <c r="A2346" s="132"/>
      <c r="B2346" s="132"/>
      <c r="Q2346" s="133"/>
    </row>
    <row r="2347" ht="15.75" customHeight="1">
      <c r="A2347" s="132"/>
      <c r="B2347" s="132"/>
      <c r="Q2347" s="133"/>
    </row>
    <row r="2348" ht="15.75" customHeight="1">
      <c r="A2348" s="132"/>
      <c r="B2348" s="132"/>
      <c r="Q2348" s="133"/>
    </row>
    <row r="2349" ht="15.75" customHeight="1">
      <c r="A2349" s="132"/>
      <c r="B2349" s="132"/>
      <c r="Q2349" s="133"/>
    </row>
    <row r="2350" ht="15.75" customHeight="1">
      <c r="A2350" s="132"/>
      <c r="B2350" s="132"/>
      <c r="Q2350" s="133"/>
    </row>
    <row r="2351" ht="15.75" customHeight="1">
      <c r="A2351" s="132"/>
      <c r="B2351" s="132"/>
      <c r="Q2351" s="133"/>
    </row>
    <row r="2352" ht="15.75" customHeight="1">
      <c r="A2352" s="132"/>
      <c r="B2352" s="132"/>
      <c r="Q2352" s="133"/>
    </row>
    <row r="2353" ht="15.75" customHeight="1">
      <c r="A2353" s="132"/>
      <c r="B2353" s="132"/>
      <c r="Q2353" s="133"/>
    </row>
    <row r="2354" ht="15.75" customHeight="1">
      <c r="A2354" s="132"/>
      <c r="B2354" s="132"/>
      <c r="Q2354" s="133"/>
    </row>
    <row r="2355" ht="15.75" customHeight="1">
      <c r="A2355" s="132"/>
      <c r="B2355" s="132"/>
      <c r="Q2355" s="133"/>
    </row>
    <row r="2356" ht="15.75" customHeight="1">
      <c r="A2356" s="132"/>
      <c r="B2356" s="132"/>
      <c r="Q2356" s="133"/>
    </row>
    <row r="2357" ht="15.75" customHeight="1">
      <c r="A2357" s="132"/>
      <c r="B2357" s="132"/>
      <c r="Q2357" s="133"/>
    </row>
    <row r="2358" ht="15.75" customHeight="1">
      <c r="A2358" s="132"/>
      <c r="B2358" s="132"/>
      <c r="Q2358" s="133"/>
    </row>
    <row r="2359" ht="15.75" customHeight="1">
      <c r="A2359" s="132"/>
      <c r="B2359" s="132"/>
      <c r="Q2359" s="133"/>
    </row>
    <row r="2360" ht="15.75" customHeight="1">
      <c r="A2360" s="132"/>
      <c r="B2360" s="132"/>
      <c r="Q2360" s="133"/>
    </row>
    <row r="2361" ht="15.75" customHeight="1">
      <c r="A2361" s="132"/>
      <c r="B2361" s="132"/>
      <c r="Q2361" s="133"/>
    </row>
    <row r="2362" ht="15.75" customHeight="1">
      <c r="A2362" s="132"/>
      <c r="B2362" s="132"/>
      <c r="Q2362" s="133"/>
    </row>
    <row r="2363" ht="15.75" customHeight="1">
      <c r="A2363" s="132"/>
      <c r="B2363" s="132"/>
      <c r="Q2363" s="133"/>
    </row>
    <row r="2364" ht="15.75" customHeight="1">
      <c r="A2364" s="132"/>
      <c r="B2364" s="132"/>
      <c r="Q2364" s="133"/>
    </row>
    <row r="2365" ht="15.75" customHeight="1">
      <c r="A2365" s="132"/>
      <c r="B2365" s="132"/>
      <c r="Q2365" s="133"/>
    </row>
    <row r="2366" ht="15.75" customHeight="1">
      <c r="A2366" s="132"/>
      <c r="B2366" s="132"/>
      <c r="Q2366" s="133"/>
    </row>
    <row r="2367" ht="15.75" customHeight="1">
      <c r="A2367" s="132"/>
      <c r="B2367" s="132"/>
      <c r="Q2367" s="133"/>
    </row>
    <row r="2368" ht="15.75" customHeight="1">
      <c r="A2368" s="132"/>
      <c r="B2368" s="132"/>
      <c r="Q2368" s="133"/>
    </row>
    <row r="2369" ht="15.75" customHeight="1">
      <c r="A2369" s="132"/>
      <c r="B2369" s="132"/>
      <c r="Q2369" s="133"/>
    </row>
    <row r="2370" ht="15.75" customHeight="1">
      <c r="A2370" s="132"/>
      <c r="B2370" s="132"/>
      <c r="Q2370" s="133"/>
    </row>
    <row r="2371" ht="15.75" customHeight="1">
      <c r="A2371" s="132"/>
      <c r="B2371" s="132"/>
      <c r="Q2371" s="133"/>
    </row>
    <row r="2372" ht="15.75" customHeight="1">
      <c r="A2372" s="132"/>
      <c r="B2372" s="132"/>
      <c r="Q2372" s="133"/>
    </row>
    <row r="2373" ht="15.75" customHeight="1">
      <c r="A2373" s="132"/>
      <c r="B2373" s="132"/>
      <c r="Q2373" s="133"/>
    </row>
    <row r="2374" ht="15.75" customHeight="1">
      <c r="A2374" s="132"/>
      <c r="B2374" s="132"/>
      <c r="Q2374" s="133"/>
    </row>
    <row r="2375" ht="15.75" customHeight="1">
      <c r="A2375" s="132"/>
      <c r="B2375" s="132"/>
      <c r="Q2375" s="133"/>
    </row>
    <row r="2376" ht="15.75" customHeight="1">
      <c r="A2376" s="132"/>
      <c r="B2376" s="132"/>
      <c r="Q2376" s="133"/>
    </row>
    <row r="2377" ht="15.75" customHeight="1">
      <c r="A2377" s="132"/>
      <c r="B2377" s="132"/>
      <c r="Q2377" s="133"/>
    </row>
    <row r="2378" ht="15.75" customHeight="1">
      <c r="A2378" s="132"/>
      <c r="B2378" s="132"/>
      <c r="Q2378" s="133"/>
    </row>
    <row r="2379" ht="15.75" customHeight="1">
      <c r="A2379" s="132"/>
      <c r="B2379" s="132"/>
      <c r="Q2379" s="133"/>
    </row>
    <row r="2380" ht="15.75" customHeight="1">
      <c r="A2380" s="132"/>
      <c r="B2380" s="132"/>
      <c r="Q2380" s="133"/>
    </row>
    <row r="2381" ht="15.75" customHeight="1">
      <c r="A2381" s="132"/>
      <c r="B2381" s="132"/>
      <c r="Q2381" s="133"/>
    </row>
    <row r="2382" ht="15.75" customHeight="1">
      <c r="A2382" s="132"/>
      <c r="B2382" s="132"/>
      <c r="Q2382" s="133"/>
    </row>
    <row r="2383" ht="15.75" customHeight="1">
      <c r="A2383" s="132"/>
      <c r="B2383" s="132"/>
      <c r="Q2383" s="133"/>
    </row>
    <row r="2384" ht="15.75" customHeight="1">
      <c r="A2384" s="132"/>
      <c r="B2384" s="132"/>
      <c r="Q2384" s="133"/>
    </row>
    <row r="2385" ht="15.75" customHeight="1">
      <c r="A2385" s="132"/>
      <c r="B2385" s="132"/>
      <c r="Q2385" s="133"/>
    </row>
    <row r="2386" ht="15.75" customHeight="1">
      <c r="A2386" s="132"/>
      <c r="B2386" s="132"/>
      <c r="Q2386" s="133"/>
    </row>
    <row r="2387" ht="15.75" customHeight="1">
      <c r="A2387" s="132"/>
      <c r="B2387" s="132"/>
      <c r="Q2387" s="133"/>
    </row>
    <row r="2388" ht="15.75" customHeight="1">
      <c r="A2388" s="132"/>
      <c r="B2388" s="132"/>
      <c r="Q2388" s="133"/>
    </row>
    <row r="2389" ht="15.75" customHeight="1">
      <c r="A2389" s="132"/>
      <c r="B2389" s="132"/>
      <c r="Q2389" s="133"/>
    </row>
    <row r="2390" ht="15.75" customHeight="1">
      <c r="A2390" s="132"/>
      <c r="B2390" s="132"/>
      <c r="Q2390" s="133"/>
    </row>
    <row r="2391" ht="15.75" customHeight="1">
      <c r="A2391" s="132"/>
      <c r="B2391" s="132"/>
      <c r="Q2391" s="133"/>
    </row>
    <row r="2392" ht="15.75" customHeight="1">
      <c r="A2392" s="132"/>
      <c r="B2392" s="132"/>
      <c r="Q2392" s="133"/>
    </row>
    <row r="2393" ht="15.75" customHeight="1">
      <c r="A2393" s="132"/>
      <c r="B2393" s="132"/>
      <c r="Q2393" s="133"/>
    </row>
    <row r="2394" ht="15.75" customHeight="1">
      <c r="A2394" s="132"/>
      <c r="B2394" s="132"/>
      <c r="Q2394" s="133"/>
    </row>
    <row r="2395" ht="15.75" customHeight="1">
      <c r="A2395" s="132"/>
      <c r="B2395" s="132"/>
      <c r="Q2395" s="133"/>
    </row>
    <row r="2396" ht="15.75" customHeight="1">
      <c r="A2396" s="132"/>
      <c r="B2396" s="132"/>
      <c r="Q2396" s="133"/>
    </row>
    <row r="2397" ht="15.75" customHeight="1">
      <c r="A2397" s="132"/>
      <c r="B2397" s="132"/>
      <c r="Q2397" s="133"/>
    </row>
    <row r="2398" ht="15.75" customHeight="1">
      <c r="A2398" s="132"/>
      <c r="B2398" s="132"/>
      <c r="Q2398" s="133"/>
    </row>
    <row r="2399" ht="15.75" customHeight="1">
      <c r="A2399" s="132"/>
      <c r="B2399" s="132"/>
      <c r="Q2399" s="133"/>
    </row>
    <row r="2400" ht="15.75" customHeight="1">
      <c r="A2400" s="132"/>
      <c r="B2400" s="132"/>
      <c r="Q2400" s="133"/>
    </row>
    <row r="2401" ht="15.75" customHeight="1">
      <c r="A2401" s="132"/>
      <c r="B2401" s="132"/>
      <c r="Q2401" s="133"/>
    </row>
    <row r="2402" ht="15.75" customHeight="1">
      <c r="A2402" s="132"/>
      <c r="B2402" s="132"/>
      <c r="Q2402" s="133"/>
    </row>
    <row r="2403" ht="15.75" customHeight="1">
      <c r="A2403" s="132"/>
      <c r="B2403" s="132"/>
      <c r="Q2403" s="133"/>
    </row>
    <row r="2404" ht="15.75" customHeight="1">
      <c r="A2404" s="132"/>
      <c r="B2404" s="132"/>
      <c r="Q2404" s="133"/>
    </row>
    <row r="2405" ht="15.75" customHeight="1">
      <c r="A2405" s="132"/>
      <c r="B2405" s="132"/>
      <c r="Q2405" s="133"/>
    </row>
    <row r="2406" ht="15.75" customHeight="1">
      <c r="A2406" s="132"/>
      <c r="B2406" s="132"/>
      <c r="Q2406" s="133"/>
    </row>
    <row r="2407" ht="15.75" customHeight="1">
      <c r="A2407" s="132"/>
      <c r="B2407" s="132"/>
      <c r="Q2407" s="133"/>
    </row>
    <row r="2408" ht="15.75" customHeight="1">
      <c r="A2408" s="132"/>
      <c r="B2408" s="132"/>
      <c r="Q2408" s="133"/>
    </row>
    <row r="2409" ht="15.75" customHeight="1">
      <c r="A2409" s="132"/>
      <c r="B2409" s="132"/>
      <c r="Q2409" s="133"/>
    </row>
    <row r="2410" ht="15.75" customHeight="1">
      <c r="A2410" s="132"/>
      <c r="B2410" s="132"/>
      <c r="Q2410" s="133"/>
    </row>
    <row r="2411" ht="15.75" customHeight="1">
      <c r="A2411" s="132"/>
      <c r="B2411" s="132"/>
      <c r="Q2411" s="133"/>
    </row>
    <row r="2412" ht="15.75" customHeight="1">
      <c r="A2412" s="132"/>
      <c r="B2412" s="132"/>
      <c r="Q2412" s="133"/>
    </row>
    <row r="2413" ht="15.75" customHeight="1">
      <c r="A2413" s="132"/>
      <c r="B2413" s="132"/>
      <c r="Q2413" s="133"/>
    </row>
    <row r="2414" ht="15.75" customHeight="1">
      <c r="A2414" s="132"/>
      <c r="B2414" s="132"/>
      <c r="Q2414" s="133"/>
    </row>
    <row r="2415" ht="15.75" customHeight="1">
      <c r="A2415" s="132"/>
      <c r="B2415" s="132"/>
      <c r="Q2415" s="133"/>
    </row>
    <row r="2416" ht="15.75" customHeight="1">
      <c r="A2416" s="132"/>
      <c r="B2416" s="132"/>
      <c r="Q2416" s="133"/>
    </row>
    <row r="2417" ht="15.75" customHeight="1">
      <c r="A2417" s="132"/>
      <c r="B2417" s="132"/>
      <c r="Q2417" s="133"/>
    </row>
    <row r="2418" ht="15.75" customHeight="1">
      <c r="A2418" s="132"/>
      <c r="B2418" s="132"/>
      <c r="Q2418" s="133"/>
    </row>
    <row r="2419" ht="15.75" customHeight="1">
      <c r="A2419" s="132"/>
      <c r="B2419" s="132"/>
      <c r="Q2419" s="133"/>
    </row>
    <row r="2420" ht="15.75" customHeight="1">
      <c r="A2420" s="132"/>
      <c r="B2420" s="132"/>
      <c r="Q2420" s="133"/>
    </row>
    <row r="2421" ht="15.75" customHeight="1">
      <c r="A2421" s="132"/>
      <c r="B2421" s="132"/>
      <c r="Q2421" s="133"/>
    </row>
    <row r="2422" ht="15.75" customHeight="1">
      <c r="A2422" s="132"/>
      <c r="B2422" s="132"/>
      <c r="Q2422" s="133"/>
    </row>
    <row r="2423" ht="15.75" customHeight="1">
      <c r="A2423" s="132"/>
      <c r="B2423" s="132"/>
      <c r="Q2423" s="133"/>
    </row>
    <row r="2424" ht="15.75" customHeight="1">
      <c r="A2424" s="132"/>
      <c r="B2424" s="132"/>
      <c r="Q2424" s="133"/>
    </row>
    <row r="2425" ht="15.75" customHeight="1">
      <c r="A2425" s="132"/>
      <c r="B2425" s="132"/>
      <c r="Q2425" s="133"/>
    </row>
    <row r="2426" ht="15.75" customHeight="1">
      <c r="A2426" s="132"/>
      <c r="B2426" s="132"/>
      <c r="Q2426" s="133"/>
    </row>
    <row r="2427" ht="15.75" customHeight="1">
      <c r="A2427" s="132"/>
      <c r="B2427" s="132"/>
      <c r="Q2427" s="133"/>
    </row>
    <row r="2428" ht="15.75" customHeight="1">
      <c r="A2428" s="132"/>
      <c r="B2428" s="132"/>
      <c r="Q2428" s="133"/>
    </row>
    <row r="2429" ht="15.75" customHeight="1">
      <c r="A2429" s="132"/>
      <c r="B2429" s="132"/>
      <c r="Q2429" s="133"/>
    </row>
    <row r="2430" ht="15.75" customHeight="1">
      <c r="A2430" s="132"/>
      <c r="B2430" s="132"/>
      <c r="Q2430" s="133"/>
    </row>
    <row r="2431" ht="15.75" customHeight="1">
      <c r="A2431" s="132"/>
      <c r="B2431" s="132"/>
      <c r="Q2431" s="133"/>
    </row>
    <row r="2432" ht="15.75" customHeight="1">
      <c r="A2432" s="132"/>
      <c r="B2432" s="132"/>
      <c r="Q2432" s="133"/>
    </row>
    <row r="2433" ht="15.75" customHeight="1">
      <c r="A2433" s="132"/>
      <c r="B2433" s="132"/>
      <c r="Q2433" s="133"/>
    </row>
    <row r="2434" ht="15.75" customHeight="1">
      <c r="A2434" s="132"/>
      <c r="B2434" s="132"/>
      <c r="Q2434" s="133"/>
    </row>
    <row r="2435" ht="15.75" customHeight="1">
      <c r="A2435" s="132"/>
      <c r="B2435" s="132"/>
      <c r="Q2435" s="133"/>
    </row>
    <row r="2436" ht="15.75" customHeight="1">
      <c r="A2436" s="132"/>
      <c r="B2436" s="132"/>
      <c r="Q2436" s="133"/>
    </row>
    <row r="2437" ht="15.75" customHeight="1">
      <c r="A2437" s="132"/>
      <c r="B2437" s="132"/>
      <c r="Q2437" s="133"/>
    </row>
    <row r="2438" ht="15.75" customHeight="1">
      <c r="A2438" s="132"/>
      <c r="B2438" s="132"/>
      <c r="Q2438" s="133"/>
    </row>
    <row r="2439" ht="15.75" customHeight="1">
      <c r="A2439" s="132"/>
      <c r="B2439" s="132"/>
      <c r="Q2439" s="133"/>
    </row>
    <row r="2440" ht="15.75" customHeight="1">
      <c r="A2440" s="132"/>
      <c r="B2440" s="132"/>
      <c r="Q2440" s="133"/>
    </row>
    <row r="2441" ht="15.75" customHeight="1">
      <c r="A2441" s="132"/>
      <c r="B2441" s="132"/>
      <c r="Q2441" s="133"/>
    </row>
    <row r="2442" ht="15.75" customHeight="1">
      <c r="A2442" s="132"/>
      <c r="B2442" s="132"/>
      <c r="Q2442" s="133"/>
    </row>
    <row r="2443" ht="15.75" customHeight="1">
      <c r="A2443" s="132"/>
      <c r="B2443" s="132"/>
      <c r="Q2443" s="133"/>
    </row>
    <row r="2444" ht="15.75" customHeight="1">
      <c r="A2444" s="132"/>
      <c r="B2444" s="132"/>
      <c r="Q2444" s="133"/>
    </row>
    <row r="2445" ht="15.75" customHeight="1">
      <c r="A2445" s="132"/>
      <c r="B2445" s="132"/>
      <c r="Q2445" s="133"/>
    </row>
    <row r="2446" ht="15.75" customHeight="1">
      <c r="A2446" s="132"/>
      <c r="B2446" s="132"/>
      <c r="Q2446" s="133"/>
    </row>
    <row r="2447" ht="15.75" customHeight="1">
      <c r="A2447" s="132"/>
      <c r="B2447" s="132"/>
      <c r="Q2447" s="133"/>
    </row>
    <row r="2448" ht="15.75" customHeight="1">
      <c r="A2448" s="132"/>
      <c r="B2448" s="132"/>
      <c r="Q2448" s="133"/>
    </row>
    <row r="2449" ht="15.75" customHeight="1">
      <c r="A2449" s="132"/>
      <c r="B2449" s="132"/>
      <c r="Q2449" s="133"/>
    </row>
    <row r="2450" ht="15.75" customHeight="1">
      <c r="A2450" s="132"/>
      <c r="B2450" s="132"/>
      <c r="Q2450" s="133"/>
    </row>
    <row r="2451" ht="15.75" customHeight="1">
      <c r="A2451" s="132"/>
      <c r="B2451" s="132"/>
      <c r="Q2451" s="133"/>
    </row>
    <row r="2452" ht="15.75" customHeight="1">
      <c r="A2452" s="132"/>
      <c r="B2452" s="132"/>
      <c r="Q2452" s="133"/>
    </row>
    <row r="2453" ht="15.75" customHeight="1">
      <c r="A2453" s="132"/>
      <c r="B2453" s="132"/>
      <c r="Q2453" s="133"/>
    </row>
    <row r="2454" ht="15.75" customHeight="1">
      <c r="A2454" s="132"/>
      <c r="B2454" s="132"/>
      <c r="Q2454" s="133"/>
    </row>
    <row r="2455" ht="15.75" customHeight="1">
      <c r="A2455" s="132"/>
      <c r="B2455" s="132"/>
      <c r="Q2455" s="133"/>
    </row>
    <row r="2456" ht="15.75" customHeight="1">
      <c r="A2456" s="132"/>
      <c r="B2456" s="132"/>
      <c r="Q2456" s="133"/>
    </row>
    <row r="2457" ht="15.75" customHeight="1">
      <c r="A2457" s="132"/>
      <c r="B2457" s="132"/>
      <c r="Q2457" s="133"/>
    </row>
    <row r="2458" ht="15.75" customHeight="1">
      <c r="A2458" s="132"/>
      <c r="B2458" s="132"/>
      <c r="Q2458" s="133"/>
    </row>
    <row r="2459" ht="15.75" customHeight="1">
      <c r="A2459" s="132"/>
      <c r="B2459" s="132"/>
      <c r="Q2459" s="133"/>
    </row>
    <row r="2460" ht="15.75" customHeight="1">
      <c r="A2460" s="132"/>
      <c r="B2460" s="132"/>
      <c r="Q2460" s="133"/>
    </row>
    <row r="2461" ht="15.75" customHeight="1">
      <c r="A2461" s="132"/>
      <c r="B2461" s="132"/>
      <c r="Q2461" s="133"/>
    </row>
    <row r="2462" ht="15.75" customHeight="1">
      <c r="A2462" s="132"/>
      <c r="B2462" s="132"/>
      <c r="Q2462" s="133"/>
    </row>
    <row r="2463" ht="15.75" customHeight="1">
      <c r="A2463" s="132"/>
      <c r="B2463" s="132"/>
      <c r="Q2463" s="133"/>
    </row>
    <row r="2464" ht="15.75" customHeight="1">
      <c r="A2464" s="132"/>
      <c r="B2464" s="132"/>
      <c r="Q2464" s="133"/>
    </row>
    <row r="2465" ht="15.75" customHeight="1">
      <c r="A2465" s="132"/>
      <c r="B2465" s="132"/>
      <c r="Q2465" s="133"/>
    </row>
    <row r="2466" ht="15.75" customHeight="1">
      <c r="A2466" s="132"/>
      <c r="B2466" s="132"/>
      <c r="Q2466" s="133"/>
    </row>
    <row r="2467" ht="15.75" customHeight="1">
      <c r="A2467" s="132"/>
      <c r="B2467" s="132"/>
      <c r="Q2467" s="133"/>
    </row>
    <row r="2468" ht="15.75" customHeight="1">
      <c r="A2468" s="132"/>
      <c r="B2468" s="132"/>
      <c r="Q2468" s="133"/>
    </row>
    <row r="2469" ht="15.75" customHeight="1">
      <c r="A2469" s="132"/>
      <c r="B2469" s="132"/>
      <c r="Q2469" s="133"/>
    </row>
    <row r="2470" ht="15.75" customHeight="1">
      <c r="A2470" s="132"/>
      <c r="B2470" s="132"/>
      <c r="Q2470" s="133"/>
    </row>
    <row r="2471" ht="15.75" customHeight="1">
      <c r="A2471" s="132"/>
      <c r="B2471" s="132"/>
      <c r="Q2471" s="133"/>
    </row>
    <row r="2472" ht="15.75" customHeight="1">
      <c r="A2472" s="132"/>
      <c r="B2472" s="132"/>
      <c r="Q2472" s="133"/>
    </row>
    <row r="2473" ht="15.75" customHeight="1">
      <c r="A2473" s="132"/>
      <c r="B2473" s="132"/>
      <c r="Q2473" s="133"/>
    </row>
    <row r="2474" ht="15.75" customHeight="1">
      <c r="A2474" s="132"/>
      <c r="B2474" s="132"/>
      <c r="Q2474" s="133"/>
    </row>
    <row r="2475" ht="15.75" customHeight="1">
      <c r="A2475" s="132"/>
      <c r="B2475" s="132"/>
      <c r="Q2475" s="133"/>
    </row>
    <row r="2476" ht="15.75" customHeight="1">
      <c r="A2476" s="132"/>
      <c r="B2476" s="132"/>
      <c r="Q2476" s="133"/>
    </row>
    <row r="2477" ht="15.75" customHeight="1">
      <c r="A2477" s="132"/>
      <c r="B2477" s="132"/>
      <c r="Q2477" s="133"/>
    </row>
    <row r="2478" ht="15.75" customHeight="1">
      <c r="A2478" s="132"/>
      <c r="B2478" s="132"/>
      <c r="Q2478" s="133"/>
    </row>
    <row r="2479" ht="15.75" customHeight="1">
      <c r="A2479" s="132"/>
      <c r="B2479" s="132"/>
      <c r="Q2479" s="133"/>
    </row>
    <row r="2480" ht="15.75" customHeight="1">
      <c r="A2480" s="132"/>
      <c r="B2480" s="132"/>
      <c r="Q2480" s="133"/>
    </row>
    <row r="2481" ht="15.75" customHeight="1">
      <c r="A2481" s="132"/>
      <c r="B2481" s="132"/>
      <c r="Q2481" s="133"/>
    </row>
    <row r="2482" ht="15.75" customHeight="1">
      <c r="A2482" s="132"/>
      <c r="B2482" s="132"/>
      <c r="Q2482" s="133"/>
    </row>
    <row r="2483" ht="15.75" customHeight="1">
      <c r="A2483" s="132"/>
      <c r="B2483" s="132"/>
      <c r="Q2483" s="133"/>
    </row>
    <row r="2484" ht="15.75" customHeight="1">
      <c r="A2484" s="132"/>
      <c r="B2484" s="132"/>
      <c r="Q2484" s="133"/>
    </row>
    <row r="2485" ht="15.75" customHeight="1">
      <c r="A2485" s="132"/>
      <c r="B2485" s="132"/>
      <c r="Q2485" s="133"/>
    </row>
    <row r="2486" ht="15.75" customHeight="1">
      <c r="A2486" s="132"/>
      <c r="B2486" s="132"/>
      <c r="Q2486" s="133"/>
    </row>
    <row r="2487" ht="15.75" customHeight="1">
      <c r="A2487" s="132"/>
      <c r="B2487" s="132"/>
      <c r="Q2487" s="133"/>
    </row>
    <row r="2488" ht="15.75" customHeight="1">
      <c r="A2488" s="132"/>
      <c r="B2488" s="132"/>
      <c r="Q2488" s="133"/>
    </row>
    <row r="2489" ht="15.75" customHeight="1">
      <c r="A2489" s="132"/>
      <c r="B2489" s="132"/>
      <c r="Q2489" s="133"/>
    </row>
    <row r="2490" ht="15.75" customHeight="1">
      <c r="A2490" s="132"/>
      <c r="B2490" s="132"/>
      <c r="Q2490" s="133"/>
    </row>
    <row r="2491" ht="15.75" customHeight="1">
      <c r="A2491" s="132"/>
      <c r="B2491" s="132"/>
      <c r="Q2491" s="133"/>
    </row>
    <row r="2492" ht="15.75" customHeight="1">
      <c r="A2492" s="132"/>
      <c r="B2492" s="132"/>
      <c r="Q2492" s="133"/>
    </row>
    <row r="2493" ht="15.75" customHeight="1">
      <c r="A2493" s="132"/>
      <c r="B2493" s="132"/>
      <c r="Q2493" s="133"/>
    </row>
    <row r="2494" ht="15.75" customHeight="1">
      <c r="A2494" s="132"/>
      <c r="B2494" s="132"/>
      <c r="Q2494" s="133"/>
    </row>
    <row r="2495" ht="15.75" customHeight="1">
      <c r="A2495" s="132"/>
      <c r="B2495" s="132"/>
      <c r="Q2495" s="133"/>
    </row>
    <row r="2496" ht="15.75" customHeight="1">
      <c r="A2496" s="132"/>
      <c r="B2496" s="132"/>
      <c r="Q2496" s="133"/>
    </row>
    <row r="2497" ht="15.75" customHeight="1">
      <c r="A2497" s="132"/>
      <c r="B2497" s="132"/>
      <c r="Q2497" s="133"/>
    </row>
    <row r="2498" ht="15.75" customHeight="1">
      <c r="A2498" s="132"/>
      <c r="B2498" s="132"/>
      <c r="Q2498" s="133"/>
    </row>
    <row r="2499" ht="15.75" customHeight="1">
      <c r="A2499" s="132"/>
      <c r="B2499" s="132"/>
      <c r="Q2499" s="133"/>
    </row>
    <row r="2500" ht="15.75" customHeight="1">
      <c r="A2500" s="132"/>
      <c r="B2500" s="132"/>
      <c r="Q2500" s="133"/>
    </row>
    <row r="2501" ht="15.75" customHeight="1">
      <c r="A2501" s="132"/>
      <c r="B2501" s="132"/>
      <c r="Q2501" s="133"/>
    </row>
    <row r="2502" ht="15.75" customHeight="1">
      <c r="A2502" s="132"/>
      <c r="B2502" s="132"/>
      <c r="Q2502" s="133"/>
    </row>
    <row r="2503" ht="15.75" customHeight="1">
      <c r="A2503" s="132"/>
      <c r="B2503" s="132"/>
      <c r="Q2503" s="133"/>
    </row>
    <row r="2504" ht="15.75" customHeight="1">
      <c r="A2504" s="132"/>
      <c r="B2504" s="132"/>
      <c r="Q2504" s="133"/>
    </row>
    <row r="2505" ht="15.75" customHeight="1">
      <c r="A2505" s="132"/>
      <c r="B2505" s="132"/>
      <c r="Q2505" s="133"/>
    </row>
    <row r="2506" ht="15.75" customHeight="1">
      <c r="A2506" s="132"/>
      <c r="B2506" s="132"/>
      <c r="Q2506" s="133"/>
    </row>
    <row r="2507" ht="15.75" customHeight="1">
      <c r="A2507" s="132"/>
      <c r="B2507" s="132"/>
      <c r="Q2507" s="133"/>
    </row>
    <row r="2508" ht="15.75" customHeight="1">
      <c r="A2508" s="132"/>
      <c r="B2508" s="132"/>
      <c r="Q2508" s="133"/>
    </row>
    <row r="2509" ht="15.75" customHeight="1">
      <c r="A2509" s="132"/>
      <c r="B2509" s="132"/>
      <c r="Q2509" s="133"/>
    </row>
    <row r="2510" ht="15.75" customHeight="1">
      <c r="A2510" s="132"/>
      <c r="B2510" s="132"/>
      <c r="Q2510" s="133"/>
    </row>
    <row r="2511" ht="15.75" customHeight="1">
      <c r="A2511" s="132"/>
      <c r="B2511" s="132"/>
      <c r="Q2511" s="133"/>
    </row>
    <row r="2512" ht="15.75" customHeight="1">
      <c r="A2512" s="132"/>
      <c r="B2512" s="132"/>
      <c r="Q2512" s="133"/>
    </row>
    <row r="2513" ht="15.75" customHeight="1">
      <c r="A2513" s="132"/>
      <c r="B2513" s="132"/>
      <c r="Q2513" s="133"/>
    </row>
    <row r="2514" ht="15.75" customHeight="1">
      <c r="A2514" s="132"/>
      <c r="B2514" s="132"/>
      <c r="Q2514" s="133"/>
    </row>
    <row r="2515" ht="15.75" customHeight="1">
      <c r="A2515" s="132"/>
      <c r="B2515" s="132"/>
      <c r="Q2515" s="133"/>
    </row>
    <row r="2516" ht="15.75" customHeight="1">
      <c r="A2516" s="132"/>
      <c r="B2516" s="132"/>
      <c r="Q2516" s="133"/>
    </row>
    <row r="2517" ht="15.75" customHeight="1">
      <c r="A2517" s="132"/>
      <c r="B2517" s="132"/>
      <c r="Q2517" s="133"/>
    </row>
    <row r="2518" ht="15.75" customHeight="1">
      <c r="A2518" s="132"/>
      <c r="B2518" s="132"/>
      <c r="Q2518" s="133"/>
    </row>
    <row r="2519" ht="15.75" customHeight="1">
      <c r="A2519" s="132"/>
      <c r="B2519" s="132"/>
      <c r="Q2519" s="133"/>
    </row>
    <row r="2520" ht="15.75" customHeight="1">
      <c r="A2520" s="132"/>
      <c r="B2520" s="132"/>
      <c r="Q2520" s="133"/>
    </row>
    <row r="2521" ht="15.75" customHeight="1">
      <c r="A2521" s="132"/>
      <c r="B2521" s="132"/>
      <c r="Q2521" s="133"/>
    </row>
    <row r="2522" ht="15.75" customHeight="1">
      <c r="A2522" s="132"/>
      <c r="B2522" s="132"/>
      <c r="Q2522" s="133"/>
    </row>
    <row r="2523" ht="15.75" customHeight="1">
      <c r="A2523" s="132"/>
      <c r="B2523" s="132"/>
      <c r="Q2523" s="133"/>
    </row>
    <row r="2524" ht="15.75" customHeight="1">
      <c r="A2524" s="132"/>
      <c r="B2524" s="132"/>
      <c r="Q2524" s="133"/>
    </row>
    <row r="2525" ht="15.75" customHeight="1">
      <c r="A2525" s="132"/>
      <c r="B2525" s="132"/>
      <c r="Q2525" s="133"/>
    </row>
    <row r="2526" ht="15.75" customHeight="1">
      <c r="A2526" s="132"/>
      <c r="B2526" s="132"/>
      <c r="Q2526" s="133"/>
    </row>
    <row r="2527" ht="15.75" customHeight="1">
      <c r="A2527" s="132"/>
      <c r="B2527" s="132"/>
      <c r="Q2527" s="133"/>
    </row>
    <row r="2528" ht="15.75" customHeight="1">
      <c r="A2528" s="132"/>
      <c r="B2528" s="132"/>
      <c r="Q2528" s="133"/>
    </row>
    <row r="2529" ht="15.75" customHeight="1">
      <c r="A2529" s="132"/>
      <c r="B2529" s="132"/>
      <c r="Q2529" s="133"/>
    </row>
    <row r="2530" ht="15.75" customHeight="1">
      <c r="A2530" s="132"/>
      <c r="B2530" s="132"/>
      <c r="Q2530" s="133"/>
    </row>
    <row r="2531" ht="15.75" customHeight="1">
      <c r="A2531" s="132"/>
      <c r="B2531" s="132"/>
      <c r="Q2531" s="133"/>
    </row>
    <row r="2532" ht="15.75" customHeight="1">
      <c r="A2532" s="132"/>
      <c r="B2532" s="132"/>
      <c r="Q2532" s="133"/>
    </row>
    <row r="2533" ht="15.75" customHeight="1">
      <c r="A2533" s="132"/>
      <c r="B2533" s="132"/>
      <c r="Q2533" s="133"/>
    </row>
    <row r="2534" ht="15.75" customHeight="1">
      <c r="A2534" s="132"/>
      <c r="B2534" s="132"/>
      <c r="Q2534" s="133"/>
    </row>
    <row r="2535" ht="15.75" customHeight="1">
      <c r="A2535" s="132"/>
      <c r="B2535" s="132"/>
      <c r="Q2535" s="133"/>
    </row>
    <row r="2536" ht="15.75" customHeight="1">
      <c r="A2536" s="132"/>
      <c r="B2536" s="132"/>
      <c r="Q2536" s="133"/>
    </row>
    <row r="2537" ht="15.75" customHeight="1">
      <c r="A2537" s="132"/>
      <c r="B2537" s="132"/>
      <c r="Q2537" s="133"/>
    </row>
    <row r="2538" ht="15.75" customHeight="1">
      <c r="A2538" s="132"/>
      <c r="B2538" s="132"/>
      <c r="Q2538" s="133"/>
    </row>
    <row r="2539" ht="15.75" customHeight="1">
      <c r="A2539" s="132"/>
      <c r="B2539" s="132"/>
      <c r="Q2539" s="133"/>
    </row>
    <row r="2540" ht="15.75" customHeight="1">
      <c r="A2540" s="132"/>
      <c r="B2540" s="132"/>
      <c r="Q2540" s="133"/>
    </row>
    <row r="2541" ht="15.75" customHeight="1">
      <c r="A2541" s="132"/>
      <c r="B2541" s="132"/>
      <c r="Q2541" s="133"/>
    </row>
    <row r="2542" ht="15.75" customHeight="1">
      <c r="A2542" s="132"/>
      <c r="B2542" s="132"/>
      <c r="Q2542" s="133"/>
    </row>
    <row r="2543" ht="15.75" customHeight="1">
      <c r="A2543" s="132"/>
      <c r="B2543" s="132"/>
      <c r="Q2543" s="133"/>
    </row>
    <row r="2544" ht="15.75" customHeight="1">
      <c r="A2544" s="132"/>
      <c r="B2544" s="132"/>
      <c r="Q2544" s="133"/>
    </row>
    <row r="2545" ht="15.75" customHeight="1">
      <c r="A2545" s="132"/>
      <c r="B2545" s="132"/>
      <c r="Q2545" s="133"/>
    </row>
    <row r="2546" ht="15.75" customHeight="1">
      <c r="A2546" s="132"/>
      <c r="B2546" s="132"/>
      <c r="Q2546" s="133"/>
    </row>
    <row r="2547" ht="15.75" customHeight="1">
      <c r="A2547" s="132"/>
      <c r="B2547" s="132"/>
      <c r="Q2547" s="133"/>
    </row>
    <row r="2548" ht="15.75" customHeight="1">
      <c r="A2548" s="132"/>
      <c r="B2548" s="132"/>
      <c r="Q2548" s="133"/>
    </row>
    <row r="2549" ht="15.75" customHeight="1">
      <c r="A2549" s="132"/>
      <c r="B2549" s="132"/>
      <c r="Q2549" s="133"/>
    </row>
    <row r="2550" ht="15.75" customHeight="1">
      <c r="A2550" s="132"/>
      <c r="B2550" s="132"/>
      <c r="Q2550" s="133"/>
    </row>
    <row r="2551" ht="15.75" customHeight="1">
      <c r="A2551" s="132"/>
      <c r="B2551" s="132"/>
      <c r="Q2551" s="133"/>
    </row>
    <row r="2552" ht="15.75" customHeight="1">
      <c r="A2552" s="132"/>
      <c r="B2552" s="132"/>
      <c r="Q2552" s="133"/>
    </row>
    <row r="2553" ht="15.75" customHeight="1">
      <c r="A2553" s="132"/>
      <c r="B2553" s="132"/>
      <c r="Q2553" s="133"/>
    </row>
    <row r="2554" ht="15.75" customHeight="1">
      <c r="A2554" s="132"/>
      <c r="B2554" s="132"/>
      <c r="Q2554" s="133"/>
    </row>
    <row r="2555" ht="15.75" customHeight="1">
      <c r="A2555" s="132"/>
      <c r="B2555" s="132"/>
      <c r="Q2555" s="133"/>
    </row>
    <row r="2556" ht="15.75" customHeight="1">
      <c r="A2556" s="132"/>
      <c r="B2556" s="132"/>
      <c r="Q2556" s="133"/>
    </row>
    <row r="2557" ht="15.75" customHeight="1">
      <c r="A2557" s="132"/>
      <c r="B2557" s="132"/>
      <c r="Q2557" s="133"/>
    </row>
    <row r="2558" ht="15.75" customHeight="1">
      <c r="A2558" s="132"/>
      <c r="B2558" s="132"/>
      <c r="Q2558" s="133"/>
    </row>
    <row r="2559" ht="15.75" customHeight="1">
      <c r="A2559" s="132"/>
      <c r="B2559" s="132"/>
      <c r="Q2559" s="133"/>
    </row>
    <row r="2560" ht="15.75" customHeight="1">
      <c r="A2560" s="132"/>
      <c r="B2560" s="132"/>
      <c r="Q2560" s="133"/>
    </row>
    <row r="2561" ht="15.75" customHeight="1">
      <c r="A2561" s="132"/>
      <c r="B2561" s="132"/>
      <c r="Q2561" s="133"/>
    </row>
    <row r="2562" ht="15.75" customHeight="1">
      <c r="A2562" s="132"/>
      <c r="B2562" s="132"/>
      <c r="Q2562" s="133"/>
    </row>
    <row r="2563" ht="15.75" customHeight="1">
      <c r="A2563" s="132"/>
      <c r="B2563" s="132"/>
      <c r="Q2563" s="133"/>
    </row>
    <row r="2564" ht="15.75" customHeight="1">
      <c r="A2564" s="132"/>
      <c r="B2564" s="132"/>
      <c r="Q2564" s="133"/>
    </row>
    <row r="2565" ht="15.75" customHeight="1">
      <c r="A2565" s="132"/>
      <c r="B2565" s="132"/>
      <c r="Q2565" s="133"/>
    </row>
    <row r="2566" ht="15.75" customHeight="1">
      <c r="A2566" s="132"/>
      <c r="B2566" s="132"/>
      <c r="Q2566" s="133"/>
    </row>
    <row r="2567" ht="15.75" customHeight="1">
      <c r="A2567" s="132"/>
      <c r="B2567" s="132"/>
      <c r="Q2567" s="133"/>
    </row>
    <row r="2568" ht="15.75" customHeight="1">
      <c r="A2568" s="132"/>
      <c r="B2568" s="132"/>
      <c r="Q2568" s="133"/>
    </row>
    <row r="2569" ht="15.75" customHeight="1">
      <c r="A2569" s="132"/>
      <c r="B2569" s="132"/>
      <c r="Q2569" s="133"/>
    </row>
    <row r="2570" ht="15.75" customHeight="1">
      <c r="A2570" s="132"/>
      <c r="B2570" s="132"/>
      <c r="Q2570" s="133"/>
    </row>
    <row r="2571" ht="15.75" customHeight="1">
      <c r="A2571" s="132"/>
      <c r="B2571" s="132"/>
      <c r="Q2571" s="133"/>
    </row>
    <row r="2572" ht="15.75" customHeight="1">
      <c r="A2572" s="132"/>
      <c r="B2572" s="132"/>
      <c r="Q2572" s="133"/>
    </row>
    <row r="2573" ht="15.75" customHeight="1">
      <c r="A2573" s="132"/>
      <c r="B2573" s="132"/>
      <c r="Q2573" s="133"/>
    </row>
    <row r="2574" ht="15.75" customHeight="1">
      <c r="A2574" s="132"/>
      <c r="B2574" s="132"/>
      <c r="Q2574" s="133"/>
    </row>
    <row r="2575" ht="15.75" customHeight="1">
      <c r="A2575" s="132"/>
      <c r="B2575" s="132"/>
      <c r="Q2575" s="133"/>
    </row>
    <row r="2576" ht="15.75" customHeight="1">
      <c r="A2576" s="132"/>
      <c r="B2576" s="132"/>
      <c r="Q2576" s="133"/>
    </row>
    <row r="2577" ht="15.75" customHeight="1">
      <c r="A2577" s="132"/>
      <c r="B2577" s="132"/>
      <c r="Q2577" s="133"/>
    </row>
    <row r="2578" ht="15.75" customHeight="1">
      <c r="A2578" s="132"/>
      <c r="B2578" s="132"/>
      <c r="Q2578" s="133"/>
    </row>
    <row r="2579" ht="15.75" customHeight="1">
      <c r="A2579" s="132"/>
      <c r="B2579" s="132"/>
      <c r="Q2579" s="133"/>
    </row>
    <row r="2580" ht="15.75" customHeight="1">
      <c r="A2580" s="132"/>
      <c r="B2580" s="132"/>
      <c r="Q2580" s="133"/>
    </row>
    <row r="2581" ht="15.75" customHeight="1">
      <c r="A2581" s="132"/>
      <c r="B2581" s="132"/>
      <c r="Q2581" s="133"/>
    </row>
    <row r="2582" ht="15.75" customHeight="1">
      <c r="A2582" s="132"/>
      <c r="B2582" s="132"/>
      <c r="Q2582" s="133"/>
    </row>
    <row r="2583" ht="15.75" customHeight="1">
      <c r="A2583" s="132"/>
      <c r="B2583" s="132"/>
      <c r="Q2583" s="133"/>
    </row>
    <row r="2584" ht="15.75" customHeight="1">
      <c r="A2584" s="132"/>
      <c r="B2584" s="132"/>
      <c r="Q2584" s="133"/>
    </row>
    <row r="2585" ht="15.75" customHeight="1">
      <c r="A2585" s="132"/>
      <c r="B2585" s="132"/>
      <c r="Q2585" s="133"/>
    </row>
    <row r="2586" ht="15.75" customHeight="1">
      <c r="A2586" s="132"/>
      <c r="B2586" s="132"/>
      <c r="Q2586" s="133"/>
    </row>
    <row r="2587" ht="15.75" customHeight="1">
      <c r="A2587" s="132"/>
      <c r="B2587" s="132"/>
      <c r="Q2587" s="133"/>
    </row>
    <row r="2588" ht="15.75" customHeight="1">
      <c r="A2588" s="132"/>
      <c r="B2588" s="132"/>
      <c r="Q2588" s="133"/>
    </row>
    <row r="2589" ht="15.75" customHeight="1">
      <c r="A2589" s="132"/>
      <c r="B2589" s="132"/>
      <c r="Q2589" s="133"/>
    </row>
    <row r="2590" ht="15.75" customHeight="1">
      <c r="A2590" s="132"/>
      <c r="B2590" s="132"/>
      <c r="Q2590" s="133"/>
    </row>
    <row r="2591" ht="15.75" customHeight="1">
      <c r="A2591" s="132"/>
      <c r="B2591" s="132"/>
      <c r="Q2591" s="133"/>
    </row>
    <row r="2592" ht="15.75" customHeight="1">
      <c r="A2592" s="132"/>
      <c r="B2592" s="132"/>
      <c r="Q2592" s="133"/>
    </row>
    <row r="2593" ht="15.75" customHeight="1">
      <c r="A2593" s="132"/>
      <c r="B2593" s="132"/>
      <c r="Q2593" s="133"/>
    </row>
    <row r="2594" ht="15.75" customHeight="1">
      <c r="A2594" s="132"/>
      <c r="B2594" s="132"/>
      <c r="Q2594" s="133"/>
    </row>
    <row r="2595" ht="15.75" customHeight="1">
      <c r="A2595" s="132"/>
      <c r="B2595" s="132"/>
      <c r="Q2595" s="133"/>
    </row>
    <row r="2596" ht="15.75" customHeight="1">
      <c r="A2596" s="132"/>
      <c r="B2596" s="132"/>
      <c r="Q2596" s="133"/>
    </row>
    <row r="2597" ht="15.75" customHeight="1">
      <c r="A2597" s="132"/>
      <c r="B2597" s="132"/>
      <c r="Q2597" s="133"/>
    </row>
    <row r="2598" ht="15.75" customHeight="1">
      <c r="A2598" s="132"/>
      <c r="B2598" s="132"/>
      <c r="Q2598" s="133"/>
    </row>
    <row r="2599" ht="15.75" customHeight="1">
      <c r="A2599" s="132"/>
      <c r="B2599" s="132"/>
      <c r="Q2599" s="133"/>
    </row>
    <row r="2600" ht="15.75" customHeight="1">
      <c r="A2600" s="132"/>
      <c r="B2600" s="132"/>
      <c r="Q2600" s="133"/>
    </row>
    <row r="2601" ht="15.75" customHeight="1">
      <c r="A2601" s="132"/>
      <c r="B2601" s="132"/>
      <c r="Q2601" s="133"/>
    </row>
    <row r="2602" ht="15.75" customHeight="1">
      <c r="A2602" s="132"/>
      <c r="B2602" s="132"/>
      <c r="Q2602" s="133"/>
    </row>
    <row r="2603" ht="15.75" customHeight="1">
      <c r="A2603" s="132"/>
      <c r="B2603" s="132"/>
      <c r="Q2603" s="133"/>
    </row>
    <row r="2604" ht="15.75" customHeight="1">
      <c r="A2604" s="132"/>
      <c r="B2604" s="132"/>
      <c r="Q2604" s="133"/>
    </row>
    <row r="2605" ht="15.75" customHeight="1">
      <c r="A2605" s="132"/>
      <c r="B2605" s="132"/>
      <c r="Q2605" s="133"/>
    </row>
    <row r="2606" ht="15.75" customHeight="1">
      <c r="A2606" s="132"/>
      <c r="B2606" s="132"/>
      <c r="Q2606" s="133"/>
    </row>
    <row r="2607" ht="15.75" customHeight="1">
      <c r="A2607" s="132"/>
      <c r="B2607" s="132"/>
      <c r="Q2607" s="133"/>
    </row>
    <row r="2608" ht="15.75" customHeight="1">
      <c r="A2608" s="132"/>
      <c r="B2608" s="132"/>
      <c r="Q2608" s="133"/>
    </row>
    <row r="2609" ht="15.75" customHeight="1">
      <c r="A2609" s="132"/>
      <c r="B2609" s="132"/>
      <c r="Q2609" s="133"/>
    </row>
    <row r="2610" ht="15.75" customHeight="1">
      <c r="A2610" s="132"/>
      <c r="B2610" s="132"/>
      <c r="Q2610" s="133"/>
    </row>
    <row r="2611" ht="15.75" customHeight="1">
      <c r="A2611" s="132"/>
      <c r="B2611" s="132"/>
      <c r="Q2611" s="133"/>
    </row>
    <row r="2612" ht="15.75" customHeight="1">
      <c r="A2612" s="132"/>
      <c r="B2612" s="132"/>
      <c r="Q2612" s="133"/>
    </row>
    <row r="2613" ht="15.75" customHeight="1">
      <c r="A2613" s="132"/>
      <c r="B2613" s="132"/>
      <c r="Q2613" s="133"/>
    </row>
    <row r="2614" ht="15.75" customHeight="1">
      <c r="A2614" s="132"/>
      <c r="B2614" s="132"/>
      <c r="Q2614" s="133"/>
    </row>
    <row r="2615" ht="15.75" customHeight="1">
      <c r="A2615" s="132"/>
      <c r="B2615" s="132"/>
      <c r="Q2615" s="133"/>
    </row>
    <row r="2616" ht="15.75" customHeight="1">
      <c r="A2616" s="132"/>
      <c r="B2616" s="132"/>
      <c r="Q2616" s="133"/>
    </row>
    <row r="2617" ht="15.75" customHeight="1">
      <c r="A2617" s="132"/>
      <c r="B2617" s="132"/>
      <c r="Q2617" s="133"/>
    </row>
    <row r="2618" ht="15.75" customHeight="1">
      <c r="A2618" s="132"/>
      <c r="B2618" s="132"/>
      <c r="Q2618" s="133"/>
    </row>
    <row r="2619" ht="15.75" customHeight="1">
      <c r="A2619" s="132"/>
      <c r="B2619" s="132"/>
      <c r="Q2619" s="133"/>
    </row>
    <row r="2620" ht="15.75" customHeight="1">
      <c r="A2620" s="132"/>
      <c r="B2620" s="132"/>
      <c r="Q2620" s="133"/>
    </row>
    <row r="2621" ht="15.75" customHeight="1">
      <c r="A2621" s="132"/>
      <c r="B2621" s="132"/>
      <c r="Q2621" s="133"/>
    </row>
    <row r="2622" ht="15.75" customHeight="1">
      <c r="A2622" s="132"/>
      <c r="B2622" s="132"/>
      <c r="Q2622" s="133"/>
    </row>
    <row r="2623" ht="15.75" customHeight="1">
      <c r="A2623" s="132"/>
      <c r="B2623" s="132"/>
      <c r="Q2623" s="133"/>
    </row>
    <row r="2624" ht="15.75" customHeight="1">
      <c r="A2624" s="132"/>
      <c r="B2624" s="132"/>
      <c r="Q2624" s="133"/>
    </row>
    <row r="2625" ht="15.75" customHeight="1">
      <c r="A2625" s="132"/>
      <c r="B2625" s="132"/>
      <c r="Q2625" s="133"/>
    </row>
    <row r="2626" ht="15.75" customHeight="1">
      <c r="A2626" s="132"/>
      <c r="B2626" s="132"/>
      <c r="Q2626" s="133"/>
    </row>
    <row r="2627" ht="15.75" customHeight="1">
      <c r="A2627" s="132"/>
      <c r="B2627" s="132"/>
      <c r="Q2627" s="133"/>
    </row>
    <row r="2628" ht="15.75" customHeight="1">
      <c r="A2628" s="132"/>
      <c r="B2628" s="132"/>
      <c r="Q2628" s="133"/>
    </row>
    <row r="2629" ht="15.75" customHeight="1">
      <c r="A2629" s="132"/>
      <c r="B2629" s="132"/>
      <c r="Q2629" s="133"/>
    </row>
    <row r="2630" ht="15.75" customHeight="1">
      <c r="A2630" s="132"/>
      <c r="B2630" s="132"/>
      <c r="Q2630" s="133"/>
    </row>
    <row r="2631" ht="15.75" customHeight="1">
      <c r="A2631" s="132"/>
      <c r="B2631" s="132"/>
      <c r="Q2631" s="133"/>
    </row>
    <row r="2632" ht="15.75" customHeight="1">
      <c r="A2632" s="132"/>
      <c r="B2632" s="132"/>
      <c r="Q2632" s="133"/>
    </row>
    <row r="2633" ht="15.75" customHeight="1">
      <c r="A2633" s="132"/>
      <c r="B2633" s="132"/>
      <c r="Q2633" s="133"/>
    </row>
    <row r="2634" ht="15.75" customHeight="1">
      <c r="A2634" s="132"/>
      <c r="B2634" s="132"/>
      <c r="Q2634" s="133"/>
    </row>
    <row r="2635" ht="15.75" customHeight="1">
      <c r="A2635" s="132"/>
      <c r="B2635" s="132"/>
      <c r="Q2635" s="133"/>
    </row>
    <row r="2636" ht="15.75" customHeight="1">
      <c r="A2636" s="132"/>
      <c r="B2636" s="132"/>
      <c r="Q2636" s="133"/>
    </row>
    <row r="2637" ht="15.75" customHeight="1">
      <c r="A2637" s="132"/>
      <c r="B2637" s="132"/>
      <c r="Q2637" s="133"/>
    </row>
    <row r="2638" ht="15.75" customHeight="1">
      <c r="A2638" s="132"/>
      <c r="B2638" s="132"/>
      <c r="Q2638" s="133"/>
    </row>
    <row r="2639" ht="15.75" customHeight="1">
      <c r="A2639" s="132"/>
      <c r="B2639" s="132"/>
      <c r="Q2639" s="133"/>
    </row>
    <row r="2640" ht="15.75" customHeight="1">
      <c r="A2640" s="132"/>
      <c r="B2640" s="132"/>
      <c r="Q2640" s="133"/>
    </row>
    <row r="2641" ht="15.75" customHeight="1">
      <c r="A2641" s="132"/>
      <c r="B2641" s="132"/>
      <c r="Q2641" s="133"/>
    </row>
    <row r="2642" ht="15.75" customHeight="1">
      <c r="A2642" s="132"/>
      <c r="B2642" s="132"/>
      <c r="Q2642" s="133"/>
    </row>
    <row r="2643" ht="15.75" customHeight="1">
      <c r="A2643" s="132"/>
      <c r="B2643" s="132"/>
      <c r="Q2643" s="133"/>
    </row>
    <row r="2644" ht="15.75" customHeight="1">
      <c r="A2644" s="132"/>
      <c r="B2644" s="132"/>
      <c r="Q2644" s="133"/>
    </row>
    <row r="2645" ht="15.75" customHeight="1">
      <c r="A2645" s="132"/>
      <c r="B2645" s="132"/>
      <c r="Q2645" s="133"/>
    </row>
    <row r="2646" ht="15.75" customHeight="1">
      <c r="A2646" s="132"/>
      <c r="B2646" s="132"/>
      <c r="Q2646" s="133"/>
    </row>
    <row r="2647" ht="15.75" customHeight="1">
      <c r="A2647" s="132"/>
      <c r="B2647" s="132"/>
      <c r="Q2647" s="133"/>
    </row>
    <row r="2648" ht="15.75" customHeight="1">
      <c r="A2648" s="132"/>
      <c r="B2648" s="132"/>
      <c r="Q2648" s="133"/>
    </row>
    <row r="2649" ht="15.75" customHeight="1">
      <c r="A2649" s="132"/>
      <c r="B2649" s="132"/>
      <c r="Q2649" s="133"/>
    </row>
    <row r="2650" ht="15.75" customHeight="1">
      <c r="A2650" s="132"/>
      <c r="B2650" s="132"/>
      <c r="Q2650" s="133"/>
    </row>
    <row r="2651" ht="15.75" customHeight="1">
      <c r="A2651" s="132"/>
      <c r="B2651" s="132"/>
      <c r="Q2651" s="133"/>
    </row>
    <row r="2652" ht="15.75" customHeight="1">
      <c r="A2652" s="132"/>
      <c r="B2652" s="132"/>
      <c r="Q2652" s="133"/>
    </row>
    <row r="2653" ht="15.75" customHeight="1">
      <c r="A2653" s="132"/>
      <c r="B2653" s="132"/>
      <c r="Q2653" s="133"/>
    </row>
    <row r="2654" ht="15.75" customHeight="1">
      <c r="A2654" s="132"/>
      <c r="B2654" s="132"/>
      <c r="Q2654" s="133"/>
    </row>
    <row r="2655" ht="15.75" customHeight="1">
      <c r="A2655" s="132"/>
      <c r="B2655" s="132"/>
      <c r="Q2655" s="133"/>
    </row>
    <row r="2656" ht="15.75" customHeight="1">
      <c r="A2656" s="132"/>
      <c r="B2656" s="132"/>
      <c r="Q2656" s="133"/>
    </row>
    <row r="2657" ht="15.75" customHeight="1">
      <c r="A2657" s="132"/>
      <c r="B2657" s="132"/>
      <c r="Q2657" s="133"/>
    </row>
    <row r="2658" ht="15.75" customHeight="1">
      <c r="A2658" s="132"/>
      <c r="B2658" s="132"/>
      <c r="Q2658" s="133"/>
    </row>
    <row r="2659" ht="15.75" customHeight="1">
      <c r="A2659" s="132"/>
      <c r="B2659" s="132"/>
      <c r="Q2659" s="133"/>
    </row>
    <row r="2660" ht="15.75" customHeight="1">
      <c r="A2660" s="132"/>
      <c r="B2660" s="132"/>
      <c r="Q2660" s="133"/>
    </row>
    <row r="2661" ht="15.75" customHeight="1">
      <c r="A2661" s="132"/>
      <c r="B2661" s="132"/>
      <c r="Q2661" s="133"/>
    </row>
    <row r="2662" ht="15.75" customHeight="1">
      <c r="A2662" s="132"/>
      <c r="B2662" s="132"/>
      <c r="Q2662" s="133"/>
    </row>
    <row r="2663" ht="15.75" customHeight="1">
      <c r="A2663" s="132"/>
      <c r="B2663" s="132"/>
      <c r="Q2663" s="133"/>
    </row>
    <row r="2664" ht="15.75" customHeight="1">
      <c r="A2664" s="132"/>
      <c r="B2664" s="132"/>
      <c r="Q2664" s="133"/>
    </row>
    <row r="2665" ht="15.75" customHeight="1">
      <c r="A2665" s="132"/>
      <c r="B2665" s="132"/>
      <c r="Q2665" s="133"/>
    </row>
    <row r="2666" ht="15.75" customHeight="1">
      <c r="A2666" s="132"/>
      <c r="B2666" s="132"/>
      <c r="Q2666" s="133"/>
    </row>
    <row r="2667" ht="15.75" customHeight="1">
      <c r="A2667" s="132"/>
      <c r="B2667" s="132"/>
      <c r="Q2667" s="133"/>
    </row>
    <row r="2668" ht="15.75" customHeight="1">
      <c r="A2668" s="132"/>
      <c r="B2668" s="132"/>
      <c r="Q2668" s="133"/>
    </row>
    <row r="2669" ht="15.75" customHeight="1">
      <c r="A2669" s="132"/>
      <c r="B2669" s="132"/>
      <c r="Q2669" s="133"/>
    </row>
    <row r="2670" ht="15.75" customHeight="1">
      <c r="A2670" s="132"/>
      <c r="B2670" s="132"/>
      <c r="Q2670" s="133"/>
    </row>
    <row r="2671" ht="15.75" customHeight="1">
      <c r="A2671" s="132"/>
      <c r="B2671" s="132"/>
      <c r="Q2671" s="133"/>
    </row>
    <row r="2672" ht="15.75" customHeight="1">
      <c r="A2672" s="132"/>
      <c r="B2672" s="132"/>
      <c r="Q2672" s="133"/>
    </row>
    <row r="2673" ht="15.75" customHeight="1">
      <c r="A2673" s="132"/>
      <c r="B2673" s="132"/>
      <c r="Q2673" s="133"/>
    </row>
    <row r="2674" ht="15.75" customHeight="1">
      <c r="A2674" s="132"/>
      <c r="B2674" s="132"/>
      <c r="Q2674" s="133"/>
    </row>
    <row r="2675" ht="15.75" customHeight="1">
      <c r="A2675" s="132"/>
      <c r="B2675" s="132"/>
      <c r="Q2675" s="133"/>
    </row>
    <row r="2676" ht="15.75" customHeight="1">
      <c r="A2676" s="132"/>
      <c r="B2676" s="132"/>
      <c r="Q2676" s="133"/>
    </row>
    <row r="2677" ht="15.75" customHeight="1">
      <c r="A2677" s="132"/>
      <c r="B2677" s="132"/>
      <c r="Q2677" s="133"/>
    </row>
    <row r="2678" ht="15.75" customHeight="1">
      <c r="A2678" s="132"/>
      <c r="B2678" s="132"/>
      <c r="Q2678" s="133"/>
    </row>
    <row r="2679" ht="15.75" customHeight="1">
      <c r="A2679" s="132"/>
      <c r="B2679" s="132"/>
      <c r="Q2679" s="133"/>
    </row>
    <row r="2680" ht="15.75" customHeight="1">
      <c r="A2680" s="132"/>
      <c r="B2680" s="132"/>
      <c r="Q2680" s="133"/>
    </row>
    <row r="2681" ht="15.75" customHeight="1">
      <c r="A2681" s="132"/>
      <c r="B2681" s="132"/>
      <c r="Q2681" s="133"/>
    </row>
    <row r="2682" ht="15.75" customHeight="1">
      <c r="A2682" s="132"/>
      <c r="B2682" s="132"/>
      <c r="Q2682" s="133"/>
    </row>
    <row r="2683" ht="15.75" customHeight="1">
      <c r="A2683" s="132"/>
      <c r="B2683" s="132"/>
      <c r="Q2683" s="133"/>
    </row>
    <row r="2684" ht="15.75" customHeight="1">
      <c r="A2684" s="132"/>
      <c r="B2684" s="132"/>
      <c r="Q2684" s="133"/>
    </row>
    <row r="2685" ht="15.75" customHeight="1">
      <c r="A2685" s="132"/>
      <c r="B2685" s="132"/>
      <c r="Q2685" s="133"/>
    </row>
    <row r="2686" ht="15.75" customHeight="1">
      <c r="A2686" s="132"/>
      <c r="B2686" s="132"/>
      <c r="Q2686" s="133"/>
    </row>
    <row r="2687" ht="15.75" customHeight="1">
      <c r="A2687" s="132"/>
      <c r="B2687" s="132"/>
      <c r="Q2687" s="133"/>
    </row>
    <row r="2688" ht="15.75" customHeight="1">
      <c r="A2688" s="132"/>
      <c r="B2688" s="132"/>
      <c r="Q2688" s="133"/>
    </row>
    <row r="2689" ht="15.75" customHeight="1">
      <c r="A2689" s="132"/>
      <c r="B2689" s="132"/>
      <c r="Q2689" s="133"/>
    </row>
    <row r="2690" ht="15.75" customHeight="1">
      <c r="A2690" s="132"/>
      <c r="B2690" s="132"/>
      <c r="Q2690" s="133"/>
    </row>
    <row r="2691" ht="15.75" customHeight="1">
      <c r="A2691" s="132"/>
      <c r="B2691" s="132"/>
      <c r="Q2691" s="133"/>
    </row>
    <row r="2692" ht="15.75" customHeight="1">
      <c r="A2692" s="132"/>
      <c r="B2692" s="132"/>
      <c r="Q2692" s="133"/>
    </row>
    <row r="2693" ht="15.75" customHeight="1">
      <c r="A2693" s="132"/>
      <c r="B2693" s="132"/>
      <c r="Q2693" s="133"/>
    </row>
    <row r="2694" ht="15.75" customHeight="1">
      <c r="A2694" s="132"/>
      <c r="B2694" s="132"/>
      <c r="Q2694" s="133"/>
    </row>
    <row r="2695" ht="15.75" customHeight="1">
      <c r="A2695" s="132"/>
      <c r="B2695" s="132"/>
      <c r="Q2695" s="133"/>
    </row>
    <row r="2696" ht="15.75" customHeight="1">
      <c r="A2696" s="132"/>
      <c r="B2696" s="132"/>
      <c r="Q2696" s="133"/>
    </row>
    <row r="2697" ht="15.75" customHeight="1">
      <c r="A2697" s="132"/>
      <c r="B2697" s="132"/>
      <c r="Q2697" s="133"/>
    </row>
    <row r="2698" ht="15.75" customHeight="1">
      <c r="A2698" s="132"/>
      <c r="B2698" s="132"/>
      <c r="Q2698" s="133"/>
    </row>
    <row r="2699" ht="15.75" customHeight="1">
      <c r="A2699" s="132"/>
      <c r="B2699" s="132"/>
      <c r="Q2699" s="133"/>
    </row>
    <row r="2700" ht="15.75" customHeight="1">
      <c r="A2700" s="132"/>
      <c r="B2700" s="132"/>
      <c r="Q2700" s="133"/>
    </row>
    <row r="2701" ht="15.75" customHeight="1">
      <c r="A2701" s="132"/>
      <c r="B2701" s="132"/>
      <c r="Q2701" s="133"/>
    </row>
    <row r="2702" ht="15.75" customHeight="1">
      <c r="A2702" s="132"/>
      <c r="B2702" s="132"/>
      <c r="Q2702" s="133"/>
    </row>
    <row r="2703" ht="15.75" customHeight="1">
      <c r="A2703" s="132"/>
      <c r="B2703" s="132"/>
      <c r="Q2703" s="133"/>
    </row>
    <row r="2704" ht="15.75" customHeight="1">
      <c r="A2704" s="132"/>
      <c r="B2704" s="132"/>
      <c r="Q2704" s="133"/>
    </row>
    <row r="2705" ht="15.75" customHeight="1">
      <c r="A2705" s="132"/>
      <c r="B2705" s="132"/>
      <c r="Q2705" s="133"/>
    </row>
    <row r="2706" ht="15.75" customHeight="1">
      <c r="A2706" s="132"/>
      <c r="B2706" s="132"/>
      <c r="Q2706" s="133"/>
    </row>
    <row r="2707" ht="15.75" customHeight="1">
      <c r="A2707" s="132"/>
      <c r="B2707" s="132"/>
      <c r="Q2707" s="133"/>
    </row>
    <row r="2708" ht="15.75" customHeight="1">
      <c r="A2708" s="132"/>
      <c r="B2708" s="132"/>
      <c r="Q2708" s="133"/>
    </row>
    <row r="2709" ht="15.75" customHeight="1">
      <c r="A2709" s="132"/>
      <c r="B2709" s="132"/>
      <c r="Q2709" s="133"/>
    </row>
    <row r="2710" ht="15.75" customHeight="1">
      <c r="A2710" s="132"/>
      <c r="B2710" s="132"/>
      <c r="Q2710" s="133"/>
    </row>
    <row r="2711" ht="15.75" customHeight="1">
      <c r="A2711" s="132"/>
      <c r="B2711" s="132"/>
      <c r="Q2711" s="133"/>
    </row>
    <row r="2712" ht="15.75" customHeight="1">
      <c r="A2712" s="132"/>
      <c r="B2712" s="132"/>
      <c r="Q2712" s="133"/>
    </row>
    <row r="2713" ht="15.75" customHeight="1">
      <c r="A2713" s="132"/>
      <c r="B2713" s="132"/>
      <c r="Q2713" s="133"/>
    </row>
    <row r="2714" ht="15.75" customHeight="1">
      <c r="A2714" s="132"/>
      <c r="B2714" s="132"/>
      <c r="Q2714" s="133"/>
    </row>
    <row r="2715" ht="15.75" customHeight="1">
      <c r="A2715" s="132"/>
      <c r="B2715" s="132"/>
      <c r="Q2715" s="133"/>
    </row>
    <row r="2716" ht="15.75" customHeight="1">
      <c r="A2716" s="132"/>
      <c r="B2716" s="132"/>
      <c r="Q2716" s="133"/>
    </row>
    <row r="2717" ht="15.75" customHeight="1">
      <c r="A2717" s="132"/>
      <c r="B2717" s="132"/>
      <c r="Q2717" s="133"/>
    </row>
    <row r="2718" ht="15.75" customHeight="1">
      <c r="A2718" s="132"/>
      <c r="B2718" s="132"/>
      <c r="Q2718" s="133"/>
    </row>
    <row r="2719" ht="15.75" customHeight="1">
      <c r="A2719" s="132"/>
      <c r="B2719" s="132"/>
      <c r="Q2719" s="133"/>
    </row>
    <row r="2720" ht="15.75" customHeight="1">
      <c r="A2720" s="132"/>
      <c r="B2720" s="132"/>
      <c r="Q2720" s="133"/>
    </row>
    <row r="2721" ht="15.75" customHeight="1">
      <c r="A2721" s="132"/>
      <c r="B2721" s="132"/>
      <c r="Q2721" s="133"/>
    </row>
    <row r="2722" ht="15.75" customHeight="1">
      <c r="A2722" s="132"/>
      <c r="B2722" s="132"/>
      <c r="Q2722" s="133"/>
    </row>
    <row r="2723" ht="15.75" customHeight="1">
      <c r="A2723" s="132"/>
      <c r="B2723" s="132"/>
      <c r="Q2723" s="133"/>
    </row>
    <row r="2724" ht="15.75" customHeight="1">
      <c r="A2724" s="132"/>
      <c r="B2724" s="132"/>
      <c r="Q2724" s="133"/>
    </row>
    <row r="2725" ht="15.75" customHeight="1">
      <c r="A2725" s="132"/>
      <c r="B2725" s="132"/>
      <c r="Q2725" s="133"/>
    </row>
    <row r="2726" ht="15.75" customHeight="1">
      <c r="A2726" s="132"/>
      <c r="B2726" s="132"/>
      <c r="Q2726" s="133"/>
    </row>
    <row r="2727" ht="15.75" customHeight="1">
      <c r="A2727" s="132"/>
      <c r="B2727" s="132"/>
      <c r="Q2727" s="133"/>
    </row>
    <row r="2728" ht="15.75" customHeight="1">
      <c r="A2728" s="132"/>
      <c r="B2728" s="132"/>
      <c r="Q2728" s="133"/>
    </row>
    <row r="2729" ht="15.75" customHeight="1">
      <c r="A2729" s="132"/>
      <c r="B2729" s="132"/>
      <c r="Q2729" s="133"/>
    </row>
    <row r="2730" ht="15.75" customHeight="1">
      <c r="A2730" s="132"/>
      <c r="B2730" s="132"/>
      <c r="Q2730" s="133"/>
    </row>
    <row r="2731" ht="15.75" customHeight="1">
      <c r="A2731" s="132"/>
      <c r="B2731" s="132"/>
      <c r="Q2731" s="133"/>
    </row>
    <row r="2732" ht="15.75" customHeight="1">
      <c r="A2732" s="132"/>
      <c r="B2732" s="132"/>
      <c r="Q2732" s="133"/>
    </row>
    <row r="2733" ht="15.75" customHeight="1">
      <c r="A2733" s="132"/>
      <c r="B2733" s="132"/>
      <c r="Q2733" s="133"/>
    </row>
    <row r="2734" ht="15.75" customHeight="1">
      <c r="A2734" s="132"/>
      <c r="B2734" s="132"/>
      <c r="Q2734" s="133"/>
    </row>
    <row r="2735" ht="15.75" customHeight="1">
      <c r="A2735" s="132"/>
      <c r="B2735" s="132"/>
      <c r="Q2735" s="133"/>
    </row>
    <row r="2736" ht="15.75" customHeight="1">
      <c r="A2736" s="132"/>
      <c r="B2736" s="132"/>
      <c r="Q2736" s="133"/>
    </row>
    <row r="2737" ht="15.75" customHeight="1">
      <c r="A2737" s="132"/>
      <c r="B2737" s="132"/>
      <c r="Q2737" s="133"/>
    </row>
    <row r="2738" ht="15.75" customHeight="1">
      <c r="A2738" s="132"/>
      <c r="B2738" s="132"/>
      <c r="Q2738" s="133"/>
    </row>
    <row r="2739" ht="15.75" customHeight="1">
      <c r="A2739" s="132"/>
      <c r="B2739" s="132"/>
      <c r="Q2739" s="133"/>
    </row>
    <row r="2740" ht="15.75" customHeight="1">
      <c r="A2740" s="132"/>
      <c r="B2740" s="132"/>
      <c r="Q2740" s="133"/>
    </row>
    <row r="2741" ht="15.75" customHeight="1">
      <c r="A2741" s="132"/>
      <c r="B2741" s="132"/>
      <c r="Q2741" s="133"/>
    </row>
    <row r="2742" ht="15.75" customHeight="1">
      <c r="A2742" s="132"/>
      <c r="B2742" s="132"/>
      <c r="Q2742" s="133"/>
    </row>
    <row r="2743" ht="15.75" customHeight="1">
      <c r="A2743" s="132"/>
      <c r="B2743" s="132"/>
      <c r="Q2743" s="133"/>
    </row>
    <row r="2744" ht="15.75" customHeight="1">
      <c r="A2744" s="132"/>
      <c r="B2744" s="132"/>
      <c r="Q2744" s="133"/>
    </row>
    <row r="2745" ht="15.75" customHeight="1">
      <c r="A2745" s="132"/>
      <c r="B2745" s="132"/>
      <c r="Q2745" s="133"/>
    </row>
    <row r="2746" ht="15.75" customHeight="1">
      <c r="A2746" s="132"/>
      <c r="B2746" s="132"/>
      <c r="Q2746" s="133"/>
    </row>
    <row r="2747" ht="15.75" customHeight="1">
      <c r="A2747" s="132"/>
      <c r="B2747" s="132"/>
      <c r="Q2747" s="133"/>
    </row>
    <row r="2748" ht="15.75" customHeight="1">
      <c r="A2748" s="132"/>
      <c r="B2748" s="132"/>
      <c r="Q2748" s="133"/>
    </row>
    <row r="2749" ht="15.75" customHeight="1">
      <c r="A2749" s="132"/>
      <c r="B2749" s="132"/>
      <c r="Q2749" s="133"/>
    </row>
    <row r="2750" ht="15.75" customHeight="1">
      <c r="A2750" s="132"/>
      <c r="B2750" s="132"/>
      <c r="Q2750" s="133"/>
    </row>
    <row r="2751" ht="15.75" customHeight="1">
      <c r="A2751" s="132"/>
      <c r="B2751" s="132"/>
      <c r="Q2751" s="133"/>
    </row>
    <row r="2752" ht="15.75" customHeight="1">
      <c r="A2752" s="132"/>
      <c r="B2752" s="132"/>
      <c r="Q2752" s="133"/>
    </row>
    <row r="2753" ht="15.75" customHeight="1">
      <c r="A2753" s="132"/>
      <c r="B2753" s="132"/>
      <c r="Q2753" s="133"/>
    </row>
    <row r="2754" ht="15.75" customHeight="1">
      <c r="A2754" s="132"/>
      <c r="B2754" s="132"/>
      <c r="Q2754" s="133"/>
    </row>
    <row r="2755" ht="15.75" customHeight="1">
      <c r="A2755" s="132"/>
      <c r="B2755" s="132"/>
      <c r="Q2755" s="133"/>
    </row>
    <row r="2756" ht="15.75" customHeight="1">
      <c r="A2756" s="132"/>
      <c r="B2756" s="132"/>
      <c r="Q2756" s="133"/>
    </row>
    <row r="2757" ht="15.75" customHeight="1">
      <c r="A2757" s="132"/>
      <c r="B2757" s="132"/>
      <c r="Q2757" s="133"/>
    </row>
    <row r="2758" ht="15.75" customHeight="1">
      <c r="A2758" s="132"/>
      <c r="B2758" s="132"/>
      <c r="Q2758" s="133"/>
    </row>
    <row r="2759" ht="15.75" customHeight="1">
      <c r="A2759" s="132"/>
      <c r="B2759" s="132"/>
      <c r="Q2759" s="133"/>
    </row>
    <row r="2760" ht="15.75" customHeight="1">
      <c r="A2760" s="132"/>
      <c r="B2760" s="132"/>
      <c r="Q2760" s="133"/>
    </row>
    <row r="2761" ht="15.75" customHeight="1">
      <c r="A2761" s="132"/>
      <c r="B2761" s="132"/>
      <c r="Q2761" s="133"/>
    </row>
    <row r="2762" ht="15.75" customHeight="1">
      <c r="A2762" s="132"/>
      <c r="B2762" s="132"/>
      <c r="Q2762" s="133"/>
    </row>
    <row r="2763" ht="15.75" customHeight="1">
      <c r="A2763" s="132"/>
      <c r="B2763" s="132"/>
      <c r="Q2763" s="133"/>
    </row>
    <row r="2764" ht="15.75" customHeight="1">
      <c r="A2764" s="132"/>
      <c r="B2764" s="132"/>
      <c r="Q2764" s="133"/>
    </row>
    <row r="2765" ht="15.75" customHeight="1">
      <c r="A2765" s="132"/>
      <c r="B2765" s="132"/>
      <c r="Q2765" s="133"/>
    </row>
    <row r="2766" ht="15.75" customHeight="1">
      <c r="A2766" s="132"/>
      <c r="B2766" s="132"/>
      <c r="Q2766" s="133"/>
    </row>
    <row r="2767" ht="15.75" customHeight="1">
      <c r="A2767" s="132"/>
      <c r="B2767" s="132"/>
      <c r="Q2767" s="133"/>
    </row>
    <row r="2768" ht="15.75" customHeight="1">
      <c r="A2768" s="132"/>
      <c r="B2768" s="132"/>
      <c r="Q2768" s="133"/>
    </row>
    <row r="2769" ht="15.75" customHeight="1">
      <c r="A2769" s="132"/>
      <c r="B2769" s="132"/>
      <c r="Q2769" s="133"/>
    </row>
    <row r="2770" ht="15.75" customHeight="1">
      <c r="A2770" s="132"/>
      <c r="B2770" s="132"/>
      <c r="Q2770" s="133"/>
    </row>
    <row r="2771" ht="15.75" customHeight="1">
      <c r="A2771" s="132"/>
      <c r="B2771" s="132"/>
      <c r="Q2771" s="133"/>
    </row>
    <row r="2772" ht="15.75" customHeight="1">
      <c r="A2772" s="132"/>
      <c r="B2772" s="132"/>
      <c r="Q2772" s="133"/>
    </row>
    <row r="2773" ht="15.75" customHeight="1">
      <c r="A2773" s="132"/>
      <c r="B2773" s="132"/>
      <c r="Q2773" s="133"/>
    </row>
    <row r="2774" ht="15.75" customHeight="1">
      <c r="A2774" s="132"/>
      <c r="B2774" s="132"/>
      <c r="Q2774" s="133"/>
    </row>
    <row r="2775" ht="15.75" customHeight="1">
      <c r="A2775" s="132"/>
      <c r="B2775" s="132"/>
      <c r="Q2775" s="133"/>
    </row>
    <row r="2776" ht="15.75" customHeight="1">
      <c r="A2776" s="132"/>
      <c r="B2776" s="132"/>
      <c r="Q2776" s="133"/>
    </row>
    <row r="2777" ht="15.75" customHeight="1">
      <c r="A2777" s="132"/>
      <c r="B2777" s="132"/>
      <c r="Q2777" s="133"/>
    </row>
    <row r="2778" ht="15.75" customHeight="1">
      <c r="A2778" s="132"/>
      <c r="B2778" s="132"/>
      <c r="Q2778" s="133"/>
    </row>
    <row r="2779" ht="15.75" customHeight="1">
      <c r="A2779" s="132"/>
      <c r="B2779" s="132"/>
      <c r="Q2779" s="133"/>
    </row>
    <row r="2780" ht="15.75" customHeight="1">
      <c r="A2780" s="132"/>
      <c r="B2780" s="132"/>
      <c r="Q2780" s="133"/>
    </row>
    <row r="2781" ht="15.75" customHeight="1">
      <c r="A2781" s="132"/>
      <c r="B2781" s="132"/>
      <c r="Q2781" s="133"/>
    </row>
    <row r="2782" ht="15.75" customHeight="1">
      <c r="A2782" s="132"/>
      <c r="B2782" s="132"/>
      <c r="Q2782" s="133"/>
    </row>
    <row r="2783" ht="15.75" customHeight="1">
      <c r="A2783" s="132"/>
      <c r="B2783" s="132"/>
      <c r="Q2783" s="133"/>
    </row>
    <row r="2784" ht="15.75" customHeight="1">
      <c r="A2784" s="132"/>
      <c r="B2784" s="132"/>
      <c r="Q2784" s="133"/>
    </row>
    <row r="2785" ht="15.75" customHeight="1">
      <c r="A2785" s="132"/>
      <c r="B2785" s="132"/>
      <c r="Q2785" s="133"/>
    </row>
    <row r="2786" ht="15.75" customHeight="1">
      <c r="A2786" s="132"/>
      <c r="B2786" s="132"/>
      <c r="Q2786" s="133"/>
    </row>
    <row r="2787" ht="15.75" customHeight="1">
      <c r="A2787" s="132"/>
      <c r="B2787" s="132"/>
      <c r="Q2787" s="133"/>
    </row>
    <row r="2788" ht="15.75" customHeight="1">
      <c r="A2788" s="132"/>
      <c r="B2788" s="132"/>
      <c r="Q2788" s="133"/>
    </row>
    <row r="2789" ht="15.75" customHeight="1">
      <c r="A2789" s="132"/>
      <c r="B2789" s="132"/>
      <c r="Q2789" s="133"/>
    </row>
    <row r="2790" ht="15.75" customHeight="1">
      <c r="A2790" s="132"/>
      <c r="B2790" s="132"/>
      <c r="Q2790" s="133"/>
    </row>
    <row r="2791" ht="15.75" customHeight="1">
      <c r="A2791" s="132"/>
      <c r="B2791" s="132"/>
      <c r="Q2791" s="133"/>
    </row>
    <row r="2792" ht="15.75" customHeight="1">
      <c r="A2792" s="132"/>
      <c r="B2792" s="132"/>
      <c r="Q2792" s="133"/>
    </row>
    <row r="2793" ht="15.75" customHeight="1">
      <c r="A2793" s="132"/>
      <c r="B2793" s="132"/>
      <c r="Q2793" s="133"/>
    </row>
    <row r="2794" ht="15.75" customHeight="1">
      <c r="A2794" s="132"/>
      <c r="B2794" s="132"/>
      <c r="Q2794" s="133"/>
    </row>
    <row r="2795" ht="15.75" customHeight="1">
      <c r="A2795" s="132"/>
      <c r="B2795" s="132"/>
      <c r="Q2795" s="133"/>
    </row>
    <row r="2796" ht="15.75" customHeight="1">
      <c r="A2796" s="132"/>
      <c r="B2796" s="132"/>
      <c r="Q2796" s="133"/>
    </row>
    <row r="2797" ht="15.75" customHeight="1">
      <c r="A2797" s="132"/>
      <c r="B2797" s="132"/>
      <c r="Q2797" s="133"/>
    </row>
    <row r="2798" ht="15.75" customHeight="1">
      <c r="A2798" s="132"/>
      <c r="B2798" s="132"/>
      <c r="Q2798" s="133"/>
    </row>
    <row r="2799" ht="15.75" customHeight="1">
      <c r="A2799" s="132"/>
      <c r="B2799" s="132"/>
      <c r="Q2799" s="133"/>
    </row>
    <row r="2800" ht="15.75" customHeight="1">
      <c r="A2800" s="132"/>
      <c r="B2800" s="132"/>
      <c r="Q2800" s="133"/>
    </row>
    <row r="2801" ht="15.75" customHeight="1">
      <c r="A2801" s="132"/>
      <c r="B2801" s="132"/>
      <c r="Q2801" s="133"/>
    </row>
    <row r="2802" ht="15.75" customHeight="1">
      <c r="A2802" s="132"/>
      <c r="B2802" s="132"/>
      <c r="Q2802" s="133"/>
    </row>
    <row r="2803" ht="15.75" customHeight="1">
      <c r="A2803" s="132"/>
      <c r="B2803" s="132"/>
      <c r="Q2803" s="133"/>
    </row>
    <row r="2804" ht="15.75" customHeight="1">
      <c r="A2804" s="132"/>
      <c r="B2804" s="132"/>
      <c r="Q2804" s="133"/>
    </row>
    <row r="2805" ht="15.75" customHeight="1">
      <c r="A2805" s="132"/>
      <c r="B2805" s="132"/>
      <c r="Q2805" s="133"/>
    </row>
    <row r="2806" ht="15.75" customHeight="1">
      <c r="A2806" s="132"/>
      <c r="B2806" s="132"/>
      <c r="Q2806" s="133"/>
    </row>
    <row r="2807" ht="15.75" customHeight="1">
      <c r="A2807" s="132"/>
      <c r="B2807" s="132"/>
      <c r="Q2807" s="133"/>
    </row>
    <row r="2808" ht="15.75" customHeight="1">
      <c r="A2808" s="132"/>
      <c r="B2808" s="132"/>
      <c r="Q2808" s="133"/>
    </row>
    <row r="2809" ht="15.75" customHeight="1">
      <c r="A2809" s="132"/>
      <c r="B2809" s="132"/>
      <c r="Q2809" s="133"/>
    </row>
    <row r="2810" ht="15.75" customHeight="1">
      <c r="A2810" s="132"/>
      <c r="B2810" s="132"/>
      <c r="Q2810" s="133"/>
    </row>
    <row r="2811" ht="15.75" customHeight="1">
      <c r="A2811" s="132"/>
      <c r="B2811" s="132"/>
      <c r="Q2811" s="133"/>
    </row>
    <row r="2812" ht="15.75" customHeight="1">
      <c r="A2812" s="132"/>
      <c r="B2812" s="132"/>
      <c r="Q2812" s="133"/>
    </row>
    <row r="2813" ht="15.75" customHeight="1">
      <c r="A2813" s="132"/>
      <c r="B2813" s="132"/>
      <c r="Q2813" s="133"/>
    </row>
    <row r="2814" ht="15.75" customHeight="1">
      <c r="A2814" s="132"/>
      <c r="B2814" s="132"/>
      <c r="Q2814" s="133"/>
    </row>
    <row r="2815" ht="15.75" customHeight="1">
      <c r="A2815" s="132"/>
      <c r="B2815" s="132"/>
      <c r="Q2815" s="133"/>
    </row>
    <row r="2816" ht="15.75" customHeight="1">
      <c r="A2816" s="132"/>
      <c r="B2816" s="132"/>
      <c r="Q2816" s="133"/>
    </row>
    <row r="2817" ht="15.75" customHeight="1">
      <c r="A2817" s="132"/>
      <c r="B2817" s="132"/>
      <c r="Q2817" s="133"/>
    </row>
    <row r="2818" ht="15.75" customHeight="1">
      <c r="A2818" s="132"/>
      <c r="B2818" s="132"/>
      <c r="Q2818" s="133"/>
    </row>
    <row r="2819" ht="15.75" customHeight="1">
      <c r="A2819" s="132"/>
      <c r="B2819" s="132"/>
      <c r="Q2819" s="133"/>
    </row>
    <row r="2820" ht="15.75" customHeight="1">
      <c r="A2820" s="132"/>
      <c r="B2820" s="132"/>
      <c r="Q2820" s="133"/>
    </row>
    <row r="2821" ht="15.75" customHeight="1">
      <c r="A2821" s="132"/>
      <c r="B2821" s="132"/>
      <c r="Q2821" s="133"/>
    </row>
    <row r="2822" ht="15.75" customHeight="1">
      <c r="A2822" s="132"/>
      <c r="B2822" s="132"/>
      <c r="Q2822" s="133"/>
    </row>
    <row r="2823" ht="15.75" customHeight="1">
      <c r="A2823" s="132"/>
      <c r="B2823" s="132"/>
      <c r="Q2823" s="133"/>
    </row>
    <row r="2824" ht="15.75" customHeight="1">
      <c r="A2824" s="132"/>
      <c r="B2824" s="132"/>
      <c r="Q2824" s="133"/>
    </row>
    <row r="2825" ht="15.75" customHeight="1">
      <c r="A2825" s="132"/>
      <c r="B2825" s="132"/>
      <c r="Q2825" s="133"/>
    </row>
    <row r="2826" ht="15.75" customHeight="1">
      <c r="A2826" s="132"/>
      <c r="B2826" s="132"/>
      <c r="Q2826" s="133"/>
    </row>
    <row r="2827" ht="15.75" customHeight="1">
      <c r="A2827" s="132"/>
      <c r="B2827" s="132"/>
      <c r="Q2827" s="133"/>
    </row>
    <row r="2828" ht="15.75" customHeight="1">
      <c r="A2828" s="132"/>
      <c r="B2828" s="132"/>
      <c r="Q2828" s="133"/>
    </row>
    <row r="2829" ht="15.75" customHeight="1">
      <c r="A2829" s="132"/>
      <c r="B2829" s="132"/>
      <c r="Q2829" s="133"/>
    </row>
    <row r="2830" ht="15.75" customHeight="1">
      <c r="A2830" s="132"/>
      <c r="B2830" s="132"/>
      <c r="Q2830" s="133"/>
    </row>
    <row r="2831" ht="15.75" customHeight="1">
      <c r="A2831" s="132"/>
      <c r="B2831" s="132"/>
      <c r="Q2831" s="133"/>
    </row>
    <row r="2832" ht="15.75" customHeight="1">
      <c r="A2832" s="132"/>
      <c r="B2832" s="132"/>
      <c r="Q2832" s="133"/>
    </row>
    <row r="2833" ht="15.75" customHeight="1">
      <c r="A2833" s="132"/>
      <c r="B2833" s="132"/>
      <c r="Q2833" s="133"/>
    </row>
    <row r="2834" ht="15.75" customHeight="1">
      <c r="A2834" s="132"/>
      <c r="B2834" s="132"/>
      <c r="Q2834" s="133"/>
    </row>
    <row r="2835" ht="15.75" customHeight="1">
      <c r="A2835" s="132"/>
      <c r="B2835" s="132"/>
      <c r="Q2835" s="133"/>
    </row>
    <row r="2836" ht="15.75" customHeight="1">
      <c r="A2836" s="132"/>
      <c r="B2836" s="132"/>
      <c r="Q2836" s="133"/>
    </row>
    <row r="2837" ht="15.75" customHeight="1">
      <c r="A2837" s="132"/>
      <c r="B2837" s="132"/>
      <c r="Q2837" s="133"/>
    </row>
    <row r="2838" ht="15.75" customHeight="1">
      <c r="A2838" s="132"/>
      <c r="B2838" s="132"/>
      <c r="Q2838" s="133"/>
    </row>
    <row r="2839" ht="15.75" customHeight="1">
      <c r="A2839" s="132"/>
      <c r="B2839" s="132"/>
      <c r="Q2839" s="133"/>
    </row>
    <row r="2840" ht="15.75" customHeight="1">
      <c r="A2840" s="132"/>
      <c r="B2840" s="132"/>
      <c r="Q2840" s="133"/>
    </row>
    <row r="2841" ht="15.75" customHeight="1">
      <c r="A2841" s="132"/>
      <c r="B2841" s="132"/>
      <c r="Q2841" s="133"/>
    </row>
    <row r="2842" ht="15.75" customHeight="1">
      <c r="A2842" s="132"/>
      <c r="B2842" s="132"/>
      <c r="Q2842" s="133"/>
    </row>
    <row r="2843" ht="15.75" customHeight="1">
      <c r="A2843" s="132"/>
      <c r="B2843" s="132"/>
      <c r="Q2843" s="133"/>
    </row>
    <row r="2844" ht="15.75" customHeight="1">
      <c r="A2844" s="132"/>
      <c r="B2844" s="132"/>
      <c r="Q2844" s="133"/>
    </row>
    <row r="2845" ht="15.75" customHeight="1">
      <c r="A2845" s="132"/>
      <c r="B2845" s="132"/>
      <c r="Q2845" s="133"/>
    </row>
    <row r="2846" ht="15.75" customHeight="1">
      <c r="A2846" s="132"/>
      <c r="B2846" s="132"/>
      <c r="Q2846" s="133"/>
    </row>
    <row r="2847" ht="15.75" customHeight="1">
      <c r="A2847" s="132"/>
      <c r="B2847" s="132"/>
      <c r="Q2847" s="133"/>
    </row>
    <row r="2848" ht="15.75" customHeight="1">
      <c r="A2848" s="132"/>
      <c r="B2848" s="132"/>
      <c r="Q2848" s="133"/>
    </row>
    <row r="2849" ht="15.75" customHeight="1">
      <c r="A2849" s="132"/>
      <c r="B2849" s="132"/>
      <c r="Q2849" s="133"/>
    </row>
    <row r="2850" ht="15.75" customHeight="1">
      <c r="A2850" s="132"/>
      <c r="B2850" s="132"/>
      <c r="Q2850" s="133"/>
    </row>
    <row r="2851" ht="15.75" customHeight="1">
      <c r="A2851" s="132"/>
      <c r="B2851" s="132"/>
      <c r="Q2851" s="133"/>
    </row>
    <row r="2852" ht="15.75" customHeight="1">
      <c r="A2852" s="132"/>
      <c r="B2852" s="132"/>
      <c r="Q2852" s="133"/>
    </row>
    <row r="2853" ht="15.75" customHeight="1">
      <c r="A2853" s="132"/>
      <c r="B2853" s="132"/>
      <c r="Q2853" s="133"/>
    </row>
    <row r="2854" ht="15.75" customHeight="1">
      <c r="A2854" s="132"/>
      <c r="B2854" s="132"/>
      <c r="Q2854" s="133"/>
    </row>
    <row r="2855" ht="15.75" customHeight="1">
      <c r="A2855" s="132"/>
      <c r="B2855" s="132"/>
      <c r="Q2855" s="133"/>
    </row>
    <row r="2856" ht="15.75" customHeight="1">
      <c r="A2856" s="132"/>
      <c r="B2856" s="132"/>
      <c r="Q2856" s="133"/>
    </row>
    <row r="2857" ht="15.75" customHeight="1">
      <c r="A2857" s="132"/>
      <c r="B2857" s="132"/>
      <c r="Q2857" s="133"/>
    </row>
    <row r="2858" ht="15.75" customHeight="1">
      <c r="A2858" s="132"/>
      <c r="B2858" s="132"/>
      <c r="Q2858" s="133"/>
    </row>
    <row r="2859" ht="15.75" customHeight="1">
      <c r="A2859" s="132"/>
      <c r="B2859" s="132"/>
      <c r="Q2859" s="133"/>
    </row>
    <row r="2860" ht="15.75" customHeight="1">
      <c r="A2860" s="132"/>
      <c r="B2860" s="132"/>
      <c r="Q2860" s="133"/>
    </row>
    <row r="2861" ht="15.75" customHeight="1">
      <c r="A2861" s="132"/>
      <c r="B2861" s="132"/>
      <c r="Q2861" s="133"/>
    </row>
    <row r="2862" ht="15.75" customHeight="1">
      <c r="A2862" s="132"/>
      <c r="B2862" s="132"/>
      <c r="Q2862" s="133"/>
    </row>
    <row r="2863" ht="15.75" customHeight="1">
      <c r="A2863" s="132"/>
      <c r="B2863" s="132"/>
      <c r="Q2863" s="133"/>
    </row>
    <row r="2864" ht="15.75" customHeight="1">
      <c r="A2864" s="132"/>
      <c r="B2864" s="132"/>
      <c r="Q2864" s="133"/>
    </row>
    <row r="2865" ht="15.75" customHeight="1">
      <c r="A2865" s="132"/>
      <c r="B2865" s="132"/>
      <c r="Q2865" s="133"/>
    </row>
    <row r="2866" ht="15.75" customHeight="1">
      <c r="A2866" s="132"/>
      <c r="B2866" s="132"/>
      <c r="Q2866" s="133"/>
    </row>
    <row r="2867" ht="15.75" customHeight="1">
      <c r="A2867" s="132"/>
      <c r="B2867" s="132"/>
      <c r="Q2867" s="133"/>
    </row>
    <row r="2868" ht="15.75" customHeight="1">
      <c r="A2868" s="132"/>
      <c r="B2868" s="132"/>
      <c r="Q2868" s="133"/>
    </row>
    <row r="2869" ht="15.75" customHeight="1">
      <c r="A2869" s="132"/>
      <c r="B2869" s="132"/>
      <c r="Q2869" s="133"/>
    </row>
    <row r="2870" ht="15.75" customHeight="1">
      <c r="A2870" s="132"/>
      <c r="B2870" s="132"/>
      <c r="Q2870" s="133"/>
    </row>
    <row r="2871" ht="15.75" customHeight="1">
      <c r="A2871" s="132"/>
      <c r="B2871" s="132"/>
      <c r="Q2871" s="133"/>
    </row>
    <row r="2872" ht="15.75" customHeight="1">
      <c r="A2872" s="132"/>
      <c r="B2872" s="132"/>
      <c r="Q2872" s="133"/>
    </row>
    <row r="2873" ht="15.75" customHeight="1">
      <c r="A2873" s="132"/>
      <c r="B2873" s="132"/>
      <c r="Q2873" s="133"/>
    </row>
    <row r="2874" ht="15.75" customHeight="1">
      <c r="A2874" s="132"/>
      <c r="B2874" s="132"/>
      <c r="Q2874" s="133"/>
    </row>
    <row r="2875" ht="15.75" customHeight="1">
      <c r="A2875" s="132"/>
      <c r="B2875" s="132"/>
      <c r="Q2875" s="133"/>
    </row>
    <row r="2876" ht="15.75" customHeight="1">
      <c r="A2876" s="132"/>
      <c r="B2876" s="132"/>
      <c r="Q2876" s="133"/>
    </row>
    <row r="2877" ht="15.75" customHeight="1">
      <c r="A2877" s="132"/>
      <c r="B2877" s="132"/>
      <c r="Q2877" s="133"/>
    </row>
    <row r="2878" ht="15.75" customHeight="1">
      <c r="A2878" s="132"/>
      <c r="B2878" s="132"/>
      <c r="Q2878" s="133"/>
    </row>
    <row r="2879" ht="15.75" customHeight="1">
      <c r="A2879" s="132"/>
      <c r="B2879" s="132"/>
      <c r="Q2879" s="133"/>
    </row>
    <row r="2880" ht="15.75" customHeight="1">
      <c r="A2880" s="132"/>
      <c r="B2880" s="132"/>
      <c r="Q2880" s="133"/>
    </row>
    <row r="2881" ht="15.75" customHeight="1">
      <c r="A2881" s="132"/>
      <c r="B2881" s="132"/>
      <c r="Q2881" s="133"/>
    </row>
    <row r="2882" ht="15.75" customHeight="1">
      <c r="A2882" s="132"/>
      <c r="B2882" s="132"/>
      <c r="Q2882" s="133"/>
    </row>
    <row r="2883" ht="15.75" customHeight="1">
      <c r="A2883" s="132"/>
      <c r="B2883" s="132"/>
      <c r="Q2883" s="133"/>
    </row>
    <row r="2884" ht="15.75" customHeight="1">
      <c r="A2884" s="132"/>
      <c r="B2884" s="132"/>
      <c r="Q2884" s="133"/>
    </row>
    <row r="2885" ht="15.75" customHeight="1">
      <c r="A2885" s="132"/>
      <c r="B2885" s="132"/>
      <c r="Q2885" s="133"/>
    </row>
    <row r="2886" ht="15.75" customHeight="1">
      <c r="A2886" s="132"/>
      <c r="B2886" s="132"/>
      <c r="Q2886" s="133"/>
    </row>
    <row r="2887" ht="15.75" customHeight="1">
      <c r="A2887" s="132"/>
      <c r="B2887" s="132"/>
      <c r="Q2887" s="133"/>
    </row>
    <row r="2888" ht="15.75" customHeight="1">
      <c r="A2888" s="132"/>
      <c r="B2888" s="132"/>
      <c r="Q2888" s="133"/>
    </row>
    <row r="2889" ht="15.75" customHeight="1">
      <c r="A2889" s="132"/>
      <c r="B2889" s="132"/>
      <c r="Q2889" s="133"/>
    </row>
    <row r="2890" ht="15.75" customHeight="1">
      <c r="A2890" s="132"/>
      <c r="B2890" s="132"/>
      <c r="Q2890" s="133"/>
    </row>
    <row r="2891" ht="15.75" customHeight="1">
      <c r="A2891" s="132"/>
      <c r="B2891" s="132"/>
      <c r="Q2891" s="133"/>
    </row>
    <row r="2892" ht="15.75" customHeight="1">
      <c r="A2892" s="132"/>
      <c r="B2892" s="132"/>
      <c r="Q2892" s="133"/>
    </row>
    <row r="2893" ht="15.75" customHeight="1">
      <c r="A2893" s="132"/>
      <c r="B2893" s="132"/>
      <c r="Q2893" s="133"/>
    </row>
    <row r="2894" ht="15.75" customHeight="1">
      <c r="A2894" s="132"/>
      <c r="B2894" s="132"/>
      <c r="Q2894" s="133"/>
    </row>
    <row r="2895" ht="15.75" customHeight="1">
      <c r="A2895" s="132"/>
      <c r="B2895" s="132"/>
      <c r="Q2895" s="133"/>
    </row>
    <row r="2896" ht="15.75" customHeight="1">
      <c r="A2896" s="132"/>
      <c r="B2896" s="132"/>
      <c r="Q2896" s="133"/>
    </row>
    <row r="2897" ht="15.75" customHeight="1">
      <c r="A2897" s="132"/>
      <c r="B2897" s="132"/>
      <c r="Q2897" s="133"/>
    </row>
    <row r="2898" ht="15.75" customHeight="1">
      <c r="A2898" s="132"/>
      <c r="B2898" s="132"/>
      <c r="Q2898" s="133"/>
    </row>
    <row r="2899" ht="15.75" customHeight="1">
      <c r="A2899" s="132"/>
      <c r="B2899" s="132"/>
      <c r="Q2899" s="133"/>
    </row>
    <row r="2900" ht="15.75" customHeight="1">
      <c r="A2900" s="132"/>
      <c r="B2900" s="132"/>
      <c r="Q2900" s="133"/>
    </row>
    <row r="2901" ht="15.75" customHeight="1">
      <c r="A2901" s="132"/>
      <c r="B2901" s="132"/>
      <c r="Q2901" s="133"/>
    </row>
    <row r="2902" ht="15.75" customHeight="1">
      <c r="A2902" s="132"/>
      <c r="B2902" s="132"/>
      <c r="Q2902" s="133"/>
    </row>
    <row r="2903" ht="15.75" customHeight="1">
      <c r="A2903" s="132"/>
      <c r="B2903" s="132"/>
      <c r="Q2903" s="133"/>
    </row>
    <row r="2904" ht="15.75" customHeight="1">
      <c r="A2904" s="132"/>
      <c r="B2904" s="132"/>
      <c r="Q2904" s="133"/>
    </row>
    <row r="2905" ht="15.75" customHeight="1">
      <c r="A2905" s="132"/>
      <c r="B2905" s="132"/>
      <c r="Q2905" s="133"/>
    </row>
    <row r="2906" ht="15.75" customHeight="1">
      <c r="A2906" s="132"/>
      <c r="B2906" s="132"/>
      <c r="Q2906" s="133"/>
    </row>
    <row r="2907" ht="15.75" customHeight="1">
      <c r="A2907" s="132"/>
      <c r="B2907" s="132"/>
      <c r="Q2907" s="133"/>
    </row>
    <row r="2908" ht="15.75" customHeight="1">
      <c r="A2908" s="132"/>
      <c r="B2908" s="132"/>
      <c r="Q2908" s="133"/>
    </row>
    <row r="2909" ht="15.75" customHeight="1">
      <c r="A2909" s="132"/>
      <c r="B2909" s="132"/>
      <c r="Q2909" s="133"/>
    </row>
    <row r="2910" ht="15.75" customHeight="1">
      <c r="A2910" s="132"/>
      <c r="B2910" s="132"/>
      <c r="Q2910" s="133"/>
    </row>
    <row r="2911" ht="15.75" customHeight="1">
      <c r="A2911" s="132"/>
      <c r="B2911" s="132"/>
      <c r="Q2911" s="133"/>
    </row>
    <row r="2912" ht="15.75" customHeight="1">
      <c r="A2912" s="132"/>
      <c r="B2912" s="132"/>
      <c r="Q2912" s="133"/>
    </row>
    <row r="2913" ht="15.75" customHeight="1">
      <c r="A2913" s="132"/>
      <c r="B2913" s="132"/>
      <c r="Q2913" s="133"/>
    </row>
    <row r="2914" ht="15.75" customHeight="1">
      <c r="A2914" s="132"/>
      <c r="B2914" s="132"/>
      <c r="Q2914" s="133"/>
    </row>
    <row r="2915" ht="15.75" customHeight="1">
      <c r="A2915" s="132"/>
      <c r="B2915" s="132"/>
      <c r="Q2915" s="133"/>
    </row>
    <row r="2916" ht="15.75" customHeight="1">
      <c r="A2916" s="132"/>
      <c r="B2916" s="132"/>
      <c r="Q2916" s="133"/>
    </row>
    <row r="2917" ht="15.75" customHeight="1">
      <c r="A2917" s="132"/>
      <c r="B2917" s="132"/>
      <c r="Q2917" s="133"/>
    </row>
    <row r="2918" ht="15.75" customHeight="1">
      <c r="A2918" s="132"/>
      <c r="B2918" s="132"/>
      <c r="Q2918" s="133"/>
    </row>
    <row r="2919" ht="15.75" customHeight="1">
      <c r="A2919" s="132"/>
      <c r="B2919" s="132"/>
      <c r="Q2919" s="133"/>
    </row>
    <row r="2920" ht="15.75" customHeight="1">
      <c r="A2920" s="132"/>
      <c r="B2920" s="132"/>
      <c r="Q2920" s="133"/>
    </row>
    <row r="2921" ht="15.75" customHeight="1">
      <c r="A2921" s="132"/>
      <c r="B2921" s="132"/>
      <c r="Q2921" s="133"/>
    </row>
    <row r="2922" ht="15.75" customHeight="1">
      <c r="A2922" s="132"/>
      <c r="B2922" s="132"/>
      <c r="Q2922" s="133"/>
    </row>
    <row r="2923" ht="15.75" customHeight="1">
      <c r="A2923" s="132"/>
      <c r="B2923" s="132"/>
      <c r="Q2923" s="133"/>
    </row>
    <row r="2924" ht="15.75" customHeight="1">
      <c r="A2924" s="132"/>
      <c r="B2924" s="132"/>
      <c r="Q2924" s="133"/>
    </row>
    <row r="2925" ht="15.75" customHeight="1">
      <c r="A2925" s="132"/>
      <c r="B2925" s="132"/>
      <c r="Q2925" s="133"/>
    </row>
    <row r="2926" ht="15.75" customHeight="1">
      <c r="A2926" s="132"/>
      <c r="B2926" s="132"/>
      <c r="Q2926" s="133"/>
    </row>
    <row r="2927" ht="15.75" customHeight="1">
      <c r="A2927" s="132"/>
      <c r="B2927" s="132"/>
      <c r="Q2927" s="133"/>
    </row>
    <row r="2928" ht="15.75" customHeight="1">
      <c r="A2928" s="132"/>
      <c r="B2928" s="132"/>
      <c r="Q2928" s="133"/>
    </row>
    <row r="2929" ht="15.75" customHeight="1">
      <c r="A2929" s="132"/>
      <c r="B2929" s="132"/>
      <c r="Q2929" s="133"/>
    </row>
    <row r="2930" ht="15.75" customHeight="1">
      <c r="A2930" s="132"/>
      <c r="B2930" s="132"/>
      <c r="Q2930" s="133"/>
    </row>
    <row r="2931" ht="15.75" customHeight="1">
      <c r="A2931" s="132"/>
      <c r="B2931" s="132"/>
      <c r="Q2931" s="133"/>
    </row>
    <row r="2932" ht="15.75" customHeight="1">
      <c r="A2932" s="132"/>
      <c r="B2932" s="132"/>
      <c r="Q2932" s="133"/>
    </row>
    <row r="2933" ht="15.75" customHeight="1">
      <c r="A2933" s="132"/>
      <c r="B2933" s="132"/>
      <c r="Q2933" s="133"/>
    </row>
    <row r="2934" ht="15.75" customHeight="1">
      <c r="A2934" s="132"/>
      <c r="B2934" s="132"/>
      <c r="Q2934" s="133"/>
    </row>
    <row r="2935" ht="15.75" customHeight="1">
      <c r="A2935" s="132"/>
      <c r="B2935" s="132"/>
      <c r="Q2935" s="133"/>
    </row>
    <row r="2936" ht="15.75" customHeight="1">
      <c r="A2936" s="132"/>
      <c r="B2936" s="132"/>
      <c r="Q2936" s="133"/>
    </row>
    <row r="2937" ht="15.75" customHeight="1">
      <c r="A2937" s="132"/>
      <c r="B2937" s="132"/>
      <c r="Q2937" s="133"/>
    </row>
    <row r="2938" ht="15.75" customHeight="1">
      <c r="A2938" s="132"/>
      <c r="B2938" s="132"/>
      <c r="Q2938" s="133"/>
    </row>
    <row r="2939" ht="15.75" customHeight="1">
      <c r="A2939" s="132"/>
      <c r="B2939" s="132"/>
      <c r="Q2939" s="133"/>
    </row>
    <row r="2940" ht="15.75" customHeight="1">
      <c r="A2940" s="132"/>
      <c r="B2940" s="132"/>
      <c r="Q2940" s="133"/>
    </row>
    <row r="2941" ht="15.75" customHeight="1">
      <c r="A2941" s="132"/>
      <c r="B2941" s="132"/>
      <c r="Q2941" s="133"/>
    </row>
    <row r="2942" ht="15.75" customHeight="1">
      <c r="A2942" s="132"/>
      <c r="B2942" s="132"/>
      <c r="Q2942" s="133"/>
    </row>
    <row r="2943" ht="15.75" customHeight="1">
      <c r="A2943" s="132"/>
      <c r="B2943" s="132"/>
      <c r="Q2943" s="133"/>
    </row>
    <row r="2944" ht="15.75" customHeight="1">
      <c r="A2944" s="132"/>
      <c r="B2944" s="132"/>
      <c r="Q2944" s="133"/>
    </row>
    <row r="2945" ht="15.75" customHeight="1">
      <c r="A2945" s="132"/>
      <c r="B2945" s="132"/>
      <c r="Q2945" s="133"/>
    </row>
    <row r="2946" ht="15.75" customHeight="1">
      <c r="A2946" s="132"/>
      <c r="B2946" s="132"/>
      <c r="Q2946" s="133"/>
    </row>
    <row r="2947" ht="15.75" customHeight="1">
      <c r="A2947" s="132"/>
      <c r="B2947" s="132"/>
      <c r="Q2947" s="133"/>
    </row>
    <row r="2948" ht="15.75" customHeight="1">
      <c r="A2948" s="132"/>
      <c r="B2948" s="132"/>
      <c r="Q2948" s="133"/>
    </row>
    <row r="2949" ht="15.75" customHeight="1">
      <c r="A2949" s="132"/>
      <c r="B2949" s="132"/>
      <c r="Q2949" s="133"/>
    </row>
    <row r="2950" ht="15.75" customHeight="1">
      <c r="A2950" s="132"/>
      <c r="B2950" s="132"/>
      <c r="Q2950" s="133"/>
    </row>
    <row r="2951" ht="15.75" customHeight="1">
      <c r="A2951" s="132"/>
      <c r="B2951" s="132"/>
      <c r="Q2951" s="133"/>
    </row>
    <row r="2952" ht="15.75" customHeight="1">
      <c r="A2952" s="132"/>
      <c r="B2952" s="132"/>
      <c r="Q2952" s="133"/>
    </row>
    <row r="2953" ht="15.75" customHeight="1">
      <c r="A2953" s="132"/>
      <c r="B2953" s="132"/>
      <c r="Q2953" s="133"/>
    </row>
    <row r="2954" ht="15.75" customHeight="1">
      <c r="A2954" s="132"/>
      <c r="B2954" s="132"/>
      <c r="Q2954" s="133"/>
    </row>
    <row r="2955" ht="15.75" customHeight="1">
      <c r="A2955" s="132"/>
      <c r="B2955" s="132"/>
      <c r="Q2955" s="133"/>
    </row>
    <row r="2956" ht="15.75" customHeight="1">
      <c r="A2956" s="132"/>
      <c r="B2956" s="132"/>
      <c r="Q2956" s="133"/>
    </row>
    <row r="2957" ht="15.75" customHeight="1">
      <c r="A2957" s="132"/>
      <c r="B2957" s="132"/>
      <c r="Q2957" s="133"/>
    </row>
    <row r="2958" ht="15.75" customHeight="1">
      <c r="A2958" s="132"/>
      <c r="B2958" s="132"/>
      <c r="Q2958" s="133"/>
    </row>
    <row r="2959" ht="15.75" customHeight="1">
      <c r="A2959" s="132"/>
      <c r="B2959" s="132"/>
      <c r="Q2959" s="133"/>
    </row>
    <row r="2960" ht="15.75" customHeight="1">
      <c r="A2960" s="132"/>
      <c r="B2960" s="132"/>
      <c r="Q2960" s="133"/>
    </row>
    <row r="2961" ht="15.75" customHeight="1">
      <c r="A2961" s="132"/>
      <c r="B2961" s="132"/>
      <c r="Q2961" s="133"/>
    </row>
    <row r="2962" ht="15.75" customHeight="1">
      <c r="A2962" s="132"/>
      <c r="B2962" s="132"/>
      <c r="Q2962" s="133"/>
    </row>
    <row r="2963" ht="15.75" customHeight="1">
      <c r="A2963" s="132"/>
      <c r="B2963" s="132"/>
      <c r="Q2963" s="133"/>
    </row>
    <row r="2964" ht="15.75" customHeight="1">
      <c r="A2964" s="132"/>
      <c r="B2964" s="132"/>
      <c r="Q2964" s="133"/>
    </row>
    <row r="2965" ht="15.75" customHeight="1">
      <c r="A2965" s="132"/>
      <c r="B2965" s="132"/>
      <c r="Q2965" s="133"/>
    </row>
    <row r="2966" ht="15.75" customHeight="1">
      <c r="A2966" s="132"/>
      <c r="B2966" s="132"/>
      <c r="Q2966" s="133"/>
    </row>
    <row r="2967" ht="15.75" customHeight="1">
      <c r="A2967" s="132"/>
      <c r="B2967" s="132"/>
      <c r="Q2967" s="133"/>
    </row>
    <row r="2968" ht="15.75" customHeight="1">
      <c r="A2968" s="132"/>
      <c r="B2968" s="132"/>
      <c r="Q2968" s="133"/>
    </row>
    <row r="2969" ht="15.75" customHeight="1">
      <c r="A2969" s="132"/>
      <c r="B2969" s="132"/>
      <c r="Q2969" s="133"/>
    </row>
    <row r="2970" ht="15.75" customHeight="1">
      <c r="A2970" s="132"/>
      <c r="B2970" s="132"/>
      <c r="Q2970" s="133"/>
    </row>
    <row r="2971" ht="15.75" customHeight="1">
      <c r="A2971" s="132"/>
      <c r="B2971" s="132"/>
      <c r="Q2971" s="133"/>
    </row>
    <row r="2972" ht="15.75" customHeight="1">
      <c r="A2972" s="132"/>
      <c r="B2972" s="132"/>
      <c r="Q2972" s="133"/>
    </row>
    <row r="2973" ht="15.75" customHeight="1">
      <c r="A2973" s="132"/>
      <c r="B2973" s="132"/>
      <c r="Q2973" s="133"/>
    </row>
    <row r="2974" ht="15.75" customHeight="1">
      <c r="A2974" s="132"/>
      <c r="B2974" s="132"/>
      <c r="Q2974" s="133"/>
    </row>
    <row r="2975" ht="15.75" customHeight="1">
      <c r="A2975" s="132"/>
      <c r="B2975" s="132"/>
      <c r="Q2975" s="133"/>
    </row>
    <row r="2976" ht="15.75" customHeight="1">
      <c r="A2976" s="132"/>
      <c r="B2976" s="132"/>
      <c r="Q2976" s="133"/>
    </row>
    <row r="2977" ht="15.75" customHeight="1">
      <c r="A2977" s="132"/>
      <c r="B2977" s="132"/>
      <c r="Q2977" s="133"/>
    </row>
    <row r="2978" ht="15.75" customHeight="1">
      <c r="A2978" s="132"/>
      <c r="B2978" s="132"/>
      <c r="Q2978" s="133"/>
    </row>
    <row r="2979" ht="15.75" customHeight="1">
      <c r="A2979" s="132"/>
      <c r="B2979" s="132"/>
      <c r="Q2979" s="133"/>
    </row>
    <row r="2980" ht="15.75" customHeight="1">
      <c r="A2980" s="132"/>
      <c r="B2980" s="132"/>
      <c r="Q2980" s="133"/>
    </row>
    <row r="2981" ht="15.75" customHeight="1">
      <c r="A2981" s="132"/>
      <c r="B2981" s="132"/>
      <c r="Q2981" s="133"/>
    </row>
    <row r="2982" ht="15.75" customHeight="1">
      <c r="A2982" s="132"/>
      <c r="B2982" s="132"/>
      <c r="Q2982" s="133"/>
    </row>
    <row r="2983" ht="15.75" customHeight="1">
      <c r="A2983" s="132"/>
      <c r="B2983" s="132"/>
      <c r="Q2983" s="133"/>
    </row>
    <row r="2984" ht="15.75" customHeight="1">
      <c r="A2984" s="132"/>
      <c r="B2984" s="132"/>
      <c r="Q2984" s="133"/>
    </row>
    <row r="2985" ht="15.75" customHeight="1">
      <c r="A2985" s="132"/>
      <c r="B2985" s="132"/>
      <c r="Q2985" s="133"/>
    </row>
    <row r="2986" ht="15.75" customHeight="1">
      <c r="A2986" s="132"/>
      <c r="B2986" s="132"/>
      <c r="Q2986" s="133"/>
    </row>
    <row r="2987" ht="15.75" customHeight="1">
      <c r="A2987" s="132"/>
      <c r="B2987" s="132"/>
      <c r="Q2987" s="133"/>
    </row>
    <row r="2988" ht="15.75" customHeight="1">
      <c r="A2988" s="132"/>
      <c r="B2988" s="132"/>
      <c r="Q2988" s="133"/>
    </row>
    <row r="2989" ht="15.75" customHeight="1">
      <c r="A2989" s="132"/>
      <c r="B2989" s="132"/>
      <c r="Q2989" s="133"/>
    </row>
    <row r="2990" ht="15.75" customHeight="1">
      <c r="A2990" s="132"/>
      <c r="B2990" s="132"/>
      <c r="Q2990" s="133"/>
    </row>
    <row r="2991" ht="15.75" customHeight="1">
      <c r="A2991" s="132"/>
      <c r="B2991" s="132"/>
      <c r="Q2991" s="133"/>
    </row>
    <row r="2992" ht="15.75" customHeight="1">
      <c r="A2992" s="132"/>
      <c r="B2992" s="132"/>
      <c r="Q2992" s="133"/>
    </row>
    <row r="2993" ht="15.75" customHeight="1">
      <c r="A2993" s="132"/>
      <c r="B2993" s="132"/>
      <c r="Q2993" s="133"/>
    </row>
    <row r="2994" ht="15.75" customHeight="1">
      <c r="A2994" s="132"/>
      <c r="B2994" s="132"/>
      <c r="Q2994" s="133"/>
    </row>
    <row r="2995" ht="15.75" customHeight="1">
      <c r="A2995" s="132"/>
      <c r="B2995" s="132"/>
      <c r="Q2995" s="133"/>
    </row>
    <row r="2996" ht="15.75" customHeight="1">
      <c r="A2996" s="132"/>
      <c r="B2996" s="132"/>
      <c r="Q2996" s="133"/>
    </row>
    <row r="2997" ht="15.75" customHeight="1">
      <c r="A2997" s="132"/>
      <c r="B2997" s="132"/>
      <c r="Q2997" s="133"/>
    </row>
    <row r="2998" ht="15.75" customHeight="1">
      <c r="A2998" s="132"/>
      <c r="B2998" s="132"/>
      <c r="Q2998" s="133"/>
    </row>
    <row r="2999" ht="15.75" customHeight="1">
      <c r="A2999" s="132"/>
      <c r="B2999" s="132"/>
      <c r="Q2999" s="133"/>
    </row>
    <row r="3000" ht="15.75" customHeight="1">
      <c r="A3000" s="132"/>
      <c r="B3000" s="132"/>
      <c r="Q3000" s="133"/>
    </row>
    <row r="3001" ht="15.75" customHeight="1">
      <c r="A3001" s="132"/>
      <c r="B3001" s="132"/>
      <c r="Q3001" s="133"/>
    </row>
    <row r="3002" ht="15.75" customHeight="1">
      <c r="A3002" s="132"/>
      <c r="B3002" s="132"/>
      <c r="Q3002" s="133"/>
    </row>
    <row r="3003" ht="15.75" customHeight="1">
      <c r="A3003" s="132"/>
      <c r="B3003" s="132"/>
      <c r="Q3003" s="133"/>
    </row>
    <row r="3004" ht="15.75" customHeight="1">
      <c r="A3004" s="132"/>
      <c r="B3004" s="132"/>
      <c r="Q3004" s="133"/>
    </row>
    <row r="3005" ht="15.75" customHeight="1">
      <c r="A3005" s="132"/>
      <c r="B3005" s="132"/>
      <c r="Q3005" s="133"/>
    </row>
    <row r="3006" ht="15.75" customHeight="1">
      <c r="A3006" s="132"/>
      <c r="B3006" s="132"/>
      <c r="Q3006" s="133"/>
    </row>
  </sheetData>
  <autoFilter ref="$A$1:$Z$3006"/>
  <printOptions/>
  <pageMargins bottom="0.7480314960629921" footer="0.0" header="0.0" left="0.7086614173228347" right="0.7086614173228347" top="0.7480314960629921"/>
  <pageSetup scale="48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2026-06-10T16:07:36Z</dcterms:created>
  <dc:creator>HP</dc:creator>
</cp:coreProperties>
</file>