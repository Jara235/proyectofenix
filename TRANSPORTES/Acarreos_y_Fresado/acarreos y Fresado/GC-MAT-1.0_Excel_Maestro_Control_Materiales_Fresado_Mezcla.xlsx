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532C422E-778A-44C4-8679-1FDFF44427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rga_Camiones" sheetId="1" r:id="rId1"/>
    <sheet name="Cotejo_Mezcla" sheetId="2" r:id="rId2"/>
    <sheet name="Control_Fresado" sheetId="3" r:id="rId3"/>
    <sheet name="Catalogos" sheetId="4" r:id="rId4"/>
    <sheet name="Instrucciones" sheetId="5" r:id="rId5"/>
  </sheets>
  <definedNames>
    <definedName name="_xlnm._FilterDatabase" localSheetId="1" hidden="1">Cotejo_Mezcla!$A$4:$T$105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5" i="2" l="1"/>
  <c r="R105" i="2"/>
  <c r="F105" i="2"/>
  <c r="E105" i="2"/>
  <c r="B105" i="2"/>
  <c r="S104" i="2"/>
  <c r="R104" i="2"/>
  <c r="F104" i="2"/>
  <c r="E104" i="2"/>
  <c r="B104" i="2"/>
  <c r="S103" i="2"/>
  <c r="R103" i="2"/>
  <c r="F103" i="2"/>
  <c r="E103" i="2"/>
  <c r="B103" i="2"/>
  <c r="S102" i="2"/>
  <c r="R102" i="2"/>
  <c r="F102" i="2"/>
  <c r="E102" i="2"/>
  <c r="B102" i="2"/>
  <c r="S101" i="2"/>
  <c r="R101" i="2"/>
  <c r="F101" i="2"/>
  <c r="E101" i="2"/>
  <c r="B101" i="2"/>
  <c r="S100" i="2"/>
  <c r="R100" i="2"/>
  <c r="F100" i="2"/>
  <c r="E100" i="2"/>
  <c r="B100" i="2"/>
  <c r="S99" i="2"/>
  <c r="R99" i="2"/>
  <c r="F99" i="2"/>
  <c r="E99" i="2"/>
  <c r="B99" i="2"/>
  <c r="S98" i="2"/>
  <c r="R98" i="2"/>
  <c r="F98" i="2"/>
  <c r="E98" i="2"/>
  <c r="B98" i="2"/>
  <c r="S97" i="2"/>
  <c r="R97" i="2"/>
  <c r="F97" i="2"/>
  <c r="E97" i="2"/>
  <c r="B97" i="2"/>
  <c r="S96" i="2"/>
  <c r="R96" i="2"/>
  <c r="F96" i="2"/>
  <c r="E96" i="2"/>
  <c r="B96" i="2"/>
  <c r="S95" i="2"/>
  <c r="R95" i="2"/>
  <c r="F95" i="2"/>
  <c r="E95" i="2"/>
  <c r="B95" i="2"/>
  <c r="S94" i="2"/>
  <c r="R94" i="2"/>
  <c r="F94" i="2"/>
  <c r="E94" i="2"/>
  <c r="B94" i="2"/>
  <c r="S93" i="2"/>
  <c r="R93" i="2"/>
  <c r="F93" i="2"/>
  <c r="E93" i="2"/>
  <c r="B93" i="2"/>
  <c r="S92" i="2"/>
  <c r="R92" i="2"/>
  <c r="F92" i="2"/>
  <c r="E92" i="2"/>
  <c r="B92" i="2"/>
  <c r="S91" i="2"/>
  <c r="R91" i="2"/>
  <c r="F91" i="2"/>
  <c r="E91" i="2"/>
  <c r="B91" i="2"/>
  <c r="S90" i="2"/>
  <c r="R90" i="2"/>
  <c r="F90" i="2"/>
  <c r="E90" i="2"/>
  <c r="B90" i="2"/>
  <c r="S89" i="2"/>
  <c r="R89" i="2"/>
  <c r="F89" i="2"/>
  <c r="E89" i="2"/>
  <c r="B89" i="2"/>
  <c r="S88" i="2"/>
  <c r="R88" i="2"/>
  <c r="F88" i="2"/>
  <c r="E88" i="2"/>
  <c r="B88" i="2"/>
  <c r="S87" i="2"/>
  <c r="R87" i="2"/>
  <c r="F87" i="2"/>
  <c r="E87" i="2"/>
  <c r="B87" i="2"/>
  <c r="S86" i="2"/>
  <c r="R86" i="2"/>
  <c r="F86" i="2"/>
  <c r="E86" i="2"/>
  <c r="B86" i="2"/>
  <c r="S85" i="2"/>
  <c r="R85" i="2"/>
  <c r="F85" i="2"/>
  <c r="E85" i="2"/>
  <c r="B85" i="2"/>
  <c r="S84" i="2"/>
  <c r="R84" i="2"/>
  <c r="F84" i="2"/>
  <c r="E84" i="2"/>
  <c r="S83" i="2"/>
  <c r="R83" i="2"/>
  <c r="F83" i="2"/>
  <c r="E83" i="2"/>
  <c r="S82" i="2"/>
  <c r="R82" i="2"/>
  <c r="F82" i="2"/>
  <c r="E82" i="2"/>
  <c r="S81" i="2"/>
  <c r="R81" i="2"/>
  <c r="F81" i="2"/>
  <c r="E81" i="2"/>
  <c r="S80" i="2"/>
  <c r="R80" i="2"/>
  <c r="F80" i="2"/>
  <c r="E80" i="2"/>
  <c r="S79" i="2"/>
  <c r="R79" i="2"/>
  <c r="F79" i="2"/>
  <c r="E79" i="2"/>
  <c r="S78" i="2"/>
  <c r="R78" i="2"/>
  <c r="F78" i="2"/>
  <c r="E78" i="2"/>
  <c r="S77" i="2"/>
  <c r="R77" i="2"/>
  <c r="F77" i="2"/>
  <c r="E77" i="2"/>
  <c r="S76" i="2"/>
  <c r="R76" i="2"/>
  <c r="F76" i="2"/>
  <c r="E76" i="2"/>
  <c r="S75" i="2"/>
  <c r="R75" i="2"/>
  <c r="F75" i="2"/>
  <c r="E75" i="2"/>
  <c r="S74" i="2"/>
  <c r="R74" i="2"/>
  <c r="F74" i="2"/>
  <c r="E74" i="2"/>
  <c r="S73" i="2"/>
  <c r="R73" i="2"/>
  <c r="F73" i="2"/>
  <c r="E73" i="2"/>
  <c r="S72" i="2"/>
  <c r="R72" i="2"/>
  <c r="F72" i="2"/>
  <c r="E72" i="2"/>
  <c r="S71" i="2"/>
  <c r="R71" i="2"/>
  <c r="F71" i="2"/>
  <c r="E71" i="2"/>
  <c r="S70" i="2"/>
  <c r="R70" i="2"/>
  <c r="F70" i="2"/>
  <c r="E70" i="2"/>
  <c r="S69" i="2"/>
  <c r="R69" i="2"/>
  <c r="F69" i="2"/>
  <c r="E69" i="2"/>
  <c r="S68" i="2"/>
  <c r="R68" i="2"/>
  <c r="F68" i="2"/>
  <c r="E68" i="2"/>
  <c r="S67" i="2"/>
  <c r="R67" i="2"/>
  <c r="F67" i="2"/>
  <c r="E67" i="2"/>
  <c r="S66" i="2"/>
  <c r="R66" i="2"/>
  <c r="F66" i="2"/>
  <c r="E66" i="2"/>
  <c r="S65" i="2"/>
  <c r="R65" i="2"/>
  <c r="F65" i="2"/>
  <c r="E65" i="2"/>
  <c r="S64" i="2"/>
  <c r="R64" i="2"/>
  <c r="F64" i="2"/>
  <c r="E64" i="2"/>
  <c r="S63" i="2"/>
  <c r="R63" i="2"/>
  <c r="F63" i="2"/>
  <c r="E63" i="2"/>
  <c r="S62" i="2"/>
  <c r="R62" i="2"/>
  <c r="F62" i="2"/>
  <c r="E62" i="2"/>
  <c r="S61" i="2"/>
  <c r="R61" i="2"/>
  <c r="F61" i="2"/>
  <c r="E61" i="2"/>
  <c r="S60" i="2"/>
  <c r="R60" i="2"/>
  <c r="F60" i="2"/>
  <c r="E60" i="2"/>
  <c r="S59" i="2"/>
  <c r="R59" i="2"/>
  <c r="F59" i="2"/>
  <c r="E59" i="2"/>
  <c r="S58" i="2"/>
  <c r="R58" i="2"/>
  <c r="F58" i="2"/>
  <c r="E58" i="2"/>
  <c r="S57" i="2"/>
  <c r="R57" i="2"/>
  <c r="F57" i="2"/>
  <c r="E57" i="2"/>
  <c r="S56" i="2"/>
  <c r="R56" i="2"/>
  <c r="F56" i="2"/>
  <c r="E56" i="2"/>
  <c r="S55" i="2"/>
  <c r="R55" i="2"/>
  <c r="F55" i="2"/>
  <c r="E55" i="2"/>
  <c r="S54" i="2"/>
  <c r="R54" i="2"/>
  <c r="F54" i="2"/>
  <c r="E54" i="2"/>
  <c r="S53" i="2"/>
  <c r="R53" i="2"/>
  <c r="F53" i="2"/>
  <c r="E53" i="2"/>
  <c r="S52" i="2"/>
  <c r="R52" i="2"/>
  <c r="F52" i="2"/>
  <c r="E52" i="2"/>
  <c r="S51" i="2"/>
  <c r="R51" i="2"/>
  <c r="E51" i="2"/>
  <c r="S50" i="2"/>
  <c r="R50" i="2"/>
  <c r="E50" i="2"/>
  <c r="S49" i="2"/>
  <c r="R49" i="2"/>
  <c r="E49" i="2"/>
  <c r="S48" i="2"/>
  <c r="R48" i="2"/>
  <c r="E48" i="2"/>
  <c r="S47" i="2"/>
  <c r="R47" i="2"/>
  <c r="F47" i="2"/>
  <c r="E47" i="2"/>
  <c r="S46" i="2"/>
  <c r="R46" i="2"/>
  <c r="F46" i="2"/>
  <c r="E46" i="2"/>
  <c r="S45" i="2"/>
  <c r="R45" i="2"/>
  <c r="F45" i="2"/>
  <c r="E45" i="2"/>
  <c r="S44" i="2"/>
  <c r="R44" i="2"/>
  <c r="F44" i="2"/>
  <c r="E44" i="2"/>
  <c r="S43" i="2"/>
  <c r="R43" i="2"/>
  <c r="F43" i="2"/>
  <c r="E43" i="2"/>
  <c r="S42" i="2"/>
  <c r="R42" i="2"/>
  <c r="F42" i="2"/>
  <c r="E42" i="2"/>
  <c r="S41" i="2"/>
  <c r="R41" i="2"/>
  <c r="F41" i="2"/>
  <c r="E41" i="2"/>
  <c r="S40" i="2"/>
  <c r="R40" i="2"/>
  <c r="F40" i="2"/>
  <c r="E40" i="2"/>
  <c r="S39" i="2"/>
  <c r="R39" i="2"/>
  <c r="F39" i="2"/>
  <c r="E39" i="2"/>
  <c r="S38" i="2"/>
  <c r="R38" i="2"/>
  <c r="F38" i="2"/>
  <c r="E38" i="2"/>
  <c r="S37" i="2"/>
  <c r="R37" i="2"/>
  <c r="F37" i="2"/>
  <c r="E37" i="2"/>
  <c r="S36" i="2"/>
  <c r="R36" i="2"/>
  <c r="F36" i="2"/>
  <c r="E36" i="2"/>
  <c r="S35" i="2"/>
  <c r="R35" i="2"/>
  <c r="F35" i="2"/>
  <c r="E35" i="2"/>
  <c r="S34" i="2"/>
  <c r="R34" i="2"/>
  <c r="F34" i="2"/>
  <c r="E34" i="2"/>
  <c r="S33" i="2"/>
  <c r="R33" i="2"/>
  <c r="F33" i="2"/>
  <c r="E33" i="2"/>
  <c r="S32" i="2"/>
  <c r="R32" i="2"/>
  <c r="F32" i="2"/>
  <c r="E32" i="2"/>
  <c r="S31" i="2"/>
  <c r="R31" i="2"/>
  <c r="F31" i="2"/>
  <c r="E31" i="2"/>
  <c r="S30" i="2"/>
  <c r="R30" i="2"/>
  <c r="F30" i="2"/>
  <c r="E30" i="2"/>
  <c r="S29" i="2"/>
  <c r="R29" i="2"/>
  <c r="F29" i="2"/>
  <c r="E29" i="2"/>
  <c r="B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E21" i="2"/>
  <c r="S20" i="2"/>
  <c r="R20" i="2"/>
  <c r="E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E8" i="2"/>
  <c r="S7" i="2"/>
  <c r="R7" i="2"/>
  <c r="S6" i="2"/>
  <c r="R6" i="2"/>
  <c r="S5" i="2"/>
  <c r="E5" i="2"/>
  <c r="B5" i="2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D99" i="2" l="1"/>
  <c r="D96" i="2"/>
  <c r="D92" i="2"/>
  <c r="D70" i="2"/>
  <c r="D65" i="2"/>
  <c r="D58" i="2"/>
  <c r="D57" i="2"/>
  <c r="D55" i="2"/>
  <c r="D53" i="2"/>
  <c r="D52" i="2"/>
  <c r="D50" i="2"/>
  <c r="D49" i="2"/>
  <c r="D22" i="2"/>
  <c r="D21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17" i="2"/>
  <c r="D11" i="2"/>
  <c r="D10" i="2"/>
  <c r="D8" i="2"/>
  <c r="D7" i="2"/>
  <c r="D103" i="2"/>
  <c r="D102" i="2"/>
  <c r="D97" i="2"/>
  <c r="D90" i="2"/>
  <c r="D84" i="2"/>
  <c r="D77" i="2"/>
  <c r="D60" i="2"/>
  <c r="D56" i="2"/>
  <c r="D30" i="2"/>
  <c r="D29" i="2"/>
  <c r="D19" i="2"/>
  <c r="D18" i="2"/>
  <c r="D12" i="2"/>
  <c r="D105" i="2"/>
  <c r="D104" i="2"/>
  <c r="D100" i="2"/>
  <c r="D95" i="2"/>
  <c r="D89" i="2"/>
  <c r="D87" i="2"/>
  <c r="D83" i="2"/>
  <c r="D80" i="2"/>
  <c r="D78" i="2"/>
  <c r="D71" i="2"/>
  <c r="D64" i="2"/>
  <c r="D63" i="2"/>
  <c r="D54" i="2"/>
  <c r="D47" i="2"/>
  <c r="D25" i="2"/>
  <c r="D16" i="2"/>
  <c r="D14" i="2"/>
  <c r="D94" i="2"/>
  <c r="D93" i="2"/>
  <c r="D85" i="2"/>
  <c r="D82" i="2"/>
  <c r="D76" i="2"/>
  <c r="D74" i="2"/>
  <c r="D72" i="2"/>
  <c r="D68" i="2"/>
  <c r="D67" i="2"/>
  <c r="D62" i="2"/>
  <c r="D61" i="2"/>
  <c r="D59" i="2"/>
  <c r="D51" i="2"/>
  <c r="D48" i="2"/>
  <c r="D46" i="2"/>
  <c r="D26" i="2"/>
  <c r="D24" i="2"/>
  <c r="D23" i="2"/>
  <c r="D20" i="2"/>
  <c r="D15" i="2"/>
  <c r="D101" i="2"/>
  <c r="D98" i="2"/>
  <c r="D91" i="2"/>
  <c r="D88" i="2"/>
  <c r="D86" i="2"/>
  <c r="D81" i="2"/>
  <c r="D79" i="2"/>
  <c r="D75" i="2"/>
  <c r="D73" i="2"/>
  <c r="D69" i="2"/>
  <c r="D66" i="2"/>
  <c r="D27" i="2"/>
  <c r="D13" i="2"/>
  <c r="D9" i="2"/>
  <c r="R5" i="2"/>
</calcChain>
</file>

<file path=xl/sharedStrings.xml><?xml version="1.0" encoding="utf-8"?>
<sst xmlns="http://schemas.openxmlformats.org/spreadsheetml/2006/main" count="1379" uniqueCount="311">
  <si>
    <t>GC-MAT-001 | BITÁCORA DE CARGA DE CAMIONES (PLANTA / TRANSPORTE)</t>
  </si>
  <si>
    <t>Responsable:</t>
  </si>
  <si>
    <t>Semana:</t>
  </si>
  <si>
    <t>Fecha entrega:</t>
  </si>
  <si>
    <t>Plantas Origen:</t>
  </si>
  <si>
    <t>Toluca / Huixquilucan</t>
  </si>
  <si>
    <t>Fecha</t>
  </si>
  <si>
    <t>Folio Remisión (JDJ)</t>
  </si>
  <si>
    <t>Folio Báscula</t>
  </si>
  <si>
    <t>Planta Origen</t>
  </si>
  <si>
    <t>Obra Destino</t>
  </si>
  <si>
    <t>Material</t>
  </si>
  <si>
    <t>Placas del Vehículo</t>
  </si>
  <si>
    <t>Tipo de Vehículo</t>
  </si>
  <si>
    <t>Capacidad (m³)</t>
  </si>
  <si>
    <t>Operador</t>
  </si>
  <si>
    <t>Peso Bruto (kg)</t>
  </si>
  <si>
    <t>Peso Tara (kg)</t>
  </si>
  <si>
    <t>Peso Neto (kg)</t>
  </si>
  <si>
    <t>Hora de Salida</t>
  </si>
  <si>
    <t>Temperatura (°C)</t>
  </si>
  <si>
    <t>Odómetro / Kilometraje</t>
  </si>
  <si>
    <t>Despachador</t>
  </si>
  <si>
    <t>Observaciones</t>
  </si>
  <si>
    <t>2026-06-08</t>
  </si>
  <si>
    <t>5632</t>
  </si>
  <si>
    <t>56140</t>
  </si>
  <si>
    <t>Toluca</t>
  </si>
  <si>
    <t>Chamapa - Lecheria</t>
  </si>
  <si>
    <t>Carpeta Densa</t>
  </si>
  <si>
    <t>98-BM-8P</t>
  </si>
  <si>
    <t>Torton</t>
  </si>
  <si>
    <t>Bernabé Gutierrez</t>
  </si>
  <si>
    <t>11:58 PM</t>
  </si>
  <si>
    <t>km 61290 + 6442</t>
  </si>
  <si>
    <t>c1ll0ll1 CM</t>
  </si>
  <si>
    <t>cpo 1 carril unico</t>
  </si>
  <si>
    <t>2026-06-15</t>
  </si>
  <si>
    <t>86.0</t>
  </si>
  <si>
    <t>56140.0</t>
  </si>
  <si>
    <t>Lerma - Toluca</t>
  </si>
  <si>
    <t>Mezcla Preparada Caliente N.3</t>
  </si>
  <si>
    <t>464AJ2</t>
  </si>
  <si>
    <t>Carlos Valdes</t>
  </si>
  <si>
    <t>12:44</t>
  </si>
  <si>
    <t>GC-MAT-002 | CONCILIACIÓN Y COTEJO DE MEZCLA (PLANTA VS REMISIÓN OBRA)</t>
  </si>
  <si>
    <t>Encargado:</t>
  </si>
  <si>
    <t>Periodo:</t>
  </si>
  <si>
    <t>Obra Destino:</t>
  </si>
  <si>
    <t>Todas</t>
  </si>
  <si>
    <t>Fecha Planta</t>
  </si>
  <si>
    <t>Folio Remisión Planta</t>
  </si>
  <si>
    <t>Peso Neto Planta (kg)</t>
  </si>
  <si>
    <t>Hora Salida Planta</t>
  </si>
  <si>
    <t>Temp Planta (°C)</t>
  </si>
  <si>
    <t>Folio Nota Trujano (Obra)</t>
  </si>
  <si>
    <t>Sindicato</t>
  </si>
  <si>
    <t>Material Recibido</t>
  </si>
  <si>
    <t>Placas Vehículo</t>
  </si>
  <si>
    <t>Hora Llegada Obra</t>
  </si>
  <si>
    <t>Temp Obra (°C)</t>
  </si>
  <si>
    <t>Encargado de Obra</t>
  </si>
  <si>
    <t>Checador</t>
  </si>
  <si>
    <t>Pérdida Temp (°C)</t>
  </si>
  <si>
    <t>Estatus Entrega</t>
  </si>
  <si>
    <t>Yahir Barreda</t>
  </si>
  <si>
    <t>Carga nocturna conciliada con firma de checador</t>
  </si>
  <si>
    <t>Entregado a tiempo, sin novedades</t>
  </si>
  <si>
    <t>GC-MAT-003 | CONTROL DE RETORNO Y REGISTRO DE FRESADO DE OBRA (POR CAPACIDAD)</t>
  </si>
  <si>
    <t>Obra Origen:</t>
  </si>
  <si>
    <t>Fecha Reporte:</t>
  </si>
  <si>
    <t>Folio Nota (Trujano)</t>
  </si>
  <si>
    <t>Obra Origen</t>
  </si>
  <si>
    <t>Hora de Llegada</t>
  </si>
  <si>
    <t>Destino (Planta/Acopio)</t>
  </si>
  <si>
    <t>5872</t>
  </si>
  <si>
    <t>FRESADO</t>
  </si>
  <si>
    <t>NS-1640-C</t>
  </si>
  <si>
    <t>Orlando Gutierrez</t>
  </si>
  <si>
    <t>10:53 pm</t>
  </si>
  <si>
    <t>10:46 pm</t>
  </si>
  <si>
    <t>Ing. Javier Perez</t>
  </si>
  <si>
    <t>Viaje nocturno reportado por checador</t>
  </si>
  <si>
    <t>Chamapa-Lechería</t>
  </si>
  <si>
    <t>cosum</t>
  </si>
  <si>
    <t>22:53:00</t>
  </si>
  <si>
    <t>22:46:00</t>
  </si>
  <si>
    <t>Francisco Javier</t>
  </si>
  <si>
    <t>5873</t>
  </si>
  <si>
    <t>LG-01-321</t>
  </si>
  <si>
    <t>Julio Resendiz</t>
  </si>
  <si>
    <t>23:14:00</t>
  </si>
  <si>
    <t>23:07:00</t>
  </si>
  <si>
    <t>5874</t>
  </si>
  <si>
    <t>LF-41-892</t>
  </si>
  <si>
    <t>Lucio Gustamante</t>
  </si>
  <si>
    <t>23:21:00</t>
  </si>
  <si>
    <t>23:15:00</t>
  </si>
  <si>
    <t>5875</t>
  </si>
  <si>
    <t>17-AN4C</t>
  </si>
  <si>
    <t>Erick Gutierrez</t>
  </si>
  <si>
    <t>23:28:00</t>
  </si>
  <si>
    <t>23:22:00</t>
  </si>
  <si>
    <t>5876</t>
  </si>
  <si>
    <t>23:47:00</t>
  </si>
  <si>
    <t>23:39:00</t>
  </si>
  <si>
    <t>5877</t>
  </si>
  <si>
    <t>23:56:00</t>
  </si>
  <si>
    <t>23:48:00</t>
  </si>
  <si>
    <t>5878</t>
  </si>
  <si>
    <t>00:02:00</t>
  </si>
  <si>
    <t>5879</t>
  </si>
  <si>
    <t>00:11:00</t>
  </si>
  <si>
    <t>5880</t>
  </si>
  <si>
    <t>00:21:00</t>
  </si>
  <si>
    <t>00:13:00</t>
  </si>
  <si>
    <t>5881</t>
  </si>
  <si>
    <t>00:26:00</t>
  </si>
  <si>
    <t>5882</t>
  </si>
  <si>
    <t>00:33:00</t>
  </si>
  <si>
    <t>00:27:00</t>
  </si>
  <si>
    <t>5883</t>
  </si>
  <si>
    <t>00:41:00</t>
  </si>
  <si>
    <t>00:35:00</t>
  </si>
  <si>
    <t>5884</t>
  </si>
  <si>
    <t>00:59:00</t>
  </si>
  <si>
    <t>00:44:00</t>
  </si>
  <si>
    <t>5885</t>
  </si>
  <si>
    <t>01:08:00</t>
  </si>
  <si>
    <t>01:00:00</t>
  </si>
  <si>
    <t>5886</t>
  </si>
  <si>
    <t>01:20:00</t>
  </si>
  <si>
    <t>01:10:00</t>
  </si>
  <si>
    <t>5887</t>
  </si>
  <si>
    <t>01:40:00</t>
  </si>
  <si>
    <t>01:30:00</t>
  </si>
  <si>
    <t>5888</t>
  </si>
  <si>
    <t>01:28:00</t>
  </si>
  <si>
    <t>01:21:00</t>
  </si>
  <si>
    <t>5889</t>
  </si>
  <si>
    <t>01:46:00</t>
  </si>
  <si>
    <t>01:41:00</t>
  </si>
  <si>
    <t>CATÁLOGOS OFICIALES - CONTROL DE MATERIALES, MEZCLA Y FRESADO</t>
  </si>
  <si>
    <t>Código Obra</t>
  </si>
  <si>
    <t>Nombre de Obra</t>
  </si>
  <si>
    <t>Ingeniero Responsable</t>
  </si>
  <si>
    <t>Código Planta</t>
  </si>
  <si>
    <t>Código Material</t>
  </si>
  <si>
    <t>Descripción del Material</t>
  </si>
  <si>
    <t>MT</t>
  </si>
  <si>
    <t>México-Toluca</t>
  </si>
  <si>
    <t>Samuel Ortega</t>
  </si>
  <si>
    <t>L3M</t>
  </si>
  <si>
    <t>Lerma - Tres Marías</t>
  </si>
  <si>
    <t>Apolinar</t>
  </si>
  <si>
    <t>LT</t>
  </si>
  <si>
    <t>CL</t>
  </si>
  <si>
    <t>BT</t>
  </si>
  <si>
    <t>Bacheo Toluca</t>
  </si>
  <si>
    <t>Diego Carreola</t>
  </si>
  <si>
    <t>TOL</t>
  </si>
  <si>
    <t>Planta Toluca</t>
  </si>
  <si>
    <t>HUI</t>
  </si>
  <si>
    <t>Planta Huixquilucan</t>
  </si>
  <si>
    <t>MC3</t>
  </si>
  <si>
    <t>MA</t>
  </si>
  <si>
    <t>Mezcla Asfáltica</t>
  </si>
  <si>
    <t>FR</t>
  </si>
  <si>
    <t>Fresado</t>
  </si>
  <si>
    <t>ASF</t>
  </si>
  <si>
    <t>Asfalto</t>
  </si>
  <si>
    <t>PROCEDIMIENTO OPERATIVO - CONTROL DE MATERIALES</t>
  </si>
  <si>
    <t>Paso</t>
  </si>
  <si>
    <t>Responsable</t>
  </si>
  <si>
    <t>Descripción de la Actividad</t>
  </si>
  <si>
    <t>1</t>
  </si>
  <si>
    <t>Operador de Camión</t>
  </si>
  <si>
    <t>Al cargar mezcla en planta, solicita ticket de báscula y remisión JDJ Asfaltos. Reporta por WhatsApp con foto.</t>
  </si>
  <si>
    <t>2</t>
  </si>
  <si>
    <t>Despachador / Capturista</t>
  </si>
  <si>
    <t>Registra la mezcla cargada en la pestaña 'Carga_Camiones'. Los pesos Bruto y Tara se ingresan y el Peso Neto se calcula solo.</t>
  </si>
  <si>
    <t>3</t>
  </si>
  <si>
    <t>Residente de Obra / Checador</t>
  </si>
  <si>
    <t>Al recibir el camión de mezcla en la obra, llena la nota rosa de 'Grupo Trujano' anotando la hora de llegada, temperatura de la mezcla al tirar, placas, operador y firmas.</t>
  </si>
  <si>
    <t>4</t>
  </si>
  <si>
    <t>Coteja lo enviado de planta vs lo recibido en obra en 'Cotejo_Mezcla'. La hoja cruzará automáticamente las placas y calculará la pérdida de temperatura de trayecto.</t>
  </si>
  <si>
    <t>5</t>
  </si>
  <si>
    <t>Checador / Residente</t>
  </si>
  <si>
    <t>Al cargar y despachar fresado (asfalto molido) desde la obra, llena la nota de 'Grupo Trujano' con la capacidad del camión (m³), placas, horas y firmas.</t>
  </si>
  <si>
    <t>6</t>
  </si>
  <si>
    <t>Registra las salidas de fresado en la pestaña 'Control_Fresado'. No requiere pesos de báscula; el control de volumen se realiza mediante la capacidad del camión en m³ y los viajes completados.</t>
  </si>
  <si>
    <t>43-BD-6E</t>
  </si>
  <si>
    <t>Victor Gonzalez</t>
  </si>
  <si>
    <t>120-AJ-3</t>
  </si>
  <si>
    <t>Cesar Gutierrez</t>
  </si>
  <si>
    <t>Emulsiones y Asfaltos Jorge</t>
  </si>
  <si>
    <t>74-BK-2U</t>
  </si>
  <si>
    <t>Eduardo Castillo</t>
  </si>
  <si>
    <t>Citlalli I.M.</t>
  </si>
  <si>
    <t>HB-4926-H</t>
  </si>
  <si>
    <t>Cirino Garcia</t>
  </si>
  <si>
    <t>NT-2314-C</t>
  </si>
  <si>
    <t>Geovani Contreras</t>
  </si>
  <si>
    <t>NH-8962-O</t>
  </si>
  <si>
    <t>Alexis Malvaes</t>
  </si>
  <si>
    <t>Hugo Bueno</t>
  </si>
  <si>
    <t>HB-9859-H</t>
  </si>
  <si>
    <t>Hugo BUeno</t>
  </si>
  <si>
    <t>NN-8962-C</t>
  </si>
  <si>
    <t>119-AJ-3</t>
  </si>
  <si>
    <t>Bernabe Chaves</t>
  </si>
  <si>
    <t>ND-5931-C</t>
  </si>
  <si>
    <t>Ivsn Mulato</t>
  </si>
  <si>
    <t>94-AC-5F</t>
  </si>
  <si>
    <t>Hugo Gutierrez</t>
  </si>
  <si>
    <t>73-DG-IU</t>
  </si>
  <si>
    <t>Edwin</t>
  </si>
  <si>
    <t>LC-45-753</t>
  </si>
  <si>
    <t>Cesar Granados</t>
  </si>
  <si>
    <t>02-BG-FT</t>
  </si>
  <si>
    <t>43-BD-6C</t>
  </si>
  <si>
    <t>Victor Gutierrez</t>
  </si>
  <si>
    <t>487-AP-2</t>
  </si>
  <si>
    <t>Ivan Gutierrez</t>
  </si>
  <si>
    <t>98-CM-8P</t>
  </si>
  <si>
    <t>Bernaba Gutierrez</t>
  </si>
  <si>
    <t>Julio</t>
  </si>
  <si>
    <t>17-AN-4C</t>
  </si>
  <si>
    <t>Lucio Bustamante</t>
  </si>
  <si>
    <t>Nota Cancelada</t>
  </si>
  <si>
    <t>Viaje en Falso</t>
  </si>
  <si>
    <t>CD</t>
  </si>
  <si>
    <t>LD58235</t>
  </si>
  <si>
    <t>Cortes Guadarrama</t>
  </si>
  <si>
    <t>22BC9R</t>
  </si>
  <si>
    <t>David</t>
  </si>
  <si>
    <t>MY7967B</t>
  </si>
  <si>
    <t>Enrique Torres</t>
  </si>
  <si>
    <t>NR.0950-C</t>
  </si>
  <si>
    <t>Alejandro Flores</t>
  </si>
  <si>
    <t>NB1255P</t>
  </si>
  <si>
    <t>Santos Sotero</t>
  </si>
  <si>
    <t>Jorge Garcia</t>
  </si>
  <si>
    <t>11D-57-440</t>
  </si>
  <si>
    <t>Ramiro Hernandez</t>
  </si>
  <si>
    <t>11C-4281-J</t>
  </si>
  <si>
    <t>52BM3K</t>
  </si>
  <si>
    <t>Mauricio Hernandez</t>
  </si>
  <si>
    <t>Citlalli C.M</t>
  </si>
  <si>
    <t>Protocolo</t>
  </si>
  <si>
    <t>Marshall</t>
  </si>
  <si>
    <t>Cosum toluca</t>
  </si>
  <si>
    <t>mezcla asfaltica</t>
  </si>
  <si>
    <t>No.</t>
  </si>
  <si>
    <t>Cusum Huixquiluca</t>
  </si>
  <si>
    <t>Cusum Toluca</t>
  </si>
  <si>
    <t>CHUI</t>
  </si>
  <si>
    <t>CTOL</t>
  </si>
  <si>
    <t>Cusum Huixquilucan</t>
  </si>
  <si>
    <t>Kartodromo</t>
  </si>
  <si>
    <t>Base Hidraulica</t>
  </si>
  <si>
    <t>119AJ3</t>
  </si>
  <si>
    <t>Bernabe Gutierrez</t>
  </si>
  <si>
    <t>|</t>
  </si>
  <si>
    <t>sma</t>
  </si>
  <si>
    <t>02BG7J</t>
  </si>
  <si>
    <t>Cesar gutierrez</t>
  </si>
  <si>
    <t>70BH10</t>
  </si>
  <si>
    <t>Isac Lopez</t>
  </si>
  <si>
    <t>98BM8p</t>
  </si>
  <si>
    <t>NV17287</t>
  </si>
  <si>
    <t>Eduardo Gonzalez</t>
  </si>
  <si>
    <t>98BM8P</t>
  </si>
  <si>
    <t>HF50814</t>
  </si>
  <si>
    <t>Jose Angel</t>
  </si>
  <si>
    <t>LC45753</t>
  </si>
  <si>
    <t>73BGLU</t>
  </si>
  <si>
    <t>Ricardo Pedrazo</t>
  </si>
  <si>
    <t>17AN4C</t>
  </si>
  <si>
    <t>73BG1N</t>
  </si>
  <si>
    <t>120AJ3</t>
  </si>
  <si>
    <t>94AC57</t>
  </si>
  <si>
    <t>43BD6E</t>
  </si>
  <si>
    <t>Bernanbe Gutierrez</t>
  </si>
  <si>
    <t>Berbanbe Gutierrez</t>
  </si>
  <si>
    <t>14bG5W</t>
  </si>
  <si>
    <t>Sergio Valdez</t>
  </si>
  <si>
    <t>49BH9M</t>
  </si>
  <si>
    <t>Saul Gonzalez</t>
  </si>
  <si>
    <t>70BHLD</t>
  </si>
  <si>
    <t>487B2</t>
  </si>
  <si>
    <t>73BGlu</t>
  </si>
  <si>
    <t>487AP2</t>
  </si>
  <si>
    <t>NT8053E</t>
  </si>
  <si>
    <t>Miguel Flores</t>
  </si>
  <si>
    <t>98-BM8p</t>
  </si>
  <si>
    <t>KT2277a</t>
  </si>
  <si>
    <t>Antonio Muciño</t>
  </si>
  <si>
    <t>LB91303</t>
  </si>
  <si>
    <t>Jose Luis Mendez</t>
  </si>
  <si>
    <t>NB17287</t>
  </si>
  <si>
    <t>Edduardo Gonzalez</t>
  </si>
  <si>
    <t>LF41971</t>
  </si>
  <si>
    <t>Alejandro Diaz</t>
  </si>
  <si>
    <t>LT41971</t>
  </si>
  <si>
    <t>43BD6e</t>
  </si>
  <si>
    <t>94N5F</t>
  </si>
  <si>
    <t>H9AJ3</t>
  </si>
  <si>
    <t>14B65W</t>
  </si>
  <si>
    <t>DESPERDICIO</t>
  </si>
  <si>
    <t>Cesar Gutierrez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</si>
</sst>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°C&quot;"/>
    <numFmt numFmtId="165" formatCode="[$-F400]h:mm:ss\ AM/PM"/>
  </numFmts>
  <fonts count="8">
    <font>
      <sz val="11"/>
      <color theme="1"/>
      <name val="Calibri"/>
      <family val="2"/>
      <scheme val="minor"/>
    </font>
    <font>
      <b/>
      <sz val="14"/>
      <color rgb="FFFFFFFF"/>
      <name val="Carlito"/>
      <family val="2"/>
    </font>
    <font>
      <b/>
      <sz val="11"/>
      <color theme="1"/>
      <name val="Carlito"/>
      <family val="2"/>
    </font>
    <font>
      <sz val="11"/>
      <color theme="1"/>
      <name val="Carlito"/>
      <family val="2"/>
    </font>
    <font>
      <b/>
      <sz val="11"/>
      <color rgb="FFFFFFFF"/>
      <name val="Carlito"/>
      <family val="2"/>
    </font>
    <font>
      <b/>
      <sz val="11"/>
      <color rgb="FF006100"/>
      <name val="Carlito"/>
      <family val="2"/>
    </font>
    <font>
      <sz val="11"/>
      <color theme="1"/>
      <name val="Carlito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right" vertical="center"/>
    </xf>
    <xf numFmtId="3" fontId="3" fillId="3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5" fontId="0" fillId="0" borderId="0" xfId="0" applyNumberFormat="1"/>
    <xf numFmtId="165" fontId="4" fillId="2" borderId="2" xfId="0" applyNumberFormat="1" applyFont="1" applyFill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left"/>
    </xf>
    <xf numFmtId="165" fontId="3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3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0" fillId="5" borderId="0" xfId="0" applyFill="1"/>
    <xf numFmtId="14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0" fillId="6" borderId="0" xfId="0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"/>
  <sheetViews>
    <sheetView showGridLines="0" topLeftCell="I1" workbookViewId="0">
      <selection activeCell="S1" sqref="S1"/>
    </sheetView>
  </sheetViews>
  <sheetFormatPr baseColWidth="10" defaultColWidth="8.88671875" defaultRowHeight="14.4"/>
  <cols>
    <col min="1" max="1" width="13.6640625" customWidth="1"/>
    <col min="2" max="3" width="15.6640625" customWidth="1"/>
    <col min="4" max="5" width="18.6640625" customWidth="1"/>
    <col min="6" max="6" width="28.6640625" customWidth="1"/>
    <col min="7" max="9" width="15.6640625" customWidth="1"/>
    <col min="10" max="10" width="22.6640625" customWidth="1"/>
    <col min="11" max="13" width="16.6640625" customWidth="1"/>
    <col min="14" max="15" width="14.6640625" customWidth="1"/>
    <col min="16" max="18" width="25.6640625" customWidth="1"/>
  </cols>
  <sheetData>
    <row r="1" spans="1:18" ht="25.9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9.95" customHeight="1">
      <c r="A2" s="1" t="s">
        <v>1</v>
      </c>
      <c r="B2" s="2"/>
      <c r="D2" s="1" t="s">
        <v>2</v>
      </c>
      <c r="E2" s="2"/>
      <c r="G2" s="1" t="s">
        <v>3</v>
      </c>
      <c r="H2" s="2"/>
      <c r="K2" s="1" t="s">
        <v>4</v>
      </c>
      <c r="L2" s="2" t="s">
        <v>5</v>
      </c>
    </row>
    <row r="3" spans="1:18" ht="12" customHeight="1"/>
    <row r="4" spans="1:18" ht="28.05" customHeight="1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</row>
    <row r="5" spans="1:18">
      <c r="A5" s="4" t="s">
        <v>24</v>
      </c>
      <c r="B5" s="4" t="s">
        <v>25</v>
      </c>
      <c r="C5" s="4" t="s">
        <v>26</v>
      </c>
      <c r="D5" s="4" t="s">
        <v>27</v>
      </c>
      <c r="E5" s="5" t="s">
        <v>28</v>
      </c>
      <c r="F5" s="5" t="s">
        <v>29</v>
      </c>
      <c r="G5" s="4" t="s">
        <v>30</v>
      </c>
      <c r="H5" s="4" t="s">
        <v>31</v>
      </c>
      <c r="I5" s="4">
        <v>14</v>
      </c>
      <c r="J5" s="5" t="s">
        <v>32</v>
      </c>
      <c r="K5" s="6">
        <v>36120</v>
      </c>
      <c r="L5" s="6">
        <v>11290</v>
      </c>
      <c r="M5" s="7">
        <f t="shared" ref="M5:M36" si="0">K5-L5</f>
        <v>24830</v>
      </c>
      <c r="N5" s="4" t="s">
        <v>33</v>
      </c>
      <c r="O5" s="8">
        <v>185</v>
      </c>
      <c r="P5" s="4" t="s">
        <v>34</v>
      </c>
      <c r="Q5" s="4" t="s">
        <v>35</v>
      </c>
      <c r="R5" s="5" t="s">
        <v>36</v>
      </c>
    </row>
    <row r="6" spans="1:18">
      <c r="A6" s="4" t="s">
        <v>37</v>
      </c>
      <c r="B6" s="4" t="s">
        <v>38</v>
      </c>
      <c r="C6" s="4" t="s">
        <v>39</v>
      </c>
      <c r="D6" s="4" t="s">
        <v>27</v>
      </c>
      <c r="E6" s="5" t="s">
        <v>40</v>
      </c>
      <c r="F6" s="5" t="s">
        <v>41</v>
      </c>
      <c r="G6" s="4" t="s">
        <v>42</v>
      </c>
      <c r="H6" s="4" t="s">
        <v>31</v>
      </c>
      <c r="I6" s="4">
        <v>14</v>
      </c>
      <c r="J6" s="5" t="s">
        <v>43</v>
      </c>
      <c r="K6" s="6">
        <v>36120</v>
      </c>
      <c r="L6" s="6">
        <v>11290</v>
      </c>
      <c r="M6" s="7">
        <f t="shared" si="0"/>
        <v>24830</v>
      </c>
      <c r="N6" s="4" t="s">
        <v>44</v>
      </c>
      <c r="O6" s="8">
        <v>172</v>
      </c>
      <c r="P6" s="4" t="s">
        <v>34</v>
      </c>
      <c r="Q6" s="4" t="s">
        <v>35</v>
      </c>
      <c r="R6" s="5" t="s">
        <v>36</v>
      </c>
    </row>
    <row r="7" spans="1:18">
      <c r="A7" s="4"/>
      <c r="B7" s="4"/>
      <c r="C7" s="4"/>
      <c r="D7" s="4"/>
      <c r="E7" s="5"/>
      <c r="F7" s="5"/>
      <c r="G7" s="4"/>
      <c r="H7" s="4"/>
      <c r="I7" s="4"/>
      <c r="J7" s="5"/>
      <c r="K7" s="5"/>
      <c r="L7" s="5"/>
      <c r="M7" s="7">
        <f t="shared" si="0"/>
        <v>0</v>
      </c>
      <c r="N7" s="4"/>
      <c r="O7" s="4"/>
      <c r="P7" s="4"/>
      <c r="Q7" s="4"/>
      <c r="R7" s="5"/>
    </row>
    <row r="8" spans="1:18">
      <c r="A8" s="4"/>
      <c r="B8" s="4"/>
      <c r="C8" s="4"/>
      <c r="D8" s="4"/>
      <c r="E8" s="5"/>
      <c r="F8" s="5"/>
      <c r="G8" s="4"/>
      <c r="H8" s="4"/>
      <c r="I8" s="4"/>
      <c r="J8" s="5"/>
      <c r="K8" s="5"/>
      <c r="L8" s="5"/>
      <c r="M8" s="7">
        <f t="shared" si="0"/>
        <v>0</v>
      </c>
      <c r="N8" s="4"/>
      <c r="O8" s="4"/>
      <c r="P8" s="4"/>
      <c r="Q8" s="4"/>
      <c r="R8" s="5"/>
    </row>
    <row r="9" spans="1:18">
      <c r="A9" s="4"/>
      <c r="B9" s="4"/>
      <c r="C9" s="4"/>
      <c r="D9" s="4"/>
      <c r="E9" s="5"/>
      <c r="F9" s="5"/>
      <c r="G9" s="4"/>
      <c r="H9" s="4"/>
      <c r="I9" s="4"/>
      <c r="J9" s="5"/>
      <c r="K9" s="5"/>
      <c r="L9" s="5"/>
      <c r="M9" s="7">
        <f t="shared" si="0"/>
        <v>0</v>
      </c>
      <c r="N9" s="4"/>
      <c r="O9" s="4"/>
      <c r="P9" s="4"/>
      <c r="Q9" s="4"/>
      <c r="R9" s="5"/>
    </row>
    <row r="10" spans="1:18">
      <c r="A10" s="4"/>
      <c r="B10" s="4"/>
      <c r="C10" s="4"/>
      <c r="D10" s="4"/>
      <c r="E10" s="5"/>
      <c r="F10" s="5"/>
      <c r="G10" s="4"/>
      <c r="H10" s="4"/>
      <c r="I10" s="4"/>
      <c r="J10" s="5"/>
      <c r="K10" s="5"/>
      <c r="L10" s="5"/>
      <c r="M10" s="7">
        <f t="shared" si="0"/>
        <v>0</v>
      </c>
      <c r="N10" s="4"/>
      <c r="O10" s="4"/>
      <c r="P10" s="4"/>
      <c r="Q10" s="4"/>
      <c r="R10" s="5"/>
    </row>
    <row r="11" spans="1:18">
      <c r="A11" s="4"/>
      <c r="B11" s="4"/>
      <c r="C11" s="4"/>
      <c r="D11" s="4"/>
      <c r="E11" s="5"/>
      <c r="F11" s="5"/>
      <c r="G11" s="4"/>
      <c r="H11" s="4"/>
      <c r="I11" s="4"/>
      <c r="J11" s="5"/>
      <c r="K11" s="5"/>
      <c r="L11" s="5"/>
      <c r="M11" s="7">
        <f t="shared" si="0"/>
        <v>0</v>
      </c>
      <c r="N11" s="4"/>
      <c r="O11" s="4"/>
      <c r="P11" s="4"/>
      <c r="Q11" s="4"/>
      <c r="R11" s="5"/>
    </row>
    <row r="12" spans="1:18">
      <c r="A12" s="4"/>
      <c r="B12" s="4"/>
      <c r="C12" s="4"/>
      <c r="D12" s="4"/>
      <c r="E12" s="5"/>
      <c r="F12" s="5"/>
      <c r="G12" s="4"/>
      <c r="H12" s="4"/>
      <c r="I12" s="4"/>
      <c r="J12" s="5"/>
      <c r="K12" s="5"/>
      <c r="L12" s="5"/>
      <c r="M12" s="7">
        <f t="shared" si="0"/>
        <v>0</v>
      </c>
      <c r="N12" s="4"/>
      <c r="O12" s="4"/>
      <c r="P12" s="4"/>
      <c r="Q12" s="4"/>
      <c r="R12" s="5"/>
    </row>
    <row r="13" spans="1:18">
      <c r="A13" s="4"/>
      <c r="B13" s="4"/>
      <c r="C13" s="4"/>
      <c r="D13" s="4"/>
      <c r="E13" s="5"/>
      <c r="F13" s="5"/>
      <c r="G13" s="4"/>
      <c r="H13" s="4"/>
      <c r="I13" s="4"/>
      <c r="J13" s="5"/>
      <c r="K13" s="5"/>
      <c r="L13" s="5"/>
      <c r="M13" s="7">
        <f t="shared" si="0"/>
        <v>0</v>
      </c>
      <c r="N13" s="4"/>
      <c r="O13" s="4"/>
      <c r="P13" s="4"/>
      <c r="Q13" s="4"/>
      <c r="R13" s="5"/>
    </row>
    <row r="14" spans="1:18">
      <c r="A14" s="4"/>
      <c r="B14" s="4"/>
      <c r="C14" s="4"/>
      <c r="D14" s="4"/>
      <c r="E14" s="5"/>
      <c r="F14" s="5"/>
      <c r="G14" s="4"/>
      <c r="H14" s="4"/>
      <c r="I14" s="4"/>
      <c r="J14" s="5"/>
      <c r="K14" s="5"/>
      <c r="L14" s="5"/>
      <c r="M14" s="7">
        <f t="shared" si="0"/>
        <v>0</v>
      </c>
      <c r="N14" s="4"/>
      <c r="O14" s="4"/>
      <c r="P14" s="4"/>
      <c r="Q14" s="4"/>
      <c r="R14" s="5"/>
    </row>
    <row r="15" spans="1:18">
      <c r="A15" s="4"/>
      <c r="B15" s="4"/>
      <c r="C15" s="4"/>
      <c r="D15" s="4"/>
      <c r="E15" s="5"/>
      <c r="F15" s="5"/>
      <c r="G15" s="4"/>
      <c r="H15" s="4"/>
      <c r="I15" s="4"/>
      <c r="J15" s="5"/>
      <c r="K15" s="5"/>
      <c r="L15" s="5"/>
      <c r="M15" s="7">
        <f t="shared" si="0"/>
        <v>0</v>
      </c>
      <c r="N15" s="4"/>
      <c r="O15" s="4"/>
      <c r="P15" s="4"/>
      <c r="Q15" s="4"/>
      <c r="R15" s="5"/>
    </row>
    <row r="16" spans="1:18">
      <c r="A16" s="4"/>
      <c r="B16" s="4"/>
      <c r="C16" s="4"/>
      <c r="D16" s="4"/>
      <c r="E16" s="5"/>
      <c r="F16" s="5"/>
      <c r="G16" s="4"/>
      <c r="H16" s="4"/>
      <c r="I16" s="4"/>
      <c r="J16" s="5"/>
      <c r="K16" s="5"/>
      <c r="L16" s="5"/>
      <c r="M16" s="7">
        <f t="shared" si="0"/>
        <v>0</v>
      </c>
      <c r="N16" s="4"/>
      <c r="O16" s="4"/>
      <c r="P16" s="4"/>
      <c r="Q16" s="4"/>
      <c r="R16" s="5"/>
    </row>
    <row r="17" spans="1:18">
      <c r="A17" s="4"/>
      <c r="B17" s="4"/>
      <c r="C17" s="4"/>
      <c r="D17" s="4"/>
      <c r="E17" s="5"/>
      <c r="F17" s="5"/>
      <c r="G17" s="4"/>
      <c r="H17" s="4"/>
      <c r="I17" s="4"/>
      <c r="J17" s="5"/>
      <c r="K17" s="5"/>
      <c r="L17" s="5"/>
      <c r="M17" s="7">
        <f t="shared" si="0"/>
        <v>0</v>
      </c>
      <c r="N17" s="4"/>
      <c r="O17" s="4"/>
      <c r="P17" s="4"/>
      <c r="Q17" s="4"/>
      <c r="R17" s="5"/>
    </row>
    <row r="18" spans="1:18">
      <c r="A18" s="4"/>
      <c r="B18" s="4"/>
      <c r="C18" s="4"/>
      <c r="D18" s="4"/>
      <c r="E18" s="5"/>
      <c r="F18" s="5"/>
      <c r="G18" s="4"/>
      <c r="H18" s="4"/>
      <c r="I18" s="4"/>
      <c r="J18" s="5"/>
      <c r="K18" s="5"/>
      <c r="L18" s="5"/>
      <c r="M18" s="7">
        <f t="shared" si="0"/>
        <v>0</v>
      </c>
      <c r="N18" s="4"/>
      <c r="O18" s="4"/>
      <c r="P18" s="4"/>
      <c r="Q18" s="4"/>
      <c r="R18" s="5"/>
    </row>
    <row r="19" spans="1:18">
      <c r="A19" s="4"/>
      <c r="B19" s="4"/>
      <c r="C19" s="4"/>
      <c r="D19" s="4"/>
      <c r="E19" s="5"/>
      <c r="F19" s="5"/>
      <c r="G19" s="4"/>
      <c r="H19" s="4"/>
      <c r="I19" s="4"/>
      <c r="J19" s="5"/>
      <c r="K19" s="5"/>
      <c r="L19" s="5"/>
      <c r="M19" s="7">
        <f t="shared" si="0"/>
        <v>0</v>
      </c>
      <c r="N19" s="4"/>
      <c r="O19" s="4"/>
      <c r="P19" s="4"/>
      <c r="Q19" s="4"/>
      <c r="R19" s="5"/>
    </row>
    <row r="20" spans="1:18">
      <c r="A20" s="4"/>
      <c r="B20" s="4"/>
      <c r="C20" s="4"/>
      <c r="D20" s="4"/>
      <c r="E20" s="5"/>
      <c r="F20" s="5"/>
      <c r="G20" s="4"/>
      <c r="H20" s="4"/>
      <c r="I20" s="4"/>
      <c r="J20" s="5"/>
      <c r="K20" s="5"/>
      <c r="L20" s="5"/>
      <c r="M20" s="7">
        <f t="shared" si="0"/>
        <v>0</v>
      </c>
      <c r="N20" s="4"/>
      <c r="O20" s="4"/>
      <c r="P20" s="4"/>
      <c r="Q20" s="4"/>
      <c r="R20" s="5"/>
    </row>
    <row r="21" spans="1:18">
      <c r="A21" s="4"/>
      <c r="B21" s="4"/>
      <c r="C21" s="4"/>
      <c r="D21" s="4"/>
      <c r="E21" s="5"/>
      <c r="F21" s="5"/>
      <c r="G21" s="4"/>
      <c r="H21" s="4"/>
      <c r="I21" s="4"/>
      <c r="J21" s="5"/>
      <c r="K21" s="5"/>
      <c r="L21" s="5"/>
      <c r="M21" s="7">
        <f t="shared" si="0"/>
        <v>0</v>
      </c>
      <c r="N21" s="4"/>
      <c r="O21" s="4"/>
      <c r="P21" s="4"/>
      <c r="Q21" s="4"/>
      <c r="R21" s="5"/>
    </row>
    <row r="22" spans="1:18">
      <c r="A22" s="4"/>
      <c r="B22" s="4"/>
      <c r="C22" s="4"/>
      <c r="D22" s="4"/>
      <c r="E22" s="5"/>
      <c r="F22" s="5"/>
      <c r="G22" s="4"/>
      <c r="H22" s="4"/>
      <c r="I22" s="4"/>
      <c r="J22" s="5"/>
      <c r="K22" s="5"/>
      <c r="L22" s="5"/>
      <c r="M22" s="7">
        <f t="shared" si="0"/>
        <v>0</v>
      </c>
      <c r="N22" s="4"/>
      <c r="O22" s="4"/>
      <c r="P22" s="4"/>
      <c r="Q22" s="4"/>
      <c r="R22" s="5"/>
    </row>
    <row r="23" spans="1:18">
      <c r="A23" s="4"/>
      <c r="B23" s="4"/>
      <c r="C23" s="4"/>
      <c r="D23" s="4"/>
      <c r="E23" s="5"/>
      <c r="F23" s="5"/>
      <c r="G23" s="4"/>
      <c r="H23" s="4"/>
      <c r="I23" s="4"/>
      <c r="J23" s="5"/>
      <c r="K23" s="5"/>
      <c r="L23" s="5"/>
      <c r="M23" s="7">
        <f t="shared" si="0"/>
        <v>0</v>
      </c>
      <c r="N23" s="4"/>
      <c r="O23" s="4"/>
      <c r="P23" s="4"/>
      <c r="Q23" s="4"/>
      <c r="R23" s="5"/>
    </row>
    <row r="24" spans="1:18">
      <c r="A24" s="4"/>
      <c r="B24" s="4"/>
      <c r="C24" s="4"/>
      <c r="D24" s="4"/>
      <c r="E24" s="5"/>
      <c r="F24" s="5"/>
      <c r="G24" s="4"/>
      <c r="H24" s="4"/>
      <c r="I24" s="4"/>
      <c r="J24" s="5"/>
      <c r="K24" s="5"/>
      <c r="L24" s="5"/>
      <c r="M24" s="7">
        <f t="shared" si="0"/>
        <v>0</v>
      </c>
      <c r="N24" s="4"/>
      <c r="O24" s="4"/>
      <c r="P24" s="4"/>
      <c r="Q24" s="4"/>
      <c r="R24" s="5"/>
    </row>
    <row r="25" spans="1:18">
      <c r="A25" s="4"/>
      <c r="B25" s="4"/>
      <c r="C25" s="4"/>
      <c r="D25" s="4"/>
      <c r="E25" s="5"/>
      <c r="F25" s="5"/>
      <c r="G25" s="4"/>
      <c r="H25" s="4"/>
      <c r="I25" s="4"/>
      <c r="J25" s="5"/>
      <c r="K25" s="5"/>
      <c r="L25" s="5"/>
      <c r="M25" s="7">
        <f t="shared" si="0"/>
        <v>0</v>
      </c>
      <c r="N25" s="4"/>
      <c r="O25" s="4"/>
      <c r="P25" s="4"/>
      <c r="Q25" s="4"/>
      <c r="R25" s="5"/>
    </row>
    <row r="26" spans="1:18">
      <c r="A26" s="4"/>
      <c r="B26" s="4"/>
      <c r="C26" s="4"/>
      <c r="D26" s="4"/>
      <c r="E26" s="5"/>
      <c r="F26" s="5"/>
      <c r="G26" s="4"/>
      <c r="H26" s="4"/>
      <c r="I26" s="4"/>
      <c r="J26" s="5"/>
      <c r="K26" s="5"/>
      <c r="L26" s="5"/>
      <c r="M26" s="7">
        <f t="shared" si="0"/>
        <v>0</v>
      </c>
      <c r="N26" s="4"/>
      <c r="O26" s="4"/>
      <c r="P26" s="4"/>
      <c r="Q26" s="4"/>
      <c r="R26" s="5"/>
    </row>
    <row r="27" spans="1:18">
      <c r="A27" s="4"/>
      <c r="B27" s="4"/>
      <c r="C27" s="4"/>
      <c r="D27" s="4"/>
      <c r="E27" s="5"/>
      <c r="F27" s="5"/>
      <c r="G27" s="4"/>
      <c r="H27" s="4"/>
      <c r="I27" s="4"/>
      <c r="J27" s="5"/>
      <c r="K27" s="5"/>
      <c r="L27" s="5"/>
      <c r="M27" s="7">
        <f t="shared" si="0"/>
        <v>0</v>
      </c>
      <c r="N27" s="4"/>
      <c r="O27" s="4"/>
      <c r="P27" s="4"/>
      <c r="Q27" s="4"/>
      <c r="R27" s="5"/>
    </row>
    <row r="28" spans="1:18">
      <c r="A28" s="4"/>
      <c r="B28" s="4"/>
      <c r="C28" s="4"/>
      <c r="D28" s="4"/>
      <c r="E28" s="5"/>
      <c r="F28" s="5"/>
      <c r="G28" s="4"/>
      <c r="H28" s="4"/>
      <c r="I28" s="4"/>
      <c r="J28" s="5"/>
      <c r="K28" s="5"/>
      <c r="L28" s="5"/>
      <c r="M28" s="7">
        <f t="shared" si="0"/>
        <v>0</v>
      </c>
      <c r="N28" s="4"/>
      <c r="O28" s="4"/>
      <c r="P28" s="4"/>
      <c r="Q28" s="4"/>
      <c r="R28" s="5"/>
    </row>
    <row r="29" spans="1:18">
      <c r="A29" s="4"/>
      <c r="B29" s="4"/>
      <c r="C29" s="4"/>
      <c r="D29" s="4"/>
      <c r="E29" s="5"/>
      <c r="F29" s="5"/>
      <c r="G29" s="4"/>
      <c r="H29" s="4"/>
      <c r="I29" s="4"/>
      <c r="J29" s="5"/>
      <c r="K29" s="5"/>
      <c r="L29" s="5"/>
      <c r="M29" s="7">
        <f t="shared" si="0"/>
        <v>0</v>
      </c>
      <c r="N29" s="4"/>
      <c r="O29" s="4"/>
      <c r="P29" s="4"/>
      <c r="Q29" s="4"/>
      <c r="R29" s="5"/>
    </row>
    <row r="30" spans="1:18">
      <c r="A30" s="4"/>
      <c r="B30" s="4"/>
      <c r="C30" s="4"/>
      <c r="D30" s="4"/>
      <c r="E30" s="5"/>
      <c r="F30" s="5"/>
      <c r="G30" s="4"/>
      <c r="H30" s="4"/>
      <c r="I30" s="4"/>
      <c r="J30" s="5"/>
      <c r="K30" s="5"/>
      <c r="L30" s="5"/>
      <c r="M30" s="7">
        <f t="shared" si="0"/>
        <v>0</v>
      </c>
      <c r="N30" s="4"/>
      <c r="O30" s="4"/>
      <c r="P30" s="4"/>
      <c r="Q30" s="4"/>
      <c r="R30" s="5"/>
    </row>
    <row r="31" spans="1:18">
      <c r="A31" s="4"/>
      <c r="B31" s="4"/>
      <c r="C31" s="4"/>
      <c r="D31" s="4"/>
      <c r="E31" s="5"/>
      <c r="F31" s="5"/>
      <c r="G31" s="4"/>
      <c r="H31" s="4"/>
      <c r="I31" s="4"/>
      <c r="J31" s="5"/>
      <c r="K31" s="5"/>
      <c r="L31" s="5"/>
      <c r="M31" s="7">
        <f t="shared" si="0"/>
        <v>0</v>
      </c>
      <c r="N31" s="4"/>
      <c r="O31" s="4"/>
      <c r="P31" s="4"/>
      <c r="Q31" s="4"/>
      <c r="R31" s="5"/>
    </row>
    <row r="32" spans="1:18">
      <c r="A32" s="4"/>
      <c r="B32" s="4"/>
      <c r="C32" s="4"/>
      <c r="D32" s="4"/>
      <c r="E32" s="5"/>
      <c r="F32" s="5"/>
      <c r="G32" s="4"/>
      <c r="H32" s="4"/>
      <c r="I32" s="4"/>
      <c r="J32" s="5"/>
      <c r="K32" s="5"/>
      <c r="L32" s="5"/>
      <c r="M32" s="7">
        <f t="shared" si="0"/>
        <v>0</v>
      </c>
      <c r="N32" s="4"/>
      <c r="O32" s="4"/>
      <c r="P32" s="4"/>
      <c r="Q32" s="4"/>
      <c r="R32" s="5"/>
    </row>
    <row r="33" spans="1:18">
      <c r="A33" s="4"/>
      <c r="B33" s="4"/>
      <c r="C33" s="4"/>
      <c r="D33" s="4"/>
      <c r="E33" s="5"/>
      <c r="F33" s="5"/>
      <c r="G33" s="4"/>
      <c r="H33" s="4"/>
      <c r="I33" s="4"/>
      <c r="J33" s="5"/>
      <c r="K33" s="5"/>
      <c r="L33" s="5"/>
      <c r="M33" s="7">
        <f t="shared" si="0"/>
        <v>0</v>
      </c>
      <c r="N33" s="4"/>
      <c r="O33" s="4"/>
      <c r="P33" s="4"/>
      <c r="Q33" s="4"/>
      <c r="R33" s="5"/>
    </row>
    <row r="34" spans="1:18">
      <c r="A34" s="4"/>
      <c r="B34" s="4"/>
      <c r="C34" s="4"/>
      <c r="D34" s="4"/>
      <c r="E34" s="5"/>
      <c r="F34" s="5"/>
      <c r="G34" s="4"/>
      <c r="H34" s="4"/>
      <c r="I34" s="4"/>
      <c r="J34" s="5"/>
      <c r="K34" s="5"/>
      <c r="L34" s="5"/>
      <c r="M34" s="7">
        <f t="shared" si="0"/>
        <v>0</v>
      </c>
      <c r="N34" s="4"/>
      <c r="O34" s="4"/>
      <c r="P34" s="4"/>
      <c r="Q34" s="4"/>
      <c r="R34" s="5"/>
    </row>
    <row r="35" spans="1:18">
      <c r="A35" s="4"/>
      <c r="B35" s="4"/>
      <c r="C35" s="4"/>
      <c r="D35" s="4"/>
      <c r="E35" s="5"/>
      <c r="F35" s="5"/>
      <c r="G35" s="4"/>
      <c r="H35" s="4"/>
      <c r="I35" s="4"/>
      <c r="J35" s="5"/>
      <c r="K35" s="5"/>
      <c r="L35" s="5"/>
      <c r="M35" s="7">
        <f t="shared" si="0"/>
        <v>0</v>
      </c>
      <c r="N35" s="4"/>
      <c r="O35" s="4"/>
      <c r="P35" s="4"/>
      <c r="Q35" s="4"/>
      <c r="R35" s="5"/>
    </row>
    <row r="36" spans="1:18">
      <c r="A36" s="4"/>
      <c r="B36" s="4"/>
      <c r="C36" s="4"/>
      <c r="D36" s="4"/>
      <c r="E36" s="5"/>
      <c r="F36" s="5"/>
      <c r="G36" s="4"/>
      <c r="H36" s="4"/>
      <c r="I36" s="4"/>
      <c r="J36" s="5"/>
      <c r="K36" s="5"/>
      <c r="L36" s="5"/>
      <c r="M36" s="7">
        <f t="shared" si="0"/>
        <v>0</v>
      </c>
      <c r="N36" s="4"/>
      <c r="O36" s="4"/>
      <c r="P36" s="4"/>
      <c r="Q36" s="4"/>
      <c r="R36" s="5"/>
    </row>
    <row r="37" spans="1:18">
      <c r="A37" s="4"/>
      <c r="B37" s="4"/>
      <c r="C37" s="4"/>
      <c r="D37" s="4"/>
      <c r="E37" s="5"/>
      <c r="F37" s="5"/>
      <c r="G37" s="4"/>
      <c r="H37" s="4"/>
      <c r="I37" s="4"/>
      <c r="J37" s="5"/>
      <c r="K37" s="5"/>
      <c r="L37" s="5"/>
      <c r="M37" s="7">
        <f t="shared" ref="M37:M68" si="1">K37-L37</f>
        <v>0</v>
      </c>
      <c r="N37" s="4"/>
      <c r="O37" s="4"/>
      <c r="P37" s="4"/>
      <c r="Q37" s="4"/>
      <c r="R37" s="5"/>
    </row>
    <row r="38" spans="1:18">
      <c r="A38" s="4"/>
      <c r="B38" s="4"/>
      <c r="C38" s="4"/>
      <c r="D38" s="4"/>
      <c r="E38" s="5"/>
      <c r="F38" s="5"/>
      <c r="G38" s="4"/>
      <c r="H38" s="4"/>
      <c r="I38" s="4"/>
      <c r="J38" s="5"/>
      <c r="K38" s="5"/>
      <c r="L38" s="5"/>
      <c r="M38" s="7">
        <f t="shared" si="1"/>
        <v>0</v>
      </c>
      <c r="N38" s="4"/>
      <c r="O38" s="4"/>
      <c r="P38" s="4"/>
      <c r="Q38" s="4"/>
      <c r="R38" s="5"/>
    </row>
    <row r="39" spans="1:18">
      <c r="A39" s="4"/>
      <c r="B39" s="4"/>
      <c r="C39" s="4"/>
      <c r="D39" s="4"/>
      <c r="E39" s="5"/>
      <c r="F39" s="5"/>
      <c r="G39" s="4"/>
      <c r="H39" s="4"/>
      <c r="I39" s="4"/>
      <c r="J39" s="5"/>
      <c r="K39" s="5"/>
      <c r="L39" s="5"/>
      <c r="M39" s="7">
        <f t="shared" si="1"/>
        <v>0</v>
      </c>
      <c r="N39" s="4"/>
      <c r="O39" s="4"/>
      <c r="P39" s="4"/>
      <c r="Q39" s="4"/>
      <c r="R39" s="5"/>
    </row>
    <row r="40" spans="1:18">
      <c r="A40" s="4"/>
      <c r="B40" s="4"/>
      <c r="C40" s="4"/>
      <c r="D40" s="4"/>
      <c r="E40" s="5"/>
      <c r="F40" s="5"/>
      <c r="G40" s="4"/>
      <c r="H40" s="4"/>
      <c r="I40" s="4"/>
      <c r="J40" s="5"/>
      <c r="K40" s="5"/>
      <c r="L40" s="5"/>
      <c r="M40" s="7">
        <f t="shared" si="1"/>
        <v>0</v>
      </c>
      <c r="N40" s="4"/>
      <c r="O40" s="4"/>
      <c r="P40" s="4"/>
      <c r="Q40" s="4"/>
      <c r="R40" s="5"/>
    </row>
    <row r="41" spans="1:18">
      <c r="A41" s="4"/>
      <c r="B41" s="4"/>
      <c r="C41" s="4"/>
      <c r="D41" s="4"/>
      <c r="E41" s="5"/>
      <c r="F41" s="5"/>
      <c r="G41" s="4"/>
      <c r="H41" s="4"/>
      <c r="I41" s="4"/>
      <c r="J41" s="5"/>
      <c r="K41" s="5"/>
      <c r="L41" s="5"/>
      <c r="M41" s="7">
        <f t="shared" si="1"/>
        <v>0</v>
      </c>
      <c r="N41" s="4"/>
      <c r="O41" s="4"/>
      <c r="P41" s="4"/>
      <c r="Q41" s="4"/>
      <c r="R41" s="5"/>
    </row>
    <row r="42" spans="1:18">
      <c r="A42" s="4"/>
      <c r="B42" s="4"/>
      <c r="C42" s="4"/>
      <c r="D42" s="4"/>
      <c r="E42" s="5"/>
      <c r="F42" s="5"/>
      <c r="G42" s="4"/>
      <c r="H42" s="4"/>
      <c r="I42" s="4"/>
      <c r="J42" s="5"/>
      <c r="K42" s="5"/>
      <c r="L42" s="5"/>
      <c r="M42" s="7">
        <f t="shared" si="1"/>
        <v>0</v>
      </c>
      <c r="N42" s="4"/>
      <c r="O42" s="4"/>
      <c r="P42" s="4"/>
      <c r="Q42" s="4"/>
      <c r="R42" s="5"/>
    </row>
    <row r="43" spans="1:18">
      <c r="A43" s="4"/>
      <c r="B43" s="4"/>
      <c r="C43" s="4"/>
      <c r="D43" s="4"/>
      <c r="E43" s="5"/>
      <c r="F43" s="5"/>
      <c r="G43" s="4"/>
      <c r="H43" s="4"/>
      <c r="I43" s="4"/>
      <c r="J43" s="5"/>
      <c r="K43" s="5"/>
      <c r="L43" s="5"/>
      <c r="M43" s="7">
        <f t="shared" si="1"/>
        <v>0</v>
      </c>
      <c r="N43" s="4"/>
      <c r="O43" s="4"/>
      <c r="P43" s="4"/>
      <c r="Q43" s="4"/>
      <c r="R43" s="5"/>
    </row>
    <row r="44" spans="1:18">
      <c r="A44" s="4"/>
      <c r="B44" s="4"/>
      <c r="C44" s="4"/>
      <c r="D44" s="4"/>
      <c r="E44" s="5"/>
      <c r="F44" s="5"/>
      <c r="G44" s="4"/>
      <c r="H44" s="4"/>
      <c r="I44" s="4"/>
      <c r="J44" s="5"/>
      <c r="K44" s="5"/>
      <c r="L44" s="5"/>
      <c r="M44" s="7">
        <f t="shared" si="1"/>
        <v>0</v>
      </c>
      <c r="N44" s="4"/>
      <c r="O44" s="4"/>
      <c r="P44" s="4"/>
      <c r="Q44" s="4"/>
      <c r="R44" s="5"/>
    </row>
    <row r="45" spans="1:18">
      <c r="A45" s="4"/>
      <c r="B45" s="4"/>
      <c r="C45" s="4"/>
      <c r="D45" s="4"/>
      <c r="E45" s="5"/>
      <c r="F45" s="5"/>
      <c r="G45" s="4"/>
      <c r="H45" s="4"/>
      <c r="I45" s="4"/>
      <c r="J45" s="5"/>
      <c r="K45" s="5"/>
      <c r="L45" s="5"/>
      <c r="M45" s="7">
        <f t="shared" si="1"/>
        <v>0</v>
      </c>
      <c r="N45" s="4"/>
      <c r="O45" s="4"/>
      <c r="P45" s="4"/>
      <c r="Q45" s="4"/>
      <c r="R45" s="5"/>
    </row>
    <row r="46" spans="1:18">
      <c r="A46" s="4"/>
      <c r="B46" s="4"/>
      <c r="C46" s="4"/>
      <c r="D46" s="4"/>
      <c r="E46" s="5"/>
      <c r="F46" s="5"/>
      <c r="G46" s="4"/>
      <c r="H46" s="4"/>
      <c r="I46" s="4"/>
      <c r="J46" s="5"/>
      <c r="K46" s="5"/>
      <c r="L46" s="5"/>
      <c r="M46" s="7">
        <f t="shared" si="1"/>
        <v>0</v>
      </c>
      <c r="N46" s="4"/>
      <c r="O46" s="4"/>
      <c r="P46" s="4"/>
      <c r="Q46" s="4"/>
      <c r="R46" s="5"/>
    </row>
    <row r="47" spans="1:18">
      <c r="A47" s="4"/>
      <c r="B47" s="4"/>
      <c r="C47" s="4"/>
      <c r="D47" s="4"/>
      <c r="E47" s="5"/>
      <c r="F47" s="5"/>
      <c r="G47" s="4"/>
      <c r="H47" s="4"/>
      <c r="I47" s="4"/>
      <c r="J47" s="5"/>
      <c r="K47" s="5"/>
      <c r="L47" s="5"/>
      <c r="M47" s="7">
        <f t="shared" si="1"/>
        <v>0</v>
      </c>
      <c r="N47" s="4"/>
      <c r="O47" s="4"/>
      <c r="P47" s="4"/>
      <c r="Q47" s="4"/>
      <c r="R47" s="5"/>
    </row>
    <row r="48" spans="1:18">
      <c r="A48" s="4"/>
      <c r="B48" s="4"/>
      <c r="C48" s="4"/>
      <c r="D48" s="4"/>
      <c r="E48" s="5"/>
      <c r="F48" s="5"/>
      <c r="G48" s="4"/>
      <c r="H48" s="4"/>
      <c r="I48" s="4"/>
      <c r="J48" s="5"/>
      <c r="K48" s="5"/>
      <c r="L48" s="5"/>
      <c r="M48" s="7">
        <f t="shared" si="1"/>
        <v>0</v>
      </c>
      <c r="N48" s="4"/>
      <c r="O48" s="4"/>
      <c r="P48" s="4"/>
      <c r="Q48" s="4"/>
      <c r="R48" s="5"/>
    </row>
    <row r="49" spans="1:18">
      <c r="A49" s="4"/>
      <c r="B49" s="4"/>
      <c r="C49" s="4"/>
      <c r="D49" s="4"/>
      <c r="E49" s="5"/>
      <c r="F49" s="5"/>
      <c r="G49" s="4"/>
      <c r="H49" s="4"/>
      <c r="I49" s="4"/>
      <c r="J49" s="5"/>
      <c r="K49" s="5"/>
      <c r="L49" s="5"/>
      <c r="M49" s="7">
        <f t="shared" si="1"/>
        <v>0</v>
      </c>
      <c r="N49" s="4"/>
      <c r="O49" s="4"/>
      <c r="P49" s="4"/>
      <c r="Q49" s="4"/>
      <c r="R49" s="5"/>
    </row>
    <row r="50" spans="1:18">
      <c r="A50" s="4"/>
      <c r="B50" s="4"/>
      <c r="C50" s="4"/>
      <c r="D50" s="4"/>
      <c r="E50" s="5"/>
      <c r="F50" s="5"/>
      <c r="G50" s="4"/>
      <c r="H50" s="4"/>
      <c r="I50" s="4"/>
      <c r="J50" s="5"/>
      <c r="K50" s="5"/>
      <c r="L50" s="5"/>
      <c r="M50" s="7">
        <f t="shared" si="1"/>
        <v>0</v>
      </c>
      <c r="N50" s="4"/>
      <c r="O50" s="4"/>
      <c r="P50" s="4"/>
      <c r="Q50" s="4"/>
      <c r="R50" s="5"/>
    </row>
    <row r="51" spans="1:18">
      <c r="A51" s="4"/>
      <c r="B51" s="4"/>
      <c r="C51" s="4"/>
      <c r="D51" s="4"/>
      <c r="E51" s="5"/>
      <c r="F51" s="5"/>
      <c r="G51" s="4"/>
      <c r="H51" s="4"/>
      <c r="I51" s="4"/>
      <c r="J51" s="5"/>
      <c r="K51" s="5"/>
      <c r="L51" s="5"/>
      <c r="M51" s="7">
        <f t="shared" si="1"/>
        <v>0</v>
      </c>
      <c r="N51" s="4"/>
      <c r="O51" s="4"/>
      <c r="P51" s="4"/>
      <c r="Q51" s="4"/>
      <c r="R51" s="5"/>
    </row>
    <row r="52" spans="1:18">
      <c r="A52" s="4"/>
      <c r="B52" s="4"/>
      <c r="C52" s="4"/>
      <c r="D52" s="4"/>
      <c r="E52" s="5"/>
      <c r="F52" s="5"/>
      <c r="G52" s="4"/>
      <c r="H52" s="4"/>
      <c r="I52" s="4"/>
      <c r="J52" s="5"/>
      <c r="K52" s="5"/>
      <c r="L52" s="5"/>
      <c r="M52" s="7">
        <f t="shared" si="1"/>
        <v>0</v>
      </c>
      <c r="N52" s="4"/>
      <c r="O52" s="4"/>
      <c r="P52" s="4"/>
      <c r="Q52" s="4"/>
      <c r="R52" s="5"/>
    </row>
    <row r="53" spans="1:18">
      <c r="A53" s="4"/>
      <c r="B53" s="4"/>
      <c r="C53" s="4"/>
      <c r="D53" s="4"/>
      <c r="E53" s="5"/>
      <c r="F53" s="5"/>
      <c r="G53" s="4"/>
      <c r="H53" s="4"/>
      <c r="I53" s="4"/>
      <c r="J53" s="5"/>
      <c r="K53" s="5"/>
      <c r="L53" s="5"/>
      <c r="M53" s="7">
        <f t="shared" si="1"/>
        <v>0</v>
      </c>
      <c r="N53" s="4"/>
      <c r="O53" s="4"/>
      <c r="P53" s="4"/>
      <c r="Q53" s="4"/>
      <c r="R53" s="5"/>
    </row>
    <row r="54" spans="1:18">
      <c r="A54" s="4"/>
      <c r="B54" s="4"/>
      <c r="C54" s="4"/>
      <c r="D54" s="4"/>
      <c r="E54" s="5"/>
      <c r="F54" s="5"/>
      <c r="G54" s="4"/>
      <c r="H54" s="4"/>
      <c r="I54" s="4"/>
      <c r="J54" s="5"/>
      <c r="K54" s="5"/>
      <c r="L54" s="5"/>
      <c r="M54" s="7">
        <f t="shared" si="1"/>
        <v>0</v>
      </c>
      <c r="N54" s="4"/>
      <c r="O54" s="4"/>
      <c r="P54" s="4"/>
      <c r="Q54" s="4"/>
      <c r="R54" s="5"/>
    </row>
    <row r="55" spans="1:18">
      <c r="A55" s="4"/>
      <c r="B55" s="4"/>
      <c r="C55" s="4"/>
      <c r="D55" s="4"/>
      <c r="E55" s="5"/>
      <c r="F55" s="5"/>
      <c r="G55" s="4"/>
      <c r="H55" s="4"/>
      <c r="I55" s="4"/>
      <c r="J55" s="5"/>
      <c r="K55" s="5"/>
      <c r="L55" s="5"/>
      <c r="M55" s="7">
        <f t="shared" si="1"/>
        <v>0</v>
      </c>
      <c r="N55" s="4"/>
      <c r="O55" s="4"/>
      <c r="P55" s="4"/>
      <c r="Q55" s="4"/>
      <c r="R55" s="5"/>
    </row>
    <row r="56" spans="1:18">
      <c r="A56" s="4"/>
      <c r="B56" s="4"/>
      <c r="C56" s="4"/>
      <c r="D56" s="4"/>
      <c r="E56" s="5"/>
      <c r="F56" s="5"/>
      <c r="G56" s="4"/>
      <c r="H56" s="4"/>
      <c r="I56" s="4"/>
      <c r="J56" s="5"/>
      <c r="K56" s="5"/>
      <c r="L56" s="5"/>
      <c r="M56" s="7">
        <f t="shared" si="1"/>
        <v>0</v>
      </c>
      <c r="N56" s="4"/>
      <c r="O56" s="4"/>
      <c r="P56" s="4"/>
      <c r="Q56" s="4"/>
      <c r="R56" s="5"/>
    </row>
    <row r="57" spans="1:18">
      <c r="A57" s="4"/>
      <c r="B57" s="4"/>
      <c r="C57" s="4"/>
      <c r="D57" s="4"/>
      <c r="E57" s="5"/>
      <c r="F57" s="5"/>
      <c r="G57" s="4"/>
      <c r="H57" s="4"/>
      <c r="I57" s="4"/>
      <c r="J57" s="5"/>
      <c r="K57" s="5"/>
      <c r="L57" s="5"/>
      <c r="M57" s="7">
        <f t="shared" si="1"/>
        <v>0</v>
      </c>
      <c r="N57" s="4"/>
      <c r="O57" s="4"/>
      <c r="P57" s="4"/>
      <c r="Q57" s="4"/>
      <c r="R57" s="5"/>
    </row>
    <row r="58" spans="1:18">
      <c r="A58" s="4"/>
      <c r="B58" s="4"/>
      <c r="C58" s="4"/>
      <c r="D58" s="4"/>
      <c r="E58" s="5"/>
      <c r="F58" s="5"/>
      <c r="G58" s="4"/>
      <c r="H58" s="4"/>
      <c r="I58" s="4"/>
      <c r="J58" s="5"/>
      <c r="K58" s="5"/>
      <c r="L58" s="5"/>
      <c r="M58" s="7">
        <f t="shared" si="1"/>
        <v>0</v>
      </c>
      <c r="N58" s="4"/>
      <c r="O58" s="4"/>
      <c r="P58" s="4"/>
      <c r="Q58" s="4"/>
      <c r="R58" s="5"/>
    </row>
    <row r="59" spans="1:18">
      <c r="A59" s="4"/>
      <c r="B59" s="4"/>
      <c r="C59" s="4"/>
      <c r="D59" s="4"/>
      <c r="E59" s="5"/>
      <c r="F59" s="5"/>
      <c r="G59" s="4"/>
      <c r="H59" s="4"/>
      <c r="I59" s="4"/>
      <c r="J59" s="5"/>
      <c r="K59" s="5"/>
      <c r="L59" s="5"/>
      <c r="M59" s="7">
        <f t="shared" si="1"/>
        <v>0</v>
      </c>
      <c r="N59" s="4"/>
      <c r="O59" s="4"/>
      <c r="P59" s="4"/>
      <c r="Q59" s="4"/>
      <c r="R59" s="5"/>
    </row>
    <row r="60" spans="1:18">
      <c r="A60" s="4"/>
      <c r="B60" s="4"/>
      <c r="C60" s="4"/>
      <c r="D60" s="4"/>
      <c r="E60" s="5"/>
      <c r="F60" s="5"/>
      <c r="G60" s="4"/>
      <c r="H60" s="4"/>
      <c r="I60" s="4"/>
      <c r="J60" s="5"/>
      <c r="K60" s="5"/>
      <c r="L60" s="5"/>
      <c r="M60" s="7">
        <f t="shared" si="1"/>
        <v>0</v>
      </c>
      <c r="N60" s="4"/>
      <c r="O60" s="4"/>
      <c r="P60" s="4"/>
      <c r="Q60" s="4"/>
      <c r="R60" s="5"/>
    </row>
    <row r="61" spans="1:18">
      <c r="A61" s="4"/>
      <c r="B61" s="4"/>
      <c r="C61" s="4"/>
      <c r="D61" s="4"/>
      <c r="E61" s="5"/>
      <c r="F61" s="5"/>
      <c r="G61" s="4"/>
      <c r="H61" s="4"/>
      <c r="I61" s="4"/>
      <c r="J61" s="5"/>
      <c r="K61" s="5"/>
      <c r="L61" s="5"/>
      <c r="M61" s="7">
        <f t="shared" si="1"/>
        <v>0</v>
      </c>
      <c r="N61" s="4"/>
      <c r="O61" s="4"/>
      <c r="P61" s="4"/>
      <c r="Q61" s="4"/>
      <c r="R61" s="5"/>
    </row>
    <row r="62" spans="1:18">
      <c r="A62" s="4"/>
      <c r="B62" s="4"/>
      <c r="C62" s="4"/>
      <c r="D62" s="4"/>
      <c r="E62" s="5"/>
      <c r="F62" s="5"/>
      <c r="G62" s="4"/>
      <c r="H62" s="4"/>
      <c r="I62" s="4"/>
      <c r="J62" s="5"/>
      <c r="K62" s="5"/>
      <c r="L62" s="5"/>
      <c r="M62" s="7">
        <f t="shared" si="1"/>
        <v>0</v>
      </c>
      <c r="N62" s="4"/>
      <c r="O62" s="4"/>
      <c r="P62" s="4"/>
      <c r="Q62" s="4"/>
      <c r="R62" s="5"/>
    </row>
    <row r="63" spans="1:18">
      <c r="A63" s="4"/>
      <c r="B63" s="4"/>
      <c r="C63" s="4"/>
      <c r="D63" s="4"/>
      <c r="E63" s="5"/>
      <c r="F63" s="5"/>
      <c r="G63" s="4"/>
      <c r="H63" s="4"/>
      <c r="I63" s="4"/>
      <c r="J63" s="5"/>
      <c r="K63" s="5"/>
      <c r="L63" s="5"/>
      <c r="M63" s="7">
        <f t="shared" si="1"/>
        <v>0</v>
      </c>
      <c r="N63" s="4"/>
      <c r="O63" s="4"/>
      <c r="P63" s="4"/>
      <c r="Q63" s="4"/>
      <c r="R63" s="5"/>
    </row>
    <row r="64" spans="1:18">
      <c r="A64" s="4"/>
      <c r="B64" s="4"/>
      <c r="C64" s="4"/>
      <c r="D64" s="4"/>
      <c r="E64" s="5"/>
      <c r="F64" s="5"/>
      <c r="G64" s="4"/>
      <c r="H64" s="4"/>
      <c r="I64" s="4"/>
      <c r="J64" s="5"/>
      <c r="K64" s="5"/>
      <c r="L64" s="5"/>
      <c r="M64" s="7">
        <f t="shared" si="1"/>
        <v>0</v>
      </c>
      <c r="N64" s="4"/>
      <c r="O64" s="4"/>
      <c r="P64" s="4"/>
      <c r="Q64" s="4"/>
      <c r="R64" s="5"/>
    </row>
    <row r="65" spans="1:18">
      <c r="A65" s="4"/>
      <c r="B65" s="4"/>
      <c r="C65" s="4"/>
      <c r="D65" s="4"/>
      <c r="E65" s="5"/>
      <c r="F65" s="5"/>
      <c r="G65" s="4"/>
      <c r="H65" s="4"/>
      <c r="I65" s="4"/>
      <c r="J65" s="5"/>
      <c r="K65" s="5"/>
      <c r="L65" s="5"/>
      <c r="M65" s="7">
        <f t="shared" si="1"/>
        <v>0</v>
      </c>
      <c r="N65" s="4"/>
      <c r="O65" s="4"/>
      <c r="P65" s="4"/>
      <c r="Q65" s="4"/>
      <c r="R65" s="5"/>
    </row>
    <row r="66" spans="1:18">
      <c r="A66" s="4"/>
      <c r="B66" s="4"/>
      <c r="C66" s="4"/>
      <c r="D66" s="4"/>
      <c r="E66" s="5"/>
      <c r="F66" s="5"/>
      <c r="G66" s="4"/>
      <c r="H66" s="4"/>
      <c r="I66" s="4"/>
      <c r="J66" s="5"/>
      <c r="K66" s="5"/>
      <c r="L66" s="5"/>
      <c r="M66" s="7">
        <f t="shared" si="1"/>
        <v>0</v>
      </c>
      <c r="N66" s="4"/>
      <c r="O66" s="4"/>
      <c r="P66" s="4"/>
      <c r="Q66" s="4"/>
      <c r="R66" s="5"/>
    </row>
    <row r="67" spans="1:18">
      <c r="A67" s="4"/>
      <c r="B67" s="4"/>
      <c r="C67" s="4"/>
      <c r="D67" s="4"/>
      <c r="E67" s="5"/>
      <c r="F67" s="5"/>
      <c r="G67" s="4"/>
      <c r="H67" s="4"/>
      <c r="I67" s="4"/>
      <c r="J67" s="5"/>
      <c r="K67" s="5"/>
      <c r="L67" s="5"/>
      <c r="M67" s="7">
        <f t="shared" si="1"/>
        <v>0</v>
      </c>
      <c r="N67" s="4"/>
      <c r="O67" s="4"/>
      <c r="P67" s="4"/>
      <c r="Q67" s="4"/>
      <c r="R67" s="5"/>
    </row>
    <row r="68" spans="1:18">
      <c r="A68" s="4"/>
      <c r="B68" s="4"/>
      <c r="C68" s="4"/>
      <c r="D68" s="4"/>
      <c r="E68" s="5"/>
      <c r="F68" s="5"/>
      <c r="G68" s="4"/>
      <c r="H68" s="4"/>
      <c r="I68" s="4"/>
      <c r="J68" s="5"/>
      <c r="K68" s="5"/>
      <c r="L68" s="5"/>
      <c r="M68" s="7">
        <f t="shared" si="1"/>
        <v>0</v>
      </c>
      <c r="N68" s="4"/>
      <c r="O68" s="4"/>
      <c r="P68" s="4"/>
      <c r="Q68" s="4"/>
      <c r="R68" s="5"/>
    </row>
    <row r="69" spans="1:18">
      <c r="A69" s="4"/>
      <c r="B69" s="4"/>
      <c r="C69" s="4"/>
      <c r="D69" s="4"/>
      <c r="E69" s="5"/>
      <c r="F69" s="5"/>
      <c r="G69" s="4"/>
      <c r="H69" s="4"/>
      <c r="I69" s="4"/>
      <c r="J69" s="5"/>
      <c r="K69" s="5"/>
      <c r="L69" s="5"/>
      <c r="M69" s="7">
        <f t="shared" ref="M69:M100" si="2">K69-L69</f>
        <v>0</v>
      </c>
      <c r="N69" s="4"/>
      <c r="O69" s="4"/>
      <c r="P69" s="4"/>
      <c r="Q69" s="4"/>
      <c r="R69" s="5"/>
    </row>
    <row r="70" spans="1:18">
      <c r="A70" s="4"/>
      <c r="B70" s="4"/>
      <c r="C70" s="4"/>
      <c r="D70" s="4"/>
      <c r="E70" s="5"/>
      <c r="F70" s="5"/>
      <c r="G70" s="4"/>
      <c r="H70" s="4"/>
      <c r="I70" s="4"/>
      <c r="J70" s="5"/>
      <c r="K70" s="5"/>
      <c r="L70" s="5"/>
      <c r="M70" s="7">
        <f t="shared" si="2"/>
        <v>0</v>
      </c>
      <c r="N70" s="4"/>
      <c r="O70" s="4"/>
      <c r="P70" s="4"/>
      <c r="Q70" s="4"/>
      <c r="R70" s="5"/>
    </row>
    <row r="71" spans="1:18">
      <c r="A71" s="4"/>
      <c r="B71" s="4"/>
      <c r="C71" s="4"/>
      <c r="D71" s="4"/>
      <c r="E71" s="5"/>
      <c r="F71" s="5"/>
      <c r="G71" s="4"/>
      <c r="H71" s="4"/>
      <c r="I71" s="4"/>
      <c r="J71" s="5"/>
      <c r="K71" s="5"/>
      <c r="L71" s="5"/>
      <c r="M71" s="7">
        <f t="shared" si="2"/>
        <v>0</v>
      </c>
      <c r="N71" s="4"/>
      <c r="O71" s="4"/>
      <c r="P71" s="4"/>
      <c r="Q71" s="4"/>
      <c r="R71" s="5"/>
    </row>
    <row r="72" spans="1:18">
      <c r="A72" s="4"/>
      <c r="B72" s="4"/>
      <c r="C72" s="4"/>
      <c r="D72" s="4"/>
      <c r="E72" s="5"/>
      <c r="F72" s="5"/>
      <c r="G72" s="4"/>
      <c r="H72" s="4"/>
      <c r="I72" s="4"/>
      <c r="J72" s="5"/>
      <c r="K72" s="5"/>
      <c r="L72" s="5"/>
      <c r="M72" s="7">
        <f t="shared" si="2"/>
        <v>0</v>
      </c>
      <c r="N72" s="4"/>
      <c r="O72" s="4"/>
      <c r="P72" s="4"/>
      <c r="Q72" s="4"/>
      <c r="R72" s="5"/>
    </row>
    <row r="73" spans="1:18">
      <c r="A73" s="4"/>
      <c r="B73" s="4"/>
      <c r="C73" s="4"/>
      <c r="D73" s="4"/>
      <c r="E73" s="5"/>
      <c r="F73" s="5"/>
      <c r="G73" s="4"/>
      <c r="H73" s="4"/>
      <c r="I73" s="4"/>
      <c r="J73" s="5"/>
      <c r="K73" s="5"/>
      <c r="L73" s="5"/>
      <c r="M73" s="7">
        <f t="shared" si="2"/>
        <v>0</v>
      </c>
      <c r="N73" s="4"/>
      <c r="O73" s="4"/>
      <c r="P73" s="4"/>
      <c r="Q73" s="4"/>
      <c r="R73" s="5"/>
    </row>
    <row r="74" spans="1:18">
      <c r="A74" s="4"/>
      <c r="B74" s="4"/>
      <c r="C74" s="4"/>
      <c r="D74" s="4"/>
      <c r="E74" s="5"/>
      <c r="F74" s="5"/>
      <c r="G74" s="4"/>
      <c r="H74" s="4"/>
      <c r="I74" s="4"/>
      <c r="J74" s="5"/>
      <c r="K74" s="5"/>
      <c r="L74" s="5"/>
      <c r="M74" s="7">
        <f t="shared" si="2"/>
        <v>0</v>
      </c>
      <c r="N74" s="4"/>
      <c r="O74" s="4"/>
      <c r="P74" s="4"/>
      <c r="Q74" s="4"/>
      <c r="R74" s="5"/>
    </row>
    <row r="75" spans="1:18">
      <c r="A75" s="4"/>
      <c r="B75" s="4"/>
      <c r="C75" s="4"/>
      <c r="D75" s="4"/>
      <c r="E75" s="5"/>
      <c r="F75" s="5"/>
      <c r="G75" s="4"/>
      <c r="H75" s="4"/>
      <c r="I75" s="4"/>
      <c r="J75" s="5"/>
      <c r="K75" s="5"/>
      <c r="L75" s="5"/>
      <c r="M75" s="7">
        <f t="shared" si="2"/>
        <v>0</v>
      </c>
      <c r="N75" s="4"/>
      <c r="O75" s="4"/>
      <c r="P75" s="4"/>
      <c r="Q75" s="4"/>
      <c r="R75" s="5"/>
    </row>
    <row r="76" spans="1:18">
      <c r="A76" s="4"/>
      <c r="B76" s="4"/>
      <c r="C76" s="4"/>
      <c r="D76" s="4"/>
      <c r="E76" s="5"/>
      <c r="F76" s="5"/>
      <c r="G76" s="4"/>
      <c r="H76" s="4"/>
      <c r="I76" s="4"/>
      <c r="J76" s="5"/>
      <c r="K76" s="5"/>
      <c r="L76" s="5"/>
      <c r="M76" s="7">
        <f t="shared" si="2"/>
        <v>0</v>
      </c>
      <c r="N76" s="4"/>
      <c r="O76" s="4"/>
      <c r="P76" s="4"/>
      <c r="Q76" s="4"/>
      <c r="R76" s="5"/>
    </row>
    <row r="77" spans="1:18">
      <c r="A77" s="4"/>
      <c r="B77" s="4"/>
      <c r="C77" s="4"/>
      <c r="D77" s="4"/>
      <c r="E77" s="5"/>
      <c r="F77" s="5"/>
      <c r="G77" s="4"/>
      <c r="H77" s="4"/>
      <c r="I77" s="4"/>
      <c r="J77" s="5"/>
      <c r="K77" s="5"/>
      <c r="L77" s="5"/>
      <c r="M77" s="7">
        <f t="shared" si="2"/>
        <v>0</v>
      </c>
      <c r="N77" s="4"/>
      <c r="O77" s="4"/>
      <c r="P77" s="4"/>
      <c r="Q77" s="4"/>
      <c r="R77" s="5"/>
    </row>
    <row r="78" spans="1:18">
      <c r="A78" s="4"/>
      <c r="B78" s="4"/>
      <c r="C78" s="4"/>
      <c r="D78" s="4"/>
      <c r="E78" s="5"/>
      <c r="F78" s="5"/>
      <c r="G78" s="4"/>
      <c r="H78" s="4"/>
      <c r="I78" s="4"/>
      <c r="J78" s="5"/>
      <c r="K78" s="5"/>
      <c r="L78" s="5"/>
      <c r="M78" s="7">
        <f t="shared" si="2"/>
        <v>0</v>
      </c>
      <c r="N78" s="4"/>
      <c r="O78" s="4"/>
      <c r="P78" s="4"/>
      <c r="Q78" s="4"/>
      <c r="R78" s="5"/>
    </row>
    <row r="79" spans="1:18">
      <c r="A79" s="4"/>
      <c r="B79" s="4"/>
      <c r="C79" s="4"/>
      <c r="D79" s="4"/>
      <c r="E79" s="5"/>
      <c r="F79" s="5"/>
      <c r="G79" s="4"/>
      <c r="H79" s="4"/>
      <c r="I79" s="4"/>
      <c r="J79" s="5"/>
      <c r="K79" s="5"/>
      <c r="L79" s="5"/>
      <c r="M79" s="7">
        <f t="shared" si="2"/>
        <v>0</v>
      </c>
      <c r="N79" s="4"/>
      <c r="O79" s="4"/>
      <c r="P79" s="4"/>
      <c r="Q79" s="4"/>
      <c r="R79" s="5"/>
    </row>
    <row r="80" spans="1:18">
      <c r="A80" s="4"/>
      <c r="B80" s="4"/>
      <c r="C80" s="4"/>
      <c r="D80" s="4"/>
      <c r="E80" s="5"/>
      <c r="F80" s="5"/>
      <c r="G80" s="4"/>
      <c r="H80" s="4"/>
      <c r="I80" s="4"/>
      <c r="J80" s="5"/>
      <c r="K80" s="5"/>
      <c r="L80" s="5"/>
      <c r="M80" s="7">
        <f t="shared" si="2"/>
        <v>0</v>
      </c>
      <c r="N80" s="4"/>
      <c r="O80" s="4"/>
      <c r="P80" s="4"/>
      <c r="Q80" s="4"/>
      <c r="R80" s="5"/>
    </row>
    <row r="81" spans="1:18">
      <c r="A81" s="4"/>
      <c r="B81" s="4"/>
      <c r="C81" s="4"/>
      <c r="D81" s="4"/>
      <c r="E81" s="5"/>
      <c r="F81" s="5"/>
      <c r="G81" s="4"/>
      <c r="H81" s="4"/>
      <c r="I81" s="4"/>
      <c r="J81" s="5"/>
      <c r="K81" s="5"/>
      <c r="L81" s="5"/>
      <c r="M81" s="7">
        <f t="shared" si="2"/>
        <v>0</v>
      </c>
      <c r="N81" s="4"/>
      <c r="O81" s="4"/>
      <c r="P81" s="4"/>
      <c r="Q81" s="4"/>
      <c r="R81" s="5"/>
    </row>
    <row r="82" spans="1:18">
      <c r="A82" s="4"/>
      <c r="B82" s="4"/>
      <c r="C82" s="4"/>
      <c r="D82" s="4"/>
      <c r="E82" s="5"/>
      <c r="F82" s="5"/>
      <c r="G82" s="4"/>
      <c r="H82" s="4"/>
      <c r="I82" s="4"/>
      <c r="J82" s="5"/>
      <c r="K82" s="5"/>
      <c r="L82" s="5"/>
      <c r="M82" s="7">
        <f t="shared" si="2"/>
        <v>0</v>
      </c>
      <c r="N82" s="4"/>
      <c r="O82" s="4"/>
      <c r="P82" s="4"/>
      <c r="Q82" s="4"/>
      <c r="R82" s="5"/>
    </row>
    <row r="83" spans="1:18">
      <c r="A83" s="4"/>
      <c r="B83" s="4"/>
      <c r="C83" s="4"/>
      <c r="D83" s="4"/>
      <c r="E83" s="5"/>
      <c r="F83" s="5"/>
      <c r="G83" s="4"/>
      <c r="H83" s="4"/>
      <c r="I83" s="4"/>
      <c r="J83" s="5"/>
      <c r="K83" s="5"/>
      <c r="L83" s="5"/>
      <c r="M83" s="7">
        <f t="shared" si="2"/>
        <v>0</v>
      </c>
      <c r="N83" s="4"/>
      <c r="O83" s="4"/>
      <c r="P83" s="4"/>
      <c r="Q83" s="4"/>
      <c r="R83" s="5"/>
    </row>
    <row r="84" spans="1:18">
      <c r="A84" s="4"/>
      <c r="B84" s="4"/>
      <c r="C84" s="4"/>
      <c r="D84" s="4"/>
      <c r="E84" s="5"/>
      <c r="F84" s="5"/>
      <c r="G84" s="4"/>
      <c r="H84" s="4"/>
      <c r="I84" s="4"/>
      <c r="J84" s="5"/>
      <c r="K84" s="5"/>
      <c r="L84" s="5"/>
      <c r="M84" s="7">
        <f t="shared" si="2"/>
        <v>0</v>
      </c>
      <c r="N84" s="4"/>
      <c r="O84" s="4"/>
      <c r="P84" s="4"/>
      <c r="Q84" s="4"/>
      <c r="R84" s="5"/>
    </row>
    <row r="85" spans="1:18">
      <c r="A85" s="4"/>
      <c r="B85" s="4"/>
      <c r="C85" s="4"/>
      <c r="D85" s="4"/>
      <c r="E85" s="5"/>
      <c r="F85" s="5"/>
      <c r="G85" s="4"/>
      <c r="H85" s="4"/>
      <c r="I85" s="4"/>
      <c r="J85" s="5"/>
      <c r="K85" s="5"/>
      <c r="L85" s="5"/>
      <c r="M85" s="7">
        <f t="shared" si="2"/>
        <v>0</v>
      </c>
      <c r="N85" s="4"/>
      <c r="O85" s="4"/>
      <c r="P85" s="4"/>
      <c r="Q85" s="4"/>
      <c r="R85" s="5"/>
    </row>
    <row r="86" spans="1:18">
      <c r="A86" s="4"/>
      <c r="B86" s="4"/>
      <c r="C86" s="4"/>
      <c r="D86" s="4"/>
      <c r="E86" s="5"/>
      <c r="F86" s="5"/>
      <c r="G86" s="4"/>
      <c r="H86" s="4"/>
      <c r="I86" s="4"/>
      <c r="J86" s="5"/>
      <c r="K86" s="5"/>
      <c r="L86" s="5"/>
      <c r="M86" s="7">
        <f t="shared" si="2"/>
        <v>0</v>
      </c>
      <c r="N86" s="4"/>
      <c r="O86" s="4"/>
      <c r="P86" s="4"/>
      <c r="Q86" s="4"/>
      <c r="R86" s="5"/>
    </row>
    <row r="87" spans="1:18">
      <c r="A87" s="4"/>
      <c r="B87" s="4"/>
      <c r="C87" s="4"/>
      <c r="D87" s="4"/>
      <c r="E87" s="5"/>
      <c r="F87" s="5"/>
      <c r="G87" s="4"/>
      <c r="H87" s="4"/>
      <c r="I87" s="4"/>
      <c r="J87" s="5"/>
      <c r="K87" s="5"/>
      <c r="L87" s="5"/>
      <c r="M87" s="7">
        <f t="shared" si="2"/>
        <v>0</v>
      </c>
      <c r="N87" s="4"/>
      <c r="O87" s="4"/>
      <c r="P87" s="4"/>
      <c r="Q87" s="4"/>
      <c r="R87" s="5"/>
    </row>
    <row r="88" spans="1:18">
      <c r="A88" s="4"/>
      <c r="B88" s="4"/>
      <c r="C88" s="4"/>
      <c r="D88" s="4"/>
      <c r="E88" s="5"/>
      <c r="F88" s="5"/>
      <c r="G88" s="4"/>
      <c r="H88" s="4"/>
      <c r="I88" s="4"/>
      <c r="J88" s="5"/>
      <c r="K88" s="5"/>
      <c r="L88" s="5"/>
      <c r="M88" s="7">
        <f t="shared" si="2"/>
        <v>0</v>
      </c>
      <c r="N88" s="4"/>
      <c r="O88" s="4"/>
      <c r="P88" s="4"/>
      <c r="Q88" s="4"/>
      <c r="R88" s="5"/>
    </row>
    <row r="89" spans="1:18">
      <c r="A89" s="4"/>
      <c r="B89" s="4"/>
      <c r="C89" s="4"/>
      <c r="D89" s="4"/>
      <c r="E89" s="5"/>
      <c r="F89" s="5"/>
      <c r="G89" s="4"/>
      <c r="H89" s="4"/>
      <c r="I89" s="4"/>
      <c r="J89" s="5"/>
      <c r="K89" s="5"/>
      <c r="L89" s="5"/>
      <c r="M89" s="7">
        <f t="shared" si="2"/>
        <v>0</v>
      </c>
      <c r="N89" s="4"/>
      <c r="O89" s="4"/>
      <c r="P89" s="4"/>
      <c r="Q89" s="4"/>
      <c r="R89" s="5"/>
    </row>
    <row r="90" spans="1:18">
      <c r="A90" s="4"/>
      <c r="B90" s="4"/>
      <c r="C90" s="4"/>
      <c r="D90" s="4"/>
      <c r="E90" s="5"/>
      <c r="F90" s="5"/>
      <c r="G90" s="4"/>
      <c r="H90" s="4"/>
      <c r="I90" s="4"/>
      <c r="J90" s="5"/>
      <c r="K90" s="5"/>
      <c r="L90" s="5"/>
      <c r="M90" s="7">
        <f t="shared" si="2"/>
        <v>0</v>
      </c>
      <c r="N90" s="4"/>
      <c r="O90" s="4"/>
      <c r="P90" s="4"/>
      <c r="Q90" s="4"/>
      <c r="R90" s="5"/>
    </row>
    <row r="91" spans="1:18">
      <c r="A91" s="4"/>
      <c r="B91" s="4"/>
      <c r="C91" s="4"/>
      <c r="D91" s="4"/>
      <c r="E91" s="5"/>
      <c r="F91" s="5"/>
      <c r="G91" s="4"/>
      <c r="H91" s="4"/>
      <c r="I91" s="4"/>
      <c r="J91" s="5"/>
      <c r="K91" s="5"/>
      <c r="L91" s="5"/>
      <c r="M91" s="7">
        <f t="shared" si="2"/>
        <v>0</v>
      </c>
      <c r="N91" s="4"/>
      <c r="O91" s="4"/>
      <c r="P91" s="4"/>
      <c r="Q91" s="4"/>
      <c r="R91" s="5"/>
    </row>
    <row r="92" spans="1:18">
      <c r="A92" s="4"/>
      <c r="B92" s="4"/>
      <c r="C92" s="4"/>
      <c r="D92" s="4"/>
      <c r="E92" s="5"/>
      <c r="F92" s="5"/>
      <c r="G92" s="4"/>
      <c r="H92" s="4"/>
      <c r="I92" s="4"/>
      <c r="J92" s="5"/>
      <c r="K92" s="5"/>
      <c r="L92" s="5"/>
      <c r="M92" s="7">
        <f t="shared" si="2"/>
        <v>0</v>
      </c>
      <c r="N92" s="4"/>
      <c r="O92" s="4"/>
      <c r="P92" s="4"/>
      <c r="Q92" s="4"/>
      <c r="R92" s="5"/>
    </row>
    <row r="93" spans="1:18">
      <c r="A93" s="4"/>
      <c r="B93" s="4"/>
      <c r="C93" s="4"/>
      <c r="D93" s="4"/>
      <c r="E93" s="5"/>
      <c r="F93" s="5"/>
      <c r="G93" s="4"/>
      <c r="H93" s="4"/>
      <c r="I93" s="4"/>
      <c r="J93" s="5"/>
      <c r="K93" s="5"/>
      <c r="L93" s="5"/>
      <c r="M93" s="7">
        <f t="shared" si="2"/>
        <v>0</v>
      </c>
      <c r="N93" s="4"/>
      <c r="O93" s="4"/>
      <c r="P93" s="4"/>
      <c r="Q93" s="4"/>
      <c r="R93" s="5"/>
    </row>
    <row r="94" spans="1:18">
      <c r="A94" s="4"/>
      <c r="B94" s="4"/>
      <c r="C94" s="4"/>
      <c r="D94" s="4"/>
      <c r="E94" s="5"/>
      <c r="F94" s="5"/>
      <c r="G94" s="4"/>
      <c r="H94" s="4"/>
      <c r="I94" s="4"/>
      <c r="J94" s="5"/>
      <c r="K94" s="5"/>
      <c r="L94" s="5"/>
      <c r="M94" s="7">
        <f t="shared" si="2"/>
        <v>0</v>
      </c>
      <c r="N94" s="4"/>
      <c r="O94" s="4"/>
      <c r="P94" s="4"/>
      <c r="Q94" s="4"/>
      <c r="R94" s="5"/>
    </row>
    <row r="95" spans="1:18">
      <c r="A95" s="4"/>
      <c r="B95" s="4"/>
      <c r="C95" s="4"/>
      <c r="D95" s="4"/>
      <c r="E95" s="5"/>
      <c r="F95" s="5"/>
      <c r="G95" s="4"/>
      <c r="H95" s="4"/>
      <c r="I95" s="4"/>
      <c r="J95" s="5"/>
      <c r="K95" s="5"/>
      <c r="L95" s="5"/>
      <c r="M95" s="7">
        <f t="shared" si="2"/>
        <v>0</v>
      </c>
      <c r="N95" s="4"/>
      <c r="O95" s="4"/>
      <c r="P95" s="4"/>
      <c r="Q95" s="4"/>
      <c r="R95" s="5"/>
    </row>
    <row r="96" spans="1:18">
      <c r="A96" s="4"/>
      <c r="B96" s="4"/>
      <c r="C96" s="4"/>
      <c r="D96" s="4"/>
      <c r="E96" s="5"/>
      <c r="F96" s="5"/>
      <c r="G96" s="4"/>
      <c r="H96" s="4"/>
      <c r="I96" s="4"/>
      <c r="J96" s="5"/>
      <c r="K96" s="5"/>
      <c r="L96" s="5"/>
      <c r="M96" s="7">
        <f t="shared" si="2"/>
        <v>0</v>
      </c>
      <c r="N96" s="4"/>
      <c r="O96" s="4"/>
      <c r="P96" s="4"/>
      <c r="Q96" s="4"/>
      <c r="R96" s="5"/>
    </row>
    <row r="97" spans="1:18">
      <c r="A97" s="4"/>
      <c r="B97" s="4"/>
      <c r="C97" s="4"/>
      <c r="D97" s="4"/>
      <c r="E97" s="5"/>
      <c r="F97" s="5"/>
      <c r="G97" s="4"/>
      <c r="H97" s="4"/>
      <c r="I97" s="4"/>
      <c r="J97" s="5"/>
      <c r="K97" s="5"/>
      <c r="L97" s="5"/>
      <c r="M97" s="7">
        <f t="shared" si="2"/>
        <v>0</v>
      </c>
      <c r="N97" s="4"/>
      <c r="O97" s="4"/>
      <c r="P97" s="4"/>
      <c r="Q97" s="4"/>
      <c r="R97" s="5"/>
    </row>
    <row r="98" spans="1:18">
      <c r="A98" s="4"/>
      <c r="B98" s="4"/>
      <c r="C98" s="4"/>
      <c r="D98" s="4"/>
      <c r="E98" s="5"/>
      <c r="F98" s="5"/>
      <c r="G98" s="4"/>
      <c r="H98" s="4"/>
      <c r="I98" s="4"/>
      <c r="J98" s="5"/>
      <c r="K98" s="5"/>
      <c r="L98" s="5"/>
      <c r="M98" s="7">
        <f t="shared" si="2"/>
        <v>0</v>
      </c>
      <c r="N98" s="4"/>
      <c r="O98" s="4"/>
      <c r="P98" s="4"/>
      <c r="Q98" s="4"/>
      <c r="R98" s="5"/>
    </row>
    <row r="99" spans="1:18">
      <c r="A99" s="4"/>
      <c r="B99" s="4"/>
      <c r="C99" s="4"/>
      <c r="D99" s="4"/>
      <c r="E99" s="5"/>
      <c r="F99" s="5"/>
      <c r="G99" s="4"/>
      <c r="H99" s="4"/>
      <c r="I99" s="4"/>
      <c r="J99" s="5"/>
      <c r="K99" s="5"/>
      <c r="L99" s="5"/>
      <c r="M99" s="7">
        <f t="shared" si="2"/>
        <v>0</v>
      </c>
      <c r="N99" s="4"/>
      <c r="O99" s="4"/>
      <c r="P99" s="4"/>
      <c r="Q99" s="4"/>
      <c r="R99" s="5"/>
    </row>
    <row r="100" spans="1:18">
      <c r="A100" s="4"/>
      <c r="B100" s="4"/>
      <c r="C100" s="4"/>
      <c r="D100" s="4"/>
      <c r="E100" s="5"/>
      <c r="F100" s="5"/>
      <c r="G100" s="4"/>
      <c r="H100" s="4"/>
      <c r="I100" s="4"/>
      <c r="J100" s="5"/>
      <c r="K100" s="5"/>
      <c r="L100" s="5"/>
      <c r="M100" s="7">
        <f t="shared" si="2"/>
        <v>0</v>
      </c>
      <c r="N100" s="4"/>
      <c r="O100" s="4"/>
      <c r="P100" s="4"/>
      <c r="Q100" s="4"/>
      <c r="R100" s="5"/>
    </row>
    <row r="101" spans="1:18">
      <c r="A101" s="4"/>
      <c r="B101" s="4"/>
      <c r="C101" s="4"/>
      <c r="D101" s="4"/>
      <c r="E101" s="5"/>
      <c r="F101" s="5"/>
      <c r="G101" s="4"/>
      <c r="H101" s="4"/>
      <c r="I101" s="4"/>
      <c r="J101" s="5"/>
      <c r="K101" s="5"/>
      <c r="L101" s="5"/>
      <c r="M101" s="7">
        <f t="shared" ref="M101:M105" si="3">K101-L101</f>
        <v>0</v>
      </c>
      <c r="N101" s="4"/>
      <c r="O101" s="4"/>
      <c r="P101" s="4"/>
      <c r="Q101" s="4"/>
      <c r="R101" s="5"/>
    </row>
    <row r="102" spans="1:18">
      <c r="A102" s="4"/>
      <c r="B102" s="4"/>
      <c r="C102" s="4"/>
      <c r="D102" s="4"/>
      <c r="E102" s="5"/>
      <c r="F102" s="5"/>
      <c r="G102" s="4"/>
      <c r="H102" s="4"/>
      <c r="I102" s="4"/>
      <c r="J102" s="5"/>
      <c r="K102" s="5"/>
      <c r="L102" s="5"/>
      <c r="M102" s="7">
        <f t="shared" si="3"/>
        <v>0</v>
      </c>
      <c r="N102" s="4"/>
      <c r="O102" s="4"/>
      <c r="P102" s="4"/>
      <c r="Q102" s="4"/>
      <c r="R102" s="5"/>
    </row>
    <row r="103" spans="1:18">
      <c r="A103" s="4"/>
      <c r="B103" s="4"/>
      <c r="C103" s="4"/>
      <c r="D103" s="4"/>
      <c r="E103" s="5"/>
      <c r="F103" s="5"/>
      <c r="G103" s="4"/>
      <c r="H103" s="4"/>
      <c r="I103" s="4"/>
      <c r="J103" s="5"/>
      <c r="K103" s="5"/>
      <c r="L103" s="5"/>
      <c r="M103" s="7">
        <f t="shared" si="3"/>
        <v>0</v>
      </c>
      <c r="N103" s="4"/>
      <c r="O103" s="4"/>
      <c r="P103" s="4"/>
      <c r="Q103" s="4"/>
      <c r="R103" s="5"/>
    </row>
    <row r="104" spans="1:18">
      <c r="A104" s="4"/>
      <c r="B104" s="4"/>
      <c r="C104" s="4"/>
      <c r="D104" s="4"/>
      <c r="E104" s="5"/>
      <c r="F104" s="5"/>
      <c r="G104" s="4"/>
      <c r="H104" s="4"/>
      <c r="I104" s="4"/>
      <c r="J104" s="5"/>
      <c r="K104" s="5"/>
      <c r="L104" s="5"/>
      <c r="M104" s="7">
        <f t="shared" si="3"/>
        <v>0</v>
      </c>
      <c r="N104" s="4"/>
      <c r="O104" s="4"/>
      <c r="P104" s="4"/>
      <c r="Q104" s="4"/>
      <c r="R104" s="5"/>
    </row>
    <row r="105" spans="1:18">
      <c r="A105" s="4"/>
      <c r="B105" s="4"/>
      <c r="C105" s="4"/>
      <c r="D105" s="4"/>
      <c r="E105" s="5"/>
      <c r="F105" s="5"/>
      <c r="G105" s="4"/>
      <c r="H105" s="4"/>
      <c r="I105" s="4"/>
      <c r="J105" s="5"/>
      <c r="K105" s="5"/>
      <c r="L105" s="5"/>
      <c r="M105" s="7">
        <f t="shared" si="3"/>
        <v>0</v>
      </c>
      <c r="N105" s="4"/>
      <c r="O105" s="4"/>
      <c r="P105" s="4"/>
      <c r="Q105" s="4"/>
      <c r="R105" s="5"/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479"/>
  <sheetViews>
    <sheetView showGridLines="0" tabSelected="1" workbookViewId="0">
      <selection activeCell="A15" sqref="A15"/>
    </sheetView>
  </sheetViews>
  <sheetFormatPr baseColWidth="10" defaultColWidth="8.88671875" defaultRowHeight="14.4"/>
  <cols>
    <col min="1" max="1" width="13.6640625" customWidth="1"/>
    <col min="2" max="3" width="18.6640625" customWidth="1"/>
    <col min="4" max="4" width="20.6640625" customWidth="1"/>
    <col min="5" max="5" width="14.6640625" style="13" customWidth="1"/>
    <col min="6" max="6" width="14.6640625" customWidth="1"/>
    <col min="7" max="8" width="22.6640625" customWidth="1"/>
    <col min="9" max="10" width="18.6640625" customWidth="1"/>
    <col min="11" max="11" width="16.6640625" customWidth="1"/>
    <col min="12" max="12" width="15.6640625" customWidth="1"/>
    <col min="13" max="13" width="22.6640625" customWidth="1"/>
    <col min="14" max="14" width="16.6640625" style="13" customWidth="1"/>
    <col min="15" max="15" width="16.6640625" customWidth="1"/>
    <col min="16" max="17" width="20.6640625" customWidth="1"/>
    <col min="18" max="19" width="18.6640625" customWidth="1"/>
    <col min="20" max="20" width="28.6640625" customWidth="1"/>
  </cols>
  <sheetData>
    <row r="1" spans="1:20" ht="25.95" customHeight="1">
      <c r="A1" s="29" t="s">
        <v>45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9.95" customHeight="1">
      <c r="A2" s="1" t="s">
        <v>46</v>
      </c>
      <c r="B2" s="2"/>
      <c r="D2" s="1" t="s">
        <v>47</v>
      </c>
      <c r="E2" s="16"/>
      <c r="G2" s="1" t="s">
        <v>48</v>
      </c>
      <c r="H2" s="2" t="s">
        <v>49</v>
      </c>
    </row>
    <row r="3" spans="1:20" ht="12" customHeight="1"/>
    <row r="4" spans="1:20" ht="28.05" customHeight="1">
      <c r="A4" s="3" t="s">
        <v>50</v>
      </c>
      <c r="B4" s="3" t="s">
        <v>51</v>
      </c>
      <c r="C4" s="3" t="s">
        <v>9</v>
      </c>
      <c r="D4" s="3" t="s">
        <v>52</v>
      </c>
      <c r="E4" s="14" t="s">
        <v>53</v>
      </c>
      <c r="F4" s="3" t="s">
        <v>54</v>
      </c>
      <c r="G4" s="3" t="s">
        <v>55</v>
      </c>
      <c r="H4" s="3" t="s">
        <v>10</v>
      </c>
      <c r="I4" s="3" t="s">
        <v>56</v>
      </c>
      <c r="J4" s="3" t="s">
        <v>57</v>
      </c>
      <c r="K4" s="3" t="s">
        <v>58</v>
      </c>
      <c r="L4" s="3" t="s">
        <v>14</v>
      </c>
      <c r="M4" s="3" t="s">
        <v>15</v>
      </c>
      <c r="N4" s="14" t="s">
        <v>59</v>
      </c>
      <c r="O4" s="3" t="s">
        <v>60</v>
      </c>
      <c r="P4" s="3" t="s">
        <v>61</v>
      </c>
      <c r="Q4" s="3" t="s">
        <v>62</v>
      </c>
      <c r="R4" s="3" t="s">
        <v>63</v>
      </c>
      <c r="S4" s="3" t="s">
        <v>64</v>
      </c>
      <c r="T4" s="3" t="s">
        <v>23</v>
      </c>
    </row>
    <row r="5" spans="1:20">
      <c r="A5" s="12">
        <v>46181</v>
      </c>
      <c r="B5" s="9" t="str">
        <f>Carga_Camiones!B5</f>
        <v>5632</v>
      </c>
      <c r="C5" s="9" t="s">
        <v>163</v>
      </c>
      <c r="D5" s="7">
        <v>0</v>
      </c>
      <c r="E5" s="17" t="str">
        <f>Carga_Camiones!N5</f>
        <v>11:58 PM</v>
      </c>
      <c r="F5" s="10">
        <v>175</v>
      </c>
      <c r="G5" s="4" t="s">
        <v>25</v>
      </c>
      <c r="H5" s="5" t="s">
        <v>28</v>
      </c>
      <c r="I5" s="4" t="s">
        <v>254</v>
      </c>
      <c r="J5" s="5" t="s">
        <v>249</v>
      </c>
      <c r="K5" s="4" t="s">
        <v>30</v>
      </c>
      <c r="L5" s="4">
        <v>14</v>
      </c>
      <c r="M5" s="5" t="s">
        <v>32</v>
      </c>
      <c r="N5" s="15">
        <v>5.5555555555555552E-2</v>
      </c>
      <c r="O5" s="8">
        <v>0</v>
      </c>
      <c r="P5" s="5" t="s">
        <v>87</v>
      </c>
      <c r="Q5" s="5" t="s">
        <v>65</v>
      </c>
      <c r="R5" s="10">
        <f>F5-O5</f>
        <v>175</v>
      </c>
      <c r="S5" s="11" t="str">
        <f>IF(G5="","Pendiente",IF(K5=Carga_Camiones!G5,"OK","Diferencia Placa"))</f>
        <v>OK</v>
      </c>
      <c r="T5" s="5" t="s">
        <v>66</v>
      </c>
    </row>
    <row r="6" spans="1:20">
      <c r="A6" s="12">
        <v>46182</v>
      </c>
      <c r="B6" s="9">
        <v>5633</v>
      </c>
      <c r="C6" s="9" t="s">
        <v>163</v>
      </c>
      <c r="D6" s="7">
        <v>0</v>
      </c>
      <c r="E6" s="17">
        <v>1.5972222222222221E-2</v>
      </c>
      <c r="F6" s="10">
        <v>175</v>
      </c>
      <c r="G6" s="4">
        <v>5633</v>
      </c>
      <c r="H6" s="5" t="s">
        <v>28</v>
      </c>
      <c r="I6" s="4" t="s">
        <v>254</v>
      </c>
      <c r="J6" s="5" t="s">
        <v>249</v>
      </c>
      <c r="K6" s="4" t="s">
        <v>209</v>
      </c>
      <c r="L6" s="4">
        <v>14</v>
      </c>
      <c r="M6" s="5" t="s">
        <v>210</v>
      </c>
      <c r="N6" s="15">
        <v>5.9027777777777776E-2</v>
      </c>
      <c r="O6" s="8">
        <v>0</v>
      </c>
      <c r="P6" s="5" t="s">
        <v>87</v>
      </c>
      <c r="Q6" s="5" t="s">
        <v>65</v>
      </c>
      <c r="R6" s="10">
        <f t="shared" ref="R6:R37" si="0">IF(O6="","",F6-O6)</f>
        <v>175</v>
      </c>
      <c r="S6" s="4" t="str">
        <f>IF(G6="","Pendiente",IF(K6=Carga_Camiones!G6,"OK","Diferencia Placa"))</f>
        <v>Diferencia Placa</v>
      </c>
      <c r="T6" s="5" t="s">
        <v>67</v>
      </c>
    </row>
    <row r="7" spans="1:20">
      <c r="A7" s="12">
        <v>46182</v>
      </c>
      <c r="B7" s="9">
        <v>5634</v>
      </c>
      <c r="C7" s="9" t="s">
        <v>163</v>
      </c>
      <c r="D7" s="7">
        <f>Carga_Camiones!M7</f>
        <v>0</v>
      </c>
      <c r="E7" s="17">
        <v>4.027777777777778E-2</v>
      </c>
      <c r="F7" s="10">
        <v>175</v>
      </c>
      <c r="G7" s="4">
        <v>5634</v>
      </c>
      <c r="H7" s="5" t="s">
        <v>28</v>
      </c>
      <c r="I7" s="4" t="s">
        <v>254</v>
      </c>
      <c r="J7" s="5" t="s">
        <v>249</v>
      </c>
      <c r="K7" s="4" t="s">
        <v>211</v>
      </c>
      <c r="L7" s="4">
        <v>14</v>
      </c>
      <c r="M7" s="5" t="s">
        <v>212</v>
      </c>
      <c r="N7" s="15">
        <v>7.2916666666666671E-2</v>
      </c>
      <c r="O7" s="8">
        <v>0</v>
      </c>
      <c r="P7" s="5" t="s">
        <v>87</v>
      </c>
      <c r="Q7" s="5" t="s">
        <v>65</v>
      </c>
      <c r="R7" s="10">
        <f t="shared" si="0"/>
        <v>175</v>
      </c>
      <c r="S7" s="4" t="str">
        <f>IF(G7="","Pendiente",IF(K7=Carga_Camiones!G7,"OK","Diferencia Placa"))</f>
        <v>Diferencia Placa</v>
      </c>
      <c r="T7" s="5"/>
    </row>
    <row r="8" spans="1:20">
      <c r="A8" s="12">
        <v>46182</v>
      </c>
      <c r="B8" s="9">
        <v>5635</v>
      </c>
      <c r="C8" s="9" t="s">
        <v>163</v>
      </c>
      <c r="D8" s="7">
        <f>Carga_Camiones!M8</f>
        <v>0</v>
      </c>
      <c r="E8" s="17">
        <f>Carga_Camiones!N8</f>
        <v>0</v>
      </c>
      <c r="F8" s="10">
        <v>175</v>
      </c>
      <c r="G8" s="4">
        <v>5635</v>
      </c>
      <c r="H8" s="5" t="s">
        <v>28</v>
      </c>
      <c r="I8" s="4" t="s">
        <v>254</v>
      </c>
      <c r="J8" s="5" t="s">
        <v>249</v>
      </c>
      <c r="K8" s="4" t="s">
        <v>213</v>
      </c>
      <c r="L8" s="4">
        <v>14</v>
      </c>
      <c r="M8" s="5" t="s">
        <v>214</v>
      </c>
      <c r="N8" s="15"/>
      <c r="O8" s="8">
        <v>0</v>
      </c>
      <c r="P8" s="5" t="s">
        <v>87</v>
      </c>
      <c r="Q8" s="5" t="s">
        <v>65</v>
      </c>
      <c r="R8" s="10">
        <f t="shared" si="0"/>
        <v>175</v>
      </c>
      <c r="S8" s="4" t="str">
        <f>IF(G8="","Pendiente",IF(K8=Carga_Camiones!G8,"OK","Diferencia Placa"))</f>
        <v>Diferencia Placa</v>
      </c>
      <c r="T8" s="5"/>
    </row>
    <row r="9" spans="1:20">
      <c r="A9" s="12">
        <v>46182</v>
      </c>
      <c r="B9" s="9">
        <v>5636</v>
      </c>
      <c r="C9" s="9" t="s">
        <v>163</v>
      </c>
      <c r="D9" s="7">
        <f>Carga_Camiones!M9</f>
        <v>0</v>
      </c>
      <c r="E9" s="17">
        <v>0.39861111111111114</v>
      </c>
      <c r="F9" s="10">
        <v>175</v>
      </c>
      <c r="G9" s="4">
        <v>5636</v>
      </c>
      <c r="H9" s="5" t="s">
        <v>28</v>
      </c>
      <c r="I9" s="4" t="s">
        <v>254</v>
      </c>
      <c r="J9" s="5" t="s">
        <v>249</v>
      </c>
      <c r="K9" s="4" t="s">
        <v>215</v>
      </c>
      <c r="L9" s="4">
        <v>14</v>
      </c>
      <c r="M9" s="5" t="s">
        <v>216</v>
      </c>
      <c r="N9" s="15"/>
      <c r="O9" s="8">
        <v>0</v>
      </c>
      <c r="P9" s="5" t="s">
        <v>87</v>
      </c>
      <c r="Q9" s="5" t="s">
        <v>65</v>
      </c>
      <c r="R9" s="10">
        <f t="shared" si="0"/>
        <v>175</v>
      </c>
      <c r="S9" s="4" t="str">
        <f>IF(G9="","Pendiente",IF(K9=Carga_Camiones!G9,"OK","Diferencia Placa"))</f>
        <v>Diferencia Placa</v>
      </c>
      <c r="T9" s="5"/>
    </row>
    <row r="10" spans="1:20">
      <c r="A10" s="12">
        <v>46182</v>
      </c>
      <c r="B10" s="9">
        <v>5637</v>
      </c>
      <c r="C10" s="9" t="s">
        <v>163</v>
      </c>
      <c r="D10" s="7">
        <f>Carga_Camiones!M10</f>
        <v>0</v>
      </c>
      <c r="E10" s="17">
        <v>8.819444444444445E-2</v>
      </c>
      <c r="F10" s="10">
        <v>175</v>
      </c>
      <c r="G10" s="4">
        <v>5637</v>
      </c>
      <c r="H10" s="5" t="s">
        <v>28</v>
      </c>
      <c r="I10" s="4" t="s">
        <v>254</v>
      </c>
      <c r="J10" s="5" t="s">
        <v>249</v>
      </c>
      <c r="K10" s="4" t="s">
        <v>217</v>
      </c>
      <c r="L10" s="4">
        <v>14</v>
      </c>
      <c r="M10" s="5" t="s">
        <v>218</v>
      </c>
      <c r="N10" s="15"/>
      <c r="O10" s="8">
        <v>0</v>
      </c>
      <c r="P10" s="5" t="s">
        <v>87</v>
      </c>
      <c r="Q10" s="5" t="s">
        <v>65</v>
      </c>
      <c r="R10" s="10">
        <f t="shared" si="0"/>
        <v>175</v>
      </c>
      <c r="S10" s="4" t="str">
        <f>IF(G10="","Pendiente",IF(K10=Carga_Camiones!G10,"OK","Diferencia Placa"))</f>
        <v>Diferencia Placa</v>
      </c>
      <c r="T10" s="5"/>
    </row>
    <row r="11" spans="1:20">
      <c r="A11" s="12">
        <v>46182</v>
      </c>
      <c r="B11" s="9">
        <v>5638</v>
      </c>
      <c r="C11" s="9" t="s">
        <v>163</v>
      </c>
      <c r="D11" s="7">
        <f>Carga_Camiones!M11</f>
        <v>0</v>
      </c>
      <c r="E11" s="17">
        <v>0.10625</v>
      </c>
      <c r="F11" s="10">
        <v>175</v>
      </c>
      <c r="G11" s="4">
        <v>5638</v>
      </c>
      <c r="H11" s="5" t="s">
        <v>28</v>
      </c>
      <c r="I11" s="4" t="s">
        <v>254</v>
      </c>
      <c r="J11" s="5" t="s">
        <v>249</v>
      </c>
      <c r="K11" s="4" t="s">
        <v>219</v>
      </c>
      <c r="L11" s="4">
        <v>14</v>
      </c>
      <c r="M11" s="5" t="s">
        <v>194</v>
      </c>
      <c r="N11" s="15"/>
      <c r="O11" s="8">
        <v>0</v>
      </c>
      <c r="P11" s="5" t="s">
        <v>87</v>
      </c>
      <c r="Q11" s="5" t="s">
        <v>65</v>
      </c>
      <c r="R11" s="10">
        <f t="shared" si="0"/>
        <v>175</v>
      </c>
      <c r="S11" s="4" t="str">
        <f>IF(G11="","Pendiente",IF(K11=Carga_Camiones!G11,"OK","Diferencia Placa"))</f>
        <v>Diferencia Placa</v>
      </c>
      <c r="T11" s="5"/>
    </row>
    <row r="12" spans="1:20">
      <c r="A12" s="12">
        <v>46182</v>
      </c>
      <c r="B12" s="9">
        <v>5639</v>
      </c>
      <c r="C12" s="9" t="s">
        <v>163</v>
      </c>
      <c r="D12" s="7">
        <f>Carga_Camiones!M12</f>
        <v>0</v>
      </c>
      <c r="E12" s="17">
        <v>0.125</v>
      </c>
      <c r="F12" s="10">
        <v>175</v>
      </c>
      <c r="G12" s="4">
        <v>5639</v>
      </c>
      <c r="H12" s="5" t="s">
        <v>28</v>
      </c>
      <c r="I12" s="4" t="s">
        <v>254</v>
      </c>
      <c r="J12" s="5" t="s">
        <v>249</v>
      </c>
      <c r="K12" s="4" t="s">
        <v>220</v>
      </c>
      <c r="L12" s="4">
        <v>14</v>
      </c>
      <c r="M12" s="5" t="s">
        <v>221</v>
      </c>
      <c r="N12" s="15"/>
      <c r="O12" s="8">
        <v>0</v>
      </c>
      <c r="P12" s="5" t="s">
        <v>87</v>
      </c>
      <c r="Q12" s="5" t="s">
        <v>65</v>
      </c>
      <c r="R12" s="10">
        <f t="shared" si="0"/>
        <v>175</v>
      </c>
      <c r="S12" s="4" t="str">
        <f>IF(G12="","Pendiente",IF(K12=Carga_Camiones!G12,"OK","Diferencia Placa"))</f>
        <v>Diferencia Placa</v>
      </c>
      <c r="T12" s="5"/>
    </row>
    <row r="13" spans="1:20">
      <c r="A13" s="12">
        <v>46182</v>
      </c>
      <c r="B13" s="9">
        <v>5640</v>
      </c>
      <c r="C13" s="9" t="s">
        <v>163</v>
      </c>
      <c r="D13" s="7">
        <f>Carga_Camiones!M13</f>
        <v>0</v>
      </c>
      <c r="E13" s="17">
        <v>0.1388888888888889</v>
      </c>
      <c r="F13" s="10">
        <v>175</v>
      </c>
      <c r="G13" s="4">
        <v>5640</v>
      </c>
      <c r="H13" s="5" t="s">
        <v>28</v>
      </c>
      <c r="I13" s="4" t="s">
        <v>254</v>
      </c>
      <c r="J13" s="5" t="s">
        <v>249</v>
      </c>
      <c r="K13" s="4" t="s">
        <v>222</v>
      </c>
      <c r="L13" s="4">
        <v>14</v>
      </c>
      <c r="M13" s="5" t="s">
        <v>223</v>
      </c>
      <c r="N13" s="15"/>
      <c r="O13" s="8">
        <v>0</v>
      </c>
      <c r="P13" s="5" t="s">
        <v>87</v>
      </c>
      <c r="Q13" s="5" t="s">
        <v>65</v>
      </c>
      <c r="R13" s="10">
        <f t="shared" si="0"/>
        <v>175</v>
      </c>
      <c r="S13" s="4" t="str">
        <f>IF(G13="","Pendiente",IF(K13=Carga_Camiones!G13,"OK","Diferencia Placa"))</f>
        <v>Diferencia Placa</v>
      </c>
      <c r="T13" s="5"/>
    </row>
    <row r="14" spans="1:20">
      <c r="A14" s="12">
        <v>46182</v>
      </c>
      <c r="B14" s="9">
        <v>5641</v>
      </c>
      <c r="C14" s="9" t="s">
        <v>163</v>
      </c>
      <c r="D14" s="7">
        <f>Carga_Camiones!M14</f>
        <v>0</v>
      </c>
      <c r="E14" s="17">
        <v>0.15347222222222223</v>
      </c>
      <c r="F14" s="10">
        <v>175</v>
      </c>
      <c r="G14" s="4">
        <v>5641</v>
      </c>
      <c r="H14" s="5" t="s">
        <v>28</v>
      </c>
      <c r="I14" s="4" t="s">
        <v>254</v>
      </c>
      <c r="J14" s="5" t="s">
        <v>249</v>
      </c>
      <c r="K14" s="4" t="s">
        <v>224</v>
      </c>
      <c r="L14" s="4">
        <v>14</v>
      </c>
      <c r="M14" s="5" t="s">
        <v>225</v>
      </c>
      <c r="N14" s="15"/>
      <c r="O14" s="8">
        <v>0</v>
      </c>
      <c r="P14" s="5" t="s">
        <v>87</v>
      </c>
      <c r="Q14" s="5" t="s">
        <v>65</v>
      </c>
      <c r="R14" s="10">
        <f t="shared" si="0"/>
        <v>175</v>
      </c>
      <c r="S14" s="4" t="str">
        <f>IF(G14="","Pendiente",IF(K14=Carga_Camiones!G14,"OK","Diferencia Placa"))</f>
        <v>Diferencia Placa</v>
      </c>
      <c r="T14" s="5"/>
    </row>
    <row r="15" spans="1:20">
      <c r="A15" s="12">
        <v>46182</v>
      </c>
      <c r="B15" s="9">
        <v>5642</v>
      </c>
      <c r="C15" s="9" t="s">
        <v>163</v>
      </c>
      <c r="D15" s="7">
        <f>Carga_Camiones!M15</f>
        <v>0</v>
      </c>
      <c r="E15" s="17">
        <v>0.16875000000000001</v>
      </c>
      <c r="F15" s="10">
        <v>175</v>
      </c>
      <c r="G15" s="4">
        <v>5642</v>
      </c>
      <c r="H15" s="5" t="s">
        <v>28</v>
      </c>
      <c r="I15" s="4" t="s">
        <v>254</v>
      </c>
      <c r="J15" s="5" t="s">
        <v>249</v>
      </c>
      <c r="K15" s="4" t="s">
        <v>89</v>
      </c>
      <c r="L15" s="4">
        <v>14</v>
      </c>
      <c r="M15" s="5" t="s">
        <v>226</v>
      </c>
      <c r="N15" s="15"/>
      <c r="O15" s="8">
        <v>0</v>
      </c>
      <c r="P15" s="5" t="s">
        <v>87</v>
      </c>
      <c r="Q15" s="5" t="s">
        <v>65</v>
      </c>
      <c r="R15" s="10">
        <f t="shared" si="0"/>
        <v>175</v>
      </c>
      <c r="S15" s="4" t="str">
        <f>IF(G15="","Pendiente",IF(K15=Carga_Camiones!G15,"OK","Diferencia Placa"))</f>
        <v>Diferencia Placa</v>
      </c>
      <c r="T15" s="5"/>
    </row>
    <row r="16" spans="1:20">
      <c r="A16" s="12">
        <v>46182</v>
      </c>
      <c r="B16" s="9">
        <v>5643</v>
      </c>
      <c r="C16" s="9" t="s">
        <v>163</v>
      </c>
      <c r="D16" s="7">
        <f>Carga_Camiones!M16</f>
        <v>0</v>
      </c>
      <c r="E16" s="17">
        <v>0.18402777777777779</v>
      </c>
      <c r="F16" s="10">
        <v>175</v>
      </c>
      <c r="G16" s="4">
        <v>5643</v>
      </c>
      <c r="H16" s="5" t="s">
        <v>28</v>
      </c>
      <c r="I16" s="4" t="s">
        <v>254</v>
      </c>
      <c r="J16" s="5" t="s">
        <v>249</v>
      </c>
      <c r="K16" s="4" t="s">
        <v>77</v>
      </c>
      <c r="L16" s="4">
        <v>14</v>
      </c>
      <c r="M16" s="5" t="s">
        <v>78</v>
      </c>
      <c r="N16" s="15"/>
      <c r="O16" s="8">
        <v>0</v>
      </c>
      <c r="P16" s="5" t="s">
        <v>87</v>
      </c>
      <c r="Q16" s="5" t="s">
        <v>65</v>
      </c>
      <c r="R16" s="10">
        <f t="shared" si="0"/>
        <v>175</v>
      </c>
      <c r="S16" s="4" t="str">
        <f>IF(G16="","Pendiente",IF(K16=Carga_Camiones!G16,"OK","Diferencia Placa"))</f>
        <v>Diferencia Placa</v>
      </c>
      <c r="T16" s="5"/>
    </row>
    <row r="17" spans="1:20">
      <c r="A17" s="12">
        <v>46182</v>
      </c>
      <c r="B17" s="9">
        <v>5644</v>
      </c>
      <c r="C17" s="9" t="s">
        <v>163</v>
      </c>
      <c r="D17" s="7">
        <f>Carga_Camiones!M17</f>
        <v>0</v>
      </c>
      <c r="E17" s="17">
        <v>0.19791666666666666</v>
      </c>
      <c r="F17" s="10">
        <v>175</v>
      </c>
      <c r="G17" s="4">
        <v>5644</v>
      </c>
      <c r="H17" s="5" t="s">
        <v>28</v>
      </c>
      <c r="I17" s="4" t="s">
        <v>254</v>
      </c>
      <c r="J17" s="5" t="s">
        <v>249</v>
      </c>
      <c r="K17" s="4" t="s">
        <v>227</v>
      </c>
      <c r="L17" s="4">
        <v>14</v>
      </c>
      <c r="M17" s="5" t="s">
        <v>100</v>
      </c>
      <c r="N17" s="15"/>
      <c r="O17" s="8">
        <v>0</v>
      </c>
      <c r="P17" s="5" t="s">
        <v>87</v>
      </c>
      <c r="Q17" s="5" t="s">
        <v>65</v>
      </c>
      <c r="R17" s="10">
        <f t="shared" si="0"/>
        <v>175</v>
      </c>
      <c r="S17" s="4" t="str">
        <f>IF(G17="","Pendiente",IF(K17=Carga_Camiones!G17,"OK","Diferencia Placa"))</f>
        <v>Diferencia Placa</v>
      </c>
      <c r="T17" s="5"/>
    </row>
    <row r="18" spans="1:20">
      <c r="A18" s="12">
        <v>46182</v>
      </c>
      <c r="B18" s="9">
        <v>5645</v>
      </c>
      <c r="C18" s="9" t="s">
        <v>163</v>
      </c>
      <c r="D18" s="7">
        <f>Carga_Camiones!M18</f>
        <v>0</v>
      </c>
      <c r="E18" s="17">
        <v>0.21249999999999999</v>
      </c>
      <c r="F18" s="10">
        <v>175</v>
      </c>
      <c r="G18" s="4">
        <v>5645</v>
      </c>
      <c r="H18" s="5" t="s">
        <v>28</v>
      </c>
      <c r="I18" s="4" t="s">
        <v>254</v>
      </c>
      <c r="J18" s="5" t="s">
        <v>249</v>
      </c>
      <c r="K18" s="4" t="s">
        <v>94</v>
      </c>
      <c r="L18" s="4">
        <v>14</v>
      </c>
      <c r="M18" s="5" t="s">
        <v>228</v>
      </c>
      <c r="N18" s="15"/>
      <c r="O18" s="8">
        <v>0</v>
      </c>
      <c r="P18" s="5" t="s">
        <v>87</v>
      </c>
      <c r="Q18" s="5" t="s">
        <v>65</v>
      </c>
      <c r="R18" s="10">
        <f t="shared" si="0"/>
        <v>175</v>
      </c>
      <c r="S18" s="4" t="str">
        <f>IF(G18="","Pendiente",IF(K18=Carga_Camiones!G18,"OK","Diferencia Placa"))</f>
        <v>Diferencia Placa</v>
      </c>
      <c r="T18" s="5"/>
    </row>
    <row r="19" spans="1:20">
      <c r="A19" s="12">
        <v>46182</v>
      </c>
      <c r="B19" s="9">
        <v>5646</v>
      </c>
      <c r="C19" s="9" t="s">
        <v>163</v>
      </c>
      <c r="D19" s="7">
        <f>Carga_Camiones!M19</f>
        <v>0</v>
      </c>
      <c r="E19" s="17">
        <v>0.22777777777777777</v>
      </c>
      <c r="F19" s="10">
        <v>175</v>
      </c>
      <c r="G19" s="4">
        <v>5646</v>
      </c>
      <c r="H19" s="5" t="s">
        <v>28</v>
      </c>
      <c r="I19" s="4" t="s">
        <v>254</v>
      </c>
      <c r="J19" s="5" t="s">
        <v>249</v>
      </c>
      <c r="K19" s="4" t="s">
        <v>220</v>
      </c>
      <c r="L19" s="4">
        <v>14</v>
      </c>
      <c r="M19" s="5" t="s">
        <v>192</v>
      </c>
      <c r="N19" s="15"/>
      <c r="O19" s="8">
        <v>0</v>
      </c>
      <c r="P19" s="5" t="s">
        <v>87</v>
      </c>
      <c r="Q19" s="5" t="s">
        <v>65</v>
      </c>
      <c r="R19" s="10">
        <f t="shared" si="0"/>
        <v>175</v>
      </c>
      <c r="S19" s="4" t="str">
        <f>IF(G19="","Pendiente",IF(K19=Carga_Camiones!G19,"OK","Diferencia Placa"))</f>
        <v>Diferencia Placa</v>
      </c>
      <c r="T19" s="5"/>
    </row>
    <row r="20" spans="1:20">
      <c r="A20" s="12">
        <v>46185</v>
      </c>
      <c r="B20" s="9">
        <v>5680</v>
      </c>
      <c r="C20" s="9" t="s">
        <v>163</v>
      </c>
      <c r="D20" s="7">
        <f>Carga_Camiones!M20</f>
        <v>0</v>
      </c>
      <c r="E20" s="17">
        <f>Carga_Camiones!N20</f>
        <v>0</v>
      </c>
      <c r="F20" s="10">
        <v>175</v>
      </c>
      <c r="G20" s="4">
        <v>5680</v>
      </c>
      <c r="H20" s="5" t="s">
        <v>150</v>
      </c>
      <c r="I20" s="4" t="s">
        <v>254</v>
      </c>
      <c r="J20" s="5" t="s">
        <v>250</v>
      </c>
      <c r="K20" s="4" t="s">
        <v>232</v>
      </c>
      <c r="L20" s="4">
        <v>14</v>
      </c>
      <c r="M20" s="5" t="s">
        <v>233</v>
      </c>
      <c r="N20" s="15"/>
      <c r="O20" s="8">
        <v>0</v>
      </c>
      <c r="P20" s="5" t="s">
        <v>87</v>
      </c>
      <c r="Q20" s="5" t="s">
        <v>65</v>
      </c>
      <c r="R20" s="10">
        <f t="shared" si="0"/>
        <v>175</v>
      </c>
      <c r="S20" s="4" t="str">
        <f>IF(G20="","Pendiente",IF(K20=Carga_Camiones!G20,"OK","Diferencia Placa"))</f>
        <v>Diferencia Placa</v>
      </c>
      <c r="T20" s="5"/>
    </row>
    <row r="21" spans="1:20">
      <c r="A21" s="12">
        <v>46185</v>
      </c>
      <c r="B21" s="9">
        <v>5681</v>
      </c>
      <c r="C21" s="9" t="s">
        <v>163</v>
      </c>
      <c r="D21" s="7">
        <f>Carga_Camiones!M21</f>
        <v>0</v>
      </c>
      <c r="E21" s="17">
        <f>Carga_Camiones!N21</f>
        <v>0</v>
      </c>
      <c r="F21" s="10">
        <v>175</v>
      </c>
      <c r="G21" s="4">
        <v>5681</v>
      </c>
      <c r="H21" s="5" t="s">
        <v>150</v>
      </c>
      <c r="I21" s="4" t="s">
        <v>254</v>
      </c>
      <c r="J21" s="5" t="s">
        <v>250</v>
      </c>
      <c r="K21" s="4" t="s">
        <v>234</v>
      </c>
      <c r="L21" s="4">
        <v>14</v>
      </c>
      <c r="M21" s="5" t="s">
        <v>235</v>
      </c>
      <c r="N21" s="15"/>
      <c r="O21" s="8">
        <v>0</v>
      </c>
      <c r="P21" s="5" t="s">
        <v>87</v>
      </c>
      <c r="Q21" s="5" t="s">
        <v>65</v>
      </c>
      <c r="R21" s="10">
        <f t="shared" si="0"/>
        <v>175</v>
      </c>
      <c r="S21" s="4" t="str">
        <f>IF(G21="","Pendiente",IF(K21=Carga_Camiones!G21,"OK","Diferencia Placa"))</f>
        <v>Diferencia Placa</v>
      </c>
      <c r="T21" s="5"/>
    </row>
    <row r="22" spans="1:20">
      <c r="A22" s="12">
        <v>46185</v>
      </c>
      <c r="B22" s="9">
        <v>5686</v>
      </c>
      <c r="C22" s="9" t="s">
        <v>163</v>
      </c>
      <c r="D22" s="7">
        <f>Carga_Camiones!M22</f>
        <v>0</v>
      </c>
      <c r="E22" s="17">
        <v>0.55486111111111114</v>
      </c>
      <c r="F22" s="10">
        <v>175</v>
      </c>
      <c r="G22" s="4">
        <v>5686</v>
      </c>
      <c r="H22" s="5" t="s">
        <v>150</v>
      </c>
      <c r="I22" s="4" t="s">
        <v>254</v>
      </c>
      <c r="J22" s="5" t="s">
        <v>250</v>
      </c>
      <c r="K22" s="4" t="s">
        <v>236</v>
      </c>
      <c r="L22" s="4">
        <v>14</v>
      </c>
      <c r="M22" s="5" t="s">
        <v>237</v>
      </c>
      <c r="N22" s="15">
        <v>0.60416666666666663</v>
      </c>
      <c r="O22" s="8">
        <v>0</v>
      </c>
      <c r="P22" s="5" t="s">
        <v>87</v>
      </c>
      <c r="Q22" s="5" t="s">
        <v>65</v>
      </c>
      <c r="R22" s="10">
        <f t="shared" si="0"/>
        <v>175</v>
      </c>
      <c r="S22" s="4" t="str">
        <f>IF(G22="","Pendiente",IF(K22=Carga_Camiones!G22,"OK","Diferencia Placa"))</f>
        <v>Diferencia Placa</v>
      </c>
      <c r="T22" s="5"/>
    </row>
    <row r="23" spans="1:20">
      <c r="A23" s="12">
        <v>46185</v>
      </c>
      <c r="B23" s="9">
        <v>5685</v>
      </c>
      <c r="C23" s="9" t="s">
        <v>163</v>
      </c>
      <c r="D23" s="7">
        <f>Carga_Camiones!M23</f>
        <v>0</v>
      </c>
      <c r="E23" s="17">
        <v>0.53888888888888886</v>
      </c>
      <c r="F23" s="10">
        <v>175</v>
      </c>
      <c r="G23" s="4">
        <v>5685</v>
      </c>
      <c r="H23" s="5" t="s">
        <v>150</v>
      </c>
      <c r="I23" s="4" t="s">
        <v>254</v>
      </c>
      <c r="J23" s="5" t="s">
        <v>250</v>
      </c>
      <c r="K23" s="18" t="s">
        <v>238</v>
      </c>
      <c r="L23" s="4">
        <v>14</v>
      </c>
      <c r="M23" s="5" t="s">
        <v>239</v>
      </c>
      <c r="N23" s="15">
        <v>0.625</v>
      </c>
      <c r="O23" s="8">
        <v>0</v>
      </c>
      <c r="P23" s="5" t="s">
        <v>87</v>
      </c>
      <c r="Q23" s="5" t="s">
        <v>65</v>
      </c>
      <c r="R23" s="10">
        <f t="shared" si="0"/>
        <v>175</v>
      </c>
      <c r="S23" s="4" t="str">
        <f>IF(G23="","Pendiente",IF(K23=Carga_Camiones!G23,"OK","Diferencia Placa"))</f>
        <v>Diferencia Placa</v>
      </c>
      <c r="T23" s="5"/>
    </row>
    <row r="24" spans="1:20">
      <c r="A24" s="12">
        <v>46185</v>
      </c>
      <c r="B24" s="9">
        <v>5687</v>
      </c>
      <c r="C24" s="9" t="s">
        <v>163</v>
      </c>
      <c r="D24" s="7">
        <f>Carga_Camiones!M24</f>
        <v>0</v>
      </c>
      <c r="E24" s="17">
        <v>0.56944444444444442</v>
      </c>
      <c r="F24" s="10">
        <v>175</v>
      </c>
      <c r="G24" s="4">
        <v>5687</v>
      </c>
      <c r="H24" s="5" t="s">
        <v>150</v>
      </c>
      <c r="I24" s="4" t="s">
        <v>254</v>
      </c>
      <c r="J24" s="5" t="s">
        <v>250</v>
      </c>
      <c r="K24" s="4" t="s">
        <v>240</v>
      </c>
      <c r="L24" s="4">
        <v>14</v>
      </c>
      <c r="M24" s="5" t="s">
        <v>241</v>
      </c>
      <c r="N24" s="15">
        <v>0.64583333333333337</v>
      </c>
      <c r="O24" s="8">
        <v>0</v>
      </c>
      <c r="P24" s="5" t="s">
        <v>87</v>
      </c>
      <c r="Q24" s="5" t="s">
        <v>65</v>
      </c>
      <c r="R24" s="10">
        <f t="shared" si="0"/>
        <v>175</v>
      </c>
      <c r="S24" s="4" t="str">
        <f>IF(G24="","Pendiente",IF(K24=Carga_Camiones!G24,"OK","Diferencia Placa"))</f>
        <v>Diferencia Placa</v>
      </c>
      <c r="T24" s="5"/>
    </row>
    <row r="25" spans="1:20">
      <c r="A25" s="12">
        <v>46185</v>
      </c>
      <c r="B25" s="9">
        <v>5688</v>
      </c>
      <c r="C25" s="9" t="s">
        <v>163</v>
      </c>
      <c r="D25" s="7">
        <f>Carga_Camiones!M25</f>
        <v>0</v>
      </c>
      <c r="E25" s="17">
        <v>0.5854166666666667</v>
      </c>
      <c r="F25" s="10">
        <v>175</v>
      </c>
      <c r="G25" s="4">
        <v>5688</v>
      </c>
      <c r="H25" s="5" t="s">
        <v>150</v>
      </c>
      <c r="I25" s="4" t="s">
        <v>254</v>
      </c>
      <c r="J25" s="5" t="s">
        <v>250</v>
      </c>
      <c r="K25" s="4" t="s">
        <v>236</v>
      </c>
      <c r="L25" s="4">
        <v>14</v>
      </c>
      <c r="M25" s="5" t="s">
        <v>242</v>
      </c>
      <c r="N25" s="15">
        <v>0.66874999999999996</v>
      </c>
      <c r="O25" s="8">
        <v>0</v>
      </c>
      <c r="P25" s="5" t="s">
        <v>87</v>
      </c>
      <c r="Q25" s="5" t="s">
        <v>65</v>
      </c>
      <c r="R25" s="10">
        <f t="shared" si="0"/>
        <v>175</v>
      </c>
      <c r="S25" s="4" t="str">
        <f>IF(G25="","Pendiente",IF(K25=Carga_Camiones!G25,"OK","Diferencia Placa"))</f>
        <v>Diferencia Placa</v>
      </c>
      <c r="T25" s="5"/>
    </row>
    <row r="26" spans="1:20">
      <c r="A26" s="12">
        <v>46185</v>
      </c>
      <c r="B26" s="9">
        <v>5684</v>
      </c>
      <c r="C26" s="9" t="s">
        <v>163</v>
      </c>
      <c r="D26" s="7">
        <f>Carga_Camiones!M26</f>
        <v>0</v>
      </c>
      <c r="E26" s="17">
        <v>0.52222222222222225</v>
      </c>
      <c r="F26" s="10">
        <v>175</v>
      </c>
      <c r="G26" s="4">
        <v>5684</v>
      </c>
      <c r="H26" s="5" t="s">
        <v>150</v>
      </c>
      <c r="I26" s="4" t="s">
        <v>254</v>
      </c>
      <c r="J26" s="5" t="s">
        <v>250</v>
      </c>
      <c r="K26" s="4" t="s">
        <v>243</v>
      </c>
      <c r="L26" s="4">
        <v>14</v>
      </c>
      <c r="M26" s="5" t="s">
        <v>244</v>
      </c>
      <c r="N26" s="15">
        <v>0.70972222222222225</v>
      </c>
      <c r="O26" s="8">
        <v>0</v>
      </c>
      <c r="P26" s="5" t="s">
        <v>87</v>
      </c>
      <c r="Q26" s="5" t="s">
        <v>65</v>
      </c>
      <c r="R26" s="10">
        <f t="shared" si="0"/>
        <v>175</v>
      </c>
      <c r="S26" s="4" t="str">
        <f>IF(G26="","Pendiente",IF(K26=Carga_Camiones!G26,"OK","Diferencia Placa"))</f>
        <v>Diferencia Placa</v>
      </c>
      <c r="T26" s="5"/>
    </row>
    <row r="27" spans="1:20">
      <c r="A27" s="12">
        <v>46185</v>
      </c>
      <c r="B27" s="9">
        <v>5683</v>
      </c>
      <c r="C27" s="9" t="s">
        <v>163</v>
      </c>
      <c r="D27" s="7">
        <f>Carga_Camiones!M27</f>
        <v>0</v>
      </c>
      <c r="E27" s="17">
        <v>0.50694444444444442</v>
      </c>
      <c r="F27" s="10">
        <v>175</v>
      </c>
      <c r="G27" s="4">
        <v>5683</v>
      </c>
      <c r="H27" s="5" t="s">
        <v>150</v>
      </c>
      <c r="I27" s="4" t="s">
        <v>254</v>
      </c>
      <c r="J27" s="5" t="s">
        <v>250</v>
      </c>
      <c r="K27" s="4" t="s">
        <v>245</v>
      </c>
      <c r="L27" s="4">
        <v>14</v>
      </c>
      <c r="M27" s="5"/>
      <c r="N27" s="15">
        <v>0.71527777777777779</v>
      </c>
      <c r="O27" s="8">
        <v>0</v>
      </c>
      <c r="P27" s="5" t="s">
        <v>87</v>
      </c>
      <c r="Q27" s="5" t="s">
        <v>65</v>
      </c>
      <c r="R27" s="10">
        <f t="shared" si="0"/>
        <v>175</v>
      </c>
      <c r="S27" s="4" t="str">
        <f>IF(G27="","Pendiente",IF(K27=Carga_Camiones!G27,"OK","Diferencia Placa"))</f>
        <v>Diferencia Placa</v>
      </c>
      <c r="T27" s="5"/>
    </row>
    <row r="28" spans="1:20">
      <c r="A28" s="12">
        <v>46183</v>
      </c>
      <c r="B28" s="9">
        <v>55537</v>
      </c>
      <c r="C28" s="9" t="s">
        <v>161</v>
      </c>
      <c r="D28" s="7">
        <v>23960</v>
      </c>
      <c r="E28" s="17">
        <v>0.51388888888888884</v>
      </c>
      <c r="F28" s="10">
        <v>175</v>
      </c>
      <c r="G28" s="4">
        <v>42</v>
      </c>
      <c r="H28" s="5" t="s">
        <v>153</v>
      </c>
      <c r="I28" s="4"/>
      <c r="J28" s="5" t="s">
        <v>41</v>
      </c>
      <c r="K28" s="4" t="s">
        <v>246</v>
      </c>
      <c r="L28" s="4">
        <v>14</v>
      </c>
      <c r="M28" s="5" t="s">
        <v>247</v>
      </c>
      <c r="N28" s="15">
        <v>0.55555555555555558</v>
      </c>
      <c r="O28" s="8">
        <v>0</v>
      </c>
      <c r="P28" s="5" t="s">
        <v>154</v>
      </c>
      <c r="Q28" s="5" t="s">
        <v>248</v>
      </c>
      <c r="R28" s="10">
        <f t="shared" si="0"/>
        <v>175</v>
      </c>
      <c r="S28" s="4" t="str">
        <f>IF(G28="","Pendiente",IF(K28=Carga_Camiones!G28,"OK","Diferencia Placa"))</f>
        <v>Diferencia Placa</v>
      </c>
      <c r="T28" s="5"/>
    </row>
    <row r="29" spans="1:20">
      <c r="A29" s="12">
        <v>46183</v>
      </c>
      <c r="B29" s="9">
        <f>Carga_Camiones!B29</f>
        <v>0</v>
      </c>
      <c r="C29" s="9"/>
      <c r="D29" s="7">
        <f>Carga_Camiones!M29</f>
        <v>0</v>
      </c>
      <c r="E29" s="17">
        <f>Carga_Camiones!N29</f>
        <v>0</v>
      </c>
      <c r="F29" s="10">
        <f>Carga_Camiones!O29</f>
        <v>0</v>
      </c>
      <c r="G29" s="4"/>
      <c r="H29" s="5"/>
      <c r="I29" s="4"/>
      <c r="J29" s="5"/>
      <c r="K29" s="4"/>
      <c r="L29" s="4"/>
      <c r="M29" s="5"/>
      <c r="N29" s="15"/>
      <c r="O29" s="8"/>
      <c r="P29" s="5"/>
      <c r="Q29" s="5"/>
      <c r="R29" s="10" t="str">
        <f t="shared" si="0"/>
        <v/>
      </c>
      <c r="S29" s="4" t="str">
        <f>IF(G29="","Pendiente",IF(K29=Carga_Camiones!G29,"OK","Diferencia Placa"))</f>
        <v>Pendiente</v>
      </c>
      <c r="T29" s="5"/>
    </row>
    <row r="30" spans="1:20">
      <c r="A30" s="12">
        <v>46172</v>
      </c>
      <c r="B30" s="9">
        <v>4971</v>
      </c>
      <c r="C30" s="9" t="s">
        <v>163</v>
      </c>
      <c r="D30" s="7">
        <f>Carga_Camiones!M30</f>
        <v>0</v>
      </c>
      <c r="E30" s="17">
        <f>Carga_Camiones!N30</f>
        <v>0</v>
      </c>
      <c r="F30" s="10">
        <f>Carga_Camiones!O30</f>
        <v>0</v>
      </c>
      <c r="G30" s="4">
        <v>4971</v>
      </c>
      <c r="H30" s="5" t="s">
        <v>259</v>
      </c>
      <c r="I30" s="4" t="s">
        <v>258</v>
      </c>
      <c r="J30" s="5" t="s">
        <v>260</v>
      </c>
      <c r="K30" s="4" t="s">
        <v>261</v>
      </c>
      <c r="L30" s="4">
        <v>14</v>
      </c>
      <c r="M30" s="5" t="s">
        <v>262</v>
      </c>
      <c r="N30" s="15"/>
      <c r="O30" s="8"/>
      <c r="P30" s="5"/>
      <c r="Q30" s="5"/>
      <c r="R30" s="10" t="str">
        <f t="shared" si="0"/>
        <v/>
      </c>
      <c r="S30" s="4" t="str">
        <f>IF(G30="","Pendiente",IF(K30=Carga_Camiones!G30,"OK","Diferencia Placa"))</f>
        <v>Diferencia Placa</v>
      </c>
      <c r="T30" s="5"/>
    </row>
    <row r="31" spans="1:20">
      <c r="A31" s="12">
        <v>46172</v>
      </c>
      <c r="B31" s="9">
        <v>4973</v>
      </c>
      <c r="C31" s="9" t="s">
        <v>163</v>
      </c>
      <c r="D31" s="7">
        <f>Carga_Camiones!M31</f>
        <v>0</v>
      </c>
      <c r="E31" s="17">
        <f>Carga_Camiones!N31</f>
        <v>0</v>
      </c>
      <c r="F31" s="10">
        <f>Carga_Camiones!O31</f>
        <v>0</v>
      </c>
      <c r="G31" s="4">
        <v>4973</v>
      </c>
      <c r="H31" s="5" t="s">
        <v>259</v>
      </c>
      <c r="I31" s="4" t="s">
        <v>258</v>
      </c>
      <c r="J31" s="5" t="s">
        <v>260</v>
      </c>
      <c r="K31" s="4" t="s">
        <v>261</v>
      </c>
      <c r="L31" s="4">
        <v>14</v>
      </c>
      <c r="M31" s="5" t="s">
        <v>262</v>
      </c>
      <c r="N31" s="15"/>
      <c r="O31" s="8"/>
      <c r="P31" s="5"/>
      <c r="Q31" s="5"/>
      <c r="R31" s="10" t="str">
        <f t="shared" si="0"/>
        <v/>
      </c>
      <c r="S31" s="4" t="str">
        <f>IF(G31="","Pendiente",IF(K31=Carga_Camiones!G31,"OK","Diferencia Placa"))</f>
        <v>Diferencia Placa</v>
      </c>
      <c r="T31" s="5"/>
    </row>
    <row r="32" spans="1:20">
      <c r="A32" s="12">
        <v>46172</v>
      </c>
      <c r="B32" s="9">
        <v>4974</v>
      </c>
      <c r="C32" s="9" t="s">
        <v>163</v>
      </c>
      <c r="D32" s="7">
        <f>Carga_Camiones!M32</f>
        <v>0</v>
      </c>
      <c r="E32" s="17">
        <f>Carga_Camiones!N32</f>
        <v>0</v>
      </c>
      <c r="F32" s="10">
        <f>Carga_Camiones!O32</f>
        <v>0</v>
      </c>
      <c r="G32" s="4">
        <v>4974</v>
      </c>
      <c r="H32" s="5" t="s">
        <v>259</v>
      </c>
      <c r="I32" s="4" t="s">
        <v>258</v>
      </c>
      <c r="J32" s="5" t="s">
        <v>260</v>
      </c>
      <c r="K32" s="4" t="s">
        <v>261</v>
      </c>
      <c r="L32" s="4">
        <v>14</v>
      </c>
      <c r="M32" s="5" t="s">
        <v>263</v>
      </c>
      <c r="N32" s="15"/>
      <c r="O32" s="8"/>
      <c r="P32" s="5"/>
      <c r="Q32" s="5"/>
      <c r="R32" s="10" t="str">
        <f t="shared" si="0"/>
        <v/>
      </c>
      <c r="S32" s="4" t="str">
        <f>IF(G32="","Pendiente",IF(K32=Carga_Camiones!G32,"OK","Diferencia Placa"))</f>
        <v>Diferencia Placa</v>
      </c>
      <c r="T32" s="5"/>
    </row>
    <row r="33" spans="1:20">
      <c r="A33" s="12">
        <v>46174</v>
      </c>
      <c r="B33" s="9">
        <v>4975</v>
      </c>
      <c r="C33" s="9" t="s">
        <v>163</v>
      </c>
      <c r="D33" s="7">
        <f>Carga_Camiones!M33</f>
        <v>0</v>
      </c>
      <c r="E33" s="17">
        <f>Carga_Camiones!N33</f>
        <v>0</v>
      </c>
      <c r="F33" s="10">
        <f>Carga_Camiones!O33</f>
        <v>0</v>
      </c>
      <c r="G33" s="4">
        <v>4975</v>
      </c>
      <c r="H33" s="5" t="s">
        <v>259</v>
      </c>
      <c r="I33" s="4" t="s">
        <v>258</v>
      </c>
      <c r="J33" s="5" t="s">
        <v>264</v>
      </c>
      <c r="K33" s="4" t="s">
        <v>265</v>
      </c>
      <c r="L33" s="4">
        <v>15</v>
      </c>
      <c r="M33" s="5" t="s">
        <v>266</v>
      </c>
      <c r="N33" s="15">
        <v>0.34930555555555554</v>
      </c>
      <c r="O33" s="8"/>
      <c r="P33" s="5"/>
      <c r="Q33" s="5"/>
      <c r="R33" s="10" t="str">
        <f t="shared" si="0"/>
        <v/>
      </c>
      <c r="S33" s="4" t="str">
        <f>IF(G33="","Pendiente",IF(K33=Carga_Camiones!G33,"OK","Diferencia Placa"))</f>
        <v>Diferencia Placa</v>
      </c>
      <c r="T33" s="5"/>
    </row>
    <row r="34" spans="1:20">
      <c r="A34" s="12">
        <v>46174</v>
      </c>
      <c r="B34" s="9">
        <v>4976</v>
      </c>
      <c r="C34" s="9" t="s">
        <v>163</v>
      </c>
      <c r="D34" s="7">
        <f>Carga_Camiones!M34</f>
        <v>0</v>
      </c>
      <c r="E34" s="17">
        <f>Carga_Camiones!N34</f>
        <v>0</v>
      </c>
      <c r="F34" s="10">
        <f>Carga_Camiones!O34</f>
        <v>0</v>
      </c>
      <c r="G34" s="4">
        <v>4976</v>
      </c>
      <c r="H34" s="5" t="s">
        <v>259</v>
      </c>
      <c r="I34" s="4" t="s">
        <v>258</v>
      </c>
      <c r="J34" s="5" t="s">
        <v>264</v>
      </c>
      <c r="K34" s="4" t="s">
        <v>267</v>
      </c>
      <c r="L34" s="4">
        <v>15</v>
      </c>
      <c r="M34" s="5" t="s">
        <v>268</v>
      </c>
      <c r="N34" s="15">
        <v>0.36319444444444443</v>
      </c>
      <c r="O34" s="8"/>
      <c r="P34" s="5"/>
      <c r="Q34" s="5"/>
      <c r="R34" s="10" t="str">
        <f t="shared" si="0"/>
        <v/>
      </c>
      <c r="S34" s="4" t="str">
        <f>IF(G34="","Pendiente",IF(K34=Carga_Camiones!G34,"OK","Diferencia Placa"))</f>
        <v>Diferencia Placa</v>
      </c>
      <c r="T34" s="5"/>
    </row>
    <row r="35" spans="1:20">
      <c r="A35" s="12">
        <v>46174</v>
      </c>
      <c r="B35" s="9">
        <v>4977</v>
      </c>
      <c r="C35" s="9" t="s">
        <v>163</v>
      </c>
      <c r="D35" s="7">
        <f>Carga_Camiones!M35</f>
        <v>0</v>
      </c>
      <c r="E35" s="17">
        <f>Carga_Camiones!N35</f>
        <v>0</v>
      </c>
      <c r="F35" s="10">
        <f>Carga_Camiones!O35</f>
        <v>0</v>
      </c>
      <c r="G35" s="4">
        <v>4977</v>
      </c>
      <c r="H35" s="5" t="s">
        <v>259</v>
      </c>
      <c r="I35" s="4" t="s">
        <v>258</v>
      </c>
      <c r="J35" s="5" t="s">
        <v>264</v>
      </c>
      <c r="K35" s="4" t="s">
        <v>269</v>
      </c>
      <c r="L35" s="4">
        <v>15</v>
      </c>
      <c r="M35" s="5" t="s">
        <v>262</v>
      </c>
      <c r="N35" s="15">
        <v>0.37708333333333333</v>
      </c>
      <c r="O35" s="8"/>
      <c r="P35" s="5"/>
      <c r="Q35" s="5"/>
      <c r="R35" s="10" t="str">
        <f t="shared" si="0"/>
        <v/>
      </c>
      <c r="S35" s="4" t="str">
        <f>IF(G35="","Pendiente",IF(K35=Carga_Camiones!G35,"OK","Diferencia Placa"))</f>
        <v>Diferencia Placa</v>
      </c>
      <c r="T35" s="5"/>
    </row>
    <row r="36" spans="1:20">
      <c r="A36" s="12">
        <v>46174</v>
      </c>
      <c r="B36" s="9">
        <v>4978</v>
      </c>
      <c r="C36" s="9" t="s">
        <v>163</v>
      </c>
      <c r="D36" s="7">
        <f>Carga_Camiones!M36</f>
        <v>0</v>
      </c>
      <c r="E36" s="17">
        <f>Carga_Camiones!N36</f>
        <v>0</v>
      </c>
      <c r="F36" s="10">
        <f>Carga_Camiones!O36</f>
        <v>0</v>
      </c>
      <c r="G36" s="4">
        <v>4978</v>
      </c>
      <c r="H36" s="5" t="s">
        <v>259</v>
      </c>
      <c r="I36" s="4" t="s">
        <v>258</v>
      </c>
      <c r="J36" s="5" t="s">
        <v>264</v>
      </c>
      <c r="K36" s="4" t="s">
        <v>270</v>
      </c>
      <c r="L36" s="4">
        <v>15</v>
      </c>
      <c r="M36" s="5" t="s">
        <v>271</v>
      </c>
      <c r="N36" s="15">
        <v>0.39027777777777778</v>
      </c>
      <c r="O36" s="8"/>
      <c r="P36" s="5"/>
      <c r="Q36" s="5"/>
      <c r="R36" s="10" t="str">
        <f t="shared" si="0"/>
        <v/>
      </c>
      <c r="S36" s="4" t="str">
        <f>IF(G36="","Pendiente",IF(K36=Carga_Camiones!G36,"OK","Diferencia Placa"))</f>
        <v>Diferencia Placa</v>
      </c>
      <c r="T36" s="5"/>
    </row>
    <row r="37" spans="1:20">
      <c r="A37" s="12">
        <v>46175</v>
      </c>
      <c r="B37" s="9">
        <v>4996</v>
      </c>
      <c r="C37" s="9" t="s">
        <v>163</v>
      </c>
      <c r="D37" s="7">
        <f>Carga_Camiones!M37</f>
        <v>0</v>
      </c>
      <c r="E37" s="17">
        <f>Carga_Camiones!N37</f>
        <v>0</v>
      </c>
      <c r="F37" s="10">
        <f>Carga_Camiones!O37</f>
        <v>0</v>
      </c>
      <c r="G37" s="4">
        <v>4996</v>
      </c>
      <c r="H37" s="5" t="s">
        <v>259</v>
      </c>
      <c r="I37" s="4" t="s">
        <v>258</v>
      </c>
      <c r="J37" s="5" t="s">
        <v>264</v>
      </c>
      <c r="K37" s="4" t="s">
        <v>272</v>
      </c>
      <c r="L37" s="4">
        <v>15</v>
      </c>
      <c r="M37" s="5" t="s">
        <v>262</v>
      </c>
      <c r="N37" s="15">
        <v>0.4861111111111111</v>
      </c>
      <c r="O37" s="8"/>
      <c r="P37" s="5"/>
      <c r="Q37" s="5"/>
      <c r="R37" s="10" t="str">
        <f t="shared" si="0"/>
        <v/>
      </c>
      <c r="S37" s="4" t="str">
        <f>IF(G37="","Pendiente",IF(K37=Carga_Camiones!G37,"OK","Diferencia Placa"))</f>
        <v>Diferencia Placa</v>
      </c>
      <c r="T37" s="5"/>
    </row>
    <row r="38" spans="1:20">
      <c r="A38" s="12">
        <v>46175</v>
      </c>
      <c r="B38" s="9">
        <v>4997</v>
      </c>
      <c r="C38" s="9" t="s">
        <v>163</v>
      </c>
      <c r="D38" s="7">
        <f>Carga_Camiones!M38</f>
        <v>0</v>
      </c>
      <c r="E38" s="17">
        <f>Carga_Camiones!N38</f>
        <v>0</v>
      </c>
      <c r="F38" s="10">
        <f>Carga_Camiones!O38</f>
        <v>0</v>
      </c>
      <c r="G38" s="4">
        <v>4997</v>
      </c>
      <c r="H38" s="5" t="s">
        <v>259</v>
      </c>
      <c r="I38" s="4" t="s">
        <v>258</v>
      </c>
      <c r="J38" s="5" t="s">
        <v>264</v>
      </c>
      <c r="K38" s="4" t="s">
        <v>273</v>
      </c>
      <c r="L38" s="4">
        <v>7</v>
      </c>
      <c r="M38" s="5" t="s">
        <v>274</v>
      </c>
      <c r="N38" s="15">
        <v>0.49305555555555558</v>
      </c>
      <c r="O38" s="8"/>
      <c r="P38" s="5"/>
      <c r="Q38" s="5"/>
      <c r="R38" s="10" t="str">
        <f t="shared" ref="R38:R69" si="1">IF(O38="","",F38-O38)</f>
        <v/>
      </c>
      <c r="S38" s="4" t="str">
        <f>IF(G38="","Pendiente",IF(K38=Carga_Camiones!G38,"OK","Diferencia Placa"))</f>
        <v>Diferencia Placa</v>
      </c>
      <c r="T38" s="5"/>
    </row>
    <row r="39" spans="1:20">
      <c r="A39" s="12">
        <v>46175</v>
      </c>
      <c r="B39" s="9">
        <v>4998</v>
      </c>
      <c r="C39" s="9" t="s">
        <v>163</v>
      </c>
      <c r="D39" s="7">
        <f>Carga_Camiones!M39</f>
        <v>0</v>
      </c>
      <c r="E39" s="17">
        <f>Carga_Camiones!N39</f>
        <v>0</v>
      </c>
      <c r="F39" s="10">
        <f>Carga_Camiones!O39</f>
        <v>0</v>
      </c>
      <c r="G39" s="4">
        <v>49998</v>
      </c>
      <c r="H39" s="5" t="s">
        <v>259</v>
      </c>
      <c r="I39" s="4" t="s">
        <v>258</v>
      </c>
      <c r="J39" s="5" t="s">
        <v>264</v>
      </c>
      <c r="K39" s="4" t="s">
        <v>275</v>
      </c>
      <c r="L39" s="4">
        <v>15</v>
      </c>
      <c r="M39" s="5" t="s">
        <v>218</v>
      </c>
      <c r="N39" s="15">
        <v>0.50555555555555554</v>
      </c>
      <c r="O39" s="8"/>
      <c r="P39" s="5"/>
      <c r="Q39" s="5"/>
      <c r="R39" s="10" t="str">
        <f t="shared" si="1"/>
        <v/>
      </c>
      <c r="S39" s="4" t="str">
        <f>IF(G39="","Pendiente",IF(K39=Carga_Camiones!G39,"OK","Diferencia Placa"))</f>
        <v>Diferencia Placa</v>
      </c>
      <c r="T39" s="5"/>
    </row>
    <row r="40" spans="1:20">
      <c r="A40" s="12">
        <v>46175</v>
      </c>
      <c r="B40" s="9">
        <v>4999</v>
      </c>
      <c r="C40" s="9" t="s">
        <v>163</v>
      </c>
      <c r="D40" s="7">
        <f>Carga_Camiones!M40</f>
        <v>0</v>
      </c>
      <c r="E40" s="17">
        <f>Carga_Camiones!N40</f>
        <v>0</v>
      </c>
      <c r="F40" s="10">
        <f>Carga_Camiones!O40</f>
        <v>0</v>
      </c>
      <c r="G40" s="4">
        <v>4999</v>
      </c>
      <c r="H40" s="5" t="s">
        <v>259</v>
      </c>
      <c r="I40" s="4" t="s">
        <v>258</v>
      </c>
      <c r="J40" s="5" t="s">
        <v>264</v>
      </c>
      <c r="K40" s="4" t="s">
        <v>276</v>
      </c>
      <c r="L40" s="4">
        <v>15</v>
      </c>
      <c r="M40" s="5" t="s">
        <v>277</v>
      </c>
      <c r="N40" s="15">
        <v>0.5180555555555556</v>
      </c>
      <c r="O40" s="8"/>
      <c r="P40" s="5"/>
      <c r="Q40" s="5"/>
      <c r="R40" s="10" t="str">
        <f t="shared" si="1"/>
        <v/>
      </c>
      <c r="S40" s="4" t="str">
        <f>IF(G40="","Pendiente",IF(K40=Carga_Camiones!G40,"OK","Diferencia Placa"))</f>
        <v>Diferencia Placa</v>
      </c>
      <c r="T40" s="5"/>
    </row>
    <row r="41" spans="1:20">
      <c r="A41" s="12">
        <v>46175</v>
      </c>
      <c r="B41" s="9">
        <v>5000</v>
      </c>
      <c r="C41" s="9" t="s">
        <v>163</v>
      </c>
      <c r="D41" s="7">
        <f>Carga_Camiones!M41</f>
        <v>0</v>
      </c>
      <c r="E41" s="17">
        <f>Carga_Camiones!N41</f>
        <v>0</v>
      </c>
      <c r="F41" s="10">
        <f>Carga_Camiones!O41</f>
        <v>0</v>
      </c>
      <c r="G41" s="4">
        <v>5000</v>
      </c>
      <c r="H41" s="5" t="s">
        <v>259</v>
      </c>
      <c r="I41" s="4" t="s">
        <v>258</v>
      </c>
      <c r="J41" s="5" t="s">
        <v>264</v>
      </c>
      <c r="K41" s="4" t="s">
        <v>278</v>
      </c>
      <c r="L41" s="4">
        <v>15</v>
      </c>
      <c r="M41" s="5" t="s">
        <v>100</v>
      </c>
      <c r="N41" s="15">
        <v>0.53194444444444444</v>
      </c>
      <c r="O41" s="8"/>
      <c r="P41" s="5"/>
      <c r="Q41" s="5"/>
      <c r="R41" s="10" t="str">
        <f t="shared" si="1"/>
        <v/>
      </c>
      <c r="S41" s="4" t="str">
        <f>IF(G41="","Pendiente",IF(K41=Carga_Camiones!G41,"OK","Diferencia Placa"))</f>
        <v>Diferencia Placa</v>
      </c>
      <c r="T41" s="5"/>
    </row>
    <row r="42" spans="1:20">
      <c r="A42" s="12">
        <v>46175</v>
      </c>
      <c r="B42" s="9">
        <v>5551</v>
      </c>
      <c r="C42" s="9" t="s">
        <v>163</v>
      </c>
      <c r="D42" s="7">
        <f>Carga_Camiones!M42</f>
        <v>0</v>
      </c>
      <c r="E42" s="17">
        <f>Carga_Camiones!N42</f>
        <v>0</v>
      </c>
      <c r="F42" s="10">
        <f>Carga_Camiones!O42</f>
        <v>0</v>
      </c>
      <c r="G42" s="4">
        <v>5551</v>
      </c>
      <c r="H42" s="5" t="s">
        <v>259</v>
      </c>
      <c r="I42" s="4" t="s">
        <v>258</v>
      </c>
      <c r="J42" s="5" t="s">
        <v>264</v>
      </c>
      <c r="K42" s="4" t="s">
        <v>270</v>
      </c>
      <c r="L42" s="4">
        <v>15</v>
      </c>
      <c r="M42" s="5" t="s">
        <v>271</v>
      </c>
      <c r="N42" s="15">
        <v>0.54513888888888884</v>
      </c>
      <c r="O42" s="8"/>
      <c r="P42" s="5"/>
      <c r="Q42" s="5"/>
      <c r="R42" s="10" t="str">
        <f t="shared" si="1"/>
        <v/>
      </c>
      <c r="S42" s="4" t="str">
        <f>IF(G42="","Pendiente",IF(K42=Carga_Camiones!G42,"OK","Diferencia Placa"))</f>
        <v>Diferencia Placa</v>
      </c>
      <c r="T42" s="5"/>
    </row>
    <row r="43" spans="1:20">
      <c r="A43" s="12">
        <v>46175</v>
      </c>
      <c r="B43" s="9">
        <v>5552</v>
      </c>
      <c r="C43" s="9" t="s">
        <v>163</v>
      </c>
      <c r="D43" s="7">
        <f>Carga_Camiones!M43</f>
        <v>0</v>
      </c>
      <c r="E43" s="17">
        <f>Carga_Camiones!N43</f>
        <v>0</v>
      </c>
      <c r="F43" s="10">
        <f>Carga_Camiones!O43</f>
        <v>0</v>
      </c>
      <c r="G43" s="4">
        <v>5552</v>
      </c>
      <c r="H43" s="5" t="s">
        <v>259</v>
      </c>
      <c r="I43" s="4" t="s">
        <v>258</v>
      </c>
      <c r="J43" s="5" t="s">
        <v>264</v>
      </c>
      <c r="K43" s="4" t="s">
        <v>275</v>
      </c>
      <c r="L43" s="4">
        <v>15</v>
      </c>
      <c r="M43" s="5" t="s">
        <v>218</v>
      </c>
      <c r="N43" s="15">
        <v>0.69097222222222221</v>
      </c>
      <c r="O43" s="8"/>
      <c r="P43" s="5"/>
      <c r="Q43" s="5"/>
      <c r="R43" s="10" t="str">
        <f t="shared" si="1"/>
        <v/>
      </c>
      <c r="S43" s="4" t="str">
        <f>IF(G43="","Pendiente",IF(K43=Carga_Camiones!G43,"OK","Diferencia Placa"))</f>
        <v>Diferencia Placa</v>
      </c>
      <c r="T43" s="5"/>
    </row>
    <row r="44" spans="1:20">
      <c r="A44" s="12">
        <v>46175</v>
      </c>
      <c r="B44" s="9">
        <v>5553</v>
      </c>
      <c r="C44" s="9" t="s">
        <v>163</v>
      </c>
      <c r="D44" s="7">
        <f>Carga_Camiones!M44</f>
        <v>0</v>
      </c>
      <c r="E44" s="17">
        <f>Carga_Camiones!N44</f>
        <v>0</v>
      </c>
      <c r="F44" s="10">
        <f>Carga_Camiones!O44</f>
        <v>0</v>
      </c>
      <c r="G44" s="4">
        <v>5553</v>
      </c>
      <c r="H44" s="5" t="s">
        <v>259</v>
      </c>
      <c r="I44" s="4" t="s">
        <v>258</v>
      </c>
      <c r="J44" s="5" t="s">
        <v>264</v>
      </c>
      <c r="K44" s="4" t="s">
        <v>270</v>
      </c>
      <c r="L44" s="4">
        <v>12</v>
      </c>
      <c r="M44" s="5" t="s">
        <v>271</v>
      </c>
      <c r="N44" s="15">
        <v>0.70138888888888884</v>
      </c>
      <c r="O44" s="8"/>
      <c r="P44" s="5"/>
      <c r="Q44" s="5"/>
      <c r="R44" s="10" t="str">
        <f t="shared" si="1"/>
        <v/>
      </c>
      <c r="S44" s="4" t="str">
        <f>IF(G44="","Pendiente",IF(K44=Carga_Camiones!G44,"OK","Diferencia Placa"))</f>
        <v>Diferencia Placa</v>
      </c>
      <c r="T44" s="5"/>
    </row>
    <row r="45" spans="1:20">
      <c r="A45" s="12">
        <v>46176</v>
      </c>
      <c r="B45" s="9">
        <v>5576</v>
      </c>
      <c r="C45" s="9" t="s">
        <v>163</v>
      </c>
      <c r="D45" s="7">
        <f>Carga_Camiones!M45</f>
        <v>0</v>
      </c>
      <c r="E45" s="17">
        <f>Carga_Camiones!N45</f>
        <v>0</v>
      </c>
      <c r="F45" s="10">
        <f>Carga_Camiones!O45</f>
        <v>0</v>
      </c>
      <c r="G45" s="4">
        <v>5576</v>
      </c>
      <c r="H45" s="5" t="s">
        <v>259</v>
      </c>
      <c r="I45" s="4" t="s">
        <v>258</v>
      </c>
      <c r="J45" s="5" t="s">
        <v>29</v>
      </c>
      <c r="K45" s="4" t="s">
        <v>279</v>
      </c>
      <c r="L45" s="4">
        <v>15</v>
      </c>
      <c r="M45" s="5" t="s">
        <v>277</v>
      </c>
      <c r="N45" s="15">
        <v>0.47499999999999998</v>
      </c>
      <c r="O45" s="8"/>
      <c r="P45" s="5"/>
      <c r="Q45" s="5"/>
      <c r="R45" s="10" t="str">
        <f t="shared" si="1"/>
        <v/>
      </c>
      <c r="S45" s="4" t="str">
        <f>IF(G45="","Pendiente",IF(K45=Carga_Camiones!G45,"OK","Diferencia Placa"))</f>
        <v>Diferencia Placa</v>
      </c>
      <c r="T45" s="5"/>
    </row>
    <row r="46" spans="1:20">
      <c r="A46" s="12">
        <v>46176</v>
      </c>
      <c r="B46" s="9">
        <v>5577</v>
      </c>
      <c r="C46" s="9" t="s">
        <v>163</v>
      </c>
      <c r="D46" s="7">
        <f>Carga_Camiones!M46</f>
        <v>0</v>
      </c>
      <c r="E46" s="17">
        <f>Carga_Camiones!N46</f>
        <v>0</v>
      </c>
      <c r="F46" s="10">
        <f>Carga_Camiones!O46</f>
        <v>0</v>
      </c>
      <c r="G46" s="4">
        <v>5577</v>
      </c>
      <c r="H46" s="5" t="s">
        <v>259</v>
      </c>
      <c r="I46" s="4" t="s">
        <v>258</v>
      </c>
      <c r="J46" s="5" t="s">
        <v>29</v>
      </c>
      <c r="K46" s="4" t="s">
        <v>280</v>
      </c>
      <c r="L46" s="4">
        <v>15</v>
      </c>
      <c r="M46" s="5" t="s">
        <v>194</v>
      </c>
      <c r="N46" s="15">
        <v>0.53055555555555556</v>
      </c>
      <c r="O46" s="8"/>
      <c r="P46" s="5"/>
      <c r="Q46" s="5"/>
      <c r="R46" s="10" t="str">
        <f t="shared" si="1"/>
        <v/>
      </c>
      <c r="S46" s="4" t="str">
        <f>IF(G46="","Pendiente",IF(K46=Carga_Camiones!G46,"OK","Diferencia Placa"))</f>
        <v>Diferencia Placa</v>
      </c>
      <c r="T46" s="5"/>
    </row>
    <row r="47" spans="1:20">
      <c r="A47" s="12">
        <v>46176</v>
      </c>
      <c r="B47" s="9">
        <v>5578</v>
      </c>
      <c r="C47" s="9" t="s">
        <v>163</v>
      </c>
      <c r="D47" s="7">
        <f>Carga_Camiones!M47</f>
        <v>0</v>
      </c>
      <c r="E47" s="17">
        <f>Carga_Camiones!N47</f>
        <v>0</v>
      </c>
      <c r="F47" s="10">
        <f>Carga_Camiones!O47</f>
        <v>0</v>
      </c>
      <c r="G47" s="4">
        <v>5578</v>
      </c>
      <c r="H47" s="5" t="s">
        <v>259</v>
      </c>
      <c r="I47" s="4" t="s">
        <v>258</v>
      </c>
      <c r="J47" s="5" t="s">
        <v>264</v>
      </c>
      <c r="K47" s="4" t="s">
        <v>273</v>
      </c>
      <c r="L47" s="4">
        <v>6</v>
      </c>
      <c r="M47" s="5" t="s">
        <v>274</v>
      </c>
      <c r="N47" s="15"/>
      <c r="O47" s="8"/>
      <c r="P47" s="5"/>
      <c r="Q47" s="5"/>
      <c r="R47" s="10" t="str">
        <f t="shared" si="1"/>
        <v/>
      </c>
      <c r="S47" s="4" t="str">
        <f>IF(G47="","Pendiente",IF(K47=Carga_Camiones!G47,"OK","Diferencia Placa"))</f>
        <v>Diferencia Placa</v>
      </c>
      <c r="T47" s="5"/>
    </row>
    <row r="48" spans="1:20">
      <c r="A48" s="12">
        <v>46162</v>
      </c>
      <c r="B48" s="9">
        <v>541</v>
      </c>
      <c r="C48" s="9" t="s">
        <v>163</v>
      </c>
      <c r="D48" s="7">
        <f>Carga_Camiones!M48</f>
        <v>0</v>
      </c>
      <c r="E48" s="17">
        <f>Carga_Camiones!N48</f>
        <v>0</v>
      </c>
      <c r="F48" s="10">
        <v>160</v>
      </c>
      <c r="G48" s="4">
        <v>541</v>
      </c>
      <c r="H48" s="5" t="s">
        <v>259</v>
      </c>
      <c r="I48" s="4" t="s">
        <v>258</v>
      </c>
      <c r="J48" s="5" t="s">
        <v>264</v>
      </c>
      <c r="K48" s="4" t="s">
        <v>269</v>
      </c>
      <c r="L48" s="4">
        <v>15</v>
      </c>
      <c r="M48" s="5" t="s">
        <v>262</v>
      </c>
      <c r="N48" s="15">
        <v>0.45624999999999999</v>
      </c>
      <c r="O48" s="8"/>
      <c r="P48" s="5"/>
      <c r="Q48" s="5"/>
      <c r="R48" s="10" t="str">
        <f t="shared" si="1"/>
        <v/>
      </c>
      <c r="S48" s="4" t="str">
        <f>IF(G48="","Pendiente",IF(K48=Carga_Camiones!G48,"OK","Diferencia Placa"))</f>
        <v>Diferencia Placa</v>
      </c>
      <c r="T48" s="5"/>
    </row>
    <row r="49" spans="1:20">
      <c r="A49" s="12">
        <v>46162</v>
      </c>
      <c r="B49" s="9">
        <v>542</v>
      </c>
      <c r="C49" s="9" t="s">
        <v>163</v>
      </c>
      <c r="D49" s="7">
        <f>Carga_Camiones!M49</f>
        <v>0</v>
      </c>
      <c r="E49" s="17">
        <f>Carga_Camiones!N49</f>
        <v>0</v>
      </c>
      <c r="F49" s="10">
        <v>160</v>
      </c>
      <c r="G49" s="4">
        <v>542</v>
      </c>
      <c r="H49" s="5" t="s">
        <v>259</v>
      </c>
      <c r="I49" s="4" t="s">
        <v>258</v>
      </c>
      <c r="J49" s="5" t="s">
        <v>264</v>
      </c>
      <c r="K49" s="4" t="s">
        <v>261</v>
      </c>
      <c r="L49" s="4">
        <v>15</v>
      </c>
      <c r="M49" s="5" t="s">
        <v>210</v>
      </c>
      <c r="N49" s="15">
        <v>0.47013888888888888</v>
      </c>
      <c r="O49" s="8"/>
      <c r="P49" s="5"/>
      <c r="Q49" s="5"/>
      <c r="R49" s="10" t="str">
        <f t="shared" si="1"/>
        <v/>
      </c>
      <c r="S49" s="4" t="str">
        <f>IF(G49="","Pendiente",IF(K49=Carga_Camiones!G49,"OK","Diferencia Placa"))</f>
        <v>Diferencia Placa</v>
      </c>
      <c r="T49" s="5"/>
    </row>
    <row r="50" spans="1:20">
      <c r="A50" s="12">
        <v>46162</v>
      </c>
      <c r="B50" s="9">
        <v>543</v>
      </c>
      <c r="C50" s="9" t="s">
        <v>163</v>
      </c>
      <c r="D50" s="7">
        <f>Carga_Camiones!M50</f>
        <v>0</v>
      </c>
      <c r="E50" s="17">
        <f>Carga_Camiones!N50</f>
        <v>0</v>
      </c>
      <c r="F50" s="10">
        <v>160</v>
      </c>
      <c r="G50" s="4">
        <v>543</v>
      </c>
      <c r="H50" s="5" t="s">
        <v>259</v>
      </c>
      <c r="I50" s="4" t="s">
        <v>258</v>
      </c>
      <c r="J50" s="5" t="s">
        <v>264</v>
      </c>
      <c r="K50" s="4" t="s">
        <v>281</v>
      </c>
      <c r="L50" s="4">
        <v>15</v>
      </c>
      <c r="M50" s="5" t="s">
        <v>214</v>
      </c>
      <c r="N50" s="15">
        <v>0.48472222222222222</v>
      </c>
      <c r="O50" s="8"/>
      <c r="P50" s="5"/>
      <c r="Q50" s="5"/>
      <c r="R50" s="10" t="str">
        <f t="shared" si="1"/>
        <v/>
      </c>
      <c r="S50" s="4" t="str">
        <f>IF(G50="","Pendiente",IF(K50=Carga_Camiones!G50,"OK","Diferencia Placa"))</f>
        <v>Diferencia Placa</v>
      </c>
      <c r="T50" s="5"/>
    </row>
    <row r="51" spans="1:20">
      <c r="A51" s="12">
        <v>46162</v>
      </c>
      <c r="B51" s="9">
        <v>544</v>
      </c>
      <c r="C51" s="9" t="s">
        <v>163</v>
      </c>
      <c r="D51" s="7">
        <f>Carga_Camiones!M51</f>
        <v>0</v>
      </c>
      <c r="E51" s="17">
        <f>Carga_Camiones!N51</f>
        <v>0</v>
      </c>
      <c r="F51" s="10">
        <v>160</v>
      </c>
      <c r="G51" s="4">
        <v>544</v>
      </c>
      <c r="H51" s="5" t="s">
        <v>259</v>
      </c>
      <c r="I51" s="4" t="s">
        <v>258</v>
      </c>
      <c r="J51" s="5" t="s">
        <v>264</v>
      </c>
      <c r="K51" s="4" t="s">
        <v>282</v>
      </c>
      <c r="L51" s="4">
        <v>15</v>
      </c>
      <c r="M51" s="5" t="s">
        <v>192</v>
      </c>
      <c r="N51" s="15">
        <v>0.5</v>
      </c>
      <c r="O51" s="8"/>
      <c r="P51" s="5"/>
      <c r="Q51" s="5"/>
      <c r="R51" s="10" t="str">
        <f t="shared" si="1"/>
        <v/>
      </c>
      <c r="S51" s="4" t="str">
        <f>IF(G51="","Pendiente",IF(K51=Carga_Camiones!G51,"OK","Diferencia Placa"))</f>
        <v>Diferencia Placa</v>
      </c>
      <c r="T51" s="5"/>
    </row>
    <row r="52" spans="1:20">
      <c r="A52" s="12">
        <v>46163</v>
      </c>
      <c r="B52" s="9">
        <v>4664</v>
      </c>
      <c r="C52" s="9" t="s">
        <v>163</v>
      </c>
      <c r="D52" s="7">
        <f>Carga_Camiones!M52</f>
        <v>0</v>
      </c>
      <c r="E52" s="17">
        <f>Carga_Camiones!N52</f>
        <v>0</v>
      </c>
      <c r="F52" s="10">
        <f>Carga_Camiones!O52</f>
        <v>0</v>
      </c>
      <c r="G52" s="4">
        <v>4664</v>
      </c>
      <c r="H52" s="5" t="s">
        <v>259</v>
      </c>
      <c r="I52" s="4" t="s">
        <v>258</v>
      </c>
      <c r="J52" s="5" t="s">
        <v>264</v>
      </c>
      <c r="K52" s="4" t="s">
        <v>261</v>
      </c>
      <c r="L52" s="4">
        <v>15</v>
      </c>
      <c r="M52" s="5" t="s">
        <v>210</v>
      </c>
      <c r="N52" s="15">
        <v>0.47361111111111109</v>
      </c>
      <c r="O52" s="8"/>
      <c r="P52" s="5"/>
      <c r="Q52" s="5"/>
      <c r="R52" s="10" t="str">
        <f t="shared" si="1"/>
        <v/>
      </c>
      <c r="S52" s="4" t="str">
        <f>IF(G52="","Pendiente",IF(K52=Carga_Camiones!G52,"OK","Diferencia Placa"))</f>
        <v>Diferencia Placa</v>
      </c>
      <c r="T52" s="5"/>
    </row>
    <row r="53" spans="1:20">
      <c r="A53" s="12">
        <v>46163</v>
      </c>
      <c r="B53" s="9">
        <v>4665</v>
      </c>
      <c r="C53" s="9" t="s">
        <v>163</v>
      </c>
      <c r="D53" s="7">
        <f>Carga_Camiones!M53</f>
        <v>0</v>
      </c>
      <c r="E53" s="17">
        <f>Carga_Camiones!N53</f>
        <v>0</v>
      </c>
      <c r="F53" s="10">
        <f>Carga_Camiones!O53</f>
        <v>0</v>
      </c>
      <c r="G53" s="4">
        <v>4665</v>
      </c>
      <c r="H53" s="5" t="s">
        <v>259</v>
      </c>
      <c r="I53" s="4" t="s">
        <v>258</v>
      </c>
      <c r="J53" s="5" t="s">
        <v>264</v>
      </c>
      <c r="K53" s="4" t="s">
        <v>269</v>
      </c>
      <c r="L53" s="4">
        <v>15</v>
      </c>
      <c r="M53" s="5" t="s">
        <v>283</v>
      </c>
      <c r="N53" s="15">
        <v>0.53749999999999998</v>
      </c>
      <c r="O53" s="8"/>
      <c r="P53" s="5"/>
      <c r="Q53" s="5"/>
      <c r="R53" s="10" t="str">
        <f t="shared" si="1"/>
        <v/>
      </c>
      <c r="S53" s="4" t="str">
        <f>IF(G53="","Pendiente",IF(K53=Carga_Camiones!G53,"OK","Diferencia Placa"))</f>
        <v>Diferencia Placa</v>
      </c>
      <c r="T53" s="5"/>
    </row>
    <row r="54" spans="1:20">
      <c r="A54" s="12">
        <v>46163</v>
      </c>
      <c r="B54" s="9">
        <v>4666</v>
      </c>
      <c r="C54" s="9" t="s">
        <v>163</v>
      </c>
      <c r="D54" s="7">
        <f>Carga_Camiones!M54</f>
        <v>0</v>
      </c>
      <c r="E54" s="17">
        <f>Carga_Camiones!N54</f>
        <v>0</v>
      </c>
      <c r="F54" s="10">
        <f>Carga_Camiones!O54</f>
        <v>0</v>
      </c>
      <c r="G54" s="4">
        <v>4666</v>
      </c>
      <c r="H54" s="5" t="s">
        <v>259</v>
      </c>
      <c r="I54" s="4" t="s">
        <v>258</v>
      </c>
      <c r="J54" s="5" t="s">
        <v>264</v>
      </c>
      <c r="K54" s="4" t="s">
        <v>270</v>
      </c>
      <c r="L54" s="4">
        <v>15</v>
      </c>
      <c r="M54" s="5" t="s">
        <v>271</v>
      </c>
      <c r="N54" s="15">
        <v>0.55208333333333337</v>
      </c>
      <c r="O54" s="8"/>
      <c r="P54" s="5"/>
      <c r="Q54" s="5"/>
      <c r="R54" s="10" t="str">
        <f t="shared" si="1"/>
        <v/>
      </c>
      <c r="S54" s="4" t="str">
        <f>IF(G54="","Pendiente",IF(K54=Carga_Camiones!G54,"OK","Diferencia Placa"))</f>
        <v>Diferencia Placa</v>
      </c>
      <c r="T54" s="5"/>
    </row>
    <row r="55" spans="1:20">
      <c r="A55" s="12">
        <v>46164</v>
      </c>
      <c r="B55" s="9">
        <v>4865</v>
      </c>
      <c r="C55" s="9" t="s">
        <v>163</v>
      </c>
      <c r="D55" s="7">
        <f>Carga_Camiones!M55</f>
        <v>0</v>
      </c>
      <c r="E55" s="17">
        <f>Carga_Camiones!N55</f>
        <v>0</v>
      </c>
      <c r="F55" s="10">
        <f>Carga_Camiones!O55</f>
        <v>0</v>
      </c>
      <c r="G55" s="4">
        <v>4865</v>
      </c>
      <c r="H55" s="5" t="s">
        <v>259</v>
      </c>
      <c r="I55" s="4" t="s">
        <v>258</v>
      </c>
      <c r="J55" s="5" t="s">
        <v>264</v>
      </c>
      <c r="K55" s="4" t="s">
        <v>270</v>
      </c>
      <c r="L55" s="4">
        <v>14</v>
      </c>
      <c r="M55" s="5" t="s">
        <v>271</v>
      </c>
      <c r="N55" s="15">
        <v>0.375</v>
      </c>
      <c r="O55" s="8"/>
      <c r="P55" s="5"/>
      <c r="Q55" s="5"/>
      <c r="R55" s="10" t="str">
        <f t="shared" si="1"/>
        <v/>
      </c>
      <c r="S55" s="4" t="str">
        <f>IF(G55="","Pendiente",IF(K55=Carga_Camiones!G55,"OK","Diferencia Placa"))</f>
        <v>Diferencia Placa</v>
      </c>
      <c r="T55" s="5"/>
    </row>
    <row r="56" spans="1:20">
      <c r="A56" s="12">
        <v>46165</v>
      </c>
      <c r="B56" s="9">
        <v>4854</v>
      </c>
      <c r="C56" s="9" t="s">
        <v>163</v>
      </c>
      <c r="D56" s="7">
        <f>Carga_Camiones!M56</f>
        <v>0</v>
      </c>
      <c r="E56" s="17">
        <f>Carga_Camiones!N56</f>
        <v>0</v>
      </c>
      <c r="F56" s="10">
        <f>Carga_Camiones!O56</f>
        <v>0</v>
      </c>
      <c r="G56" s="4">
        <v>4854</v>
      </c>
      <c r="H56" s="5" t="s">
        <v>259</v>
      </c>
      <c r="I56" s="4" t="s">
        <v>258</v>
      </c>
      <c r="J56" s="5" t="s">
        <v>264</v>
      </c>
      <c r="K56" s="4" t="s">
        <v>265</v>
      </c>
      <c r="L56" s="4">
        <v>15</v>
      </c>
      <c r="M56" s="5" t="s">
        <v>194</v>
      </c>
      <c r="N56" s="15">
        <v>0.5</v>
      </c>
      <c r="O56" s="8"/>
      <c r="P56" s="5"/>
      <c r="Q56" s="5"/>
      <c r="R56" s="10" t="str">
        <f t="shared" si="1"/>
        <v/>
      </c>
      <c r="S56" s="4" t="str">
        <f>IF(G56="","Pendiente",IF(K56=Carga_Camiones!G56,"OK","Diferencia Placa"))</f>
        <v>Diferencia Placa</v>
      </c>
      <c r="T56" s="5"/>
    </row>
    <row r="57" spans="1:20">
      <c r="A57" s="12">
        <v>46165</v>
      </c>
      <c r="B57" s="9">
        <v>4855</v>
      </c>
      <c r="C57" s="9" t="s">
        <v>163</v>
      </c>
      <c r="D57" s="7">
        <f>Carga_Camiones!M57</f>
        <v>0</v>
      </c>
      <c r="E57" s="17">
        <f>Carga_Camiones!N57</f>
        <v>0</v>
      </c>
      <c r="F57" s="10">
        <f>Carga_Camiones!O57</f>
        <v>0</v>
      </c>
      <c r="G57" s="4">
        <v>4855</v>
      </c>
      <c r="H57" s="5" t="s">
        <v>259</v>
      </c>
      <c r="I57" s="4" t="s">
        <v>258</v>
      </c>
      <c r="J57" s="5" t="s">
        <v>264</v>
      </c>
      <c r="K57" s="4" t="s">
        <v>269</v>
      </c>
      <c r="L57" s="4">
        <v>15</v>
      </c>
      <c r="M57" s="5" t="s">
        <v>284</v>
      </c>
      <c r="N57" s="15">
        <v>0.51388888888888884</v>
      </c>
      <c r="O57" s="8"/>
      <c r="P57" s="5"/>
      <c r="Q57" s="5"/>
      <c r="R57" s="10" t="str">
        <f t="shared" si="1"/>
        <v/>
      </c>
      <c r="S57" s="4" t="str">
        <f>IF(G57="","Pendiente",IF(K57=Carga_Camiones!G57,"OK","Diferencia Placa"))</f>
        <v>Diferencia Placa</v>
      </c>
      <c r="T57" s="5"/>
    </row>
    <row r="58" spans="1:20">
      <c r="A58" s="12">
        <v>46165</v>
      </c>
      <c r="B58" s="9">
        <v>4856</v>
      </c>
      <c r="C58" s="9" t="s">
        <v>163</v>
      </c>
      <c r="D58" s="7">
        <f>Carga_Camiones!M58</f>
        <v>0</v>
      </c>
      <c r="E58" s="17">
        <f>Carga_Camiones!N58</f>
        <v>0</v>
      </c>
      <c r="F58" s="10">
        <f>Carga_Camiones!O58</f>
        <v>0</v>
      </c>
      <c r="G58" s="4">
        <v>4856</v>
      </c>
      <c r="H58" s="5" t="s">
        <v>259</v>
      </c>
      <c r="I58" s="4" t="s">
        <v>258</v>
      </c>
      <c r="J58" s="5" t="s">
        <v>264</v>
      </c>
      <c r="K58" s="4" t="s">
        <v>276</v>
      </c>
      <c r="L58" s="4">
        <v>15</v>
      </c>
      <c r="M58" s="5" t="s">
        <v>277</v>
      </c>
      <c r="N58" s="15">
        <v>0.7368055555555556</v>
      </c>
      <c r="O58" s="8"/>
      <c r="P58" s="5"/>
      <c r="Q58" s="5"/>
      <c r="R58" s="10" t="str">
        <f t="shared" si="1"/>
        <v/>
      </c>
      <c r="S58" s="4" t="str">
        <f>IF(G58="","Pendiente",IF(K58=Carga_Camiones!G58,"OK","Diferencia Placa"))</f>
        <v>Diferencia Placa</v>
      </c>
      <c r="T58" s="5"/>
    </row>
    <row r="59" spans="1:20">
      <c r="A59" s="12">
        <v>46167</v>
      </c>
      <c r="B59" s="9">
        <v>4875</v>
      </c>
      <c r="C59" s="9" t="s">
        <v>163</v>
      </c>
      <c r="D59" s="7">
        <f>Carga_Camiones!M59</f>
        <v>0</v>
      </c>
      <c r="E59" s="17">
        <f>Carga_Camiones!N59</f>
        <v>0</v>
      </c>
      <c r="F59" s="10">
        <f>Carga_Camiones!O59</f>
        <v>0</v>
      </c>
      <c r="G59" s="4">
        <v>4875</v>
      </c>
      <c r="H59" s="5" t="s">
        <v>259</v>
      </c>
      <c r="I59" s="4" t="s">
        <v>258</v>
      </c>
      <c r="J59" s="5" t="s">
        <v>264</v>
      </c>
      <c r="K59" s="4" t="s">
        <v>276</v>
      </c>
      <c r="L59" s="4">
        <v>15</v>
      </c>
      <c r="M59" s="5" t="s">
        <v>277</v>
      </c>
      <c r="N59" s="15">
        <v>0.51944444444444449</v>
      </c>
      <c r="O59" s="8"/>
      <c r="P59" s="5"/>
      <c r="Q59" s="5"/>
      <c r="R59" s="10" t="str">
        <f t="shared" si="1"/>
        <v/>
      </c>
      <c r="S59" s="4" t="str">
        <f>IF(G59="","Pendiente",IF(K59=Carga_Camiones!G59,"OK","Diferencia Placa"))</f>
        <v>Diferencia Placa</v>
      </c>
      <c r="T59" s="5"/>
    </row>
    <row r="60" spans="1:20">
      <c r="A60" s="12">
        <v>46167</v>
      </c>
      <c r="B60" s="9">
        <v>4876</v>
      </c>
      <c r="C60" s="9" t="s">
        <v>163</v>
      </c>
      <c r="D60" s="7">
        <f>Carga_Camiones!M60</f>
        <v>0</v>
      </c>
      <c r="E60" s="17">
        <f>Carga_Camiones!N60</f>
        <v>0</v>
      </c>
      <c r="F60" s="10">
        <f>Carga_Camiones!O60</f>
        <v>0</v>
      </c>
      <c r="G60" s="4">
        <v>4876</v>
      </c>
      <c r="H60" s="5" t="s">
        <v>259</v>
      </c>
      <c r="I60" s="4" t="s">
        <v>258</v>
      </c>
      <c r="J60" s="5" t="s">
        <v>264</v>
      </c>
      <c r="K60" s="4" t="s">
        <v>269</v>
      </c>
      <c r="L60" s="4">
        <v>15</v>
      </c>
      <c r="M60" s="5" t="s">
        <v>262</v>
      </c>
      <c r="N60" s="15">
        <v>0.4861111111111111</v>
      </c>
      <c r="O60" s="8"/>
      <c r="P60" s="5"/>
      <c r="Q60" s="5"/>
      <c r="R60" s="10" t="str">
        <f t="shared" si="1"/>
        <v/>
      </c>
      <c r="S60" s="4" t="str">
        <f>IF(G60="","Pendiente",IF(K60=Carga_Camiones!G60,"OK","Diferencia Placa"))</f>
        <v>Diferencia Placa</v>
      </c>
      <c r="T60" s="5"/>
    </row>
    <row r="61" spans="1:20">
      <c r="A61" s="12">
        <v>46167</v>
      </c>
      <c r="B61" s="9">
        <v>4878</v>
      </c>
      <c r="C61" s="9" t="s">
        <v>163</v>
      </c>
      <c r="D61" s="7">
        <f>Carga_Camiones!M61</f>
        <v>0</v>
      </c>
      <c r="E61" s="17">
        <f>Carga_Camiones!N61</f>
        <v>0</v>
      </c>
      <c r="F61" s="10">
        <f>Carga_Camiones!O61</f>
        <v>0</v>
      </c>
      <c r="G61" s="4">
        <v>4878</v>
      </c>
      <c r="H61" s="5" t="s">
        <v>259</v>
      </c>
      <c r="I61" s="4" t="s">
        <v>258</v>
      </c>
      <c r="J61" s="5" t="s">
        <v>264</v>
      </c>
      <c r="K61" s="4" t="s">
        <v>270</v>
      </c>
      <c r="L61" s="4">
        <v>15</v>
      </c>
      <c r="M61" s="5" t="s">
        <v>271</v>
      </c>
      <c r="N61" s="15">
        <v>0.50486111111111109</v>
      </c>
      <c r="O61" s="8"/>
      <c r="P61" s="5"/>
      <c r="Q61" s="5"/>
      <c r="R61" s="10" t="str">
        <f t="shared" si="1"/>
        <v/>
      </c>
      <c r="S61" s="4" t="str">
        <f>IF(G61="","Pendiente",IF(K61=Carga_Camiones!G61,"OK","Diferencia Placa"))</f>
        <v>Diferencia Placa</v>
      </c>
      <c r="T61" s="5"/>
    </row>
    <row r="62" spans="1:20">
      <c r="A62" s="12">
        <v>46167</v>
      </c>
      <c r="B62" s="9">
        <v>4879</v>
      </c>
      <c r="C62" s="9" t="s">
        <v>163</v>
      </c>
      <c r="D62" s="7">
        <f>Carga_Camiones!M62</f>
        <v>0</v>
      </c>
      <c r="E62" s="17">
        <f>Carga_Camiones!N62</f>
        <v>0</v>
      </c>
      <c r="F62" s="10">
        <f>Carga_Camiones!O62</f>
        <v>0</v>
      </c>
      <c r="G62" s="4">
        <v>4879</v>
      </c>
      <c r="H62" s="5" t="s">
        <v>259</v>
      </c>
      <c r="I62" s="4" t="s">
        <v>258</v>
      </c>
      <c r="J62" s="5" t="s">
        <v>264</v>
      </c>
      <c r="K62" s="4" t="s">
        <v>280</v>
      </c>
      <c r="L62" s="4">
        <v>15</v>
      </c>
      <c r="M62" s="5" t="s">
        <v>194</v>
      </c>
      <c r="N62" s="15">
        <v>0.5180555555555556</v>
      </c>
      <c r="O62" s="8"/>
      <c r="P62" s="5"/>
      <c r="Q62" s="5"/>
      <c r="R62" s="10" t="str">
        <f t="shared" si="1"/>
        <v/>
      </c>
      <c r="S62" s="4" t="str">
        <f>IF(G62="","Pendiente",IF(K62=Carga_Camiones!G62,"OK","Diferencia Placa"))</f>
        <v>Diferencia Placa</v>
      </c>
      <c r="T62" s="5"/>
    </row>
    <row r="63" spans="1:20">
      <c r="A63" s="12">
        <v>46167</v>
      </c>
      <c r="B63" s="9">
        <v>4881</v>
      </c>
      <c r="C63" s="9" t="s">
        <v>163</v>
      </c>
      <c r="D63" s="7">
        <f>Carga_Camiones!M63</f>
        <v>0</v>
      </c>
      <c r="E63" s="17">
        <f>Carga_Camiones!N63</f>
        <v>0</v>
      </c>
      <c r="F63" s="10">
        <f>Carga_Camiones!O63</f>
        <v>0</v>
      </c>
      <c r="G63" s="4">
        <v>4881</v>
      </c>
      <c r="H63" s="5" t="s">
        <v>259</v>
      </c>
      <c r="I63" s="4" t="s">
        <v>258</v>
      </c>
      <c r="J63" s="5" t="s">
        <v>264</v>
      </c>
      <c r="K63" s="4" t="s">
        <v>285</v>
      </c>
      <c r="L63" s="4">
        <v>15</v>
      </c>
      <c r="M63" s="5" t="s">
        <v>286</v>
      </c>
      <c r="N63" s="15">
        <v>0.54305555555555551</v>
      </c>
      <c r="O63" s="8"/>
      <c r="P63" s="5"/>
      <c r="Q63" s="5"/>
      <c r="R63" s="10" t="str">
        <f t="shared" si="1"/>
        <v/>
      </c>
      <c r="S63" s="4" t="str">
        <f>IF(G63="","Pendiente",IF(K63=Carga_Camiones!G63,"OK","Diferencia Placa"))</f>
        <v>Diferencia Placa</v>
      </c>
      <c r="T63" s="5"/>
    </row>
    <row r="64" spans="1:20">
      <c r="A64" s="12">
        <v>46168</v>
      </c>
      <c r="B64" s="9">
        <v>4900</v>
      </c>
      <c r="C64" s="9" t="s">
        <v>163</v>
      </c>
      <c r="D64" s="7">
        <f>Carga_Camiones!M64</f>
        <v>0</v>
      </c>
      <c r="E64" s="17">
        <f>Carga_Camiones!N64</f>
        <v>0</v>
      </c>
      <c r="F64" s="10">
        <f>Carga_Camiones!O64</f>
        <v>0</v>
      </c>
      <c r="G64" s="4">
        <v>4900</v>
      </c>
      <c r="H64" s="5" t="s">
        <v>259</v>
      </c>
      <c r="I64" s="4" t="s">
        <v>258</v>
      </c>
      <c r="J64" s="5" t="s">
        <v>260</v>
      </c>
      <c r="K64" s="4" t="s">
        <v>270</v>
      </c>
      <c r="L64" s="4">
        <v>15</v>
      </c>
      <c r="M64" s="5" t="s">
        <v>271</v>
      </c>
      <c r="N64" s="15"/>
      <c r="O64" s="8"/>
      <c r="P64" s="5"/>
      <c r="Q64" s="5"/>
      <c r="R64" s="10" t="str">
        <f t="shared" si="1"/>
        <v/>
      </c>
      <c r="S64" s="4" t="str">
        <f>IF(G64="","Pendiente",IF(K64=Carga_Camiones!G64,"OK","Diferencia Placa"))</f>
        <v>Diferencia Placa</v>
      </c>
      <c r="T64" s="5"/>
    </row>
    <row r="65" spans="1:20">
      <c r="A65" s="12">
        <v>46168</v>
      </c>
      <c r="B65" s="9">
        <v>4901</v>
      </c>
      <c r="C65" s="9" t="s">
        <v>163</v>
      </c>
      <c r="D65" s="7">
        <f>Carga_Camiones!M65</f>
        <v>0</v>
      </c>
      <c r="E65" s="17">
        <f>Carga_Camiones!N65</f>
        <v>0</v>
      </c>
      <c r="F65" s="10">
        <f>Carga_Camiones!O65</f>
        <v>0</v>
      </c>
      <c r="G65" s="4">
        <v>4901</v>
      </c>
      <c r="H65" s="5" t="s">
        <v>259</v>
      </c>
      <c r="I65" s="4" t="s">
        <v>258</v>
      </c>
      <c r="J65" s="5" t="s">
        <v>260</v>
      </c>
      <c r="K65" s="4" t="s">
        <v>287</v>
      </c>
      <c r="L65" s="4">
        <v>15</v>
      </c>
      <c r="M65" s="5" t="s">
        <v>288</v>
      </c>
      <c r="N65" s="15"/>
      <c r="O65" s="8"/>
      <c r="P65" s="5"/>
      <c r="Q65" s="5"/>
      <c r="R65" s="10" t="str">
        <f t="shared" si="1"/>
        <v/>
      </c>
      <c r="S65" s="4" t="str">
        <f>IF(G65="","Pendiente",IF(K65=Carga_Camiones!G65,"OK","Diferencia Placa"))</f>
        <v>Diferencia Placa</v>
      </c>
      <c r="T65" s="5"/>
    </row>
    <row r="66" spans="1:20">
      <c r="A66" s="12">
        <v>46168</v>
      </c>
      <c r="B66" s="9">
        <v>4896</v>
      </c>
      <c r="C66" s="9" t="s">
        <v>163</v>
      </c>
      <c r="D66" s="7">
        <f>Carga_Camiones!M66</f>
        <v>0</v>
      </c>
      <c r="E66" s="17">
        <f>Carga_Camiones!N66</f>
        <v>0</v>
      </c>
      <c r="F66" s="10">
        <f>Carga_Camiones!O66</f>
        <v>0</v>
      </c>
      <c r="G66" s="4">
        <v>4896</v>
      </c>
      <c r="H66" s="5" t="s">
        <v>259</v>
      </c>
      <c r="I66" s="4" t="s">
        <v>258</v>
      </c>
      <c r="J66" s="5" t="s">
        <v>264</v>
      </c>
      <c r="K66" s="4" t="s">
        <v>276</v>
      </c>
      <c r="L66" s="4">
        <v>15</v>
      </c>
      <c r="M66" s="5" t="s">
        <v>277</v>
      </c>
      <c r="N66" s="15">
        <v>0.46250000000000002</v>
      </c>
      <c r="O66" s="8"/>
      <c r="P66" s="5"/>
      <c r="Q66" s="5"/>
      <c r="R66" s="10" t="str">
        <f t="shared" si="1"/>
        <v/>
      </c>
      <c r="S66" s="4" t="str">
        <f>IF(G66="","Pendiente",IF(K66=Carga_Camiones!G66,"OK","Diferencia Placa"))</f>
        <v>Diferencia Placa</v>
      </c>
      <c r="T66" s="5"/>
    </row>
    <row r="67" spans="1:20">
      <c r="A67" s="12">
        <v>46168</v>
      </c>
      <c r="B67" s="9">
        <v>4897</v>
      </c>
      <c r="C67" s="9" t="s">
        <v>163</v>
      </c>
      <c r="D67" s="7">
        <f>Carga_Camiones!M67</f>
        <v>0</v>
      </c>
      <c r="E67" s="17">
        <f>Carga_Camiones!N67</f>
        <v>0</v>
      </c>
      <c r="F67" s="10">
        <f>Carga_Camiones!O67</f>
        <v>0</v>
      </c>
      <c r="G67" s="4">
        <v>4897</v>
      </c>
      <c r="H67" s="5" t="s">
        <v>259</v>
      </c>
      <c r="I67" s="4" t="s">
        <v>258</v>
      </c>
      <c r="J67" s="5" t="s">
        <v>264</v>
      </c>
      <c r="K67" s="4" t="s">
        <v>269</v>
      </c>
      <c r="L67" s="4">
        <v>15</v>
      </c>
      <c r="M67" s="5" t="s">
        <v>283</v>
      </c>
      <c r="N67" s="15">
        <v>0.47569444444444442</v>
      </c>
      <c r="O67" s="8"/>
      <c r="P67" s="5"/>
      <c r="Q67" s="5"/>
      <c r="R67" s="10" t="str">
        <f t="shared" si="1"/>
        <v/>
      </c>
      <c r="S67" s="4" t="str">
        <f>IF(G67="","Pendiente",IF(K67=Carga_Camiones!G67,"OK","Diferencia Placa"))</f>
        <v>Diferencia Placa</v>
      </c>
      <c r="T67" s="5"/>
    </row>
    <row r="68" spans="1:20">
      <c r="A68" s="12">
        <v>46168</v>
      </c>
      <c r="B68" s="9">
        <v>4898</v>
      </c>
      <c r="C68" s="9" t="s">
        <v>163</v>
      </c>
      <c r="D68" s="7">
        <f>Carga_Camiones!M68</f>
        <v>0</v>
      </c>
      <c r="E68" s="17">
        <f>Carga_Camiones!N68</f>
        <v>0</v>
      </c>
      <c r="F68" s="10">
        <f>Carga_Camiones!O68</f>
        <v>0</v>
      </c>
      <c r="G68" s="4">
        <v>4898</v>
      </c>
      <c r="H68" s="5" t="s">
        <v>259</v>
      </c>
      <c r="I68" s="4" t="s">
        <v>258</v>
      </c>
      <c r="J68" s="5" t="s">
        <v>264</v>
      </c>
      <c r="K68" s="4" t="s">
        <v>275</v>
      </c>
      <c r="L68" s="4">
        <v>15</v>
      </c>
      <c r="M68" s="5" t="s">
        <v>218</v>
      </c>
      <c r="N68" s="15">
        <v>0.50555555555555554</v>
      </c>
      <c r="O68" s="8"/>
      <c r="P68" s="5"/>
      <c r="Q68" s="5"/>
      <c r="R68" s="10" t="str">
        <f t="shared" si="1"/>
        <v/>
      </c>
      <c r="S68" s="4" t="str">
        <f>IF(G68="","Pendiente",IF(K68=Carga_Camiones!G68,"OK","Diferencia Placa"))</f>
        <v>Diferencia Placa</v>
      </c>
      <c r="T68" s="5"/>
    </row>
    <row r="69" spans="1:20">
      <c r="A69" s="12">
        <v>46168</v>
      </c>
      <c r="B69" s="9">
        <v>4899</v>
      </c>
      <c r="C69" s="9" t="s">
        <v>163</v>
      </c>
      <c r="D69" s="7">
        <f>Carga_Camiones!M69</f>
        <v>0</v>
      </c>
      <c r="E69" s="17">
        <f>Carga_Camiones!N69</f>
        <v>0</v>
      </c>
      <c r="F69" s="10">
        <f>Carga_Camiones!O69</f>
        <v>0</v>
      </c>
      <c r="G69" s="4">
        <v>4899</v>
      </c>
      <c r="H69" s="5" t="s">
        <v>259</v>
      </c>
      <c r="I69" s="4" t="s">
        <v>258</v>
      </c>
      <c r="J69" s="5" t="s">
        <v>264</v>
      </c>
      <c r="K69" s="4" t="s">
        <v>285</v>
      </c>
      <c r="L69" s="4">
        <v>15</v>
      </c>
      <c r="M69" s="5" t="s">
        <v>286</v>
      </c>
      <c r="N69" s="15">
        <v>0.50555555555555554</v>
      </c>
      <c r="O69" s="8"/>
      <c r="P69" s="5"/>
      <c r="Q69" s="5"/>
      <c r="R69" s="10" t="str">
        <f t="shared" si="1"/>
        <v/>
      </c>
      <c r="S69" s="4" t="str">
        <f>IF(G69="","Pendiente",IF(K69=Carga_Camiones!G69,"OK","Diferencia Placa"))</f>
        <v>Diferencia Placa</v>
      </c>
      <c r="T69" s="5"/>
    </row>
    <row r="70" spans="1:20">
      <c r="A70" s="12">
        <v>46169</v>
      </c>
      <c r="B70" s="9">
        <v>4923</v>
      </c>
      <c r="C70" s="9" t="s">
        <v>163</v>
      </c>
      <c r="D70" s="7">
        <f>Carga_Camiones!M70</f>
        <v>0</v>
      </c>
      <c r="E70" s="17">
        <f>Carga_Camiones!N70</f>
        <v>0</v>
      </c>
      <c r="F70" s="10">
        <f>Carga_Camiones!O70</f>
        <v>0</v>
      </c>
      <c r="G70" s="4">
        <v>4923</v>
      </c>
      <c r="H70" s="5" t="s">
        <v>259</v>
      </c>
      <c r="I70" s="4" t="s">
        <v>258</v>
      </c>
      <c r="J70" s="5" t="s">
        <v>264</v>
      </c>
      <c r="K70" s="4" t="s">
        <v>269</v>
      </c>
      <c r="L70" s="4">
        <v>15</v>
      </c>
      <c r="M70" s="5" t="s">
        <v>262</v>
      </c>
      <c r="N70" s="15">
        <v>0.31666666666666665</v>
      </c>
      <c r="O70" s="8"/>
      <c r="P70" s="5"/>
      <c r="Q70" s="5"/>
      <c r="R70" s="10" t="str">
        <f t="shared" ref="R70:R105" si="2">IF(O70="","",F70-O70)</f>
        <v/>
      </c>
      <c r="S70" s="4" t="str">
        <f>IF(G70="","Pendiente",IF(K70=Carga_Camiones!G70,"OK","Diferencia Placa"))</f>
        <v>Diferencia Placa</v>
      </c>
      <c r="T70" s="5"/>
    </row>
    <row r="71" spans="1:20">
      <c r="A71" s="12">
        <v>46169</v>
      </c>
      <c r="B71" s="9">
        <v>4924</v>
      </c>
      <c r="C71" s="9" t="s">
        <v>163</v>
      </c>
      <c r="D71" s="7">
        <f>Carga_Camiones!M71</f>
        <v>0</v>
      </c>
      <c r="E71" s="17">
        <f>Carga_Camiones!N71</f>
        <v>0</v>
      </c>
      <c r="F71" s="10">
        <f>Carga_Camiones!O71</f>
        <v>0</v>
      </c>
      <c r="G71" s="4">
        <v>4924</v>
      </c>
      <c r="H71" s="5" t="s">
        <v>259</v>
      </c>
      <c r="I71" s="4" t="s">
        <v>258</v>
      </c>
      <c r="J71" s="5" t="s">
        <v>264</v>
      </c>
      <c r="K71" s="4" t="s">
        <v>94</v>
      </c>
      <c r="L71" s="4">
        <v>15</v>
      </c>
      <c r="M71" s="5" t="s">
        <v>228</v>
      </c>
      <c r="N71" s="15">
        <v>0.33055555555555555</v>
      </c>
      <c r="O71" s="8"/>
      <c r="P71" s="5"/>
      <c r="Q71" s="5"/>
      <c r="R71" s="10" t="str">
        <f t="shared" si="2"/>
        <v/>
      </c>
      <c r="S71" s="4" t="str">
        <f>IF(G71="","Pendiente",IF(K71=Carga_Camiones!G71,"OK","Diferencia Placa"))</f>
        <v>Diferencia Placa</v>
      </c>
      <c r="T71" s="5"/>
    </row>
    <row r="72" spans="1:20">
      <c r="A72" s="12">
        <v>46169</v>
      </c>
      <c r="B72" s="9">
        <v>4925</v>
      </c>
      <c r="C72" s="9" t="s">
        <v>163</v>
      </c>
      <c r="D72" s="7">
        <f>Carga_Camiones!M72</f>
        <v>0</v>
      </c>
      <c r="E72" s="17">
        <f>Carga_Camiones!N72</f>
        <v>0</v>
      </c>
      <c r="F72" s="10">
        <f>Carga_Camiones!O72</f>
        <v>0</v>
      </c>
      <c r="G72" s="4">
        <v>4925</v>
      </c>
      <c r="H72" s="5" t="s">
        <v>259</v>
      </c>
      <c r="I72" s="4" t="s">
        <v>258</v>
      </c>
      <c r="J72" s="5" t="s">
        <v>264</v>
      </c>
      <c r="K72" s="4" t="s">
        <v>278</v>
      </c>
      <c r="L72" s="4">
        <v>15</v>
      </c>
      <c r="M72" s="5" t="s">
        <v>100</v>
      </c>
      <c r="N72" s="15">
        <v>0.76180555555555551</v>
      </c>
      <c r="O72" s="8"/>
      <c r="P72" s="5"/>
      <c r="Q72" s="5"/>
      <c r="R72" s="10" t="str">
        <f t="shared" si="2"/>
        <v/>
      </c>
      <c r="S72" s="4" t="str">
        <f>IF(G72="","Pendiente",IF(K72=Carga_Camiones!G72,"OK","Diferencia Placa"))</f>
        <v>Diferencia Placa</v>
      </c>
      <c r="T72" s="5"/>
    </row>
    <row r="73" spans="1:20">
      <c r="A73" s="12">
        <v>46169</v>
      </c>
      <c r="B73" s="9">
        <v>4926</v>
      </c>
      <c r="C73" s="9" t="s">
        <v>163</v>
      </c>
      <c r="D73" s="7">
        <f>Carga_Camiones!M73</f>
        <v>0</v>
      </c>
      <c r="E73" s="17">
        <f>Carga_Camiones!N73</f>
        <v>0</v>
      </c>
      <c r="F73" s="10">
        <f>Carga_Camiones!O73</f>
        <v>0</v>
      </c>
      <c r="G73" s="4">
        <v>4626</v>
      </c>
      <c r="H73" s="5" t="s">
        <v>259</v>
      </c>
      <c r="I73" s="4" t="s">
        <v>258</v>
      </c>
      <c r="J73" s="5" t="s">
        <v>264</v>
      </c>
      <c r="K73" s="4" t="s">
        <v>289</v>
      </c>
      <c r="L73" s="4">
        <v>15</v>
      </c>
      <c r="M73" s="5" t="s">
        <v>268</v>
      </c>
      <c r="N73" s="15">
        <v>0.35972222222222222</v>
      </c>
      <c r="O73" s="8"/>
      <c r="P73" s="5"/>
      <c r="Q73" s="5"/>
      <c r="R73" s="10" t="str">
        <f t="shared" si="2"/>
        <v/>
      </c>
      <c r="S73" s="4" t="str">
        <f>IF(G73="","Pendiente",IF(K73=Carga_Camiones!G73,"OK","Diferencia Placa"))</f>
        <v>Diferencia Placa</v>
      </c>
      <c r="T73" s="5"/>
    </row>
    <row r="74" spans="1:20">
      <c r="A74" s="12">
        <v>46169</v>
      </c>
      <c r="B74" s="9">
        <v>4927</v>
      </c>
      <c r="C74" s="9" t="s">
        <v>163</v>
      </c>
      <c r="D74" s="7">
        <f>Carga_Camiones!M74</f>
        <v>0</v>
      </c>
      <c r="E74" s="17">
        <f>Carga_Camiones!N74</f>
        <v>0</v>
      </c>
      <c r="F74" s="10">
        <f>Carga_Camiones!O74</f>
        <v>0</v>
      </c>
      <c r="G74" s="4">
        <v>4927</v>
      </c>
      <c r="H74" s="5" t="s">
        <v>259</v>
      </c>
      <c r="I74" s="4" t="s">
        <v>258</v>
      </c>
      <c r="J74" s="5" t="s">
        <v>264</v>
      </c>
      <c r="K74" s="4" t="s">
        <v>290</v>
      </c>
      <c r="L74" s="4">
        <v>15</v>
      </c>
      <c r="M74" s="5" t="s">
        <v>223</v>
      </c>
      <c r="N74" s="15">
        <v>0.37361111111111112</v>
      </c>
      <c r="O74" s="8"/>
      <c r="P74" s="5"/>
      <c r="Q74" s="5"/>
      <c r="R74" s="10" t="str">
        <f t="shared" si="2"/>
        <v/>
      </c>
      <c r="S74" s="4" t="str">
        <f>IF(G74="","Pendiente",IF(K74=Carga_Camiones!G74,"OK","Diferencia Placa"))</f>
        <v>Diferencia Placa</v>
      </c>
      <c r="T74" s="5"/>
    </row>
    <row r="75" spans="1:20">
      <c r="A75" s="12">
        <v>46169</v>
      </c>
      <c r="B75" s="9">
        <v>4928</v>
      </c>
      <c r="C75" s="9" t="s">
        <v>163</v>
      </c>
      <c r="D75" s="7">
        <f>Carga_Camiones!M75</f>
        <v>0</v>
      </c>
      <c r="E75" s="17">
        <f>Carga_Camiones!N75</f>
        <v>0</v>
      </c>
      <c r="F75" s="10">
        <f>Carga_Camiones!O75</f>
        <v>0</v>
      </c>
      <c r="G75" s="4">
        <v>4928</v>
      </c>
      <c r="H75" s="5" t="s">
        <v>259</v>
      </c>
      <c r="I75" s="4" t="s">
        <v>258</v>
      </c>
      <c r="J75" s="5" t="s">
        <v>264</v>
      </c>
      <c r="K75" s="4" t="s">
        <v>276</v>
      </c>
      <c r="L75" s="4">
        <v>15</v>
      </c>
      <c r="M75" s="5" t="s">
        <v>277</v>
      </c>
      <c r="N75" s="15">
        <v>0.3888888888888889</v>
      </c>
      <c r="O75" s="8"/>
      <c r="P75" s="5"/>
      <c r="Q75" s="5"/>
      <c r="R75" s="10" t="str">
        <f t="shared" si="2"/>
        <v/>
      </c>
      <c r="S75" s="4" t="str">
        <f>IF(G75="","Pendiente",IF(K75=Carga_Camiones!G75,"OK","Diferencia Placa"))</f>
        <v>Diferencia Placa</v>
      </c>
      <c r="T75" s="5"/>
    </row>
    <row r="76" spans="1:20">
      <c r="A76" s="12">
        <v>46170</v>
      </c>
      <c r="B76" s="9">
        <v>4941</v>
      </c>
      <c r="C76" s="9" t="s">
        <v>163</v>
      </c>
      <c r="D76" s="7">
        <f>Carga_Camiones!M76</f>
        <v>0</v>
      </c>
      <c r="E76" s="17">
        <f>Carga_Camiones!N76</f>
        <v>0</v>
      </c>
      <c r="F76" s="10">
        <f>Carga_Camiones!O76</f>
        <v>0</v>
      </c>
      <c r="G76" s="4">
        <v>4941</v>
      </c>
      <c r="H76" s="5" t="s">
        <v>259</v>
      </c>
      <c r="I76" s="4" t="s">
        <v>258</v>
      </c>
      <c r="J76" s="5" t="s">
        <v>264</v>
      </c>
      <c r="K76" s="4" t="s">
        <v>281</v>
      </c>
      <c r="L76" s="4">
        <v>15</v>
      </c>
      <c r="M76" s="5" t="s">
        <v>214</v>
      </c>
      <c r="N76" s="15">
        <v>0.3263888888888889</v>
      </c>
      <c r="O76" s="8"/>
      <c r="P76" s="5"/>
      <c r="Q76" s="5"/>
      <c r="R76" s="10" t="str">
        <f t="shared" si="2"/>
        <v/>
      </c>
      <c r="S76" s="4" t="str">
        <f>IF(G76="","Pendiente",IF(K76=Carga_Camiones!G76,"OK","Diferencia Placa"))</f>
        <v>Diferencia Placa</v>
      </c>
      <c r="T76" s="5"/>
    </row>
    <row r="77" spans="1:20">
      <c r="A77" s="12">
        <v>46170</v>
      </c>
      <c r="B77" s="9">
        <v>4942</v>
      </c>
      <c r="C77" s="9" t="s">
        <v>163</v>
      </c>
      <c r="D77" s="7">
        <f>Carga_Camiones!M77</f>
        <v>0</v>
      </c>
      <c r="E77" s="17">
        <f>Carga_Camiones!N77</f>
        <v>0</v>
      </c>
      <c r="F77" s="10">
        <f>Carga_Camiones!O77</f>
        <v>0</v>
      </c>
      <c r="G77" s="4">
        <v>4942</v>
      </c>
      <c r="H77" s="5" t="s">
        <v>259</v>
      </c>
      <c r="I77" s="4" t="s">
        <v>258</v>
      </c>
      <c r="J77" s="5" t="s">
        <v>264</v>
      </c>
      <c r="K77" s="4" t="s">
        <v>94</v>
      </c>
      <c r="L77" s="4">
        <v>17</v>
      </c>
      <c r="M77" s="5" t="s">
        <v>228</v>
      </c>
      <c r="N77" s="15">
        <v>0.34166666666666667</v>
      </c>
      <c r="O77" s="8"/>
      <c r="P77" s="5"/>
      <c r="Q77" s="5"/>
      <c r="R77" s="10" t="str">
        <f t="shared" si="2"/>
        <v/>
      </c>
      <c r="S77" s="4" t="str">
        <f>IF(G77="","Pendiente",IF(K77=Carga_Camiones!G77,"OK","Diferencia Placa"))</f>
        <v>Diferencia Placa</v>
      </c>
      <c r="T77" s="5"/>
    </row>
    <row r="78" spans="1:20">
      <c r="A78" s="12">
        <v>46170</v>
      </c>
      <c r="B78" s="9">
        <v>4943</v>
      </c>
      <c r="C78" s="9" t="s">
        <v>163</v>
      </c>
      <c r="D78" s="7">
        <f>Carga_Camiones!M78</f>
        <v>0</v>
      </c>
      <c r="E78" s="17">
        <f>Carga_Camiones!N78</f>
        <v>0</v>
      </c>
      <c r="F78" s="10">
        <f>Carga_Camiones!O78</f>
        <v>0</v>
      </c>
      <c r="G78" s="4">
        <v>4943</v>
      </c>
      <c r="H78" s="5" t="s">
        <v>259</v>
      </c>
      <c r="I78" s="4" t="s">
        <v>258</v>
      </c>
      <c r="J78" s="5" t="s">
        <v>264</v>
      </c>
      <c r="K78" s="4" t="s">
        <v>291</v>
      </c>
      <c r="L78" s="4">
        <v>16</v>
      </c>
      <c r="M78" s="5" t="s">
        <v>277</v>
      </c>
      <c r="N78" s="15">
        <v>0.35694444444444445</v>
      </c>
      <c r="O78" s="8"/>
      <c r="P78" s="5"/>
      <c r="Q78" s="5"/>
      <c r="R78" s="10" t="str">
        <f t="shared" si="2"/>
        <v/>
      </c>
      <c r="S78" s="4" t="str">
        <f>IF(G78="","Pendiente",IF(K78=Carga_Camiones!G78,"OK","Diferencia Placa"))</f>
        <v>Diferencia Placa</v>
      </c>
      <c r="T78" s="5"/>
    </row>
    <row r="79" spans="1:20">
      <c r="A79" s="12">
        <v>46170</v>
      </c>
      <c r="B79" s="9">
        <v>4944</v>
      </c>
      <c r="C79" s="9" t="s">
        <v>163</v>
      </c>
      <c r="D79" s="7">
        <f>Carga_Camiones!M79</f>
        <v>0</v>
      </c>
      <c r="E79" s="17">
        <f>Carga_Camiones!N79</f>
        <v>0</v>
      </c>
      <c r="F79" s="10">
        <f>Carga_Camiones!O79</f>
        <v>0</v>
      </c>
      <c r="G79" s="4">
        <v>4944</v>
      </c>
      <c r="H79" s="5" t="s">
        <v>259</v>
      </c>
      <c r="I79" s="4" t="s">
        <v>258</v>
      </c>
      <c r="J79" s="5" t="s">
        <v>260</v>
      </c>
      <c r="K79" s="4" t="s">
        <v>292</v>
      </c>
      <c r="L79" s="4">
        <v>15</v>
      </c>
      <c r="M79" s="5" t="s">
        <v>223</v>
      </c>
      <c r="N79" s="15"/>
      <c r="O79" s="8"/>
      <c r="P79" s="5"/>
      <c r="Q79" s="5"/>
      <c r="R79" s="10" t="str">
        <f t="shared" si="2"/>
        <v/>
      </c>
      <c r="S79" s="4" t="str">
        <f>IF(G79="","Pendiente",IF(K79=Carga_Camiones!G79,"OK","Diferencia Placa"))</f>
        <v>Diferencia Placa</v>
      </c>
      <c r="T79" s="5"/>
    </row>
    <row r="80" spans="1:20">
      <c r="A80" s="12">
        <v>46164</v>
      </c>
      <c r="B80" s="9">
        <v>4685</v>
      </c>
      <c r="C80" s="9" t="s">
        <v>163</v>
      </c>
      <c r="D80" s="7">
        <f>Carga_Camiones!M80</f>
        <v>0</v>
      </c>
      <c r="E80" s="17">
        <f>Carga_Camiones!N80</f>
        <v>0</v>
      </c>
      <c r="F80" s="10">
        <f>Carga_Camiones!O80</f>
        <v>0</v>
      </c>
      <c r="G80" s="4">
        <v>4685</v>
      </c>
      <c r="H80" s="5" t="s">
        <v>259</v>
      </c>
      <c r="I80" s="4" t="s">
        <v>258</v>
      </c>
      <c r="J80" s="5" t="s">
        <v>260</v>
      </c>
      <c r="K80" s="4" t="s">
        <v>265</v>
      </c>
      <c r="L80" s="4">
        <v>16</v>
      </c>
      <c r="M80" s="5" t="s">
        <v>194</v>
      </c>
      <c r="N80" s="15">
        <v>0.52777777777777779</v>
      </c>
      <c r="O80" s="8"/>
      <c r="P80" s="5"/>
      <c r="Q80" s="5"/>
      <c r="R80" s="10" t="str">
        <f t="shared" si="2"/>
        <v/>
      </c>
      <c r="S80" s="4" t="str">
        <f>IF(G80="","Pendiente",IF(K80=Carga_Camiones!G80,"OK","Diferencia Placa"))</f>
        <v>Diferencia Placa</v>
      </c>
      <c r="T80" s="5"/>
    </row>
    <row r="81" spans="1:20">
      <c r="A81" s="12">
        <v>46167</v>
      </c>
      <c r="B81" s="9">
        <v>4877</v>
      </c>
      <c r="C81" s="9" t="s">
        <v>163</v>
      </c>
      <c r="D81" s="7">
        <f>Carga_Camiones!M81</f>
        <v>0</v>
      </c>
      <c r="E81" s="17">
        <f>Carga_Camiones!N81</f>
        <v>0</v>
      </c>
      <c r="F81" s="10">
        <f>Carga_Camiones!O81</f>
        <v>0</v>
      </c>
      <c r="G81" s="4">
        <v>4877</v>
      </c>
      <c r="H81" s="5" t="s">
        <v>259</v>
      </c>
      <c r="I81" s="4" t="s">
        <v>258</v>
      </c>
      <c r="J81" s="5" t="s">
        <v>260</v>
      </c>
      <c r="K81" s="4" t="s">
        <v>293</v>
      </c>
      <c r="L81" s="4">
        <v>7</v>
      </c>
      <c r="M81" s="5" t="s">
        <v>294</v>
      </c>
      <c r="N81" s="15">
        <v>0.4826388888888889</v>
      </c>
      <c r="O81" s="8"/>
      <c r="P81" s="5"/>
      <c r="Q81" s="5"/>
      <c r="R81" s="10" t="str">
        <f t="shared" si="2"/>
        <v/>
      </c>
      <c r="S81" s="4" t="str">
        <f>IF(G81="","Pendiente",IF(K81=Carga_Camiones!G81,"OK","Diferencia Placa"))</f>
        <v>Diferencia Placa</v>
      </c>
      <c r="T81" s="5"/>
    </row>
    <row r="82" spans="1:20">
      <c r="A82" s="12">
        <v>46167</v>
      </c>
      <c r="B82" s="9">
        <v>4880</v>
      </c>
      <c r="C82" s="9" t="s">
        <v>163</v>
      </c>
      <c r="D82" s="7">
        <f>Carga_Camiones!M82</f>
        <v>0</v>
      </c>
      <c r="E82" s="17">
        <f>Carga_Camiones!N82</f>
        <v>0</v>
      </c>
      <c r="F82" s="10">
        <f>Carga_Camiones!O82</f>
        <v>0</v>
      </c>
      <c r="G82" s="4">
        <v>4880</v>
      </c>
      <c r="H82" s="5" t="s">
        <v>259</v>
      </c>
      <c r="I82" s="4" t="s">
        <v>258</v>
      </c>
      <c r="J82" s="5" t="s">
        <v>260</v>
      </c>
      <c r="K82" s="4" t="s">
        <v>293</v>
      </c>
      <c r="L82" s="4">
        <v>7</v>
      </c>
      <c r="M82" s="5" t="s">
        <v>294</v>
      </c>
      <c r="N82" s="15">
        <v>0.51666666666666672</v>
      </c>
      <c r="O82" s="8"/>
      <c r="P82" s="5"/>
      <c r="Q82" s="5"/>
      <c r="R82" s="10" t="str">
        <f t="shared" si="2"/>
        <v/>
      </c>
      <c r="S82" s="4" t="str">
        <f>IF(G82="","Pendiente",IF(K82=Carga_Camiones!G82,"OK","Diferencia Placa"))</f>
        <v>Diferencia Placa</v>
      </c>
      <c r="T82" s="5"/>
    </row>
    <row r="83" spans="1:20">
      <c r="A83" s="12">
        <v>46167</v>
      </c>
      <c r="B83" s="9">
        <v>4882</v>
      </c>
      <c r="C83" s="9" t="s">
        <v>163</v>
      </c>
      <c r="D83" s="7">
        <f>Carga_Camiones!M83</f>
        <v>0</v>
      </c>
      <c r="E83" s="17">
        <f>Carga_Camiones!N83</f>
        <v>0</v>
      </c>
      <c r="F83" s="10">
        <f>Carga_Camiones!O83</f>
        <v>0</v>
      </c>
      <c r="G83" s="4">
        <v>4882</v>
      </c>
      <c r="H83" s="5" t="s">
        <v>259</v>
      </c>
      <c r="I83" s="4" t="s">
        <v>258</v>
      </c>
      <c r="J83" s="5" t="s">
        <v>264</v>
      </c>
      <c r="K83" s="4" t="s">
        <v>295</v>
      </c>
      <c r="L83" s="4"/>
      <c r="M83" s="5" t="s">
        <v>262</v>
      </c>
      <c r="N83" s="15"/>
      <c r="O83" s="8"/>
      <c r="P83" s="5"/>
      <c r="Q83" s="5"/>
      <c r="R83" s="10" t="str">
        <f t="shared" si="2"/>
        <v/>
      </c>
      <c r="S83" s="4" t="str">
        <f>IF(G83="","Pendiente",IF(K83=Carga_Camiones!G83,"OK","Diferencia Placa"))</f>
        <v>Diferencia Placa</v>
      </c>
      <c r="T83" s="5" t="b">
        <v>0</v>
      </c>
    </row>
    <row r="84" spans="1:20">
      <c r="A84" s="12">
        <v>46172</v>
      </c>
      <c r="B84" s="9">
        <v>4972</v>
      </c>
      <c r="C84" s="9" t="s">
        <v>163</v>
      </c>
      <c r="D84" s="7">
        <f>Carga_Camiones!M84</f>
        <v>0</v>
      </c>
      <c r="E84" s="17">
        <f>Carga_Camiones!N84</f>
        <v>0</v>
      </c>
      <c r="F84" s="10">
        <f>Carga_Camiones!O84</f>
        <v>0</v>
      </c>
      <c r="G84" s="4">
        <v>4972</v>
      </c>
      <c r="H84" s="5" t="s">
        <v>259</v>
      </c>
      <c r="I84" s="4" t="s">
        <v>258</v>
      </c>
      <c r="J84" s="5" t="s">
        <v>264</v>
      </c>
      <c r="K84" s="4" t="s">
        <v>296</v>
      </c>
      <c r="L84" s="4">
        <v>7</v>
      </c>
      <c r="M84" s="5" t="s">
        <v>297</v>
      </c>
      <c r="N84" s="15">
        <v>0.45277777777777778</v>
      </c>
      <c r="O84" s="8"/>
      <c r="P84" s="5"/>
      <c r="Q84" s="5"/>
      <c r="R84" s="10" t="str">
        <f t="shared" si="2"/>
        <v/>
      </c>
      <c r="S84" s="4" t="str">
        <f>IF(G84="","Pendiente",IF(K84=Carga_Camiones!G84,"OK","Diferencia Placa"))</f>
        <v>Diferencia Placa</v>
      </c>
      <c r="T84" s="5"/>
    </row>
    <row r="85" spans="1:20">
      <c r="A85" s="4"/>
      <c r="B85" s="9">
        <f>Carga_Camiones!B85</f>
        <v>0</v>
      </c>
      <c r="C85" s="9"/>
      <c r="D85" s="7">
        <f>Carga_Camiones!M85</f>
        <v>0</v>
      </c>
      <c r="E85" s="17">
        <f>Carga_Camiones!N85</f>
        <v>0</v>
      </c>
      <c r="F85" s="10">
        <f>Carga_Camiones!O85</f>
        <v>0</v>
      </c>
      <c r="G85" s="4"/>
      <c r="H85" s="5"/>
      <c r="I85" s="4"/>
      <c r="J85" s="5"/>
      <c r="K85" s="4"/>
      <c r="L85" s="4"/>
      <c r="M85" s="5"/>
      <c r="N85" s="15"/>
      <c r="O85" s="8"/>
      <c r="P85" s="5"/>
      <c r="Q85" s="5"/>
      <c r="R85" s="10" t="str">
        <f t="shared" si="2"/>
        <v/>
      </c>
      <c r="S85" s="4" t="str">
        <f>IF(G85="","Pendiente",IF(K85=Carga_Camiones!G85,"OK","Diferencia Placa"))</f>
        <v>Pendiente</v>
      </c>
      <c r="T85" s="5"/>
    </row>
    <row r="86" spans="1:20">
      <c r="A86" s="4"/>
      <c r="B86" s="9">
        <f>Carga_Camiones!B86</f>
        <v>0</v>
      </c>
      <c r="C86" s="9"/>
      <c r="D86" s="7">
        <f>Carga_Camiones!M86</f>
        <v>0</v>
      </c>
      <c r="E86" s="17">
        <f>Carga_Camiones!N86</f>
        <v>0</v>
      </c>
      <c r="F86" s="10">
        <f>Carga_Camiones!O86</f>
        <v>0</v>
      </c>
      <c r="G86" s="4"/>
      <c r="H86" s="5"/>
      <c r="I86" s="4"/>
      <c r="J86" s="5"/>
      <c r="K86" s="4"/>
      <c r="L86" s="4"/>
      <c r="M86" s="5"/>
      <c r="N86" s="15"/>
      <c r="O86" s="8"/>
      <c r="P86" s="5"/>
      <c r="Q86" s="5"/>
      <c r="R86" s="10" t="str">
        <f t="shared" si="2"/>
        <v/>
      </c>
      <c r="S86" s="4" t="str">
        <f>IF(G86="","Pendiente",IF(K86=Carga_Camiones!G86,"OK","Diferencia Placa"))</f>
        <v>Pendiente</v>
      </c>
      <c r="T86" s="5"/>
    </row>
    <row r="87" spans="1:20">
      <c r="A87" s="4"/>
      <c r="B87" s="9">
        <f>Carga_Camiones!B87</f>
        <v>0</v>
      </c>
      <c r="C87" s="9"/>
      <c r="D87" s="7">
        <f>Carga_Camiones!M87</f>
        <v>0</v>
      </c>
      <c r="E87" s="17">
        <f>Carga_Camiones!N87</f>
        <v>0</v>
      </c>
      <c r="F87" s="10">
        <f>Carga_Camiones!O87</f>
        <v>0</v>
      </c>
      <c r="G87" s="4"/>
      <c r="H87" s="5"/>
      <c r="I87" s="4"/>
      <c r="J87" s="5"/>
      <c r="K87" s="4"/>
      <c r="L87" s="4"/>
      <c r="M87" s="5"/>
      <c r="N87" s="15"/>
      <c r="O87" s="8"/>
      <c r="P87" s="5"/>
      <c r="Q87" s="5"/>
      <c r="R87" s="10" t="str">
        <f t="shared" si="2"/>
        <v/>
      </c>
      <c r="S87" s="4" t="str">
        <f>IF(G87="","Pendiente",IF(K87=Carga_Camiones!G87,"OK","Diferencia Placa"))</f>
        <v>Pendiente</v>
      </c>
      <c r="T87" s="5"/>
    </row>
    <row r="88" spans="1:20">
      <c r="A88" s="4"/>
      <c r="B88" s="9">
        <f>Carga_Camiones!B88</f>
        <v>0</v>
      </c>
      <c r="C88" s="9"/>
      <c r="D88" s="7">
        <f>Carga_Camiones!M88</f>
        <v>0</v>
      </c>
      <c r="E88" s="17">
        <f>Carga_Camiones!N88</f>
        <v>0</v>
      </c>
      <c r="F88" s="10">
        <f>Carga_Camiones!O88</f>
        <v>0</v>
      </c>
      <c r="G88" s="4"/>
      <c r="H88" s="5"/>
      <c r="I88" s="4"/>
      <c r="J88" s="5"/>
      <c r="K88" s="4"/>
      <c r="L88" s="4"/>
      <c r="M88" s="5"/>
      <c r="N88" s="15"/>
      <c r="O88" s="8"/>
      <c r="P88" s="5"/>
      <c r="Q88" s="5"/>
      <c r="R88" s="10" t="str">
        <f t="shared" si="2"/>
        <v/>
      </c>
      <c r="S88" s="4" t="str">
        <f>IF(G88="","Pendiente",IF(K88=Carga_Camiones!G88,"OK","Diferencia Placa"))</f>
        <v>Pendiente</v>
      </c>
      <c r="T88" s="5"/>
    </row>
    <row r="89" spans="1:20">
      <c r="A89" s="4"/>
      <c r="B89" s="9">
        <f>Carga_Camiones!B89</f>
        <v>0</v>
      </c>
      <c r="C89" s="9"/>
      <c r="D89" s="7">
        <f>Carga_Camiones!M89</f>
        <v>0</v>
      </c>
      <c r="E89" s="17">
        <f>Carga_Camiones!N89</f>
        <v>0</v>
      </c>
      <c r="F89" s="10">
        <f>Carga_Camiones!O89</f>
        <v>0</v>
      </c>
      <c r="G89" s="4"/>
      <c r="H89" s="5"/>
      <c r="I89" s="4"/>
      <c r="J89" s="5"/>
      <c r="K89" s="4"/>
      <c r="L89" s="4"/>
      <c r="M89" s="5"/>
      <c r="N89" s="15"/>
      <c r="O89" s="8"/>
      <c r="P89" s="5"/>
      <c r="Q89" s="5"/>
      <c r="R89" s="10" t="str">
        <f t="shared" si="2"/>
        <v/>
      </c>
      <c r="S89" s="4" t="str">
        <f>IF(G89="","Pendiente",IF(K89=Carga_Camiones!G89,"OK","Diferencia Placa"))</f>
        <v>Pendiente</v>
      </c>
      <c r="T89" s="5"/>
    </row>
    <row r="90" spans="1:20">
      <c r="A90" s="4"/>
      <c r="B90" s="9">
        <f>Carga_Camiones!B90</f>
        <v>0</v>
      </c>
      <c r="C90" s="9"/>
      <c r="D90" s="7">
        <f>Carga_Camiones!M90</f>
        <v>0</v>
      </c>
      <c r="E90" s="17">
        <f>Carga_Camiones!N90</f>
        <v>0</v>
      </c>
      <c r="F90" s="10">
        <f>Carga_Camiones!O90</f>
        <v>0</v>
      </c>
      <c r="G90" s="4"/>
      <c r="H90" s="5"/>
      <c r="I90" s="4"/>
      <c r="J90" s="5"/>
      <c r="K90" s="4"/>
      <c r="L90" s="4"/>
      <c r="M90" s="5"/>
      <c r="N90" s="15"/>
      <c r="O90" s="8"/>
      <c r="P90" s="5"/>
      <c r="Q90" s="5"/>
      <c r="R90" s="10" t="str">
        <f t="shared" si="2"/>
        <v/>
      </c>
      <c r="S90" s="4" t="str">
        <f>IF(G90="","Pendiente",IF(K90=Carga_Camiones!G90,"OK","Diferencia Placa"))</f>
        <v>Pendiente</v>
      </c>
      <c r="T90" s="5"/>
    </row>
    <row r="91" spans="1:20">
      <c r="A91" s="4"/>
      <c r="B91" s="9">
        <f>Carga_Camiones!B91</f>
        <v>0</v>
      </c>
      <c r="C91" s="9"/>
      <c r="D91" s="7">
        <f>Carga_Camiones!M91</f>
        <v>0</v>
      </c>
      <c r="E91" s="17">
        <f>Carga_Camiones!N91</f>
        <v>0</v>
      </c>
      <c r="F91" s="10">
        <f>Carga_Camiones!O91</f>
        <v>0</v>
      </c>
      <c r="G91" s="4"/>
      <c r="H91" s="5"/>
      <c r="I91" s="4"/>
      <c r="J91" s="5"/>
      <c r="K91" s="4"/>
      <c r="L91" s="4"/>
      <c r="M91" s="5"/>
      <c r="N91" s="15"/>
      <c r="O91" s="8"/>
      <c r="P91" s="5"/>
      <c r="Q91" s="5"/>
      <c r="R91" s="10" t="str">
        <f t="shared" si="2"/>
        <v/>
      </c>
      <c r="S91" s="4" t="str">
        <f>IF(G91="","Pendiente",IF(K91=Carga_Camiones!G91,"OK","Diferencia Placa"))</f>
        <v>Pendiente</v>
      </c>
      <c r="T91" s="5"/>
    </row>
    <row r="92" spans="1:20">
      <c r="A92" s="4"/>
      <c r="B92" s="9">
        <f>Carga_Camiones!B92</f>
        <v>0</v>
      </c>
      <c r="C92" s="9"/>
      <c r="D92" s="7">
        <f>Carga_Camiones!M92</f>
        <v>0</v>
      </c>
      <c r="E92" s="17">
        <f>Carga_Camiones!N92</f>
        <v>0</v>
      </c>
      <c r="F92" s="10">
        <f>Carga_Camiones!O92</f>
        <v>0</v>
      </c>
      <c r="G92" s="4"/>
      <c r="H92" s="5"/>
      <c r="I92" s="4"/>
      <c r="J92" s="5"/>
      <c r="K92" s="4"/>
      <c r="L92" s="4"/>
      <c r="M92" s="5"/>
      <c r="N92" s="15"/>
      <c r="O92" s="8"/>
      <c r="P92" s="5"/>
      <c r="Q92" s="5"/>
      <c r="R92" s="10" t="str">
        <f t="shared" si="2"/>
        <v/>
      </c>
      <c r="S92" s="4" t="str">
        <f>IF(G92="","Pendiente",IF(K92=Carga_Camiones!G92,"OK","Diferencia Placa"))</f>
        <v>Pendiente</v>
      </c>
      <c r="T92" s="5"/>
    </row>
    <row r="93" spans="1:20">
      <c r="A93" s="4"/>
      <c r="B93" s="9">
        <f>Carga_Camiones!B93</f>
        <v>0</v>
      </c>
      <c r="C93" s="9"/>
      <c r="D93" s="7">
        <f>Carga_Camiones!M93</f>
        <v>0</v>
      </c>
      <c r="E93" s="17">
        <f>Carga_Camiones!N93</f>
        <v>0</v>
      </c>
      <c r="F93" s="10">
        <f>Carga_Camiones!O93</f>
        <v>0</v>
      </c>
      <c r="G93" s="4"/>
      <c r="H93" s="5"/>
      <c r="I93" s="4"/>
      <c r="J93" s="5"/>
      <c r="K93" s="4"/>
      <c r="L93" s="4"/>
      <c r="M93" s="5"/>
      <c r="N93" s="15"/>
      <c r="O93" s="8"/>
      <c r="P93" s="5"/>
      <c r="Q93" s="5"/>
      <c r="R93" s="10" t="str">
        <f t="shared" si="2"/>
        <v/>
      </c>
      <c r="S93" s="4" t="str">
        <f>IF(G93="","Pendiente",IF(K93=Carga_Camiones!G93,"OK","Diferencia Placa"))</f>
        <v>Pendiente</v>
      </c>
      <c r="T93" s="5"/>
    </row>
    <row r="94" spans="1:20">
      <c r="A94" s="4"/>
      <c r="B94" s="9">
        <f>Carga_Camiones!B94</f>
        <v>0</v>
      </c>
      <c r="C94" s="9"/>
      <c r="D94" s="7">
        <f>Carga_Camiones!M94</f>
        <v>0</v>
      </c>
      <c r="E94" s="17">
        <f>Carga_Camiones!N94</f>
        <v>0</v>
      </c>
      <c r="F94" s="10">
        <f>Carga_Camiones!O94</f>
        <v>0</v>
      </c>
      <c r="G94" s="4"/>
      <c r="H94" s="5"/>
      <c r="I94" s="4"/>
      <c r="J94" s="5"/>
      <c r="K94" s="4"/>
      <c r="L94" s="4"/>
      <c r="M94" s="5"/>
      <c r="N94" s="15"/>
      <c r="O94" s="8"/>
      <c r="P94" s="5"/>
      <c r="Q94" s="5"/>
      <c r="R94" s="10" t="str">
        <f t="shared" si="2"/>
        <v/>
      </c>
      <c r="S94" s="4" t="str">
        <f>IF(G94="","Pendiente",IF(K94=Carga_Camiones!G94,"OK","Diferencia Placa"))</f>
        <v>Pendiente</v>
      </c>
      <c r="T94" s="5"/>
    </row>
    <row r="95" spans="1:20">
      <c r="A95" s="4"/>
      <c r="B95" s="9">
        <f>Carga_Camiones!B95</f>
        <v>0</v>
      </c>
      <c r="C95" s="9"/>
      <c r="D95" s="7">
        <f>Carga_Camiones!M95</f>
        <v>0</v>
      </c>
      <c r="E95" s="17">
        <f>Carga_Camiones!N95</f>
        <v>0</v>
      </c>
      <c r="F95" s="10">
        <f>Carga_Camiones!O95</f>
        <v>0</v>
      </c>
      <c r="G95" s="4"/>
      <c r="H95" s="5"/>
      <c r="I95" s="4"/>
      <c r="J95" s="5"/>
      <c r="K95" s="4"/>
      <c r="L95" s="4"/>
      <c r="M95" s="5"/>
      <c r="N95" s="15"/>
      <c r="O95" s="8"/>
      <c r="P95" s="5"/>
      <c r="Q95" s="5"/>
      <c r="R95" s="10" t="str">
        <f t="shared" si="2"/>
        <v/>
      </c>
      <c r="S95" s="4" t="str">
        <f>IF(G95="","Pendiente",IF(K95=Carga_Camiones!G95,"OK","Diferencia Placa"))</f>
        <v>Pendiente</v>
      </c>
      <c r="T95" s="5"/>
    </row>
    <row r="96" spans="1:20">
      <c r="A96" s="4"/>
      <c r="B96" s="9">
        <f>Carga_Camiones!B96</f>
        <v>0</v>
      </c>
      <c r="C96" s="9"/>
      <c r="D96" s="7">
        <f>Carga_Camiones!M96</f>
        <v>0</v>
      </c>
      <c r="E96" s="17">
        <f>Carga_Camiones!N96</f>
        <v>0</v>
      </c>
      <c r="F96" s="10">
        <f>Carga_Camiones!O96</f>
        <v>0</v>
      </c>
      <c r="G96" s="4"/>
      <c r="H96" s="5"/>
      <c r="I96" s="4"/>
      <c r="J96" s="5"/>
      <c r="K96" s="4"/>
      <c r="L96" s="4"/>
      <c r="M96" s="5"/>
      <c r="N96" s="15"/>
      <c r="O96" s="8"/>
      <c r="P96" s="5"/>
      <c r="Q96" s="5"/>
      <c r="R96" s="10" t="str">
        <f t="shared" si="2"/>
        <v/>
      </c>
      <c r="S96" s="4" t="str">
        <f>IF(G96="","Pendiente",IF(K96=Carga_Camiones!G96,"OK","Diferencia Placa"))</f>
        <v>Pendiente</v>
      </c>
      <c r="T96" s="5"/>
    </row>
    <row r="97" spans="1:20">
      <c r="A97" s="4"/>
      <c r="B97" s="9">
        <f>Carga_Camiones!B97</f>
        <v>0</v>
      </c>
      <c r="C97" s="9"/>
      <c r="D97" s="7">
        <f>Carga_Camiones!M97</f>
        <v>0</v>
      </c>
      <c r="E97" s="17">
        <f>Carga_Camiones!N97</f>
        <v>0</v>
      </c>
      <c r="F97" s="10">
        <f>Carga_Camiones!O97</f>
        <v>0</v>
      </c>
      <c r="G97" s="4"/>
      <c r="H97" s="5"/>
      <c r="I97" s="4"/>
      <c r="J97" s="5"/>
      <c r="K97" s="4"/>
      <c r="L97" s="4"/>
      <c r="M97" s="5"/>
      <c r="N97" s="15"/>
      <c r="O97" s="8"/>
      <c r="P97" s="5"/>
      <c r="Q97" s="5"/>
      <c r="R97" s="10" t="str">
        <f t="shared" si="2"/>
        <v/>
      </c>
      <c r="S97" s="4" t="str">
        <f>IF(G97="","Pendiente",IF(K97=Carga_Camiones!G97,"OK","Diferencia Placa"))</f>
        <v>Pendiente</v>
      </c>
      <c r="T97" s="5"/>
    </row>
    <row r="98" spans="1:20">
      <c r="A98" s="4"/>
      <c r="B98" s="9">
        <f>Carga_Camiones!B98</f>
        <v>0</v>
      </c>
      <c r="C98" s="9"/>
      <c r="D98" s="7">
        <f>Carga_Camiones!M98</f>
        <v>0</v>
      </c>
      <c r="E98" s="17">
        <f>Carga_Camiones!N98</f>
        <v>0</v>
      </c>
      <c r="F98" s="10">
        <f>Carga_Camiones!O98</f>
        <v>0</v>
      </c>
      <c r="G98" s="4"/>
      <c r="H98" s="5"/>
      <c r="I98" s="4"/>
      <c r="J98" s="5"/>
      <c r="K98" s="4"/>
      <c r="L98" s="4"/>
      <c r="M98" s="5"/>
      <c r="N98" s="15"/>
      <c r="O98" s="8"/>
      <c r="P98" s="5"/>
      <c r="Q98" s="5"/>
      <c r="R98" s="10" t="str">
        <f t="shared" si="2"/>
        <v/>
      </c>
      <c r="S98" s="4" t="str">
        <f>IF(G98="","Pendiente",IF(K98=Carga_Camiones!G98,"OK","Diferencia Placa"))</f>
        <v>Pendiente</v>
      </c>
      <c r="T98" s="5"/>
    </row>
    <row r="99" spans="1:20">
      <c r="A99" s="4"/>
      <c r="B99" s="9">
        <f>Carga_Camiones!B99</f>
        <v>0</v>
      </c>
      <c r="C99" s="9"/>
      <c r="D99" s="7">
        <f>Carga_Camiones!M99</f>
        <v>0</v>
      </c>
      <c r="E99" s="17">
        <f>Carga_Camiones!N99</f>
        <v>0</v>
      </c>
      <c r="F99" s="10">
        <f>Carga_Camiones!O99</f>
        <v>0</v>
      </c>
      <c r="G99" s="4"/>
      <c r="H99" s="5"/>
      <c r="I99" s="4"/>
      <c r="J99" s="5"/>
      <c r="K99" s="4"/>
      <c r="L99" s="4"/>
      <c r="M99" s="5"/>
      <c r="N99" s="15"/>
      <c r="O99" s="8"/>
      <c r="P99" s="5"/>
      <c r="Q99" s="5"/>
      <c r="R99" s="10" t="str">
        <f t="shared" si="2"/>
        <v/>
      </c>
      <c r="S99" s="4" t="str">
        <f>IF(G99="","Pendiente",IF(K99=Carga_Camiones!G99,"OK","Diferencia Placa"))</f>
        <v>Pendiente</v>
      </c>
      <c r="T99" s="5"/>
    </row>
    <row r="100" spans="1:20">
      <c r="A100" s="4"/>
      <c r="B100" s="9">
        <f>Carga_Camiones!B100</f>
        <v>0</v>
      </c>
      <c r="C100" s="9"/>
      <c r="D100" s="7">
        <f>Carga_Camiones!M100</f>
        <v>0</v>
      </c>
      <c r="E100" s="17">
        <f>Carga_Camiones!N100</f>
        <v>0</v>
      </c>
      <c r="F100" s="10">
        <f>Carga_Camiones!O100</f>
        <v>0</v>
      </c>
      <c r="G100" s="4"/>
      <c r="H100" s="5"/>
      <c r="I100" s="4"/>
      <c r="J100" s="5"/>
      <c r="K100" s="4"/>
      <c r="L100" s="4"/>
      <c r="M100" s="5"/>
      <c r="N100" s="15"/>
      <c r="O100" s="8"/>
      <c r="P100" s="5"/>
      <c r="Q100" s="5"/>
      <c r="R100" s="10" t="str">
        <f t="shared" si="2"/>
        <v/>
      </c>
      <c r="S100" s="4" t="str">
        <f>IF(G100="","Pendiente",IF(K100=Carga_Camiones!G100,"OK","Diferencia Placa"))</f>
        <v>Pendiente</v>
      </c>
      <c r="T100" s="5"/>
    </row>
    <row r="101" spans="1:20">
      <c r="A101" s="4"/>
      <c r="B101" s="9">
        <f>Carga_Camiones!B101</f>
        <v>0</v>
      </c>
      <c r="C101" s="9"/>
      <c r="D101" s="7">
        <f>Carga_Camiones!M101</f>
        <v>0</v>
      </c>
      <c r="E101" s="17">
        <f>Carga_Camiones!N101</f>
        <v>0</v>
      </c>
      <c r="F101" s="10">
        <f>Carga_Camiones!O101</f>
        <v>0</v>
      </c>
      <c r="G101" s="4"/>
      <c r="H101" s="5"/>
      <c r="I101" s="4"/>
      <c r="J101" s="5"/>
      <c r="K101" s="4"/>
      <c r="L101" s="4"/>
      <c r="M101" s="5"/>
      <c r="N101" s="15"/>
      <c r="O101" s="8"/>
      <c r="P101" s="5"/>
      <c r="Q101" s="5"/>
      <c r="R101" s="10" t="str">
        <f t="shared" si="2"/>
        <v/>
      </c>
      <c r="S101" s="4" t="str">
        <f>IF(G101="","Pendiente",IF(K101=Carga_Camiones!G101,"OK","Diferencia Placa"))</f>
        <v>Pendiente</v>
      </c>
      <c r="T101" s="5"/>
    </row>
    <row r="102" spans="1:20">
      <c r="A102" s="4"/>
      <c r="B102" s="9">
        <f>Carga_Camiones!B102</f>
        <v>0</v>
      </c>
      <c r="C102" s="9"/>
      <c r="D102" s="7">
        <f>Carga_Camiones!M102</f>
        <v>0</v>
      </c>
      <c r="E102" s="17">
        <f>Carga_Camiones!N102</f>
        <v>0</v>
      </c>
      <c r="F102" s="10">
        <f>Carga_Camiones!O102</f>
        <v>0</v>
      </c>
      <c r="G102" s="4"/>
      <c r="H102" s="5"/>
      <c r="I102" s="4"/>
      <c r="J102" s="5"/>
      <c r="K102" s="4"/>
      <c r="L102" s="4"/>
      <c r="M102" s="5"/>
      <c r="N102" s="15"/>
      <c r="O102" s="8"/>
      <c r="P102" s="5"/>
      <c r="Q102" s="5"/>
      <c r="R102" s="10" t="str">
        <f t="shared" si="2"/>
        <v/>
      </c>
      <c r="S102" s="4" t="str">
        <f>IF(G102="","Pendiente",IF(K102=Carga_Camiones!G102,"OK","Diferencia Placa"))</f>
        <v>Pendiente</v>
      </c>
      <c r="T102" s="5"/>
    </row>
    <row r="103" spans="1:20">
      <c r="A103" s="4"/>
      <c r="B103" s="9">
        <f>Carga_Camiones!B103</f>
        <v>0</v>
      </c>
      <c r="C103" s="9"/>
      <c r="D103" s="7">
        <f>Carga_Camiones!M103</f>
        <v>0</v>
      </c>
      <c r="E103" s="17">
        <f>Carga_Camiones!N103</f>
        <v>0</v>
      </c>
      <c r="F103" s="10">
        <f>Carga_Camiones!O103</f>
        <v>0</v>
      </c>
      <c r="G103" s="4"/>
      <c r="H103" s="5"/>
      <c r="I103" s="4"/>
      <c r="J103" s="5"/>
      <c r="K103" s="4"/>
      <c r="L103" s="4"/>
      <c r="M103" s="5"/>
      <c r="N103" s="15"/>
      <c r="O103" s="8"/>
      <c r="P103" s="5"/>
      <c r="Q103" s="5"/>
      <c r="R103" s="10" t="str">
        <f t="shared" si="2"/>
        <v/>
      </c>
      <c r="S103" s="4" t="str">
        <f>IF(G103="","Pendiente",IF(K103=Carga_Camiones!G103,"OK","Diferencia Placa"))</f>
        <v>Pendiente</v>
      </c>
      <c r="T103" s="5"/>
    </row>
    <row r="104" spans="1:20">
      <c r="A104" s="4"/>
      <c r="B104" s="9">
        <f>Carga_Camiones!B104</f>
        <v>0</v>
      </c>
      <c r="C104" s="9"/>
      <c r="D104" s="7">
        <f>Carga_Camiones!M104</f>
        <v>0</v>
      </c>
      <c r="E104" s="17">
        <f>Carga_Camiones!N104</f>
        <v>0</v>
      </c>
      <c r="F104" s="10">
        <f>Carga_Camiones!O104</f>
        <v>0</v>
      </c>
      <c r="G104" s="4"/>
      <c r="H104" s="5"/>
      <c r="I104" s="4"/>
      <c r="J104" s="5"/>
      <c r="K104" s="4"/>
      <c r="L104" s="4"/>
      <c r="M104" s="5"/>
      <c r="N104" s="15"/>
      <c r="O104" s="8"/>
      <c r="P104" s="5"/>
      <c r="Q104" s="5"/>
      <c r="R104" s="10" t="str">
        <f t="shared" si="2"/>
        <v/>
      </c>
      <c r="S104" s="4" t="str">
        <f>IF(G104="","Pendiente",IF(K104=Carga_Camiones!G104,"OK","Diferencia Placa"))</f>
        <v>Pendiente</v>
      </c>
      <c r="T104" s="5"/>
    </row>
    <row r="105" spans="1:20">
      <c r="A105" s="4"/>
      <c r="B105" s="9">
        <f>Carga_Camiones!B105</f>
        <v>0</v>
      </c>
      <c r="C105" s="9"/>
      <c r="D105" s="7">
        <f>Carga_Camiones!M105</f>
        <v>0</v>
      </c>
      <c r="E105" s="17">
        <f>Carga_Camiones!N105</f>
        <v>0</v>
      </c>
      <c r="F105" s="10">
        <f>Carga_Camiones!O105</f>
        <v>0</v>
      </c>
      <c r="G105" s="4"/>
      <c r="H105" s="5"/>
      <c r="I105" s="4"/>
      <c r="J105" s="5"/>
      <c r="K105" s="4"/>
      <c r="L105" s="4"/>
      <c r="M105" s="5"/>
      <c r="N105" s="15"/>
      <c r="O105" s="8"/>
      <c r="P105" s="5"/>
      <c r="Q105" s="5"/>
      <c r="R105" s="10" t="str">
        <f t="shared" si="2"/>
        <v/>
      </c>
      <c r="S105" s="4" t="str">
        <f>IF(G105="","Pendiente",IF(K105=Carga_Camiones!G105,"OK","Diferencia Placa"))</f>
        <v>Pendiente</v>
      </c>
      <c r="T105" s="5"/>
    </row>
    <row r="106" spans="1:20">
      <c r="C106" s="9"/>
    </row>
    <row r="107" spans="1:20">
      <c r="C107" s="9"/>
    </row>
    <row r="108" spans="1:20">
      <c r="C108" s="9"/>
    </row>
    <row r="109" spans="1:20">
      <c r="C109" s="9"/>
    </row>
    <row r="110" spans="1:20">
      <c r="C110" s="9"/>
    </row>
    <row r="111" spans="1:20">
      <c r="C111" s="9"/>
    </row>
    <row r="112" spans="1:20">
      <c r="C112" s="9"/>
    </row>
    <row r="113" spans="3:3">
      <c r="C113" s="9"/>
    </row>
    <row r="114" spans="3:3">
      <c r="C114" s="9"/>
    </row>
    <row r="115" spans="3:3">
      <c r="C115" s="9"/>
    </row>
    <row r="116" spans="3:3">
      <c r="C116" s="9"/>
    </row>
    <row r="117" spans="3:3">
      <c r="C117" s="9"/>
    </row>
    <row r="118" spans="3:3">
      <c r="C118" s="9"/>
    </row>
    <row r="119" spans="3:3">
      <c r="C119" s="9"/>
    </row>
    <row r="120" spans="3:3">
      <c r="C120" s="9"/>
    </row>
    <row r="121" spans="3:3">
      <c r="C121" s="9"/>
    </row>
    <row r="122" spans="3:3">
      <c r="C122" s="9"/>
    </row>
    <row r="123" spans="3:3">
      <c r="C123" s="9"/>
    </row>
    <row r="124" spans="3:3">
      <c r="C124" s="9"/>
    </row>
    <row r="125" spans="3:3">
      <c r="C125" s="9"/>
    </row>
    <row r="126" spans="3:3">
      <c r="C126" s="9"/>
    </row>
    <row r="127" spans="3:3">
      <c r="C127" s="9"/>
    </row>
    <row r="128" spans="3:3">
      <c r="C128" s="9"/>
    </row>
    <row r="129" spans="3:3">
      <c r="C129" s="9"/>
    </row>
    <row r="130" spans="3:3">
      <c r="C130" s="9"/>
    </row>
    <row r="131" spans="3:3">
      <c r="C131" s="9"/>
    </row>
    <row r="132" spans="3:3">
      <c r="C132" s="9"/>
    </row>
    <row r="133" spans="3:3">
      <c r="C133" s="9"/>
    </row>
    <row r="134" spans="3:3">
      <c r="C134" s="9"/>
    </row>
    <row r="135" spans="3:3">
      <c r="C135" s="9"/>
    </row>
    <row r="136" spans="3:3">
      <c r="C136" s="9"/>
    </row>
    <row r="137" spans="3:3">
      <c r="C137" s="9"/>
    </row>
    <row r="138" spans="3:3">
      <c r="C138" s="9"/>
    </row>
    <row r="139" spans="3:3">
      <c r="C139" s="9"/>
    </row>
    <row r="140" spans="3:3">
      <c r="C140" s="9"/>
    </row>
    <row r="141" spans="3:3">
      <c r="C141" s="9"/>
    </row>
    <row r="142" spans="3:3">
      <c r="C142" s="9"/>
    </row>
    <row r="143" spans="3:3">
      <c r="C143" s="9"/>
    </row>
    <row r="144" spans="3:3">
      <c r="C144" s="9"/>
    </row>
    <row r="145" spans="3:3">
      <c r="C145" s="9"/>
    </row>
    <row r="146" spans="3:3">
      <c r="C146" s="9"/>
    </row>
    <row r="147" spans="3:3">
      <c r="C147" s="9"/>
    </row>
    <row r="148" spans="3:3">
      <c r="C148" s="9"/>
    </row>
    <row r="149" spans="3:3">
      <c r="C149" s="9"/>
    </row>
    <row r="150" spans="3:3">
      <c r="C150" s="9"/>
    </row>
    <row r="151" spans="3:3">
      <c r="C151" s="9"/>
    </row>
    <row r="152" spans="3:3">
      <c r="C152" s="9"/>
    </row>
    <row r="153" spans="3:3">
      <c r="C153" s="9"/>
    </row>
    <row r="154" spans="3:3">
      <c r="C154" s="9"/>
    </row>
    <row r="155" spans="3:3">
      <c r="C155" s="9"/>
    </row>
    <row r="156" spans="3:3">
      <c r="C156" s="9"/>
    </row>
    <row r="157" spans="3:3">
      <c r="C157" s="9"/>
    </row>
    <row r="158" spans="3:3">
      <c r="C158" s="9"/>
    </row>
    <row r="159" spans="3:3">
      <c r="C159" s="9"/>
    </row>
    <row r="160" spans="3:3">
      <c r="C160" s="9"/>
    </row>
    <row r="161" spans="3:3">
      <c r="C161" s="9"/>
    </row>
    <row r="162" spans="3:3">
      <c r="C162" s="9"/>
    </row>
    <row r="163" spans="3:3">
      <c r="C163" s="9"/>
    </row>
    <row r="164" spans="3:3">
      <c r="C164" s="9"/>
    </row>
    <row r="165" spans="3:3">
      <c r="C165" s="9"/>
    </row>
    <row r="166" spans="3:3">
      <c r="C166" s="9"/>
    </row>
    <row r="167" spans="3:3">
      <c r="C167" s="9"/>
    </row>
    <row r="168" spans="3:3">
      <c r="C168" s="9"/>
    </row>
    <row r="169" spans="3:3">
      <c r="C169" s="9"/>
    </row>
    <row r="170" spans="3:3">
      <c r="C170" s="9"/>
    </row>
    <row r="171" spans="3:3">
      <c r="C171" s="9"/>
    </row>
    <row r="172" spans="3:3">
      <c r="C172" s="9"/>
    </row>
    <row r="173" spans="3:3">
      <c r="C173" s="9"/>
    </row>
    <row r="174" spans="3:3">
      <c r="C174" s="9"/>
    </row>
    <row r="175" spans="3:3">
      <c r="C175" s="9"/>
    </row>
    <row r="176" spans="3:3">
      <c r="C176" s="9"/>
    </row>
    <row r="177" spans="3:3">
      <c r="C177" s="9"/>
    </row>
    <row r="178" spans="3:3">
      <c r="C178" s="9"/>
    </row>
    <row r="179" spans="3:3">
      <c r="C179" s="9"/>
    </row>
    <row r="180" spans="3:3">
      <c r="C180" s="9"/>
    </row>
    <row r="181" spans="3:3">
      <c r="C181" s="9"/>
    </row>
    <row r="182" spans="3:3">
      <c r="C182" s="9"/>
    </row>
    <row r="183" spans="3:3">
      <c r="C183" s="9"/>
    </row>
    <row r="184" spans="3:3">
      <c r="C184" s="9"/>
    </row>
    <row r="185" spans="3:3">
      <c r="C185" s="9"/>
    </row>
    <row r="186" spans="3:3">
      <c r="C186" s="9"/>
    </row>
    <row r="187" spans="3:3">
      <c r="C187" s="9"/>
    </row>
    <row r="188" spans="3:3">
      <c r="C188" s="9"/>
    </row>
    <row r="189" spans="3:3">
      <c r="C189" s="9"/>
    </row>
    <row r="190" spans="3:3">
      <c r="C190" s="9"/>
    </row>
    <row r="191" spans="3:3">
      <c r="C191" s="9"/>
    </row>
    <row r="192" spans="3:3">
      <c r="C192" s="9"/>
    </row>
    <row r="193" spans="3:3">
      <c r="C193" s="9"/>
    </row>
    <row r="194" spans="3:3">
      <c r="C194" s="9"/>
    </row>
    <row r="195" spans="3:3">
      <c r="C195" s="9"/>
    </row>
    <row r="196" spans="3:3">
      <c r="C196" s="9"/>
    </row>
    <row r="197" spans="3:3">
      <c r="C197" s="9"/>
    </row>
    <row r="198" spans="3:3">
      <c r="C198" s="9"/>
    </row>
    <row r="199" spans="3:3">
      <c r="C199" s="9"/>
    </row>
    <row r="200" spans="3:3">
      <c r="C200" s="9"/>
    </row>
    <row r="201" spans="3:3">
      <c r="C201" s="9"/>
    </row>
    <row r="202" spans="3:3">
      <c r="C202" s="9"/>
    </row>
    <row r="203" spans="3:3">
      <c r="C203" s="9"/>
    </row>
    <row r="204" spans="3:3">
      <c r="C204" s="9"/>
    </row>
    <row r="205" spans="3:3">
      <c r="C205" s="9"/>
    </row>
    <row r="206" spans="3:3">
      <c r="C206" s="9"/>
    </row>
    <row r="207" spans="3:3">
      <c r="C207" s="9"/>
    </row>
    <row r="208" spans="3:3">
      <c r="C208" s="9"/>
    </row>
    <row r="209" spans="3:3">
      <c r="C209" s="9"/>
    </row>
    <row r="210" spans="3:3">
      <c r="C210" s="9"/>
    </row>
    <row r="211" spans="3:3">
      <c r="C211" s="9"/>
    </row>
    <row r="212" spans="3:3">
      <c r="C212" s="9"/>
    </row>
    <row r="213" spans="3:3">
      <c r="C213" s="9"/>
    </row>
    <row r="214" spans="3:3">
      <c r="C214" s="9"/>
    </row>
    <row r="215" spans="3:3">
      <c r="C215" s="9"/>
    </row>
    <row r="216" spans="3:3">
      <c r="C216" s="9"/>
    </row>
    <row r="217" spans="3:3">
      <c r="C217" s="9"/>
    </row>
    <row r="218" spans="3:3">
      <c r="C218" s="9"/>
    </row>
    <row r="219" spans="3:3">
      <c r="C219" s="9"/>
    </row>
    <row r="220" spans="3:3">
      <c r="C220" s="9"/>
    </row>
    <row r="221" spans="3:3">
      <c r="C221" s="9"/>
    </row>
    <row r="222" spans="3:3">
      <c r="C222" s="9"/>
    </row>
    <row r="223" spans="3:3">
      <c r="C223" s="9"/>
    </row>
    <row r="224" spans="3:3">
      <c r="C224" s="9"/>
    </row>
    <row r="225" spans="3:3">
      <c r="C225" s="9"/>
    </row>
    <row r="226" spans="3:3">
      <c r="C226" s="9"/>
    </row>
    <row r="227" spans="3:3">
      <c r="C227" s="9"/>
    </row>
    <row r="228" spans="3:3">
      <c r="C228" s="9"/>
    </row>
    <row r="229" spans="3:3">
      <c r="C229" s="9"/>
    </row>
    <row r="230" spans="3:3">
      <c r="C230" s="9"/>
    </row>
    <row r="231" spans="3:3">
      <c r="C231" s="9"/>
    </row>
    <row r="232" spans="3:3">
      <c r="C232" s="9"/>
    </row>
    <row r="233" spans="3:3">
      <c r="C233" s="9"/>
    </row>
    <row r="234" spans="3:3">
      <c r="C234" s="9"/>
    </row>
    <row r="235" spans="3:3">
      <c r="C235" s="9"/>
    </row>
    <row r="236" spans="3:3">
      <c r="C236" s="9"/>
    </row>
    <row r="237" spans="3:3">
      <c r="C237" s="9"/>
    </row>
    <row r="238" spans="3:3">
      <c r="C238" s="9"/>
    </row>
    <row r="239" spans="3:3">
      <c r="C239" s="9"/>
    </row>
    <row r="240" spans="3:3">
      <c r="C240" s="9"/>
    </row>
    <row r="241" spans="3:3">
      <c r="C241" s="9"/>
    </row>
    <row r="242" spans="3:3">
      <c r="C242" s="9"/>
    </row>
    <row r="243" spans="3:3">
      <c r="C243" s="9"/>
    </row>
    <row r="244" spans="3:3">
      <c r="C244" s="9"/>
    </row>
    <row r="245" spans="3:3">
      <c r="C245" s="9"/>
    </row>
    <row r="246" spans="3:3">
      <c r="C246" s="9"/>
    </row>
    <row r="247" spans="3:3">
      <c r="C247" s="9"/>
    </row>
    <row r="248" spans="3:3">
      <c r="C248" s="9"/>
    </row>
    <row r="249" spans="3:3">
      <c r="C249" s="9"/>
    </row>
    <row r="250" spans="3:3">
      <c r="C250" s="9"/>
    </row>
    <row r="251" spans="3:3">
      <c r="C251" s="9"/>
    </row>
    <row r="252" spans="3:3">
      <c r="C252" s="9"/>
    </row>
    <row r="253" spans="3:3">
      <c r="C253" s="9"/>
    </row>
    <row r="254" spans="3:3">
      <c r="C254" s="9"/>
    </row>
    <row r="255" spans="3:3">
      <c r="C255" s="9"/>
    </row>
    <row r="256" spans="3:3">
      <c r="C256" s="9"/>
    </row>
    <row r="257" spans="3:3">
      <c r="C257" s="9"/>
    </row>
    <row r="258" spans="3:3">
      <c r="C258" s="9"/>
    </row>
    <row r="259" spans="3:3">
      <c r="C259" s="9"/>
    </row>
    <row r="260" spans="3:3">
      <c r="C260" s="9"/>
    </row>
    <row r="261" spans="3:3">
      <c r="C261" s="9"/>
    </row>
    <row r="262" spans="3:3">
      <c r="C262" s="9"/>
    </row>
    <row r="263" spans="3:3">
      <c r="C263" s="9"/>
    </row>
    <row r="264" spans="3:3">
      <c r="C264" s="9"/>
    </row>
    <row r="265" spans="3:3">
      <c r="C265" s="9"/>
    </row>
    <row r="266" spans="3:3">
      <c r="C266" s="9"/>
    </row>
    <row r="267" spans="3:3">
      <c r="C267" s="9"/>
    </row>
    <row r="268" spans="3:3">
      <c r="C268" s="9"/>
    </row>
    <row r="269" spans="3:3">
      <c r="C269" s="9"/>
    </row>
    <row r="270" spans="3:3">
      <c r="C270" s="9"/>
    </row>
    <row r="271" spans="3:3">
      <c r="C271" s="9"/>
    </row>
    <row r="272" spans="3:3">
      <c r="C272" s="9"/>
    </row>
    <row r="273" spans="3:3">
      <c r="C273" s="9"/>
    </row>
    <row r="274" spans="3:3">
      <c r="C274" s="9"/>
    </row>
    <row r="275" spans="3:3">
      <c r="C275" s="9"/>
    </row>
    <row r="276" spans="3:3">
      <c r="C276" s="9"/>
    </row>
    <row r="277" spans="3:3">
      <c r="C277" s="9"/>
    </row>
    <row r="278" spans="3:3">
      <c r="C278" s="9"/>
    </row>
    <row r="279" spans="3:3">
      <c r="C279" s="9"/>
    </row>
    <row r="280" spans="3:3">
      <c r="C280" s="9"/>
    </row>
    <row r="281" spans="3:3">
      <c r="C281" s="9"/>
    </row>
    <row r="282" spans="3:3">
      <c r="C282" s="9"/>
    </row>
    <row r="283" spans="3:3">
      <c r="C283" s="9"/>
    </row>
    <row r="284" spans="3:3">
      <c r="C284" s="9"/>
    </row>
    <row r="285" spans="3:3">
      <c r="C285" s="9"/>
    </row>
    <row r="286" spans="3:3">
      <c r="C286" s="9"/>
    </row>
    <row r="287" spans="3:3">
      <c r="C287" s="9"/>
    </row>
    <row r="288" spans="3:3">
      <c r="C288" s="9"/>
    </row>
    <row r="289" spans="3:3">
      <c r="C289" s="9"/>
    </row>
    <row r="290" spans="3:3">
      <c r="C290" s="9"/>
    </row>
    <row r="291" spans="3:3">
      <c r="C291" s="9"/>
    </row>
    <row r="292" spans="3:3">
      <c r="C292" s="9"/>
    </row>
    <row r="293" spans="3:3">
      <c r="C293" s="9"/>
    </row>
    <row r="294" spans="3:3">
      <c r="C294" s="9"/>
    </row>
    <row r="295" spans="3:3">
      <c r="C295" s="9"/>
    </row>
    <row r="296" spans="3:3">
      <c r="C296" s="9"/>
    </row>
    <row r="297" spans="3:3">
      <c r="C297" s="9"/>
    </row>
    <row r="298" spans="3:3">
      <c r="C298" s="9"/>
    </row>
    <row r="299" spans="3:3">
      <c r="C299" s="9"/>
    </row>
    <row r="300" spans="3:3">
      <c r="C300" s="9"/>
    </row>
    <row r="301" spans="3:3">
      <c r="C301" s="9"/>
    </row>
    <row r="302" spans="3:3">
      <c r="C302" s="9"/>
    </row>
    <row r="303" spans="3:3">
      <c r="C303" s="9"/>
    </row>
    <row r="304" spans="3:3">
      <c r="C304" s="9"/>
    </row>
    <row r="305" spans="3:3">
      <c r="C305" s="9"/>
    </row>
    <row r="306" spans="3:3">
      <c r="C306" s="9"/>
    </row>
    <row r="307" spans="3:3">
      <c r="C307" s="9"/>
    </row>
    <row r="308" spans="3:3">
      <c r="C308" s="9"/>
    </row>
    <row r="309" spans="3:3">
      <c r="C309" s="9"/>
    </row>
    <row r="310" spans="3:3">
      <c r="C310" s="9"/>
    </row>
    <row r="311" spans="3:3">
      <c r="C311" s="9"/>
    </row>
    <row r="312" spans="3:3">
      <c r="C312" s="9"/>
    </row>
    <row r="313" spans="3:3">
      <c r="C313" s="9"/>
    </row>
    <row r="314" spans="3:3">
      <c r="C314" s="9"/>
    </row>
    <row r="315" spans="3:3">
      <c r="C315" s="9"/>
    </row>
    <row r="316" spans="3:3">
      <c r="C316" s="9"/>
    </row>
    <row r="317" spans="3:3">
      <c r="C317" s="9"/>
    </row>
    <row r="318" spans="3:3">
      <c r="C318" s="9"/>
    </row>
    <row r="319" spans="3:3">
      <c r="C319" s="9"/>
    </row>
    <row r="320" spans="3:3">
      <c r="C320" s="9"/>
    </row>
    <row r="321" spans="3:3">
      <c r="C321" s="9"/>
    </row>
    <row r="322" spans="3:3">
      <c r="C322" s="9"/>
    </row>
    <row r="323" spans="3:3">
      <c r="C323" s="9"/>
    </row>
    <row r="324" spans="3:3">
      <c r="C324" s="9"/>
    </row>
    <row r="325" spans="3:3">
      <c r="C325" s="9"/>
    </row>
    <row r="326" spans="3:3">
      <c r="C326" s="9"/>
    </row>
    <row r="327" spans="3:3">
      <c r="C327" s="9"/>
    </row>
    <row r="328" spans="3:3">
      <c r="C328" s="9"/>
    </row>
    <row r="329" spans="3:3">
      <c r="C329" s="9"/>
    </row>
    <row r="330" spans="3:3">
      <c r="C330" s="9"/>
    </row>
    <row r="331" spans="3:3">
      <c r="C331" s="9"/>
    </row>
    <row r="332" spans="3:3">
      <c r="C332" s="9"/>
    </row>
    <row r="333" spans="3:3">
      <c r="C333" s="9"/>
    </row>
    <row r="334" spans="3:3">
      <c r="C334" s="9"/>
    </row>
    <row r="335" spans="3:3">
      <c r="C335" s="9"/>
    </row>
    <row r="336" spans="3:3">
      <c r="C336" s="9"/>
    </row>
    <row r="337" spans="3:3">
      <c r="C337" s="9"/>
    </row>
    <row r="338" spans="3:3">
      <c r="C338" s="9"/>
    </row>
    <row r="339" spans="3:3">
      <c r="C339" s="9"/>
    </row>
    <row r="340" spans="3:3">
      <c r="C340" s="9"/>
    </row>
    <row r="341" spans="3:3">
      <c r="C341" s="9"/>
    </row>
    <row r="342" spans="3:3">
      <c r="C342" s="9"/>
    </row>
    <row r="343" spans="3:3">
      <c r="C343" s="9"/>
    </row>
    <row r="344" spans="3:3">
      <c r="C344" s="9"/>
    </row>
    <row r="345" spans="3:3">
      <c r="C345" s="9"/>
    </row>
    <row r="346" spans="3:3">
      <c r="C346" s="9"/>
    </row>
    <row r="347" spans="3:3">
      <c r="C347" s="9"/>
    </row>
    <row r="348" spans="3:3">
      <c r="C348" s="9"/>
    </row>
    <row r="349" spans="3:3">
      <c r="C349" s="9"/>
    </row>
    <row r="350" spans="3:3">
      <c r="C350" s="9"/>
    </row>
    <row r="351" spans="3:3">
      <c r="C351" s="9"/>
    </row>
    <row r="352" spans="3:3">
      <c r="C352" s="9"/>
    </row>
    <row r="353" spans="3:3">
      <c r="C353" s="9"/>
    </row>
    <row r="354" spans="3:3">
      <c r="C354" s="9"/>
    </row>
    <row r="355" spans="3:3">
      <c r="C355" s="9"/>
    </row>
    <row r="356" spans="3:3">
      <c r="C356" s="9"/>
    </row>
    <row r="357" spans="3:3">
      <c r="C357" s="9"/>
    </row>
    <row r="358" spans="3:3">
      <c r="C358" s="9"/>
    </row>
    <row r="359" spans="3:3">
      <c r="C359" s="9"/>
    </row>
    <row r="360" spans="3:3">
      <c r="C360" s="9"/>
    </row>
    <row r="361" spans="3:3">
      <c r="C361" s="9"/>
    </row>
    <row r="362" spans="3:3">
      <c r="C362" s="9"/>
    </row>
    <row r="363" spans="3:3">
      <c r="C363" s="9"/>
    </row>
    <row r="364" spans="3:3">
      <c r="C364" s="9"/>
    </row>
    <row r="365" spans="3:3">
      <c r="C365" s="9"/>
    </row>
    <row r="366" spans="3:3">
      <c r="C366" s="9"/>
    </row>
    <row r="367" spans="3:3">
      <c r="C367" s="9"/>
    </row>
    <row r="368" spans="3:3">
      <c r="C368" s="9"/>
    </row>
    <row r="369" spans="3:3">
      <c r="C369" s="9"/>
    </row>
    <row r="370" spans="3:3">
      <c r="C370" s="9"/>
    </row>
    <row r="371" spans="3:3">
      <c r="C371" s="9"/>
    </row>
    <row r="372" spans="3:3">
      <c r="C372" s="9"/>
    </row>
    <row r="373" spans="3:3">
      <c r="C373" s="9"/>
    </row>
    <row r="374" spans="3:3">
      <c r="C374" s="9"/>
    </row>
    <row r="375" spans="3:3">
      <c r="C375" s="9"/>
    </row>
    <row r="376" spans="3:3">
      <c r="C376" s="9"/>
    </row>
    <row r="377" spans="3:3">
      <c r="C377" s="9"/>
    </row>
    <row r="378" spans="3:3">
      <c r="C378" s="9"/>
    </row>
    <row r="379" spans="3:3">
      <c r="C379" s="9"/>
    </row>
    <row r="380" spans="3:3">
      <c r="C380" s="9"/>
    </row>
    <row r="381" spans="3:3">
      <c r="C381" s="9"/>
    </row>
    <row r="382" spans="3:3">
      <c r="C382" s="9"/>
    </row>
    <row r="383" spans="3:3">
      <c r="C383" s="9"/>
    </row>
    <row r="384" spans="3:3">
      <c r="C384" s="9"/>
    </row>
    <row r="385" spans="3:3">
      <c r="C385" s="9"/>
    </row>
    <row r="386" spans="3:3">
      <c r="C386" s="9"/>
    </row>
    <row r="387" spans="3:3">
      <c r="C387" s="9"/>
    </row>
    <row r="388" spans="3:3">
      <c r="C388" s="9"/>
    </row>
    <row r="389" spans="3:3">
      <c r="C389" s="9"/>
    </row>
    <row r="390" spans="3:3">
      <c r="C390" s="9"/>
    </row>
    <row r="391" spans="3:3">
      <c r="C391" s="9"/>
    </row>
    <row r="392" spans="3:3">
      <c r="C392" s="9"/>
    </row>
    <row r="393" spans="3:3">
      <c r="C393" s="9"/>
    </row>
    <row r="394" spans="3:3">
      <c r="C394" s="9"/>
    </row>
    <row r="395" spans="3:3">
      <c r="C395" s="9"/>
    </row>
    <row r="396" spans="3:3">
      <c r="C396" s="9"/>
    </row>
    <row r="397" spans="3:3">
      <c r="C397" s="9"/>
    </row>
    <row r="398" spans="3:3">
      <c r="C398" s="9"/>
    </row>
    <row r="399" spans="3:3">
      <c r="C399" s="9"/>
    </row>
    <row r="400" spans="3:3">
      <c r="C400" s="9"/>
    </row>
    <row r="401" spans="3:3">
      <c r="C401" s="9"/>
    </row>
    <row r="402" spans="3:3">
      <c r="C402" s="9"/>
    </row>
    <row r="403" spans="3:3">
      <c r="C403" s="9"/>
    </row>
    <row r="404" spans="3:3">
      <c r="C404" s="9"/>
    </row>
    <row r="405" spans="3:3">
      <c r="C405" s="9"/>
    </row>
    <row r="406" spans="3:3">
      <c r="C406" s="9"/>
    </row>
    <row r="407" spans="3:3">
      <c r="C407" s="9"/>
    </row>
    <row r="408" spans="3:3">
      <c r="C408" s="9"/>
    </row>
    <row r="409" spans="3:3">
      <c r="C409" s="9"/>
    </row>
    <row r="410" spans="3:3">
      <c r="C410" s="9"/>
    </row>
    <row r="411" spans="3:3">
      <c r="C411" s="9"/>
    </row>
    <row r="412" spans="3:3">
      <c r="C412" s="9"/>
    </row>
    <row r="413" spans="3:3">
      <c r="C413" s="9"/>
    </row>
    <row r="414" spans="3:3">
      <c r="C414" s="9"/>
    </row>
    <row r="415" spans="3:3">
      <c r="C415" s="9"/>
    </row>
    <row r="416" spans="3:3">
      <c r="C416" s="9"/>
    </row>
    <row r="417" spans="3:3">
      <c r="C417" s="9"/>
    </row>
    <row r="418" spans="3:3">
      <c r="C418" s="9"/>
    </row>
    <row r="419" spans="3:3">
      <c r="C419" s="9"/>
    </row>
    <row r="420" spans="3:3">
      <c r="C420" s="9"/>
    </row>
    <row r="421" spans="3:3">
      <c r="C421" s="9"/>
    </row>
    <row r="422" spans="3:3">
      <c r="C422" s="9"/>
    </row>
    <row r="423" spans="3:3">
      <c r="C423" s="9"/>
    </row>
    <row r="424" spans="3:3">
      <c r="C424" s="9"/>
    </row>
    <row r="425" spans="3:3">
      <c r="C425" s="9"/>
    </row>
    <row r="426" spans="3:3">
      <c r="C426" s="9"/>
    </row>
    <row r="427" spans="3:3">
      <c r="C427" s="9"/>
    </row>
    <row r="428" spans="3:3">
      <c r="C428" s="9"/>
    </row>
    <row r="429" spans="3:3">
      <c r="C429" s="9"/>
    </row>
    <row r="430" spans="3:3">
      <c r="C430" s="9"/>
    </row>
    <row r="431" spans="3:3">
      <c r="C431" s="9"/>
    </row>
    <row r="432" spans="3:3">
      <c r="C432" s="9"/>
    </row>
    <row r="433" spans="3:3">
      <c r="C433" s="9"/>
    </row>
    <row r="434" spans="3:3">
      <c r="C434" s="9"/>
    </row>
    <row r="435" spans="3:3">
      <c r="C435" s="9"/>
    </row>
    <row r="436" spans="3:3">
      <c r="C436" s="9"/>
    </row>
    <row r="437" spans="3:3">
      <c r="C437" s="9"/>
    </row>
    <row r="438" spans="3:3">
      <c r="C438" s="9"/>
    </row>
    <row r="439" spans="3:3">
      <c r="C439" s="9"/>
    </row>
    <row r="440" spans="3:3">
      <c r="C440" s="9"/>
    </row>
    <row r="441" spans="3:3">
      <c r="C441" s="9"/>
    </row>
    <row r="442" spans="3:3">
      <c r="C442" s="9"/>
    </row>
    <row r="443" spans="3:3">
      <c r="C443" s="9"/>
    </row>
    <row r="444" spans="3:3">
      <c r="C444" s="9"/>
    </row>
    <row r="445" spans="3:3">
      <c r="C445" s="9"/>
    </row>
    <row r="446" spans="3:3">
      <c r="C446" s="9"/>
    </row>
    <row r="447" spans="3:3">
      <c r="C447" s="9"/>
    </row>
    <row r="448" spans="3:3">
      <c r="C448" s="9"/>
    </row>
    <row r="449" spans="3:3">
      <c r="C449" s="9"/>
    </row>
    <row r="450" spans="3:3">
      <c r="C450" s="9"/>
    </row>
    <row r="451" spans="3:3">
      <c r="C451" s="9"/>
    </row>
    <row r="452" spans="3:3">
      <c r="C452" s="9"/>
    </row>
    <row r="453" spans="3:3">
      <c r="C453" s="9"/>
    </row>
    <row r="454" spans="3:3">
      <c r="C454" s="9"/>
    </row>
    <row r="455" spans="3:3">
      <c r="C455" s="9"/>
    </row>
    <row r="456" spans="3:3">
      <c r="C456" s="9"/>
    </row>
    <row r="457" spans="3:3">
      <c r="C457" s="9"/>
    </row>
    <row r="458" spans="3:3">
      <c r="C458" s="9"/>
    </row>
    <row r="459" spans="3:3">
      <c r="C459" s="9"/>
    </row>
    <row r="460" spans="3:3">
      <c r="C460" s="9"/>
    </row>
    <row r="461" spans="3:3">
      <c r="C461" s="9"/>
    </row>
    <row r="462" spans="3:3">
      <c r="C462" s="9"/>
    </row>
    <row r="463" spans="3:3">
      <c r="C463" s="9"/>
    </row>
    <row r="464" spans="3:3">
      <c r="C464" s="9"/>
    </row>
    <row r="465" spans="3:3">
      <c r="C465" s="9"/>
    </row>
    <row r="466" spans="3:3">
      <c r="C466" s="9"/>
    </row>
    <row r="467" spans="3:3">
      <c r="C467" s="9"/>
    </row>
    <row r="468" spans="3:3">
      <c r="C468" s="9"/>
    </row>
    <row r="469" spans="3:3">
      <c r="C469" s="9"/>
    </row>
    <row r="470" spans="3:3">
      <c r="C470" s="9"/>
    </row>
    <row r="471" spans="3:3">
      <c r="C471" s="9"/>
    </row>
    <row r="472" spans="3:3">
      <c r="C472" s="9"/>
    </row>
    <row r="473" spans="3:3">
      <c r="C473" s="9"/>
    </row>
    <row r="474" spans="3:3">
      <c r="C474" s="9"/>
    </row>
    <row r="475" spans="3:3">
      <c r="C475" s="9"/>
    </row>
    <row r="476" spans="3:3">
      <c r="C476" s="9"/>
    </row>
    <row r="477" spans="3:3">
      <c r="C477" s="9"/>
    </row>
    <row r="478" spans="3:3">
      <c r="C478" s="9"/>
    </row>
    <row r="479" spans="3:3">
      <c r="C479" s="9"/>
    </row>
    <row r="480" spans="3:3">
      <c r="C480" s="9"/>
    </row>
    <row r="481" spans="3:3">
      <c r="C481" s="9"/>
    </row>
    <row r="482" spans="3:3">
      <c r="C482" s="9"/>
    </row>
    <row r="483" spans="3:3">
      <c r="C483" s="9"/>
    </row>
    <row r="484" spans="3:3">
      <c r="C484" s="9"/>
    </row>
    <row r="485" spans="3:3">
      <c r="C485" s="9"/>
    </row>
    <row r="486" spans="3:3">
      <c r="C486" s="9"/>
    </row>
    <row r="487" spans="3:3">
      <c r="C487" s="9"/>
    </row>
    <row r="488" spans="3:3">
      <c r="C488" s="9"/>
    </row>
    <row r="489" spans="3:3">
      <c r="C489" s="9"/>
    </row>
    <row r="490" spans="3:3">
      <c r="C490" s="9"/>
    </row>
    <row r="491" spans="3:3">
      <c r="C491" s="9"/>
    </row>
    <row r="492" spans="3:3">
      <c r="C492" s="9"/>
    </row>
    <row r="493" spans="3:3">
      <c r="C493" s="9"/>
    </row>
    <row r="494" spans="3:3">
      <c r="C494" s="9"/>
    </row>
    <row r="495" spans="3:3">
      <c r="C495" s="9"/>
    </row>
    <row r="496" spans="3:3">
      <c r="C496" s="9"/>
    </row>
    <row r="497" spans="3:3">
      <c r="C497" s="9"/>
    </row>
    <row r="498" spans="3:3">
      <c r="C498" s="9"/>
    </row>
    <row r="499" spans="3:3">
      <c r="C499" s="9"/>
    </row>
    <row r="500" spans="3:3">
      <c r="C500" s="9"/>
    </row>
    <row r="501" spans="3:3">
      <c r="C501" s="9"/>
    </row>
    <row r="502" spans="3:3">
      <c r="C502" s="9"/>
    </row>
    <row r="503" spans="3:3">
      <c r="C503" s="9"/>
    </row>
    <row r="504" spans="3:3">
      <c r="C504" s="9"/>
    </row>
    <row r="505" spans="3:3">
      <c r="C505" s="9"/>
    </row>
    <row r="506" spans="3:3">
      <c r="C506" s="9"/>
    </row>
    <row r="507" spans="3:3">
      <c r="C507" s="9"/>
    </row>
    <row r="508" spans="3:3">
      <c r="C508" s="9"/>
    </row>
    <row r="509" spans="3:3">
      <c r="C509" s="9"/>
    </row>
    <row r="510" spans="3:3">
      <c r="C510" s="9"/>
    </row>
    <row r="511" spans="3:3">
      <c r="C511" s="9"/>
    </row>
    <row r="512" spans="3:3">
      <c r="C512" s="9"/>
    </row>
    <row r="513" spans="3:3">
      <c r="C513" s="9"/>
    </row>
    <row r="514" spans="3:3">
      <c r="C514" s="9"/>
    </row>
    <row r="515" spans="3:3">
      <c r="C515" s="9"/>
    </row>
    <row r="516" spans="3:3">
      <c r="C516" s="9"/>
    </row>
    <row r="517" spans="3:3">
      <c r="C517" s="9"/>
    </row>
    <row r="518" spans="3:3">
      <c r="C518" s="9"/>
    </row>
    <row r="519" spans="3:3">
      <c r="C519" s="9"/>
    </row>
    <row r="520" spans="3:3">
      <c r="C520" s="9"/>
    </row>
    <row r="521" spans="3:3">
      <c r="C521" s="9"/>
    </row>
    <row r="522" spans="3:3">
      <c r="C522" s="9"/>
    </row>
    <row r="523" spans="3:3">
      <c r="C523" s="9"/>
    </row>
    <row r="524" spans="3:3">
      <c r="C524" s="9"/>
    </row>
    <row r="525" spans="3:3">
      <c r="C525" s="9"/>
    </row>
    <row r="526" spans="3:3">
      <c r="C526" s="9"/>
    </row>
    <row r="527" spans="3:3">
      <c r="C527" s="9"/>
    </row>
    <row r="528" spans="3:3">
      <c r="C528" s="9"/>
    </row>
    <row r="529" spans="3:3">
      <c r="C529" s="9"/>
    </row>
    <row r="530" spans="3:3">
      <c r="C530" s="9"/>
    </row>
    <row r="531" spans="3:3">
      <c r="C531" s="9"/>
    </row>
    <row r="532" spans="3:3">
      <c r="C532" s="9"/>
    </row>
    <row r="533" spans="3:3">
      <c r="C533" s="9"/>
    </row>
    <row r="534" spans="3:3">
      <c r="C534" s="9"/>
    </row>
    <row r="535" spans="3:3">
      <c r="C535" s="9"/>
    </row>
    <row r="536" spans="3:3">
      <c r="C536" s="9"/>
    </row>
    <row r="537" spans="3:3">
      <c r="C537" s="9"/>
    </row>
    <row r="538" spans="3:3">
      <c r="C538" s="9"/>
    </row>
    <row r="539" spans="3:3">
      <c r="C539" s="9"/>
    </row>
    <row r="540" spans="3:3">
      <c r="C540" s="9"/>
    </row>
    <row r="541" spans="3:3">
      <c r="C541" s="9"/>
    </row>
    <row r="542" spans="3:3">
      <c r="C542" s="9"/>
    </row>
    <row r="543" spans="3:3">
      <c r="C543" s="9"/>
    </row>
    <row r="544" spans="3:3">
      <c r="C544" s="9"/>
    </row>
    <row r="545" spans="3:3">
      <c r="C545" s="9"/>
    </row>
    <row r="546" spans="3:3">
      <c r="C546" s="9"/>
    </row>
    <row r="547" spans="3:3">
      <c r="C547" s="9"/>
    </row>
    <row r="548" spans="3:3">
      <c r="C548" s="9"/>
    </row>
    <row r="549" spans="3:3">
      <c r="C549" s="9"/>
    </row>
    <row r="550" spans="3:3">
      <c r="C550" s="9"/>
    </row>
    <row r="551" spans="3:3">
      <c r="C551" s="9"/>
    </row>
    <row r="552" spans="3:3">
      <c r="C552" s="9"/>
    </row>
    <row r="553" spans="3:3">
      <c r="C553" s="9"/>
    </row>
    <row r="554" spans="3:3">
      <c r="C554" s="9"/>
    </row>
    <row r="555" spans="3:3">
      <c r="C555" s="9"/>
    </row>
    <row r="556" spans="3:3">
      <c r="C556" s="9"/>
    </row>
    <row r="557" spans="3:3">
      <c r="C557" s="9"/>
    </row>
    <row r="558" spans="3:3">
      <c r="C558" s="9"/>
    </row>
    <row r="559" spans="3:3">
      <c r="C559" s="9"/>
    </row>
    <row r="560" spans="3:3">
      <c r="C560" s="9"/>
    </row>
    <row r="561" spans="3:3">
      <c r="C561" s="9"/>
    </row>
    <row r="562" spans="3:3">
      <c r="C562" s="9"/>
    </row>
    <row r="563" spans="3:3">
      <c r="C563" s="9"/>
    </row>
    <row r="564" spans="3:3">
      <c r="C564" s="9"/>
    </row>
    <row r="565" spans="3:3">
      <c r="C565" s="9"/>
    </row>
    <row r="566" spans="3:3">
      <c r="C566" s="9"/>
    </row>
    <row r="567" spans="3:3">
      <c r="C567" s="9"/>
    </row>
    <row r="568" spans="3:3">
      <c r="C568" s="9"/>
    </row>
    <row r="569" spans="3:3">
      <c r="C569" s="9"/>
    </row>
    <row r="570" spans="3:3">
      <c r="C570" s="9"/>
    </row>
    <row r="571" spans="3:3">
      <c r="C571" s="9"/>
    </row>
    <row r="572" spans="3:3">
      <c r="C572" s="9"/>
    </row>
    <row r="573" spans="3:3">
      <c r="C573" s="9"/>
    </row>
    <row r="574" spans="3:3">
      <c r="C574" s="9"/>
    </row>
    <row r="575" spans="3:3">
      <c r="C575" s="9"/>
    </row>
    <row r="576" spans="3:3">
      <c r="C576" s="9"/>
    </row>
    <row r="577" spans="3:3">
      <c r="C577" s="9"/>
    </row>
    <row r="578" spans="3:3">
      <c r="C578" s="9"/>
    </row>
    <row r="579" spans="3:3">
      <c r="C579" s="9"/>
    </row>
    <row r="580" spans="3:3">
      <c r="C580" s="9"/>
    </row>
    <row r="581" spans="3:3">
      <c r="C581" s="9"/>
    </row>
    <row r="582" spans="3:3">
      <c r="C582" s="9"/>
    </row>
    <row r="583" spans="3:3">
      <c r="C583" s="9"/>
    </row>
    <row r="584" spans="3:3">
      <c r="C584" s="9"/>
    </row>
    <row r="585" spans="3:3">
      <c r="C585" s="9"/>
    </row>
    <row r="586" spans="3:3">
      <c r="C586" s="9"/>
    </row>
    <row r="587" spans="3:3">
      <c r="C587" s="9"/>
    </row>
    <row r="588" spans="3:3">
      <c r="C588" s="9"/>
    </row>
    <row r="589" spans="3:3">
      <c r="C589" s="9"/>
    </row>
    <row r="590" spans="3:3">
      <c r="C590" s="9"/>
    </row>
    <row r="591" spans="3:3">
      <c r="C591" s="9"/>
    </row>
    <row r="592" spans="3:3">
      <c r="C592" s="9"/>
    </row>
    <row r="593" spans="3:3">
      <c r="C593" s="9"/>
    </row>
    <row r="594" spans="3:3">
      <c r="C594" s="9"/>
    </row>
    <row r="595" spans="3:3">
      <c r="C595" s="9"/>
    </row>
    <row r="596" spans="3:3">
      <c r="C596" s="9"/>
    </row>
    <row r="597" spans="3:3">
      <c r="C597" s="9"/>
    </row>
    <row r="598" spans="3:3">
      <c r="C598" s="9"/>
    </row>
    <row r="599" spans="3:3">
      <c r="C599" s="9"/>
    </row>
    <row r="600" spans="3:3">
      <c r="C600" s="9"/>
    </row>
    <row r="601" spans="3:3">
      <c r="C601" s="9"/>
    </row>
    <row r="602" spans="3:3">
      <c r="C602" s="9"/>
    </row>
    <row r="603" spans="3:3">
      <c r="C603" s="9"/>
    </row>
    <row r="604" spans="3:3">
      <c r="C604" s="9"/>
    </row>
    <row r="605" spans="3:3">
      <c r="C605" s="9"/>
    </row>
    <row r="606" spans="3:3">
      <c r="C606" s="9"/>
    </row>
    <row r="607" spans="3:3">
      <c r="C607" s="9"/>
    </row>
    <row r="608" spans="3:3">
      <c r="C608" s="9"/>
    </row>
    <row r="609" spans="3:3">
      <c r="C609" s="9"/>
    </row>
    <row r="610" spans="3:3">
      <c r="C610" s="9"/>
    </row>
    <row r="611" spans="3:3">
      <c r="C611" s="9"/>
    </row>
    <row r="612" spans="3:3">
      <c r="C612" s="9"/>
    </row>
    <row r="613" spans="3:3">
      <c r="C613" s="9"/>
    </row>
    <row r="614" spans="3:3">
      <c r="C614" s="9"/>
    </row>
    <row r="615" spans="3:3">
      <c r="C615" s="9"/>
    </row>
    <row r="616" spans="3:3">
      <c r="C616" s="9"/>
    </row>
    <row r="617" spans="3:3">
      <c r="C617" s="9"/>
    </row>
    <row r="618" spans="3:3">
      <c r="C618" s="9"/>
    </row>
    <row r="619" spans="3:3">
      <c r="C619" s="9"/>
    </row>
    <row r="620" spans="3:3">
      <c r="C620" s="9"/>
    </row>
    <row r="621" spans="3:3">
      <c r="C621" s="9"/>
    </row>
    <row r="622" spans="3:3">
      <c r="C622" s="9"/>
    </row>
    <row r="623" spans="3:3">
      <c r="C623" s="9"/>
    </row>
    <row r="624" spans="3:3">
      <c r="C624" s="9"/>
    </row>
    <row r="625" spans="3:3">
      <c r="C625" s="9"/>
    </row>
    <row r="626" spans="3:3">
      <c r="C626" s="9"/>
    </row>
    <row r="627" spans="3:3">
      <c r="C627" s="9"/>
    </row>
    <row r="628" spans="3:3">
      <c r="C628" s="9"/>
    </row>
    <row r="629" spans="3:3">
      <c r="C629" s="9"/>
    </row>
    <row r="630" spans="3:3">
      <c r="C630" s="9"/>
    </row>
    <row r="631" spans="3:3">
      <c r="C631" s="9"/>
    </row>
    <row r="632" spans="3:3">
      <c r="C632" s="9"/>
    </row>
    <row r="633" spans="3:3">
      <c r="C633" s="9"/>
    </row>
    <row r="634" spans="3:3">
      <c r="C634" s="9"/>
    </row>
    <row r="635" spans="3:3">
      <c r="C635" s="9"/>
    </row>
    <row r="636" spans="3:3">
      <c r="C636" s="9"/>
    </row>
    <row r="637" spans="3:3">
      <c r="C637" s="9"/>
    </row>
    <row r="638" spans="3:3">
      <c r="C638" s="9"/>
    </row>
    <row r="639" spans="3:3">
      <c r="C639" s="9"/>
    </row>
    <row r="640" spans="3:3">
      <c r="C640" s="9"/>
    </row>
    <row r="641" spans="3:3">
      <c r="C641" s="9"/>
    </row>
    <row r="642" spans="3:3">
      <c r="C642" s="9"/>
    </row>
    <row r="643" spans="3:3">
      <c r="C643" s="9"/>
    </row>
    <row r="644" spans="3:3">
      <c r="C644" s="9"/>
    </row>
    <row r="645" spans="3:3">
      <c r="C645" s="9"/>
    </row>
    <row r="646" spans="3:3">
      <c r="C646" s="9"/>
    </row>
    <row r="647" spans="3:3">
      <c r="C647" s="9"/>
    </row>
    <row r="648" spans="3:3">
      <c r="C648" s="9"/>
    </row>
    <row r="649" spans="3:3">
      <c r="C649" s="9"/>
    </row>
    <row r="650" spans="3:3">
      <c r="C650" s="9"/>
    </row>
    <row r="651" spans="3:3">
      <c r="C651" s="9"/>
    </row>
    <row r="652" spans="3:3">
      <c r="C652" s="9"/>
    </row>
    <row r="653" spans="3:3">
      <c r="C653" s="9"/>
    </row>
    <row r="654" spans="3:3">
      <c r="C654" s="9"/>
    </row>
    <row r="655" spans="3:3">
      <c r="C655" s="9"/>
    </row>
    <row r="656" spans="3:3">
      <c r="C656" s="9"/>
    </row>
    <row r="657" spans="3:3">
      <c r="C657" s="9"/>
    </row>
    <row r="658" spans="3:3">
      <c r="C658" s="9"/>
    </row>
    <row r="659" spans="3:3">
      <c r="C659" s="9"/>
    </row>
    <row r="660" spans="3:3">
      <c r="C660" s="9"/>
    </row>
    <row r="661" spans="3:3">
      <c r="C661" s="9"/>
    </row>
    <row r="662" spans="3:3">
      <c r="C662" s="9"/>
    </row>
    <row r="663" spans="3:3">
      <c r="C663" s="9"/>
    </row>
    <row r="664" spans="3:3">
      <c r="C664" s="9"/>
    </row>
    <row r="665" spans="3:3">
      <c r="C665" s="9"/>
    </row>
    <row r="666" spans="3:3">
      <c r="C666" s="9"/>
    </row>
    <row r="667" spans="3:3">
      <c r="C667" s="9"/>
    </row>
    <row r="668" spans="3:3">
      <c r="C668" s="9"/>
    </row>
    <row r="669" spans="3:3">
      <c r="C669" s="9"/>
    </row>
    <row r="670" spans="3:3">
      <c r="C670" s="9"/>
    </row>
    <row r="671" spans="3:3">
      <c r="C671" s="9"/>
    </row>
    <row r="672" spans="3:3">
      <c r="C672" s="9"/>
    </row>
    <row r="673" spans="3:3">
      <c r="C673" s="9"/>
    </row>
    <row r="674" spans="3:3">
      <c r="C674" s="9"/>
    </row>
    <row r="675" spans="3:3">
      <c r="C675" s="9"/>
    </row>
    <row r="676" spans="3:3">
      <c r="C676" s="9"/>
    </row>
    <row r="677" spans="3:3">
      <c r="C677" s="9"/>
    </row>
    <row r="678" spans="3:3">
      <c r="C678" s="9"/>
    </row>
    <row r="679" spans="3:3">
      <c r="C679" s="9"/>
    </row>
    <row r="680" spans="3:3">
      <c r="C680" s="9"/>
    </row>
    <row r="681" spans="3:3">
      <c r="C681" s="9"/>
    </row>
    <row r="682" spans="3:3">
      <c r="C682" s="9"/>
    </row>
    <row r="683" spans="3:3">
      <c r="C683" s="9"/>
    </row>
    <row r="684" spans="3:3">
      <c r="C684" s="9"/>
    </row>
    <row r="685" spans="3:3">
      <c r="C685" s="9"/>
    </row>
    <row r="686" spans="3:3">
      <c r="C686" s="9"/>
    </row>
    <row r="687" spans="3:3">
      <c r="C687" s="9"/>
    </row>
    <row r="688" spans="3:3">
      <c r="C688" s="9"/>
    </row>
    <row r="689" spans="3:3">
      <c r="C689" s="9"/>
    </row>
    <row r="690" spans="3:3">
      <c r="C690" s="9"/>
    </row>
    <row r="691" spans="3:3">
      <c r="C691" s="9"/>
    </row>
    <row r="692" spans="3:3">
      <c r="C692" s="9"/>
    </row>
    <row r="693" spans="3:3">
      <c r="C693" s="9"/>
    </row>
    <row r="694" spans="3:3">
      <c r="C694" s="9"/>
    </row>
    <row r="695" spans="3:3">
      <c r="C695" s="9"/>
    </row>
    <row r="696" spans="3:3">
      <c r="C696" s="9"/>
    </row>
    <row r="697" spans="3:3">
      <c r="C697" s="9"/>
    </row>
    <row r="698" spans="3:3">
      <c r="C698" s="9"/>
    </row>
    <row r="699" spans="3:3">
      <c r="C699" s="9"/>
    </row>
    <row r="700" spans="3:3">
      <c r="C700" s="9"/>
    </row>
    <row r="701" spans="3:3">
      <c r="C701" s="9"/>
    </row>
    <row r="702" spans="3:3">
      <c r="C702" s="9"/>
    </row>
    <row r="703" spans="3:3">
      <c r="C703" s="9"/>
    </row>
    <row r="704" spans="3:3">
      <c r="C704" s="9"/>
    </row>
    <row r="705" spans="3:3">
      <c r="C705" s="9"/>
    </row>
    <row r="706" spans="3:3">
      <c r="C706" s="9"/>
    </row>
    <row r="707" spans="3:3">
      <c r="C707" s="9"/>
    </row>
    <row r="708" spans="3:3">
      <c r="C708" s="9"/>
    </row>
    <row r="709" spans="3:3">
      <c r="C709" s="9"/>
    </row>
    <row r="710" spans="3:3">
      <c r="C710" s="9"/>
    </row>
    <row r="711" spans="3:3">
      <c r="C711" s="9"/>
    </row>
    <row r="712" spans="3:3">
      <c r="C712" s="9"/>
    </row>
    <row r="713" spans="3:3">
      <c r="C713" s="9"/>
    </row>
    <row r="714" spans="3:3">
      <c r="C714" s="9"/>
    </row>
    <row r="715" spans="3:3">
      <c r="C715" s="9"/>
    </row>
    <row r="716" spans="3:3">
      <c r="C716" s="9"/>
    </row>
    <row r="717" spans="3:3">
      <c r="C717" s="9"/>
    </row>
    <row r="718" spans="3:3">
      <c r="C718" s="9"/>
    </row>
    <row r="719" spans="3:3">
      <c r="C719" s="9"/>
    </row>
    <row r="720" spans="3:3">
      <c r="C720" s="9"/>
    </row>
    <row r="721" spans="3:3">
      <c r="C721" s="9"/>
    </row>
    <row r="722" spans="3:3">
      <c r="C722" s="9"/>
    </row>
    <row r="723" spans="3:3">
      <c r="C723" s="9"/>
    </row>
    <row r="724" spans="3:3">
      <c r="C724" s="9"/>
    </row>
    <row r="725" spans="3:3">
      <c r="C725" s="9"/>
    </row>
    <row r="726" spans="3:3">
      <c r="C726" s="9"/>
    </row>
    <row r="727" spans="3:3">
      <c r="C727" s="9"/>
    </row>
    <row r="728" spans="3:3">
      <c r="C728" s="9"/>
    </row>
    <row r="729" spans="3:3">
      <c r="C729" s="9"/>
    </row>
    <row r="730" spans="3:3">
      <c r="C730" s="9"/>
    </row>
    <row r="731" spans="3:3">
      <c r="C731" s="9"/>
    </row>
    <row r="732" spans="3:3">
      <c r="C732" s="9"/>
    </row>
    <row r="733" spans="3:3">
      <c r="C733" s="9"/>
    </row>
    <row r="734" spans="3:3">
      <c r="C734" s="9"/>
    </row>
    <row r="735" spans="3:3">
      <c r="C735" s="9"/>
    </row>
    <row r="736" spans="3:3">
      <c r="C736" s="9"/>
    </row>
    <row r="737" spans="3:3">
      <c r="C737" s="9"/>
    </row>
    <row r="738" spans="3:3">
      <c r="C738" s="9"/>
    </row>
    <row r="739" spans="3:3">
      <c r="C739" s="9"/>
    </row>
    <row r="740" spans="3:3">
      <c r="C740" s="9"/>
    </row>
    <row r="741" spans="3:3">
      <c r="C741" s="9"/>
    </row>
    <row r="742" spans="3:3">
      <c r="C742" s="9"/>
    </row>
    <row r="743" spans="3:3">
      <c r="C743" s="9"/>
    </row>
    <row r="744" spans="3:3">
      <c r="C744" s="9"/>
    </row>
    <row r="745" spans="3:3">
      <c r="C745" s="9"/>
    </row>
    <row r="746" spans="3:3">
      <c r="C746" s="9"/>
    </row>
    <row r="747" spans="3:3">
      <c r="C747" s="9"/>
    </row>
    <row r="748" spans="3:3">
      <c r="C748" s="9"/>
    </row>
    <row r="749" spans="3:3">
      <c r="C749" s="9"/>
    </row>
    <row r="750" spans="3:3">
      <c r="C750" s="9"/>
    </row>
    <row r="751" spans="3:3">
      <c r="C751" s="9"/>
    </row>
    <row r="752" spans="3:3">
      <c r="C752" s="9"/>
    </row>
    <row r="753" spans="3:3">
      <c r="C753" s="9"/>
    </row>
    <row r="754" spans="3:3">
      <c r="C754" s="9"/>
    </row>
    <row r="755" spans="3:3">
      <c r="C755" s="9"/>
    </row>
    <row r="756" spans="3:3">
      <c r="C756" s="9"/>
    </row>
    <row r="757" spans="3:3">
      <c r="C757" s="9"/>
    </row>
    <row r="758" spans="3:3">
      <c r="C758" s="9"/>
    </row>
    <row r="759" spans="3:3">
      <c r="C759" s="9"/>
    </row>
    <row r="760" spans="3:3">
      <c r="C760" s="9"/>
    </row>
    <row r="761" spans="3:3">
      <c r="C761" s="9"/>
    </row>
    <row r="762" spans="3:3">
      <c r="C762" s="9"/>
    </row>
    <row r="763" spans="3:3">
      <c r="C763" s="9"/>
    </row>
    <row r="764" spans="3:3">
      <c r="C764" s="9"/>
    </row>
    <row r="765" spans="3:3">
      <c r="C765" s="9"/>
    </row>
    <row r="766" spans="3:3">
      <c r="C766" s="9"/>
    </row>
    <row r="767" spans="3:3">
      <c r="C767" s="9"/>
    </row>
    <row r="768" spans="3:3">
      <c r="C768" s="9"/>
    </row>
    <row r="769" spans="3:3">
      <c r="C769" s="9"/>
    </row>
    <row r="770" spans="3:3">
      <c r="C770" s="9"/>
    </row>
    <row r="771" spans="3:3">
      <c r="C771" s="9"/>
    </row>
    <row r="772" spans="3:3">
      <c r="C772" s="9"/>
    </row>
    <row r="773" spans="3:3">
      <c r="C773" s="9"/>
    </row>
    <row r="774" spans="3:3">
      <c r="C774" s="9"/>
    </row>
    <row r="775" spans="3:3">
      <c r="C775" s="9"/>
    </row>
    <row r="776" spans="3:3">
      <c r="C776" s="9"/>
    </row>
    <row r="777" spans="3:3">
      <c r="C777" s="9"/>
    </row>
    <row r="778" spans="3:3">
      <c r="C778" s="9"/>
    </row>
    <row r="779" spans="3:3">
      <c r="C779" s="9"/>
    </row>
    <row r="780" spans="3:3">
      <c r="C780" s="9"/>
    </row>
    <row r="781" spans="3:3">
      <c r="C781" s="9"/>
    </row>
    <row r="782" spans="3:3">
      <c r="C782" s="9"/>
    </row>
    <row r="783" spans="3:3">
      <c r="C783" s="9"/>
    </row>
    <row r="784" spans="3:3">
      <c r="C784" s="9"/>
    </row>
    <row r="785" spans="3:3">
      <c r="C785" s="9"/>
    </row>
    <row r="786" spans="3:3">
      <c r="C786" s="9"/>
    </row>
    <row r="787" spans="3:3">
      <c r="C787" s="9"/>
    </row>
    <row r="788" spans="3:3">
      <c r="C788" s="9"/>
    </row>
    <row r="789" spans="3:3">
      <c r="C789" s="9"/>
    </row>
    <row r="790" spans="3:3">
      <c r="C790" s="9"/>
    </row>
    <row r="791" spans="3:3">
      <c r="C791" s="9"/>
    </row>
    <row r="792" spans="3:3">
      <c r="C792" s="9"/>
    </row>
    <row r="793" spans="3:3">
      <c r="C793" s="9"/>
    </row>
    <row r="794" spans="3:3">
      <c r="C794" s="9"/>
    </row>
    <row r="795" spans="3:3">
      <c r="C795" s="9"/>
    </row>
    <row r="796" spans="3:3">
      <c r="C796" s="9"/>
    </row>
    <row r="797" spans="3:3">
      <c r="C797" s="9"/>
    </row>
    <row r="798" spans="3:3">
      <c r="C798" s="9"/>
    </row>
    <row r="799" spans="3:3">
      <c r="C799" s="9"/>
    </row>
    <row r="800" spans="3:3">
      <c r="C800" s="9"/>
    </row>
    <row r="801" spans="3:3">
      <c r="C801" s="9"/>
    </row>
    <row r="802" spans="3:3">
      <c r="C802" s="9"/>
    </row>
    <row r="803" spans="3:3">
      <c r="C803" s="9"/>
    </row>
    <row r="804" spans="3:3">
      <c r="C804" s="9"/>
    </row>
    <row r="805" spans="3:3">
      <c r="C805" s="9"/>
    </row>
    <row r="806" spans="3:3">
      <c r="C806" s="9"/>
    </row>
    <row r="807" spans="3:3">
      <c r="C807" s="9"/>
    </row>
    <row r="808" spans="3:3">
      <c r="C808" s="9"/>
    </row>
    <row r="809" spans="3:3">
      <c r="C809" s="9"/>
    </row>
    <row r="810" spans="3:3">
      <c r="C810" s="9"/>
    </row>
    <row r="811" spans="3:3">
      <c r="C811" s="9"/>
    </row>
    <row r="812" spans="3:3">
      <c r="C812" s="9"/>
    </row>
    <row r="813" spans="3:3">
      <c r="C813" s="9"/>
    </row>
    <row r="814" spans="3:3">
      <c r="C814" s="9"/>
    </row>
    <row r="815" spans="3:3">
      <c r="C815" s="9"/>
    </row>
    <row r="816" spans="3:3">
      <c r="C816" s="9"/>
    </row>
    <row r="817" spans="3:3">
      <c r="C817" s="9"/>
    </row>
    <row r="818" spans="3:3">
      <c r="C818" s="9"/>
    </row>
    <row r="819" spans="3:3">
      <c r="C819" s="9"/>
    </row>
    <row r="820" spans="3:3">
      <c r="C820" s="9"/>
    </row>
    <row r="821" spans="3:3">
      <c r="C821" s="9"/>
    </row>
    <row r="822" spans="3:3">
      <c r="C822" s="9"/>
    </row>
    <row r="823" spans="3:3">
      <c r="C823" s="9"/>
    </row>
    <row r="824" spans="3:3">
      <c r="C824" s="9"/>
    </row>
    <row r="825" spans="3:3">
      <c r="C825" s="9"/>
    </row>
    <row r="826" spans="3:3">
      <c r="C826" s="9"/>
    </row>
    <row r="827" spans="3:3">
      <c r="C827" s="9"/>
    </row>
    <row r="828" spans="3:3">
      <c r="C828" s="9"/>
    </row>
    <row r="829" spans="3:3">
      <c r="C829" s="9"/>
    </row>
    <row r="830" spans="3:3">
      <c r="C830" s="9"/>
    </row>
    <row r="831" spans="3:3">
      <c r="C831" s="9"/>
    </row>
    <row r="832" spans="3:3">
      <c r="C832" s="9"/>
    </row>
    <row r="833" spans="3:3">
      <c r="C833" s="9"/>
    </row>
    <row r="834" spans="3:3">
      <c r="C834" s="9"/>
    </row>
    <row r="835" spans="3:3">
      <c r="C835" s="9"/>
    </row>
    <row r="836" spans="3:3">
      <c r="C836" s="9"/>
    </row>
    <row r="837" spans="3:3">
      <c r="C837" s="9"/>
    </row>
    <row r="838" spans="3:3">
      <c r="C838" s="9"/>
    </row>
    <row r="839" spans="3:3">
      <c r="C839" s="9"/>
    </row>
    <row r="840" spans="3:3">
      <c r="C840" s="9"/>
    </row>
    <row r="841" spans="3:3">
      <c r="C841" s="9"/>
    </row>
    <row r="842" spans="3:3">
      <c r="C842" s="9"/>
    </row>
    <row r="843" spans="3:3">
      <c r="C843" s="9"/>
    </row>
    <row r="844" spans="3:3">
      <c r="C844" s="9"/>
    </row>
    <row r="845" spans="3:3">
      <c r="C845" s="9"/>
    </row>
    <row r="846" spans="3:3">
      <c r="C846" s="9"/>
    </row>
    <row r="847" spans="3:3">
      <c r="C847" s="9"/>
    </row>
    <row r="848" spans="3:3">
      <c r="C848" s="9"/>
    </row>
    <row r="849" spans="3:3">
      <c r="C849" s="9"/>
    </row>
    <row r="850" spans="3:3">
      <c r="C850" s="9"/>
    </row>
    <row r="851" spans="3:3">
      <c r="C851" s="9"/>
    </row>
    <row r="852" spans="3:3">
      <c r="C852" s="9"/>
    </row>
    <row r="853" spans="3:3">
      <c r="C853" s="9"/>
    </row>
    <row r="854" spans="3:3">
      <c r="C854" s="9"/>
    </row>
    <row r="855" spans="3:3">
      <c r="C855" s="9"/>
    </row>
    <row r="856" spans="3:3">
      <c r="C856" s="9"/>
    </row>
    <row r="857" spans="3:3">
      <c r="C857" s="9"/>
    </row>
    <row r="858" spans="3:3">
      <c r="C858" s="9"/>
    </row>
    <row r="859" spans="3:3">
      <c r="C859" s="9"/>
    </row>
    <row r="860" spans="3:3">
      <c r="C860" s="9"/>
    </row>
    <row r="861" spans="3:3">
      <c r="C861" s="9"/>
    </row>
    <row r="862" spans="3:3">
      <c r="C862" s="9"/>
    </row>
    <row r="863" spans="3:3">
      <c r="C863" s="9"/>
    </row>
    <row r="864" spans="3:3">
      <c r="C864" s="9"/>
    </row>
    <row r="865" spans="3:3">
      <c r="C865" s="9"/>
    </row>
    <row r="866" spans="3:3">
      <c r="C866" s="9"/>
    </row>
    <row r="867" spans="3:3">
      <c r="C867" s="9"/>
    </row>
    <row r="868" spans="3:3">
      <c r="C868" s="9"/>
    </row>
    <row r="869" spans="3:3">
      <c r="C869" s="9"/>
    </row>
    <row r="870" spans="3:3">
      <c r="C870" s="9"/>
    </row>
    <row r="871" spans="3:3">
      <c r="C871" s="9"/>
    </row>
    <row r="872" spans="3:3">
      <c r="C872" s="9"/>
    </row>
    <row r="873" spans="3:3">
      <c r="C873" s="9"/>
    </row>
    <row r="874" spans="3:3">
      <c r="C874" s="9"/>
    </row>
    <row r="875" spans="3:3">
      <c r="C875" s="9"/>
    </row>
    <row r="876" spans="3:3">
      <c r="C876" s="9"/>
    </row>
    <row r="877" spans="3:3">
      <c r="C877" s="9"/>
    </row>
    <row r="878" spans="3:3">
      <c r="C878" s="9"/>
    </row>
    <row r="879" spans="3:3">
      <c r="C879" s="9"/>
    </row>
    <row r="880" spans="3:3">
      <c r="C880" s="9"/>
    </row>
    <row r="881" spans="3:3">
      <c r="C881" s="9"/>
    </row>
    <row r="882" spans="3:3">
      <c r="C882" s="9"/>
    </row>
    <row r="883" spans="3:3">
      <c r="C883" s="9"/>
    </row>
    <row r="884" spans="3:3">
      <c r="C884" s="9"/>
    </row>
    <row r="885" spans="3:3">
      <c r="C885" s="9"/>
    </row>
    <row r="886" spans="3:3">
      <c r="C886" s="9"/>
    </row>
    <row r="887" spans="3:3">
      <c r="C887" s="9"/>
    </row>
    <row r="888" spans="3:3">
      <c r="C888" s="9"/>
    </row>
    <row r="889" spans="3:3">
      <c r="C889" s="9"/>
    </row>
    <row r="890" spans="3:3">
      <c r="C890" s="9"/>
    </row>
    <row r="891" spans="3:3">
      <c r="C891" s="9"/>
    </row>
    <row r="892" spans="3:3">
      <c r="C892" s="9"/>
    </row>
    <row r="893" spans="3:3">
      <c r="C893" s="9"/>
    </row>
    <row r="894" spans="3:3">
      <c r="C894" s="9"/>
    </row>
    <row r="895" spans="3:3">
      <c r="C895" s="9"/>
    </row>
    <row r="896" spans="3:3">
      <c r="C896" s="9"/>
    </row>
    <row r="897" spans="3:3">
      <c r="C897" s="9"/>
    </row>
    <row r="898" spans="3:3">
      <c r="C898" s="9"/>
    </row>
    <row r="899" spans="3:3">
      <c r="C899" s="9"/>
    </row>
    <row r="900" spans="3:3">
      <c r="C900" s="9"/>
    </row>
    <row r="901" spans="3:3">
      <c r="C901" s="9"/>
    </row>
    <row r="902" spans="3:3">
      <c r="C902" s="9"/>
    </row>
    <row r="903" spans="3:3">
      <c r="C903" s="9"/>
    </row>
    <row r="904" spans="3:3">
      <c r="C904" s="9"/>
    </row>
    <row r="905" spans="3:3">
      <c r="C905" s="9"/>
    </row>
    <row r="906" spans="3:3">
      <c r="C906" s="9"/>
    </row>
    <row r="907" spans="3:3">
      <c r="C907" s="9"/>
    </row>
    <row r="908" spans="3:3">
      <c r="C908" s="9"/>
    </row>
    <row r="909" spans="3:3">
      <c r="C909" s="9"/>
    </row>
    <row r="910" spans="3:3">
      <c r="C910" s="9"/>
    </row>
    <row r="911" spans="3:3">
      <c r="C911" s="9"/>
    </row>
    <row r="912" spans="3:3">
      <c r="C912" s="9"/>
    </row>
    <row r="913" spans="3:3">
      <c r="C913" s="9"/>
    </row>
    <row r="914" spans="3:3">
      <c r="C914" s="9"/>
    </row>
    <row r="915" spans="3:3">
      <c r="C915" s="9"/>
    </row>
    <row r="916" spans="3:3">
      <c r="C916" s="9"/>
    </row>
    <row r="917" spans="3:3">
      <c r="C917" s="9"/>
    </row>
    <row r="918" spans="3:3">
      <c r="C918" s="9"/>
    </row>
    <row r="919" spans="3:3">
      <c r="C919" s="9"/>
    </row>
    <row r="920" spans="3:3">
      <c r="C920" s="9"/>
    </row>
    <row r="921" spans="3:3">
      <c r="C921" s="9"/>
    </row>
    <row r="922" spans="3:3">
      <c r="C922" s="9"/>
    </row>
    <row r="923" spans="3:3">
      <c r="C923" s="9"/>
    </row>
    <row r="924" spans="3:3">
      <c r="C924" s="9"/>
    </row>
    <row r="925" spans="3:3">
      <c r="C925" s="9"/>
    </row>
    <row r="926" spans="3:3">
      <c r="C926" s="9"/>
    </row>
    <row r="927" spans="3:3">
      <c r="C927" s="9"/>
    </row>
    <row r="928" spans="3:3">
      <c r="C928" s="9"/>
    </row>
    <row r="929" spans="3:3">
      <c r="C929" s="9"/>
    </row>
    <row r="930" spans="3:3">
      <c r="C930" s="9"/>
    </row>
    <row r="931" spans="3:3">
      <c r="C931" s="9"/>
    </row>
    <row r="932" spans="3:3">
      <c r="C932" s="9"/>
    </row>
    <row r="933" spans="3:3">
      <c r="C933" s="9"/>
    </row>
    <row r="934" spans="3:3">
      <c r="C934" s="9"/>
    </row>
    <row r="935" spans="3:3">
      <c r="C935" s="9"/>
    </row>
    <row r="936" spans="3:3">
      <c r="C936" s="9"/>
    </row>
    <row r="937" spans="3:3">
      <c r="C937" s="9"/>
    </row>
    <row r="938" spans="3:3">
      <c r="C938" s="9"/>
    </row>
    <row r="939" spans="3:3">
      <c r="C939" s="9"/>
    </row>
    <row r="940" spans="3:3">
      <c r="C940" s="9"/>
    </row>
    <row r="941" spans="3:3">
      <c r="C941" s="9"/>
    </row>
    <row r="942" spans="3:3">
      <c r="C942" s="9"/>
    </row>
    <row r="943" spans="3:3">
      <c r="C943" s="9"/>
    </row>
    <row r="944" spans="3:3">
      <c r="C944" s="9"/>
    </row>
    <row r="945" spans="3:3">
      <c r="C945" s="9"/>
    </row>
    <row r="946" spans="3:3">
      <c r="C946" s="9"/>
    </row>
    <row r="947" spans="3:3">
      <c r="C947" s="9"/>
    </row>
    <row r="948" spans="3:3">
      <c r="C948" s="9"/>
    </row>
    <row r="949" spans="3:3">
      <c r="C949" s="9"/>
    </row>
    <row r="950" spans="3:3">
      <c r="C950" s="9"/>
    </row>
    <row r="951" spans="3:3">
      <c r="C951" s="9"/>
    </row>
    <row r="952" spans="3:3">
      <c r="C952" s="9"/>
    </row>
    <row r="953" spans="3:3">
      <c r="C953" s="9"/>
    </row>
    <row r="954" spans="3:3">
      <c r="C954" s="9"/>
    </row>
    <row r="955" spans="3:3">
      <c r="C955" s="9"/>
    </row>
    <row r="956" spans="3:3">
      <c r="C956" s="9"/>
    </row>
    <row r="957" spans="3:3">
      <c r="C957" s="9"/>
    </row>
    <row r="958" spans="3:3">
      <c r="C958" s="9"/>
    </row>
    <row r="959" spans="3:3">
      <c r="C959" s="9"/>
    </row>
    <row r="960" spans="3:3">
      <c r="C960" s="9"/>
    </row>
    <row r="961" spans="3:3">
      <c r="C961" s="9"/>
    </row>
    <row r="962" spans="3:3">
      <c r="C962" s="9"/>
    </row>
    <row r="963" spans="3:3">
      <c r="C963" s="9"/>
    </row>
    <row r="964" spans="3:3">
      <c r="C964" s="9"/>
    </row>
    <row r="965" spans="3:3">
      <c r="C965" s="9"/>
    </row>
    <row r="966" spans="3:3">
      <c r="C966" s="9"/>
    </row>
    <row r="967" spans="3:3">
      <c r="C967" s="9"/>
    </row>
    <row r="968" spans="3:3">
      <c r="C968" s="9"/>
    </row>
    <row r="969" spans="3:3">
      <c r="C969" s="9"/>
    </row>
    <row r="970" spans="3:3">
      <c r="C970" s="9"/>
    </row>
    <row r="971" spans="3:3">
      <c r="C971" s="9"/>
    </row>
    <row r="972" spans="3:3">
      <c r="C972" s="9"/>
    </row>
    <row r="973" spans="3:3">
      <c r="C973" s="9"/>
    </row>
    <row r="974" spans="3:3">
      <c r="C974" s="9"/>
    </row>
    <row r="975" spans="3:3">
      <c r="C975" s="9"/>
    </row>
    <row r="976" spans="3:3">
      <c r="C976" s="9"/>
    </row>
    <row r="977" spans="3:3">
      <c r="C977" s="9"/>
    </row>
    <row r="978" spans="3:3">
      <c r="C978" s="9"/>
    </row>
    <row r="979" spans="3:3">
      <c r="C979" s="9"/>
    </row>
    <row r="980" spans="3:3">
      <c r="C980" s="9"/>
    </row>
    <row r="981" spans="3:3">
      <c r="C981" s="9"/>
    </row>
    <row r="982" spans="3:3">
      <c r="C982" s="9"/>
    </row>
    <row r="983" spans="3:3">
      <c r="C983" s="9"/>
    </row>
    <row r="984" spans="3:3">
      <c r="C984" s="9"/>
    </row>
    <row r="985" spans="3:3">
      <c r="C985" s="9"/>
    </row>
    <row r="986" spans="3:3">
      <c r="C986" s="9"/>
    </row>
    <row r="987" spans="3:3">
      <c r="C987" s="9"/>
    </row>
    <row r="988" spans="3:3">
      <c r="C988" s="9"/>
    </row>
    <row r="989" spans="3:3">
      <c r="C989" s="9"/>
    </row>
    <row r="990" spans="3:3">
      <c r="C990" s="9"/>
    </row>
    <row r="991" spans="3:3">
      <c r="C991" s="9"/>
    </row>
    <row r="992" spans="3:3">
      <c r="C992" s="9"/>
    </row>
    <row r="993" spans="3:3">
      <c r="C993" s="9"/>
    </row>
    <row r="994" spans="3:3">
      <c r="C994" s="9"/>
    </row>
    <row r="995" spans="3:3">
      <c r="C995" s="9"/>
    </row>
    <row r="996" spans="3:3">
      <c r="C996" s="9"/>
    </row>
    <row r="997" spans="3:3">
      <c r="C997" s="9"/>
    </row>
    <row r="998" spans="3:3">
      <c r="C998" s="9"/>
    </row>
    <row r="999" spans="3:3">
      <c r="C999" s="9"/>
    </row>
    <row r="1000" spans="3:3">
      <c r="C1000" s="9"/>
    </row>
    <row r="1001" spans="3:3">
      <c r="C1001" s="9"/>
    </row>
    <row r="1002" spans="3:3">
      <c r="C1002" s="9"/>
    </row>
    <row r="1003" spans="3:3">
      <c r="C1003" s="9"/>
    </row>
    <row r="1004" spans="3:3">
      <c r="C1004" s="9"/>
    </row>
    <row r="1005" spans="3:3">
      <c r="C1005" s="9"/>
    </row>
    <row r="1006" spans="3:3">
      <c r="C1006" s="9"/>
    </row>
    <row r="1007" spans="3:3">
      <c r="C1007" s="9"/>
    </row>
    <row r="1008" spans="3:3">
      <c r="C1008" s="9"/>
    </row>
    <row r="1009" spans="3:3">
      <c r="C1009" s="9"/>
    </row>
    <row r="1010" spans="3:3">
      <c r="C1010" s="9"/>
    </row>
    <row r="1011" spans="3:3">
      <c r="C1011" s="9"/>
    </row>
    <row r="1012" spans="3:3">
      <c r="C1012" s="9"/>
    </row>
    <row r="1013" spans="3:3">
      <c r="C1013" s="9"/>
    </row>
    <row r="1014" spans="3:3">
      <c r="C1014" s="9"/>
    </row>
    <row r="1015" spans="3:3">
      <c r="C1015" s="9"/>
    </row>
    <row r="1016" spans="3:3">
      <c r="C1016" s="9"/>
    </row>
    <row r="1017" spans="3:3">
      <c r="C1017" s="9"/>
    </row>
    <row r="1018" spans="3:3">
      <c r="C1018" s="9"/>
    </row>
    <row r="1019" spans="3:3">
      <c r="C1019" s="9"/>
    </row>
    <row r="1020" spans="3:3">
      <c r="C1020" s="9"/>
    </row>
    <row r="1021" spans="3:3">
      <c r="C1021" s="9"/>
    </row>
    <row r="1022" spans="3:3">
      <c r="C1022" s="9"/>
    </row>
    <row r="1023" spans="3:3">
      <c r="C1023" s="9"/>
    </row>
    <row r="1024" spans="3:3">
      <c r="C1024" s="9"/>
    </row>
    <row r="1025" spans="3:3">
      <c r="C1025" s="9"/>
    </row>
    <row r="1026" spans="3:3">
      <c r="C1026" s="9"/>
    </row>
    <row r="1027" spans="3:3">
      <c r="C1027" s="9"/>
    </row>
    <row r="1028" spans="3:3">
      <c r="C1028" s="9"/>
    </row>
    <row r="1029" spans="3:3">
      <c r="C1029" s="9"/>
    </row>
    <row r="1030" spans="3:3">
      <c r="C1030" s="9"/>
    </row>
    <row r="1031" spans="3:3">
      <c r="C1031" s="9"/>
    </row>
    <row r="1032" spans="3:3">
      <c r="C1032" s="9"/>
    </row>
    <row r="1033" spans="3:3">
      <c r="C1033" s="9"/>
    </row>
    <row r="1034" spans="3:3">
      <c r="C1034" s="9"/>
    </row>
    <row r="1035" spans="3:3">
      <c r="C1035" s="9"/>
    </row>
    <row r="1036" spans="3:3">
      <c r="C1036" s="9"/>
    </row>
    <row r="1037" spans="3:3">
      <c r="C1037" s="9"/>
    </row>
    <row r="1038" spans="3:3">
      <c r="C1038" s="9"/>
    </row>
    <row r="1039" spans="3:3">
      <c r="C1039" s="9"/>
    </row>
    <row r="1040" spans="3:3">
      <c r="C1040" s="9"/>
    </row>
    <row r="1041" spans="3:3">
      <c r="C1041" s="9"/>
    </row>
    <row r="1042" spans="3:3">
      <c r="C1042" s="9"/>
    </row>
    <row r="1043" spans="3:3">
      <c r="C1043" s="9"/>
    </row>
    <row r="1044" spans="3:3">
      <c r="C1044" s="9"/>
    </row>
    <row r="1045" spans="3:3">
      <c r="C1045" s="9"/>
    </row>
    <row r="1046" spans="3:3">
      <c r="C1046" s="9"/>
    </row>
    <row r="1047" spans="3:3">
      <c r="C1047" s="9"/>
    </row>
    <row r="1048" spans="3:3">
      <c r="C1048" s="9"/>
    </row>
    <row r="1049" spans="3:3">
      <c r="C1049" s="9"/>
    </row>
    <row r="1050" spans="3:3">
      <c r="C1050" s="9"/>
    </row>
    <row r="1051" spans="3:3">
      <c r="C1051" s="9"/>
    </row>
    <row r="1052" spans="3:3">
      <c r="C1052" s="9"/>
    </row>
    <row r="1053" spans="3:3">
      <c r="C1053" s="9"/>
    </row>
    <row r="1054" spans="3:3">
      <c r="C1054" s="9"/>
    </row>
    <row r="1055" spans="3:3">
      <c r="C1055" s="9"/>
    </row>
    <row r="1056" spans="3:3">
      <c r="C1056" s="9"/>
    </row>
    <row r="1057" spans="3:3">
      <c r="C1057" s="9"/>
    </row>
    <row r="1058" spans="3:3">
      <c r="C1058" s="9"/>
    </row>
    <row r="1059" spans="3:3">
      <c r="C1059" s="9"/>
    </row>
    <row r="1060" spans="3:3">
      <c r="C1060" s="9"/>
    </row>
    <row r="1061" spans="3:3">
      <c r="C1061" s="9"/>
    </row>
    <row r="1062" spans="3:3">
      <c r="C1062" s="9"/>
    </row>
    <row r="1063" spans="3:3">
      <c r="C1063" s="9"/>
    </row>
    <row r="1064" spans="3:3">
      <c r="C1064" s="9"/>
    </row>
    <row r="1065" spans="3:3">
      <c r="C1065" s="9"/>
    </row>
    <row r="1066" spans="3:3">
      <c r="C1066" s="9"/>
    </row>
    <row r="1067" spans="3:3">
      <c r="C1067" s="9"/>
    </row>
    <row r="1068" spans="3:3">
      <c r="C1068" s="9"/>
    </row>
    <row r="1069" spans="3:3">
      <c r="C1069" s="9"/>
    </row>
    <row r="1070" spans="3:3">
      <c r="C1070" s="9"/>
    </row>
    <row r="1071" spans="3:3">
      <c r="C1071" s="9"/>
    </row>
    <row r="1072" spans="3:3">
      <c r="C1072" s="9"/>
    </row>
    <row r="1073" spans="3:3">
      <c r="C1073" s="9"/>
    </row>
    <row r="1074" spans="3:3">
      <c r="C1074" s="9"/>
    </row>
    <row r="1075" spans="3:3">
      <c r="C1075" s="9"/>
    </row>
    <row r="1076" spans="3:3">
      <c r="C1076" s="9"/>
    </row>
    <row r="1077" spans="3:3">
      <c r="C1077" s="9"/>
    </row>
    <row r="1078" spans="3:3">
      <c r="C1078" s="9"/>
    </row>
    <row r="1079" spans="3:3">
      <c r="C1079" s="9"/>
    </row>
    <row r="1080" spans="3:3">
      <c r="C1080" s="9"/>
    </row>
    <row r="1081" spans="3:3">
      <c r="C1081" s="9"/>
    </row>
    <row r="1082" spans="3:3">
      <c r="C1082" s="9"/>
    </row>
    <row r="1083" spans="3:3">
      <c r="C1083" s="9"/>
    </row>
    <row r="1084" spans="3:3">
      <c r="C1084" s="9"/>
    </row>
    <row r="1085" spans="3:3">
      <c r="C1085" s="9"/>
    </row>
    <row r="1086" spans="3:3">
      <c r="C1086" s="9"/>
    </row>
    <row r="1087" spans="3:3">
      <c r="C1087" s="9"/>
    </row>
    <row r="1088" spans="3:3">
      <c r="C1088" s="9"/>
    </row>
    <row r="1089" spans="3:3">
      <c r="C1089" s="9"/>
    </row>
    <row r="1090" spans="3:3">
      <c r="C1090" s="9"/>
    </row>
    <row r="1091" spans="3:3">
      <c r="C1091" s="9"/>
    </row>
    <row r="1092" spans="3:3">
      <c r="C1092" s="9"/>
    </row>
    <row r="1093" spans="3:3">
      <c r="C1093" s="9"/>
    </row>
    <row r="1094" spans="3:3">
      <c r="C1094" s="9"/>
    </row>
    <row r="1095" spans="3:3">
      <c r="C1095" s="9"/>
    </row>
    <row r="1096" spans="3:3">
      <c r="C1096" s="9"/>
    </row>
    <row r="1097" spans="3:3">
      <c r="C1097" s="9"/>
    </row>
    <row r="1098" spans="3:3">
      <c r="C1098" s="9"/>
    </row>
    <row r="1099" spans="3:3">
      <c r="C1099" s="9"/>
    </row>
    <row r="1100" spans="3:3">
      <c r="C1100" s="9"/>
    </row>
    <row r="1101" spans="3:3">
      <c r="C1101" s="9"/>
    </row>
    <row r="1102" spans="3:3">
      <c r="C1102" s="9"/>
    </row>
    <row r="1103" spans="3:3">
      <c r="C1103" s="9"/>
    </row>
    <row r="1104" spans="3:3">
      <c r="C1104" s="9"/>
    </row>
    <row r="1105" spans="3:3">
      <c r="C1105" s="9"/>
    </row>
    <row r="1106" spans="3:3">
      <c r="C1106" s="9"/>
    </row>
    <row r="1107" spans="3:3">
      <c r="C1107" s="9"/>
    </row>
    <row r="1108" spans="3:3">
      <c r="C1108" s="9"/>
    </row>
    <row r="1109" spans="3:3">
      <c r="C1109" s="9"/>
    </row>
    <row r="1110" spans="3:3">
      <c r="C1110" s="9"/>
    </row>
    <row r="1111" spans="3:3">
      <c r="C1111" s="9"/>
    </row>
    <row r="1112" spans="3:3">
      <c r="C1112" s="9"/>
    </row>
    <row r="1113" spans="3:3">
      <c r="C1113" s="9"/>
    </row>
    <row r="1114" spans="3:3">
      <c r="C1114" s="9"/>
    </row>
    <row r="1115" spans="3:3">
      <c r="C1115" s="9"/>
    </row>
    <row r="1116" spans="3:3">
      <c r="C1116" s="9"/>
    </row>
    <row r="1117" spans="3:3">
      <c r="C1117" s="9"/>
    </row>
    <row r="1118" spans="3:3">
      <c r="C1118" s="9"/>
    </row>
    <row r="1119" spans="3:3">
      <c r="C1119" s="9"/>
    </row>
    <row r="1120" spans="3:3">
      <c r="C1120" s="9"/>
    </row>
    <row r="1121" spans="3:3">
      <c r="C1121" s="9"/>
    </row>
    <row r="1122" spans="3:3">
      <c r="C1122" s="9"/>
    </row>
    <row r="1123" spans="3:3">
      <c r="C1123" s="9"/>
    </row>
    <row r="1124" spans="3:3">
      <c r="C1124" s="9"/>
    </row>
    <row r="1125" spans="3:3">
      <c r="C1125" s="9"/>
    </row>
    <row r="1126" spans="3:3">
      <c r="C1126" s="9"/>
    </row>
    <row r="1127" spans="3:3">
      <c r="C1127" s="9"/>
    </row>
    <row r="1128" spans="3:3">
      <c r="C1128" s="9"/>
    </row>
    <row r="1129" spans="3:3">
      <c r="C1129" s="9"/>
    </row>
    <row r="1130" spans="3:3">
      <c r="C1130" s="9"/>
    </row>
    <row r="1131" spans="3:3">
      <c r="C1131" s="9"/>
    </row>
    <row r="1132" spans="3:3">
      <c r="C1132" s="9"/>
    </row>
    <row r="1133" spans="3:3">
      <c r="C1133" s="9"/>
    </row>
    <row r="1134" spans="3:3">
      <c r="C1134" s="9"/>
    </row>
    <row r="1135" spans="3:3">
      <c r="C1135" s="9"/>
    </row>
    <row r="1136" spans="3:3">
      <c r="C1136" s="9"/>
    </row>
    <row r="1137" spans="3:3">
      <c r="C1137" s="9"/>
    </row>
    <row r="1138" spans="3:3">
      <c r="C1138" s="9"/>
    </row>
    <row r="1139" spans="3:3">
      <c r="C1139" s="9"/>
    </row>
    <row r="1140" spans="3:3">
      <c r="C1140" s="9"/>
    </row>
    <row r="1141" spans="3:3">
      <c r="C1141" s="9"/>
    </row>
    <row r="1142" spans="3:3">
      <c r="C1142" s="9"/>
    </row>
    <row r="1143" spans="3:3">
      <c r="C1143" s="9"/>
    </row>
    <row r="1144" spans="3:3">
      <c r="C1144" s="9"/>
    </row>
    <row r="1145" spans="3:3">
      <c r="C1145" s="9"/>
    </row>
    <row r="1146" spans="3:3">
      <c r="C1146" s="9"/>
    </row>
    <row r="1147" spans="3:3">
      <c r="C1147" s="9"/>
    </row>
    <row r="1148" spans="3:3">
      <c r="C1148" s="9"/>
    </row>
    <row r="1149" spans="3:3">
      <c r="C1149" s="9"/>
    </row>
    <row r="1150" spans="3:3">
      <c r="C1150" s="9"/>
    </row>
    <row r="1151" spans="3:3">
      <c r="C1151" s="9"/>
    </row>
    <row r="1152" spans="3:3">
      <c r="C1152" s="9"/>
    </row>
    <row r="1153" spans="3:3">
      <c r="C1153" s="9"/>
    </row>
    <row r="1154" spans="3:3">
      <c r="C1154" s="9"/>
    </row>
    <row r="1155" spans="3:3">
      <c r="C1155" s="9"/>
    </row>
    <row r="1156" spans="3:3">
      <c r="C1156" s="9"/>
    </row>
    <row r="1157" spans="3:3">
      <c r="C1157" s="9"/>
    </row>
    <row r="1158" spans="3:3">
      <c r="C1158" s="9"/>
    </row>
    <row r="1159" spans="3:3">
      <c r="C1159" s="9"/>
    </row>
    <row r="1160" spans="3:3">
      <c r="C1160" s="9"/>
    </row>
    <row r="1161" spans="3:3">
      <c r="C1161" s="9"/>
    </row>
    <row r="1162" spans="3:3">
      <c r="C1162" s="9"/>
    </row>
    <row r="1163" spans="3:3">
      <c r="C1163" s="9"/>
    </row>
    <row r="1164" spans="3:3">
      <c r="C1164" s="9"/>
    </row>
    <row r="1165" spans="3:3">
      <c r="C1165" s="9"/>
    </row>
    <row r="1166" spans="3:3">
      <c r="C1166" s="9"/>
    </row>
    <row r="1167" spans="3:3">
      <c r="C1167" s="9"/>
    </row>
    <row r="1168" spans="3:3">
      <c r="C1168" s="9"/>
    </row>
    <row r="1169" spans="3:3">
      <c r="C1169" s="9"/>
    </row>
    <row r="1170" spans="3:3">
      <c r="C1170" s="9"/>
    </row>
    <row r="1171" spans="3:3">
      <c r="C1171" s="9"/>
    </row>
    <row r="1172" spans="3:3">
      <c r="C1172" s="9"/>
    </row>
    <row r="1173" spans="3:3">
      <c r="C1173" s="9"/>
    </row>
    <row r="1174" spans="3:3">
      <c r="C1174" s="9"/>
    </row>
    <row r="1175" spans="3:3">
      <c r="C1175" s="9"/>
    </row>
    <row r="1176" spans="3:3">
      <c r="C1176" s="9"/>
    </row>
    <row r="1177" spans="3:3">
      <c r="C1177" s="9"/>
    </row>
    <row r="1178" spans="3:3">
      <c r="C1178" s="9"/>
    </row>
    <row r="1179" spans="3:3">
      <c r="C1179" s="9"/>
    </row>
    <row r="1180" spans="3:3">
      <c r="C1180" s="9"/>
    </row>
    <row r="1181" spans="3:3">
      <c r="C1181" s="9"/>
    </row>
    <row r="1182" spans="3:3">
      <c r="C1182" s="9"/>
    </row>
    <row r="1183" spans="3:3">
      <c r="C1183" s="9"/>
    </row>
    <row r="1184" spans="3:3">
      <c r="C1184" s="9"/>
    </row>
    <row r="1185" spans="3:3">
      <c r="C1185" s="9"/>
    </row>
    <row r="1186" spans="3:3">
      <c r="C1186" s="9"/>
    </row>
    <row r="1187" spans="3:3">
      <c r="C1187" s="9"/>
    </row>
    <row r="1188" spans="3:3">
      <c r="C1188" s="9"/>
    </row>
    <row r="1189" spans="3:3">
      <c r="C1189" s="9"/>
    </row>
    <row r="1190" spans="3:3">
      <c r="C1190" s="9"/>
    </row>
    <row r="1191" spans="3:3">
      <c r="C1191" s="9"/>
    </row>
    <row r="1192" spans="3:3">
      <c r="C1192" s="9"/>
    </row>
    <row r="1193" spans="3:3">
      <c r="C1193" s="9"/>
    </row>
    <row r="1194" spans="3:3">
      <c r="C1194" s="9"/>
    </row>
    <row r="1195" spans="3:3">
      <c r="C1195" s="9"/>
    </row>
    <row r="1196" spans="3:3">
      <c r="C1196" s="9"/>
    </row>
    <row r="1197" spans="3:3">
      <c r="C1197" s="9"/>
    </row>
    <row r="1198" spans="3:3">
      <c r="C1198" s="9"/>
    </row>
    <row r="1199" spans="3:3">
      <c r="C1199" s="9"/>
    </row>
    <row r="1200" spans="3:3">
      <c r="C1200" s="9"/>
    </row>
    <row r="1201" spans="3:3">
      <c r="C1201" s="9"/>
    </row>
    <row r="1202" spans="3:3">
      <c r="C1202" s="9"/>
    </row>
    <row r="1203" spans="3:3">
      <c r="C1203" s="9"/>
    </row>
    <row r="1204" spans="3:3">
      <c r="C1204" s="9"/>
    </row>
    <row r="1205" spans="3:3">
      <c r="C1205" s="9"/>
    </row>
    <row r="1206" spans="3:3">
      <c r="C1206" s="9"/>
    </row>
    <row r="1207" spans="3:3">
      <c r="C1207" s="9"/>
    </row>
    <row r="1208" spans="3:3">
      <c r="C1208" s="9"/>
    </row>
    <row r="1209" spans="3:3">
      <c r="C1209" s="9"/>
    </row>
    <row r="1210" spans="3:3">
      <c r="C1210" s="9"/>
    </row>
    <row r="1211" spans="3:3">
      <c r="C1211" s="9"/>
    </row>
    <row r="1212" spans="3:3">
      <c r="C1212" s="9"/>
    </row>
    <row r="1213" spans="3:3">
      <c r="C1213" s="9"/>
    </row>
    <row r="1214" spans="3:3">
      <c r="C1214" s="9"/>
    </row>
    <row r="1215" spans="3:3">
      <c r="C1215" s="9"/>
    </row>
    <row r="1216" spans="3:3">
      <c r="C1216" s="9"/>
    </row>
    <row r="1217" spans="3:3">
      <c r="C1217" s="9"/>
    </row>
    <row r="1218" spans="3:3">
      <c r="C1218" s="9"/>
    </row>
    <row r="1219" spans="3:3">
      <c r="C1219" s="9"/>
    </row>
    <row r="1220" spans="3:3">
      <c r="C1220" s="9"/>
    </row>
    <row r="1221" spans="3:3">
      <c r="C1221" s="9"/>
    </row>
    <row r="1222" spans="3:3">
      <c r="C1222" s="9"/>
    </row>
    <row r="1223" spans="3:3">
      <c r="C1223" s="9"/>
    </row>
    <row r="1224" spans="3:3">
      <c r="C1224" s="9"/>
    </row>
    <row r="1225" spans="3:3">
      <c r="C1225" s="9"/>
    </row>
    <row r="1226" spans="3:3">
      <c r="C1226" s="9"/>
    </row>
    <row r="1227" spans="3:3">
      <c r="C1227" s="9"/>
    </row>
    <row r="1228" spans="3:3">
      <c r="C1228" s="9"/>
    </row>
    <row r="1229" spans="3:3">
      <c r="C1229" s="9"/>
    </row>
    <row r="1230" spans="3:3">
      <c r="C1230" s="9"/>
    </row>
    <row r="1231" spans="3:3">
      <c r="C1231" s="9"/>
    </row>
    <row r="1232" spans="3:3">
      <c r="C1232" s="9"/>
    </row>
    <row r="1233" spans="3:3">
      <c r="C1233" s="9"/>
    </row>
    <row r="1234" spans="3:3">
      <c r="C1234" s="9"/>
    </row>
    <row r="1235" spans="3:3">
      <c r="C1235" s="9"/>
    </row>
    <row r="1236" spans="3:3">
      <c r="C1236" s="9"/>
    </row>
    <row r="1237" spans="3:3">
      <c r="C1237" s="9"/>
    </row>
    <row r="1238" spans="3:3">
      <c r="C1238" s="9"/>
    </row>
    <row r="1239" spans="3:3">
      <c r="C1239" s="9"/>
    </row>
    <row r="1240" spans="3:3">
      <c r="C1240" s="9"/>
    </row>
    <row r="1241" spans="3:3">
      <c r="C1241" s="9"/>
    </row>
    <row r="1242" spans="3:3">
      <c r="C1242" s="9"/>
    </row>
    <row r="1243" spans="3:3">
      <c r="C1243" s="9"/>
    </row>
    <row r="1244" spans="3:3">
      <c r="C1244" s="9"/>
    </row>
    <row r="1245" spans="3:3">
      <c r="C1245" s="9"/>
    </row>
    <row r="1246" spans="3:3">
      <c r="C1246" s="9"/>
    </row>
    <row r="1247" spans="3:3">
      <c r="C1247" s="9"/>
    </row>
    <row r="1248" spans="3:3">
      <c r="C1248" s="9"/>
    </row>
    <row r="1249" spans="3:3">
      <c r="C1249" s="9"/>
    </row>
    <row r="1250" spans="3:3">
      <c r="C1250" s="9"/>
    </row>
    <row r="1251" spans="3:3">
      <c r="C1251" s="9"/>
    </row>
    <row r="1252" spans="3:3">
      <c r="C1252" s="9"/>
    </row>
    <row r="1253" spans="3:3">
      <c r="C1253" s="9"/>
    </row>
    <row r="1254" spans="3:3">
      <c r="C1254" s="9"/>
    </row>
    <row r="1255" spans="3:3">
      <c r="C1255" s="9"/>
    </row>
    <row r="1256" spans="3:3">
      <c r="C1256" s="9"/>
    </row>
    <row r="1257" spans="3:3">
      <c r="C1257" s="9"/>
    </row>
    <row r="1258" spans="3:3">
      <c r="C1258" s="9"/>
    </row>
    <row r="1259" spans="3:3">
      <c r="C1259" s="9"/>
    </row>
    <row r="1260" spans="3:3">
      <c r="C1260" s="9"/>
    </row>
    <row r="1261" spans="3:3">
      <c r="C1261" s="9"/>
    </row>
    <row r="1262" spans="3:3">
      <c r="C1262" s="9"/>
    </row>
    <row r="1263" spans="3:3">
      <c r="C1263" s="9"/>
    </row>
    <row r="1264" spans="3:3">
      <c r="C1264" s="9"/>
    </row>
    <row r="1265" spans="3:3">
      <c r="C1265" s="9"/>
    </row>
    <row r="1266" spans="3:3">
      <c r="C1266" s="9"/>
    </row>
    <row r="1267" spans="3:3">
      <c r="C1267" s="9"/>
    </row>
    <row r="1268" spans="3:3">
      <c r="C1268" s="9"/>
    </row>
    <row r="1269" spans="3:3">
      <c r="C1269" s="9"/>
    </row>
    <row r="1270" spans="3:3">
      <c r="C1270" s="9"/>
    </row>
    <row r="1271" spans="3:3">
      <c r="C1271" s="9"/>
    </row>
    <row r="1272" spans="3:3">
      <c r="C1272" s="9"/>
    </row>
    <row r="1273" spans="3:3">
      <c r="C1273" s="9"/>
    </row>
    <row r="1274" spans="3:3">
      <c r="C1274" s="9"/>
    </row>
    <row r="1275" spans="3:3">
      <c r="C1275" s="9"/>
    </row>
    <row r="1276" spans="3:3">
      <c r="C1276" s="9"/>
    </row>
    <row r="1277" spans="3:3">
      <c r="C1277" s="9"/>
    </row>
    <row r="1278" spans="3:3">
      <c r="C1278" s="9"/>
    </row>
    <row r="1279" spans="3:3">
      <c r="C1279" s="9"/>
    </row>
    <row r="1280" spans="3:3">
      <c r="C1280" s="9"/>
    </row>
    <row r="1281" spans="3:3">
      <c r="C1281" s="9"/>
    </row>
    <row r="1282" spans="3:3">
      <c r="C1282" s="9"/>
    </row>
    <row r="1283" spans="3:3">
      <c r="C1283" s="9"/>
    </row>
    <row r="1284" spans="3:3">
      <c r="C1284" s="9"/>
    </row>
    <row r="1285" spans="3:3">
      <c r="C1285" s="9"/>
    </row>
    <row r="1286" spans="3:3">
      <c r="C1286" s="9"/>
    </row>
    <row r="1287" spans="3:3">
      <c r="C1287" s="9"/>
    </row>
    <row r="1288" spans="3:3">
      <c r="C1288" s="9"/>
    </row>
    <row r="1289" spans="3:3">
      <c r="C1289" s="9"/>
    </row>
    <row r="1290" spans="3:3">
      <c r="C1290" s="9"/>
    </row>
    <row r="1291" spans="3:3">
      <c r="C1291" s="9"/>
    </row>
    <row r="1292" spans="3:3">
      <c r="C1292" s="9"/>
    </row>
    <row r="1293" spans="3:3">
      <c r="C1293" s="9"/>
    </row>
    <row r="1294" spans="3:3">
      <c r="C1294" s="9"/>
    </row>
    <row r="1295" spans="3:3">
      <c r="C1295" s="9"/>
    </row>
    <row r="1296" spans="3:3">
      <c r="C1296" s="9"/>
    </row>
    <row r="1297" spans="3:3">
      <c r="C1297" s="9"/>
    </row>
    <row r="1298" spans="3:3">
      <c r="C1298" s="9"/>
    </row>
    <row r="1299" spans="3:3">
      <c r="C1299" s="9"/>
    </row>
    <row r="1300" spans="3:3">
      <c r="C1300" s="9"/>
    </row>
    <row r="1301" spans="3:3">
      <c r="C1301" s="9"/>
    </row>
    <row r="1302" spans="3:3">
      <c r="C1302" s="9"/>
    </row>
    <row r="1303" spans="3:3">
      <c r="C1303" s="9"/>
    </row>
    <row r="1304" spans="3:3">
      <c r="C1304" s="9"/>
    </row>
    <row r="1305" spans="3:3">
      <c r="C1305" s="9"/>
    </row>
    <row r="1306" spans="3:3">
      <c r="C1306" s="9"/>
    </row>
    <row r="1307" spans="3:3">
      <c r="C1307" s="9"/>
    </row>
    <row r="1308" spans="3:3">
      <c r="C1308" s="9"/>
    </row>
    <row r="1309" spans="3:3">
      <c r="C1309" s="9"/>
    </row>
    <row r="1310" spans="3:3">
      <c r="C1310" s="9"/>
    </row>
    <row r="1311" spans="3:3">
      <c r="C1311" s="9"/>
    </row>
    <row r="1312" spans="3:3">
      <c r="C1312" s="9"/>
    </row>
    <row r="1313" spans="3:3">
      <c r="C1313" s="9"/>
    </row>
    <row r="1314" spans="3:3">
      <c r="C1314" s="9"/>
    </row>
    <row r="1315" spans="3:3">
      <c r="C1315" s="9"/>
    </row>
    <row r="1316" spans="3:3">
      <c r="C1316" s="9"/>
    </row>
    <row r="1317" spans="3:3">
      <c r="C1317" s="9"/>
    </row>
    <row r="1318" spans="3:3">
      <c r="C1318" s="9"/>
    </row>
    <row r="1319" spans="3:3">
      <c r="C1319" s="9"/>
    </row>
    <row r="1320" spans="3:3">
      <c r="C1320" s="9"/>
    </row>
    <row r="1321" spans="3:3">
      <c r="C1321" s="9"/>
    </row>
    <row r="1322" spans="3:3">
      <c r="C1322" s="9"/>
    </row>
    <row r="1323" spans="3:3">
      <c r="C1323" s="9"/>
    </row>
    <row r="1324" spans="3:3">
      <c r="C1324" s="9"/>
    </row>
    <row r="1325" spans="3:3">
      <c r="C1325" s="9"/>
    </row>
    <row r="1326" spans="3:3">
      <c r="C1326" s="9"/>
    </row>
    <row r="1327" spans="3:3">
      <c r="C1327" s="9"/>
    </row>
    <row r="1328" spans="3:3">
      <c r="C1328" s="9"/>
    </row>
    <row r="1329" spans="3:3">
      <c r="C1329" s="9"/>
    </row>
    <row r="1330" spans="3:3">
      <c r="C1330" s="9"/>
    </row>
    <row r="1331" spans="3:3">
      <c r="C1331" s="9"/>
    </row>
    <row r="1332" spans="3:3">
      <c r="C1332" s="9"/>
    </row>
    <row r="1333" spans="3:3">
      <c r="C1333" s="9"/>
    </row>
    <row r="1334" spans="3:3">
      <c r="C1334" s="9"/>
    </row>
    <row r="1335" spans="3:3">
      <c r="C1335" s="9"/>
    </row>
    <row r="1336" spans="3:3">
      <c r="C1336" s="9"/>
    </row>
    <row r="1337" spans="3:3">
      <c r="C1337" s="9"/>
    </row>
    <row r="1338" spans="3:3">
      <c r="C1338" s="9"/>
    </row>
    <row r="1339" spans="3:3">
      <c r="C1339" s="9"/>
    </row>
    <row r="1340" spans="3:3">
      <c r="C1340" s="9"/>
    </row>
    <row r="1341" spans="3:3">
      <c r="C1341" s="9"/>
    </row>
    <row r="1342" spans="3:3">
      <c r="C1342" s="9"/>
    </row>
    <row r="1343" spans="3:3">
      <c r="C1343" s="9"/>
    </row>
    <row r="1344" spans="3:3">
      <c r="C1344" s="9"/>
    </row>
    <row r="1345" spans="3:3">
      <c r="C1345" s="9"/>
    </row>
    <row r="1346" spans="3:3">
      <c r="C1346" s="9"/>
    </row>
    <row r="1347" spans="3:3">
      <c r="C1347" s="9"/>
    </row>
    <row r="1348" spans="3:3">
      <c r="C1348" s="9"/>
    </row>
    <row r="1349" spans="3:3">
      <c r="C1349" s="9"/>
    </row>
    <row r="1350" spans="3:3">
      <c r="C1350" s="9"/>
    </row>
    <row r="1351" spans="3:3">
      <c r="C1351" s="9"/>
    </row>
    <row r="1352" spans="3:3">
      <c r="C1352" s="9"/>
    </row>
    <row r="1353" spans="3:3">
      <c r="C1353" s="9"/>
    </row>
    <row r="1354" spans="3:3">
      <c r="C1354" s="9"/>
    </row>
    <row r="1355" spans="3:3">
      <c r="C1355" s="9"/>
    </row>
    <row r="1356" spans="3:3">
      <c r="C1356" s="9"/>
    </row>
    <row r="1357" spans="3:3">
      <c r="C1357" s="9"/>
    </row>
    <row r="1358" spans="3:3">
      <c r="C1358" s="9"/>
    </row>
    <row r="1359" spans="3:3">
      <c r="C1359" s="9"/>
    </row>
    <row r="1360" spans="3:3">
      <c r="C1360" s="9"/>
    </row>
    <row r="1361" spans="3:3">
      <c r="C1361" s="9"/>
    </row>
    <row r="1362" spans="3:3">
      <c r="C1362" s="9"/>
    </row>
    <row r="1363" spans="3:3">
      <c r="C1363" s="9"/>
    </row>
    <row r="1364" spans="3:3">
      <c r="C1364" s="9"/>
    </row>
    <row r="1365" spans="3:3">
      <c r="C1365" s="9"/>
    </row>
    <row r="1366" spans="3:3">
      <c r="C1366" s="9"/>
    </row>
    <row r="1367" spans="3:3">
      <c r="C1367" s="9"/>
    </row>
    <row r="1368" spans="3:3">
      <c r="C1368" s="9"/>
    </row>
    <row r="1369" spans="3:3">
      <c r="C1369" s="9"/>
    </row>
    <row r="1370" spans="3:3">
      <c r="C1370" s="9"/>
    </row>
    <row r="1371" spans="3:3">
      <c r="C1371" s="9"/>
    </row>
    <row r="1372" spans="3:3">
      <c r="C1372" s="9"/>
    </row>
    <row r="1373" spans="3:3">
      <c r="C1373" s="9"/>
    </row>
    <row r="1374" spans="3:3">
      <c r="C1374" s="9"/>
    </row>
    <row r="1375" spans="3:3">
      <c r="C1375" s="9"/>
    </row>
    <row r="1376" spans="3:3">
      <c r="C1376" s="9"/>
    </row>
    <row r="1377" spans="3:3">
      <c r="C1377" s="9"/>
    </row>
    <row r="1378" spans="3:3">
      <c r="C1378" s="9"/>
    </row>
    <row r="1379" spans="3:3">
      <c r="C1379" s="9"/>
    </row>
    <row r="1380" spans="3:3">
      <c r="C1380" s="9"/>
    </row>
    <row r="1381" spans="3:3">
      <c r="C1381" s="9"/>
    </row>
    <row r="1382" spans="3:3">
      <c r="C1382" s="9"/>
    </row>
    <row r="1383" spans="3:3">
      <c r="C1383" s="9"/>
    </row>
    <row r="1384" spans="3:3">
      <c r="C1384" s="9"/>
    </row>
    <row r="1385" spans="3:3">
      <c r="C1385" s="9"/>
    </row>
    <row r="1386" spans="3:3">
      <c r="C1386" s="9"/>
    </row>
    <row r="1387" spans="3:3">
      <c r="C1387" s="9"/>
    </row>
    <row r="1388" spans="3:3">
      <c r="C1388" s="9"/>
    </row>
    <row r="1389" spans="3:3">
      <c r="C1389" s="9"/>
    </row>
    <row r="1390" spans="3:3">
      <c r="C1390" s="9"/>
    </row>
    <row r="1391" spans="3:3">
      <c r="C1391" s="9"/>
    </row>
    <row r="1392" spans="3:3">
      <c r="C1392" s="9"/>
    </row>
    <row r="1393" spans="3:3">
      <c r="C1393" s="9"/>
    </row>
    <row r="1394" spans="3:3">
      <c r="C1394" s="9"/>
    </row>
    <row r="1395" spans="3:3">
      <c r="C1395" s="9"/>
    </row>
    <row r="1396" spans="3:3">
      <c r="C1396" s="9"/>
    </row>
    <row r="1397" spans="3:3">
      <c r="C1397" s="9"/>
    </row>
    <row r="1398" spans="3:3">
      <c r="C1398" s="9"/>
    </row>
    <row r="1399" spans="3:3">
      <c r="C1399" s="9"/>
    </row>
    <row r="1400" spans="3:3">
      <c r="C1400" s="9"/>
    </row>
    <row r="1401" spans="3:3">
      <c r="C1401" s="9"/>
    </row>
    <row r="1402" spans="3:3">
      <c r="C1402" s="9"/>
    </row>
    <row r="1403" spans="3:3">
      <c r="C1403" s="9"/>
    </row>
    <row r="1404" spans="3:3">
      <c r="C1404" s="9"/>
    </row>
    <row r="1405" spans="3:3">
      <c r="C1405" s="9"/>
    </row>
    <row r="1406" spans="3:3">
      <c r="C1406" s="9"/>
    </row>
    <row r="1407" spans="3:3">
      <c r="C1407" s="9"/>
    </row>
    <row r="1408" spans="3:3">
      <c r="C1408" s="9"/>
    </row>
    <row r="1409" spans="3:3">
      <c r="C1409" s="9"/>
    </row>
    <row r="1410" spans="3:3">
      <c r="C1410" s="9"/>
    </row>
    <row r="1411" spans="3:3">
      <c r="C1411" s="9"/>
    </row>
    <row r="1412" spans="3:3">
      <c r="C1412" s="9"/>
    </row>
    <row r="1413" spans="3:3">
      <c r="C1413" s="9"/>
    </row>
    <row r="1414" spans="3:3">
      <c r="C1414" s="9"/>
    </row>
    <row r="1415" spans="3:3">
      <c r="C1415" s="9"/>
    </row>
    <row r="1416" spans="3:3">
      <c r="C1416" s="9"/>
    </row>
    <row r="1417" spans="3:3">
      <c r="C1417" s="9"/>
    </row>
    <row r="1418" spans="3:3">
      <c r="C1418" s="9"/>
    </row>
    <row r="1419" spans="3:3">
      <c r="C1419" s="9"/>
    </row>
    <row r="1420" spans="3:3">
      <c r="C1420" s="9"/>
    </row>
    <row r="1421" spans="3:3">
      <c r="C1421" s="9"/>
    </row>
    <row r="1422" spans="3:3">
      <c r="C1422" s="9"/>
    </row>
    <row r="1423" spans="3:3">
      <c r="C1423" s="9"/>
    </row>
    <row r="1424" spans="3:3">
      <c r="C1424" s="9"/>
    </row>
    <row r="1425" spans="3:3">
      <c r="C1425" s="9"/>
    </row>
    <row r="1426" spans="3:3">
      <c r="C1426" s="9"/>
    </row>
    <row r="1427" spans="3:3">
      <c r="C1427" s="9"/>
    </row>
    <row r="1428" spans="3:3">
      <c r="C1428" s="9"/>
    </row>
    <row r="1429" spans="3:3">
      <c r="C1429" s="9"/>
    </row>
    <row r="1430" spans="3:3">
      <c r="C1430" s="9"/>
    </row>
    <row r="1431" spans="3:3">
      <c r="C1431" s="9"/>
    </row>
    <row r="1432" spans="3:3">
      <c r="C1432" s="9"/>
    </row>
    <row r="1433" spans="3:3">
      <c r="C1433" s="9"/>
    </row>
    <row r="1434" spans="3:3">
      <c r="C1434" s="9"/>
    </row>
    <row r="1435" spans="3:3">
      <c r="C1435" s="9"/>
    </row>
    <row r="1436" spans="3:3">
      <c r="C1436" s="9"/>
    </row>
    <row r="1437" spans="3:3">
      <c r="C1437" s="9"/>
    </row>
    <row r="1438" spans="3:3">
      <c r="C1438" s="9"/>
    </row>
    <row r="1439" spans="3:3">
      <c r="C1439" s="9"/>
    </row>
    <row r="1440" spans="3:3">
      <c r="C1440" s="9"/>
    </row>
    <row r="1441" spans="3:3">
      <c r="C1441" s="9"/>
    </row>
    <row r="1442" spans="3:3">
      <c r="C1442" s="9"/>
    </row>
    <row r="1443" spans="3:3">
      <c r="C1443" s="9"/>
    </row>
    <row r="1444" spans="3:3">
      <c r="C1444" s="9"/>
    </row>
    <row r="1445" spans="3:3">
      <c r="C1445" s="9"/>
    </row>
    <row r="1446" spans="3:3">
      <c r="C1446" s="9"/>
    </row>
    <row r="1447" spans="3:3">
      <c r="C1447" s="9"/>
    </row>
    <row r="1448" spans="3:3">
      <c r="C1448" s="9"/>
    </row>
    <row r="1449" spans="3:3">
      <c r="C1449" s="9"/>
    </row>
    <row r="1450" spans="3:3">
      <c r="C1450" s="9"/>
    </row>
    <row r="1451" spans="3:3">
      <c r="C1451" s="9"/>
    </row>
    <row r="1452" spans="3:3">
      <c r="C1452" s="9"/>
    </row>
    <row r="1453" spans="3:3">
      <c r="C1453" s="9"/>
    </row>
    <row r="1454" spans="3:3">
      <c r="C1454" s="9"/>
    </row>
    <row r="1455" spans="3:3">
      <c r="C1455" s="9"/>
    </row>
    <row r="1456" spans="3:3">
      <c r="C1456" s="9"/>
    </row>
    <row r="1457" spans="3:3">
      <c r="C1457" s="9"/>
    </row>
    <row r="1458" spans="3:3">
      <c r="C1458" s="9"/>
    </row>
    <row r="1459" spans="3:3">
      <c r="C1459" s="9"/>
    </row>
    <row r="1460" spans="3:3">
      <c r="C1460" s="9"/>
    </row>
    <row r="1461" spans="3:3">
      <c r="C1461" s="9"/>
    </row>
    <row r="1462" spans="3:3">
      <c r="C1462" s="9"/>
    </row>
    <row r="1463" spans="3:3">
      <c r="C1463" s="9"/>
    </row>
    <row r="1464" spans="3:3">
      <c r="C1464" s="9"/>
    </row>
    <row r="1465" spans="3:3">
      <c r="C1465" s="9"/>
    </row>
    <row r="1466" spans="3:3">
      <c r="C1466" s="9"/>
    </row>
    <row r="1467" spans="3:3">
      <c r="C1467" s="9"/>
    </row>
    <row r="1468" spans="3:3">
      <c r="C1468" s="9"/>
    </row>
    <row r="1469" spans="3:3">
      <c r="C1469" s="9"/>
    </row>
    <row r="1470" spans="3:3">
      <c r="C1470" s="9"/>
    </row>
    <row r="1471" spans="3:3">
      <c r="C1471" s="9"/>
    </row>
    <row r="1472" spans="3:3">
      <c r="C1472" s="9"/>
    </row>
    <row r="1473" spans="3:3">
      <c r="C1473" s="9"/>
    </row>
    <row r="1474" spans="3:3">
      <c r="C1474" s="9"/>
    </row>
    <row r="1475" spans="3:3">
      <c r="C1475" s="9"/>
    </row>
    <row r="1476" spans="3:3">
      <c r="C1476" s="9"/>
    </row>
    <row r="1477" spans="3:3">
      <c r="C1477" s="9"/>
    </row>
    <row r="1478" spans="3:3">
      <c r="C1478" s="9"/>
    </row>
    <row r="1479" spans="3:3">
      <c r="C1479" s="9"/>
    </row>
  </sheetData>
  <autoFilter ref="A4:T105" xr:uid="{00000000-0001-0000-0100-000000000000}"/>
  <mergeCells count="1">
    <mergeCell ref="A1:T1"/>
  </mergeCells>
  <phoneticPr fontId="7" type="noConversion"/>
  <conditionalFormatting sqref="S5:S105">
    <cfRule type="cellIs" dxfId="1" priority="1" operator="equal">
      <formula>"OK"</formula>
    </cfRule>
    <cfRule type="cellIs" dxfId="0" priority="2" operator="equal">
      <formula>"Diferencia Placa"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6D8F5D6-C4A1-4C41-85F8-5A116930A430}">
          <x14:formula1>
            <xm:f>Catalogos!$F$4:$F$5</xm:f>
          </x14:formula1>
          <xm:sqref>C5:C1479</xm:sqref>
        </x14:dataValidation>
        <x14:dataValidation type="list" allowBlank="1" showInputMessage="1" showErrorMessage="1" xr:uid="{72CA3891-5ED4-4808-B400-CC548DB21C8C}">
          <x14:formula1>
            <xm:f>Catalogos!$C$4:$C$8</xm:f>
          </x14:formula1>
          <xm:sqref>P1:P1048576</xm:sqref>
        </x14:dataValidation>
        <x14:dataValidation type="list" allowBlank="1" showInputMessage="1" showErrorMessage="1" xr:uid="{B96030DE-AEA7-422D-89D1-BA212DCBB1C4}">
          <x14:formula1>
            <xm:f>Catalogos!$I$4:$I$26</xm:f>
          </x14:formula1>
          <xm:sqref>J1:J1048576</xm:sqref>
        </x14:dataValidation>
        <x14:dataValidation type="list" allowBlank="1" showInputMessage="1" showErrorMessage="1" xr:uid="{9A477C67-1293-499A-8651-FCDFD66D1F03}">
          <x14:formula1>
            <xm:f>Catalogos!$L$4:$L$25</xm:f>
          </x14:formula1>
          <xm:sqref>I1:I1048576</xm:sqref>
        </x14:dataValidation>
        <x14:dataValidation type="list" allowBlank="1" showInputMessage="1" showErrorMessage="1" xr:uid="{95D36BAC-8FBF-437E-9812-7488745F9DE5}">
          <x14:formula1>
            <xm:f>Catalogos!$B$4:$B$25</xm:f>
          </x14:formula1>
          <xm:sqref>H1:H1048576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5"/>
  <sheetViews>
    <sheetView showGridLines="0" topLeftCell="A12" zoomScale="83" workbookViewId="0">
      <selection activeCell="H92" sqref="H92"/>
    </sheetView>
  </sheetViews>
  <sheetFormatPr baseColWidth="10" defaultColWidth="8.88671875" defaultRowHeight="14.4"/>
  <cols>
    <col min="1" max="2" width="13.6640625" customWidth="1"/>
    <col min="3" max="3" width="18.6640625" customWidth="1"/>
    <col min="4" max="4" width="22.6640625" customWidth="1"/>
    <col min="5" max="6" width="15.6640625" customWidth="1"/>
    <col min="7" max="8" width="16.6640625" customWidth="1"/>
    <col min="9" max="9" width="22.6640625" customWidth="1"/>
    <col min="10" max="11" width="16.6640625" style="13" customWidth="1"/>
    <col min="12" max="14" width="22.6640625" customWidth="1"/>
    <col min="15" max="15" width="28.6640625" customWidth="1"/>
  </cols>
  <sheetData>
    <row r="1" spans="1:15" ht="25.95" customHeight="1">
      <c r="A1" s="29" t="s">
        <v>68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19.95" customHeight="1">
      <c r="A2" s="1" t="s">
        <v>1</v>
      </c>
      <c r="B2" s="1"/>
      <c r="C2" s="2"/>
      <c r="E2" s="1" t="s">
        <v>69</v>
      </c>
      <c r="F2" s="2" t="s">
        <v>49</v>
      </c>
      <c r="H2" s="1" t="s">
        <v>70</v>
      </c>
      <c r="I2" s="2"/>
    </row>
    <row r="3" spans="1:15" ht="12" customHeight="1"/>
    <row r="4" spans="1:15" ht="28.05" customHeight="1">
      <c r="A4" s="3" t="s">
        <v>6</v>
      </c>
      <c r="B4" s="3" t="s">
        <v>253</v>
      </c>
      <c r="C4" s="3" t="s">
        <v>71</v>
      </c>
      <c r="D4" s="3" t="s">
        <v>72</v>
      </c>
      <c r="E4" s="3" t="s">
        <v>56</v>
      </c>
      <c r="F4" s="3" t="s">
        <v>11</v>
      </c>
      <c r="G4" s="3" t="s">
        <v>12</v>
      </c>
      <c r="H4" s="3" t="s">
        <v>14</v>
      </c>
      <c r="I4" s="3" t="s">
        <v>15</v>
      </c>
      <c r="J4" s="14" t="s">
        <v>19</v>
      </c>
      <c r="K4" s="14" t="s">
        <v>73</v>
      </c>
      <c r="L4" s="3" t="s">
        <v>61</v>
      </c>
      <c r="M4" s="3" t="s">
        <v>62</v>
      </c>
      <c r="N4" s="3" t="s">
        <v>74</v>
      </c>
      <c r="O4" s="3" t="s">
        <v>23</v>
      </c>
    </row>
    <row r="5" spans="1:15">
      <c r="A5" s="12" t="s">
        <v>24</v>
      </c>
      <c r="B5" s="4">
        <v>1</v>
      </c>
      <c r="C5" s="4" t="s">
        <v>75</v>
      </c>
      <c r="D5" s="5" t="s">
        <v>83</v>
      </c>
      <c r="E5" s="4" t="s">
        <v>84</v>
      </c>
      <c r="F5" s="4" t="s">
        <v>76</v>
      </c>
      <c r="G5" s="4" t="s">
        <v>77</v>
      </c>
      <c r="H5" s="4">
        <v>14</v>
      </c>
      <c r="I5" s="5" t="s">
        <v>78</v>
      </c>
      <c r="J5" s="15" t="s">
        <v>79</v>
      </c>
      <c r="K5" s="15" t="s">
        <v>80</v>
      </c>
      <c r="L5" s="5" t="s">
        <v>81</v>
      </c>
      <c r="M5" s="5" t="s">
        <v>65</v>
      </c>
      <c r="N5" s="4" t="s">
        <v>163</v>
      </c>
      <c r="O5" s="5" t="s">
        <v>82</v>
      </c>
    </row>
    <row r="6" spans="1:15">
      <c r="A6" s="12" t="s">
        <v>24</v>
      </c>
      <c r="B6" s="4">
        <v>2</v>
      </c>
      <c r="C6" s="4" t="s">
        <v>75</v>
      </c>
      <c r="D6" s="5" t="s">
        <v>83</v>
      </c>
      <c r="E6" s="4" t="s">
        <v>84</v>
      </c>
      <c r="F6" s="4" t="s">
        <v>76</v>
      </c>
      <c r="G6" s="4" t="s">
        <v>77</v>
      </c>
      <c r="H6" s="4">
        <v>14</v>
      </c>
      <c r="I6" s="5" t="s">
        <v>78</v>
      </c>
      <c r="J6" s="15" t="s">
        <v>85</v>
      </c>
      <c r="K6" s="15" t="s">
        <v>86</v>
      </c>
      <c r="L6" s="5" t="s">
        <v>87</v>
      </c>
      <c r="M6" s="5" t="s">
        <v>65</v>
      </c>
      <c r="N6" s="4" t="s">
        <v>163</v>
      </c>
      <c r="O6" s="5" t="s">
        <v>82</v>
      </c>
    </row>
    <row r="7" spans="1:15">
      <c r="A7" s="12" t="s">
        <v>24</v>
      </c>
      <c r="B7" s="4">
        <v>3</v>
      </c>
      <c r="C7" s="4" t="s">
        <v>88</v>
      </c>
      <c r="D7" s="5" t="s">
        <v>83</v>
      </c>
      <c r="E7" s="4" t="s">
        <v>84</v>
      </c>
      <c r="F7" s="4" t="s">
        <v>76</v>
      </c>
      <c r="G7" s="4" t="s">
        <v>89</v>
      </c>
      <c r="H7" s="4">
        <v>14</v>
      </c>
      <c r="I7" s="5" t="s">
        <v>90</v>
      </c>
      <c r="J7" s="15" t="s">
        <v>91</v>
      </c>
      <c r="K7" s="15" t="s">
        <v>92</v>
      </c>
      <c r="L7" s="5" t="s">
        <v>87</v>
      </c>
      <c r="M7" s="5" t="s">
        <v>65</v>
      </c>
      <c r="N7" s="4" t="s">
        <v>163</v>
      </c>
      <c r="O7" s="5"/>
    </row>
    <row r="8" spans="1:15">
      <c r="A8" s="12" t="s">
        <v>24</v>
      </c>
      <c r="B8" s="4">
        <v>4</v>
      </c>
      <c r="C8" s="4" t="s">
        <v>93</v>
      </c>
      <c r="D8" s="5" t="s">
        <v>83</v>
      </c>
      <c r="E8" s="4" t="s">
        <v>84</v>
      </c>
      <c r="F8" s="4" t="s">
        <v>76</v>
      </c>
      <c r="G8" s="4" t="s">
        <v>94</v>
      </c>
      <c r="H8" s="4">
        <v>14</v>
      </c>
      <c r="I8" s="5" t="s">
        <v>95</v>
      </c>
      <c r="J8" s="15" t="s">
        <v>96</v>
      </c>
      <c r="K8" s="15" t="s">
        <v>97</v>
      </c>
      <c r="L8" s="5" t="s">
        <v>87</v>
      </c>
      <c r="M8" s="5" t="s">
        <v>65</v>
      </c>
      <c r="N8" s="4" t="s">
        <v>163</v>
      </c>
      <c r="O8" s="5"/>
    </row>
    <row r="9" spans="1:15">
      <c r="A9" s="12" t="s">
        <v>24</v>
      </c>
      <c r="B9" s="4">
        <v>5</v>
      </c>
      <c r="C9" s="4" t="s">
        <v>98</v>
      </c>
      <c r="D9" s="5" t="s">
        <v>83</v>
      </c>
      <c r="E9" s="4" t="s">
        <v>84</v>
      </c>
      <c r="F9" s="4" t="s">
        <v>76</v>
      </c>
      <c r="G9" s="4" t="s">
        <v>99</v>
      </c>
      <c r="H9" s="4">
        <v>14</v>
      </c>
      <c r="I9" s="5" t="s">
        <v>100</v>
      </c>
      <c r="J9" s="15" t="s">
        <v>101</v>
      </c>
      <c r="K9" s="15" t="s">
        <v>102</v>
      </c>
      <c r="L9" s="5" t="s">
        <v>87</v>
      </c>
      <c r="M9" s="5" t="s">
        <v>65</v>
      </c>
      <c r="N9" s="4" t="s">
        <v>163</v>
      </c>
      <c r="O9" s="5"/>
    </row>
    <row r="10" spans="1:15">
      <c r="A10" s="12" t="s">
        <v>24</v>
      </c>
      <c r="B10" s="4">
        <v>6</v>
      </c>
      <c r="C10" s="4" t="s">
        <v>103</v>
      </c>
      <c r="D10" s="5" t="s">
        <v>83</v>
      </c>
      <c r="E10" s="4" t="s">
        <v>84</v>
      </c>
      <c r="F10" s="4" t="s">
        <v>76</v>
      </c>
      <c r="G10" s="4" t="s">
        <v>77</v>
      </c>
      <c r="H10" s="4">
        <v>14</v>
      </c>
      <c r="I10" s="5" t="s">
        <v>78</v>
      </c>
      <c r="J10" s="15" t="s">
        <v>104</v>
      </c>
      <c r="K10" s="15" t="s">
        <v>105</v>
      </c>
      <c r="L10" s="5" t="s">
        <v>87</v>
      </c>
      <c r="M10" s="5" t="s">
        <v>65</v>
      </c>
      <c r="N10" s="4" t="s">
        <v>163</v>
      </c>
      <c r="O10" s="5"/>
    </row>
    <row r="11" spans="1:15">
      <c r="A11" s="12" t="s">
        <v>24</v>
      </c>
      <c r="B11" s="4">
        <v>7</v>
      </c>
      <c r="C11" s="4" t="s">
        <v>106</v>
      </c>
      <c r="D11" s="5" t="s">
        <v>83</v>
      </c>
      <c r="E11" s="4" t="s">
        <v>84</v>
      </c>
      <c r="F11" s="4" t="s">
        <v>76</v>
      </c>
      <c r="G11" s="4" t="s">
        <v>89</v>
      </c>
      <c r="H11" s="4">
        <v>14</v>
      </c>
      <c r="I11" s="5" t="s">
        <v>90</v>
      </c>
      <c r="J11" s="15" t="s">
        <v>107</v>
      </c>
      <c r="K11" s="15" t="s">
        <v>108</v>
      </c>
      <c r="L11" s="5" t="s">
        <v>87</v>
      </c>
      <c r="M11" s="5" t="s">
        <v>65</v>
      </c>
      <c r="N11" s="4" t="s">
        <v>163</v>
      </c>
      <c r="O11" s="5"/>
    </row>
    <row r="12" spans="1:15">
      <c r="A12" s="12" t="s">
        <v>24</v>
      </c>
      <c r="B12" s="4">
        <v>8</v>
      </c>
      <c r="C12" s="4" t="s">
        <v>109</v>
      </c>
      <c r="D12" s="5" t="s">
        <v>83</v>
      </c>
      <c r="E12" s="4" t="s">
        <v>84</v>
      </c>
      <c r="F12" s="4" t="s">
        <v>76</v>
      </c>
      <c r="G12" s="4" t="s">
        <v>94</v>
      </c>
      <c r="H12" s="4">
        <v>14</v>
      </c>
      <c r="I12" s="5" t="s">
        <v>95</v>
      </c>
      <c r="J12" s="15" t="s">
        <v>110</v>
      </c>
      <c r="K12" s="15" t="s">
        <v>107</v>
      </c>
      <c r="L12" s="5" t="s">
        <v>87</v>
      </c>
      <c r="M12" s="5" t="s">
        <v>65</v>
      </c>
      <c r="N12" s="4" t="s">
        <v>163</v>
      </c>
      <c r="O12" s="5"/>
    </row>
    <row r="13" spans="1:15">
      <c r="A13" s="12" t="s">
        <v>24</v>
      </c>
      <c r="B13" s="4">
        <v>9</v>
      </c>
      <c r="C13" s="4" t="s">
        <v>111</v>
      </c>
      <c r="D13" s="5" t="s">
        <v>83</v>
      </c>
      <c r="E13" s="4" t="s">
        <v>84</v>
      </c>
      <c r="F13" s="4" t="s">
        <v>76</v>
      </c>
      <c r="G13" s="4" t="s">
        <v>99</v>
      </c>
      <c r="H13" s="4">
        <v>14</v>
      </c>
      <c r="I13" s="5" t="s">
        <v>100</v>
      </c>
      <c r="J13" s="15" t="s">
        <v>112</v>
      </c>
      <c r="K13" s="15" t="s">
        <v>110</v>
      </c>
      <c r="L13" s="5" t="s">
        <v>87</v>
      </c>
      <c r="M13" s="5" t="s">
        <v>65</v>
      </c>
      <c r="N13" s="4" t="s">
        <v>163</v>
      </c>
      <c r="O13" s="5"/>
    </row>
    <row r="14" spans="1:15">
      <c r="A14" s="12" t="s">
        <v>24</v>
      </c>
      <c r="B14" s="4">
        <v>10</v>
      </c>
      <c r="C14" s="4" t="s">
        <v>113</v>
      </c>
      <c r="D14" s="5" t="s">
        <v>83</v>
      </c>
      <c r="E14" s="4" t="s">
        <v>84</v>
      </c>
      <c r="F14" s="4" t="s">
        <v>76</v>
      </c>
      <c r="G14" s="4" t="s">
        <v>77</v>
      </c>
      <c r="H14" s="4">
        <v>14</v>
      </c>
      <c r="I14" s="5" t="s">
        <v>78</v>
      </c>
      <c r="J14" s="15" t="s">
        <v>114</v>
      </c>
      <c r="K14" s="15" t="s">
        <v>115</v>
      </c>
      <c r="L14" s="5" t="s">
        <v>87</v>
      </c>
      <c r="M14" s="5" t="s">
        <v>65</v>
      </c>
      <c r="N14" s="4" t="s">
        <v>163</v>
      </c>
      <c r="O14" s="5"/>
    </row>
    <row r="15" spans="1:15">
      <c r="A15" s="12" t="s">
        <v>24</v>
      </c>
      <c r="B15" s="4">
        <v>11</v>
      </c>
      <c r="C15" s="4" t="s">
        <v>116</v>
      </c>
      <c r="D15" s="5" t="s">
        <v>83</v>
      </c>
      <c r="E15" s="4" t="s">
        <v>84</v>
      </c>
      <c r="F15" s="4" t="s">
        <v>76</v>
      </c>
      <c r="G15" s="4" t="s">
        <v>89</v>
      </c>
      <c r="H15" s="4">
        <v>14</v>
      </c>
      <c r="I15" s="5" t="s">
        <v>90</v>
      </c>
      <c r="J15" s="15" t="s">
        <v>117</v>
      </c>
      <c r="K15" s="15" t="s">
        <v>114</v>
      </c>
      <c r="L15" s="5" t="s">
        <v>87</v>
      </c>
      <c r="M15" s="5" t="s">
        <v>65</v>
      </c>
      <c r="N15" s="4" t="s">
        <v>163</v>
      </c>
      <c r="O15" s="5"/>
    </row>
    <row r="16" spans="1:15">
      <c r="A16" s="12" t="s">
        <v>24</v>
      </c>
      <c r="B16" s="4">
        <v>12</v>
      </c>
      <c r="C16" s="4" t="s">
        <v>118</v>
      </c>
      <c r="D16" s="5" t="s">
        <v>83</v>
      </c>
      <c r="E16" s="4" t="s">
        <v>84</v>
      </c>
      <c r="F16" s="4" t="s">
        <v>76</v>
      </c>
      <c r="G16" s="4" t="s">
        <v>94</v>
      </c>
      <c r="H16" s="4">
        <v>14</v>
      </c>
      <c r="I16" s="5" t="s">
        <v>95</v>
      </c>
      <c r="J16" s="15" t="s">
        <v>119</v>
      </c>
      <c r="K16" s="15" t="s">
        <v>120</v>
      </c>
      <c r="L16" s="5" t="s">
        <v>87</v>
      </c>
      <c r="M16" s="5" t="s">
        <v>65</v>
      </c>
      <c r="N16" s="4" t="s">
        <v>163</v>
      </c>
      <c r="O16" s="5"/>
    </row>
    <row r="17" spans="1:15">
      <c r="A17" s="12" t="s">
        <v>24</v>
      </c>
      <c r="B17" s="4">
        <v>13</v>
      </c>
      <c r="C17" s="4" t="s">
        <v>121</v>
      </c>
      <c r="D17" s="5" t="s">
        <v>83</v>
      </c>
      <c r="E17" s="4" t="s">
        <v>84</v>
      </c>
      <c r="F17" s="4" t="s">
        <v>76</v>
      </c>
      <c r="G17" s="4" t="s">
        <v>99</v>
      </c>
      <c r="H17" s="4">
        <v>14</v>
      </c>
      <c r="I17" s="5" t="s">
        <v>100</v>
      </c>
      <c r="J17" s="15" t="s">
        <v>122</v>
      </c>
      <c r="K17" s="15" t="s">
        <v>123</v>
      </c>
      <c r="L17" s="5" t="s">
        <v>87</v>
      </c>
      <c r="M17" s="5" t="s">
        <v>65</v>
      </c>
      <c r="N17" s="4" t="s">
        <v>163</v>
      </c>
      <c r="O17" s="5"/>
    </row>
    <row r="18" spans="1:15">
      <c r="A18" s="12" t="s">
        <v>24</v>
      </c>
      <c r="B18" s="4">
        <v>14</v>
      </c>
      <c r="C18" s="4" t="s">
        <v>124</v>
      </c>
      <c r="D18" s="5" t="s">
        <v>83</v>
      </c>
      <c r="E18" s="4" t="s">
        <v>84</v>
      </c>
      <c r="F18" s="4" t="s">
        <v>76</v>
      </c>
      <c r="G18" s="4" t="s">
        <v>77</v>
      </c>
      <c r="H18" s="4">
        <v>14</v>
      </c>
      <c r="I18" s="5" t="s">
        <v>78</v>
      </c>
      <c r="J18" s="15" t="s">
        <v>125</v>
      </c>
      <c r="K18" s="15" t="s">
        <v>126</v>
      </c>
      <c r="L18" s="5" t="s">
        <v>87</v>
      </c>
      <c r="M18" s="5" t="s">
        <v>65</v>
      </c>
      <c r="N18" s="4" t="s">
        <v>163</v>
      </c>
      <c r="O18" s="5"/>
    </row>
    <row r="19" spans="1:15">
      <c r="A19" s="12" t="s">
        <v>24</v>
      </c>
      <c r="B19" s="4">
        <v>15</v>
      </c>
      <c r="C19" s="4" t="s">
        <v>127</v>
      </c>
      <c r="D19" s="5" t="s">
        <v>83</v>
      </c>
      <c r="E19" s="4" t="s">
        <v>84</v>
      </c>
      <c r="F19" s="4" t="s">
        <v>76</v>
      </c>
      <c r="G19" s="4" t="s">
        <v>89</v>
      </c>
      <c r="H19" s="4">
        <v>14</v>
      </c>
      <c r="I19" s="5" t="s">
        <v>90</v>
      </c>
      <c r="J19" s="15" t="s">
        <v>128</v>
      </c>
      <c r="K19" s="15" t="s">
        <v>129</v>
      </c>
      <c r="L19" s="5" t="s">
        <v>87</v>
      </c>
      <c r="M19" s="5" t="s">
        <v>65</v>
      </c>
      <c r="N19" s="4" t="s">
        <v>163</v>
      </c>
      <c r="O19" s="5"/>
    </row>
    <row r="20" spans="1:15">
      <c r="A20" s="12" t="s">
        <v>24</v>
      </c>
      <c r="B20" s="4">
        <v>16</v>
      </c>
      <c r="C20" s="4" t="s">
        <v>130</v>
      </c>
      <c r="D20" s="5" t="s">
        <v>83</v>
      </c>
      <c r="E20" s="4" t="s">
        <v>84</v>
      </c>
      <c r="F20" s="4" t="s">
        <v>76</v>
      </c>
      <c r="G20" s="4" t="s">
        <v>94</v>
      </c>
      <c r="H20" s="4">
        <v>14</v>
      </c>
      <c r="I20" s="5" t="s">
        <v>95</v>
      </c>
      <c r="J20" s="15" t="s">
        <v>131</v>
      </c>
      <c r="K20" s="15" t="s">
        <v>132</v>
      </c>
      <c r="L20" s="5" t="s">
        <v>87</v>
      </c>
      <c r="M20" s="5" t="s">
        <v>65</v>
      </c>
      <c r="N20" s="4" t="s">
        <v>163</v>
      </c>
      <c r="O20" s="5"/>
    </row>
    <row r="21" spans="1:15">
      <c r="A21" s="12" t="s">
        <v>24</v>
      </c>
      <c r="B21" s="4">
        <v>17</v>
      </c>
      <c r="C21" s="4" t="s">
        <v>133</v>
      </c>
      <c r="D21" s="5" t="s">
        <v>83</v>
      </c>
      <c r="E21" s="4" t="s">
        <v>84</v>
      </c>
      <c r="F21" s="4" t="s">
        <v>76</v>
      </c>
      <c r="G21" s="4" t="s">
        <v>89</v>
      </c>
      <c r="H21" s="4">
        <v>14</v>
      </c>
      <c r="I21" s="5" t="s">
        <v>90</v>
      </c>
      <c r="J21" s="15" t="s">
        <v>134</v>
      </c>
      <c r="K21" s="15" t="s">
        <v>135</v>
      </c>
      <c r="L21" s="5" t="s">
        <v>87</v>
      </c>
      <c r="M21" s="5" t="s">
        <v>65</v>
      </c>
      <c r="N21" s="4" t="s">
        <v>163</v>
      </c>
      <c r="O21" s="5"/>
    </row>
    <row r="22" spans="1:15">
      <c r="A22" s="12" t="s">
        <v>24</v>
      </c>
      <c r="B22" s="4">
        <v>18</v>
      </c>
      <c r="C22" s="4" t="s">
        <v>136</v>
      </c>
      <c r="D22" s="5" t="s">
        <v>83</v>
      </c>
      <c r="E22" s="4" t="s">
        <v>84</v>
      </c>
      <c r="F22" s="4" t="s">
        <v>76</v>
      </c>
      <c r="G22" s="4" t="s">
        <v>99</v>
      </c>
      <c r="H22" s="4">
        <v>14</v>
      </c>
      <c r="I22" s="5" t="s">
        <v>100</v>
      </c>
      <c r="J22" s="15" t="s">
        <v>137</v>
      </c>
      <c r="K22" s="15" t="s">
        <v>138</v>
      </c>
      <c r="L22" s="5" t="s">
        <v>87</v>
      </c>
      <c r="M22" s="5" t="s">
        <v>65</v>
      </c>
      <c r="N22" s="4" t="s">
        <v>163</v>
      </c>
      <c r="O22" s="5"/>
    </row>
    <row r="23" spans="1:15">
      <c r="A23" s="12" t="s">
        <v>24</v>
      </c>
      <c r="B23" s="4">
        <v>19</v>
      </c>
      <c r="C23" s="4" t="s">
        <v>139</v>
      </c>
      <c r="D23" s="5" t="s">
        <v>83</v>
      </c>
      <c r="E23" s="4" t="s">
        <v>84</v>
      </c>
      <c r="F23" s="4" t="s">
        <v>76</v>
      </c>
      <c r="G23" s="4" t="s">
        <v>94</v>
      </c>
      <c r="H23" s="4">
        <v>14</v>
      </c>
      <c r="I23" s="5" t="s">
        <v>95</v>
      </c>
      <c r="J23" s="15" t="s">
        <v>140</v>
      </c>
      <c r="K23" s="15" t="s">
        <v>141</v>
      </c>
      <c r="L23" s="5" t="s">
        <v>87</v>
      </c>
      <c r="M23" s="5" t="s">
        <v>65</v>
      </c>
      <c r="N23" s="4" t="s">
        <v>163</v>
      </c>
      <c r="O23" s="5"/>
    </row>
    <row r="24" spans="1:15">
      <c r="A24" s="12">
        <v>46182</v>
      </c>
      <c r="B24" s="4">
        <v>20</v>
      </c>
      <c r="C24" s="4">
        <v>5894</v>
      </c>
      <c r="D24" s="5" t="s">
        <v>83</v>
      </c>
      <c r="E24" s="4" t="s">
        <v>84</v>
      </c>
      <c r="F24" s="4" t="s">
        <v>76</v>
      </c>
      <c r="G24" s="4" t="s">
        <v>77</v>
      </c>
      <c r="H24" s="4">
        <v>14</v>
      </c>
      <c r="I24" s="5" t="s">
        <v>78</v>
      </c>
      <c r="J24" s="15">
        <v>0.91805555555555551</v>
      </c>
      <c r="K24" s="15">
        <v>0.91319444444444442</v>
      </c>
      <c r="L24" s="5" t="s">
        <v>87</v>
      </c>
      <c r="M24" s="5" t="s">
        <v>65</v>
      </c>
      <c r="N24" s="4" t="s">
        <v>163</v>
      </c>
      <c r="O24" s="5"/>
    </row>
    <row r="25" spans="1:15">
      <c r="A25" s="12">
        <v>46182</v>
      </c>
      <c r="B25" s="4">
        <v>21</v>
      </c>
      <c r="C25" s="4">
        <v>5895</v>
      </c>
      <c r="D25" s="5" t="s">
        <v>83</v>
      </c>
      <c r="E25" s="4" t="s">
        <v>84</v>
      </c>
      <c r="F25" s="4" t="s">
        <v>76</v>
      </c>
      <c r="G25" s="4" t="s">
        <v>89</v>
      </c>
      <c r="H25" s="4">
        <v>14</v>
      </c>
      <c r="I25" s="5" t="s">
        <v>90</v>
      </c>
      <c r="J25" s="15">
        <v>0.9243055555555556</v>
      </c>
      <c r="K25" s="15">
        <v>0.91874999999999996</v>
      </c>
      <c r="L25" s="5" t="s">
        <v>87</v>
      </c>
      <c r="M25" s="5" t="s">
        <v>65</v>
      </c>
      <c r="N25" s="4" t="s">
        <v>163</v>
      </c>
      <c r="O25" s="5"/>
    </row>
    <row r="26" spans="1:15">
      <c r="A26" s="12">
        <v>46182</v>
      </c>
      <c r="B26" s="4">
        <v>22</v>
      </c>
      <c r="C26" s="4">
        <v>5896</v>
      </c>
      <c r="D26" s="5" t="s">
        <v>83</v>
      </c>
      <c r="E26" s="4" t="s">
        <v>84</v>
      </c>
      <c r="F26" s="4" t="s">
        <v>76</v>
      </c>
      <c r="G26" s="4" t="s">
        <v>191</v>
      </c>
      <c r="H26" s="4">
        <v>14</v>
      </c>
      <c r="I26" s="5" t="s">
        <v>192</v>
      </c>
      <c r="J26" s="15">
        <v>0.92847222222222225</v>
      </c>
      <c r="K26" s="15">
        <v>0.92500000000000004</v>
      </c>
      <c r="L26" s="5" t="s">
        <v>87</v>
      </c>
      <c r="M26" s="5" t="s">
        <v>65</v>
      </c>
      <c r="N26" s="4" t="s">
        <v>163</v>
      </c>
      <c r="O26" s="5"/>
    </row>
    <row r="27" spans="1:15">
      <c r="A27" s="12">
        <v>46182</v>
      </c>
      <c r="B27" s="4">
        <v>23</v>
      </c>
      <c r="C27" s="4">
        <v>5898</v>
      </c>
      <c r="D27" s="5" t="s">
        <v>83</v>
      </c>
      <c r="E27" s="4" t="s">
        <v>84</v>
      </c>
      <c r="F27" s="4" t="s">
        <v>76</v>
      </c>
      <c r="G27" s="4" t="s">
        <v>193</v>
      </c>
      <c r="H27" s="4">
        <v>14</v>
      </c>
      <c r="I27" s="5" t="s">
        <v>194</v>
      </c>
      <c r="J27" s="15">
        <v>0.93402777777777779</v>
      </c>
      <c r="K27" s="15">
        <v>0.9291666666666667</v>
      </c>
      <c r="L27" s="5" t="s">
        <v>87</v>
      </c>
      <c r="M27" s="5" t="s">
        <v>65</v>
      </c>
      <c r="N27" s="4" t="s">
        <v>163</v>
      </c>
      <c r="O27" s="5"/>
    </row>
    <row r="28" spans="1:15">
      <c r="A28" s="12">
        <v>46182</v>
      </c>
      <c r="B28" s="4">
        <v>24</v>
      </c>
      <c r="C28" s="4">
        <v>5899</v>
      </c>
      <c r="D28" s="5" t="s">
        <v>83</v>
      </c>
      <c r="E28" s="4" t="s">
        <v>84</v>
      </c>
      <c r="F28" s="4" t="s">
        <v>76</v>
      </c>
      <c r="G28" s="4" t="s">
        <v>77</v>
      </c>
      <c r="H28" s="4">
        <v>14</v>
      </c>
      <c r="I28" s="5" t="s">
        <v>78</v>
      </c>
      <c r="J28" s="15">
        <v>0.94236111111111109</v>
      </c>
      <c r="K28" s="15">
        <v>0.93819444444444444</v>
      </c>
      <c r="L28" s="5" t="s">
        <v>87</v>
      </c>
      <c r="M28" s="5" t="s">
        <v>65</v>
      </c>
      <c r="N28" s="4" t="s">
        <v>163</v>
      </c>
      <c r="O28" s="5"/>
    </row>
    <row r="29" spans="1:15">
      <c r="A29" s="12">
        <v>46182</v>
      </c>
      <c r="B29" s="4">
        <v>25</v>
      </c>
      <c r="C29" s="4">
        <v>5900</v>
      </c>
      <c r="D29" s="5" t="s">
        <v>83</v>
      </c>
      <c r="E29" s="4" t="s">
        <v>84</v>
      </c>
      <c r="F29" s="4" t="s">
        <v>76</v>
      </c>
      <c r="G29" s="4" t="s">
        <v>89</v>
      </c>
      <c r="H29" s="4">
        <v>14</v>
      </c>
      <c r="I29" s="5" t="s">
        <v>90</v>
      </c>
      <c r="J29" s="15">
        <v>0.94930555555555551</v>
      </c>
      <c r="K29" s="15">
        <v>0.94513888888888886</v>
      </c>
      <c r="L29" s="5" t="s">
        <v>87</v>
      </c>
      <c r="M29" s="5" t="s">
        <v>65</v>
      </c>
      <c r="N29" s="4" t="s">
        <v>163</v>
      </c>
      <c r="O29" s="5"/>
    </row>
    <row r="30" spans="1:15">
      <c r="A30" s="12">
        <v>46182</v>
      </c>
      <c r="B30" s="4">
        <v>26</v>
      </c>
      <c r="C30" s="4">
        <v>501</v>
      </c>
      <c r="D30" s="5" t="s">
        <v>83</v>
      </c>
      <c r="E30" s="4" t="s">
        <v>84</v>
      </c>
      <c r="F30" s="4" t="s">
        <v>76</v>
      </c>
      <c r="G30" s="4" t="s">
        <v>193</v>
      </c>
      <c r="H30" s="4">
        <v>14</v>
      </c>
      <c r="I30" s="5" t="s">
        <v>194</v>
      </c>
      <c r="J30" s="15">
        <v>0.95347222222222228</v>
      </c>
      <c r="K30" s="15">
        <v>0.95</v>
      </c>
      <c r="L30" s="5" t="s">
        <v>87</v>
      </c>
      <c r="M30" s="5" t="s">
        <v>65</v>
      </c>
      <c r="N30" s="4" t="s">
        <v>163</v>
      </c>
      <c r="O30" s="5"/>
    </row>
    <row r="31" spans="1:15">
      <c r="A31" s="12">
        <v>46182</v>
      </c>
      <c r="B31" s="4">
        <v>27</v>
      </c>
      <c r="C31" s="4">
        <v>502</v>
      </c>
      <c r="D31" s="5" t="s">
        <v>83</v>
      </c>
      <c r="E31" s="4" t="s">
        <v>84</v>
      </c>
      <c r="F31" s="4" t="s">
        <v>76</v>
      </c>
      <c r="G31" s="4" t="s">
        <v>191</v>
      </c>
      <c r="H31" s="4">
        <v>14</v>
      </c>
      <c r="I31" s="5" t="s">
        <v>192</v>
      </c>
      <c r="J31" s="15">
        <v>0.95763888888888893</v>
      </c>
      <c r="K31" s="15">
        <v>0.95416666666666672</v>
      </c>
      <c r="L31" s="5" t="s">
        <v>87</v>
      </c>
      <c r="M31" s="5" t="s">
        <v>65</v>
      </c>
      <c r="N31" s="4" t="s">
        <v>163</v>
      </c>
      <c r="O31" s="5"/>
    </row>
    <row r="32" spans="1:15">
      <c r="A32" s="12">
        <v>46182</v>
      </c>
      <c r="B32" s="4">
        <v>28</v>
      </c>
      <c r="C32" s="4">
        <v>503</v>
      </c>
      <c r="D32" s="5" t="s">
        <v>83</v>
      </c>
      <c r="E32" s="4" t="s">
        <v>84</v>
      </c>
      <c r="F32" s="4" t="s">
        <v>76</v>
      </c>
      <c r="G32" s="4" t="s">
        <v>77</v>
      </c>
      <c r="H32" s="4">
        <v>14</v>
      </c>
      <c r="I32" s="5" t="s">
        <v>78</v>
      </c>
      <c r="J32" s="15">
        <v>0.96319444444444446</v>
      </c>
      <c r="K32" s="15">
        <v>0.95902777777777781</v>
      </c>
      <c r="L32" s="5" t="s">
        <v>87</v>
      </c>
      <c r="M32" s="5" t="s">
        <v>65</v>
      </c>
      <c r="N32" s="4" t="s">
        <v>163</v>
      </c>
      <c r="O32" s="5"/>
    </row>
    <row r="33" spans="1:15">
      <c r="A33" s="12">
        <v>46182</v>
      </c>
      <c r="B33" s="4">
        <v>29</v>
      </c>
      <c r="C33" s="4">
        <v>504</v>
      </c>
      <c r="D33" s="5" t="s">
        <v>83</v>
      </c>
      <c r="E33" s="4" t="s">
        <v>84</v>
      </c>
      <c r="F33" s="4" t="s">
        <v>76</v>
      </c>
      <c r="G33" s="4" t="s">
        <v>89</v>
      </c>
      <c r="H33" s="4">
        <v>14</v>
      </c>
      <c r="I33" s="5" t="s">
        <v>90</v>
      </c>
      <c r="J33" s="15">
        <v>0.97152777777777777</v>
      </c>
      <c r="K33" s="15">
        <v>0.96805555555555556</v>
      </c>
      <c r="L33" s="5" t="s">
        <v>87</v>
      </c>
      <c r="M33" s="5" t="s">
        <v>65</v>
      </c>
      <c r="N33" s="4" t="s">
        <v>163</v>
      </c>
      <c r="O33" s="5"/>
    </row>
    <row r="34" spans="1:15">
      <c r="A34" s="12">
        <v>46182</v>
      </c>
      <c r="B34" s="4">
        <v>30</v>
      </c>
      <c r="C34" s="4">
        <v>505</v>
      </c>
      <c r="D34" s="5" t="s">
        <v>83</v>
      </c>
      <c r="E34" s="4" t="s">
        <v>84</v>
      </c>
      <c r="F34" s="4" t="s">
        <v>76</v>
      </c>
      <c r="G34" s="4" t="s">
        <v>193</v>
      </c>
      <c r="H34" s="4">
        <v>14</v>
      </c>
      <c r="I34" s="5" t="s">
        <v>194</v>
      </c>
      <c r="J34" s="15">
        <v>0.97847222222222219</v>
      </c>
      <c r="K34" s="15">
        <v>0.97222222222222221</v>
      </c>
      <c r="L34" s="5" t="s">
        <v>87</v>
      </c>
      <c r="M34" s="5" t="s">
        <v>65</v>
      </c>
      <c r="N34" s="4" t="s">
        <v>163</v>
      </c>
      <c r="O34" s="5"/>
    </row>
    <row r="35" spans="1:15">
      <c r="A35" s="12">
        <v>46182</v>
      </c>
      <c r="B35" s="4">
        <v>31</v>
      </c>
      <c r="C35" s="4">
        <v>506</v>
      </c>
      <c r="D35" s="5" t="s">
        <v>83</v>
      </c>
      <c r="E35" s="4" t="s">
        <v>84</v>
      </c>
      <c r="F35" s="4" t="s">
        <v>76</v>
      </c>
      <c r="G35" s="4" t="s">
        <v>191</v>
      </c>
      <c r="H35" s="4">
        <v>14</v>
      </c>
      <c r="I35" s="5" t="s">
        <v>192</v>
      </c>
      <c r="J35" s="15">
        <v>0.98472222222222228</v>
      </c>
      <c r="K35" s="15">
        <v>0.97916666666666663</v>
      </c>
      <c r="L35" s="5" t="s">
        <v>87</v>
      </c>
      <c r="M35" s="5" t="s">
        <v>65</v>
      </c>
      <c r="N35" s="4" t="s">
        <v>163</v>
      </c>
      <c r="O35" s="5"/>
    </row>
    <row r="36" spans="1:15">
      <c r="A36" s="12">
        <v>46182</v>
      </c>
      <c r="B36" s="4">
        <v>32</v>
      </c>
      <c r="C36" s="4">
        <v>507</v>
      </c>
      <c r="D36" s="5" t="s">
        <v>83</v>
      </c>
      <c r="E36" s="4" t="s">
        <v>84</v>
      </c>
      <c r="F36" s="4" t="s">
        <v>76</v>
      </c>
      <c r="G36" s="4" t="s">
        <v>77</v>
      </c>
      <c r="H36" s="4">
        <v>14</v>
      </c>
      <c r="I36" s="5" t="s">
        <v>78</v>
      </c>
      <c r="J36" s="15">
        <v>0.50347222222222221</v>
      </c>
      <c r="K36" s="15">
        <v>0.98611111111111116</v>
      </c>
      <c r="L36" s="5" t="s">
        <v>87</v>
      </c>
      <c r="M36" s="5" t="s">
        <v>65</v>
      </c>
      <c r="N36" s="4" t="s">
        <v>163</v>
      </c>
      <c r="O36" s="5"/>
    </row>
    <row r="37" spans="1:15">
      <c r="A37" s="12">
        <v>46182</v>
      </c>
      <c r="B37" s="4">
        <v>33</v>
      </c>
      <c r="C37" s="4">
        <v>509</v>
      </c>
      <c r="D37" s="5" t="s">
        <v>83</v>
      </c>
      <c r="E37" s="4" t="s">
        <v>84</v>
      </c>
      <c r="F37" s="4" t="s">
        <v>76</v>
      </c>
      <c r="G37" s="4" t="s">
        <v>193</v>
      </c>
      <c r="H37" s="4">
        <v>14</v>
      </c>
      <c r="I37" s="5" t="s">
        <v>194</v>
      </c>
      <c r="J37" s="15">
        <v>2.0833333333333332E-2</v>
      </c>
      <c r="K37" s="15">
        <v>1.0416666666666666E-2</v>
      </c>
      <c r="L37" s="5" t="s">
        <v>87</v>
      </c>
      <c r="M37" s="5" t="s">
        <v>65</v>
      </c>
      <c r="N37" s="4" t="s">
        <v>163</v>
      </c>
      <c r="O37" s="5"/>
    </row>
    <row r="38" spans="1:15">
      <c r="A38" s="12">
        <v>46182</v>
      </c>
      <c r="B38" s="4">
        <v>34</v>
      </c>
      <c r="C38" s="4">
        <v>510</v>
      </c>
      <c r="D38" s="5" t="s">
        <v>83</v>
      </c>
      <c r="E38" s="4" t="s">
        <v>84</v>
      </c>
      <c r="F38" s="4" t="s">
        <v>76</v>
      </c>
      <c r="G38" s="4" t="s">
        <v>191</v>
      </c>
      <c r="H38" s="4">
        <v>14</v>
      </c>
      <c r="I38" s="5" t="s">
        <v>192</v>
      </c>
      <c r="J38" s="15">
        <v>2.7777777777777776E-2</v>
      </c>
      <c r="K38" s="15">
        <v>2.2222222222222223E-2</v>
      </c>
      <c r="L38" s="5" t="s">
        <v>87</v>
      </c>
      <c r="M38" s="5" t="s">
        <v>65</v>
      </c>
      <c r="N38" s="4" t="s">
        <v>163</v>
      </c>
      <c r="O38" s="5"/>
    </row>
    <row r="39" spans="1:15">
      <c r="A39" s="12">
        <v>46182</v>
      </c>
      <c r="B39" s="4">
        <v>35</v>
      </c>
      <c r="C39" s="4">
        <v>511</v>
      </c>
      <c r="D39" s="5" t="s">
        <v>83</v>
      </c>
      <c r="E39" s="4" t="s">
        <v>84</v>
      </c>
      <c r="F39" s="4" t="s">
        <v>76</v>
      </c>
      <c r="G39" s="4" t="s">
        <v>89</v>
      </c>
      <c r="H39" s="4">
        <v>14</v>
      </c>
      <c r="I39" s="5" t="s">
        <v>90</v>
      </c>
      <c r="J39" s="15">
        <v>9.7222222222222224E-3</v>
      </c>
      <c r="K39" s="15">
        <v>6.2500000000000003E-3</v>
      </c>
      <c r="L39" s="5" t="s">
        <v>87</v>
      </c>
      <c r="M39" s="5" t="s">
        <v>65</v>
      </c>
      <c r="N39" s="4" t="s">
        <v>163</v>
      </c>
      <c r="O39" s="5"/>
    </row>
    <row r="40" spans="1:15">
      <c r="A40" s="12">
        <v>46182</v>
      </c>
      <c r="B40" s="4">
        <v>36</v>
      </c>
      <c r="C40" s="4">
        <v>512</v>
      </c>
      <c r="D40" s="5" t="s">
        <v>83</v>
      </c>
      <c r="E40" s="4" t="s">
        <v>84</v>
      </c>
      <c r="F40" s="4" t="s">
        <v>76</v>
      </c>
      <c r="G40" s="4" t="s">
        <v>77</v>
      </c>
      <c r="H40" s="4">
        <v>14</v>
      </c>
      <c r="I40" s="5" t="s">
        <v>78</v>
      </c>
      <c r="J40" s="15">
        <v>4.027777777777778E-2</v>
      </c>
      <c r="K40" s="15">
        <v>3.1944444444444442E-2</v>
      </c>
      <c r="L40" s="5" t="s">
        <v>87</v>
      </c>
      <c r="M40" s="5" t="s">
        <v>65</v>
      </c>
      <c r="N40" s="4" t="s">
        <v>163</v>
      </c>
      <c r="O40" s="5"/>
    </row>
    <row r="41" spans="1:15">
      <c r="A41" s="12">
        <v>46182</v>
      </c>
      <c r="B41" s="4">
        <v>37</v>
      </c>
      <c r="C41" s="4">
        <v>513</v>
      </c>
      <c r="D41" s="5" t="s">
        <v>83</v>
      </c>
      <c r="E41" s="4" t="s">
        <v>84</v>
      </c>
      <c r="F41" s="4" t="s">
        <v>76</v>
      </c>
      <c r="G41" s="4" t="s">
        <v>89</v>
      </c>
      <c r="H41" s="4">
        <v>14</v>
      </c>
      <c r="I41" s="5" t="s">
        <v>90</v>
      </c>
      <c r="J41" s="15">
        <v>5.347222222222222E-2</v>
      </c>
      <c r="K41" s="15">
        <v>4.1666666666666664E-2</v>
      </c>
      <c r="L41" s="5" t="s">
        <v>87</v>
      </c>
      <c r="M41" s="5" t="s">
        <v>65</v>
      </c>
      <c r="N41" s="4" t="s">
        <v>163</v>
      </c>
      <c r="O41" s="5"/>
    </row>
    <row r="42" spans="1:15" s="23" customFormat="1">
      <c r="A42" s="19">
        <v>46182</v>
      </c>
      <c r="B42" s="20">
        <v>38</v>
      </c>
      <c r="C42" s="20">
        <v>514</v>
      </c>
      <c r="D42" s="21" t="s">
        <v>83</v>
      </c>
      <c r="E42" s="20" t="s">
        <v>84</v>
      </c>
      <c r="F42" s="20" t="s">
        <v>76</v>
      </c>
      <c r="G42" s="20" t="s">
        <v>193</v>
      </c>
      <c r="H42" s="20">
        <v>14</v>
      </c>
      <c r="I42" s="21" t="s">
        <v>194</v>
      </c>
      <c r="J42" s="22">
        <v>6.25E-2</v>
      </c>
      <c r="K42" s="22">
        <v>5.4166666666666669E-2</v>
      </c>
      <c r="L42" s="21" t="s">
        <v>87</v>
      </c>
      <c r="M42" s="21" t="s">
        <v>65</v>
      </c>
      <c r="N42" s="20" t="s">
        <v>163</v>
      </c>
      <c r="O42" s="21" t="s">
        <v>230</v>
      </c>
    </row>
    <row r="43" spans="1:15">
      <c r="A43" s="12">
        <v>46183</v>
      </c>
      <c r="B43" s="4">
        <v>39</v>
      </c>
      <c r="C43" s="4">
        <v>5438</v>
      </c>
      <c r="D43" s="5" t="s">
        <v>153</v>
      </c>
      <c r="E43" s="4" t="s">
        <v>195</v>
      </c>
      <c r="F43" s="4" t="s">
        <v>76</v>
      </c>
      <c r="G43" s="4" t="s">
        <v>196</v>
      </c>
      <c r="H43" s="4">
        <v>14</v>
      </c>
      <c r="I43" s="5" t="s">
        <v>197</v>
      </c>
      <c r="J43" s="15">
        <v>0.36249999999999999</v>
      </c>
      <c r="K43" s="15">
        <v>0.33333333333333331</v>
      </c>
      <c r="L43" s="5" t="s">
        <v>154</v>
      </c>
      <c r="M43" s="5" t="s">
        <v>198</v>
      </c>
      <c r="N43" s="4"/>
      <c r="O43" s="5"/>
    </row>
    <row r="44" spans="1:15">
      <c r="A44" s="12">
        <v>46183</v>
      </c>
      <c r="B44" s="4">
        <v>40</v>
      </c>
      <c r="C44" s="4">
        <v>5439</v>
      </c>
      <c r="D44" s="5" t="s">
        <v>153</v>
      </c>
      <c r="E44" s="4" t="s">
        <v>195</v>
      </c>
      <c r="F44" s="4" t="s">
        <v>76</v>
      </c>
      <c r="G44" s="4" t="s">
        <v>199</v>
      </c>
      <c r="H44" s="4">
        <v>14</v>
      </c>
      <c r="I44" s="5" t="s">
        <v>200</v>
      </c>
      <c r="J44" s="15"/>
      <c r="K44" s="15">
        <v>0.33333333333333331</v>
      </c>
      <c r="L44" s="5" t="s">
        <v>154</v>
      </c>
      <c r="M44" s="5" t="s">
        <v>198</v>
      </c>
      <c r="N44" s="4"/>
      <c r="O44" s="5"/>
    </row>
    <row r="45" spans="1:15">
      <c r="A45" s="12">
        <v>46183</v>
      </c>
      <c r="B45" s="4">
        <v>41</v>
      </c>
      <c r="C45" s="4">
        <v>5440</v>
      </c>
      <c r="D45" s="5" t="s">
        <v>153</v>
      </c>
      <c r="E45" s="4" t="s">
        <v>195</v>
      </c>
      <c r="F45" s="4" t="s">
        <v>76</v>
      </c>
      <c r="G45" s="4" t="s">
        <v>201</v>
      </c>
      <c r="H45" s="4">
        <v>14</v>
      </c>
      <c r="I45" s="5" t="s">
        <v>202</v>
      </c>
      <c r="J45" s="15">
        <v>0.3888888888888889</v>
      </c>
      <c r="K45" s="15">
        <v>0.375</v>
      </c>
      <c r="L45" s="5" t="s">
        <v>154</v>
      </c>
      <c r="M45" s="5" t="s">
        <v>198</v>
      </c>
      <c r="N45" s="4"/>
      <c r="O45" s="5"/>
    </row>
    <row r="46" spans="1:15">
      <c r="A46" s="12">
        <v>46183</v>
      </c>
      <c r="B46" s="4">
        <v>42</v>
      </c>
      <c r="C46" s="4">
        <v>5441</v>
      </c>
      <c r="D46" s="5" t="s">
        <v>153</v>
      </c>
      <c r="E46" s="4" t="s">
        <v>195</v>
      </c>
      <c r="F46" s="4" t="s">
        <v>76</v>
      </c>
      <c r="G46" s="4" t="s">
        <v>203</v>
      </c>
      <c r="H46" s="4">
        <v>14</v>
      </c>
      <c r="I46" s="5" t="s">
        <v>204</v>
      </c>
      <c r="J46" s="15"/>
      <c r="K46" s="15">
        <v>0.33333333333333331</v>
      </c>
      <c r="L46" s="5" t="s">
        <v>154</v>
      </c>
      <c r="M46" s="5" t="s">
        <v>198</v>
      </c>
      <c r="N46" s="4"/>
      <c r="O46" s="5"/>
    </row>
    <row r="47" spans="1:15">
      <c r="A47" s="12">
        <v>46183</v>
      </c>
      <c r="B47" s="4">
        <v>43</v>
      </c>
      <c r="C47" s="4">
        <v>5442</v>
      </c>
      <c r="D47" s="5" t="s">
        <v>153</v>
      </c>
      <c r="E47" s="4" t="s">
        <v>195</v>
      </c>
      <c r="F47" s="4" t="s">
        <v>76</v>
      </c>
      <c r="G47" s="4" t="s">
        <v>196</v>
      </c>
      <c r="H47" s="4">
        <v>14</v>
      </c>
      <c r="I47" s="5" t="s">
        <v>197</v>
      </c>
      <c r="J47" s="15"/>
      <c r="K47" s="15">
        <v>0.33333333333333331</v>
      </c>
      <c r="L47" s="5" t="s">
        <v>154</v>
      </c>
      <c r="M47" s="5" t="s">
        <v>198</v>
      </c>
      <c r="N47" s="4"/>
      <c r="O47" s="5"/>
    </row>
    <row r="48" spans="1:15">
      <c r="A48" s="12">
        <v>46183</v>
      </c>
      <c r="B48" s="4">
        <v>44</v>
      </c>
      <c r="C48" s="4">
        <v>5443</v>
      </c>
      <c r="D48" s="5" t="s">
        <v>153</v>
      </c>
      <c r="E48" s="4" t="s">
        <v>195</v>
      </c>
      <c r="F48" s="4" t="s">
        <v>76</v>
      </c>
      <c r="G48" s="4" t="s">
        <v>199</v>
      </c>
      <c r="H48" s="4">
        <v>14</v>
      </c>
      <c r="I48" s="5" t="s">
        <v>200</v>
      </c>
      <c r="J48" s="15"/>
      <c r="K48" s="15">
        <v>0.33333333333333331</v>
      </c>
      <c r="L48" s="5" t="s">
        <v>154</v>
      </c>
      <c r="M48" s="5" t="s">
        <v>198</v>
      </c>
      <c r="N48" s="4"/>
      <c r="O48" s="5"/>
    </row>
    <row r="49" spans="1:15">
      <c r="A49" s="12">
        <v>46183</v>
      </c>
      <c r="B49" s="4">
        <v>45</v>
      </c>
      <c r="C49" s="4">
        <v>5444</v>
      </c>
      <c r="D49" s="5" t="s">
        <v>153</v>
      </c>
      <c r="E49" s="4" t="s">
        <v>195</v>
      </c>
      <c r="F49" s="4" t="s">
        <v>76</v>
      </c>
      <c r="G49" s="4" t="s">
        <v>201</v>
      </c>
      <c r="H49" s="4">
        <v>14</v>
      </c>
      <c r="I49" s="5" t="s">
        <v>202</v>
      </c>
      <c r="J49" s="15"/>
      <c r="K49" s="15">
        <v>0.33333333333333331</v>
      </c>
      <c r="L49" s="5" t="s">
        <v>154</v>
      </c>
      <c r="M49" s="5" t="s">
        <v>198</v>
      </c>
      <c r="N49" s="4"/>
      <c r="O49" s="5"/>
    </row>
    <row r="50" spans="1:15">
      <c r="A50" s="12">
        <v>46183</v>
      </c>
      <c r="B50" s="4">
        <v>46</v>
      </c>
      <c r="C50" s="4">
        <v>5445</v>
      </c>
      <c r="D50" s="5" t="s">
        <v>153</v>
      </c>
      <c r="E50" s="4" t="s">
        <v>195</v>
      </c>
      <c r="F50" s="4" t="s">
        <v>76</v>
      </c>
      <c r="G50" s="4" t="s">
        <v>203</v>
      </c>
      <c r="H50" s="4">
        <v>14</v>
      </c>
      <c r="I50" s="5" t="s">
        <v>204</v>
      </c>
      <c r="J50" s="15"/>
      <c r="K50" s="15">
        <v>0.33333333333333331</v>
      </c>
      <c r="L50" s="5" t="s">
        <v>154</v>
      </c>
      <c r="M50" s="5" t="s">
        <v>198</v>
      </c>
      <c r="N50" s="4"/>
      <c r="O50" s="5"/>
    </row>
    <row r="51" spans="1:15">
      <c r="A51" s="12">
        <v>46183</v>
      </c>
      <c r="B51" s="4">
        <v>47</v>
      </c>
      <c r="C51" s="4">
        <v>5446</v>
      </c>
      <c r="D51" s="5" t="s">
        <v>153</v>
      </c>
      <c r="E51" s="4" t="s">
        <v>195</v>
      </c>
      <c r="F51" s="4" t="s">
        <v>76</v>
      </c>
      <c r="G51" s="4" t="s">
        <v>196</v>
      </c>
      <c r="H51" s="4">
        <v>14</v>
      </c>
      <c r="I51" s="5" t="s">
        <v>197</v>
      </c>
      <c r="J51" s="15"/>
      <c r="K51" s="15">
        <v>0.33333333333333331</v>
      </c>
      <c r="L51" s="5" t="s">
        <v>154</v>
      </c>
      <c r="M51" s="5" t="s">
        <v>198</v>
      </c>
      <c r="N51" s="4"/>
      <c r="O51" s="5"/>
    </row>
    <row r="52" spans="1:15">
      <c r="A52" s="12">
        <v>46184</v>
      </c>
      <c r="B52" s="4">
        <v>48</v>
      </c>
      <c r="C52" s="4">
        <v>5448</v>
      </c>
      <c r="D52" s="5" t="s">
        <v>153</v>
      </c>
      <c r="E52" s="4" t="s">
        <v>195</v>
      </c>
      <c r="F52" s="4" t="s">
        <v>76</v>
      </c>
      <c r="G52" s="4" t="s">
        <v>199</v>
      </c>
      <c r="H52" s="4">
        <v>14</v>
      </c>
      <c r="I52" s="5" t="s">
        <v>200</v>
      </c>
      <c r="J52" s="15"/>
      <c r="K52" s="15">
        <v>0.33333333333333331</v>
      </c>
      <c r="L52" s="5" t="s">
        <v>154</v>
      </c>
      <c r="M52" s="5" t="s">
        <v>198</v>
      </c>
      <c r="N52" s="4"/>
      <c r="O52" s="5"/>
    </row>
    <row r="53" spans="1:15">
      <c r="A53" s="12">
        <v>46184</v>
      </c>
      <c r="B53" s="4">
        <v>49</v>
      </c>
      <c r="C53" s="4">
        <v>5449</v>
      </c>
      <c r="D53" s="5" t="s">
        <v>153</v>
      </c>
      <c r="E53" s="4" t="s">
        <v>195</v>
      </c>
      <c r="F53" s="4" t="s">
        <v>76</v>
      </c>
      <c r="G53" s="4" t="s">
        <v>206</v>
      </c>
      <c r="H53" s="4">
        <v>14</v>
      </c>
      <c r="I53" s="5" t="s">
        <v>205</v>
      </c>
      <c r="J53" s="15"/>
      <c r="K53" s="15">
        <v>0.33333333333333331</v>
      </c>
      <c r="L53" s="5" t="s">
        <v>154</v>
      </c>
      <c r="M53" s="5" t="s">
        <v>198</v>
      </c>
      <c r="N53" s="4"/>
      <c r="O53" s="5"/>
    </row>
    <row r="54" spans="1:15">
      <c r="A54" s="12">
        <v>46184</v>
      </c>
      <c r="B54" s="4">
        <v>50</v>
      </c>
      <c r="C54" s="4">
        <v>5450</v>
      </c>
      <c r="D54" s="5" t="s">
        <v>153</v>
      </c>
      <c r="E54" s="4" t="s">
        <v>195</v>
      </c>
      <c r="F54" s="4" t="s">
        <v>76</v>
      </c>
      <c r="G54" s="4" t="s">
        <v>201</v>
      </c>
      <c r="H54" s="4">
        <v>14</v>
      </c>
      <c r="I54" s="5" t="s">
        <v>202</v>
      </c>
      <c r="J54" s="15"/>
      <c r="K54" s="15">
        <v>0.33333333333333331</v>
      </c>
      <c r="L54" s="5" t="s">
        <v>154</v>
      </c>
      <c r="M54" s="5" t="s">
        <v>198</v>
      </c>
      <c r="N54" s="4"/>
      <c r="O54" s="5"/>
    </row>
    <row r="55" spans="1:15">
      <c r="A55" s="12">
        <v>46184</v>
      </c>
      <c r="B55" s="4">
        <v>51</v>
      </c>
      <c r="C55" s="4">
        <v>5802</v>
      </c>
      <c r="D55" s="5" t="s">
        <v>153</v>
      </c>
      <c r="E55" s="4" t="s">
        <v>195</v>
      </c>
      <c r="F55" s="4" t="s">
        <v>76</v>
      </c>
      <c r="G55" s="4" t="s">
        <v>206</v>
      </c>
      <c r="H55" s="4">
        <v>14</v>
      </c>
      <c r="I55" s="5" t="s">
        <v>200</v>
      </c>
      <c r="J55" s="15"/>
      <c r="K55" s="15">
        <v>0.33333333333333331</v>
      </c>
      <c r="L55" s="5" t="s">
        <v>154</v>
      </c>
      <c r="M55" s="5" t="s">
        <v>198</v>
      </c>
      <c r="N55" s="4"/>
      <c r="O55" s="5"/>
    </row>
    <row r="56" spans="1:15">
      <c r="A56" s="12">
        <v>46184</v>
      </c>
      <c r="B56" s="4">
        <v>52</v>
      </c>
      <c r="C56" s="4">
        <v>5803</v>
      </c>
      <c r="D56" s="5" t="s">
        <v>153</v>
      </c>
      <c r="E56" s="4" t="s">
        <v>195</v>
      </c>
      <c r="F56" s="4" t="s">
        <v>76</v>
      </c>
      <c r="G56" s="4" t="s">
        <v>206</v>
      </c>
      <c r="H56" s="4">
        <v>14</v>
      </c>
      <c r="I56" s="5" t="s">
        <v>207</v>
      </c>
      <c r="J56" s="15"/>
      <c r="K56" s="15">
        <v>0.33333333333333331</v>
      </c>
      <c r="L56" s="5" t="s">
        <v>154</v>
      </c>
      <c r="M56" s="5" t="s">
        <v>198</v>
      </c>
      <c r="N56" s="4"/>
      <c r="O56" s="5"/>
    </row>
    <row r="57" spans="1:15">
      <c r="A57" s="12">
        <v>46184</v>
      </c>
      <c r="B57" s="4">
        <v>53</v>
      </c>
      <c r="C57" s="4">
        <v>5804</v>
      </c>
      <c r="D57" s="5" t="s">
        <v>153</v>
      </c>
      <c r="E57" s="4" t="s">
        <v>195</v>
      </c>
      <c r="F57" s="4" t="s">
        <v>76</v>
      </c>
      <c r="G57" s="4" t="s">
        <v>201</v>
      </c>
      <c r="H57" s="4">
        <v>14</v>
      </c>
      <c r="I57" s="5" t="s">
        <v>202</v>
      </c>
      <c r="J57" s="15"/>
      <c r="K57" s="15">
        <v>0.33333333333333331</v>
      </c>
      <c r="L57" s="5" t="s">
        <v>154</v>
      </c>
      <c r="M57" s="5" t="s">
        <v>198</v>
      </c>
      <c r="N57" s="4"/>
      <c r="O57" s="5"/>
    </row>
    <row r="58" spans="1:15">
      <c r="A58" s="12">
        <v>46184</v>
      </c>
      <c r="B58" s="4">
        <v>54</v>
      </c>
      <c r="C58" s="4">
        <v>5805</v>
      </c>
      <c r="D58" s="5" t="s">
        <v>153</v>
      </c>
      <c r="E58" s="4" t="s">
        <v>195</v>
      </c>
      <c r="F58" s="4" t="s">
        <v>76</v>
      </c>
      <c r="G58" s="4" t="s">
        <v>208</v>
      </c>
      <c r="H58" s="4">
        <v>14</v>
      </c>
      <c r="I58" s="5" t="s">
        <v>204</v>
      </c>
      <c r="J58" s="15"/>
      <c r="K58" s="15">
        <v>0.33333333333333331</v>
      </c>
      <c r="L58" s="5" t="s">
        <v>154</v>
      </c>
      <c r="M58" s="5" t="s">
        <v>198</v>
      </c>
      <c r="N58" s="4"/>
      <c r="O58" s="5"/>
    </row>
    <row r="59" spans="1:15">
      <c r="A59" s="12">
        <v>46184</v>
      </c>
      <c r="B59" s="4">
        <v>55</v>
      </c>
      <c r="C59" s="4">
        <v>5806</v>
      </c>
      <c r="D59" s="5" t="s">
        <v>153</v>
      </c>
      <c r="E59" s="4" t="s">
        <v>195</v>
      </c>
      <c r="F59" s="4" t="s">
        <v>76</v>
      </c>
      <c r="G59" s="4" t="s">
        <v>206</v>
      </c>
      <c r="H59" s="4">
        <v>14</v>
      </c>
      <c r="I59" s="5" t="s">
        <v>205</v>
      </c>
      <c r="J59" s="15"/>
      <c r="K59" s="15">
        <v>0.33333333333333331</v>
      </c>
      <c r="L59" s="5" t="s">
        <v>154</v>
      </c>
      <c r="M59" s="5" t="s">
        <v>198</v>
      </c>
      <c r="N59" s="4"/>
      <c r="O59" s="5"/>
    </row>
    <row r="60" spans="1:15">
      <c r="A60" s="12">
        <v>46184</v>
      </c>
      <c r="B60" s="4">
        <v>56</v>
      </c>
      <c r="C60" s="4">
        <v>5807</v>
      </c>
      <c r="D60" s="5" t="s">
        <v>153</v>
      </c>
      <c r="E60" s="4" t="s">
        <v>195</v>
      </c>
      <c r="F60" s="4" t="s">
        <v>76</v>
      </c>
      <c r="G60" s="4" t="s">
        <v>206</v>
      </c>
      <c r="H60" s="4">
        <v>14</v>
      </c>
      <c r="I60" s="5" t="s">
        <v>205</v>
      </c>
      <c r="J60" s="15"/>
      <c r="K60" s="15">
        <v>0.33333333333333331</v>
      </c>
      <c r="L60" s="5" t="s">
        <v>154</v>
      </c>
      <c r="M60" s="5" t="s">
        <v>198</v>
      </c>
      <c r="N60" s="4"/>
      <c r="O60" s="5"/>
    </row>
    <row r="61" spans="1:15">
      <c r="A61" s="12">
        <v>46184</v>
      </c>
      <c r="B61" s="4">
        <v>57</v>
      </c>
      <c r="C61" s="4">
        <v>5801</v>
      </c>
      <c r="D61" s="5" t="s">
        <v>153</v>
      </c>
      <c r="E61" s="4" t="s">
        <v>195</v>
      </c>
      <c r="F61" s="4" t="s">
        <v>76</v>
      </c>
      <c r="G61" s="4" t="s">
        <v>208</v>
      </c>
      <c r="H61" s="4">
        <v>14</v>
      </c>
      <c r="I61" s="5" t="s">
        <v>204</v>
      </c>
      <c r="J61" s="15"/>
      <c r="K61" s="15">
        <v>0.33333333333333331</v>
      </c>
      <c r="L61" s="5" t="s">
        <v>154</v>
      </c>
      <c r="M61" s="5" t="s">
        <v>198</v>
      </c>
      <c r="N61" s="4"/>
      <c r="O61" s="5"/>
    </row>
    <row r="62" spans="1:15" s="28" customFormat="1">
      <c r="A62" s="24">
        <v>46182</v>
      </c>
      <c r="B62" s="25">
        <v>58</v>
      </c>
      <c r="C62" s="25">
        <v>5897</v>
      </c>
      <c r="D62" s="26" t="s">
        <v>83</v>
      </c>
      <c r="E62" s="25" t="s">
        <v>84</v>
      </c>
      <c r="F62" s="25" t="s">
        <v>76</v>
      </c>
      <c r="G62" s="25" t="s">
        <v>193</v>
      </c>
      <c r="H62" s="25">
        <v>14</v>
      </c>
      <c r="I62" s="26" t="s">
        <v>194</v>
      </c>
      <c r="J62" s="27"/>
      <c r="K62" s="27">
        <v>0.40625</v>
      </c>
      <c r="L62" s="26" t="s">
        <v>87</v>
      </c>
      <c r="M62" s="26" t="s">
        <v>65</v>
      </c>
      <c r="N62" s="25"/>
      <c r="O62" s="26" t="s">
        <v>229</v>
      </c>
    </row>
    <row r="63" spans="1:15" s="28" customFormat="1">
      <c r="A63" s="24">
        <v>46182</v>
      </c>
      <c r="B63" s="25">
        <v>59</v>
      </c>
      <c r="C63" s="25">
        <v>508</v>
      </c>
      <c r="D63" s="26" t="s">
        <v>83</v>
      </c>
      <c r="E63" s="25" t="s">
        <v>84</v>
      </c>
      <c r="F63" s="25" t="s">
        <v>76</v>
      </c>
      <c r="G63" s="25" t="s">
        <v>89</v>
      </c>
      <c r="H63" s="25">
        <v>14</v>
      </c>
      <c r="I63" s="26" t="s">
        <v>90</v>
      </c>
      <c r="J63" s="27">
        <v>9.7222222222222224E-3</v>
      </c>
      <c r="K63" s="27">
        <v>6.2500000000000003E-3</v>
      </c>
      <c r="L63" s="26" t="s">
        <v>87</v>
      </c>
      <c r="M63" s="26" t="s">
        <v>65</v>
      </c>
      <c r="N63" s="25"/>
      <c r="O63" s="26" t="s">
        <v>229</v>
      </c>
    </row>
    <row r="64" spans="1:15">
      <c r="A64" s="12">
        <v>46160</v>
      </c>
      <c r="B64" s="4"/>
      <c r="C64" s="4">
        <v>4610</v>
      </c>
      <c r="D64" s="5" t="s">
        <v>259</v>
      </c>
      <c r="E64" s="4" t="s">
        <v>258</v>
      </c>
      <c r="F64" s="4" t="s">
        <v>76</v>
      </c>
      <c r="G64" s="4" t="s">
        <v>298</v>
      </c>
      <c r="H64" s="4">
        <v>14</v>
      </c>
      <c r="I64" s="5" t="s">
        <v>299</v>
      </c>
      <c r="J64" s="15">
        <v>0.25</v>
      </c>
      <c r="K64" s="15">
        <v>0.5</v>
      </c>
      <c r="L64" s="5"/>
      <c r="M64" s="5"/>
      <c r="N64" s="4" t="s">
        <v>163</v>
      </c>
      <c r="O64" s="5"/>
    </row>
    <row r="65" spans="1:15">
      <c r="A65" s="12">
        <v>46160</v>
      </c>
      <c r="B65" s="4"/>
      <c r="C65" s="4">
        <v>4612</v>
      </c>
      <c r="D65" s="5" t="s">
        <v>259</v>
      </c>
      <c r="E65" s="4" t="s">
        <v>258</v>
      </c>
      <c r="F65" s="4" t="s">
        <v>76</v>
      </c>
      <c r="G65" s="4" t="s">
        <v>300</v>
      </c>
      <c r="H65" s="4">
        <v>14</v>
      </c>
      <c r="I65" s="5" t="s">
        <v>301</v>
      </c>
      <c r="J65" s="15">
        <v>0.25694444444444442</v>
      </c>
      <c r="K65" s="15">
        <v>12</v>
      </c>
      <c r="L65" s="5"/>
      <c r="M65" s="5"/>
      <c r="N65" s="4" t="s">
        <v>163</v>
      </c>
      <c r="O65" s="5"/>
    </row>
    <row r="66" spans="1:15">
      <c r="A66" s="12">
        <v>46160</v>
      </c>
      <c r="B66" s="4"/>
      <c r="C66" s="4">
        <v>4609</v>
      </c>
      <c r="D66" s="5" t="s">
        <v>259</v>
      </c>
      <c r="E66" s="4" t="s">
        <v>258</v>
      </c>
      <c r="F66" s="4" t="s">
        <v>76</v>
      </c>
      <c r="G66" s="4" t="s">
        <v>302</v>
      </c>
      <c r="H66" s="4">
        <v>14</v>
      </c>
      <c r="I66" s="5" t="s">
        <v>303</v>
      </c>
      <c r="J66" s="15">
        <v>0.22916666666666666</v>
      </c>
      <c r="K66" s="15">
        <v>0.5</v>
      </c>
      <c r="L66" s="5"/>
      <c r="M66" s="5"/>
      <c r="N66" s="4" t="s">
        <v>163</v>
      </c>
      <c r="O66" s="5"/>
    </row>
    <row r="67" spans="1:15">
      <c r="A67" s="12">
        <v>46160</v>
      </c>
      <c r="B67" s="4"/>
      <c r="C67" s="4">
        <v>4608</v>
      </c>
      <c r="D67" s="5" t="s">
        <v>259</v>
      </c>
      <c r="E67" s="4" t="s">
        <v>258</v>
      </c>
      <c r="F67" s="4" t="s">
        <v>76</v>
      </c>
      <c r="G67" s="4" t="s">
        <v>270</v>
      </c>
      <c r="H67" s="4">
        <v>14</v>
      </c>
      <c r="I67" s="5" t="s">
        <v>271</v>
      </c>
      <c r="J67" s="15">
        <v>0.67638888888888893</v>
      </c>
      <c r="K67" s="15">
        <v>0.5</v>
      </c>
      <c r="L67" s="5"/>
      <c r="M67" s="5"/>
      <c r="N67" s="4" t="s">
        <v>163</v>
      </c>
      <c r="O67" s="5"/>
    </row>
    <row r="68" spans="1:15">
      <c r="A68" s="12">
        <v>46160</v>
      </c>
      <c r="B68" s="4"/>
      <c r="C68" s="4">
        <v>4907</v>
      </c>
      <c r="D68" s="5" t="s">
        <v>259</v>
      </c>
      <c r="E68" s="4" t="s">
        <v>258</v>
      </c>
      <c r="F68" s="4" t="s">
        <v>76</v>
      </c>
      <c r="G68" s="4" t="s">
        <v>298</v>
      </c>
      <c r="H68" s="4">
        <v>14</v>
      </c>
      <c r="I68" s="5" t="s">
        <v>299</v>
      </c>
      <c r="J68" s="15">
        <v>0.66319444444444442</v>
      </c>
      <c r="K68" s="15">
        <v>0.5</v>
      </c>
      <c r="L68" s="5"/>
      <c r="M68" s="5"/>
      <c r="N68" s="4" t="s">
        <v>163</v>
      </c>
      <c r="O68" s="5"/>
    </row>
    <row r="69" spans="1:15">
      <c r="A69" s="12">
        <v>46160</v>
      </c>
      <c r="B69" s="4"/>
      <c r="C69" s="4">
        <v>4606</v>
      </c>
      <c r="D69" s="5" t="s">
        <v>259</v>
      </c>
      <c r="E69" s="4" t="s">
        <v>258</v>
      </c>
      <c r="F69" s="4" t="s">
        <v>76</v>
      </c>
      <c r="G69" s="4" t="s">
        <v>304</v>
      </c>
      <c r="H69" s="4">
        <v>14</v>
      </c>
      <c r="I69" s="5" t="s">
        <v>303</v>
      </c>
      <c r="J69" s="15">
        <v>0.58333333333333337</v>
      </c>
      <c r="K69" s="15">
        <v>0.5</v>
      </c>
      <c r="L69" s="5"/>
      <c r="M69" s="5"/>
      <c r="N69" s="4" t="s">
        <v>163</v>
      </c>
      <c r="O69" s="5"/>
    </row>
    <row r="70" spans="1:15">
      <c r="A70" s="12">
        <v>46160</v>
      </c>
      <c r="B70" s="4"/>
      <c r="C70" s="4">
        <v>4605</v>
      </c>
      <c r="D70" s="5" t="s">
        <v>259</v>
      </c>
      <c r="E70" s="4" t="s">
        <v>258</v>
      </c>
      <c r="F70" s="4" t="s">
        <v>76</v>
      </c>
      <c r="G70" s="4" t="s">
        <v>270</v>
      </c>
      <c r="H70" s="4">
        <v>14</v>
      </c>
      <c r="I70" s="5" t="s">
        <v>271</v>
      </c>
      <c r="J70" s="15">
        <v>0.60277777777777775</v>
      </c>
      <c r="K70" s="15">
        <v>0.5</v>
      </c>
      <c r="L70" s="5"/>
      <c r="M70" s="5"/>
      <c r="N70" s="4" t="s">
        <v>163</v>
      </c>
      <c r="O70" s="5"/>
    </row>
    <row r="71" spans="1:15">
      <c r="A71" s="12">
        <v>46160</v>
      </c>
      <c r="B71" s="4"/>
      <c r="C71" s="4">
        <v>4604</v>
      </c>
      <c r="D71" s="5" t="s">
        <v>259</v>
      </c>
      <c r="E71" s="4" t="s">
        <v>258</v>
      </c>
      <c r="F71" s="4" t="s">
        <v>76</v>
      </c>
      <c r="G71" s="4" t="s">
        <v>302</v>
      </c>
      <c r="H71" s="4">
        <v>14</v>
      </c>
      <c r="I71" s="5" t="s">
        <v>303</v>
      </c>
      <c r="J71" s="15">
        <v>0.58333333333333337</v>
      </c>
      <c r="K71" s="15">
        <v>0.5</v>
      </c>
      <c r="L71" s="5"/>
      <c r="M71" s="5"/>
      <c r="N71" s="4" t="s">
        <v>163</v>
      </c>
      <c r="O71" s="5"/>
    </row>
    <row r="72" spans="1:15">
      <c r="A72" s="12">
        <v>46162</v>
      </c>
      <c r="B72" s="4"/>
      <c r="C72" s="4">
        <v>4629</v>
      </c>
      <c r="D72" s="5" t="s">
        <v>259</v>
      </c>
      <c r="E72" s="4" t="s">
        <v>258</v>
      </c>
      <c r="F72" s="4" t="s">
        <v>76</v>
      </c>
      <c r="G72" s="4" t="s">
        <v>305</v>
      </c>
      <c r="H72" s="4">
        <v>14</v>
      </c>
      <c r="I72" s="5" t="s">
        <v>192</v>
      </c>
      <c r="J72" s="15">
        <v>0.54166666666666663</v>
      </c>
      <c r="K72" s="15">
        <v>0.625</v>
      </c>
      <c r="L72" s="5"/>
      <c r="M72" s="5"/>
      <c r="N72" s="4" t="s">
        <v>163</v>
      </c>
      <c r="O72" s="5"/>
    </row>
    <row r="73" spans="1:15">
      <c r="A73" s="12">
        <v>46162</v>
      </c>
      <c r="B73" s="4"/>
      <c r="C73" s="4">
        <v>4626</v>
      </c>
      <c r="D73" s="5" t="s">
        <v>259</v>
      </c>
      <c r="E73" s="4" t="s">
        <v>258</v>
      </c>
      <c r="F73" s="4" t="s">
        <v>76</v>
      </c>
      <c r="G73" s="4" t="s">
        <v>306</v>
      </c>
      <c r="H73" s="4">
        <v>14</v>
      </c>
      <c r="I73" s="5" t="s">
        <v>214</v>
      </c>
      <c r="J73" s="15"/>
      <c r="K73" s="15"/>
      <c r="L73" s="5"/>
      <c r="M73" s="5"/>
      <c r="N73" s="4" t="s">
        <v>163</v>
      </c>
      <c r="O73" s="5"/>
    </row>
    <row r="74" spans="1:15">
      <c r="A74" s="12">
        <v>46162</v>
      </c>
      <c r="B74" s="4"/>
      <c r="C74" s="4">
        <v>4625</v>
      </c>
      <c r="D74" s="5" t="s">
        <v>259</v>
      </c>
      <c r="E74" s="4" t="s">
        <v>258</v>
      </c>
      <c r="F74" s="4" t="s">
        <v>76</v>
      </c>
      <c r="G74" s="4" t="s">
        <v>307</v>
      </c>
      <c r="H74" s="4">
        <v>14</v>
      </c>
      <c r="I74" s="5" t="s">
        <v>78</v>
      </c>
      <c r="J74" s="15">
        <v>0.73750000000000004</v>
      </c>
      <c r="K74" s="15">
        <v>0.33333333333333331</v>
      </c>
      <c r="L74" s="5"/>
      <c r="M74" s="5"/>
      <c r="N74" s="4" t="s">
        <v>163</v>
      </c>
      <c r="O74" s="5"/>
    </row>
    <row r="75" spans="1:15">
      <c r="A75" s="12">
        <v>46162</v>
      </c>
      <c r="B75" s="4"/>
      <c r="C75" s="4">
        <v>4623</v>
      </c>
      <c r="D75" s="5" t="s">
        <v>259</v>
      </c>
      <c r="E75" s="4" t="s">
        <v>258</v>
      </c>
      <c r="F75" s="4" t="s">
        <v>76</v>
      </c>
      <c r="G75" s="4" t="s">
        <v>272</v>
      </c>
      <c r="H75" s="4">
        <v>14</v>
      </c>
      <c r="I75" s="5"/>
      <c r="J75" s="15">
        <v>0.70833333333333337</v>
      </c>
      <c r="K75" s="15">
        <v>0.33333333333333331</v>
      </c>
      <c r="L75" s="5"/>
      <c r="M75" s="5"/>
      <c r="N75" s="4" t="s">
        <v>163</v>
      </c>
      <c r="O75" s="5"/>
    </row>
    <row r="76" spans="1:15">
      <c r="A76" s="12">
        <v>46161</v>
      </c>
      <c r="B76" s="4"/>
      <c r="C76" s="4">
        <v>4621</v>
      </c>
      <c r="D76" s="5" t="s">
        <v>259</v>
      </c>
      <c r="E76" s="4" t="s">
        <v>258</v>
      </c>
      <c r="F76" s="4" t="s">
        <v>76</v>
      </c>
      <c r="G76" s="4">
        <v>2601301</v>
      </c>
      <c r="H76" s="4">
        <v>14</v>
      </c>
      <c r="I76" s="5" t="s">
        <v>90</v>
      </c>
      <c r="J76" s="15">
        <v>0.70833333333333337</v>
      </c>
      <c r="K76" s="15">
        <v>0.33333333333333331</v>
      </c>
      <c r="L76" s="5"/>
      <c r="M76" s="5"/>
      <c r="N76" s="4" t="s">
        <v>163</v>
      </c>
      <c r="O76" s="5"/>
    </row>
    <row r="77" spans="1:15">
      <c r="A77" s="12">
        <v>46161</v>
      </c>
      <c r="B77" s="4"/>
      <c r="C77" s="4">
        <v>4620</v>
      </c>
      <c r="D77" s="5" t="s">
        <v>259</v>
      </c>
      <c r="E77" s="4" t="s">
        <v>258</v>
      </c>
      <c r="F77" s="4" t="s">
        <v>76</v>
      </c>
      <c r="G77" s="4" t="s">
        <v>270</v>
      </c>
      <c r="H77" s="4">
        <v>14</v>
      </c>
      <c r="I77" s="5" t="s">
        <v>271</v>
      </c>
      <c r="J77" s="15">
        <v>0.66666666666666663</v>
      </c>
      <c r="K77" s="15">
        <v>0.33333333333333331</v>
      </c>
      <c r="L77" s="5"/>
      <c r="M77" s="5"/>
      <c r="N77" s="4" t="s">
        <v>163</v>
      </c>
      <c r="O77" s="5"/>
    </row>
    <row r="78" spans="1:15">
      <c r="A78" s="12">
        <v>46161</v>
      </c>
      <c r="B78" s="4"/>
      <c r="C78" s="4">
        <v>4619</v>
      </c>
      <c r="D78" s="5" t="s">
        <v>259</v>
      </c>
      <c r="E78" s="4" t="s">
        <v>258</v>
      </c>
      <c r="F78" s="4" t="s">
        <v>76</v>
      </c>
      <c r="G78" s="4" t="s">
        <v>307</v>
      </c>
      <c r="H78" s="4">
        <v>14</v>
      </c>
      <c r="I78" s="5" t="s">
        <v>78</v>
      </c>
      <c r="J78" s="15">
        <v>0.65625</v>
      </c>
      <c r="K78" s="15">
        <v>0.33333333333333331</v>
      </c>
      <c r="L78" s="5"/>
      <c r="M78" s="5"/>
      <c r="N78" s="4" t="s">
        <v>163</v>
      </c>
      <c r="O78" s="5"/>
    </row>
    <row r="79" spans="1:15">
      <c r="A79" s="12">
        <v>46161</v>
      </c>
      <c r="B79" s="4"/>
      <c r="C79" s="4">
        <v>4618</v>
      </c>
      <c r="D79" s="5" t="s">
        <v>259</v>
      </c>
      <c r="E79" s="4" t="s">
        <v>258</v>
      </c>
      <c r="F79" s="4" t="s">
        <v>76</v>
      </c>
      <c r="G79" s="4" t="s">
        <v>308</v>
      </c>
      <c r="H79" s="4">
        <v>14</v>
      </c>
      <c r="I79" s="5" t="s">
        <v>95</v>
      </c>
      <c r="J79" s="15">
        <v>0.64583333333333337</v>
      </c>
      <c r="K79" s="15">
        <v>0.33333333333333331</v>
      </c>
      <c r="L79" s="5"/>
      <c r="M79" s="5"/>
      <c r="N79" s="4" t="s">
        <v>163</v>
      </c>
      <c r="O79" s="5"/>
    </row>
    <row r="80" spans="1:15">
      <c r="A80" s="12">
        <v>46161</v>
      </c>
      <c r="B80" s="4"/>
      <c r="C80" s="4">
        <v>4617</v>
      </c>
      <c r="D80" s="5" t="s">
        <v>259</v>
      </c>
      <c r="E80" s="4" t="s">
        <v>258</v>
      </c>
      <c r="F80" s="4" t="s">
        <v>76</v>
      </c>
      <c r="G80" s="4" t="s">
        <v>302</v>
      </c>
      <c r="H80" s="4">
        <v>14</v>
      </c>
      <c r="I80" s="5" t="s">
        <v>303</v>
      </c>
      <c r="J80" s="15">
        <v>0.60138888888888886</v>
      </c>
      <c r="K80" s="15">
        <v>0.33333333333333331</v>
      </c>
      <c r="L80" s="5"/>
      <c r="M80" s="5"/>
      <c r="N80" s="4" t="s">
        <v>163</v>
      </c>
      <c r="O80" s="5"/>
    </row>
    <row r="81" spans="1:15">
      <c r="A81" s="12">
        <v>46161</v>
      </c>
      <c r="B81" s="4"/>
      <c r="C81" s="4">
        <v>4616</v>
      </c>
      <c r="D81" s="5" t="s">
        <v>259</v>
      </c>
      <c r="E81" s="4" t="s">
        <v>258</v>
      </c>
      <c r="F81" s="4" t="s">
        <v>76</v>
      </c>
      <c r="G81" s="4" t="s">
        <v>270</v>
      </c>
      <c r="H81" s="4">
        <v>14</v>
      </c>
      <c r="I81" s="5" t="s">
        <v>271</v>
      </c>
      <c r="J81" s="15">
        <v>0.54166666666666663</v>
      </c>
      <c r="K81" s="15">
        <v>0.33333333333333331</v>
      </c>
      <c r="L81" s="5"/>
      <c r="M81" s="5"/>
      <c r="N81" s="4" t="s">
        <v>163</v>
      </c>
      <c r="O81" s="5"/>
    </row>
    <row r="82" spans="1:15">
      <c r="A82" s="12">
        <v>46161</v>
      </c>
      <c r="B82" s="4"/>
      <c r="C82" s="4">
        <v>4615</v>
      </c>
      <c r="D82" s="5" t="s">
        <v>259</v>
      </c>
      <c r="E82" s="4" t="s">
        <v>258</v>
      </c>
      <c r="F82" s="4" t="s">
        <v>76</v>
      </c>
      <c r="G82" s="4" t="s">
        <v>307</v>
      </c>
      <c r="H82" s="4">
        <v>14</v>
      </c>
      <c r="I82" s="5" t="s">
        <v>78</v>
      </c>
      <c r="J82" s="15">
        <v>0.51041666666666663</v>
      </c>
      <c r="K82" s="15">
        <v>0.33333333333333331</v>
      </c>
      <c r="L82" s="5"/>
      <c r="M82" s="5"/>
      <c r="N82" s="4" t="s">
        <v>163</v>
      </c>
      <c r="O82" s="5"/>
    </row>
    <row r="83" spans="1:15">
      <c r="A83" s="12">
        <v>46161</v>
      </c>
      <c r="B83" s="4"/>
      <c r="C83" s="4">
        <v>4614</v>
      </c>
      <c r="D83" s="5" t="s">
        <v>259</v>
      </c>
      <c r="E83" s="4" t="s">
        <v>258</v>
      </c>
      <c r="F83" s="4" t="s">
        <v>76</v>
      </c>
      <c r="G83" s="4" t="s">
        <v>308</v>
      </c>
      <c r="H83" s="4">
        <v>14</v>
      </c>
      <c r="I83" s="5" t="s">
        <v>95</v>
      </c>
      <c r="J83" s="15">
        <v>0.4861111111111111</v>
      </c>
      <c r="K83" s="15">
        <v>0.33333333333333331</v>
      </c>
      <c r="L83" s="5"/>
      <c r="M83" s="5"/>
      <c r="N83" s="4" t="s">
        <v>163</v>
      </c>
      <c r="O83" s="5"/>
    </row>
    <row r="84" spans="1:15">
      <c r="A84" s="12">
        <v>46161</v>
      </c>
      <c r="B84" s="4"/>
      <c r="C84" s="4">
        <v>4613</v>
      </c>
      <c r="D84" s="5" t="s">
        <v>259</v>
      </c>
      <c r="E84" s="4" t="s">
        <v>258</v>
      </c>
      <c r="F84" s="4" t="s">
        <v>76</v>
      </c>
      <c r="G84" s="4" t="s">
        <v>302</v>
      </c>
      <c r="H84" s="4">
        <v>14</v>
      </c>
      <c r="I84" s="5" t="s">
        <v>303</v>
      </c>
      <c r="J84" s="15">
        <v>0.45833333333333331</v>
      </c>
      <c r="K84" s="15">
        <v>0.33333333333333331</v>
      </c>
      <c r="L84" s="5"/>
      <c r="M84" s="5"/>
      <c r="N84" s="4" t="s">
        <v>163</v>
      </c>
      <c r="O84" s="5"/>
    </row>
    <row r="85" spans="1:15">
      <c r="A85" s="12">
        <v>46163</v>
      </c>
      <c r="B85" s="4"/>
      <c r="C85" s="4">
        <v>4630</v>
      </c>
      <c r="D85" s="5" t="s">
        <v>259</v>
      </c>
      <c r="E85" s="4" t="s">
        <v>258</v>
      </c>
      <c r="F85" s="4" t="s">
        <v>76</v>
      </c>
      <c r="G85" s="4" t="s">
        <v>307</v>
      </c>
      <c r="H85" s="4">
        <v>14</v>
      </c>
      <c r="I85" s="5" t="s">
        <v>78</v>
      </c>
      <c r="J85" s="15">
        <v>0.5625</v>
      </c>
      <c r="K85" s="15">
        <v>0.33333333333333331</v>
      </c>
      <c r="L85" s="5"/>
      <c r="M85" s="5"/>
      <c r="N85" s="4" t="s">
        <v>163</v>
      </c>
      <c r="O85" s="5"/>
    </row>
    <row r="86" spans="1:15">
      <c r="A86" s="12">
        <v>46163</v>
      </c>
      <c r="B86" s="4"/>
      <c r="C86" s="4">
        <v>4631</v>
      </c>
      <c r="D86" s="5" t="s">
        <v>259</v>
      </c>
      <c r="E86" s="4" t="s">
        <v>258</v>
      </c>
      <c r="F86" s="4" t="s">
        <v>76</v>
      </c>
      <c r="G86" s="4" t="s">
        <v>272</v>
      </c>
      <c r="H86" s="4">
        <v>14</v>
      </c>
      <c r="I86" s="5" t="s">
        <v>262</v>
      </c>
      <c r="J86" s="15">
        <v>0.5625</v>
      </c>
      <c r="K86" s="15">
        <v>0.33333333333333331</v>
      </c>
      <c r="L86" s="5"/>
      <c r="M86" s="5"/>
      <c r="N86" s="4" t="s">
        <v>163</v>
      </c>
      <c r="O86" s="5"/>
    </row>
    <row r="87" spans="1:15">
      <c r="A87" s="12">
        <v>46165</v>
      </c>
      <c r="B87" s="4"/>
      <c r="C87" s="4">
        <v>4857</v>
      </c>
      <c r="D87" s="5"/>
      <c r="E87" s="4" t="s">
        <v>258</v>
      </c>
      <c r="F87" s="4" t="s">
        <v>309</v>
      </c>
      <c r="G87" s="4" t="s">
        <v>280</v>
      </c>
      <c r="H87" s="4">
        <v>14</v>
      </c>
      <c r="I87" s="5" t="s">
        <v>310</v>
      </c>
      <c r="J87" s="15">
        <v>0.625</v>
      </c>
      <c r="K87" s="15">
        <v>0.29166666666666669</v>
      </c>
      <c r="L87" s="5"/>
      <c r="M87" s="5"/>
      <c r="N87" s="4" t="s">
        <v>163</v>
      </c>
      <c r="O87" s="5"/>
    </row>
    <row r="88" spans="1:15">
      <c r="A88" s="12">
        <v>46165</v>
      </c>
      <c r="B88" s="4"/>
      <c r="C88" s="4">
        <v>4858</v>
      </c>
      <c r="D88" s="5"/>
      <c r="E88" s="4" t="s">
        <v>258</v>
      </c>
      <c r="F88" s="4" t="s">
        <v>309</v>
      </c>
      <c r="G88" s="4" t="s">
        <v>270</v>
      </c>
      <c r="H88" s="4">
        <v>14</v>
      </c>
      <c r="I88" s="5" t="s">
        <v>271</v>
      </c>
      <c r="J88" s="15">
        <v>0.625</v>
      </c>
      <c r="K88" s="15">
        <v>0.29166666666666669</v>
      </c>
      <c r="L88" s="5"/>
      <c r="M88" s="5"/>
      <c r="N88" s="4" t="s">
        <v>163</v>
      </c>
      <c r="O88" s="5"/>
    </row>
    <row r="89" spans="1:15">
      <c r="A89" s="12">
        <v>46165</v>
      </c>
      <c r="B89" s="4"/>
      <c r="C89" s="4">
        <v>4859</v>
      </c>
      <c r="D89" s="5"/>
      <c r="E89" s="4" t="s">
        <v>258</v>
      </c>
      <c r="F89" s="4" t="s">
        <v>309</v>
      </c>
      <c r="G89" s="4" t="s">
        <v>305</v>
      </c>
      <c r="H89" s="4">
        <v>14</v>
      </c>
      <c r="I89" s="5" t="s">
        <v>192</v>
      </c>
      <c r="J89" s="15">
        <v>0.625</v>
      </c>
      <c r="K89" s="15">
        <v>0.29166666666666669</v>
      </c>
      <c r="L89" s="5"/>
      <c r="M89" s="5"/>
      <c r="N89" s="4" t="s">
        <v>163</v>
      </c>
      <c r="O89" s="5"/>
    </row>
    <row r="90" spans="1:15">
      <c r="A90" s="12">
        <v>46165</v>
      </c>
      <c r="B90" s="4"/>
      <c r="C90" s="4">
        <v>4860</v>
      </c>
      <c r="D90" s="5"/>
      <c r="E90" s="4" t="s">
        <v>258</v>
      </c>
      <c r="F90" s="4" t="s">
        <v>309</v>
      </c>
      <c r="G90" s="4" t="s">
        <v>307</v>
      </c>
      <c r="H90" s="4">
        <v>14</v>
      </c>
      <c r="I90" s="5" t="s">
        <v>78</v>
      </c>
      <c r="J90" s="15">
        <v>0.625</v>
      </c>
      <c r="K90" s="15">
        <v>0.29166666666666669</v>
      </c>
      <c r="L90" s="5"/>
      <c r="M90" s="5"/>
      <c r="N90" s="4" t="s">
        <v>163</v>
      </c>
      <c r="O90" s="5"/>
    </row>
    <row r="91" spans="1:15">
      <c r="A91" s="4"/>
      <c r="B91" s="4"/>
      <c r="C91" s="4"/>
      <c r="D91" s="5"/>
      <c r="E91" s="4"/>
      <c r="F91" s="4"/>
      <c r="G91" s="4"/>
      <c r="H91" s="4"/>
      <c r="I91" s="5"/>
      <c r="J91" s="15"/>
      <c r="K91" s="15"/>
      <c r="L91" s="5"/>
      <c r="M91" s="5"/>
      <c r="N91" s="4"/>
      <c r="O91" s="5"/>
    </row>
    <row r="92" spans="1:15">
      <c r="A92" s="4"/>
      <c r="B92" s="4"/>
      <c r="C92" s="4"/>
      <c r="D92" s="5"/>
      <c r="E92" s="4"/>
      <c r="F92" s="4"/>
      <c r="G92" s="4"/>
      <c r="H92" s="4"/>
      <c r="I92" s="5"/>
      <c r="J92" s="15"/>
      <c r="K92" s="15"/>
      <c r="L92" s="5"/>
      <c r="M92" s="5"/>
      <c r="N92" s="4"/>
      <c r="O92" s="5"/>
    </row>
    <row r="93" spans="1:15">
      <c r="A93" s="4"/>
      <c r="B93" s="4"/>
      <c r="C93" s="4"/>
      <c r="D93" s="5"/>
      <c r="E93" s="4"/>
      <c r="F93" s="4"/>
      <c r="G93" s="4"/>
      <c r="H93" s="4"/>
      <c r="I93" s="5"/>
      <c r="J93" s="15"/>
      <c r="K93" s="15"/>
      <c r="L93" s="5"/>
      <c r="M93" s="5"/>
      <c r="N93" s="4"/>
      <c r="O93" s="5"/>
    </row>
    <row r="94" spans="1:15">
      <c r="A94" s="4"/>
      <c r="B94" s="4"/>
      <c r="C94" s="4"/>
      <c r="D94" s="5"/>
      <c r="E94" s="4"/>
      <c r="F94" s="4"/>
      <c r="G94" s="4"/>
      <c r="H94" s="4"/>
      <c r="I94" s="5"/>
      <c r="J94" s="15"/>
      <c r="K94" s="15"/>
      <c r="L94" s="5"/>
      <c r="M94" s="5"/>
      <c r="N94" s="4"/>
      <c r="O94" s="5"/>
    </row>
    <row r="95" spans="1:15">
      <c r="A95" s="4"/>
      <c r="B95" s="4"/>
      <c r="C95" s="4"/>
      <c r="D95" s="5"/>
      <c r="E95" s="4"/>
      <c r="F95" s="4"/>
      <c r="G95" s="4"/>
      <c r="H95" s="4"/>
      <c r="I95" s="5"/>
      <c r="J95" s="15"/>
      <c r="K95" s="15"/>
      <c r="L95" s="5"/>
      <c r="M95" s="5"/>
      <c r="N95" s="4"/>
      <c r="O95" s="5"/>
    </row>
    <row r="96" spans="1:15">
      <c r="A96" s="4"/>
      <c r="B96" s="4"/>
      <c r="C96" s="4"/>
      <c r="D96" s="5"/>
      <c r="E96" s="4"/>
      <c r="F96" s="4"/>
      <c r="G96" s="4"/>
      <c r="H96" s="4"/>
      <c r="I96" s="5"/>
      <c r="J96" s="15"/>
      <c r="K96" s="15"/>
      <c r="L96" s="5"/>
      <c r="M96" s="5"/>
      <c r="N96" s="4"/>
      <c r="O96" s="5"/>
    </row>
    <row r="97" spans="1:15">
      <c r="A97" s="4"/>
      <c r="B97" s="4"/>
      <c r="C97" s="4"/>
      <c r="D97" s="5"/>
      <c r="E97" s="4"/>
      <c r="F97" s="4"/>
      <c r="G97" s="4"/>
      <c r="H97" s="4"/>
      <c r="I97" s="5"/>
      <c r="J97" s="15"/>
      <c r="K97" s="15"/>
      <c r="L97" s="5"/>
      <c r="M97" s="5"/>
      <c r="N97" s="4"/>
      <c r="O97" s="5"/>
    </row>
    <row r="98" spans="1:15">
      <c r="A98" s="4"/>
      <c r="B98" s="4"/>
      <c r="C98" s="4"/>
      <c r="D98" s="5"/>
      <c r="E98" s="4"/>
      <c r="F98" s="4"/>
      <c r="G98" s="4"/>
      <c r="H98" s="4"/>
      <c r="I98" s="5"/>
      <c r="J98" s="15"/>
      <c r="K98" s="15"/>
      <c r="L98" s="5"/>
      <c r="M98" s="5"/>
      <c r="N98" s="4"/>
      <c r="O98" s="5"/>
    </row>
    <row r="99" spans="1:15">
      <c r="A99" s="4"/>
      <c r="B99" s="4"/>
      <c r="C99" s="4"/>
      <c r="D99" s="5"/>
      <c r="E99" s="4"/>
      <c r="F99" s="4"/>
      <c r="G99" s="4"/>
      <c r="H99" s="4"/>
      <c r="I99" s="5"/>
      <c r="J99" s="15"/>
      <c r="K99" s="15"/>
      <c r="L99" s="5"/>
      <c r="M99" s="5"/>
      <c r="N99" s="4"/>
      <c r="O99" s="5"/>
    </row>
    <row r="100" spans="1:15">
      <c r="A100" s="4"/>
      <c r="B100" s="4"/>
      <c r="C100" s="4"/>
      <c r="D100" s="5"/>
      <c r="E100" s="4"/>
      <c r="F100" s="4"/>
      <c r="G100" s="4"/>
      <c r="H100" s="4"/>
      <c r="I100" s="5"/>
      <c r="J100" s="15"/>
      <c r="K100" s="15"/>
      <c r="L100" s="5"/>
      <c r="M100" s="5"/>
      <c r="N100" s="4"/>
      <c r="O100" s="5"/>
    </row>
    <row r="101" spans="1:15">
      <c r="A101" s="4"/>
      <c r="B101" s="4"/>
      <c r="C101" s="4"/>
      <c r="D101" s="5"/>
      <c r="E101" s="4"/>
      <c r="F101" s="4"/>
      <c r="G101" s="4"/>
      <c r="H101" s="4"/>
      <c r="I101" s="5"/>
      <c r="J101" s="15"/>
      <c r="K101" s="15"/>
      <c r="L101" s="5"/>
      <c r="M101" s="5"/>
      <c r="N101" s="4"/>
      <c r="O101" s="5"/>
    </row>
    <row r="102" spans="1:15">
      <c r="A102" s="4"/>
      <c r="B102" s="4"/>
      <c r="C102" s="4"/>
      <c r="D102" s="5"/>
      <c r="E102" s="4"/>
      <c r="F102" s="4"/>
      <c r="G102" s="4"/>
      <c r="H102" s="4"/>
      <c r="I102" s="5"/>
      <c r="J102" s="15"/>
      <c r="K102" s="15"/>
      <c r="L102" s="5"/>
      <c r="M102" s="5"/>
      <c r="N102" s="4"/>
      <c r="O102" s="5"/>
    </row>
    <row r="103" spans="1:15">
      <c r="A103" s="4"/>
      <c r="B103" s="4"/>
      <c r="C103" s="4"/>
      <c r="D103" s="5"/>
      <c r="E103" s="4"/>
      <c r="F103" s="4"/>
      <c r="G103" s="4"/>
      <c r="H103" s="4"/>
      <c r="I103" s="5"/>
      <c r="J103" s="15"/>
      <c r="K103" s="15"/>
      <c r="L103" s="5"/>
      <c r="M103" s="5"/>
      <c r="N103" s="4"/>
      <c r="O103" s="5"/>
    </row>
    <row r="104" spans="1:15">
      <c r="A104" s="4"/>
      <c r="B104" s="4"/>
      <c r="C104" s="4"/>
      <c r="D104" s="5"/>
      <c r="E104" s="4"/>
      <c r="F104" s="4"/>
      <c r="G104" s="4"/>
      <c r="H104" s="4"/>
      <c r="I104" s="5"/>
      <c r="J104" s="15"/>
      <c r="K104" s="15"/>
      <c r="L104" s="5"/>
      <c r="M104" s="5"/>
      <c r="N104" s="4"/>
      <c r="O104" s="5"/>
    </row>
    <row r="105" spans="1:15">
      <c r="A105" s="4"/>
      <c r="B105" s="4"/>
      <c r="C105" s="4"/>
      <c r="D105" s="5"/>
      <c r="E105" s="4"/>
      <c r="F105" s="4"/>
      <c r="G105" s="4"/>
      <c r="H105" s="4"/>
      <c r="I105" s="5"/>
      <c r="J105" s="15"/>
      <c r="K105" s="15"/>
      <c r="L105" s="5"/>
      <c r="M105" s="5"/>
      <c r="N105" s="4"/>
      <c r="O105" s="5"/>
    </row>
  </sheetData>
  <mergeCells count="1">
    <mergeCell ref="A1:O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E1029AB-B51F-451B-A7F8-A46F50D3E4FE}">
          <x14:formula1>
            <xm:f>Catalogos!$B$4:$B$25</xm:f>
          </x14:formula1>
          <xm:sqref>D5:D1048576</xm:sqref>
        </x14:dataValidation>
        <x14:dataValidation type="list" allowBlank="1" showInputMessage="1" showErrorMessage="1" xr:uid="{5DB2BB26-23C6-4B4F-807F-49421F0433EC}">
          <x14:formula1>
            <xm:f>Catalogos!$C$4:$C$8</xm:f>
          </x14:formula1>
          <xm:sqref>L1:L1048576</xm:sqref>
        </x14:dataValidation>
        <x14:dataValidation type="list" allowBlank="1" showInputMessage="1" showErrorMessage="1" xr:uid="{C2157C9D-C872-48B6-BAB4-F849F20E0FC7}">
          <x14:formula1>
            <xm:f>Catalogos!$L$4:$L$25</xm:f>
          </x14:formula1>
          <xm:sqref>E4:E1048576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"/>
  <sheetViews>
    <sheetView showGridLines="0" topLeftCell="G1" workbookViewId="0">
      <selection activeCell="K6" sqref="K6"/>
    </sheetView>
  </sheetViews>
  <sheetFormatPr baseColWidth="10" defaultColWidth="8.88671875" defaultRowHeight="14.4"/>
  <cols>
    <col min="1" max="1" width="15.6640625" customWidth="1"/>
    <col min="2" max="3" width="25.6640625" customWidth="1"/>
    <col min="4" max="4" width="5.6640625" customWidth="1"/>
    <col min="5" max="5" width="15.6640625" customWidth="1"/>
    <col min="6" max="6" width="25.6640625" customWidth="1"/>
    <col min="7" max="7" width="5.6640625" customWidth="1"/>
    <col min="8" max="8" width="18.6640625" customWidth="1"/>
    <col min="9" max="9" width="30.6640625" customWidth="1"/>
    <col min="11" max="11" width="14.44140625" bestFit="1" customWidth="1"/>
    <col min="12" max="12" width="18.6640625" bestFit="1" customWidth="1"/>
  </cols>
  <sheetData>
    <row r="1" spans="1:12" ht="25.95" customHeight="1">
      <c r="A1" s="29" t="s">
        <v>142</v>
      </c>
      <c r="B1" s="29"/>
      <c r="C1" s="29"/>
      <c r="D1" s="29"/>
      <c r="E1" s="29"/>
      <c r="F1" s="29"/>
      <c r="G1" s="29"/>
      <c r="H1" s="29"/>
      <c r="I1" s="29"/>
    </row>
    <row r="2" spans="1:12" ht="12" customHeight="1"/>
    <row r="3" spans="1:12" ht="24" customHeight="1">
      <c r="A3" s="3" t="s">
        <v>143</v>
      </c>
      <c r="B3" s="3" t="s">
        <v>144</v>
      </c>
      <c r="C3" s="3" t="s">
        <v>145</v>
      </c>
      <c r="E3" s="3" t="s">
        <v>146</v>
      </c>
      <c r="F3" s="3" t="s">
        <v>9</v>
      </c>
      <c r="H3" s="3" t="s">
        <v>147</v>
      </c>
      <c r="I3" s="3" t="s">
        <v>148</v>
      </c>
      <c r="K3" s="3" t="s">
        <v>146</v>
      </c>
      <c r="L3" s="3" t="s">
        <v>56</v>
      </c>
    </row>
    <row r="4" spans="1:12">
      <c r="A4" s="4" t="s">
        <v>149</v>
      </c>
      <c r="B4" s="5" t="s">
        <v>150</v>
      </c>
      <c r="C4" s="5" t="s">
        <v>151</v>
      </c>
      <c r="E4" s="4" t="s">
        <v>160</v>
      </c>
      <c r="F4" s="5" t="s">
        <v>161</v>
      </c>
      <c r="H4" s="4" t="s">
        <v>164</v>
      </c>
      <c r="I4" s="5" t="s">
        <v>41</v>
      </c>
      <c r="K4" s="4" t="s">
        <v>256</v>
      </c>
      <c r="L4" s="5" t="s">
        <v>258</v>
      </c>
    </row>
    <row r="5" spans="1:12">
      <c r="A5" s="4" t="s">
        <v>152</v>
      </c>
      <c r="B5" s="5" t="s">
        <v>153</v>
      </c>
      <c r="C5" s="5" t="s">
        <v>154</v>
      </c>
      <c r="E5" s="4" t="s">
        <v>162</v>
      </c>
      <c r="F5" s="5" t="s">
        <v>163</v>
      </c>
      <c r="H5" s="4" t="s">
        <v>165</v>
      </c>
      <c r="I5" s="5" t="s">
        <v>166</v>
      </c>
      <c r="K5" s="4" t="s">
        <v>257</v>
      </c>
      <c r="L5" s="5" t="s">
        <v>255</v>
      </c>
    </row>
    <row r="6" spans="1:12">
      <c r="A6" s="4" t="s">
        <v>155</v>
      </c>
      <c r="B6" s="5" t="s">
        <v>40</v>
      </c>
      <c r="C6" s="5" t="s">
        <v>43</v>
      </c>
      <c r="E6" s="4"/>
      <c r="F6" s="5"/>
      <c r="H6" s="4" t="s">
        <v>167</v>
      </c>
      <c r="I6" s="5" t="s">
        <v>168</v>
      </c>
      <c r="K6" s="4"/>
      <c r="L6" s="4" t="s">
        <v>195</v>
      </c>
    </row>
    <row r="7" spans="1:12">
      <c r="A7" s="4" t="s">
        <v>156</v>
      </c>
      <c r="B7" s="5" t="s">
        <v>83</v>
      </c>
      <c r="C7" s="5" t="s">
        <v>87</v>
      </c>
      <c r="E7" s="4"/>
      <c r="F7" s="5"/>
      <c r="H7" s="4" t="s">
        <v>169</v>
      </c>
      <c r="I7" s="5" t="s">
        <v>170</v>
      </c>
      <c r="K7" s="4"/>
      <c r="L7" s="5"/>
    </row>
    <row r="8" spans="1:12">
      <c r="A8" s="4" t="s">
        <v>157</v>
      </c>
      <c r="B8" s="5" t="s">
        <v>158</v>
      </c>
      <c r="C8" s="5" t="s">
        <v>159</v>
      </c>
      <c r="E8" s="4"/>
      <c r="F8" s="5"/>
      <c r="H8" s="4" t="s">
        <v>231</v>
      </c>
      <c r="I8" s="5" t="s">
        <v>29</v>
      </c>
      <c r="K8" s="4"/>
      <c r="L8" s="5"/>
    </row>
    <row r="9" spans="1:12">
      <c r="A9" s="4"/>
      <c r="B9" s="5" t="s">
        <v>259</v>
      </c>
      <c r="C9" s="5"/>
      <c r="E9" s="4"/>
      <c r="F9" s="5"/>
      <c r="H9" s="4"/>
      <c r="I9" s="5" t="s">
        <v>249</v>
      </c>
      <c r="K9" s="4"/>
      <c r="L9" s="5"/>
    </row>
    <row r="10" spans="1:12">
      <c r="A10" s="4"/>
      <c r="B10" s="5"/>
      <c r="C10" s="5"/>
      <c r="E10" s="4"/>
      <c r="F10" s="5"/>
      <c r="H10" s="4"/>
      <c r="I10" s="5" t="s">
        <v>250</v>
      </c>
      <c r="K10" s="4"/>
      <c r="L10" s="5"/>
    </row>
    <row r="11" spans="1:12">
      <c r="A11" s="4"/>
      <c r="B11" s="5"/>
      <c r="C11" s="5"/>
      <c r="E11" s="4"/>
      <c r="F11" s="5"/>
      <c r="H11" s="4"/>
      <c r="I11" s="5" t="s">
        <v>260</v>
      </c>
      <c r="K11" s="4"/>
      <c r="L11" s="5"/>
    </row>
    <row r="12" spans="1:12">
      <c r="A12" s="4"/>
      <c r="B12" s="5"/>
      <c r="C12" s="5"/>
      <c r="E12" s="4"/>
      <c r="F12" s="5"/>
      <c r="H12" s="4"/>
      <c r="I12" s="5" t="s">
        <v>264</v>
      </c>
      <c r="K12" s="4"/>
      <c r="L12" s="5"/>
    </row>
    <row r="13" spans="1:12">
      <c r="A13" s="4"/>
      <c r="B13" s="5"/>
      <c r="C13" s="5"/>
      <c r="E13" s="4"/>
      <c r="F13" s="5"/>
      <c r="H13" s="4"/>
      <c r="I13" s="5"/>
      <c r="K13" s="4"/>
      <c r="L13" s="5"/>
    </row>
    <row r="14" spans="1:12">
      <c r="A14" s="4"/>
      <c r="B14" s="5"/>
      <c r="C14" s="5"/>
      <c r="E14" s="4"/>
      <c r="F14" s="5"/>
      <c r="H14" s="4"/>
      <c r="I14" s="5"/>
      <c r="K14" s="4"/>
      <c r="L14" s="5"/>
    </row>
    <row r="15" spans="1:12">
      <c r="A15" s="4"/>
      <c r="B15" s="5"/>
      <c r="C15" s="5"/>
      <c r="E15" s="4"/>
      <c r="F15" s="5"/>
      <c r="H15" s="4"/>
      <c r="I15" s="5"/>
      <c r="K15" s="4"/>
      <c r="L15" s="5"/>
    </row>
    <row r="16" spans="1:12">
      <c r="A16" s="4"/>
      <c r="B16" s="5"/>
      <c r="C16" s="5"/>
      <c r="E16" s="4"/>
      <c r="F16" s="5"/>
      <c r="H16" s="4"/>
      <c r="I16" s="5"/>
      <c r="K16" s="4"/>
      <c r="L16" s="5"/>
    </row>
    <row r="17" spans="1:12">
      <c r="A17" s="4"/>
      <c r="B17" s="5"/>
      <c r="C17" s="5"/>
      <c r="E17" s="4"/>
      <c r="F17" s="5"/>
      <c r="H17" s="4"/>
      <c r="I17" s="5"/>
      <c r="K17" s="4"/>
      <c r="L17" s="5"/>
    </row>
    <row r="18" spans="1:12">
      <c r="A18" s="4"/>
      <c r="B18" s="5"/>
      <c r="C18" s="5"/>
      <c r="E18" s="4"/>
      <c r="F18" s="5"/>
      <c r="H18" s="4"/>
      <c r="I18" s="5"/>
      <c r="K18" s="4"/>
      <c r="L18" s="5"/>
    </row>
    <row r="19" spans="1:12">
      <c r="A19" s="4"/>
      <c r="B19" s="5"/>
      <c r="C19" s="5"/>
      <c r="E19" s="4"/>
      <c r="F19" s="5"/>
      <c r="H19" s="4"/>
      <c r="I19" s="5"/>
      <c r="K19" s="4"/>
      <c r="L19" s="5"/>
    </row>
    <row r="20" spans="1:12">
      <c r="A20" s="4"/>
      <c r="B20" s="5"/>
      <c r="C20" s="5"/>
      <c r="E20" s="4"/>
      <c r="F20" s="5"/>
      <c r="H20" s="4"/>
      <c r="I20" s="5"/>
      <c r="K20" s="4"/>
      <c r="L20" s="5"/>
    </row>
    <row r="21" spans="1:12">
      <c r="A21" s="4"/>
      <c r="B21" s="5"/>
      <c r="C21" s="5"/>
      <c r="E21" s="4"/>
      <c r="F21" s="5"/>
      <c r="H21" s="4"/>
      <c r="I21" s="5"/>
      <c r="K21" s="4"/>
      <c r="L21" s="5"/>
    </row>
    <row r="22" spans="1:12">
      <c r="A22" s="4"/>
      <c r="B22" s="5"/>
      <c r="C22" s="5"/>
      <c r="E22" s="4"/>
      <c r="F22" s="5"/>
      <c r="H22" s="4"/>
      <c r="I22" s="5"/>
      <c r="K22" s="4"/>
      <c r="L22" s="5"/>
    </row>
    <row r="23" spans="1:12">
      <c r="A23" s="4"/>
      <c r="B23" s="5"/>
      <c r="C23" s="5"/>
      <c r="E23" s="4"/>
      <c r="F23" s="5"/>
      <c r="H23" s="4"/>
      <c r="I23" s="5"/>
      <c r="K23" s="4"/>
      <c r="L23" s="5"/>
    </row>
    <row r="24" spans="1:12">
      <c r="A24" s="4"/>
      <c r="B24" s="5"/>
      <c r="C24" s="5"/>
      <c r="E24" s="4"/>
      <c r="F24" s="5"/>
      <c r="H24" s="4"/>
      <c r="I24" s="5"/>
      <c r="K24" s="4"/>
      <c r="L24" s="5"/>
    </row>
    <row r="25" spans="1:12">
      <c r="A25" s="4"/>
      <c r="B25" s="5"/>
      <c r="C25" s="5"/>
      <c r="E25" s="4"/>
      <c r="F25" s="5"/>
      <c r="H25" s="4"/>
      <c r="I25" s="5"/>
      <c r="K25" s="4"/>
      <c r="L25" s="5"/>
    </row>
    <row r="29" spans="1:12">
      <c r="A29" t="s">
        <v>251</v>
      </c>
      <c r="B29" t="s">
        <v>252</v>
      </c>
      <c r="C29">
        <v>3350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showGridLines="0" workbookViewId="0"/>
  </sheetViews>
  <sheetFormatPr baseColWidth="10" defaultColWidth="8.88671875" defaultRowHeight="14.4"/>
  <cols>
    <col min="1" max="1" width="10.6640625" customWidth="1"/>
    <col min="2" max="2" width="22.6640625" customWidth="1"/>
    <col min="3" max="3" width="80.6640625" customWidth="1"/>
  </cols>
  <sheetData>
    <row r="1" spans="1:3" ht="25.95" customHeight="1">
      <c r="A1" s="29" t="s">
        <v>171</v>
      </c>
      <c r="B1" s="29"/>
      <c r="C1" s="29"/>
    </row>
    <row r="2" spans="1:3" ht="12" customHeight="1"/>
    <row r="3" spans="1:3" ht="24" customHeight="1">
      <c r="A3" s="3" t="s">
        <v>172</v>
      </c>
      <c r="B3" s="3" t="s">
        <v>173</v>
      </c>
      <c r="C3" s="3" t="s">
        <v>174</v>
      </c>
    </row>
    <row r="4" spans="1:3" ht="45" customHeight="1">
      <c r="A4" s="4" t="s">
        <v>175</v>
      </c>
      <c r="B4" s="5" t="s">
        <v>176</v>
      </c>
      <c r="C4" s="5" t="s">
        <v>177</v>
      </c>
    </row>
    <row r="5" spans="1:3" ht="45" customHeight="1">
      <c r="A5" s="4" t="s">
        <v>178</v>
      </c>
      <c r="B5" s="5" t="s">
        <v>179</v>
      </c>
      <c r="C5" s="5" t="s">
        <v>180</v>
      </c>
    </row>
    <row r="6" spans="1:3" ht="45" customHeight="1">
      <c r="A6" s="4" t="s">
        <v>181</v>
      </c>
      <c r="B6" s="5" t="s">
        <v>182</v>
      </c>
      <c r="C6" s="5" t="s">
        <v>183</v>
      </c>
    </row>
    <row r="7" spans="1:3" ht="45" customHeight="1">
      <c r="A7" s="4" t="s">
        <v>184</v>
      </c>
      <c r="B7" s="5" t="s">
        <v>179</v>
      </c>
      <c r="C7" s="5" t="s">
        <v>185</v>
      </c>
    </row>
    <row r="8" spans="1:3" ht="45" customHeight="1">
      <c r="A8" s="4" t="s">
        <v>186</v>
      </c>
      <c r="B8" s="5" t="s">
        <v>187</v>
      </c>
      <c r="C8" s="5" t="s">
        <v>188</v>
      </c>
    </row>
    <row r="9" spans="1:3" ht="45" customHeight="1">
      <c r="A9" s="4" t="s">
        <v>189</v>
      </c>
      <c r="B9" s="5" t="s">
        <v>179</v>
      </c>
      <c r="C9" s="5" t="s">
        <v>190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Carga_Camiones</vt:lpstr>
      <vt:lpstr>Cotejo_Mezcla</vt:lpstr>
      <vt:lpstr>Control_Fresado</vt:lpstr>
      <vt:lpstr>Catalogos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GRUPO TRUJANO 03</cp:lastModifiedBy>
  <dcterms:created xsi:type="dcterms:W3CDTF">2026-06-16T18:18:44Z</dcterms:created>
  <dcterms:modified xsi:type="dcterms:W3CDTF">2026-06-18T16:58:45Z</dcterms:modified>
</cp:coreProperties>
</file>