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8D172F-CCBD-469F-9316-5DC6408FF589}" xr6:coauthVersionLast="47" xr6:coauthVersionMax="47" xr10:uidLastSave="{00000000-0000-0000-0000-000000000000}"/>
  <bookViews>
    <workbookView xWindow="-120" yWindow="-120" windowWidth="20730" windowHeight="11040" xr2:uid="{38B013A0-6897-4BE0-9F47-32B7F9997D52}"/>
  </bookViews>
  <sheets>
    <sheet name="FRESADO" sheetId="3" r:id="rId1"/>
    <sheet name="CARPE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2" i="2" l="1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U117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H82" i="2"/>
  <c r="M66" i="2"/>
  <c r="L67" i="2" s="1"/>
  <c r="M67" i="2" s="1"/>
  <c r="M64" i="2"/>
  <c r="M63" i="2"/>
  <c r="D67" i="2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M51" i="2"/>
  <c r="M38" i="2"/>
  <c r="L39" i="2" s="1"/>
  <c r="M39" i="2" s="1"/>
  <c r="M20" i="2"/>
  <c r="L21" i="2" s="1"/>
  <c r="M21" i="2" s="1"/>
  <c r="L22" i="2" s="1"/>
  <c r="M22" i="2" s="1"/>
  <c r="H117" i="3"/>
  <c r="E117" i="3"/>
  <c r="E82" i="2"/>
  <c r="S7" i="2" l="1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19" i="2"/>
  <c r="T19" i="2" s="1"/>
  <c r="S20" i="2"/>
  <c r="T20" i="2" s="1"/>
  <c r="S21" i="2"/>
  <c r="T21" i="2"/>
  <c r="S22" i="2"/>
  <c r="T22" i="2"/>
  <c r="S23" i="2"/>
  <c r="T23" i="2" s="1"/>
  <c r="S24" i="2"/>
  <c r="T24" i="2" s="1"/>
  <c r="S25" i="2"/>
  <c r="T25" i="2"/>
  <c r="S26" i="2"/>
  <c r="T26" i="2" s="1"/>
  <c r="S27" i="2"/>
  <c r="T27" i="2"/>
  <c r="S28" i="2"/>
  <c r="T28" i="2"/>
  <c r="S29" i="2"/>
  <c r="T29" i="2" s="1"/>
  <c r="S30" i="2"/>
  <c r="T30" i="2"/>
  <c r="S31" i="2"/>
  <c r="T31" i="2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/>
  <c r="S48" i="2"/>
  <c r="T48" i="2"/>
  <c r="S49" i="2"/>
  <c r="T49" i="2" s="1"/>
  <c r="S50" i="2"/>
  <c r="T50" i="2" s="1"/>
  <c r="S51" i="2"/>
  <c r="T51" i="2"/>
  <c r="S52" i="2"/>
  <c r="T52" i="2" s="1"/>
  <c r="S53" i="2"/>
  <c r="T53" i="2" s="1"/>
  <c r="S54" i="2"/>
  <c r="T54" i="2" s="1"/>
  <c r="S55" i="2"/>
  <c r="T55" i="2" s="1"/>
  <c r="S56" i="2"/>
  <c r="T56" i="2"/>
  <c r="S57" i="2"/>
  <c r="T57" i="2" s="1"/>
  <c r="S58" i="2"/>
  <c r="T58" i="2" s="1"/>
  <c r="S59" i="2"/>
  <c r="T59" i="2" s="1"/>
  <c r="S60" i="2"/>
  <c r="T60" i="2"/>
  <c r="S61" i="2"/>
  <c r="T61" i="2"/>
  <c r="S62" i="2"/>
  <c r="T62" i="2" s="1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 s="1"/>
  <c r="S70" i="2"/>
  <c r="T70" i="2" s="1"/>
  <c r="S71" i="2"/>
  <c r="T71" i="2" s="1"/>
  <c r="S72" i="2"/>
  <c r="T72" i="2" s="1"/>
  <c r="S73" i="2"/>
  <c r="T73" i="2"/>
  <c r="S74" i="2"/>
  <c r="T74" i="2" s="1"/>
  <c r="S75" i="2"/>
  <c r="T75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L68" i="2"/>
  <c r="M68" i="2" s="1"/>
  <c r="L40" i="2"/>
  <c r="L23" i="2"/>
  <c r="M23" i="2" s="1"/>
  <c r="L24" i="2" s="1"/>
  <c r="M26" i="2"/>
  <c r="L27" i="2" s="1"/>
  <c r="M27" i="2" s="1"/>
  <c r="L28" i="2" s="1"/>
  <c r="M28" i="2" s="1"/>
  <c r="L29" i="2" s="1"/>
  <c r="M29" i="2" s="1"/>
  <c r="L30" i="2" s="1"/>
  <c r="L69" i="2" l="1"/>
  <c r="M69" i="2" s="1"/>
  <c r="L70" i="2" s="1"/>
  <c r="M70" i="2" s="1"/>
  <c r="L71" i="2" s="1"/>
  <c r="M71" i="2" s="1"/>
  <c r="M40" i="2"/>
  <c r="L41" i="2" s="1"/>
  <c r="M41" i="2" s="1"/>
  <c r="L42" i="2" s="1"/>
  <c r="M42" i="2" s="1"/>
  <c r="L43" i="2" s="1"/>
  <c r="M30" i="2"/>
  <c r="L31" i="2" s="1"/>
  <c r="M31" i="2" s="1"/>
  <c r="L32" i="2" s="1"/>
  <c r="M32" i="2" s="1"/>
  <c r="L33" i="2" s="1"/>
  <c r="M24" i="2"/>
  <c r="L25" i="2" s="1"/>
  <c r="M25" i="2" s="1"/>
  <c r="L72" i="2" l="1"/>
  <c r="M72" i="2" s="1"/>
  <c r="M43" i="2"/>
  <c r="L44" i="2" s="1"/>
  <c r="M44" i="2" s="1"/>
  <c r="M33" i="2"/>
  <c r="L34" i="2" s="1"/>
  <c r="M34" i="2" s="1"/>
  <c r="L35" i="2" s="1"/>
  <c r="L73" i="2" l="1"/>
  <c r="M73" i="2" s="1"/>
  <c r="L45" i="2"/>
  <c r="M45" i="2" s="1"/>
  <c r="M35" i="2"/>
  <c r="L36" i="2" s="1"/>
  <c r="M36" i="2" s="1"/>
  <c r="L74" i="2" l="1"/>
  <c r="M74" i="2" s="1"/>
  <c r="M46" i="2"/>
  <c r="L47" i="2" s="1"/>
  <c r="M47" i="2" s="1"/>
  <c r="L48" i="2" s="1"/>
  <c r="M48" i="2" s="1"/>
  <c r="L49" i="2" s="1"/>
  <c r="M49" i="2" s="1"/>
  <c r="L52" i="2" s="1"/>
  <c r="M52" i="2" s="1"/>
  <c r="L75" i="2" l="1"/>
  <c r="M75" i="2" s="1"/>
  <c r="L53" i="2"/>
  <c r="M53" i="2" s="1"/>
  <c r="L54" i="2" s="1"/>
  <c r="L76" i="2" l="1"/>
  <c r="M76" i="2" s="1"/>
  <c r="M54" i="2"/>
  <c r="L55" i="2" s="1"/>
  <c r="L77" i="2" l="1"/>
  <c r="M77" i="2" s="1"/>
  <c r="M55" i="2"/>
  <c r="L56" i="2" s="1"/>
  <c r="L78" i="2" l="1"/>
  <c r="M78" i="2" s="1"/>
  <c r="M56" i="2"/>
  <c r="L57" i="2" s="1"/>
  <c r="M57" i="2" s="1"/>
  <c r="L58" i="2" s="1"/>
  <c r="L79" i="2" l="1"/>
  <c r="M79" i="2" s="1"/>
  <c r="M58" i="2"/>
  <c r="L59" i="2" s="1"/>
  <c r="M59" i="2" l="1"/>
  <c r="L60" i="2" s="1"/>
  <c r="M60" i="2" s="1"/>
  <c r="L61" i="2" s="1"/>
  <c r="M61" i="2" l="1"/>
  <c r="L62" i="2" s="1"/>
  <c r="M62" i="2" s="1"/>
</calcChain>
</file>

<file path=xl/sharedStrings.xml><?xml version="1.0" encoding="utf-8"?>
<sst xmlns="http://schemas.openxmlformats.org/spreadsheetml/2006/main" count="978" uniqueCount="153">
  <si>
    <t>NO</t>
  </si>
  <si>
    <t xml:space="preserve">OBRA: </t>
  </si>
  <si>
    <t xml:space="preserve">FOLIO </t>
  </si>
  <si>
    <t>FECHA</t>
  </si>
  <si>
    <t>PLACAS</t>
  </si>
  <si>
    <t>CAPACIDAD</t>
  </si>
  <si>
    <t>OPERADOR</t>
  </si>
  <si>
    <t>OBSERVACIONES</t>
  </si>
  <si>
    <t>SINDICATO</t>
  </si>
  <si>
    <t xml:space="preserve">MATERIAL: </t>
  </si>
  <si>
    <t xml:space="preserve">MATERIAL </t>
  </si>
  <si>
    <t>SEMANA:</t>
  </si>
  <si>
    <t xml:space="preserve">VIAJES </t>
  </si>
  <si>
    <t xml:space="preserve">UNIDAD </t>
  </si>
  <si>
    <t>TOTAL</t>
  </si>
  <si>
    <t xml:space="preserve">FRESADO </t>
  </si>
  <si>
    <t>KM INICIA</t>
  </si>
  <si>
    <t>KM TERMINA</t>
  </si>
  <si>
    <t>CPO</t>
  </si>
  <si>
    <t>CARRIL</t>
  </si>
  <si>
    <t xml:space="preserve">CAPACIDAD (M3) </t>
  </si>
  <si>
    <t xml:space="preserve">PESO TOTAL (KG) </t>
  </si>
  <si>
    <t xml:space="preserve">SEM </t>
  </si>
  <si>
    <t>KM INICIO</t>
  </si>
  <si>
    <t>KM FINAL</t>
  </si>
  <si>
    <t xml:space="preserve">TIRO </t>
  </si>
  <si>
    <t>KM ACARREO POR VIAJE</t>
  </si>
  <si>
    <t>CARRETERA LIBRE MEXICO-TOLUCA</t>
  </si>
  <si>
    <t>FRESADO</t>
  </si>
  <si>
    <t>95-AX5D</t>
  </si>
  <si>
    <t>M3</t>
  </si>
  <si>
    <t>CESAR HERNANDEZ</t>
  </si>
  <si>
    <t>COSUM</t>
  </si>
  <si>
    <t>KM 34</t>
  </si>
  <si>
    <t>B</t>
  </si>
  <si>
    <t>CENTRAL</t>
  </si>
  <si>
    <t>MY-7968-B</t>
  </si>
  <si>
    <t>JORGE GARCIA</t>
  </si>
  <si>
    <t>HC-1139-G</t>
  </si>
  <si>
    <t>VICTOR DE LEON</t>
  </si>
  <si>
    <t>LH-16-062</t>
  </si>
  <si>
    <t>ARTURO HERNANDEZ</t>
  </si>
  <si>
    <t>CAMION DE LIMPIEZA</t>
  </si>
  <si>
    <t>SE UTILIZO PARA LIMPIEZA O RETIRO DE ESCOMBRO</t>
  </si>
  <si>
    <t>CARPETA</t>
  </si>
  <si>
    <t>NJ-6644-B</t>
  </si>
  <si>
    <t>RAMIRO HERNANDEZ</t>
  </si>
  <si>
    <t>NR-1258-D</t>
  </si>
  <si>
    <t>SANTOS O</t>
  </si>
  <si>
    <t>NR-0950-C</t>
  </si>
  <si>
    <t>ALEJANDRO FLORES</t>
  </si>
  <si>
    <t>NY-7967-B</t>
  </si>
  <si>
    <t>ENRIQUE TORRES</t>
  </si>
  <si>
    <t>DANIEL CRUZ</t>
  </si>
  <si>
    <t>22-BC9R</t>
  </si>
  <si>
    <t>REY DAVID</t>
  </si>
  <si>
    <t>43-BD6E</t>
  </si>
  <si>
    <t>VICTOR GONZALES</t>
  </si>
  <si>
    <t>48-7AP2</t>
  </si>
  <si>
    <t>JUAN GUTIERREZ</t>
  </si>
  <si>
    <t>32-02Y2</t>
  </si>
  <si>
    <t>ROLANDO GUTIERREZ</t>
  </si>
  <si>
    <t>98-BM8P</t>
  </si>
  <si>
    <t>LC-0132-1</t>
  </si>
  <si>
    <t>JULIO RESENDIS</t>
  </si>
  <si>
    <t>LC-4575-3</t>
  </si>
  <si>
    <t>CESAR GRANADOS</t>
  </si>
  <si>
    <t>12-AN1U</t>
  </si>
  <si>
    <t>MAURICIO GUTIERREZ</t>
  </si>
  <si>
    <t>94-9TW7</t>
  </si>
  <si>
    <t xml:space="preserve">KEVIN ESQUIVEL </t>
  </si>
  <si>
    <t>EDWIN T</t>
  </si>
  <si>
    <t>NV-1728-7</t>
  </si>
  <si>
    <t>S/F</t>
  </si>
  <si>
    <t>PIPA DE AGUA</t>
  </si>
  <si>
    <t>KR-9352-A</t>
  </si>
  <si>
    <t>BERNABE GUTIERREZ</t>
  </si>
  <si>
    <t>EDUARDO GONZALEZ</t>
  </si>
  <si>
    <t>ROBERTO F.</t>
  </si>
  <si>
    <t>BAJA Y ACOTAMIENTO</t>
  </si>
  <si>
    <t>SE ENVIO A PLANTA HUIXQUILUCAN</t>
  </si>
  <si>
    <t>HE-4281-J</t>
  </si>
  <si>
    <t>XXX</t>
  </si>
  <si>
    <t>22-BC-9R</t>
  </si>
  <si>
    <t>REY DAVID ESPINOZA</t>
  </si>
  <si>
    <t>MY-7967-B</t>
  </si>
  <si>
    <t>LD-58-235</t>
  </si>
  <si>
    <t>CARLOS GUADARRAMA</t>
  </si>
  <si>
    <t>NS-1640-C</t>
  </si>
  <si>
    <t>ORLANDO GUTIERREZ</t>
  </si>
  <si>
    <t>94-DC5F</t>
  </si>
  <si>
    <t>HUGO GUTIERREZ</t>
  </si>
  <si>
    <t>LG-01321</t>
  </si>
  <si>
    <t>CESAR GUTIERREZ</t>
  </si>
  <si>
    <t>120-AJ3</t>
  </si>
  <si>
    <t>CARRIL DE BAJA</t>
  </si>
  <si>
    <t>HD-57-440</t>
  </si>
  <si>
    <t xml:space="preserve">RAMIRO HERNANDEZ </t>
  </si>
  <si>
    <t>NJ-6644-D</t>
  </si>
  <si>
    <t>HD-57440</t>
  </si>
  <si>
    <t>RAMIRO HERNANDEZ O.</t>
  </si>
  <si>
    <t>119-AJ3</t>
  </si>
  <si>
    <t>BERNABE GUTIERREZ F.</t>
  </si>
  <si>
    <t>576-AN5</t>
  </si>
  <si>
    <t>MANUEL LOPEZ</t>
  </si>
  <si>
    <t>17-AN4C</t>
  </si>
  <si>
    <t>ERICK GUTIERREZ</t>
  </si>
  <si>
    <t>ND-5931-C</t>
  </si>
  <si>
    <t>IVA MULATO</t>
  </si>
  <si>
    <t>14-BG5W</t>
  </si>
  <si>
    <t>SERGIO VALDEZ</t>
  </si>
  <si>
    <t>CUERPO</t>
  </si>
  <si>
    <t>A</t>
  </si>
  <si>
    <t>586-AN5</t>
  </si>
  <si>
    <t>JULIO LOPEZ</t>
  </si>
  <si>
    <t>73-BG1U</t>
  </si>
  <si>
    <t>19-A5-5A</t>
  </si>
  <si>
    <t>ALEJANDRO GUTIERREZ</t>
  </si>
  <si>
    <t>94-AC5F</t>
  </si>
  <si>
    <t>02-BG-7T</t>
  </si>
  <si>
    <t>94-9EW-7</t>
  </si>
  <si>
    <t xml:space="preserve"> PIPA DE AGUA EN RENTA 10 MIL LTS</t>
  </si>
  <si>
    <t>95AX5D</t>
  </si>
  <si>
    <t>NOTA CANCELADA</t>
  </si>
  <si>
    <t>-</t>
  </si>
  <si>
    <t xml:space="preserve">NOTA CANCELADA </t>
  </si>
  <si>
    <t>22BC9R</t>
  </si>
  <si>
    <t>37+730</t>
  </si>
  <si>
    <t>37+707</t>
  </si>
  <si>
    <t>37+675</t>
  </si>
  <si>
    <t>NJ6644D</t>
  </si>
  <si>
    <t>37+609</t>
  </si>
  <si>
    <t>37+640</t>
  </si>
  <si>
    <t>37+575</t>
  </si>
  <si>
    <t>LD3823S</t>
  </si>
  <si>
    <t>37+480</t>
  </si>
  <si>
    <t>37+440</t>
  </si>
  <si>
    <t>NB1258D</t>
  </si>
  <si>
    <t>37+538</t>
  </si>
  <si>
    <t>NR0950C</t>
  </si>
  <si>
    <t>37+530</t>
  </si>
  <si>
    <t>37+508</t>
  </si>
  <si>
    <t>LF64430</t>
  </si>
  <si>
    <t>CARLOS JOAQUIN</t>
  </si>
  <si>
    <t>37+488</t>
  </si>
  <si>
    <t>34+410</t>
  </si>
  <si>
    <t>37+410</t>
  </si>
  <si>
    <t>37+375</t>
  </si>
  <si>
    <t>37+355</t>
  </si>
  <si>
    <t>PU</t>
  </si>
  <si>
    <t>SUBTOTAL</t>
  </si>
  <si>
    <t>IVA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</si>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</sst>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C0A]mmm\-yy;@"/>
    <numFmt numFmtId="165" formatCode="General_)"/>
    <numFmt numFmtId="166" formatCode="#,##0.00&quot; F&quot;_);[Red]\(#,##0.00&quot; F&quot;\)"/>
    <numFmt numFmtId="167" formatCode="#."/>
    <numFmt numFmtId="168" formatCode="_-* #,##0.00\ &quot;€&quot;_-;\-* #,##0.00\ &quot;€&quot;_-;_-* &quot;-&quot;??\ &quot;€&quot;_-;_-@_-"/>
    <numFmt numFmtId="169" formatCode="#.00"/>
    <numFmt numFmtId="170" formatCode="_-* #,##0.00\ _€_-;\-* #,##0.00\ _€_-;_-* &quot;-&quot;??\ _€_-;_-@_-"/>
    <numFmt numFmtId="171" formatCode="&quot;$&quot;#.00"/>
    <numFmt numFmtId="172" formatCode="&quot;$&quot;#."/>
    <numFmt numFmtId="173" formatCode="#,##0.00&quot; F&quot;_);\(#,##0.00&quot; F&quot;\)"/>
    <numFmt numFmtId="174" formatCode="#,##0."/>
    <numFmt numFmtId="175" formatCode="##0\+000.00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charset val="161"/>
    </font>
    <font>
      <sz val="8"/>
      <name val="Arial Narrow"/>
      <family val="2"/>
    </font>
    <font>
      <sz val="11"/>
      <color indexed="9"/>
      <name val="Calibri"/>
      <family val="2"/>
      <charset val="161"/>
    </font>
    <font>
      <sz val="11"/>
      <color indexed="20"/>
      <name val="Calibri"/>
      <family val="2"/>
      <charset val="161"/>
    </font>
    <font>
      <b/>
      <sz val="1"/>
      <color indexed="8"/>
      <name val="Courier"/>
      <family val="3"/>
    </font>
    <font>
      <b/>
      <sz val="11"/>
      <color indexed="52"/>
      <name val="Calibri"/>
      <family val="2"/>
      <charset val="161"/>
    </font>
    <font>
      <b/>
      <sz val="11"/>
      <color indexed="9"/>
      <name val="Calibri"/>
      <family val="2"/>
      <charset val="161"/>
    </font>
    <font>
      <sz val="1"/>
      <color indexed="16"/>
      <name val="Courier"/>
      <family val="3"/>
    </font>
    <font>
      <sz val="1"/>
      <color indexed="8"/>
      <name val="Courier"/>
      <family val="3"/>
    </font>
    <font>
      <i/>
      <sz val="11"/>
      <color indexed="23"/>
      <name val="Calibri"/>
      <family val="2"/>
      <charset val="161"/>
    </font>
    <font>
      <i/>
      <sz val="1"/>
      <color indexed="8"/>
      <name val="Courier"/>
      <family val="3"/>
    </font>
    <font>
      <sz val="11"/>
      <color indexed="17"/>
      <name val="Calibri"/>
      <family val="2"/>
      <charset val="161"/>
    </font>
    <font>
      <b/>
      <sz val="12"/>
      <name val="Arial"/>
      <family val="2"/>
    </font>
    <font>
      <b/>
      <sz val="15"/>
      <color indexed="56"/>
      <name val="Calibri"/>
      <family val="2"/>
      <charset val="161"/>
    </font>
    <font>
      <b/>
      <sz val="13"/>
      <color indexed="56"/>
      <name val="Calibri"/>
      <family val="2"/>
      <charset val="161"/>
    </font>
    <font>
      <b/>
      <sz val="11"/>
      <color indexed="56"/>
      <name val="Calibri"/>
      <family val="2"/>
      <charset val="161"/>
    </font>
    <font>
      <sz val="11"/>
      <color indexed="62"/>
      <name val="Calibri"/>
      <family val="2"/>
      <charset val="161"/>
    </font>
    <font>
      <sz val="11"/>
      <color indexed="52"/>
      <name val="Calibri"/>
      <family val="2"/>
      <charset val="161"/>
    </font>
    <font>
      <sz val="7"/>
      <name val="Small Fonts"/>
      <family val="2"/>
    </font>
    <font>
      <b/>
      <sz val="11"/>
      <color indexed="63"/>
      <name val="Calibri"/>
      <family val="2"/>
      <charset val="161"/>
    </font>
    <font>
      <sz val="10"/>
      <name val="Times New Roman"/>
      <family val="1"/>
    </font>
    <font>
      <b/>
      <sz val="18"/>
      <color indexed="56"/>
      <name val="Cambria"/>
      <family val="2"/>
      <charset val="161"/>
    </font>
    <font>
      <sz val="11"/>
      <color indexed="10"/>
      <name val="Calibri"/>
      <family val="2"/>
      <charset val="161"/>
    </font>
    <font>
      <sz val="10"/>
      <color rgb="FF000000"/>
      <name val="Times New Roman"/>
      <family val="1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6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FF6600"/>
      </top>
      <bottom style="thin">
        <color rgb="FFFF6600"/>
      </bottom>
      <diagonal/>
    </border>
  </borders>
  <cellStyleXfs count="240">
    <xf numFmtId="0" fontId="0" fillId="0" borderId="0"/>
    <xf numFmtId="0" fontId="9" fillId="0" borderId="0"/>
    <xf numFmtId="44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" fillId="0" borderId="0"/>
    <xf numFmtId="0" fontId="9" fillId="0" borderId="0"/>
    <xf numFmtId="0" fontId="9" fillId="0" borderId="0"/>
    <xf numFmtId="40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6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6" fillId="0" borderId="0"/>
    <xf numFmtId="0" fontId="6" fillId="0" borderId="0"/>
    <xf numFmtId="164" fontId="11" fillId="2" borderId="0" applyNumberFormat="0" applyBorder="0" applyAlignment="0" applyProtection="0"/>
    <xf numFmtId="164" fontId="11" fillId="3" borderId="0" applyNumberFormat="0" applyBorder="0" applyAlignment="0" applyProtection="0"/>
    <xf numFmtId="164" fontId="11" fillId="4" borderId="0" applyNumberFormat="0" applyBorder="0" applyAlignment="0" applyProtection="0"/>
    <xf numFmtId="164" fontId="11" fillId="5" borderId="0" applyNumberFormat="0" applyBorder="0" applyAlignment="0" applyProtection="0"/>
    <xf numFmtId="164" fontId="11" fillId="6" borderId="0" applyNumberFormat="0" applyBorder="0" applyAlignment="0" applyProtection="0"/>
    <xf numFmtId="164" fontId="11" fillId="7" borderId="0" applyNumberFormat="0" applyBorder="0" applyAlignment="0" applyProtection="0"/>
    <xf numFmtId="165" fontId="12" fillId="0" borderId="3">
      <alignment horizontal="center"/>
    </xf>
    <xf numFmtId="164" fontId="11" fillId="8" borderId="0" applyNumberFormat="0" applyBorder="0" applyAlignment="0" applyProtection="0"/>
    <xf numFmtId="164" fontId="11" fillId="9" borderId="0" applyNumberFormat="0" applyBorder="0" applyAlignment="0" applyProtection="0"/>
    <xf numFmtId="164" fontId="11" fillId="10" borderId="0" applyNumberFormat="0" applyBorder="0" applyAlignment="0" applyProtection="0"/>
    <xf numFmtId="164" fontId="11" fillId="5" borderId="0" applyNumberFormat="0" applyBorder="0" applyAlignment="0" applyProtection="0"/>
    <xf numFmtId="164" fontId="11" fillId="8" borderId="0" applyNumberFormat="0" applyBorder="0" applyAlignment="0" applyProtection="0"/>
    <xf numFmtId="164" fontId="11" fillId="11" borderId="0" applyNumberFormat="0" applyBorder="0" applyAlignment="0" applyProtection="0"/>
    <xf numFmtId="164" fontId="13" fillId="12" borderId="0" applyNumberFormat="0" applyBorder="0" applyAlignment="0" applyProtection="0"/>
    <xf numFmtId="164" fontId="13" fillId="9" borderId="0" applyNumberFormat="0" applyBorder="0" applyAlignment="0" applyProtection="0"/>
    <xf numFmtId="164" fontId="13" fillId="10" borderId="0" applyNumberFormat="0" applyBorder="0" applyAlignment="0" applyProtection="0"/>
    <xf numFmtId="164" fontId="13" fillId="13" borderId="0" applyNumberFormat="0" applyBorder="0" applyAlignment="0" applyProtection="0"/>
    <xf numFmtId="164" fontId="13" fillId="14" borderId="0" applyNumberFormat="0" applyBorder="0" applyAlignment="0" applyProtection="0"/>
    <xf numFmtId="164" fontId="13" fillId="15" borderId="0" applyNumberFormat="0" applyBorder="0" applyAlignment="0" applyProtection="0"/>
    <xf numFmtId="164" fontId="13" fillId="16" borderId="0" applyNumberFormat="0" applyBorder="0" applyAlignment="0" applyProtection="0"/>
    <xf numFmtId="164" fontId="13" fillId="17" borderId="0" applyNumberFormat="0" applyBorder="0" applyAlignment="0" applyProtection="0"/>
    <xf numFmtId="164" fontId="13" fillId="18" borderId="0" applyNumberFormat="0" applyBorder="0" applyAlignment="0" applyProtection="0"/>
    <xf numFmtId="164" fontId="13" fillId="13" borderId="0" applyNumberFormat="0" applyBorder="0" applyAlignment="0" applyProtection="0"/>
    <xf numFmtId="164" fontId="13" fillId="14" borderId="0" applyNumberFormat="0" applyBorder="0" applyAlignment="0" applyProtection="0"/>
    <xf numFmtId="164" fontId="13" fillId="19" borderId="0" applyNumberFormat="0" applyBorder="0" applyAlignment="0" applyProtection="0"/>
    <xf numFmtId="164" fontId="14" fillId="3" borderId="0" applyNumberFormat="0" applyBorder="0" applyAlignment="0" applyProtection="0"/>
    <xf numFmtId="0" fontId="15" fillId="0" borderId="0">
      <protection locked="0"/>
    </xf>
    <xf numFmtId="0" fontId="15" fillId="0" borderId="0">
      <protection locked="0"/>
    </xf>
    <xf numFmtId="164" fontId="16" fillId="20" borderId="4" applyNumberFormat="0" applyAlignment="0" applyProtection="0"/>
    <xf numFmtId="164" fontId="16" fillId="20" borderId="4" applyNumberFormat="0" applyAlignment="0" applyProtection="0"/>
    <xf numFmtId="164" fontId="16" fillId="20" borderId="4" applyNumberFormat="0" applyAlignment="0" applyProtection="0"/>
    <xf numFmtId="164" fontId="17" fillId="21" borderId="5" applyNumberFormat="0" applyAlignment="0" applyProtection="0"/>
    <xf numFmtId="164" fontId="17" fillId="21" borderId="5" applyNumberFormat="0" applyAlignment="0" applyProtection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41" fontId="9" fillId="0" borderId="0" applyFont="0" applyFill="0" applyBorder="0" applyAlignment="0" applyProtection="0"/>
    <xf numFmtId="167" fontId="18" fillId="0" borderId="0">
      <protection locked="0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7" fontId="18" fillId="0" borderId="0">
      <protection locked="0"/>
    </xf>
    <xf numFmtId="167" fontId="18" fillId="0" borderId="0">
      <protection locked="0"/>
    </xf>
    <xf numFmtId="0" fontId="19" fillId="0" borderId="0">
      <protection locked="0"/>
    </xf>
    <xf numFmtId="0" fontId="9" fillId="0" borderId="0"/>
    <xf numFmtId="0" fontId="9" fillId="0" borderId="0"/>
    <xf numFmtId="0" fontId="9" fillId="0" borderId="0"/>
    <xf numFmtId="0" fontId="15" fillId="0" borderId="0">
      <protection locked="0"/>
    </xf>
    <xf numFmtId="0" fontId="15" fillId="0" borderId="0">
      <protection locked="0"/>
    </xf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4" fontId="20" fillId="0" borderId="0" applyNumberForma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2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21" fillId="0" borderId="0">
      <protection locked="0"/>
    </xf>
    <xf numFmtId="0" fontId="19" fillId="0" borderId="0">
      <protection locked="0"/>
    </xf>
    <xf numFmtId="169" fontId="19" fillId="0" borderId="0">
      <protection locked="0"/>
    </xf>
    <xf numFmtId="38" fontId="10" fillId="0" borderId="0"/>
    <xf numFmtId="4" fontId="19" fillId="0" borderId="0">
      <protection locked="0"/>
    </xf>
    <xf numFmtId="167" fontId="18" fillId="0" borderId="0">
      <protection locked="0"/>
    </xf>
    <xf numFmtId="164" fontId="22" fillId="4" borderId="0" applyNumberFormat="0" applyBorder="0" applyAlignment="0" applyProtection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3" fillId="0" borderId="2">
      <alignment horizontal="left" vertical="center"/>
    </xf>
    <xf numFmtId="164" fontId="24" fillId="0" borderId="6" applyNumberFormat="0" applyFill="0" applyAlignment="0" applyProtection="0"/>
    <xf numFmtId="164" fontId="25" fillId="0" borderId="7" applyNumberFormat="0" applyFill="0" applyAlignment="0" applyProtection="0"/>
    <xf numFmtId="164" fontId="26" fillId="0" borderId="8" applyNumberFormat="0" applyFill="0" applyAlignment="0" applyProtection="0"/>
    <xf numFmtId="164" fontId="26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164" fontId="27" fillId="7" borderId="4" applyNumberFormat="0" applyAlignment="0" applyProtection="0"/>
    <xf numFmtId="164" fontId="27" fillId="7" borderId="4" applyNumberFormat="0" applyAlignment="0" applyProtection="0"/>
    <xf numFmtId="164" fontId="27" fillId="7" borderId="4" applyNumberFormat="0" applyAlignment="0" applyProtection="0"/>
    <xf numFmtId="164" fontId="28" fillId="0" borderId="9" applyNumberFormat="0" applyFill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1" fontId="19" fillId="0" borderId="0">
      <protection locked="0"/>
    </xf>
    <xf numFmtId="172" fontId="19" fillId="0" borderId="0">
      <protection locked="0"/>
    </xf>
    <xf numFmtId="37" fontId="29" fillId="0" borderId="0"/>
    <xf numFmtId="17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>
      <alignment vertical="top"/>
    </xf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9" fillId="0" borderId="0"/>
    <xf numFmtId="164" fontId="9" fillId="22" borderId="10" applyNumberFormat="0" applyFont="0" applyAlignment="0" applyProtection="0"/>
    <xf numFmtId="164" fontId="9" fillId="22" borderId="10" applyNumberFormat="0" applyFont="0" applyAlignment="0" applyProtection="0"/>
    <xf numFmtId="164" fontId="9" fillId="22" borderId="10" applyNumberFormat="0" applyFont="0" applyAlignment="0" applyProtection="0"/>
    <xf numFmtId="164" fontId="30" fillId="20" borderId="11" applyNumberFormat="0" applyAlignment="0" applyProtection="0"/>
    <xf numFmtId="164" fontId="30" fillId="20" borderId="11" applyNumberFormat="0" applyAlignment="0" applyProtection="0"/>
    <xf numFmtId="164" fontId="30" fillId="20" borderId="11" applyNumberFormat="0" applyAlignment="0" applyProtection="0"/>
    <xf numFmtId="164" fontId="30" fillId="20" borderId="11" applyNumberFormat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4" fontId="19" fillId="0" borderId="0">
      <protection locked="0"/>
    </xf>
    <xf numFmtId="174" fontId="19" fillId="0" borderId="0">
      <protection locked="0"/>
    </xf>
    <xf numFmtId="164" fontId="32" fillId="0" borderId="0" applyNumberFormat="0" applyFill="0" applyBorder="0" applyAlignment="0" applyProtection="0"/>
    <xf numFmtId="164" fontId="33" fillId="0" borderId="0" applyNumberFormat="0" applyFill="0" applyBorder="0" applyAlignment="0" applyProtection="0"/>
    <xf numFmtId="0" fontId="34" fillId="0" borderId="0"/>
    <xf numFmtId="44" fontId="3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12">
      <alignment horizontal="left" vertical="center"/>
    </xf>
    <xf numFmtId="0" fontId="23" fillId="0" borderId="12">
      <alignment horizontal="left" vertical="center"/>
    </xf>
    <xf numFmtId="44" fontId="6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1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75" fontId="36" fillId="0" borderId="13" xfId="0" applyNumberFormat="1" applyFont="1" applyBorder="1" applyAlignment="1">
      <alignment horizontal="center" vertical="center"/>
    </xf>
    <xf numFmtId="175" fontId="3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/>
    </xf>
    <xf numFmtId="14" fontId="0" fillId="0" borderId="0" xfId="0" applyNumberFormat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14" fontId="37" fillId="0" borderId="0" xfId="0" applyNumberFormat="1" applyFont="1"/>
    <xf numFmtId="0" fontId="37" fillId="0" borderId="0" xfId="0" applyFont="1"/>
    <xf numFmtId="14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4" fontId="0" fillId="0" borderId="0" xfId="239" applyFont="1"/>
    <xf numFmtId="44" fontId="4" fillId="0" borderId="0" xfId="239" applyFont="1" applyAlignment="1">
      <alignment horizontal="center" vertical="center"/>
    </xf>
    <xf numFmtId="44" fontId="0" fillId="0" borderId="0" xfId="239" applyFont="1" applyAlignment="1">
      <alignment horizontal="center" vertical="center"/>
    </xf>
    <xf numFmtId="44" fontId="37" fillId="0" borderId="0" xfId="239" applyFont="1" applyAlignment="1">
      <alignment horizontal="center" vertical="center"/>
    </xf>
    <xf numFmtId="44" fontId="39" fillId="0" borderId="0" xfId="0" applyNumberFormat="1" applyFont="1" applyAlignment="1">
      <alignment horizontal="center"/>
    </xf>
    <xf numFmtId="44" fontId="35" fillId="0" borderId="0" xfId="239" applyFont="1" applyAlignment="1">
      <alignment horizontal="center" vertical="center" wrapText="1"/>
    </xf>
    <xf numFmtId="44" fontId="0" fillId="0" borderId="0" xfId="239" applyFont="1" applyAlignment="1">
      <alignment horizontal="center"/>
    </xf>
    <xf numFmtId="44" fontId="0" fillId="0" borderId="0" xfId="0" applyNumberFormat="1" applyFont="1" applyAlignment="1">
      <alignment horizontal="center"/>
    </xf>
  </cellXfs>
  <cellStyles count="240">
    <cellStyle name="20% - Accent1" xfId="19" xr:uid="{752D951F-A9BB-4755-9EE4-473AA5D50376}"/>
    <cellStyle name="20% - Accent2" xfId="20" xr:uid="{7637073F-722C-4DC4-921C-3077726C3474}"/>
    <cellStyle name="20% - Accent3" xfId="21" xr:uid="{626A67B1-2C88-4C9F-9C2F-4ACF057CE529}"/>
    <cellStyle name="20% - Accent4" xfId="22" xr:uid="{2EF11FB1-5653-4BC8-BC71-D7115F6AEE94}"/>
    <cellStyle name="20% - Accent5" xfId="23" xr:uid="{1CD19681-C343-4D70-A6AE-49988C0FE4B5}"/>
    <cellStyle name="20% - Accent6" xfId="24" xr:uid="{FC4595FF-8BE2-445D-80F1-9296698FE2E9}"/>
    <cellStyle name="3" xfId="25" xr:uid="{D59E668F-35B0-4611-A63B-249DFAD0F02D}"/>
    <cellStyle name="40% - Accent1" xfId="26" xr:uid="{78E563A2-8634-4DF8-9283-45C0F59C6E1B}"/>
    <cellStyle name="40% - Accent2" xfId="27" xr:uid="{1891D3E0-C2F4-43F3-B534-2F94B4CD6881}"/>
    <cellStyle name="40% - Accent3" xfId="28" xr:uid="{B18E693D-F1CB-432D-94B8-C53C270E2AAE}"/>
    <cellStyle name="40% - Accent4" xfId="29" xr:uid="{FF9545E5-FAFF-4500-97C8-43E5BC0E0F76}"/>
    <cellStyle name="40% - Accent5" xfId="30" xr:uid="{0B86C8D8-19AF-4918-8CF0-F90050D22D15}"/>
    <cellStyle name="40% - Accent6" xfId="31" xr:uid="{E3F8F51C-5ACA-4699-B4B9-32D98F150BE6}"/>
    <cellStyle name="60% - Accent1" xfId="32" xr:uid="{2353F134-3E02-4B16-9DB3-2F838E4ABA43}"/>
    <cellStyle name="60% - Accent2" xfId="33" xr:uid="{4580FBBF-AD22-43CB-9141-197BB148FA43}"/>
    <cellStyle name="60% - Accent3" xfId="34" xr:uid="{01D05593-66B2-4F9F-9D53-198F8B4DFE52}"/>
    <cellStyle name="60% - Accent4" xfId="35" xr:uid="{62B17F5C-0C15-4696-9408-074D09728F0E}"/>
    <cellStyle name="60% - Accent5" xfId="36" xr:uid="{EDF14F62-9B43-456C-B657-888C94AE2BBF}"/>
    <cellStyle name="60% - Accent6" xfId="37" xr:uid="{6F812B11-34D0-4EC9-AA29-E95B41BB5C93}"/>
    <cellStyle name="Accent1" xfId="38" xr:uid="{B103FF33-E36C-4457-9E74-66CEB6FFC53A}"/>
    <cellStyle name="Accent2" xfId="39" xr:uid="{BF19CC5D-5E57-4BA3-951A-EB615BD3BF0E}"/>
    <cellStyle name="Accent3" xfId="40" xr:uid="{FA5C41B2-42D6-418E-8315-BB5DCDF354D0}"/>
    <cellStyle name="Accent4" xfId="41" xr:uid="{6E49D48B-BC9A-4AA1-BA91-E9993D6E8893}"/>
    <cellStyle name="Accent5" xfId="42" xr:uid="{4B4D1CF9-3264-4BB7-9E9C-841AF6AE7C4E}"/>
    <cellStyle name="Accent6" xfId="43" xr:uid="{4D7DA153-E6C7-42CE-A17B-26FA2253358C}"/>
    <cellStyle name="Bad" xfId="44" xr:uid="{0BAF1F27-77C4-41EB-A95A-1F1278EB2FE9}"/>
    <cellStyle name="Cabecera 1" xfId="45" xr:uid="{8A17B838-17DF-40F5-8F68-07867D36EE82}"/>
    <cellStyle name="Cabecera 2" xfId="46" xr:uid="{4BA2F3FC-120D-4492-8274-3A5368CBF287}"/>
    <cellStyle name="Calculation" xfId="47" xr:uid="{51C07962-44DB-4691-902E-DFD9EF066778}"/>
    <cellStyle name="Calculation 2" xfId="48" xr:uid="{91D64DFC-080C-4BDB-A1F2-41768292700B}"/>
    <cellStyle name="Calculation 3" xfId="49" xr:uid="{E2C911E6-03F6-4F9E-A1E0-ABA8411A952A}"/>
    <cellStyle name="Check Cell" xfId="50" xr:uid="{CD33676E-C629-44E3-8605-625B93EC43D7}"/>
    <cellStyle name="Check Cell 2" xfId="51" xr:uid="{5C811530-281D-4EDC-A20E-293F166D9841}"/>
    <cellStyle name="Comma  - Style1" xfId="52" xr:uid="{87E2606E-0412-4B88-8696-E1F9137F3FE4}"/>
    <cellStyle name="Comma  - Style2" xfId="53" xr:uid="{1B639862-D377-44C4-8EA0-0F798E96DE36}"/>
    <cellStyle name="Comma  - Style3" xfId="54" xr:uid="{BFC8BC96-848C-471B-9B67-06686F59C299}"/>
    <cellStyle name="Comma  - Style4" xfId="55" xr:uid="{F9F1C577-AB7B-4260-AC1B-A625A56E7215}"/>
    <cellStyle name="Comma  - Style5" xfId="56" xr:uid="{56550EAE-E892-4992-A2B9-3FD4C9FCA442}"/>
    <cellStyle name="Comma  - Style6" xfId="57" xr:uid="{205F0628-B070-432D-83C1-3B1172198256}"/>
    <cellStyle name="Comma  - Style7" xfId="58" xr:uid="{5D7287BE-6488-465C-9DF0-817BB19CED17}"/>
    <cellStyle name="Comma  - Style8" xfId="59" xr:uid="{FC61F7D4-47B5-4245-B836-209D0B2C9404}"/>
    <cellStyle name="Comma [0]" xfId="60" xr:uid="{9FFEC50A-366F-44AD-8574-4C0C152F815E}"/>
    <cellStyle name="Comma0" xfId="61" xr:uid="{2A6E8C2D-7C5A-48CE-82B6-28427F0C6718}"/>
    <cellStyle name="Currency [0]" xfId="62" xr:uid="{6297384C-B8CA-48BF-825E-EC92CE454F6C}"/>
    <cellStyle name="Currency 10" xfId="63" xr:uid="{0C8FAA16-5503-4BB9-A081-A7E4648CA8F6}"/>
    <cellStyle name="Currency 10 2" xfId="64" xr:uid="{5D55079C-0F0F-4C85-AE6A-F6EE5FE37CF2}"/>
    <cellStyle name="Currency 11" xfId="65" xr:uid="{E1885792-B0F8-437A-9C6F-376BC3FA285B}"/>
    <cellStyle name="Currency 11 2" xfId="66" xr:uid="{F1B5A3FF-581B-4EF2-BEFA-3C714BDF721F}"/>
    <cellStyle name="Currency 12" xfId="67" xr:uid="{262D664F-EF80-4172-8B50-8968EE54A1C8}"/>
    <cellStyle name="Currency 12 2" xfId="68" xr:uid="{62AF475B-05FD-4885-A19F-0633B92C9AFB}"/>
    <cellStyle name="Currency 13" xfId="69" xr:uid="{8C66994C-ECAA-4CDD-B260-B8BD279630CA}"/>
    <cellStyle name="Currency 13 2" xfId="70" xr:uid="{D952AAF6-DBDD-4F2F-8F93-0A42FC1B2820}"/>
    <cellStyle name="Currency 14" xfId="71" xr:uid="{BC4AAA58-566B-46CA-9DF6-317BDC935840}"/>
    <cellStyle name="Currency 14 2" xfId="72" xr:uid="{8B753084-DB97-4C11-ADA6-28029CF7C8CF}"/>
    <cellStyle name="Currency 15" xfId="73" xr:uid="{FDFEFA43-6B2C-40F6-B856-076D86710ED6}"/>
    <cellStyle name="Currency 15 2" xfId="74" xr:uid="{9000B767-232D-4732-AC7E-D11117E8C772}"/>
    <cellStyle name="Currency 16" xfId="75" xr:uid="{AA0B1A5F-87B4-449B-A926-E2159830DD21}"/>
    <cellStyle name="Currency 16 2" xfId="76" xr:uid="{2A870BA5-C16C-494E-B060-EAC1AC18C5B4}"/>
    <cellStyle name="Currency 17" xfId="77" xr:uid="{ECDD76E4-D073-4608-A4BB-8428226D4B0E}"/>
    <cellStyle name="Currency 17 2" xfId="78" xr:uid="{FB47DF13-16C8-495F-8CBB-A266E5C0C833}"/>
    <cellStyle name="Currency 18" xfId="79" xr:uid="{8076FE45-DBE4-4D63-AD5F-C61CCEBEBF59}"/>
    <cellStyle name="Currency 18 2" xfId="80" xr:uid="{83E66122-82C8-40D7-848F-6F839F5B417C}"/>
    <cellStyle name="Currency 19" xfId="81" xr:uid="{AA2D54AD-D591-4FFB-8D7E-1A1C92E48059}"/>
    <cellStyle name="Currency 19 2" xfId="82" xr:uid="{F019CE32-312A-45DE-AA0F-E66C5E67B25E}"/>
    <cellStyle name="Currency 2" xfId="83" xr:uid="{C82065AB-A59F-452E-B8B5-8B17E1B3E7EF}"/>
    <cellStyle name="Currency 2 2" xfId="84" xr:uid="{55AE938F-3DB6-4BB5-A53C-A35176A8085D}"/>
    <cellStyle name="Currency 20" xfId="85" xr:uid="{6BF1D1F1-B1A8-45AF-A719-B6C7AB19825A}"/>
    <cellStyle name="Currency 20 2" xfId="86" xr:uid="{F3014663-AA92-496E-B39D-D7CC5EEF2B7F}"/>
    <cellStyle name="Currency 21" xfId="87" xr:uid="{8339D2F4-1E6D-4635-8FA9-3941239A588C}"/>
    <cellStyle name="Currency 21 2" xfId="88" xr:uid="{9AF20C32-4AC4-46EF-9BF2-139AA036BF67}"/>
    <cellStyle name="Currency 22" xfId="89" xr:uid="{14CE85F3-43A7-4111-AD07-C45B65D8506A}"/>
    <cellStyle name="Currency 22 2" xfId="90" xr:uid="{1428C83D-2223-41B9-9770-60B68A4C741F}"/>
    <cellStyle name="Currency 3" xfId="91" xr:uid="{6A59A2C2-D9B8-4DF0-82EE-8F261D509881}"/>
    <cellStyle name="Currency 3 2" xfId="92" xr:uid="{AD827E9D-DA72-4697-9E7C-ECAEBCBA376D}"/>
    <cellStyle name="Currency 4" xfId="93" xr:uid="{AC71D628-86C2-4B70-91BE-059256C0F464}"/>
    <cellStyle name="Currency 4 2" xfId="94" xr:uid="{347BBA23-59F0-4908-8B0B-0CD56A87C495}"/>
    <cellStyle name="Currency 5" xfId="95" xr:uid="{FD5368A1-01CD-457C-9160-F526926744EA}"/>
    <cellStyle name="Currency 5 2" xfId="96" xr:uid="{1747BC39-C4FD-4497-BBB9-22AA7E67D922}"/>
    <cellStyle name="Currency 6" xfId="97" xr:uid="{418B744A-F184-4F86-A8E9-4369D491161F}"/>
    <cellStyle name="Currency 6 2" xfId="98" xr:uid="{93E863A0-1D58-407C-80C0-C60D0FBCFCA7}"/>
    <cellStyle name="Currency 7" xfId="99" xr:uid="{25288926-CC26-4EA0-A5CC-ADF4BA3AE09D}"/>
    <cellStyle name="Currency 7 2" xfId="100" xr:uid="{08914BE1-6F6F-487F-8882-127C7C74D740}"/>
    <cellStyle name="Currency 8" xfId="101" xr:uid="{8FCCAB89-98F8-4827-86FA-928A51C8E1CA}"/>
    <cellStyle name="Currency 8 2" xfId="102" xr:uid="{2186B441-3557-4AD5-ADDE-0BBADFE6BC59}"/>
    <cellStyle name="Currency 9" xfId="103" xr:uid="{5C7F093A-39CB-4D33-9226-043887C6BDF8}"/>
    <cellStyle name="Currency 9 2" xfId="104" xr:uid="{BF1394D8-9C33-494B-8315-4ECB958F5BAA}"/>
    <cellStyle name="Currency0" xfId="105" xr:uid="{9CA6E56C-564C-43B8-B82F-C5B9CF0C5F24}"/>
    <cellStyle name="Date" xfId="106" xr:uid="{2997510F-D343-4D01-9510-5CF4D85C7590}"/>
    <cellStyle name="Dia" xfId="107" xr:uid="{E29D6C15-43DF-41A4-901F-87D7AEDB859E}"/>
    <cellStyle name="Diseño" xfId="108" xr:uid="{CC282208-AB4C-467D-A043-B43A555B75BA}"/>
    <cellStyle name="Diseño 2" xfId="109" xr:uid="{FFBA0F1F-2077-4EDA-9ACF-DD1D4812C8E6}"/>
    <cellStyle name="Diseño_PROFORMA PTE. EL CARRIZO" xfId="110" xr:uid="{91073A13-D253-4867-A47C-AB9D43457F71}"/>
    <cellStyle name="Encabez1" xfId="111" xr:uid="{15957045-4A1E-4B48-9C0B-6B06BB431AFA}"/>
    <cellStyle name="Encabez2" xfId="112" xr:uid="{0445C47D-8382-499C-B9A6-3370C0AE2DF5}"/>
    <cellStyle name="Euro" xfId="113" xr:uid="{C9789860-B90A-42FD-863E-C733CB314C61}"/>
    <cellStyle name="Euro 2" xfId="114" xr:uid="{89392C0C-3396-4965-A51C-DCACF25585BA}"/>
    <cellStyle name="Explanatory Text" xfId="115" xr:uid="{DCA1C74B-CE16-44EA-BC1A-C30D49CEC4B2}"/>
    <cellStyle name="F2" xfId="116" xr:uid="{7187E4FE-D95D-4049-9267-8E03776910B8}"/>
    <cellStyle name="F3" xfId="117" xr:uid="{8D419F91-C286-47CC-99DB-12734734AD3E}"/>
    <cellStyle name="F4" xfId="118" xr:uid="{1D736785-E108-4611-94FD-F9A6CB6F24C1}"/>
    <cellStyle name="F5" xfId="119" xr:uid="{BCFF5F1A-5ADE-4F84-8545-0BA19017305E}"/>
    <cellStyle name="F6" xfId="120" xr:uid="{39D05C9C-83E5-44BA-9AAF-C2CADF57E26A}"/>
    <cellStyle name="F7" xfId="121" xr:uid="{D9C18F82-DDB9-4A88-BD86-C1FB34B7A616}"/>
    <cellStyle name="F8" xfId="122" xr:uid="{846154BC-FBFA-49FD-9ECE-2DC50D579925}"/>
    <cellStyle name="Fecha" xfId="123" xr:uid="{05B9A036-38CD-4660-A6F8-79FB91CECF8E}"/>
    <cellStyle name="Fijo" xfId="124" xr:uid="{4DE7040E-D56E-4F6D-877F-74741DBB07BD}"/>
    <cellStyle name="file" xfId="125" xr:uid="{AD9641E2-2E5B-45AA-AC8C-1EEFC525AA3D}"/>
    <cellStyle name="Financiero" xfId="126" xr:uid="{B691941C-8842-44BD-A035-BB839EABE8E1}"/>
    <cellStyle name="Fixed" xfId="127" xr:uid="{C7D4A1A4-1EB7-460A-8754-D42C964587AC}"/>
    <cellStyle name="Good" xfId="128" xr:uid="{2644DC45-DF90-4081-8AEF-E57410F96D42}"/>
    <cellStyle name="Header1" xfId="129" xr:uid="{07106E18-5CBA-4EA9-A03C-4A00FF952E84}"/>
    <cellStyle name="Header2" xfId="130" xr:uid="{2C54EA43-59C6-4EE6-8866-B1CF5FA2FC29}"/>
    <cellStyle name="Header2 2" xfId="131" xr:uid="{6DC2212C-24D1-45AA-9252-99437861F2D7}"/>
    <cellStyle name="Header2 2 2" xfId="237" xr:uid="{187C9907-773E-462C-8B3F-59C93EE5D1C9}"/>
    <cellStyle name="Header2 3" xfId="238" xr:uid="{B03004A5-522D-4410-B0B1-64BA2661E287}"/>
    <cellStyle name="Heading 1" xfId="132" xr:uid="{1E4C6EDF-A593-432F-82B5-B7316DD46667}"/>
    <cellStyle name="Heading 2" xfId="133" xr:uid="{EB381AF0-50B3-4062-999B-111C38F200D3}"/>
    <cellStyle name="Heading 3" xfId="134" xr:uid="{F1136DCF-84A0-40DD-8DBA-A0206D5CE274}"/>
    <cellStyle name="Heading 4" xfId="135" xr:uid="{388EBDD5-E8F2-441B-938F-53DE1F3BE7E9}"/>
    <cellStyle name="Heading1" xfId="136" xr:uid="{6C945C1E-87B6-4F77-9320-0A736E26B39A}"/>
    <cellStyle name="Heading2" xfId="137" xr:uid="{52FCB8F5-0593-4A48-82C5-66A2116D24AB}"/>
    <cellStyle name="Input" xfId="138" xr:uid="{05A8C6F6-79F4-4718-AFA1-377FE42F5B6B}"/>
    <cellStyle name="Input 2" xfId="139" xr:uid="{577B5BF1-9F53-4CBD-A6FD-C76BE7BB4A7A}"/>
    <cellStyle name="Input 3" xfId="140" xr:uid="{681071AB-CDD7-4641-A248-5F357226CCBC}"/>
    <cellStyle name="Linked Cell" xfId="141" xr:uid="{6A41DB70-6577-421E-89F6-0B841C05A010}"/>
    <cellStyle name="Millares 10" xfId="142" xr:uid="{BEE6DF6D-37D6-4108-B9DB-344E4E92C5C7}"/>
    <cellStyle name="Millares 11" xfId="143" xr:uid="{5A67E688-5446-4F5A-9CFA-1AD297C5E590}"/>
    <cellStyle name="Millares 12" xfId="144" xr:uid="{3BB988A3-1E12-4095-8E2A-CCF18011D259}"/>
    <cellStyle name="Millares 13" xfId="145" xr:uid="{EA79DEC4-AD9D-4D50-A041-98BD92B6D4CA}"/>
    <cellStyle name="Millares 14" xfId="146" xr:uid="{4E9FF877-5E26-4BE9-B506-5AFFDB914C25}"/>
    <cellStyle name="Millares 2" xfId="6" xr:uid="{67EA352F-91C2-4AED-B3E2-777F0CB8C485}"/>
    <cellStyle name="Millares 2 2" xfId="7" xr:uid="{EE06A714-96A9-4B65-8567-967BFE8BA9E1}"/>
    <cellStyle name="Millares 2 2 2" xfId="147" xr:uid="{EC4BF890-E4AA-438D-9380-A0B33003214C}"/>
    <cellStyle name="Millares 2 3" xfId="148" xr:uid="{32561226-F372-4126-8D1E-8B848C6D29D6}"/>
    <cellStyle name="Millares 2 3 2" xfId="149" xr:uid="{8A01E806-0CBD-4DB8-8889-CCC76D326C2A}"/>
    <cellStyle name="Millares 2 4" xfId="150" xr:uid="{11D8693A-4132-449A-8A49-8A47BC919151}"/>
    <cellStyle name="Millares 2 5" xfId="151" xr:uid="{0BAC3E77-025D-44D3-B9C2-DC5D80D33F21}"/>
    <cellStyle name="Millares 2 6" xfId="152" xr:uid="{719897C9-A248-4AE5-A0F6-C77002177F3E}"/>
    <cellStyle name="Millares 2 7" xfId="153" xr:uid="{40EA2274-9056-4165-ACA9-E022C556CE26}"/>
    <cellStyle name="Millares 2 8" xfId="154" xr:uid="{8550E5E8-23BA-4876-8102-14CE8E85934F}"/>
    <cellStyle name="Millares 3" xfId="8" xr:uid="{FA3935DE-BC1E-4A33-8310-EDE9AD3E21EC}"/>
    <cellStyle name="Millares 3 2" xfId="155" xr:uid="{FCB08F96-4EAB-41CB-988F-F6F93E324E94}"/>
    <cellStyle name="Millares 4" xfId="156" xr:uid="{A440C58F-32A7-4B84-A3EF-B046C6C717BE}"/>
    <cellStyle name="Millares 4 2" xfId="157" xr:uid="{D4A9FBF0-989B-478E-BDD2-BA69D565EC14}"/>
    <cellStyle name="Millares 4 2 2" xfId="158" xr:uid="{4D8587F5-29BC-4B73-A5F1-51E9864B8E11}"/>
    <cellStyle name="Millares 4 3" xfId="159" xr:uid="{31FE574D-BEE1-4756-A940-09D3F69F7DC4}"/>
    <cellStyle name="Millares 5" xfId="160" xr:uid="{93E7BB97-6C5E-4216-9D0D-3D0588255E41}"/>
    <cellStyle name="Millares 5 2" xfId="161" xr:uid="{CDD4AD32-7432-4008-8354-7B7CAF12C8D0}"/>
    <cellStyle name="Millares 6" xfId="162" xr:uid="{85E36BE2-AA81-459D-BC2C-7B9B00594E90}"/>
    <cellStyle name="Millares 7" xfId="163" xr:uid="{4F40FE2D-187D-4D7D-AA8F-FB3251DC1E0B}"/>
    <cellStyle name="Millares 8" xfId="164" xr:uid="{27B11ADD-9A97-410F-8425-C2464157C5A7}"/>
    <cellStyle name="Millares 9" xfId="165" xr:uid="{D7880192-C712-4D25-9536-1C48CD5570EE}"/>
    <cellStyle name="Moneda" xfId="239" builtinId="4"/>
    <cellStyle name="Moneda 10" xfId="166" xr:uid="{038B03A3-05D9-49F6-B355-594156589243}"/>
    <cellStyle name="Moneda 11" xfId="167" xr:uid="{A0B6917D-347C-45E6-AC60-32EBAB4D9A07}"/>
    <cellStyle name="Moneda 12" xfId="168" xr:uid="{C9A6621B-FA19-4069-A219-2BCBCCA5911F}"/>
    <cellStyle name="Moneda 13" xfId="169" xr:uid="{7D70DAE2-8C82-48CB-8EC0-CC40C3CCEB91}"/>
    <cellStyle name="Moneda 14" xfId="170" xr:uid="{A9A42227-86D3-4D4C-BEF6-DF8A6EBD2F86}"/>
    <cellStyle name="Moneda 15" xfId="171" xr:uid="{0BFAC638-431B-419E-8AE6-3FB9DA28BA76}"/>
    <cellStyle name="Moneda 16" xfId="172" xr:uid="{C8C74779-E0D6-4CAC-B580-59740E280932}"/>
    <cellStyle name="Moneda 17" xfId="232" xr:uid="{5E9E7CAA-2B9B-4880-94F0-8983C99B9677}"/>
    <cellStyle name="Moneda 2" xfId="9" xr:uid="{F0171610-5AD5-482F-9BD0-0FDAD150FE3A}"/>
    <cellStyle name="Moneda 2 2" xfId="2" xr:uid="{C45C7B5E-48F6-48DA-805F-2539AC5A966E}"/>
    <cellStyle name="Moneda 2 2 2" xfId="173" xr:uid="{DDB1742E-A5A2-4EAF-84D5-38763BDF8E32}"/>
    <cellStyle name="Moneda 3" xfId="3" xr:uid="{ECB27A64-58F4-4834-88C4-DA5986D77517}"/>
    <cellStyle name="Moneda 3 2" xfId="174" xr:uid="{B00A2298-93FA-4A63-AB66-799D04ECF699}"/>
    <cellStyle name="Moneda 4" xfId="175" xr:uid="{FA173CB1-6A96-4A75-A05C-7AC3EEB64809}"/>
    <cellStyle name="Moneda 5" xfId="176" xr:uid="{E268DA19-9B6B-42E1-888D-997706F4297C}"/>
    <cellStyle name="Moneda 5 2" xfId="177" xr:uid="{C8887850-70C9-4156-95CC-7DDFF26BAE4D}"/>
    <cellStyle name="Moneda 6" xfId="178" xr:uid="{328D031B-A4B4-40B2-9E9D-825A8B72CA0F}"/>
    <cellStyle name="Moneda 6 2" xfId="179" xr:uid="{E607B1F0-F46F-4106-82F1-9B0791508809}"/>
    <cellStyle name="Moneda 7" xfId="180" xr:uid="{2DA296E6-1833-47C7-A0B0-1DF663D68815}"/>
    <cellStyle name="Moneda 7 2" xfId="181" xr:uid="{0EE1473E-37C2-4C68-905A-2E97E3A30EC1}"/>
    <cellStyle name="Moneda 8" xfId="182" xr:uid="{32B0A728-C009-4330-855A-ABA86A3B69E5}"/>
    <cellStyle name="Moneda 9" xfId="183" xr:uid="{BF353481-B0C2-4D67-A45A-5932C7AF9B94}"/>
    <cellStyle name="Monetario" xfId="184" xr:uid="{54590BEB-DE8A-49F0-B7E1-7E02723ECE02}"/>
    <cellStyle name="Monetario0" xfId="185" xr:uid="{83635DF6-450F-4872-829C-A65C8B73DB2F}"/>
    <cellStyle name="no dec" xfId="186" xr:uid="{A4D4FC79-6AEC-4638-819A-D1DA6723437E}"/>
    <cellStyle name="Normal" xfId="0" builtinId="0"/>
    <cellStyle name="Normal - Style1" xfId="187" xr:uid="{3860E3DD-2581-49F8-8028-F9C4095043A8}"/>
    <cellStyle name="Normal 10" xfId="10" xr:uid="{CBDB2D6A-571B-44B0-A01C-36D9573CDBA9}"/>
    <cellStyle name="Normal 10 2" xfId="233" xr:uid="{938ACE0D-6D74-423A-83B4-7D3C5C5A2875}"/>
    <cellStyle name="Normal 11" xfId="11" xr:uid="{6226917A-93E2-4170-9D56-C4533C7AAD5E}"/>
    <cellStyle name="Normal 12" xfId="188" xr:uid="{964AEEAD-0DF8-455C-B9CC-F472D9024484}"/>
    <cellStyle name="Normal 13" xfId="189" xr:uid="{C31420A2-DF0A-4594-ADF7-C3384A188E8A}"/>
    <cellStyle name="Normal 14" xfId="190" xr:uid="{8F48B16F-ADFB-4F42-BC83-381FE0AB6758}"/>
    <cellStyle name="Normal 15" xfId="191" xr:uid="{158201BF-3A79-4B51-8064-554A1838DE84}"/>
    <cellStyle name="Normal 16" xfId="192" xr:uid="{1E19BF0F-88C9-41D3-B634-EF3367F8A8D9}"/>
    <cellStyle name="Normal 17" xfId="193" xr:uid="{17E9E683-B225-454C-AE16-08E18BCCEDD2}"/>
    <cellStyle name="Normal 18" xfId="194" xr:uid="{A60EEB5F-2C0B-4426-BA9B-C102192D803E}"/>
    <cellStyle name="Normal 19" xfId="195" xr:uid="{B0149018-A722-4C13-9CBE-CCCB195D1BDE}"/>
    <cellStyle name="Normal 2" xfId="12" xr:uid="{EC0B30ED-2CBC-4AA9-9B8F-CFE648277224}"/>
    <cellStyle name="Normal 2 2" xfId="13" xr:uid="{A94E869C-F241-4757-9D48-96B0E012D687}"/>
    <cellStyle name="Normal 2 2 2" xfId="196" xr:uid="{930347DF-F11E-4256-9CB4-0FEFA59B4103}"/>
    <cellStyle name="Normal 2 2 3" xfId="197" xr:uid="{C6E2E28A-3C92-4A9D-B22A-14B50D11B452}"/>
    <cellStyle name="Normal 2 3" xfId="198" xr:uid="{C0CDCDA2-FC09-4E82-AE8A-A13B08D055EA}"/>
    <cellStyle name="Normal 2 3 2" xfId="199" xr:uid="{1C5A9462-8DEA-4650-8F82-46ADFB7716F0}"/>
    <cellStyle name="Normal 2 4" xfId="200" xr:uid="{AF4D1DAF-0249-433B-BD1E-F8CFF6CE8E82}"/>
    <cellStyle name="Normal 2 5" xfId="201" xr:uid="{66BCEBB9-2CBE-4369-82D1-1BBE1F8F877F}"/>
    <cellStyle name="Normal 2 6" xfId="202" xr:uid="{10DAB5C2-24F1-40D8-8369-82499F979738}"/>
    <cellStyle name="Normal 2 7" xfId="203" xr:uid="{1ACC36C2-CB09-4AC9-BBE9-D86C50E4A1CD}"/>
    <cellStyle name="Normal 20" xfId="204" xr:uid="{6DF5CFED-1C52-4C15-9394-50F7A99BC8AD}"/>
    <cellStyle name="Normal 21" xfId="205" xr:uid="{D304CDCD-3AAF-476E-886E-35A47E32ACF1}"/>
    <cellStyle name="Normal 22" xfId="206" xr:uid="{57316D1E-2CFA-4FBA-A97D-065AF0D7D8DF}"/>
    <cellStyle name="Normal 23" xfId="207" xr:uid="{F78C88A3-D8B0-4811-868A-261D4037A597}"/>
    <cellStyle name="Normal 24" xfId="1" xr:uid="{B6833CD0-733B-4327-9971-1CBECD28B050}"/>
    <cellStyle name="Normal 25" xfId="231" xr:uid="{8436E9CB-27B7-47D1-B6B5-CCC0EB062AA2}"/>
    <cellStyle name="Normal 26" xfId="234" xr:uid="{C611AD1E-550D-4F5E-8954-23B226D9C17A}"/>
    <cellStyle name="Normal 27" xfId="235" xr:uid="{18A98CF5-9221-455A-8BB8-7B9DF6FB516D}"/>
    <cellStyle name="Normal 28" xfId="236" xr:uid="{FAD0C133-C1CD-43EC-BD67-A418FFFB295E}"/>
    <cellStyle name="Normal 3" xfId="14" xr:uid="{0AAAD46D-6500-4A46-BFF2-F000BE08280D}"/>
    <cellStyle name="Normal 3 2" xfId="15" xr:uid="{87DF186F-DF80-40E4-BFE7-08BF32BF42DE}"/>
    <cellStyle name="Normal 3 3" xfId="208" xr:uid="{E018CCDD-B639-4D70-95AE-A4ED771CF60F}"/>
    <cellStyle name="Normal 4" xfId="5" xr:uid="{86FB4F7F-103F-4CCB-A7E6-90863AE4B570}"/>
    <cellStyle name="Normal 4 2" xfId="209" xr:uid="{120F7C82-6CDA-445E-ACD2-1B24CDD74F41}"/>
    <cellStyle name="Normal 5" xfId="210" xr:uid="{823C1AF2-372B-4F6C-BA9F-628CE5C2AD97}"/>
    <cellStyle name="Normal 5 2" xfId="211" xr:uid="{E74375F8-C2EF-4A10-AC42-802DFCBF0681}"/>
    <cellStyle name="Normal 6" xfId="212" xr:uid="{188F1B32-BE07-4ECF-87A8-ED6268EAD3DB}"/>
    <cellStyle name="Normal 7" xfId="213" xr:uid="{D6AB79A0-310B-467C-8A5B-2447CA97E23B}"/>
    <cellStyle name="Normal 8" xfId="214" xr:uid="{288F174B-0F3D-483F-987E-B1C61889A774}"/>
    <cellStyle name="Normal 8 2" xfId="16" xr:uid="{EC0853B2-55DE-44C6-9233-52EAC31E78BB}"/>
    <cellStyle name="Normal 9" xfId="17" xr:uid="{AA61A5EF-ED48-448C-AA9D-45BBAB96A931}"/>
    <cellStyle name="Normal 9 2" xfId="18" xr:uid="{7767F995-2529-40DA-8114-87EBD1611250}"/>
    <cellStyle name="Note" xfId="215" xr:uid="{373AF97A-7D64-4699-BA17-AE43148BFD34}"/>
    <cellStyle name="Note 2" xfId="216" xr:uid="{FB09EFE1-C3B8-4D84-BBC4-E18DB0AE7402}"/>
    <cellStyle name="Note 3" xfId="217" xr:uid="{A7F45B65-568B-4F08-BEB5-5B104E1B4DF1}"/>
    <cellStyle name="Output" xfId="218" xr:uid="{AC4A035C-13F1-4123-89B6-8F14BC8DB583}"/>
    <cellStyle name="Output 2" xfId="219" xr:uid="{48FF9F78-BB85-4112-B901-B02CC5C63AD1}"/>
    <cellStyle name="Output 3" xfId="220" xr:uid="{B0A99004-C222-4190-86A1-B91D362D1E84}"/>
    <cellStyle name="Output 4" xfId="221" xr:uid="{691F4B67-05F7-45D2-9C2A-A33D38BD813E}"/>
    <cellStyle name="Porcentaje 2" xfId="4" xr:uid="{144C3637-DA21-4A17-A2D0-BA323C511A6A}"/>
    <cellStyle name="Porcentual 2" xfId="222" xr:uid="{3FF103D0-1F23-4834-A867-5D155EC6D98A}"/>
    <cellStyle name="Porcentual 3" xfId="223" xr:uid="{9AD7D4EE-E6EF-4C4A-9C06-3EF879DCEA00}"/>
    <cellStyle name="Porcentual 3 2" xfId="224" xr:uid="{6CCC8EC9-98F8-42CB-82D0-84708C3E733F}"/>
    <cellStyle name="Porcentual 3 3" xfId="225" xr:uid="{5CA09D56-14E3-43F8-A552-D50BE90C24D7}"/>
    <cellStyle name="Porcentual 4" xfId="226" xr:uid="{68A477C6-28F1-4395-BDF8-AD36482CE441}"/>
    <cellStyle name="Punto" xfId="227" xr:uid="{FB486B6B-F4E0-4B85-A7DB-C6327096706F}"/>
    <cellStyle name="Punto0" xfId="228" xr:uid="{6777904E-055A-47D5-8CAC-53D6B98EB3BC}"/>
    <cellStyle name="Title" xfId="229" xr:uid="{FDBCF953-F164-44F6-9BFF-6FE8CCD8EB48}"/>
    <cellStyle name="Warning Text" xfId="230" xr:uid="{3C4CE4B7-4370-4539-B11A-D59F0C1FA6F6}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92F9F-F71D-47F4-8052-EC02B1A4076C}" name="Tabla134" displayName="Tabla134" ref="A6:U117" totalsRowCount="1" headerRowDxfId="86" dataDxfId="85" totalsRowDxfId="84">
  <autoFilter ref="A6:U116" xr:uid="{8D717C90-FB95-4296-A6C9-C79B7A18A200}"/>
  <tableColumns count="21">
    <tableColumn id="1" xr3:uid="{7A452428-A22C-49AB-BF8D-53941C4C7B7D}" name="SEM " totalsRowLabel="TOTAL" dataDxfId="83" totalsRowDxfId="48"/>
    <tableColumn id="16" xr3:uid="{07632DCE-86C9-4DAB-96B6-3D15BC4E34E9}" name="NO" dataDxfId="82" totalsRowDxfId="47"/>
    <tableColumn id="2" xr3:uid="{95752474-9822-4578-AAD3-E1E7BCF6C4BF}" name="FOLIO " dataDxfId="81" totalsRowDxfId="46"/>
    <tableColumn id="3" xr3:uid="{D566B420-B7D2-4357-858E-9E3C7030BF50}" name="FECHA" dataDxfId="80" totalsRowDxfId="45"/>
    <tableColumn id="10" xr3:uid="{887BBD80-3DD5-47F1-94DD-2C255F1A9AE8}" name="VIAJES " totalsRowFunction="sum" dataDxfId="79" totalsRowDxfId="44"/>
    <tableColumn id="4" xr3:uid="{BA50F43A-9D3C-4614-97A8-230A95796ACA}" name="MATERIAL " dataDxfId="78" totalsRowDxfId="43"/>
    <tableColumn id="5" xr3:uid="{711B0AC2-03FE-4ADB-900C-0B6BC8A971ED}" name="PLACAS" dataDxfId="77" totalsRowDxfId="42"/>
    <tableColumn id="6" xr3:uid="{F3424566-E94A-44F1-B4E0-0FD8812538A7}" name="CAPACIDAD" totalsRowFunction="sum" dataDxfId="76" totalsRowDxfId="41"/>
    <tableColumn id="11" xr3:uid="{9F174E4F-5017-496B-B188-E750CC00E47E}" name="UNIDAD " dataDxfId="75" totalsRowDxfId="40"/>
    <tableColumn id="7" xr3:uid="{1BBCB745-943B-41CC-BA5F-2A5F663B7FC4}" name="OPERADOR" dataDxfId="74" totalsRowDxfId="39"/>
    <tableColumn id="8" xr3:uid="{7C0DBDAB-0E2C-444E-803A-C15D9ADD9E44}" name="SINDICATO" dataDxfId="73" totalsRowDxfId="38"/>
    <tableColumn id="15" xr3:uid="{601E3CAB-50E9-4BE2-959C-3CE7E941DE4E}" name="KM INICIA" dataDxfId="72" totalsRowDxfId="37"/>
    <tableColumn id="14" xr3:uid="{D1D68F5A-A391-4FD5-ABE2-C819A5CC4C25}" name="KM TERMINA" dataDxfId="71" totalsRowDxfId="36"/>
    <tableColumn id="17" xr3:uid="{EBC2FF33-0CBA-45F1-B745-B08EE32CB372}" name="TIRO " dataDxfId="70" totalsRowDxfId="35"/>
    <tableColumn id="13" xr3:uid="{14BCF14B-60BD-4360-BAB7-2EE5F361856C}" name="CPO" dataDxfId="69" totalsRowDxfId="34"/>
    <tableColumn id="12" xr3:uid="{A17143CC-C69C-4B04-8620-ECD805E7797E}" name="CARRIL" dataDxfId="68" totalsRowDxfId="33"/>
    <tableColumn id="9" xr3:uid="{923A1F37-5BD7-4C71-B9A3-24BD6217D0D6}" name="OBSERVACIONES" dataDxfId="67" totalsRowDxfId="32"/>
    <tableColumn id="18" xr3:uid="{1F667CCF-BC2A-4301-BE1D-C82F13DDBE02}" name="PU" dataDxfId="15" totalsRowDxfId="14" dataCellStyle="Moneda"/>
    <tableColumn id="19" xr3:uid="{C9F508B4-6300-469D-B5E8-8C7C83F927C2}" name="SUBTOTAL" dataDxfId="10" totalsRowDxfId="13" dataCellStyle="Moneda">
      <calculatedColumnFormula>Tabla134[[#This Row],[PU]]*Tabla134[[#This Row],[VIAJES ]]</calculatedColumnFormula>
    </tableColumn>
    <tableColumn id="20" xr3:uid="{D1CC544C-CC16-4B17-A61B-2CE3F11898BB}" name="IVA" dataDxfId="9" totalsRowDxfId="12" dataCellStyle="Moneda">
      <calculatedColumnFormula>Tabla134[[#This Row],[SUBTOTAL]]*16%</calculatedColumnFormula>
    </tableColumn>
    <tableColumn id="21" xr3:uid="{D7A8BBA2-3DF4-458D-A5E1-B87B8C3956EC}" name="TOTAL" totalsRowFunction="sum" dataDxfId="8" totalsRowDxfId="11" dataCellStyle="Moneda">
      <calculatedColumnFormula>Tabla134[[#This Row],[SUBTOTAL]]+Tabla134[[#This Row],[IVA]]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27EBC-6E34-47EA-A5D1-F03F28A197B4}" name="Tabla13" displayName="Tabla13" ref="A6:T82" totalsRowCount="1" headerRowDxfId="66" totalsRowDxfId="65">
  <autoFilter ref="A6:T81" xr:uid="{8D717C90-FB95-4296-A6C9-C79B7A18A200}"/>
  <tableColumns count="20">
    <tableColumn id="1" xr3:uid="{DBDDDE87-3136-41BB-BF2C-19141E7900E5}" name="SEM " totalsRowLabel="TOTAL" dataDxfId="64" totalsRowDxfId="31"/>
    <tableColumn id="13" xr3:uid="{FF2DBDA8-D9D1-440C-8052-490C0FAEFD04}" name="NO" dataDxfId="63" totalsRowDxfId="30"/>
    <tableColumn id="2" xr3:uid="{173D1978-9F3A-4300-BEB6-0A47D0AD4515}" name="FOLIO " dataDxfId="62" totalsRowDxfId="29"/>
    <tableColumn id="3" xr3:uid="{967F54B0-9546-45F7-8B88-7A985CB17E2C}" name="FECHA" dataDxfId="61" totalsRowDxfId="28"/>
    <tableColumn id="10" xr3:uid="{59ED56B1-A4CB-4E5A-BC9B-096EC1A34E87}" name="VIAJES " totalsRowFunction="sum" dataDxfId="60" totalsRowDxfId="27"/>
    <tableColumn id="4" xr3:uid="{1A34ABD1-F24C-4950-845E-93ADDD32354A}" name="MATERIAL " dataDxfId="59" totalsRowDxfId="26"/>
    <tableColumn id="5" xr3:uid="{6BFD7B16-4B05-46FA-8DFB-11DDF6836665}" name="PLACAS" dataDxfId="58" totalsRowDxfId="25"/>
    <tableColumn id="6" xr3:uid="{47A23ED3-893B-4ACB-ADAE-653A5B4D9482}" name="CAPACIDAD (M3) " totalsRowFunction="sum" dataDxfId="57" totalsRowDxfId="24"/>
    <tableColumn id="12" xr3:uid="{8D4BF9F9-D4F6-4546-A952-4AAA08105500}" name="PESO TOTAL (KG) " dataDxfId="56" totalsRowDxfId="23"/>
    <tableColumn id="7" xr3:uid="{5BD4FFA7-7053-44BE-927E-CB5FC555D15D}" name="OPERADOR" dataDxfId="55" totalsRowDxfId="22"/>
    <tableColumn id="8" xr3:uid="{320C1973-DA64-4E94-8675-2E332E271B1B}" name="SINDICATO" dataDxfId="54" totalsRowDxfId="21"/>
    <tableColumn id="14" xr3:uid="{F090B8BF-8FBF-45F1-9A05-92A347734BDD}" name="KM INICIO" dataDxfId="53" totalsRowDxfId="20"/>
    <tableColumn id="11" xr3:uid="{8A8C90D6-C2B1-4151-A4E1-C48F09C5EA5C}" name="KM FINAL" dataDxfId="52" totalsRowDxfId="19"/>
    <tableColumn id="15" xr3:uid="{97A37FD8-E094-42F4-B99A-522CF65E21B3}" name="CUERPO" dataDxfId="51" totalsRowDxfId="18"/>
    <tableColumn id="17" xr3:uid="{14CEEB12-F1C7-49C2-A2C5-A584420EE438}" name="KM ACARREO POR VIAJE" dataDxfId="50" totalsRowDxfId="17"/>
    <tableColumn id="9" xr3:uid="{18E147B0-810A-4CE1-A0E3-21AD3320FC00}" name="OBSERVACIONES" dataDxfId="49" totalsRowDxfId="16"/>
    <tableColumn id="16" xr3:uid="{2AB614BD-E72C-4B59-9BBB-7C19494B35AA}" name="PU" dataDxfId="1" totalsRowDxfId="0" dataCellStyle="Moneda"/>
    <tableColumn id="18" xr3:uid="{DBB8E400-EAF3-4660-84C3-2399ED0CFB79}" name="SUBTOTAL" dataDxfId="7" totalsRowDxfId="4" dataCellStyle="Moneda">
      <calculatedColumnFormula>Tabla13[[#This Row],[PU]]*Tabla13[[#This Row],[VIAJES ]]</calculatedColumnFormula>
    </tableColumn>
    <tableColumn id="19" xr3:uid="{729178C2-5F27-4EF4-AB6D-F13E2CC18313}" name="IVA" dataDxfId="6" totalsRowDxfId="3" dataCellStyle="Moneda">
      <calculatedColumnFormula>Tabla13[[#This Row],[SUBTOTAL]]*16%</calculatedColumnFormula>
    </tableColumn>
    <tableColumn id="20" xr3:uid="{94EF9FD1-D490-4FD6-B13E-7E2EE8959857}" name="TOTAL " totalsRowFunction="sum" dataDxfId="5" totalsRowDxfId="2" dataCellStyle="Moneda">
      <calculatedColumnFormula>Tabla13[[#This Row],[SUBTOTAL]]+Tabla13[[#This Row],[IVA]]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C85E-7EA1-438B-B709-56AE9B4DEAB5}">
  <dimension ref="A2:U170"/>
  <sheetViews>
    <sheetView tabSelected="1" topLeftCell="J98" zoomScaleNormal="100" zoomScaleSheetLayoutView="120" workbookViewId="0">
      <selection activeCell="T121" sqref="T121"/>
    </sheetView>
  </sheetViews>
  <sheetFormatPr baseColWidth="10" defaultRowHeight="15" x14ac:dyDescent="0.25"/>
  <cols>
    <col min="1" max="2" width="9.140625" style="1" customWidth="1"/>
    <col min="3" max="3" width="10.5703125" customWidth="1"/>
    <col min="4" max="4" width="11.42578125" customWidth="1"/>
    <col min="5" max="5" width="13.42578125" customWidth="1"/>
    <col min="6" max="6" width="22" customWidth="1"/>
    <col min="7" max="7" width="13.42578125" customWidth="1"/>
    <col min="8" max="8" width="13" customWidth="1"/>
    <col min="9" max="9" width="11.42578125" customWidth="1"/>
    <col min="10" max="10" width="22.28515625" customWidth="1"/>
    <col min="11" max="11" width="18.42578125" customWidth="1"/>
    <col min="12" max="12" width="13.42578125" customWidth="1"/>
    <col min="13" max="13" width="13.7109375" customWidth="1"/>
    <col min="14" max="14" width="14.42578125" customWidth="1"/>
    <col min="15" max="15" width="9.28515625" customWidth="1"/>
    <col min="16" max="16" width="21.42578125" customWidth="1"/>
    <col min="17" max="17" width="29.28515625" customWidth="1"/>
    <col min="18" max="20" width="11.42578125" style="29"/>
    <col min="21" max="21" width="21.7109375" style="29" customWidth="1"/>
  </cols>
  <sheetData>
    <row r="2" spans="1:21" ht="15.75" x14ac:dyDescent="0.25">
      <c r="C2" s="2" t="s">
        <v>1</v>
      </c>
      <c r="D2" s="12" t="s">
        <v>27</v>
      </c>
    </row>
    <row r="3" spans="1:21" x14ac:dyDescent="0.25">
      <c r="C3" s="2" t="s">
        <v>11</v>
      </c>
      <c r="D3" s="4">
        <v>25</v>
      </c>
    </row>
    <row r="4" spans="1:21" x14ac:dyDescent="0.25">
      <c r="C4" s="2" t="s">
        <v>9</v>
      </c>
      <c r="D4" s="4" t="s">
        <v>15</v>
      </c>
    </row>
    <row r="6" spans="1:21" s="7" customFormat="1" ht="29.25" customHeight="1" x14ac:dyDescent="0.25">
      <c r="A6" s="7" t="s">
        <v>22</v>
      </c>
      <c r="B6" s="7" t="s">
        <v>0</v>
      </c>
      <c r="C6" s="7" t="s">
        <v>2</v>
      </c>
      <c r="D6" s="7" t="s">
        <v>3</v>
      </c>
      <c r="E6" s="7" t="s">
        <v>12</v>
      </c>
      <c r="F6" s="7" t="s">
        <v>10</v>
      </c>
      <c r="G6" s="7" t="s">
        <v>4</v>
      </c>
      <c r="H6" s="7" t="s">
        <v>5</v>
      </c>
      <c r="I6" s="7" t="s">
        <v>13</v>
      </c>
      <c r="J6" s="7" t="s">
        <v>6</v>
      </c>
      <c r="K6" s="7" t="s">
        <v>8</v>
      </c>
      <c r="L6" s="7" t="s">
        <v>16</v>
      </c>
      <c r="M6" s="7" t="s">
        <v>17</v>
      </c>
      <c r="N6" s="7" t="s">
        <v>25</v>
      </c>
      <c r="O6" s="7" t="s">
        <v>18</v>
      </c>
      <c r="P6" s="7" t="s">
        <v>19</v>
      </c>
      <c r="Q6" s="7" t="s">
        <v>7</v>
      </c>
      <c r="R6" s="30" t="s">
        <v>149</v>
      </c>
      <c r="S6" s="30" t="s">
        <v>150</v>
      </c>
      <c r="T6" s="30" t="s">
        <v>151</v>
      </c>
      <c r="U6" s="30" t="s">
        <v>14</v>
      </c>
    </row>
    <row r="7" spans="1:21" x14ac:dyDescent="0.25">
      <c r="A7" s="1">
        <v>25</v>
      </c>
      <c r="B7" s="1">
        <v>1</v>
      </c>
      <c r="C7" s="1">
        <v>532</v>
      </c>
      <c r="D7" s="22">
        <v>46188</v>
      </c>
      <c r="E7" s="1">
        <v>1</v>
      </c>
      <c r="F7" s="1" t="s">
        <v>28</v>
      </c>
      <c r="G7" s="1" t="s">
        <v>122</v>
      </c>
      <c r="H7" s="1">
        <v>14</v>
      </c>
      <c r="I7" s="1" t="s">
        <v>30</v>
      </c>
      <c r="J7" s="1" t="s">
        <v>31</v>
      </c>
      <c r="K7" s="1" t="s">
        <v>32</v>
      </c>
      <c r="L7" s="1"/>
      <c r="M7" s="1"/>
      <c r="N7" s="1"/>
      <c r="O7" s="1"/>
      <c r="P7" s="1"/>
      <c r="Q7" s="1"/>
      <c r="R7" s="31">
        <v>2500</v>
      </c>
      <c r="S7" s="31">
        <f>Tabla134[[#This Row],[PU]]*Tabla134[[#This Row],[VIAJES ]]</f>
        <v>2500</v>
      </c>
      <c r="T7" s="31">
        <f>Tabla134[[#This Row],[SUBTOTAL]]*16%</f>
        <v>400</v>
      </c>
      <c r="U7" s="31">
        <f>Tabla134[[#This Row],[SUBTOTAL]]+Tabla134[[#This Row],[IVA]]</f>
        <v>2900</v>
      </c>
    </row>
    <row r="8" spans="1:21" x14ac:dyDescent="0.25">
      <c r="A8" s="1">
        <v>25</v>
      </c>
      <c r="B8" s="1">
        <v>2</v>
      </c>
      <c r="C8" s="1">
        <v>533</v>
      </c>
      <c r="D8" s="22">
        <v>46188</v>
      </c>
      <c r="E8" s="1">
        <v>1</v>
      </c>
      <c r="F8" s="1" t="s">
        <v>28</v>
      </c>
      <c r="G8" s="1" t="s">
        <v>38</v>
      </c>
      <c r="H8" s="1">
        <v>14</v>
      </c>
      <c r="I8" s="1" t="s">
        <v>30</v>
      </c>
      <c r="J8" s="1" t="s">
        <v>39</v>
      </c>
      <c r="K8" s="1" t="s">
        <v>32</v>
      </c>
      <c r="L8" s="1"/>
      <c r="M8" s="1"/>
      <c r="N8" s="1"/>
      <c r="O8" s="1"/>
      <c r="P8" s="1"/>
      <c r="Q8" s="1"/>
      <c r="R8" s="31">
        <v>2500</v>
      </c>
      <c r="S8" s="31">
        <f>Tabla134[[#This Row],[PU]]*Tabla134[[#This Row],[VIAJES ]]</f>
        <v>2500</v>
      </c>
      <c r="T8" s="31">
        <f>Tabla134[[#This Row],[SUBTOTAL]]*16%</f>
        <v>400</v>
      </c>
      <c r="U8" s="31">
        <f>Tabla134[[#This Row],[SUBTOTAL]]+Tabla134[[#This Row],[IVA]]</f>
        <v>2900</v>
      </c>
    </row>
    <row r="9" spans="1:21" x14ac:dyDescent="0.25">
      <c r="A9" s="1">
        <v>25</v>
      </c>
      <c r="B9" s="1">
        <v>3</v>
      </c>
      <c r="C9" s="9">
        <v>534</v>
      </c>
      <c r="D9" s="22">
        <v>46188</v>
      </c>
      <c r="E9" s="1">
        <v>1</v>
      </c>
      <c r="F9" s="1" t="s">
        <v>28</v>
      </c>
      <c r="G9" s="1" t="s">
        <v>40</v>
      </c>
      <c r="H9" s="1">
        <v>14</v>
      </c>
      <c r="I9" s="1" t="s">
        <v>30</v>
      </c>
      <c r="J9" s="1" t="s">
        <v>41</v>
      </c>
      <c r="K9" s="1" t="s">
        <v>32</v>
      </c>
      <c r="L9" s="1"/>
      <c r="M9" s="1"/>
      <c r="N9" s="1"/>
      <c r="O9" s="1"/>
      <c r="P9" s="1"/>
      <c r="Q9" s="1"/>
      <c r="R9" s="31">
        <v>2500</v>
      </c>
      <c r="S9" s="31">
        <f>Tabla134[[#This Row],[PU]]*Tabla134[[#This Row],[VIAJES ]]</f>
        <v>2500</v>
      </c>
      <c r="T9" s="31">
        <f>Tabla134[[#This Row],[SUBTOTAL]]*16%</f>
        <v>400</v>
      </c>
      <c r="U9" s="31">
        <f>Tabla134[[#This Row],[SUBTOTAL]]+Tabla134[[#This Row],[IVA]]</f>
        <v>2900</v>
      </c>
    </row>
    <row r="10" spans="1:21" x14ac:dyDescent="0.25">
      <c r="A10" s="1">
        <v>25</v>
      </c>
      <c r="B10" s="1">
        <v>4</v>
      </c>
      <c r="C10" s="1">
        <v>535</v>
      </c>
      <c r="D10" s="22">
        <v>46188</v>
      </c>
      <c r="E10" s="1">
        <v>1</v>
      </c>
      <c r="F10" s="1" t="s">
        <v>28</v>
      </c>
      <c r="G10" s="1" t="s">
        <v>122</v>
      </c>
      <c r="H10" s="1">
        <v>14</v>
      </c>
      <c r="I10" s="1" t="s">
        <v>30</v>
      </c>
      <c r="J10" s="1" t="s">
        <v>31</v>
      </c>
      <c r="K10" s="1" t="s">
        <v>32</v>
      </c>
      <c r="L10" s="1"/>
      <c r="M10" s="1"/>
      <c r="N10" s="1"/>
      <c r="O10" s="1"/>
      <c r="P10" s="1"/>
      <c r="Q10" s="1"/>
      <c r="R10" s="31">
        <v>2500</v>
      </c>
      <c r="S10" s="31">
        <f>Tabla134[[#This Row],[PU]]*Tabla134[[#This Row],[VIAJES ]]</f>
        <v>2500</v>
      </c>
      <c r="T10" s="31">
        <f>Tabla134[[#This Row],[SUBTOTAL]]*16%</f>
        <v>400</v>
      </c>
      <c r="U10" s="31">
        <f>Tabla134[[#This Row],[SUBTOTAL]]+Tabla134[[#This Row],[IVA]]</f>
        <v>2900</v>
      </c>
    </row>
    <row r="11" spans="1:21" x14ac:dyDescent="0.25">
      <c r="A11" s="1">
        <v>25</v>
      </c>
      <c r="B11" s="1">
        <v>5</v>
      </c>
      <c r="C11" s="9">
        <v>536</v>
      </c>
      <c r="D11" s="22">
        <v>46188</v>
      </c>
      <c r="E11" s="1">
        <v>1</v>
      </c>
      <c r="F11" s="1" t="s">
        <v>28</v>
      </c>
      <c r="G11" s="1" t="s">
        <v>38</v>
      </c>
      <c r="H11" s="1">
        <v>14</v>
      </c>
      <c r="I11" s="1" t="s">
        <v>30</v>
      </c>
      <c r="J11" s="1" t="s">
        <v>39</v>
      </c>
      <c r="K11" s="1" t="s">
        <v>32</v>
      </c>
      <c r="L11" s="1"/>
      <c r="M11" s="1"/>
      <c r="N11" s="1"/>
      <c r="O11" s="1"/>
      <c r="P11" s="1"/>
      <c r="Q11" s="1"/>
      <c r="R11" s="31">
        <v>2500</v>
      </c>
      <c r="S11" s="31">
        <f>Tabla134[[#This Row],[PU]]*Tabla134[[#This Row],[VIAJES ]]</f>
        <v>2500</v>
      </c>
      <c r="T11" s="31">
        <f>Tabla134[[#This Row],[SUBTOTAL]]*16%</f>
        <v>400</v>
      </c>
      <c r="U11" s="31">
        <f>Tabla134[[#This Row],[SUBTOTAL]]+Tabla134[[#This Row],[IVA]]</f>
        <v>2900</v>
      </c>
    </row>
    <row r="12" spans="1:21" x14ac:dyDescent="0.25">
      <c r="A12" s="1">
        <v>25</v>
      </c>
      <c r="B12" s="1">
        <v>6</v>
      </c>
      <c r="C12" s="1">
        <v>537</v>
      </c>
      <c r="D12" s="22">
        <v>46188</v>
      </c>
      <c r="E12" s="1">
        <v>1</v>
      </c>
      <c r="F12" s="1" t="s">
        <v>28</v>
      </c>
      <c r="G12" s="1" t="s">
        <v>40</v>
      </c>
      <c r="H12" s="1">
        <v>14</v>
      </c>
      <c r="I12" s="1" t="s">
        <v>30</v>
      </c>
      <c r="J12" s="1" t="s">
        <v>41</v>
      </c>
      <c r="K12" s="1" t="s">
        <v>32</v>
      </c>
      <c r="L12" s="1"/>
      <c r="M12" s="1"/>
      <c r="N12" s="1"/>
      <c r="O12" s="1"/>
      <c r="P12" s="1"/>
      <c r="Q12" s="1"/>
      <c r="R12" s="31">
        <v>2500</v>
      </c>
      <c r="S12" s="31">
        <f>Tabla134[[#This Row],[PU]]*Tabla134[[#This Row],[VIAJES ]]</f>
        <v>2500</v>
      </c>
      <c r="T12" s="31">
        <f>Tabla134[[#This Row],[SUBTOTAL]]*16%</f>
        <v>400</v>
      </c>
      <c r="U12" s="31">
        <f>Tabla134[[#This Row],[SUBTOTAL]]+Tabla134[[#This Row],[IVA]]</f>
        <v>2900</v>
      </c>
    </row>
    <row r="13" spans="1:21" x14ac:dyDescent="0.25">
      <c r="A13" s="1">
        <v>25</v>
      </c>
      <c r="B13" s="1">
        <v>7</v>
      </c>
      <c r="C13" s="9">
        <v>538</v>
      </c>
      <c r="D13" s="22">
        <v>46188</v>
      </c>
      <c r="E13" s="1">
        <v>1</v>
      </c>
      <c r="F13" s="1" t="s">
        <v>28</v>
      </c>
      <c r="G13" s="1" t="s">
        <v>122</v>
      </c>
      <c r="H13" s="1">
        <v>14</v>
      </c>
      <c r="I13" s="1" t="s">
        <v>30</v>
      </c>
      <c r="J13" s="1" t="s">
        <v>31</v>
      </c>
      <c r="K13" s="1" t="s">
        <v>32</v>
      </c>
      <c r="L13" s="1"/>
      <c r="M13" s="1"/>
      <c r="N13" s="1"/>
      <c r="O13" s="1"/>
      <c r="P13" s="1"/>
      <c r="Q13" s="1"/>
      <c r="R13" s="31">
        <v>2500</v>
      </c>
      <c r="S13" s="31">
        <f>Tabla134[[#This Row],[PU]]*Tabla134[[#This Row],[VIAJES ]]</f>
        <v>2500</v>
      </c>
      <c r="T13" s="31">
        <f>Tabla134[[#This Row],[SUBTOTAL]]*16%</f>
        <v>400</v>
      </c>
      <c r="U13" s="31">
        <f>Tabla134[[#This Row],[SUBTOTAL]]+Tabla134[[#This Row],[IVA]]</f>
        <v>2900</v>
      </c>
    </row>
    <row r="14" spans="1:21" x14ac:dyDescent="0.25">
      <c r="A14" s="1">
        <v>25</v>
      </c>
      <c r="B14" s="1">
        <v>8</v>
      </c>
      <c r="C14" s="1">
        <v>539</v>
      </c>
      <c r="D14" s="22">
        <v>46188</v>
      </c>
      <c r="E14" s="1">
        <v>1</v>
      </c>
      <c r="F14" s="1" t="s">
        <v>28</v>
      </c>
      <c r="G14" s="1" t="s">
        <v>38</v>
      </c>
      <c r="H14" s="1">
        <v>14</v>
      </c>
      <c r="I14" s="1" t="s">
        <v>30</v>
      </c>
      <c r="J14" s="1" t="s">
        <v>39</v>
      </c>
      <c r="K14" s="1" t="s">
        <v>32</v>
      </c>
      <c r="L14" s="1"/>
      <c r="M14" s="1"/>
      <c r="N14" s="1"/>
      <c r="O14" s="1"/>
      <c r="P14" s="1"/>
      <c r="Q14" s="1"/>
      <c r="R14" s="31">
        <v>2500</v>
      </c>
      <c r="S14" s="31">
        <f>Tabla134[[#This Row],[PU]]*Tabla134[[#This Row],[VIAJES ]]</f>
        <v>2500</v>
      </c>
      <c r="T14" s="31">
        <f>Tabla134[[#This Row],[SUBTOTAL]]*16%</f>
        <v>400</v>
      </c>
      <c r="U14" s="31">
        <f>Tabla134[[#This Row],[SUBTOTAL]]+Tabla134[[#This Row],[IVA]]</f>
        <v>2900</v>
      </c>
    </row>
    <row r="15" spans="1:21" x14ac:dyDescent="0.25">
      <c r="A15" s="1">
        <v>25</v>
      </c>
      <c r="B15" s="1">
        <v>9</v>
      </c>
      <c r="C15" s="9">
        <v>540</v>
      </c>
      <c r="D15" s="22">
        <v>46188</v>
      </c>
      <c r="E15" s="1">
        <v>1</v>
      </c>
      <c r="F15" s="1" t="s">
        <v>28</v>
      </c>
      <c r="G15" s="1" t="s">
        <v>122</v>
      </c>
      <c r="H15" s="1">
        <v>14</v>
      </c>
      <c r="I15" s="1" t="s">
        <v>30</v>
      </c>
      <c r="J15" s="1" t="s">
        <v>31</v>
      </c>
      <c r="K15" s="1" t="s">
        <v>32</v>
      </c>
      <c r="L15" s="1"/>
      <c r="M15" s="1"/>
      <c r="N15" s="1"/>
      <c r="O15" s="1"/>
      <c r="P15" s="1"/>
      <c r="Q15" s="1"/>
      <c r="R15" s="31">
        <v>2500</v>
      </c>
      <c r="S15" s="31">
        <f>Tabla134[[#This Row],[PU]]*Tabla134[[#This Row],[VIAJES ]]</f>
        <v>2500</v>
      </c>
      <c r="T15" s="31">
        <f>Tabla134[[#This Row],[SUBTOTAL]]*16%</f>
        <v>400</v>
      </c>
      <c r="U15" s="31">
        <f>Tabla134[[#This Row],[SUBTOTAL]]+Tabla134[[#This Row],[IVA]]</f>
        <v>2900</v>
      </c>
    </row>
    <row r="16" spans="1:21" x14ac:dyDescent="0.25">
      <c r="A16" s="1">
        <v>25</v>
      </c>
      <c r="B16" s="1">
        <v>10</v>
      </c>
      <c r="C16" s="1">
        <v>541</v>
      </c>
      <c r="D16" s="22">
        <v>46188</v>
      </c>
      <c r="E16" s="1">
        <v>1</v>
      </c>
      <c r="F16" s="1" t="s">
        <v>28</v>
      </c>
      <c r="G16" s="1" t="s">
        <v>40</v>
      </c>
      <c r="H16" s="1">
        <v>14</v>
      </c>
      <c r="I16" s="1" t="s">
        <v>30</v>
      </c>
      <c r="J16" s="1" t="s">
        <v>41</v>
      </c>
      <c r="K16" s="1" t="s">
        <v>32</v>
      </c>
      <c r="L16" s="1"/>
      <c r="M16" s="1"/>
      <c r="N16" s="1"/>
      <c r="O16" s="1"/>
      <c r="P16" s="1"/>
      <c r="Q16" s="1"/>
      <c r="R16" s="31">
        <v>2500</v>
      </c>
      <c r="S16" s="31">
        <f>Tabla134[[#This Row],[PU]]*Tabla134[[#This Row],[VIAJES ]]</f>
        <v>2500</v>
      </c>
      <c r="T16" s="31">
        <f>Tabla134[[#This Row],[SUBTOTAL]]*16%</f>
        <v>400</v>
      </c>
      <c r="U16" s="31">
        <f>Tabla134[[#This Row],[SUBTOTAL]]+Tabla134[[#This Row],[IVA]]</f>
        <v>2900</v>
      </c>
    </row>
    <row r="17" spans="1:21" x14ac:dyDescent="0.25">
      <c r="A17" s="1">
        <v>25</v>
      </c>
      <c r="B17" s="1">
        <v>11</v>
      </c>
      <c r="C17" s="9">
        <v>542</v>
      </c>
      <c r="D17" s="22">
        <v>46188</v>
      </c>
      <c r="E17" s="1">
        <v>1</v>
      </c>
      <c r="F17" s="1" t="s">
        <v>28</v>
      </c>
      <c r="G17" s="1" t="s">
        <v>38</v>
      </c>
      <c r="H17" s="1">
        <v>14</v>
      </c>
      <c r="I17" s="1" t="s">
        <v>30</v>
      </c>
      <c r="J17" s="1" t="s">
        <v>39</v>
      </c>
      <c r="K17" s="1" t="s">
        <v>32</v>
      </c>
      <c r="L17" s="1"/>
      <c r="M17" s="1"/>
      <c r="N17" s="1"/>
      <c r="O17" s="1"/>
      <c r="P17" s="1"/>
      <c r="Q17" s="1"/>
      <c r="R17" s="31">
        <v>2500</v>
      </c>
      <c r="S17" s="31">
        <f>Tabla134[[#This Row],[PU]]*Tabla134[[#This Row],[VIAJES ]]</f>
        <v>2500</v>
      </c>
      <c r="T17" s="31">
        <f>Tabla134[[#This Row],[SUBTOTAL]]*16%</f>
        <v>400</v>
      </c>
      <c r="U17" s="31">
        <f>Tabla134[[#This Row],[SUBTOTAL]]+Tabla134[[#This Row],[IVA]]</f>
        <v>2900</v>
      </c>
    </row>
    <row r="18" spans="1:21" x14ac:dyDescent="0.25">
      <c r="A18" s="1">
        <v>25</v>
      </c>
      <c r="B18" s="1">
        <v>12</v>
      </c>
      <c r="C18" s="1">
        <v>543</v>
      </c>
      <c r="D18" s="22">
        <v>46188</v>
      </c>
      <c r="E18" s="1">
        <v>1</v>
      </c>
      <c r="F18" s="1" t="s">
        <v>28</v>
      </c>
      <c r="G18" s="1" t="s">
        <v>122</v>
      </c>
      <c r="H18" s="1">
        <v>14</v>
      </c>
      <c r="I18" s="1" t="s">
        <v>30</v>
      </c>
      <c r="J18" s="1" t="s">
        <v>31</v>
      </c>
      <c r="K18" s="1" t="s">
        <v>32</v>
      </c>
      <c r="L18" s="1"/>
      <c r="M18" s="1"/>
      <c r="N18" s="1"/>
      <c r="O18" s="1"/>
      <c r="P18" s="1"/>
      <c r="Q18" s="1"/>
      <c r="R18" s="31">
        <v>2500</v>
      </c>
      <c r="S18" s="31">
        <f>Tabla134[[#This Row],[PU]]*Tabla134[[#This Row],[VIAJES ]]</f>
        <v>2500</v>
      </c>
      <c r="T18" s="31">
        <f>Tabla134[[#This Row],[SUBTOTAL]]*16%</f>
        <v>400</v>
      </c>
      <c r="U18" s="31">
        <f>Tabla134[[#This Row],[SUBTOTAL]]+Tabla134[[#This Row],[IVA]]</f>
        <v>2900</v>
      </c>
    </row>
    <row r="19" spans="1:21" x14ac:dyDescent="0.25">
      <c r="A19" s="1">
        <v>25</v>
      </c>
      <c r="B19" s="1">
        <v>13</v>
      </c>
      <c r="C19" s="9">
        <v>544</v>
      </c>
      <c r="D19" s="22">
        <v>46188</v>
      </c>
      <c r="E19" s="1">
        <v>1</v>
      </c>
      <c r="F19" s="1" t="s">
        <v>28</v>
      </c>
      <c r="G19" s="1" t="s">
        <v>40</v>
      </c>
      <c r="H19" s="1">
        <v>14</v>
      </c>
      <c r="I19" s="1" t="s">
        <v>30</v>
      </c>
      <c r="J19" s="1" t="s">
        <v>41</v>
      </c>
      <c r="K19" s="1" t="s">
        <v>32</v>
      </c>
      <c r="L19" s="1"/>
      <c r="M19" s="1"/>
      <c r="N19" s="1"/>
      <c r="O19" s="1"/>
      <c r="P19" s="1"/>
      <c r="Q19" s="1"/>
      <c r="R19" s="31">
        <v>2500</v>
      </c>
      <c r="S19" s="31">
        <f>Tabla134[[#This Row],[PU]]*Tabla134[[#This Row],[VIAJES ]]</f>
        <v>2500</v>
      </c>
      <c r="T19" s="31">
        <f>Tabla134[[#This Row],[SUBTOTAL]]*16%</f>
        <v>400</v>
      </c>
      <c r="U19" s="31">
        <f>Tabla134[[#This Row],[SUBTOTAL]]+Tabla134[[#This Row],[IVA]]</f>
        <v>2900</v>
      </c>
    </row>
    <row r="20" spans="1:21" x14ac:dyDescent="0.25">
      <c r="A20" s="1">
        <v>25</v>
      </c>
      <c r="B20" s="1">
        <v>14</v>
      </c>
      <c r="C20" s="1">
        <v>545</v>
      </c>
      <c r="D20" s="22">
        <v>46188</v>
      </c>
      <c r="E20" s="1">
        <v>1</v>
      </c>
      <c r="F20" s="1" t="s">
        <v>28</v>
      </c>
      <c r="G20" s="1" t="s">
        <v>38</v>
      </c>
      <c r="H20" s="1">
        <v>14</v>
      </c>
      <c r="I20" s="1" t="s">
        <v>30</v>
      </c>
      <c r="J20" s="1" t="s">
        <v>39</v>
      </c>
      <c r="K20" s="1" t="s">
        <v>32</v>
      </c>
      <c r="L20" s="1"/>
      <c r="M20" s="1"/>
      <c r="N20" s="1"/>
      <c r="O20" s="1"/>
      <c r="P20" s="1"/>
      <c r="Q20" s="1"/>
      <c r="R20" s="31">
        <v>2500</v>
      </c>
      <c r="S20" s="31">
        <f>Tabla134[[#This Row],[PU]]*Tabla134[[#This Row],[VIAJES ]]</f>
        <v>2500</v>
      </c>
      <c r="T20" s="31">
        <f>Tabla134[[#This Row],[SUBTOTAL]]*16%</f>
        <v>400</v>
      </c>
      <c r="U20" s="31">
        <f>Tabla134[[#This Row],[SUBTOTAL]]+Tabla134[[#This Row],[IVA]]</f>
        <v>2900</v>
      </c>
    </row>
    <row r="21" spans="1:21" x14ac:dyDescent="0.25">
      <c r="A21" s="1">
        <v>25</v>
      </c>
      <c r="B21" s="1">
        <v>15</v>
      </c>
      <c r="C21" s="9">
        <v>546</v>
      </c>
      <c r="D21" s="22">
        <v>46188</v>
      </c>
      <c r="E21" s="1">
        <v>1</v>
      </c>
      <c r="F21" s="1" t="s">
        <v>28</v>
      </c>
      <c r="G21" s="1" t="s">
        <v>122</v>
      </c>
      <c r="H21" s="1">
        <v>14</v>
      </c>
      <c r="I21" s="1" t="s">
        <v>30</v>
      </c>
      <c r="J21" s="1" t="s">
        <v>31</v>
      </c>
      <c r="K21" s="1" t="s">
        <v>32</v>
      </c>
      <c r="L21" s="1"/>
      <c r="M21" s="1"/>
      <c r="N21" s="1"/>
      <c r="O21" s="1"/>
      <c r="P21" s="1"/>
      <c r="Q21" s="1"/>
      <c r="R21" s="31">
        <v>2500</v>
      </c>
      <c r="S21" s="31">
        <f>Tabla134[[#This Row],[PU]]*Tabla134[[#This Row],[VIAJES ]]</f>
        <v>2500</v>
      </c>
      <c r="T21" s="31">
        <f>Tabla134[[#This Row],[SUBTOTAL]]*16%</f>
        <v>400</v>
      </c>
      <c r="U21" s="31">
        <f>Tabla134[[#This Row],[SUBTOTAL]]+Tabla134[[#This Row],[IVA]]</f>
        <v>2900</v>
      </c>
    </row>
    <row r="22" spans="1:21" x14ac:dyDescent="0.25">
      <c r="A22" s="1">
        <v>25</v>
      </c>
      <c r="B22" s="1">
        <v>16</v>
      </c>
      <c r="C22" s="1">
        <v>547</v>
      </c>
      <c r="D22" s="22">
        <v>46188</v>
      </c>
      <c r="E22" s="1">
        <v>1</v>
      </c>
      <c r="F22" s="1" t="s">
        <v>28</v>
      </c>
      <c r="G22" s="1" t="s">
        <v>40</v>
      </c>
      <c r="H22" s="1">
        <v>14</v>
      </c>
      <c r="I22" s="1" t="s">
        <v>30</v>
      </c>
      <c r="J22" s="1" t="s">
        <v>41</v>
      </c>
      <c r="K22" s="1" t="s">
        <v>32</v>
      </c>
      <c r="L22" s="1"/>
      <c r="M22" s="1"/>
      <c r="N22" s="1"/>
      <c r="O22" s="1"/>
      <c r="P22" s="1"/>
      <c r="Q22" s="1"/>
      <c r="R22" s="31">
        <v>2500</v>
      </c>
      <c r="S22" s="31">
        <f>Tabla134[[#This Row],[PU]]*Tabla134[[#This Row],[VIAJES ]]</f>
        <v>2500</v>
      </c>
      <c r="T22" s="31">
        <f>Tabla134[[#This Row],[SUBTOTAL]]*16%</f>
        <v>400</v>
      </c>
      <c r="U22" s="31">
        <f>Tabla134[[#This Row],[SUBTOTAL]]+Tabla134[[#This Row],[IVA]]</f>
        <v>2900</v>
      </c>
    </row>
    <row r="23" spans="1:21" s="26" customFormat="1" x14ac:dyDescent="0.25">
      <c r="A23" s="23">
        <v>25</v>
      </c>
      <c r="B23" s="23">
        <v>17</v>
      </c>
      <c r="C23" s="24">
        <v>548</v>
      </c>
      <c r="D23" s="25">
        <v>46188</v>
      </c>
      <c r="E23" s="1">
        <v>0</v>
      </c>
      <c r="F23" s="23" t="s">
        <v>123</v>
      </c>
      <c r="G23" s="23" t="s">
        <v>124</v>
      </c>
      <c r="H23" s="23" t="s">
        <v>124</v>
      </c>
      <c r="I23" s="23" t="s">
        <v>124</v>
      </c>
      <c r="J23" s="23" t="s">
        <v>124</v>
      </c>
      <c r="K23" s="23" t="s">
        <v>124</v>
      </c>
      <c r="L23" s="23"/>
      <c r="M23" s="23"/>
      <c r="N23" s="23"/>
      <c r="O23" s="23"/>
      <c r="P23" s="23"/>
      <c r="Q23" s="23" t="s">
        <v>125</v>
      </c>
      <c r="R23" s="32"/>
      <c r="S23" s="32">
        <f>Tabla134[[#This Row],[PU]]*Tabla134[[#This Row],[VIAJES ]]</f>
        <v>0</v>
      </c>
      <c r="T23" s="32">
        <f>Tabla134[[#This Row],[SUBTOTAL]]*16%</f>
        <v>0</v>
      </c>
      <c r="U23" s="32">
        <f>Tabla134[[#This Row],[SUBTOTAL]]+Tabla134[[#This Row],[IVA]]</f>
        <v>0</v>
      </c>
    </row>
    <row r="24" spans="1:21" x14ac:dyDescent="0.25">
      <c r="A24" s="1">
        <v>25</v>
      </c>
      <c r="B24" s="1">
        <v>18</v>
      </c>
      <c r="C24" s="1">
        <v>549</v>
      </c>
      <c r="D24" s="22">
        <v>46188</v>
      </c>
      <c r="E24" s="1">
        <v>1</v>
      </c>
      <c r="F24" s="1" t="s">
        <v>28</v>
      </c>
      <c r="G24" s="1" t="s">
        <v>38</v>
      </c>
      <c r="H24" s="1">
        <v>14</v>
      </c>
      <c r="I24" s="1" t="s">
        <v>30</v>
      </c>
      <c r="J24" s="1" t="s">
        <v>39</v>
      </c>
      <c r="K24" s="1" t="s">
        <v>32</v>
      </c>
      <c r="L24" s="1"/>
      <c r="M24" s="1"/>
      <c r="N24" s="1"/>
      <c r="O24" s="1"/>
      <c r="P24" s="1"/>
      <c r="Q24" s="1"/>
      <c r="R24" s="31">
        <v>2500</v>
      </c>
      <c r="S24" s="31">
        <f>Tabla134[[#This Row],[PU]]*Tabla134[[#This Row],[VIAJES ]]</f>
        <v>2500</v>
      </c>
      <c r="T24" s="31">
        <f>Tabla134[[#This Row],[SUBTOTAL]]*16%</f>
        <v>400</v>
      </c>
      <c r="U24" s="31">
        <f>Tabla134[[#This Row],[SUBTOTAL]]+Tabla134[[#This Row],[IVA]]</f>
        <v>2900</v>
      </c>
    </row>
    <row r="25" spans="1:21" x14ac:dyDescent="0.25">
      <c r="A25" s="1">
        <v>25</v>
      </c>
      <c r="B25" s="1">
        <v>1</v>
      </c>
      <c r="C25" s="1">
        <v>550</v>
      </c>
      <c r="D25" s="13">
        <v>46189</v>
      </c>
      <c r="E25" s="1">
        <v>1</v>
      </c>
      <c r="F25" s="1" t="s">
        <v>28</v>
      </c>
      <c r="G25" s="1" t="s">
        <v>29</v>
      </c>
      <c r="H25" s="1">
        <v>14</v>
      </c>
      <c r="I25" s="1" t="s">
        <v>30</v>
      </c>
      <c r="J25" s="1" t="s">
        <v>31</v>
      </c>
      <c r="K25" s="1" t="s">
        <v>32</v>
      </c>
      <c r="L25" s="1"/>
      <c r="M25" s="1"/>
      <c r="N25" s="1" t="s">
        <v>33</v>
      </c>
      <c r="O25" s="1" t="s">
        <v>34</v>
      </c>
      <c r="P25" s="1" t="s">
        <v>35</v>
      </c>
      <c r="Q25" s="1"/>
      <c r="R25" s="31">
        <v>2500</v>
      </c>
      <c r="S25" s="31">
        <f>Tabla134[[#This Row],[PU]]*Tabla134[[#This Row],[VIAJES ]]</f>
        <v>2500</v>
      </c>
      <c r="T25" s="31">
        <f>Tabla134[[#This Row],[SUBTOTAL]]*16%</f>
        <v>400</v>
      </c>
      <c r="U25" s="31">
        <f>Tabla134[[#This Row],[SUBTOTAL]]+Tabla134[[#This Row],[IVA]]</f>
        <v>2900</v>
      </c>
    </row>
    <row r="26" spans="1:21" x14ac:dyDescent="0.25">
      <c r="A26" s="1">
        <v>25</v>
      </c>
      <c r="B26" s="1">
        <v>2</v>
      </c>
      <c r="C26" s="1">
        <v>351</v>
      </c>
      <c r="D26" s="13">
        <v>46189</v>
      </c>
      <c r="E26" s="1">
        <v>1</v>
      </c>
      <c r="F26" s="1" t="s">
        <v>28</v>
      </c>
      <c r="G26" s="1" t="s">
        <v>36</v>
      </c>
      <c r="H26" s="1">
        <v>14</v>
      </c>
      <c r="I26" s="1" t="s">
        <v>30</v>
      </c>
      <c r="J26" s="1" t="s">
        <v>37</v>
      </c>
      <c r="K26" s="1" t="s">
        <v>32</v>
      </c>
      <c r="L26" s="1"/>
      <c r="M26" s="1"/>
      <c r="N26" s="1" t="s">
        <v>33</v>
      </c>
      <c r="O26" s="1" t="s">
        <v>34</v>
      </c>
      <c r="P26" s="1" t="s">
        <v>35</v>
      </c>
      <c r="Q26" s="1"/>
      <c r="R26" s="31">
        <v>2500</v>
      </c>
      <c r="S26" s="31">
        <f>Tabla134[[#This Row],[PU]]*Tabla134[[#This Row],[VIAJES ]]</f>
        <v>2500</v>
      </c>
      <c r="T26" s="31">
        <f>Tabla134[[#This Row],[SUBTOTAL]]*16%</f>
        <v>400</v>
      </c>
      <c r="U26" s="31">
        <f>Tabla134[[#This Row],[SUBTOTAL]]+Tabla134[[#This Row],[IVA]]</f>
        <v>2900</v>
      </c>
    </row>
    <row r="27" spans="1:21" x14ac:dyDescent="0.25">
      <c r="A27" s="1">
        <v>25</v>
      </c>
      <c r="B27" s="1">
        <v>3</v>
      </c>
      <c r="C27" s="1">
        <v>352</v>
      </c>
      <c r="D27" s="13">
        <v>46189</v>
      </c>
      <c r="E27" s="1">
        <v>1</v>
      </c>
      <c r="F27" s="1" t="s">
        <v>28</v>
      </c>
      <c r="G27" s="1" t="s">
        <v>38</v>
      </c>
      <c r="H27" s="1">
        <v>14</v>
      </c>
      <c r="I27" s="1" t="s">
        <v>30</v>
      </c>
      <c r="J27" s="1" t="s">
        <v>39</v>
      </c>
      <c r="K27" s="1" t="s">
        <v>32</v>
      </c>
      <c r="L27" s="1"/>
      <c r="M27" s="1"/>
      <c r="N27" s="1" t="s">
        <v>33</v>
      </c>
      <c r="O27" s="1" t="s">
        <v>34</v>
      </c>
      <c r="P27" s="1" t="s">
        <v>35</v>
      </c>
      <c r="Q27" s="1"/>
      <c r="R27" s="31">
        <v>2500</v>
      </c>
      <c r="S27" s="31">
        <f>Tabla134[[#This Row],[PU]]*Tabla134[[#This Row],[VIAJES ]]</f>
        <v>2500</v>
      </c>
      <c r="T27" s="31">
        <f>Tabla134[[#This Row],[SUBTOTAL]]*16%</f>
        <v>400</v>
      </c>
      <c r="U27" s="31">
        <f>Tabla134[[#This Row],[SUBTOTAL]]+Tabla134[[#This Row],[IVA]]</f>
        <v>2900</v>
      </c>
    </row>
    <row r="28" spans="1:21" x14ac:dyDescent="0.25">
      <c r="A28" s="1">
        <v>25</v>
      </c>
      <c r="B28" s="1">
        <v>4</v>
      </c>
      <c r="C28" s="1">
        <v>353</v>
      </c>
      <c r="D28" s="13">
        <v>46189</v>
      </c>
      <c r="E28" s="1">
        <v>1</v>
      </c>
      <c r="F28" s="1" t="s">
        <v>28</v>
      </c>
      <c r="G28" s="1" t="s">
        <v>40</v>
      </c>
      <c r="H28" s="1">
        <v>14</v>
      </c>
      <c r="I28" s="1" t="s">
        <v>30</v>
      </c>
      <c r="J28" s="1" t="s">
        <v>41</v>
      </c>
      <c r="K28" s="1" t="s">
        <v>32</v>
      </c>
      <c r="L28" s="1"/>
      <c r="M28" s="1"/>
      <c r="N28" s="1" t="s">
        <v>33</v>
      </c>
      <c r="O28" s="1" t="s">
        <v>34</v>
      </c>
      <c r="P28" s="1" t="s">
        <v>35</v>
      </c>
      <c r="Q28" s="1"/>
      <c r="R28" s="31">
        <v>2500</v>
      </c>
      <c r="S28" s="31">
        <f>Tabla134[[#This Row],[PU]]*Tabla134[[#This Row],[VIAJES ]]</f>
        <v>2500</v>
      </c>
      <c r="T28" s="31">
        <f>Tabla134[[#This Row],[SUBTOTAL]]*16%</f>
        <v>400</v>
      </c>
      <c r="U28" s="31">
        <f>Tabla134[[#This Row],[SUBTOTAL]]+Tabla134[[#This Row],[IVA]]</f>
        <v>2900</v>
      </c>
    </row>
    <row r="29" spans="1:21" x14ac:dyDescent="0.25">
      <c r="A29" s="1">
        <v>25</v>
      </c>
      <c r="B29" s="1">
        <v>5</v>
      </c>
      <c r="C29" s="1">
        <v>354</v>
      </c>
      <c r="D29" s="13">
        <v>46189</v>
      </c>
      <c r="E29" s="1">
        <v>1</v>
      </c>
      <c r="F29" s="1" t="s">
        <v>28</v>
      </c>
      <c r="G29" s="1" t="s">
        <v>29</v>
      </c>
      <c r="H29" s="1">
        <v>14</v>
      </c>
      <c r="I29" s="1" t="s">
        <v>30</v>
      </c>
      <c r="J29" s="1" t="s">
        <v>31</v>
      </c>
      <c r="K29" s="1" t="s">
        <v>32</v>
      </c>
      <c r="L29" s="1"/>
      <c r="M29" s="1"/>
      <c r="N29" s="1" t="s">
        <v>33</v>
      </c>
      <c r="O29" s="1" t="s">
        <v>34</v>
      </c>
      <c r="P29" s="1" t="s">
        <v>35</v>
      </c>
      <c r="Q29" s="1"/>
      <c r="R29" s="31">
        <v>2500</v>
      </c>
      <c r="S29" s="31">
        <f>Tabla134[[#This Row],[PU]]*Tabla134[[#This Row],[VIAJES ]]</f>
        <v>2500</v>
      </c>
      <c r="T29" s="31">
        <f>Tabla134[[#This Row],[SUBTOTAL]]*16%</f>
        <v>400</v>
      </c>
      <c r="U29" s="31">
        <f>Tabla134[[#This Row],[SUBTOTAL]]+Tabla134[[#This Row],[IVA]]</f>
        <v>2900</v>
      </c>
    </row>
    <row r="30" spans="1:21" x14ac:dyDescent="0.25">
      <c r="A30" s="1">
        <v>25</v>
      </c>
      <c r="B30" s="1">
        <v>6</v>
      </c>
      <c r="C30" s="1">
        <v>355</v>
      </c>
      <c r="D30" s="13">
        <v>46189</v>
      </c>
      <c r="E30" s="1">
        <v>1</v>
      </c>
      <c r="F30" s="1" t="s">
        <v>28</v>
      </c>
      <c r="G30" s="1" t="s">
        <v>36</v>
      </c>
      <c r="H30" s="1">
        <v>14</v>
      </c>
      <c r="I30" s="1" t="s">
        <v>30</v>
      </c>
      <c r="J30" s="1" t="s">
        <v>37</v>
      </c>
      <c r="K30" s="1" t="s">
        <v>32</v>
      </c>
      <c r="L30" s="1"/>
      <c r="M30" s="1"/>
      <c r="N30" s="1" t="s">
        <v>33</v>
      </c>
      <c r="O30" s="1" t="s">
        <v>34</v>
      </c>
      <c r="P30" s="1" t="s">
        <v>35</v>
      </c>
      <c r="Q30" s="1"/>
      <c r="R30" s="31">
        <v>2500</v>
      </c>
      <c r="S30" s="31">
        <f>Tabla134[[#This Row],[PU]]*Tabla134[[#This Row],[VIAJES ]]</f>
        <v>2500</v>
      </c>
      <c r="T30" s="31">
        <f>Tabla134[[#This Row],[SUBTOTAL]]*16%</f>
        <v>400</v>
      </c>
      <c r="U30" s="31">
        <f>Tabla134[[#This Row],[SUBTOTAL]]+Tabla134[[#This Row],[IVA]]</f>
        <v>2900</v>
      </c>
    </row>
    <row r="31" spans="1:21" x14ac:dyDescent="0.25">
      <c r="A31" s="1">
        <v>25</v>
      </c>
      <c r="B31" s="1">
        <v>7</v>
      </c>
      <c r="C31" s="1">
        <v>356</v>
      </c>
      <c r="D31" s="13">
        <v>46189</v>
      </c>
      <c r="E31" s="1">
        <v>1</v>
      </c>
      <c r="F31" s="1" t="s">
        <v>28</v>
      </c>
      <c r="G31" s="1" t="s">
        <v>40</v>
      </c>
      <c r="H31" s="1">
        <v>14</v>
      </c>
      <c r="I31" s="1" t="s">
        <v>30</v>
      </c>
      <c r="J31" s="1" t="s">
        <v>41</v>
      </c>
      <c r="K31" s="1" t="s">
        <v>32</v>
      </c>
      <c r="L31" s="1"/>
      <c r="M31" s="1"/>
      <c r="N31" s="1" t="s">
        <v>33</v>
      </c>
      <c r="O31" s="1" t="s">
        <v>34</v>
      </c>
      <c r="P31" s="1" t="s">
        <v>35</v>
      </c>
      <c r="Q31" s="1"/>
      <c r="R31" s="31">
        <v>2500</v>
      </c>
      <c r="S31" s="31">
        <f>Tabla134[[#This Row],[PU]]*Tabla134[[#This Row],[VIAJES ]]</f>
        <v>2500</v>
      </c>
      <c r="T31" s="31">
        <f>Tabla134[[#This Row],[SUBTOTAL]]*16%</f>
        <v>400</v>
      </c>
      <c r="U31" s="31">
        <f>Tabla134[[#This Row],[SUBTOTAL]]+Tabla134[[#This Row],[IVA]]</f>
        <v>2900</v>
      </c>
    </row>
    <row r="32" spans="1:21" x14ac:dyDescent="0.25">
      <c r="A32" s="1">
        <v>25</v>
      </c>
      <c r="B32" s="1">
        <v>8</v>
      </c>
      <c r="C32" s="1">
        <v>357</v>
      </c>
      <c r="D32" s="13">
        <v>46189</v>
      </c>
      <c r="E32" s="1">
        <v>1</v>
      </c>
      <c r="F32" s="1" t="s">
        <v>28</v>
      </c>
      <c r="G32" s="1" t="s">
        <v>38</v>
      </c>
      <c r="H32" s="1">
        <v>14</v>
      </c>
      <c r="I32" s="1" t="s">
        <v>30</v>
      </c>
      <c r="J32" s="1" t="s">
        <v>39</v>
      </c>
      <c r="K32" s="1" t="s">
        <v>32</v>
      </c>
      <c r="L32" s="1"/>
      <c r="M32" s="1"/>
      <c r="N32" s="1" t="s">
        <v>33</v>
      </c>
      <c r="O32" s="1" t="s">
        <v>34</v>
      </c>
      <c r="P32" s="1" t="s">
        <v>35</v>
      </c>
      <c r="Q32" s="1"/>
      <c r="R32" s="31">
        <v>2500</v>
      </c>
      <c r="S32" s="31">
        <f>Tabla134[[#This Row],[PU]]*Tabla134[[#This Row],[VIAJES ]]</f>
        <v>2500</v>
      </c>
      <c r="T32" s="31">
        <f>Tabla134[[#This Row],[SUBTOTAL]]*16%</f>
        <v>400</v>
      </c>
      <c r="U32" s="31">
        <f>Tabla134[[#This Row],[SUBTOTAL]]+Tabla134[[#This Row],[IVA]]</f>
        <v>2900</v>
      </c>
    </row>
    <row r="33" spans="1:21" x14ac:dyDescent="0.25">
      <c r="A33" s="1">
        <v>25</v>
      </c>
      <c r="B33" s="1">
        <v>9</v>
      </c>
      <c r="C33" s="1">
        <v>358</v>
      </c>
      <c r="D33" s="13">
        <v>46189</v>
      </c>
      <c r="E33" s="1">
        <v>1</v>
      </c>
      <c r="F33" s="1" t="s">
        <v>28</v>
      </c>
      <c r="G33" s="1" t="s">
        <v>29</v>
      </c>
      <c r="H33" s="1">
        <v>14</v>
      </c>
      <c r="I33" s="1" t="s">
        <v>30</v>
      </c>
      <c r="J33" s="1" t="s">
        <v>31</v>
      </c>
      <c r="K33" s="1" t="s">
        <v>32</v>
      </c>
      <c r="L33" s="1"/>
      <c r="M33" s="1"/>
      <c r="N33" s="1" t="s">
        <v>33</v>
      </c>
      <c r="O33" s="1" t="s">
        <v>34</v>
      </c>
      <c r="P33" s="1" t="s">
        <v>35</v>
      </c>
      <c r="Q33" s="1"/>
      <c r="R33" s="31">
        <v>2500</v>
      </c>
      <c r="S33" s="31">
        <f>Tabla134[[#This Row],[PU]]*Tabla134[[#This Row],[VIAJES ]]</f>
        <v>2500</v>
      </c>
      <c r="T33" s="31">
        <f>Tabla134[[#This Row],[SUBTOTAL]]*16%</f>
        <v>400</v>
      </c>
      <c r="U33" s="31">
        <f>Tabla134[[#This Row],[SUBTOTAL]]+Tabla134[[#This Row],[IVA]]</f>
        <v>2900</v>
      </c>
    </row>
    <row r="34" spans="1:21" x14ac:dyDescent="0.25">
      <c r="A34" s="1">
        <v>25</v>
      </c>
      <c r="B34" s="1">
        <v>10</v>
      </c>
      <c r="C34" s="1">
        <v>359</v>
      </c>
      <c r="D34" s="13">
        <v>46189</v>
      </c>
      <c r="E34" s="1">
        <v>1</v>
      </c>
      <c r="F34" s="1" t="s">
        <v>28</v>
      </c>
      <c r="G34" s="1" t="s">
        <v>36</v>
      </c>
      <c r="H34" s="1">
        <v>14</v>
      </c>
      <c r="I34" s="1" t="s">
        <v>30</v>
      </c>
      <c r="J34" s="1" t="s">
        <v>37</v>
      </c>
      <c r="K34" s="1" t="s">
        <v>32</v>
      </c>
      <c r="L34" s="1"/>
      <c r="M34" s="1"/>
      <c r="N34" s="1" t="s">
        <v>33</v>
      </c>
      <c r="O34" s="1" t="s">
        <v>34</v>
      </c>
      <c r="P34" s="1" t="s">
        <v>35</v>
      </c>
      <c r="Q34" s="1"/>
      <c r="R34" s="31">
        <v>2500</v>
      </c>
      <c r="S34" s="31">
        <f>Tabla134[[#This Row],[PU]]*Tabla134[[#This Row],[VIAJES ]]</f>
        <v>2500</v>
      </c>
      <c r="T34" s="31">
        <f>Tabla134[[#This Row],[SUBTOTAL]]*16%</f>
        <v>400</v>
      </c>
      <c r="U34" s="31">
        <f>Tabla134[[#This Row],[SUBTOTAL]]+Tabla134[[#This Row],[IVA]]</f>
        <v>2900</v>
      </c>
    </row>
    <row r="35" spans="1:21" x14ac:dyDescent="0.25">
      <c r="A35" s="1">
        <v>25</v>
      </c>
      <c r="B35" s="1">
        <v>11</v>
      </c>
      <c r="C35" s="1">
        <v>360</v>
      </c>
      <c r="D35" s="13">
        <v>46189</v>
      </c>
      <c r="E35" s="1">
        <v>1</v>
      </c>
      <c r="F35" s="1" t="s">
        <v>28</v>
      </c>
      <c r="G35" s="1" t="s">
        <v>40</v>
      </c>
      <c r="H35" s="1">
        <v>14</v>
      </c>
      <c r="I35" s="1" t="s">
        <v>30</v>
      </c>
      <c r="J35" s="1" t="s">
        <v>41</v>
      </c>
      <c r="K35" s="1" t="s">
        <v>32</v>
      </c>
      <c r="L35" s="1"/>
      <c r="M35" s="1"/>
      <c r="N35" s="1" t="s">
        <v>33</v>
      </c>
      <c r="O35" s="1" t="s">
        <v>34</v>
      </c>
      <c r="P35" s="1" t="s">
        <v>35</v>
      </c>
      <c r="Q35" s="1"/>
      <c r="R35" s="31">
        <v>2500</v>
      </c>
      <c r="S35" s="31">
        <f>Tabla134[[#This Row],[PU]]*Tabla134[[#This Row],[VIAJES ]]</f>
        <v>2500</v>
      </c>
      <c r="T35" s="31">
        <f>Tabla134[[#This Row],[SUBTOTAL]]*16%</f>
        <v>400</v>
      </c>
      <c r="U35" s="31">
        <f>Tabla134[[#This Row],[SUBTOTAL]]+Tabla134[[#This Row],[IVA]]</f>
        <v>2900</v>
      </c>
    </row>
    <row r="36" spans="1:21" x14ac:dyDescent="0.25">
      <c r="A36" s="1">
        <v>25</v>
      </c>
      <c r="B36" s="1">
        <v>12</v>
      </c>
      <c r="C36" s="1">
        <v>361</v>
      </c>
      <c r="D36" s="13">
        <v>46189</v>
      </c>
      <c r="E36" s="1">
        <v>1</v>
      </c>
      <c r="F36" s="1" t="s">
        <v>28</v>
      </c>
      <c r="G36" s="1" t="s">
        <v>38</v>
      </c>
      <c r="H36" s="1">
        <v>14</v>
      </c>
      <c r="I36" s="1" t="s">
        <v>30</v>
      </c>
      <c r="J36" s="1" t="s">
        <v>39</v>
      </c>
      <c r="K36" s="1" t="s">
        <v>32</v>
      </c>
      <c r="L36" s="1"/>
      <c r="M36" s="1"/>
      <c r="N36" s="1" t="s">
        <v>33</v>
      </c>
      <c r="O36" s="1" t="s">
        <v>34</v>
      </c>
      <c r="P36" s="1" t="s">
        <v>35</v>
      </c>
      <c r="Q36" s="1"/>
      <c r="R36" s="31">
        <v>2500</v>
      </c>
      <c r="S36" s="31">
        <f>Tabla134[[#This Row],[PU]]*Tabla134[[#This Row],[VIAJES ]]</f>
        <v>2500</v>
      </c>
      <c r="T36" s="31">
        <f>Tabla134[[#This Row],[SUBTOTAL]]*16%</f>
        <v>400</v>
      </c>
      <c r="U36" s="31">
        <f>Tabla134[[#This Row],[SUBTOTAL]]+Tabla134[[#This Row],[IVA]]</f>
        <v>2900</v>
      </c>
    </row>
    <row r="37" spans="1:21" x14ac:dyDescent="0.25">
      <c r="A37" s="1">
        <v>25</v>
      </c>
      <c r="B37" s="1">
        <v>13</v>
      </c>
      <c r="C37" s="1">
        <v>362</v>
      </c>
      <c r="D37" s="13">
        <v>46189</v>
      </c>
      <c r="E37" s="1">
        <v>1</v>
      </c>
      <c r="F37" s="1" t="s">
        <v>28</v>
      </c>
      <c r="G37" s="1" t="s">
        <v>29</v>
      </c>
      <c r="H37" s="1">
        <v>14</v>
      </c>
      <c r="I37" s="1" t="s">
        <v>30</v>
      </c>
      <c r="J37" s="1" t="s">
        <v>31</v>
      </c>
      <c r="K37" s="1" t="s">
        <v>32</v>
      </c>
      <c r="L37" s="1"/>
      <c r="M37" s="1"/>
      <c r="N37" s="1" t="s">
        <v>33</v>
      </c>
      <c r="O37" s="1" t="s">
        <v>34</v>
      </c>
      <c r="P37" s="1" t="s">
        <v>35</v>
      </c>
      <c r="Q37" s="1"/>
      <c r="R37" s="31">
        <v>2500</v>
      </c>
      <c r="S37" s="31">
        <f>Tabla134[[#This Row],[PU]]*Tabla134[[#This Row],[VIAJES ]]</f>
        <v>2500</v>
      </c>
      <c r="T37" s="31">
        <f>Tabla134[[#This Row],[SUBTOTAL]]*16%</f>
        <v>400</v>
      </c>
      <c r="U37" s="31">
        <f>Tabla134[[#This Row],[SUBTOTAL]]+Tabla134[[#This Row],[IVA]]</f>
        <v>2900</v>
      </c>
    </row>
    <row r="38" spans="1:21" x14ac:dyDescent="0.25">
      <c r="A38" s="1">
        <v>25</v>
      </c>
      <c r="B38" s="1">
        <v>14</v>
      </c>
      <c r="C38" s="1">
        <v>363</v>
      </c>
      <c r="D38" s="13">
        <v>46189</v>
      </c>
      <c r="E38" s="1">
        <v>1</v>
      </c>
      <c r="F38" s="1" t="s">
        <v>28</v>
      </c>
      <c r="G38" s="1" t="s">
        <v>36</v>
      </c>
      <c r="H38" s="1">
        <v>14</v>
      </c>
      <c r="I38" s="1" t="s">
        <v>30</v>
      </c>
      <c r="J38" s="1" t="s">
        <v>37</v>
      </c>
      <c r="K38" s="1" t="s">
        <v>32</v>
      </c>
      <c r="L38" s="1"/>
      <c r="M38" s="1"/>
      <c r="N38" s="1" t="s">
        <v>33</v>
      </c>
      <c r="O38" s="1" t="s">
        <v>34</v>
      </c>
      <c r="P38" s="1" t="s">
        <v>35</v>
      </c>
      <c r="Q38" s="1"/>
      <c r="R38" s="31">
        <v>2500</v>
      </c>
      <c r="S38" s="31">
        <f>Tabla134[[#This Row],[PU]]*Tabla134[[#This Row],[VIAJES ]]</f>
        <v>2500</v>
      </c>
      <c r="T38" s="31">
        <f>Tabla134[[#This Row],[SUBTOTAL]]*16%</f>
        <v>400</v>
      </c>
      <c r="U38" s="31">
        <f>Tabla134[[#This Row],[SUBTOTAL]]+Tabla134[[#This Row],[IVA]]</f>
        <v>2900</v>
      </c>
    </row>
    <row r="39" spans="1:21" ht="22.5" x14ac:dyDescent="0.25">
      <c r="A39" s="1">
        <v>25</v>
      </c>
      <c r="B39" s="1">
        <v>15</v>
      </c>
      <c r="C39" s="1">
        <v>364</v>
      </c>
      <c r="D39" s="13">
        <v>46189</v>
      </c>
      <c r="E39" s="1">
        <v>1</v>
      </c>
      <c r="F39" s="1" t="s">
        <v>42</v>
      </c>
      <c r="G39" s="1" t="s">
        <v>38</v>
      </c>
      <c r="H39" s="1">
        <v>14</v>
      </c>
      <c r="I39" s="1" t="s">
        <v>30</v>
      </c>
      <c r="J39" s="1" t="s">
        <v>39</v>
      </c>
      <c r="K39" s="1" t="s">
        <v>32</v>
      </c>
      <c r="L39" s="1"/>
      <c r="M39" s="1"/>
      <c r="N39" s="1" t="s">
        <v>33</v>
      </c>
      <c r="O39" s="1" t="s">
        <v>34</v>
      </c>
      <c r="P39" s="1" t="s">
        <v>35</v>
      </c>
      <c r="Q39" s="14" t="s">
        <v>43</v>
      </c>
      <c r="R39" s="31"/>
      <c r="S39" s="31">
        <f>Tabla134[[#This Row],[PU]]*Tabla134[[#This Row],[VIAJES ]]</f>
        <v>0</v>
      </c>
      <c r="T39" s="31">
        <f>Tabla134[[#This Row],[SUBTOTAL]]*16%</f>
        <v>0</v>
      </c>
      <c r="U39" s="31">
        <f>Tabla134[[#This Row],[SUBTOTAL]]+Tabla134[[#This Row],[IVA]]</f>
        <v>0</v>
      </c>
    </row>
    <row r="40" spans="1:21" x14ac:dyDescent="0.25">
      <c r="A40" s="1">
        <v>25</v>
      </c>
      <c r="B40" s="1">
        <v>16</v>
      </c>
      <c r="C40" s="1">
        <v>365</v>
      </c>
      <c r="D40" s="13">
        <v>46190</v>
      </c>
      <c r="E40" s="1">
        <v>1</v>
      </c>
      <c r="F40" s="1" t="s">
        <v>28</v>
      </c>
      <c r="G40" s="1" t="s">
        <v>36</v>
      </c>
      <c r="H40" s="1">
        <v>14</v>
      </c>
      <c r="I40" s="1" t="s">
        <v>30</v>
      </c>
      <c r="J40" s="1" t="s">
        <v>37</v>
      </c>
      <c r="K40" s="1" t="s">
        <v>32</v>
      </c>
      <c r="L40" s="1"/>
      <c r="M40" s="1"/>
      <c r="N40" s="1" t="s">
        <v>33</v>
      </c>
      <c r="O40" s="1" t="s">
        <v>34</v>
      </c>
      <c r="P40" s="1" t="s">
        <v>79</v>
      </c>
      <c r="Q40" s="19"/>
      <c r="R40" s="31">
        <v>2500</v>
      </c>
      <c r="S40" s="31">
        <f>Tabla134[[#This Row],[PU]]*Tabla134[[#This Row],[VIAJES ]]</f>
        <v>2500</v>
      </c>
      <c r="T40" s="31">
        <f>Tabla134[[#This Row],[SUBTOTAL]]*16%</f>
        <v>400</v>
      </c>
      <c r="U40" s="31">
        <f>Tabla134[[#This Row],[SUBTOTAL]]+Tabla134[[#This Row],[IVA]]</f>
        <v>2900</v>
      </c>
    </row>
    <row r="41" spans="1:21" x14ac:dyDescent="0.25">
      <c r="A41" s="1">
        <v>25</v>
      </c>
      <c r="B41" s="1">
        <v>17</v>
      </c>
      <c r="C41" s="1">
        <v>366</v>
      </c>
      <c r="D41" s="13">
        <v>46190</v>
      </c>
      <c r="E41" s="1">
        <v>1</v>
      </c>
      <c r="F41" s="1" t="s">
        <v>28</v>
      </c>
      <c r="G41" s="1" t="s">
        <v>36</v>
      </c>
      <c r="H41" s="1">
        <v>14</v>
      </c>
      <c r="I41" s="1" t="s">
        <v>30</v>
      </c>
      <c r="J41" s="1" t="s">
        <v>52</v>
      </c>
      <c r="K41" s="1" t="s">
        <v>32</v>
      </c>
      <c r="L41" s="1"/>
      <c r="M41" s="1"/>
      <c r="N41" s="1" t="s">
        <v>33</v>
      </c>
      <c r="O41" s="1" t="s">
        <v>34</v>
      </c>
      <c r="P41" s="1" t="s">
        <v>79</v>
      </c>
      <c r="Q41" s="19"/>
      <c r="R41" s="31">
        <v>2500</v>
      </c>
      <c r="S41" s="31">
        <f>Tabla134[[#This Row],[PU]]*Tabla134[[#This Row],[VIAJES ]]</f>
        <v>2500</v>
      </c>
      <c r="T41" s="31">
        <f>Tabla134[[#This Row],[SUBTOTAL]]*16%</f>
        <v>400</v>
      </c>
      <c r="U41" s="31">
        <f>Tabla134[[#This Row],[SUBTOTAL]]+Tabla134[[#This Row],[IVA]]</f>
        <v>2900</v>
      </c>
    </row>
    <row r="42" spans="1:21" x14ac:dyDescent="0.25">
      <c r="A42" s="1">
        <v>25</v>
      </c>
      <c r="B42" s="1">
        <v>18</v>
      </c>
      <c r="C42" s="1">
        <v>367</v>
      </c>
      <c r="D42" s="13">
        <v>46190</v>
      </c>
      <c r="E42" s="1">
        <v>1</v>
      </c>
      <c r="F42" s="1" t="s">
        <v>28</v>
      </c>
      <c r="G42" s="1" t="s">
        <v>81</v>
      </c>
      <c r="H42" s="1">
        <v>14</v>
      </c>
      <c r="I42" s="1" t="s">
        <v>30</v>
      </c>
      <c r="J42" s="1" t="s">
        <v>53</v>
      </c>
      <c r="K42" s="1" t="s">
        <v>32</v>
      </c>
      <c r="L42" s="1"/>
      <c r="M42" s="1"/>
      <c r="N42" s="1" t="s">
        <v>82</v>
      </c>
      <c r="O42" s="1" t="s">
        <v>34</v>
      </c>
      <c r="P42" s="1" t="s">
        <v>79</v>
      </c>
      <c r="Q42" s="19" t="s">
        <v>80</v>
      </c>
      <c r="R42" s="31">
        <v>2500</v>
      </c>
      <c r="S42" s="31">
        <f>Tabla134[[#This Row],[PU]]*Tabla134[[#This Row],[VIAJES ]]</f>
        <v>2500</v>
      </c>
      <c r="T42" s="31">
        <f>Tabla134[[#This Row],[SUBTOTAL]]*16%</f>
        <v>400</v>
      </c>
      <c r="U42" s="31">
        <f>Tabla134[[#This Row],[SUBTOTAL]]+Tabla134[[#This Row],[IVA]]</f>
        <v>2900</v>
      </c>
    </row>
    <row r="43" spans="1:21" x14ac:dyDescent="0.25">
      <c r="A43" s="1">
        <v>25</v>
      </c>
      <c r="B43" s="1">
        <v>19</v>
      </c>
      <c r="C43" s="1">
        <v>368</v>
      </c>
      <c r="D43" s="13">
        <v>46190</v>
      </c>
      <c r="E43" s="1">
        <v>1</v>
      </c>
      <c r="F43" s="1" t="s">
        <v>28</v>
      </c>
      <c r="G43" s="1" t="s">
        <v>83</v>
      </c>
      <c r="H43" s="1">
        <v>14</v>
      </c>
      <c r="I43" s="1" t="s">
        <v>30</v>
      </c>
      <c r="J43" s="1" t="s">
        <v>84</v>
      </c>
      <c r="K43" s="1" t="s">
        <v>32</v>
      </c>
      <c r="L43" s="1"/>
      <c r="M43" s="1"/>
      <c r="N43" s="1" t="s">
        <v>82</v>
      </c>
      <c r="O43" s="1" t="s">
        <v>34</v>
      </c>
      <c r="P43" s="1" t="s">
        <v>79</v>
      </c>
      <c r="Q43" s="19" t="s">
        <v>80</v>
      </c>
      <c r="R43" s="31">
        <v>2500</v>
      </c>
      <c r="S43" s="31">
        <f>Tabla134[[#This Row],[PU]]*Tabla134[[#This Row],[VIAJES ]]</f>
        <v>2500</v>
      </c>
      <c r="T43" s="31">
        <f>Tabla134[[#This Row],[SUBTOTAL]]*16%</f>
        <v>400</v>
      </c>
      <c r="U43" s="31">
        <f>Tabla134[[#This Row],[SUBTOTAL]]+Tabla134[[#This Row],[IVA]]</f>
        <v>2900</v>
      </c>
    </row>
    <row r="44" spans="1:21" x14ac:dyDescent="0.25">
      <c r="A44" s="1">
        <v>25</v>
      </c>
      <c r="B44" s="1">
        <v>20</v>
      </c>
      <c r="C44" s="1">
        <v>369</v>
      </c>
      <c r="D44" s="13">
        <v>46190</v>
      </c>
      <c r="E44" s="1">
        <v>1</v>
      </c>
      <c r="F44" s="1" t="s">
        <v>28</v>
      </c>
      <c r="G44" s="1" t="s">
        <v>36</v>
      </c>
      <c r="H44" s="1">
        <v>14</v>
      </c>
      <c r="I44" s="1" t="s">
        <v>30</v>
      </c>
      <c r="J44" s="1" t="s">
        <v>37</v>
      </c>
      <c r="K44" s="1" t="s">
        <v>32</v>
      </c>
      <c r="L44" s="1"/>
      <c r="M44" s="1"/>
      <c r="N44" s="1" t="s">
        <v>33</v>
      </c>
      <c r="O44" s="1" t="s">
        <v>34</v>
      </c>
      <c r="P44" s="1" t="s">
        <v>79</v>
      </c>
      <c r="Q44" s="19"/>
      <c r="R44" s="31">
        <v>2500</v>
      </c>
      <c r="S44" s="31">
        <f>Tabla134[[#This Row],[PU]]*Tabla134[[#This Row],[VIAJES ]]</f>
        <v>2500</v>
      </c>
      <c r="T44" s="31">
        <f>Tabla134[[#This Row],[SUBTOTAL]]*16%</f>
        <v>400</v>
      </c>
      <c r="U44" s="31">
        <f>Tabla134[[#This Row],[SUBTOTAL]]+Tabla134[[#This Row],[IVA]]</f>
        <v>2900</v>
      </c>
    </row>
    <row r="45" spans="1:21" x14ac:dyDescent="0.25">
      <c r="A45" s="1">
        <v>25</v>
      </c>
      <c r="B45" s="1">
        <v>21</v>
      </c>
      <c r="C45" s="1">
        <v>370</v>
      </c>
      <c r="D45" s="13">
        <v>46190</v>
      </c>
      <c r="E45" s="1">
        <v>1</v>
      </c>
      <c r="F45" s="1" t="s">
        <v>28</v>
      </c>
      <c r="G45" s="1" t="s">
        <v>85</v>
      </c>
      <c r="H45" s="1">
        <v>14</v>
      </c>
      <c r="I45" s="1" t="s">
        <v>30</v>
      </c>
      <c r="J45" s="1" t="s">
        <v>52</v>
      </c>
      <c r="K45" s="1" t="s">
        <v>32</v>
      </c>
      <c r="L45" s="1"/>
      <c r="M45" s="1"/>
      <c r="N45" s="1" t="s">
        <v>33</v>
      </c>
      <c r="O45" s="1" t="s">
        <v>34</v>
      </c>
      <c r="P45" s="1" t="s">
        <v>79</v>
      </c>
      <c r="Q45" s="19"/>
      <c r="R45" s="31">
        <v>2500</v>
      </c>
      <c r="S45" s="31">
        <f>Tabla134[[#This Row],[PU]]*Tabla134[[#This Row],[VIAJES ]]</f>
        <v>2500</v>
      </c>
      <c r="T45" s="31">
        <f>Tabla134[[#This Row],[SUBTOTAL]]*16%</f>
        <v>400</v>
      </c>
      <c r="U45" s="31">
        <f>Tabla134[[#This Row],[SUBTOTAL]]+Tabla134[[#This Row],[IVA]]</f>
        <v>2900</v>
      </c>
    </row>
    <row r="46" spans="1:21" x14ac:dyDescent="0.25">
      <c r="A46" s="1">
        <v>25</v>
      </c>
      <c r="B46" s="1">
        <v>22</v>
      </c>
      <c r="C46" s="1">
        <v>371</v>
      </c>
      <c r="D46" s="13">
        <v>46190</v>
      </c>
      <c r="E46" s="1">
        <v>1</v>
      </c>
      <c r="F46" s="1" t="s">
        <v>28</v>
      </c>
      <c r="G46" s="1" t="s">
        <v>86</v>
      </c>
      <c r="H46" s="1">
        <v>14</v>
      </c>
      <c r="I46" s="1" t="s">
        <v>30</v>
      </c>
      <c r="J46" s="1" t="s">
        <v>87</v>
      </c>
      <c r="K46" s="1" t="s">
        <v>32</v>
      </c>
      <c r="L46" s="1"/>
      <c r="M46" s="1"/>
      <c r="N46" s="1" t="s">
        <v>82</v>
      </c>
      <c r="O46" s="1" t="s">
        <v>34</v>
      </c>
      <c r="P46" s="1" t="s">
        <v>79</v>
      </c>
      <c r="Q46" s="19" t="s">
        <v>80</v>
      </c>
      <c r="R46" s="31">
        <v>2500</v>
      </c>
      <c r="S46" s="31">
        <f>Tabla134[[#This Row],[PU]]*Tabla134[[#This Row],[VIAJES ]]</f>
        <v>2500</v>
      </c>
      <c r="T46" s="31">
        <f>Tabla134[[#This Row],[SUBTOTAL]]*16%</f>
        <v>400</v>
      </c>
      <c r="U46" s="31">
        <f>Tabla134[[#This Row],[SUBTOTAL]]+Tabla134[[#This Row],[IVA]]</f>
        <v>2900</v>
      </c>
    </row>
    <row r="47" spans="1:21" x14ac:dyDescent="0.25">
      <c r="A47" s="1">
        <v>25</v>
      </c>
      <c r="B47" s="1">
        <v>23</v>
      </c>
      <c r="C47" s="1">
        <v>372</v>
      </c>
      <c r="D47" s="13">
        <v>46190</v>
      </c>
      <c r="E47" s="1">
        <v>1</v>
      </c>
      <c r="F47" s="1" t="s">
        <v>28</v>
      </c>
      <c r="G47" s="1" t="s">
        <v>36</v>
      </c>
      <c r="H47" s="1">
        <v>14</v>
      </c>
      <c r="I47" s="1" t="s">
        <v>30</v>
      </c>
      <c r="J47" s="1" t="s">
        <v>37</v>
      </c>
      <c r="K47" s="1" t="s">
        <v>32</v>
      </c>
      <c r="L47" s="1"/>
      <c r="M47" s="1"/>
      <c r="N47" s="1" t="s">
        <v>33</v>
      </c>
      <c r="O47" s="1" t="s">
        <v>34</v>
      </c>
      <c r="P47" s="1" t="s">
        <v>79</v>
      </c>
      <c r="Q47" s="19"/>
      <c r="R47" s="31">
        <v>2500</v>
      </c>
      <c r="S47" s="31">
        <f>Tabla134[[#This Row],[PU]]*Tabla134[[#This Row],[VIAJES ]]</f>
        <v>2500</v>
      </c>
      <c r="T47" s="31">
        <f>Tabla134[[#This Row],[SUBTOTAL]]*16%</f>
        <v>400</v>
      </c>
      <c r="U47" s="31">
        <f>Tabla134[[#This Row],[SUBTOTAL]]+Tabla134[[#This Row],[IVA]]</f>
        <v>2900</v>
      </c>
    </row>
    <row r="48" spans="1:21" x14ac:dyDescent="0.25">
      <c r="A48" s="1">
        <v>25</v>
      </c>
      <c r="B48" s="1">
        <v>0</v>
      </c>
      <c r="C48" s="1">
        <v>373</v>
      </c>
      <c r="D48" s="13">
        <v>46190</v>
      </c>
      <c r="E48" s="1">
        <v>1</v>
      </c>
      <c r="F48" s="1" t="s">
        <v>123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9" t="s">
        <v>125</v>
      </c>
      <c r="R48" s="31"/>
      <c r="S48" s="31">
        <f>Tabla134[[#This Row],[PU]]*Tabla134[[#This Row],[VIAJES ]]</f>
        <v>0</v>
      </c>
      <c r="T48" s="31">
        <f>Tabla134[[#This Row],[SUBTOTAL]]*16%</f>
        <v>0</v>
      </c>
      <c r="U48" s="31">
        <f>Tabla134[[#This Row],[SUBTOTAL]]+Tabla134[[#This Row],[IVA]]</f>
        <v>0</v>
      </c>
    </row>
    <row r="49" spans="1:21" x14ac:dyDescent="0.25">
      <c r="A49" s="1">
        <v>25</v>
      </c>
      <c r="B49" s="1">
        <v>24</v>
      </c>
      <c r="C49" s="1">
        <v>374</v>
      </c>
      <c r="D49" s="13">
        <v>46190</v>
      </c>
      <c r="E49" s="1">
        <v>1</v>
      </c>
      <c r="F49" s="1" t="s">
        <v>28</v>
      </c>
      <c r="G49" s="1" t="s">
        <v>85</v>
      </c>
      <c r="H49" s="1">
        <v>14</v>
      </c>
      <c r="I49" s="1" t="s">
        <v>30</v>
      </c>
      <c r="J49" s="1" t="s">
        <v>52</v>
      </c>
      <c r="K49" s="1" t="s">
        <v>32</v>
      </c>
      <c r="L49" s="1"/>
      <c r="M49" s="1"/>
      <c r="N49" s="1" t="s">
        <v>33</v>
      </c>
      <c r="O49" s="1" t="s">
        <v>34</v>
      </c>
      <c r="P49" s="1" t="s">
        <v>79</v>
      </c>
      <c r="Q49" s="19"/>
      <c r="R49" s="31">
        <v>2500</v>
      </c>
      <c r="S49" s="31">
        <f>Tabla134[[#This Row],[PU]]*Tabla134[[#This Row],[VIAJES ]]</f>
        <v>2500</v>
      </c>
      <c r="T49" s="31">
        <f>Tabla134[[#This Row],[SUBTOTAL]]*16%</f>
        <v>400</v>
      </c>
      <c r="U49" s="31">
        <f>Tabla134[[#This Row],[SUBTOTAL]]+Tabla134[[#This Row],[IVA]]</f>
        <v>2900</v>
      </c>
    </row>
    <row r="50" spans="1:21" x14ac:dyDescent="0.25">
      <c r="A50" s="1">
        <v>25</v>
      </c>
      <c r="B50" s="1">
        <v>25</v>
      </c>
      <c r="C50" s="1">
        <v>375</v>
      </c>
      <c r="D50" s="13">
        <v>46190</v>
      </c>
      <c r="E50" s="1">
        <v>1</v>
      </c>
      <c r="F50" s="1" t="s">
        <v>28</v>
      </c>
      <c r="G50" s="1" t="s">
        <v>36</v>
      </c>
      <c r="H50" s="1">
        <v>14</v>
      </c>
      <c r="I50" s="1" t="s">
        <v>30</v>
      </c>
      <c r="J50" s="1" t="s">
        <v>37</v>
      </c>
      <c r="K50" s="1" t="s">
        <v>32</v>
      </c>
      <c r="L50" s="1"/>
      <c r="M50" s="1"/>
      <c r="N50" s="1" t="s">
        <v>33</v>
      </c>
      <c r="O50" s="1" t="s">
        <v>34</v>
      </c>
      <c r="P50" s="1" t="s">
        <v>79</v>
      </c>
      <c r="Q50" s="19"/>
      <c r="R50" s="31">
        <v>2500</v>
      </c>
      <c r="S50" s="31">
        <f>Tabla134[[#This Row],[PU]]*Tabla134[[#This Row],[VIAJES ]]</f>
        <v>2500</v>
      </c>
      <c r="T50" s="31">
        <f>Tabla134[[#This Row],[SUBTOTAL]]*16%</f>
        <v>400</v>
      </c>
      <c r="U50" s="31">
        <f>Tabla134[[#This Row],[SUBTOTAL]]+Tabla134[[#This Row],[IVA]]</f>
        <v>2900</v>
      </c>
    </row>
    <row r="51" spans="1:21" x14ac:dyDescent="0.25">
      <c r="A51" s="1">
        <v>25</v>
      </c>
      <c r="B51" s="1">
        <v>26</v>
      </c>
      <c r="C51" s="1">
        <v>376</v>
      </c>
      <c r="D51" s="13">
        <v>46190</v>
      </c>
      <c r="E51" s="1">
        <v>1</v>
      </c>
      <c r="F51" s="1" t="s">
        <v>28</v>
      </c>
      <c r="G51" s="1" t="s">
        <v>85</v>
      </c>
      <c r="H51" s="1">
        <v>14</v>
      </c>
      <c r="I51" s="1" t="s">
        <v>30</v>
      </c>
      <c r="J51" s="1" t="s">
        <v>52</v>
      </c>
      <c r="K51" s="1" t="s">
        <v>32</v>
      </c>
      <c r="L51" s="1"/>
      <c r="M51" s="1"/>
      <c r="N51" s="1" t="s">
        <v>33</v>
      </c>
      <c r="O51" s="1" t="s">
        <v>34</v>
      </c>
      <c r="P51" s="1" t="s">
        <v>79</v>
      </c>
      <c r="Q51" s="19"/>
      <c r="R51" s="31">
        <v>2500</v>
      </c>
      <c r="S51" s="31">
        <f>Tabla134[[#This Row],[PU]]*Tabla134[[#This Row],[VIAJES ]]</f>
        <v>2500</v>
      </c>
      <c r="T51" s="31">
        <f>Tabla134[[#This Row],[SUBTOTAL]]*16%</f>
        <v>400</v>
      </c>
      <c r="U51" s="31">
        <f>Tabla134[[#This Row],[SUBTOTAL]]+Tabla134[[#This Row],[IVA]]</f>
        <v>2900</v>
      </c>
    </row>
    <row r="52" spans="1:21" x14ac:dyDescent="0.25">
      <c r="A52" s="1">
        <v>25</v>
      </c>
      <c r="B52" s="1">
        <v>27</v>
      </c>
      <c r="C52" s="1">
        <v>377</v>
      </c>
      <c r="D52" s="13">
        <v>46190</v>
      </c>
      <c r="E52" s="1">
        <v>1</v>
      </c>
      <c r="F52" s="1" t="s">
        <v>28</v>
      </c>
      <c r="G52" s="1" t="s">
        <v>36</v>
      </c>
      <c r="H52" s="1">
        <v>14</v>
      </c>
      <c r="I52" s="1" t="s">
        <v>30</v>
      </c>
      <c r="J52" s="1" t="s">
        <v>37</v>
      </c>
      <c r="K52" s="1" t="s">
        <v>32</v>
      </c>
      <c r="L52" s="1"/>
      <c r="M52" s="1"/>
      <c r="N52" s="1" t="s">
        <v>33</v>
      </c>
      <c r="O52" s="1" t="s">
        <v>34</v>
      </c>
      <c r="P52" s="1" t="s">
        <v>79</v>
      </c>
      <c r="Q52" s="19"/>
      <c r="R52" s="31">
        <v>2500</v>
      </c>
      <c r="S52" s="31">
        <f>Tabla134[[#This Row],[PU]]*Tabla134[[#This Row],[VIAJES ]]</f>
        <v>2500</v>
      </c>
      <c r="T52" s="31">
        <f>Tabla134[[#This Row],[SUBTOTAL]]*16%</f>
        <v>400</v>
      </c>
      <c r="U52" s="31">
        <f>Tabla134[[#This Row],[SUBTOTAL]]+Tabla134[[#This Row],[IVA]]</f>
        <v>2900</v>
      </c>
    </row>
    <row r="53" spans="1:21" x14ac:dyDescent="0.25">
      <c r="A53" s="1">
        <v>25</v>
      </c>
      <c r="B53" s="1">
        <v>28</v>
      </c>
      <c r="C53" s="1">
        <v>378</v>
      </c>
      <c r="D53" s="13">
        <v>46190</v>
      </c>
      <c r="E53" s="1">
        <v>1</v>
      </c>
      <c r="F53" s="1" t="s">
        <v>28</v>
      </c>
      <c r="G53" s="1" t="s">
        <v>85</v>
      </c>
      <c r="H53" s="1">
        <v>14</v>
      </c>
      <c r="I53" s="1" t="s">
        <v>30</v>
      </c>
      <c r="J53" s="1" t="s">
        <v>52</v>
      </c>
      <c r="K53" s="1" t="s">
        <v>32</v>
      </c>
      <c r="L53" s="1"/>
      <c r="M53" s="1"/>
      <c r="N53" s="1" t="s">
        <v>33</v>
      </c>
      <c r="O53" s="1" t="s">
        <v>34</v>
      </c>
      <c r="P53" s="1" t="s">
        <v>79</v>
      </c>
      <c r="Q53" s="19"/>
      <c r="R53" s="31">
        <v>2500</v>
      </c>
      <c r="S53" s="31">
        <f>Tabla134[[#This Row],[PU]]*Tabla134[[#This Row],[VIAJES ]]</f>
        <v>2500</v>
      </c>
      <c r="T53" s="31">
        <f>Tabla134[[#This Row],[SUBTOTAL]]*16%</f>
        <v>400</v>
      </c>
      <c r="U53" s="31">
        <f>Tabla134[[#This Row],[SUBTOTAL]]+Tabla134[[#This Row],[IVA]]</f>
        <v>2900</v>
      </c>
    </row>
    <row r="54" spans="1:21" x14ac:dyDescent="0.25">
      <c r="A54" s="1">
        <v>25</v>
      </c>
      <c r="B54" s="1">
        <v>29</v>
      </c>
      <c r="C54" s="1">
        <v>379</v>
      </c>
      <c r="D54" s="13">
        <v>46190</v>
      </c>
      <c r="E54" s="1">
        <v>1</v>
      </c>
      <c r="F54" s="1" t="s">
        <v>28</v>
      </c>
      <c r="G54" s="1" t="s">
        <v>36</v>
      </c>
      <c r="H54" s="1">
        <v>14</v>
      </c>
      <c r="I54" s="1" t="s">
        <v>30</v>
      </c>
      <c r="J54" s="1" t="s">
        <v>37</v>
      </c>
      <c r="K54" s="1" t="s">
        <v>32</v>
      </c>
      <c r="L54" s="1"/>
      <c r="M54" s="1"/>
      <c r="N54" s="1" t="s">
        <v>33</v>
      </c>
      <c r="O54" s="1" t="s">
        <v>34</v>
      </c>
      <c r="P54" s="1" t="s">
        <v>79</v>
      </c>
      <c r="Q54" s="19"/>
      <c r="R54" s="31">
        <v>2500</v>
      </c>
      <c r="S54" s="31">
        <f>Tabla134[[#This Row],[PU]]*Tabla134[[#This Row],[VIAJES ]]</f>
        <v>2500</v>
      </c>
      <c r="T54" s="31">
        <f>Tabla134[[#This Row],[SUBTOTAL]]*16%</f>
        <v>400</v>
      </c>
      <c r="U54" s="31">
        <f>Tabla134[[#This Row],[SUBTOTAL]]+Tabla134[[#This Row],[IVA]]</f>
        <v>2900</v>
      </c>
    </row>
    <row r="55" spans="1:21" x14ac:dyDescent="0.25">
      <c r="A55" s="1">
        <v>25</v>
      </c>
      <c r="B55" s="1">
        <v>30</v>
      </c>
      <c r="C55" s="1">
        <v>380</v>
      </c>
      <c r="D55" s="13">
        <v>46190</v>
      </c>
      <c r="E55" s="1">
        <v>1</v>
      </c>
      <c r="F55" s="1" t="s">
        <v>28</v>
      </c>
      <c r="G55" s="1" t="s">
        <v>85</v>
      </c>
      <c r="H55" s="1">
        <v>14</v>
      </c>
      <c r="I55" s="1" t="s">
        <v>30</v>
      </c>
      <c r="J55" s="1" t="s">
        <v>52</v>
      </c>
      <c r="K55" s="1" t="s">
        <v>32</v>
      </c>
      <c r="L55" s="1"/>
      <c r="M55" s="1"/>
      <c r="N55" s="1" t="s">
        <v>33</v>
      </c>
      <c r="O55" s="1" t="s">
        <v>34</v>
      </c>
      <c r="P55" s="1" t="s">
        <v>79</v>
      </c>
      <c r="Q55" s="19"/>
      <c r="R55" s="31">
        <v>2500</v>
      </c>
      <c r="S55" s="31">
        <f>Tabla134[[#This Row],[PU]]*Tabla134[[#This Row],[VIAJES ]]</f>
        <v>2500</v>
      </c>
      <c r="T55" s="31">
        <f>Tabla134[[#This Row],[SUBTOTAL]]*16%</f>
        <v>400</v>
      </c>
      <c r="U55" s="31">
        <f>Tabla134[[#This Row],[SUBTOTAL]]+Tabla134[[#This Row],[IVA]]</f>
        <v>2900</v>
      </c>
    </row>
    <row r="56" spans="1:21" x14ac:dyDescent="0.25">
      <c r="A56" s="1">
        <v>25</v>
      </c>
      <c r="B56" s="1">
        <v>31</v>
      </c>
      <c r="C56" s="1">
        <v>381</v>
      </c>
      <c r="D56" s="13">
        <v>46190</v>
      </c>
      <c r="E56" s="1">
        <v>1</v>
      </c>
      <c r="F56" s="1" t="s">
        <v>28</v>
      </c>
      <c r="G56" s="1" t="s">
        <v>85</v>
      </c>
      <c r="H56" s="1">
        <v>14</v>
      </c>
      <c r="I56" s="1" t="s">
        <v>30</v>
      </c>
      <c r="J56" s="1" t="s">
        <v>52</v>
      </c>
      <c r="K56" s="1" t="s">
        <v>32</v>
      </c>
      <c r="L56" s="1"/>
      <c r="M56" s="1"/>
      <c r="N56" s="1" t="s">
        <v>33</v>
      </c>
      <c r="O56" s="1" t="s">
        <v>34</v>
      </c>
      <c r="P56" s="1" t="s">
        <v>79</v>
      </c>
      <c r="Q56" s="19"/>
      <c r="R56" s="31">
        <v>2500</v>
      </c>
      <c r="S56" s="31">
        <f>Tabla134[[#This Row],[PU]]*Tabla134[[#This Row],[VIAJES ]]</f>
        <v>2500</v>
      </c>
      <c r="T56" s="31">
        <f>Tabla134[[#This Row],[SUBTOTAL]]*16%</f>
        <v>400</v>
      </c>
      <c r="U56" s="31">
        <f>Tabla134[[#This Row],[SUBTOTAL]]+Tabla134[[#This Row],[IVA]]</f>
        <v>2900</v>
      </c>
    </row>
    <row r="57" spans="1:21" x14ac:dyDescent="0.25">
      <c r="A57" s="1">
        <v>25</v>
      </c>
      <c r="B57" s="1">
        <v>32</v>
      </c>
      <c r="C57" s="1">
        <v>382</v>
      </c>
      <c r="D57" s="13">
        <v>46190</v>
      </c>
      <c r="E57" s="1">
        <v>1</v>
      </c>
      <c r="F57" s="1" t="s">
        <v>28</v>
      </c>
      <c r="G57" s="1" t="s">
        <v>85</v>
      </c>
      <c r="H57" s="1">
        <v>14</v>
      </c>
      <c r="I57" s="1" t="s">
        <v>30</v>
      </c>
      <c r="J57" s="1" t="s">
        <v>52</v>
      </c>
      <c r="K57" s="1" t="s">
        <v>32</v>
      </c>
      <c r="L57" s="1"/>
      <c r="M57" s="1"/>
      <c r="N57" s="1" t="s">
        <v>33</v>
      </c>
      <c r="O57" s="1" t="s">
        <v>34</v>
      </c>
      <c r="P57" s="1" t="s">
        <v>79</v>
      </c>
      <c r="Q57" s="19"/>
      <c r="R57" s="31">
        <v>2500</v>
      </c>
      <c r="S57" s="31">
        <f>Tabla134[[#This Row],[PU]]*Tabla134[[#This Row],[VIAJES ]]</f>
        <v>2500</v>
      </c>
      <c r="T57" s="31">
        <f>Tabla134[[#This Row],[SUBTOTAL]]*16%</f>
        <v>400</v>
      </c>
      <c r="U57" s="31">
        <f>Tabla134[[#This Row],[SUBTOTAL]]+Tabla134[[#This Row],[IVA]]</f>
        <v>2900</v>
      </c>
    </row>
    <row r="58" spans="1:21" x14ac:dyDescent="0.25">
      <c r="A58" s="1">
        <v>25</v>
      </c>
      <c r="B58" s="1">
        <v>33</v>
      </c>
      <c r="C58" s="1">
        <v>383</v>
      </c>
      <c r="D58" s="13">
        <v>46190</v>
      </c>
      <c r="E58" s="1">
        <v>1</v>
      </c>
      <c r="F58" s="1" t="s">
        <v>28</v>
      </c>
      <c r="G58" s="1" t="s">
        <v>85</v>
      </c>
      <c r="H58" s="1">
        <v>14</v>
      </c>
      <c r="I58" s="1" t="s">
        <v>30</v>
      </c>
      <c r="J58" s="1" t="s">
        <v>52</v>
      </c>
      <c r="K58" s="1" t="s">
        <v>32</v>
      </c>
      <c r="L58" s="1"/>
      <c r="M58" s="1"/>
      <c r="N58" s="1" t="s">
        <v>33</v>
      </c>
      <c r="O58" s="1" t="s">
        <v>34</v>
      </c>
      <c r="P58" s="1" t="s">
        <v>79</v>
      </c>
      <c r="Q58" s="19"/>
      <c r="R58" s="31">
        <v>2500</v>
      </c>
      <c r="S58" s="31">
        <f>Tabla134[[#This Row],[PU]]*Tabla134[[#This Row],[VIAJES ]]</f>
        <v>2500</v>
      </c>
      <c r="T58" s="31">
        <f>Tabla134[[#This Row],[SUBTOTAL]]*16%</f>
        <v>400</v>
      </c>
      <c r="U58" s="31">
        <f>Tabla134[[#This Row],[SUBTOTAL]]+Tabla134[[#This Row],[IVA]]</f>
        <v>2900</v>
      </c>
    </row>
    <row r="59" spans="1:21" s="26" customFormat="1" x14ac:dyDescent="0.25">
      <c r="A59" s="23">
        <v>25</v>
      </c>
      <c r="B59" s="23">
        <v>0</v>
      </c>
      <c r="C59" s="23">
        <v>384</v>
      </c>
      <c r="D59" s="27">
        <v>46190</v>
      </c>
      <c r="E59" s="1">
        <v>0</v>
      </c>
      <c r="F59" s="23" t="s">
        <v>123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8" t="s">
        <v>125</v>
      </c>
      <c r="R59" s="32"/>
      <c r="S59" s="32">
        <f>Tabla134[[#This Row],[PU]]*Tabla134[[#This Row],[VIAJES ]]</f>
        <v>0</v>
      </c>
      <c r="T59" s="32">
        <f>Tabla134[[#This Row],[SUBTOTAL]]*16%</f>
        <v>0</v>
      </c>
      <c r="U59" s="32">
        <f>Tabla134[[#This Row],[SUBTOTAL]]+Tabla134[[#This Row],[IVA]]</f>
        <v>0</v>
      </c>
    </row>
    <row r="60" spans="1:21" x14ac:dyDescent="0.25">
      <c r="A60" s="1">
        <v>25</v>
      </c>
      <c r="B60" s="1">
        <v>34</v>
      </c>
      <c r="C60" s="1">
        <v>385</v>
      </c>
      <c r="D60" s="13">
        <v>46190</v>
      </c>
      <c r="E60" s="1">
        <v>1</v>
      </c>
      <c r="F60" s="1" t="s">
        <v>28</v>
      </c>
      <c r="G60" s="1" t="s">
        <v>85</v>
      </c>
      <c r="H60" s="1">
        <v>14</v>
      </c>
      <c r="I60" s="1" t="s">
        <v>30</v>
      </c>
      <c r="J60" s="1" t="s">
        <v>52</v>
      </c>
      <c r="K60" s="1" t="s">
        <v>32</v>
      </c>
      <c r="L60" s="1"/>
      <c r="M60" s="1"/>
      <c r="N60" s="1" t="s">
        <v>33</v>
      </c>
      <c r="O60" s="1" t="s">
        <v>34</v>
      </c>
      <c r="P60" s="1" t="s">
        <v>79</v>
      </c>
      <c r="Q60" s="19"/>
      <c r="R60" s="31">
        <v>2500</v>
      </c>
      <c r="S60" s="31">
        <f>Tabla134[[#This Row],[PU]]*Tabla134[[#This Row],[VIAJES ]]</f>
        <v>2500</v>
      </c>
      <c r="T60" s="31">
        <f>Tabla134[[#This Row],[SUBTOTAL]]*16%</f>
        <v>400</v>
      </c>
      <c r="U60" s="31">
        <f>Tabla134[[#This Row],[SUBTOTAL]]+Tabla134[[#This Row],[IVA]]</f>
        <v>2900</v>
      </c>
    </row>
    <row r="61" spans="1:21" s="26" customFormat="1" x14ac:dyDescent="0.25">
      <c r="A61" s="23">
        <v>25</v>
      </c>
      <c r="B61" s="23">
        <v>0</v>
      </c>
      <c r="C61" s="23">
        <v>384</v>
      </c>
      <c r="D61" s="27">
        <v>46190</v>
      </c>
      <c r="E61" s="1">
        <v>0</v>
      </c>
      <c r="F61" s="23" t="s">
        <v>123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8" t="s">
        <v>125</v>
      </c>
      <c r="R61" s="32"/>
      <c r="S61" s="32">
        <f>Tabla134[[#This Row],[PU]]*Tabla134[[#This Row],[VIAJES ]]</f>
        <v>0</v>
      </c>
      <c r="T61" s="32">
        <f>Tabla134[[#This Row],[SUBTOTAL]]*16%</f>
        <v>0</v>
      </c>
      <c r="U61" s="32">
        <f>Tabla134[[#This Row],[SUBTOTAL]]+Tabla134[[#This Row],[IVA]]</f>
        <v>0</v>
      </c>
    </row>
    <row r="62" spans="1:21" x14ac:dyDescent="0.25">
      <c r="A62" s="1">
        <v>25</v>
      </c>
      <c r="B62" s="1">
        <v>35</v>
      </c>
      <c r="C62" s="1">
        <v>387</v>
      </c>
      <c r="D62" s="13">
        <v>46190</v>
      </c>
      <c r="E62" s="1">
        <v>1</v>
      </c>
      <c r="F62" s="1" t="s">
        <v>28</v>
      </c>
      <c r="G62" s="1" t="s">
        <v>85</v>
      </c>
      <c r="H62" s="1">
        <v>14</v>
      </c>
      <c r="I62" s="1" t="s">
        <v>30</v>
      </c>
      <c r="J62" s="1" t="s">
        <v>52</v>
      </c>
      <c r="K62" s="1" t="s">
        <v>32</v>
      </c>
      <c r="L62" s="1"/>
      <c r="M62" s="1"/>
      <c r="N62" s="1" t="s">
        <v>33</v>
      </c>
      <c r="O62" s="1" t="s">
        <v>34</v>
      </c>
      <c r="P62" s="1" t="s">
        <v>79</v>
      </c>
      <c r="Q62" s="19"/>
      <c r="R62" s="31">
        <v>2500</v>
      </c>
      <c r="S62" s="31">
        <f>Tabla134[[#This Row],[PU]]*Tabla134[[#This Row],[VIAJES ]]</f>
        <v>2500</v>
      </c>
      <c r="T62" s="31">
        <f>Tabla134[[#This Row],[SUBTOTAL]]*16%</f>
        <v>400</v>
      </c>
      <c r="U62" s="31">
        <f>Tabla134[[#This Row],[SUBTOTAL]]+Tabla134[[#This Row],[IVA]]</f>
        <v>2900</v>
      </c>
    </row>
    <row r="63" spans="1:21" x14ac:dyDescent="0.25">
      <c r="A63" s="1">
        <v>25</v>
      </c>
      <c r="B63" s="1">
        <v>36</v>
      </c>
      <c r="C63" s="1">
        <v>388</v>
      </c>
      <c r="D63" s="13">
        <v>46191</v>
      </c>
      <c r="E63" s="1">
        <v>1</v>
      </c>
      <c r="F63" s="1" t="s">
        <v>28</v>
      </c>
      <c r="G63" s="1" t="s">
        <v>29</v>
      </c>
      <c r="H63" s="1">
        <v>14</v>
      </c>
      <c r="I63" s="1" t="s">
        <v>30</v>
      </c>
      <c r="J63" s="1" t="s">
        <v>31</v>
      </c>
      <c r="K63" s="1" t="s">
        <v>32</v>
      </c>
      <c r="L63" s="1"/>
      <c r="M63" s="1"/>
      <c r="N63" s="1" t="s">
        <v>33</v>
      </c>
      <c r="O63" s="1" t="s">
        <v>34</v>
      </c>
      <c r="P63" s="1" t="s">
        <v>95</v>
      </c>
      <c r="Q63" s="19"/>
      <c r="R63" s="31">
        <v>2500</v>
      </c>
      <c r="S63" s="31">
        <f>Tabla134[[#This Row],[PU]]*Tabla134[[#This Row],[VIAJES ]]</f>
        <v>2500</v>
      </c>
      <c r="T63" s="31">
        <f>Tabla134[[#This Row],[SUBTOTAL]]*16%</f>
        <v>400</v>
      </c>
      <c r="U63" s="31">
        <f>Tabla134[[#This Row],[SUBTOTAL]]+Tabla134[[#This Row],[IVA]]</f>
        <v>2900</v>
      </c>
    </row>
    <row r="64" spans="1:21" x14ac:dyDescent="0.25">
      <c r="A64" s="1">
        <v>25</v>
      </c>
      <c r="B64" s="1">
        <v>37</v>
      </c>
      <c r="C64" s="1">
        <v>389</v>
      </c>
      <c r="D64" s="13">
        <v>46191</v>
      </c>
      <c r="E64" s="1">
        <v>1</v>
      </c>
      <c r="F64" s="1" t="s">
        <v>28</v>
      </c>
      <c r="G64" s="1" t="s">
        <v>36</v>
      </c>
      <c r="H64" s="1">
        <v>14</v>
      </c>
      <c r="I64" s="1" t="s">
        <v>30</v>
      </c>
      <c r="J64" s="1" t="s">
        <v>37</v>
      </c>
      <c r="K64" s="1" t="s">
        <v>32</v>
      </c>
      <c r="L64" s="1"/>
      <c r="M64" s="1"/>
      <c r="N64" s="1" t="s">
        <v>33</v>
      </c>
      <c r="O64" s="1" t="s">
        <v>34</v>
      </c>
      <c r="P64" s="1" t="s">
        <v>95</v>
      </c>
      <c r="Q64" s="19"/>
      <c r="R64" s="31">
        <v>2500</v>
      </c>
      <c r="S64" s="31">
        <f>Tabla134[[#This Row],[PU]]*Tabla134[[#This Row],[VIAJES ]]</f>
        <v>2500</v>
      </c>
      <c r="T64" s="31">
        <f>Tabla134[[#This Row],[SUBTOTAL]]*16%</f>
        <v>400</v>
      </c>
      <c r="U64" s="31">
        <f>Tabla134[[#This Row],[SUBTOTAL]]+Tabla134[[#This Row],[IVA]]</f>
        <v>2900</v>
      </c>
    </row>
    <row r="65" spans="1:21" x14ac:dyDescent="0.25">
      <c r="A65" s="1">
        <v>25</v>
      </c>
      <c r="B65" s="1">
        <v>38</v>
      </c>
      <c r="C65" s="1">
        <v>390</v>
      </c>
      <c r="D65" s="13">
        <v>46191</v>
      </c>
      <c r="E65" s="1">
        <v>1</v>
      </c>
      <c r="F65" s="1" t="s">
        <v>28</v>
      </c>
      <c r="G65" s="1" t="s">
        <v>83</v>
      </c>
      <c r="H65" s="1">
        <v>14</v>
      </c>
      <c r="I65" s="1" t="s">
        <v>30</v>
      </c>
      <c r="J65" s="1" t="s">
        <v>84</v>
      </c>
      <c r="K65" s="1" t="s">
        <v>32</v>
      </c>
      <c r="L65" s="1"/>
      <c r="M65" s="1"/>
      <c r="N65" s="1" t="s">
        <v>82</v>
      </c>
      <c r="O65" s="1" t="s">
        <v>34</v>
      </c>
      <c r="P65" s="1" t="s">
        <v>95</v>
      </c>
      <c r="Q65" s="19" t="s">
        <v>80</v>
      </c>
      <c r="R65" s="31">
        <v>2500</v>
      </c>
      <c r="S65" s="31">
        <f>Tabla134[[#This Row],[PU]]*Tabla134[[#This Row],[VIAJES ]]</f>
        <v>2500</v>
      </c>
      <c r="T65" s="31">
        <f>Tabla134[[#This Row],[SUBTOTAL]]*16%</f>
        <v>400</v>
      </c>
      <c r="U65" s="31">
        <f>Tabla134[[#This Row],[SUBTOTAL]]+Tabla134[[#This Row],[IVA]]</f>
        <v>2900</v>
      </c>
    </row>
    <row r="66" spans="1:21" s="26" customFormat="1" x14ac:dyDescent="0.25">
      <c r="A66" s="23">
        <v>25</v>
      </c>
      <c r="B66" s="23">
        <v>0</v>
      </c>
      <c r="C66" s="23">
        <v>391</v>
      </c>
      <c r="D66" s="27">
        <v>46191</v>
      </c>
      <c r="E66" s="1">
        <v>0</v>
      </c>
      <c r="F66" s="23" t="s">
        <v>123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8" t="s">
        <v>125</v>
      </c>
      <c r="R66" s="32"/>
      <c r="S66" s="32">
        <f>Tabla134[[#This Row],[PU]]*Tabla134[[#This Row],[VIAJES ]]</f>
        <v>0</v>
      </c>
      <c r="T66" s="32">
        <f>Tabla134[[#This Row],[SUBTOTAL]]*16%</f>
        <v>0</v>
      </c>
      <c r="U66" s="32">
        <f>Tabla134[[#This Row],[SUBTOTAL]]+Tabla134[[#This Row],[IVA]]</f>
        <v>0</v>
      </c>
    </row>
    <row r="67" spans="1:21" x14ac:dyDescent="0.25">
      <c r="A67" s="1">
        <v>25</v>
      </c>
      <c r="B67" s="1">
        <v>39</v>
      </c>
      <c r="C67" s="1">
        <v>392</v>
      </c>
      <c r="D67" s="13">
        <v>46191</v>
      </c>
      <c r="E67" s="1">
        <v>1</v>
      </c>
      <c r="F67" s="1" t="s">
        <v>28</v>
      </c>
      <c r="G67" s="1" t="s">
        <v>81</v>
      </c>
      <c r="H67" s="1">
        <v>14</v>
      </c>
      <c r="I67" s="1" t="s">
        <v>30</v>
      </c>
      <c r="J67" s="1" t="s">
        <v>53</v>
      </c>
      <c r="K67" s="1" t="s">
        <v>32</v>
      </c>
      <c r="L67" s="1"/>
      <c r="M67" s="1"/>
      <c r="N67" s="1" t="s">
        <v>82</v>
      </c>
      <c r="O67" s="1" t="s">
        <v>34</v>
      </c>
      <c r="P67" s="1" t="s">
        <v>95</v>
      </c>
      <c r="Q67" s="19" t="s">
        <v>80</v>
      </c>
      <c r="R67" s="31">
        <v>2500</v>
      </c>
      <c r="S67" s="31">
        <f>Tabla134[[#This Row],[PU]]*Tabla134[[#This Row],[VIAJES ]]</f>
        <v>2500</v>
      </c>
      <c r="T67" s="31">
        <f>Tabla134[[#This Row],[SUBTOTAL]]*16%</f>
        <v>400</v>
      </c>
      <c r="U67" s="31">
        <f>Tabla134[[#This Row],[SUBTOTAL]]+Tabla134[[#This Row],[IVA]]</f>
        <v>2900</v>
      </c>
    </row>
    <row r="68" spans="1:21" x14ac:dyDescent="0.25">
      <c r="A68" s="1">
        <v>25</v>
      </c>
      <c r="B68" s="1">
        <v>40</v>
      </c>
      <c r="C68" s="1">
        <v>393</v>
      </c>
      <c r="D68" s="13">
        <v>46191</v>
      </c>
      <c r="E68" s="1">
        <v>1</v>
      </c>
      <c r="F68" s="1" t="s">
        <v>28</v>
      </c>
      <c r="G68" s="1" t="s">
        <v>96</v>
      </c>
      <c r="H68" s="1">
        <v>14</v>
      </c>
      <c r="I68" s="1" t="s">
        <v>30</v>
      </c>
      <c r="J68" s="1" t="s">
        <v>100</v>
      </c>
      <c r="K68" s="1" t="s">
        <v>32</v>
      </c>
      <c r="L68" s="1"/>
      <c r="M68" s="1"/>
      <c r="N68" s="1" t="s">
        <v>82</v>
      </c>
      <c r="O68" s="1" t="s">
        <v>34</v>
      </c>
      <c r="P68" s="1" t="s">
        <v>95</v>
      </c>
      <c r="Q68" s="19" t="s">
        <v>80</v>
      </c>
      <c r="R68" s="31">
        <v>2500</v>
      </c>
      <c r="S68" s="31">
        <f>Tabla134[[#This Row],[PU]]*Tabla134[[#This Row],[VIAJES ]]</f>
        <v>2500</v>
      </c>
      <c r="T68" s="31">
        <f>Tabla134[[#This Row],[SUBTOTAL]]*16%</f>
        <v>400</v>
      </c>
      <c r="U68" s="31">
        <f>Tabla134[[#This Row],[SUBTOTAL]]+Tabla134[[#This Row],[IVA]]</f>
        <v>2900</v>
      </c>
    </row>
    <row r="69" spans="1:21" x14ac:dyDescent="0.25">
      <c r="A69" s="1">
        <v>25</v>
      </c>
      <c r="B69" s="1">
        <v>41</v>
      </c>
      <c r="C69" s="1">
        <v>394</v>
      </c>
      <c r="D69" s="13">
        <v>46191</v>
      </c>
      <c r="E69" s="1">
        <v>1</v>
      </c>
      <c r="F69" s="1" t="s">
        <v>28</v>
      </c>
      <c r="G69" s="1" t="s">
        <v>98</v>
      </c>
      <c r="H69" s="1">
        <v>14</v>
      </c>
      <c r="I69" s="1" t="s">
        <v>30</v>
      </c>
      <c r="J69" s="1" t="s">
        <v>97</v>
      </c>
      <c r="K69" s="1" t="s">
        <v>32</v>
      </c>
      <c r="L69" s="1"/>
      <c r="M69" s="1"/>
      <c r="N69" s="1" t="s">
        <v>82</v>
      </c>
      <c r="O69" s="1" t="s">
        <v>34</v>
      </c>
      <c r="P69" s="1" t="s">
        <v>95</v>
      </c>
      <c r="Q69" s="19" t="s">
        <v>80</v>
      </c>
      <c r="R69" s="31">
        <v>2500</v>
      </c>
      <c r="S69" s="31">
        <f>Tabla134[[#This Row],[PU]]*Tabla134[[#This Row],[VIAJES ]]</f>
        <v>2500</v>
      </c>
      <c r="T69" s="31">
        <f>Tabla134[[#This Row],[SUBTOTAL]]*16%</f>
        <v>400</v>
      </c>
      <c r="U69" s="31">
        <f>Tabla134[[#This Row],[SUBTOTAL]]+Tabla134[[#This Row],[IVA]]</f>
        <v>2900</v>
      </c>
    </row>
    <row r="70" spans="1:21" x14ac:dyDescent="0.25">
      <c r="A70" s="1">
        <v>25</v>
      </c>
      <c r="B70" s="1">
        <v>42</v>
      </c>
      <c r="C70" s="1">
        <v>395</v>
      </c>
      <c r="D70" s="13">
        <v>46191</v>
      </c>
      <c r="E70" s="1">
        <v>1</v>
      </c>
      <c r="F70" s="1" t="s">
        <v>28</v>
      </c>
      <c r="G70" s="1" t="s">
        <v>86</v>
      </c>
      <c r="H70" s="1">
        <v>14</v>
      </c>
      <c r="I70" s="1" t="s">
        <v>30</v>
      </c>
      <c r="J70" s="1" t="s">
        <v>87</v>
      </c>
      <c r="K70" s="1" t="s">
        <v>32</v>
      </c>
      <c r="L70" s="1"/>
      <c r="M70" s="1"/>
      <c r="N70" s="1" t="s">
        <v>33</v>
      </c>
      <c r="O70" s="1" t="s">
        <v>34</v>
      </c>
      <c r="P70" s="1" t="s">
        <v>95</v>
      </c>
      <c r="Q70" s="19"/>
      <c r="R70" s="31">
        <v>2500</v>
      </c>
      <c r="S70" s="31">
        <f>Tabla134[[#This Row],[PU]]*Tabla134[[#This Row],[VIAJES ]]</f>
        <v>2500</v>
      </c>
      <c r="T70" s="31">
        <f>Tabla134[[#This Row],[SUBTOTAL]]*16%</f>
        <v>400</v>
      </c>
      <c r="U70" s="31">
        <f>Tabla134[[#This Row],[SUBTOTAL]]+Tabla134[[#This Row],[IVA]]</f>
        <v>2900</v>
      </c>
    </row>
    <row r="71" spans="1:21" x14ac:dyDescent="0.25">
      <c r="A71" s="1">
        <v>25</v>
      </c>
      <c r="B71" s="1">
        <v>43</v>
      </c>
      <c r="C71" s="1">
        <v>396</v>
      </c>
      <c r="D71" s="13">
        <v>46191</v>
      </c>
      <c r="E71" s="1">
        <v>1</v>
      </c>
      <c r="F71" s="1" t="s">
        <v>28</v>
      </c>
      <c r="G71" s="1" t="s">
        <v>29</v>
      </c>
      <c r="H71" s="1">
        <v>14</v>
      </c>
      <c r="I71" s="1" t="s">
        <v>30</v>
      </c>
      <c r="J71" s="1" t="s">
        <v>31</v>
      </c>
      <c r="K71" s="1" t="s">
        <v>32</v>
      </c>
      <c r="L71" s="1"/>
      <c r="M71" s="1"/>
      <c r="N71" s="1" t="s">
        <v>33</v>
      </c>
      <c r="O71" s="1" t="s">
        <v>34</v>
      </c>
      <c r="P71" s="1" t="s">
        <v>95</v>
      </c>
      <c r="Q71" s="19"/>
      <c r="R71" s="31">
        <v>2500</v>
      </c>
      <c r="S71" s="31">
        <f>Tabla134[[#This Row],[PU]]*Tabla134[[#This Row],[VIAJES ]]</f>
        <v>2500</v>
      </c>
      <c r="T71" s="31">
        <f>Tabla134[[#This Row],[SUBTOTAL]]*16%</f>
        <v>400</v>
      </c>
      <c r="U71" s="31">
        <f>Tabla134[[#This Row],[SUBTOTAL]]+Tabla134[[#This Row],[IVA]]</f>
        <v>2900</v>
      </c>
    </row>
    <row r="72" spans="1:21" x14ac:dyDescent="0.25">
      <c r="A72" s="1">
        <v>25</v>
      </c>
      <c r="B72" s="1">
        <v>44</v>
      </c>
      <c r="C72" s="1">
        <v>397</v>
      </c>
      <c r="D72" s="13">
        <v>46191</v>
      </c>
      <c r="E72" s="1">
        <v>1</v>
      </c>
      <c r="F72" s="1" t="s">
        <v>28</v>
      </c>
      <c r="G72" s="1" t="s">
        <v>36</v>
      </c>
      <c r="H72" s="1">
        <v>14</v>
      </c>
      <c r="I72" s="1" t="s">
        <v>30</v>
      </c>
      <c r="J72" s="1" t="s">
        <v>37</v>
      </c>
      <c r="K72" s="1" t="s">
        <v>32</v>
      </c>
      <c r="L72" s="1"/>
      <c r="M72" s="1"/>
      <c r="N72" s="1" t="s">
        <v>33</v>
      </c>
      <c r="O72" s="1" t="s">
        <v>34</v>
      </c>
      <c r="P72" s="1" t="s">
        <v>95</v>
      </c>
      <c r="Q72" s="19"/>
      <c r="R72" s="31">
        <v>2500</v>
      </c>
      <c r="S72" s="31">
        <f>Tabla134[[#This Row],[PU]]*Tabla134[[#This Row],[VIAJES ]]</f>
        <v>2500</v>
      </c>
      <c r="T72" s="31">
        <f>Tabla134[[#This Row],[SUBTOTAL]]*16%</f>
        <v>400</v>
      </c>
      <c r="U72" s="31">
        <f>Tabla134[[#This Row],[SUBTOTAL]]+Tabla134[[#This Row],[IVA]]</f>
        <v>2900</v>
      </c>
    </row>
    <row r="73" spans="1:21" x14ac:dyDescent="0.25">
      <c r="A73" s="1">
        <v>25</v>
      </c>
      <c r="B73" s="1">
        <v>45</v>
      </c>
      <c r="C73" s="1">
        <v>398</v>
      </c>
      <c r="D73" s="13">
        <v>46191</v>
      </c>
      <c r="E73" s="1">
        <v>1</v>
      </c>
      <c r="F73" s="1" t="s">
        <v>28</v>
      </c>
      <c r="G73" s="1" t="s">
        <v>29</v>
      </c>
      <c r="H73" s="1">
        <v>14</v>
      </c>
      <c r="I73" s="1" t="s">
        <v>30</v>
      </c>
      <c r="J73" s="1" t="s">
        <v>31</v>
      </c>
      <c r="K73" s="1" t="s">
        <v>32</v>
      </c>
      <c r="L73" s="1"/>
      <c r="M73" s="1"/>
      <c r="N73" s="1" t="s">
        <v>33</v>
      </c>
      <c r="O73" s="1" t="s">
        <v>34</v>
      </c>
      <c r="P73" s="1" t="s">
        <v>95</v>
      </c>
      <c r="Q73" s="19"/>
      <c r="R73" s="31">
        <v>2500</v>
      </c>
      <c r="S73" s="31">
        <f>Tabla134[[#This Row],[PU]]*Tabla134[[#This Row],[VIAJES ]]</f>
        <v>2500</v>
      </c>
      <c r="T73" s="31">
        <f>Tabla134[[#This Row],[SUBTOTAL]]*16%</f>
        <v>400</v>
      </c>
      <c r="U73" s="31">
        <f>Tabla134[[#This Row],[SUBTOTAL]]+Tabla134[[#This Row],[IVA]]</f>
        <v>2900</v>
      </c>
    </row>
    <row r="74" spans="1:21" x14ac:dyDescent="0.25">
      <c r="A74" s="1">
        <v>25</v>
      </c>
      <c r="B74" s="1">
        <v>46</v>
      </c>
      <c r="C74" s="1">
        <v>399</v>
      </c>
      <c r="D74" s="13">
        <v>46191</v>
      </c>
      <c r="E74" s="1">
        <v>1</v>
      </c>
      <c r="F74" s="1" t="s">
        <v>28</v>
      </c>
      <c r="G74" s="1" t="s">
        <v>36</v>
      </c>
      <c r="H74" s="1">
        <v>14</v>
      </c>
      <c r="I74" s="1" t="s">
        <v>30</v>
      </c>
      <c r="J74" s="1" t="s">
        <v>37</v>
      </c>
      <c r="K74" s="1" t="s">
        <v>32</v>
      </c>
      <c r="L74" s="1"/>
      <c r="M74" s="1"/>
      <c r="N74" s="1" t="s">
        <v>33</v>
      </c>
      <c r="O74" s="1" t="s">
        <v>34</v>
      </c>
      <c r="P74" s="1" t="s">
        <v>95</v>
      </c>
      <c r="Q74" s="19"/>
      <c r="R74" s="31">
        <v>2500</v>
      </c>
      <c r="S74" s="31">
        <f>Tabla134[[#This Row],[PU]]*Tabla134[[#This Row],[VIAJES ]]</f>
        <v>2500</v>
      </c>
      <c r="T74" s="31">
        <f>Tabla134[[#This Row],[SUBTOTAL]]*16%</f>
        <v>400</v>
      </c>
      <c r="U74" s="31">
        <f>Tabla134[[#This Row],[SUBTOTAL]]+Tabla134[[#This Row],[IVA]]</f>
        <v>2900</v>
      </c>
    </row>
    <row r="75" spans="1:21" x14ac:dyDescent="0.25">
      <c r="A75" s="1">
        <v>25</v>
      </c>
      <c r="B75" s="1">
        <v>47</v>
      </c>
      <c r="C75" s="1">
        <v>400</v>
      </c>
      <c r="D75" s="13">
        <v>46191</v>
      </c>
      <c r="E75" s="1">
        <v>1</v>
      </c>
      <c r="F75" s="1" t="s">
        <v>28</v>
      </c>
      <c r="G75" s="1" t="s">
        <v>29</v>
      </c>
      <c r="H75" s="1">
        <v>14</v>
      </c>
      <c r="I75" s="1" t="s">
        <v>30</v>
      </c>
      <c r="J75" s="1" t="s">
        <v>31</v>
      </c>
      <c r="K75" s="1" t="s">
        <v>32</v>
      </c>
      <c r="L75" s="1"/>
      <c r="M75" s="1"/>
      <c r="N75" s="1" t="s">
        <v>33</v>
      </c>
      <c r="O75" s="1" t="s">
        <v>34</v>
      </c>
      <c r="P75" s="1" t="s">
        <v>95</v>
      </c>
      <c r="Q75" s="19"/>
      <c r="R75" s="31">
        <v>2500</v>
      </c>
      <c r="S75" s="31">
        <f>Tabla134[[#This Row],[PU]]*Tabla134[[#This Row],[VIAJES ]]</f>
        <v>2500</v>
      </c>
      <c r="T75" s="31">
        <f>Tabla134[[#This Row],[SUBTOTAL]]*16%</f>
        <v>400</v>
      </c>
      <c r="U75" s="31">
        <f>Tabla134[[#This Row],[SUBTOTAL]]+Tabla134[[#This Row],[IVA]]</f>
        <v>2900</v>
      </c>
    </row>
    <row r="76" spans="1:21" x14ac:dyDescent="0.25">
      <c r="A76" s="1">
        <v>25</v>
      </c>
      <c r="B76" s="1">
        <v>48</v>
      </c>
      <c r="C76" s="1">
        <v>401</v>
      </c>
      <c r="D76" s="13">
        <v>46191</v>
      </c>
      <c r="E76" s="1">
        <v>1</v>
      </c>
      <c r="F76" s="1" t="s">
        <v>28</v>
      </c>
      <c r="G76" s="1" t="s">
        <v>36</v>
      </c>
      <c r="H76" s="1">
        <v>14</v>
      </c>
      <c r="I76" s="1" t="s">
        <v>30</v>
      </c>
      <c r="J76" s="1" t="s">
        <v>37</v>
      </c>
      <c r="K76" s="1" t="s">
        <v>32</v>
      </c>
      <c r="L76" s="1"/>
      <c r="M76" s="1"/>
      <c r="N76" s="1" t="s">
        <v>33</v>
      </c>
      <c r="O76" s="1" t="s">
        <v>34</v>
      </c>
      <c r="P76" s="1" t="s">
        <v>95</v>
      </c>
      <c r="Q76" s="19"/>
      <c r="R76" s="31">
        <v>2500</v>
      </c>
      <c r="S76" s="31">
        <f>Tabla134[[#This Row],[PU]]*Tabla134[[#This Row],[VIAJES ]]</f>
        <v>2500</v>
      </c>
      <c r="T76" s="31">
        <f>Tabla134[[#This Row],[SUBTOTAL]]*16%</f>
        <v>400</v>
      </c>
      <c r="U76" s="31">
        <f>Tabla134[[#This Row],[SUBTOTAL]]+Tabla134[[#This Row],[IVA]]</f>
        <v>2900</v>
      </c>
    </row>
    <row r="77" spans="1:21" x14ac:dyDescent="0.25">
      <c r="A77" s="1">
        <v>25</v>
      </c>
      <c r="B77" s="1">
        <v>49</v>
      </c>
      <c r="C77" s="1">
        <v>402</v>
      </c>
      <c r="D77" s="13">
        <v>46191</v>
      </c>
      <c r="E77" s="1">
        <v>1</v>
      </c>
      <c r="F77" s="1" t="s">
        <v>28</v>
      </c>
      <c r="G77" s="1" t="s">
        <v>86</v>
      </c>
      <c r="H77" s="1">
        <v>14</v>
      </c>
      <c r="I77" s="1" t="s">
        <v>30</v>
      </c>
      <c r="J77" s="1" t="s">
        <v>87</v>
      </c>
      <c r="K77" s="1" t="s">
        <v>32</v>
      </c>
      <c r="L77" s="1"/>
      <c r="M77" s="1"/>
      <c r="N77" s="1" t="s">
        <v>33</v>
      </c>
      <c r="O77" s="1" t="s">
        <v>34</v>
      </c>
      <c r="P77" s="1" t="s">
        <v>95</v>
      </c>
      <c r="Q77" s="19"/>
      <c r="R77" s="31">
        <v>2500</v>
      </c>
      <c r="S77" s="31">
        <f>Tabla134[[#This Row],[PU]]*Tabla134[[#This Row],[VIAJES ]]</f>
        <v>2500</v>
      </c>
      <c r="T77" s="31">
        <f>Tabla134[[#This Row],[SUBTOTAL]]*16%</f>
        <v>400</v>
      </c>
      <c r="U77" s="31">
        <f>Tabla134[[#This Row],[SUBTOTAL]]+Tabla134[[#This Row],[IVA]]</f>
        <v>2900</v>
      </c>
    </row>
    <row r="78" spans="1:21" x14ac:dyDescent="0.25">
      <c r="A78" s="1">
        <v>25</v>
      </c>
      <c r="B78" s="1">
        <v>50</v>
      </c>
      <c r="C78" s="1">
        <v>403</v>
      </c>
      <c r="D78" s="13">
        <v>46191</v>
      </c>
      <c r="E78" s="1">
        <v>1</v>
      </c>
      <c r="F78" s="1" t="s">
        <v>28</v>
      </c>
      <c r="G78" s="1" t="s">
        <v>29</v>
      </c>
      <c r="H78" s="1">
        <v>14</v>
      </c>
      <c r="I78" s="1" t="s">
        <v>30</v>
      </c>
      <c r="J78" s="1" t="s">
        <v>31</v>
      </c>
      <c r="K78" s="1" t="s">
        <v>32</v>
      </c>
      <c r="L78" s="1"/>
      <c r="M78" s="1"/>
      <c r="N78" s="1" t="s">
        <v>33</v>
      </c>
      <c r="O78" s="1" t="s">
        <v>34</v>
      </c>
      <c r="P78" s="1" t="s">
        <v>95</v>
      </c>
      <c r="Q78" s="19"/>
      <c r="R78" s="31">
        <v>2500</v>
      </c>
      <c r="S78" s="31">
        <f>Tabla134[[#This Row],[PU]]*Tabla134[[#This Row],[VIAJES ]]</f>
        <v>2500</v>
      </c>
      <c r="T78" s="31">
        <f>Tabla134[[#This Row],[SUBTOTAL]]*16%</f>
        <v>400</v>
      </c>
      <c r="U78" s="31">
        <f>Tabla134[[#This Row],[SUBTOTAL]]+Tabla134[[#This Row],[IVA]]</f>
        <v>2900</v>
      </c>
    </row>
    <row r="79" spans="1:21" x14ac:dyDescent="0.25">
      <c r="A79" s="1">
        <v>25</v>
      </c>
      <c r="B79" s="1">
        <v>51</v>
      </c>
      <c r="C79" s="1">
        <v>404</v>
      </c>
      <c r="D79" s="13">
        <v>46191</v>
      </c>
      <c r="E79" s="1">
        <v>1</v>
      </c>
      <c r="F79" s="1" t="s">
        <v>28</v>
      </c>
      <c r="G79" s="1" t="s">
        <v>86</v>
      </c>
      <c r="H79" s="1">
        <v>14</v>
      </c>
      <c r="I79" s="1" t="s">
        <v>30</v>
      </c>
      <c r="J79" s="1" t="s">
        <v>87</v>
      </c>
      <c r="K79" s="1" t="s">
        <v>32</v>
      </c>
      <c r="L79" s="1"/>
      <c r="M79" s="1"/>
      <c r="N79" s="1" t="s">
        <v>33</v>
      </c>
      <c r="O79" s="1" t="s">
        <v>34</v>
      </c>
      <c r="P79" s="1" t="s">
        <v>95</v>
      </c>
      <c r="Q79" s="19"/>
      <c r="R79" s="31">
        <v>2500</v>
      </c>
      <c r="S79" s="31">
        <f>Tabla134[[#This Row],[PU]]*Tabla134[[#This Row],[VIAJES ]]</f>
        <v>2500</v>
      </c>
      <c r="T79" s="31">
        <f>Tabla134[[#This Row],[SUBTOTAL]]*16%</f>
        <v>400</v>
      </c>
      <c r="U79" s="31">
        <f>Tabla134[[#This Row],[SUBTOTAL]]+Tabla134[[#This Row],[IVA]]</f>
        <v>2900</v>
      </c>
    </row>
    <row r="80" spans="1:21" x14ac:dyDescent="0.25">
      <c r="A80" s="1">
        <v>25</v>
      </c>
      <c r="B80" s="1">
        <v>52</v>
      </c>
      <c r="C80" s="1">
        <v>405</v>
      </c>
      <c r="D80" s="13">
        <v>46191</v>
      </c>
      <c r="E80" s="1">
        <v>1</v>
      </c>
      <c r="F80" s="1" t="s">
        <v>28</v>
      </c>
      <c r="G80" s="1" t="s">
        <v>36</v>
      </c>
      <c r="H80" s="1">
        <v>14</v>
      </c>
      <c r="I80" s="1" t="s">
        <v>30</v>
      </c>
      <c r="J80" s="1" t="s">
        <v>37</v>
      </c>
      <c r="K80" s="1" t="s">
        <v>32</v>
      </c>
      <c r="L80" s="1"/>
      <c r="M80" s="1"/>
      <c r="N80" s="1" t="s">
        <v>33</v>
      </c>
      <c r="O80" s="1" t="s">
        <v>34</v>
      </c>
      <c r="P80" s="1" t="s">
        <v>95</v>
      </c>
      <c r="Q80" s="19"/>
      <c r="R80" s="31">
        <v>2500</v>
      </c>
      <c r="S80" s="31">
        <f>Tabla134[[#This Row],[PU]]*Tabla134[[#This Row],[VIAJES ]]</f>
        <v>2500</v>
      </c>
      <c r="T80" s="31">
        <f>Tabla134[[#This Row],[SUBTOTAL]]*16%</f>
        <v>400</v>
      </c>
      <c r="U80" s="31">
        <f>Tabla134[[#This Row],[SUBTOTAL]]+Tabla134[[#This Row],[IVA]]</f>
        <v>2900</v>
      </c>
    </row>
    <row r="81" spans="1:21" x14ac:dyDescent="0.25">
      <c r="A81" s="1">
        <v>25</v>
      </c>
      <c r="B81" s="1">
        <v>53</v>
      </c>
      <c r="C81" s="1">
        <v>406</v>
      </c>
      <c r="D81" s="13">
        <v>46191</v>
      </c>
      <c r="E81" s="1">
        <v>1</v>
      </c>
      <c r="F81" s="1" t="s">
        <v>28</v>
      </c>
      <c r="G81" s="1" t="s">
        <v>86</v>
      </c>
      <c r="H81" s="1">
        <v>14</v>
      </c>
      <c r="I81" s="1" t="s">
        <v>30</v>
      </c>
      <c r="J81" s="1" t="s">
        <v>87</v>
      </c>
      <c r="K81" s="1" t="s">
        <v>32</v>
      </c>
      <c r="L81" s="1"/>
      <c r="M81" s="1"/>
      <c r="N81" s="1" t="s">
        <v>33</v>
      </c>
      <c r="O81" s="1" t="s">
        <v>34</v>
      </c>
      <c r="P81" s="1" t="s">
        <v>95</v>
      </c>
      <c r="Q81" s="19"/>
      <c r="R81" s="31">
        <v>2500</v>
      </c>
      <c r="S81" s="31">
        <f>Tabla134[[#This Row],[PU]]*Tabla134[[#This Row],[VIAJES ]]</f>
        <v>2500</v>
      </c>
      <c r="T81" s="31">
        <f>Tabla134[[#This Row],[SUBTOTAL]]*16%</f>
        <v>400</v>
      </c>
      <c r="U81" s="31">
        <f>Tabla134[[#This Row],[SUBTOTAL]]+Tabla134[[#This Row],[IVA]]</f>
        <v>2900</v>
      </c>
    </row>
    <row r="82" spans="1:21" ht="22.5" x14ac:dyDescent="0.25">
      <c r="A82" s="1">
        <v>25</v>
      </c>
      <c r="B82" s="1">
        <v>54</v>
      </c>
      <c r="C82" s="1">
        <v>407</v>
      </c>
      <c r="D82" s="13">
        <v>46191</v>
      </c>
      <c r="E82" s="1">
        <v>1</v>
      </c>
      <c r="F82" s="1" t="s">
        <v>42</v>
      </c>
      <c r="G82" s="1" t="s">
        <v>86</v>
      </c>
      <c r="H82" s="1">
        <v>14</v>
      </c>
      <c r="I82" s="1" t="s">
        <v>30</v>
      </c>
      <c r="J82" s="1" t="s">
        <v>87</v>
      </c>
      <c r="K82" s="1" t="s">
        <v>32</v>
      </c>
      <c r="L82" s="1"/>
      <c r="M82" s="1"/>
      <c r="N82" s="1" t="s">
        <v>33</v>
      </c>
      <c r="O82" s="1" t="s">
        <v>34</v>
      </c>
      <c r="P82" s="1" t="s">
        <v>95</v>
      </c>
      <c r="Q82" s="14" t="s">
        <v>43</v>
      </c>
      <c r="R82" s="31"/>
      <c r="S82" s="31">
        <f>Tabla134[[#This Row],[PU]]*Tabla134[[#This Row],[VIAJES ]]</f>
        <v>0</v>
      </c>
      <c r="T82" s="31">
        <f>Tabla134[[#This Row],[SUBTOTAL]]*16%</f>
        <v>0</v>
      </c>
      <c r="U82" s="31">
        <f>Tabla134[[#This Row],[SUBTOTAL]]+Tabla134[[#This Row],[IVA]]</f>
        <v>0</v>
      </c>
    </row>
    <row r="83" spans="1:21" x14ac:dyDescent="0.25">
      <c r="A83" s="1">
        <v>25</v>
      </c>
      <c r="C83" s="1"/>
      <c r="D83" s="1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  <c r="R83" s="31"/>
      <c r="S83" s="31">
        <f>Tabla134[[#This Row],[PU]]*Tabla134[[#This Row],[VIAJES ]]</f>
        <v>0</v>
      </c>
      <c r="T83" s="31">
        <f>Tabla134[[#This Row],[SUBTOTAL]]*16%</f>
        <v>0</v>
      </c>
      <c r="U83" s="31">
        <f>Tabla134[[#This Row],[SUBTOTAL]]+Tabla134[[#This Row],[IVA]]</f>
        <v>0</v>
      </c>
    </row>
    <row r="84" spans="1:21" x14ac:dyDescent="0.25">
      <c r="A84" s="1">
        <v>25</v>
      </c>
      <c r="C84" s="1"/>
      <c r="D84" s="1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  <c r="R84" s="31"/>
      <c r="S84" s="31">
        <f>Tabla134[[#This Row],[PU]]*Tabla134[[#This Row],[VIAJES ]]</f>
        <v>0</v>
      </c>
      <c r="T84" s="31">
        <f>Tabla134[[#This Row],[SUBTOTAL]]*16%</f>
        <v>0</v>
      </c>
      <c r="U84" s="31">
        <f>Tabla134[[#This Row],[SUBTOTAL]]+Tabla134[[#This Row],[IVA]]</f>
        <v>0</v>
      </c>
    </row>
    <row r="85" spans="1:21" x14ac:dyDescent="0.25">
      <c r="A85" s="1">
        <v>25</v>
      </c>
      <c r="C85" s="1"/>
      <c r="D85" s="1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  <c r="R85" s="31"/>
      <c r="S85" s="31">
        <f>Tabla134[[#This Row],[PU]]*Tabla134[[#This Row],[VIAJES ]]</f>
        <v>0</v>
      </c>
      <c r="T85" s="31">
        <f>Tabla134[[#This Row],[SUBTOTAL]]*16%</f>
        <v>0</v>
      </c>
      <c r="U85" s="31">
        <f>Tabla134[[#This Row],[SUBTOTAL]]+Tabla134[[#This Row],[IVA]]</f>
        <v>0</v>
      </c>
    </row>
    <row r="86" spans="1:21" x14ac:dyDescent="0.25">
      <c r="A86" s="1">
        <v>25</v>
      </c>
      <c r="C86" s="1"/>
      <c r="D86" s="1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  <c r="R86" s="31"/>
      <c r="S86" s="31">
        <f>Tabla134[[#This Row],[PU]]*Tabla134[[#This Row],[VIAJES ]]</f>
        <v>0</v>
      </c>
      <c r="T86" s="31">
        <f>Tabla134[[#This Row],[SUBTOTAL]]*16%</f>
        <v>0</v>
      </c>
      <c r="U86" s="31">
        <f>Tabla134[[#This Row],[SUBTOTAL]]+Tabla134[[#This Row],[IVA]]</f>
        <v>0</v>
      </c>
    </row>
    <row r="87" spans="1:21" x14ac:dyDescent="0.25">
      <c r="A87" s="1">
        <v>25</v>
      </c>
      <c r="C87" s="1"/>
      <c r="D87" s="1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  <c r="R87" s="31"/>
      <c r="S87" s="31">
        <f>Tabla134[[#This Row],[PU]]*Tabla134[[#This Row],[VIAJES ]]</f>
        <v>0</v>
      </c>
      <c r="T87" s="31">
        <f>Tabla134[[#This Row],[SUBTOTAL]]*16%</f>
        <v>0</v>
      </c>
      <c r="U87" s="31">
        <f>Tabla134[[#This Row],[SUBTOTAL]]+Tabla134[[#This Row],[IVA]]</f>
        <v>0</v>
      </c>
    </row>
    <row r="88" spans="1:21" x14ac:dyDescent="0.25">
      <c r="A88" s="1">
        <v>25</v>
      </c>
      <c r="C88" s="1"/>
      <c r="D88" s="1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  <c r="R88" s="31"/>
      <c r="S88" s="31">
        <f>Tabla134[[#This Row],[PU]]*Tabla134[[#This Row],[VIAJES ]]</f>
        <v>0</v>
      </c>
      <c r="T88" s="31">
        <f>Tabla134[[#This Row],[SUBTOTAL]]*16%</f>
        <v>0</v>
      </c>
      <c r="U88" s="31">
        <f>Tabla134[[#This Row],[SUBTOTAL]]+Tabla134[[#This Row],[IVA]]</f>
        <v>0</v>
      </c>
    </row>
    <row r="89" spans="1:21" x14ac:dyDescent="0.25">
      <c r="A89" s="1">
        <v>25</v>
      </c>
      <c r="C89" s="1"/>
      <c r="D89" s="1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  <c r="R89" s="31"/>
      <c r="S89" s="31">
        <f>Tabla134[[#This Row],[PU]]*Tabla134[[#This Row],[VIAJES ]]</f>
        <v>0</v>
      </c>
      <c r="T89" s="31">
        <f>Tabla134[[#This Row],[SUBTOTAL]]*16%</f>
        <v>0</v>
      </c>
      <c r="U89" s="31">
        <f>Tabla134[[#This Row],[SUBTOTAL]]+Tabla134[[#This Row],[IVA]]</f>
        <v>0</v>
      </c>
    </row>
    <row r="90" spans="1:21" x14ac:dyDescent="0.25">
      <c r="A90" s="1">
        <v>25</v>
      </c>
      <c r="C90" s="1"/>
      <c r="D90" s="1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  <c r="R90" s="31"/>
      <c r="S90" s="31">
        <f>Tabla134[[#This Row],[PU]]*Tabla134[[#This Row],[VIAJES ]]</f>
        <v>0</v>
      </c>
      <c r="T90" s="31">
        <f>Tabla134[[#This Row],[SUBTOTAL]]*16%</f>
        <v>0</v>
      </c>
      <c r="U90" s="31">
        <f>Tabla134[[#This Row],[SUBTOTAL]]+Tabla134[[#This Row],[IVA]]</f>
        <v>0</v>
      </c>
    </row>
    <row r="91" spans="1:21" x14ac:dyDescent="0.25">
      <c r="A91" s="1">
        <v>25</v>
      </c>
      <c r="C91" s="1"/>
      <c r="D91" s="1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  <c r="R91" s="31"/>
      <c r="S91" s="31">
        <f>Tabla134[[#This Row],[PU]]*Tabla134[[#This Row],[VIAJES ]]</f>
        <v>0</v>
      </c>
      <c r="T91" s="31">
        <f>Tabla134[[#This Row],[SUBTOTAL]]*16%</f>
        <v>0</v>
      </c>
      <c r="U91" s="31">
        <f>Tabla134[[#This Row],[SUBTOTAL]]+Tabla134[[#This Row],[IVA]]</f>
        <v>0</v>
      </c>
    </row>
    <row r="92" spans="1:21" x14ac:dyDescent="0.25">
      <c r="A92" s="1">
        <v>25</v>
      </c>
      <c r="C92" s="1"/>
      <c r="D92" s="1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  <c r="R92" s="31"/>
      <c r="S92" s="31">
        <f>Tabla134[[#This Row],[PU]]*Tabla134[[#This Row],[VIAJES ]]</f>
        <v>0</v>
      </c>
      <c r="T92" s="31">
        <f>Tabla134[[#This Row],[SUBTOTAL]]*16%</f>
        <v>0</v>
      </c>
      <c r="U92" s="31">
        <f>Tabla134[[#This Row],[SUBTOTAL]]+Tabla134[[#This Row],[IVA]]</f>
        <v>0</v>
      </c>
    </row>
    <row r="93" spans="1:21" x14ac:dyDescent="0.25">
      <c r="A93" s="1">
        <v>25</v>
      </c>
      <c r="C93" s="1"/>
      <c r="D93" s="1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  <c r="R93" s="31"/>
      <c r="S93" s="31">
        <f>Tabla134[[#This Row],[PU]]*Tabla134[[#This Row],[VIAJES ]]</f>
        <v>0</v>
      </c>
      <c r="T93" s="31">
        <f>Tabla134[[#This Row],[SUBTOTAL]]*16%</f>
        <v>0</v>
      </c>
      <c r="U93" s="31">
        <f>Tabla134[[#This Row],[SUBTOTAL]]+Tabla134[[#This Row],[IVA]]</f>
        <v>0</v>
      </c>
    </row>
    <row r="94" spans="1:21" x14ac:dyDescent="0.25">
      <c r="A94" s="1">
        <v>25</v>
      </c>
      <c r="C94" s="1"/>
      <c r="D94" s="1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  <c r="R94" s="31"/>
      <c r="S94" s="31">
        <f>Tabla134[[#This Row],[PU]]*Tabla134[[#This Row],[VIAJES ]]</f>
        <v>0</v>
      </c>
      <c r="T94" s="31">
        <f>Tabla134[[#This Row],[SUBTOTAL]]*16%</f>
        <v>0</v>
      </c>
      <c r="U94" s="31">
        <f>Tabla134[[#This Row],[SUBTOTAL]]+Tabla134[[#This Row],[IVA]]</f>
        <v>0</v>
      </c>
    </row>
    <row r="95" spans="1:21" x14ac:dyDescent="0.25">
      <c r="A95" s="1">
        <v>25</v>
      </c>
      <c r="C95" s="1"/>
      <c r="D95" s="1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  <c r="R95" s="31"/>
      <c r="S95" s="31">
        <f>Tabla134[[#This Row],[PU]]*Tabla134[[#This Row],[VIAJES ]]</f>
        <v>0</v>
      </c>
      <c r="T95" s="31">
        <f>Tabla134[[#This Row],[SUBTOTAL]]*16%</f>
        <v>0</v>
      </c>
      <c r="U95" s="31">
        <f>Tabla134[[#This Row],[SUBTOTAL]]+Tabla134[[#This Row],[IVA]]</f>
        <v>0</v>
      </c>
    </row>
    <row r="96" spans="1:21" x14ac:dyDescent="0.25">
      <c r="A96" s="1">
        <v>25</v>
      </c>
      <c r="C96" s="1"/>
      <c r="D96" s="1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  <c r="R96" s="31"/>
      <c r="S96" s="31">
        <f>Tabla134[[#This Row],[PU]]*Tabla134[[#This Row],[VIAJES ]]</f>
        <v>0</v>
      </c>
      <c r="T96" s="31">
        <f>Tabla134[[#This Row],[SUBTOTAL]]*16%</f>
        <v>0</v>
      </c>
      <c r="U96" s="31">
        <f>Tabla134[[#This Row],[SUBTOTAL]]+Tabla134[[#This Row],[IVA]]</f>
        <v>0</v>
      </c>
    </row>
    <row r="97" spans="1:21" x14ac:dyDescent="0.25">
      <c r="A97" s="1">
        <v>25</v>
      </c>
      <c r="C97" s="1"/>
      <c r="D97" s="1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  <c r="R97" s="31"/>
      <c r="S97" s="31">
        <f>Tabla134[[#This Row],[PU]]*Tabla134[[#This Row],[VIAJES ]]</f>
        <v>0</v>
      </c>
      <c r="T97" s="31">
        <f>Tabla134[[#This Row],[SUBTOTAL]]*16%</f>
        <v>0</v>
      </c>
      <c r="U97" s="31">
        <f>Tabla134[[#This Row],[SUBTOTAL]]+Tabla134[[#This Row],[IVA]]</f>
        <v>0</v>
      </c>
    </row>
    <row r="98" spans="1:21" x14ac:dyDescent="0.25">
      <c r="A98" s="1">
        <v>25</v>
      </c>
      <c r="C98" s="1"/>
      <c r="D98" s="1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  <c r="R98" s="31"/>
      <c r="S98" s="31">
        <f>Tabla134[[#This Row],[PU]]*Tabla134[[#This Row],[VIAJES ]]</f>
        <v>0</v>
      </c>
      <c r="T98" s="31">
        <f>Tabla134[[#This Row],[SUBTOTAL]]*16%</f>
        <v>0</v>
      </c>
      <c r="U98" s="31">
        <f>Tabla134[[#This Row],[SUBTOTAL]]+Tabla134[[#This Row],[IVA]]</f>
        <v>0</v>
      </c>
    </row>
    <row r="99" spans="1:21" x14ac:dyDescent="0.25">
      <c r="A99" s="1">
        <v>25</v>
      </c>
      <c r="C99" s="1"/>
      <c r="D99" s="1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  <c r="R99" s="31"/>
      <c r="S99" s="31">
        <f>Tabla134[[#This Row],[PU]]*Tabla134[[#This Row],[VIAJES ]]</f>
        <v>0</v>
      </c>
      <c r="T99" s="31">
        <f>Tabla134[[#This Row],[SUBTOTAL]]*16%</f>
        <v>0</v>
      </c>
      <c r="U99" s="31">
        <f>Tabla134[[#This Row],[SUBTOTAL]]+Tabla134[[#This Row],[IVA]]</f>
        <v>0</v>
      </c>
    </row>
    <row r="100" spans="1:21" x14ac:dyDescent="0.25">
      <c r="A100" s="1">
        <v>25</v>
      </c>
      <c r="C100" s="1"/>
      <c r="D100" s="1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  <c r="R100" s="31"/>
      <c r="S100" s="31">
        <f>Tabla134[[#This Row],[PU]]*Tabla134[[#This Row],[VIAJES ]]</f>
        <v>0</v>
      </c>
      <c r="T100" s="31">
        <f>Tabla134[[#This Row],[SUBTOTAL]]*16%</f>
        <v>0</v>
      </c>
      <c r="U100" s="31">
        <f>Tabla134[[#This Row],[SUBTOTAL]]+Tabla134[[#This Row],[IVA]]</f>
        <v>0</v>
      </c>
    </row>
    <row r="101" spans="1:21" x14ac:dyDescent="0.25">
      <c r="A101" s="1">
        <v>25</v>
      </c>
      <c r="C101" s="1"/>
      <c r="D101" s="1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9"/>
      <c r="R101" s="31"/>
      <c r="S101" s="31">
        <f>Tabla134[[#This Row],[PU]]*Tabla134[[#This Row],[VIAJES ]]</f>
        <v>0</v>
      </c>
      <c r="T101" s="31">
        <f>Tabla134[[#This Row],[SUBTOTAL]]*16%</f>
        <v>0</v>
      </c>
      <c r="U101" s="31">
        <f>Tabla134[[#This Row],[SUBTOTAL]]+Tabla134[[#This Row],[IVA]]</f>
        <v>0</v>
      </c>
    </row>
    <row r="102" spans="1:21" x14ac:dyDescent="0.25">
      <c r="A102" s="1">
        <v>25</v>
      </c>
      <c r="C102" s="1"/>
      <c r="D102" s="1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9"/>
      <c r="R102" s="31"/>
      <c r="S102" s="31">
        <f>Tabla134[[#This Row],[PU]]*Tabla134[[#This Row],[VIAJES ]]</f>
        <v>0</v>
      </c>
      <c r="T102" s="31">
        <f>Tabla134[[#This Row],[SUBTOTAL]]*16%</f>
        <v>0</v>
      </c>
      <c r="U102" s="31">
        <f>Tabla134[[#This Row],[SUBTOTAL]]+Tabla134[[#This Row],[IVA]]</f>
        <v>0</v>
      </c>
    </row>
    <row r="103" spans="1:21" x14ac:dyDescent="0.25">
      <c r="A103" s="1">
        <v>25</v>
      </c>
      <c r="C103" s="1"/>
      <c r="D103" s="1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9"/>
      <c r="R103" s="31"/>
      <c r="S103" s="31">
        <f>Tabla134[[#This Row],[PU]]*Tabla134[[#This Row],[VIAJES ]]</f>
        <v>0</v>
      </c>
      <c r="T103" s="31">
        <f>Tabla134[[#This Row],[SUBTOTAL]]*16%</f>
        <v>0</v>
      </c>
      <c r="U103" s="31">
        <f>Tabla134[[#This Row],[SUBTOTAL]]+Tabla134[[#This Row],[IVA]]</f>
        <v>0</v>
      </c>
    </row>
    <row r="104" spans="1:21" x14ac:dyDescent="0.25">
      <c r="A104" s="1">
        <v>25</v>
      </c>
      <c r="C104" s="1"/>
      <c r="D104" s="1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9"/>
      <c r="R104" s="31"/>
      <c r="S104" s="31">
        <f>Tabla134[[#This Row],[PU]]*Tabla134[[#This Row],[VIAJES ]]</f>
        <v>0</v>
      </c>
      <c r="T104" s="31">
        <f>Tabla134[[#This Row],[SUBTOTAL]]*16%</f>
        <v>0</v>
      </c>
      <c r="U104" s="31">
        <f>Tabla134[[#This Row],[SUBTOTAL]]+Tabla134[[#This Row],[IVA]]</f>
        <v>0</v>
      </c>
    </row>
    <row r="105" spans="1:21" x14ac:dyDescent="0.25">
      <c r="A105" s="1">
        <v>25</v>
      </c>
      <c r="C105" s="1"/>
      <c r="D105" s="1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9"/>
      <c r="R105" s="31"/>
      <c r="S105" s="31">
        <f>Tabla134[[#This Row],[PU]]*Tabla134[[#This Row],[VIAJES ]]</f>
        <v>0</v>
      </c>
      <c r="T105" s="31">
        <f>Tabla134[[#This Row],[SUBTOTAL]]*16%</f>
        <v>0</v>
      </c>
      <c r="U105" s="31">
        <f>Tabla134[[#This Row],[SUBTOTAL]]+Tabla134[[#This Row],[IVA]]</f>
        <v>0</v>
      </c>
    </row>
    <row r="106" spans="1:21" x14ac:dyDescent="0.25">
      <c r="A106" s="1">
        <v>25</v>
      </c>
      <c r="C106" s="1"/>
      <c r="D106" s="1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9"/>
      <c r="R106" s="31"/>
      <c r="S106" s="31">
        <f>Tabla134[[#This Row],[PU]]*Tabla134[[#This Row],[VIAJES ]]</f>
        <v>0</v>
      </c>
      <c r="T106" s="31">
        <f>Tabla134[[#This Row],[SUBTOTAL]]*16%</f>
        <v>0</v>
      </c>
      <c r="U106" s="31">
        <f>Tabla134[[#This Row],[SUBTOTAL]]+Tabla134[[#This Row],[IVA]]</f>
        <v>0</v>
      </c>
    </row>
    <row r="107" spans="1:21" x14ac:dyDescent="0.25">
      <c r="A107" s="1">
        <v>25</v>
      </c>
      <c r="C107" s="1"/>
      <c r="D107" s="1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9"/>
      <c r="R107" s="31"/>
      <c r="S107" s="31">
        <f>Tabla134[[#This Row],[PU]]*Tabla134[[#This Row],[VIAJES ]]</f>
        <v>0</v>
      </c>
      <c r="T107" s="31">
        <f>Tabla134[[#This Row],[SUBTOTAL]]*16%</f>
        <v>0</v>
      </c>
      <c r="U107" s="31">
        <f>Tabla134[[#This Row],[SUBTOTAL]]+Tabla134[[#This Row],[IVA]]</f>
        <v>0</v>
      </c>
    </row>
    <row r="108" spans="1:21" x14ac:dyDescent="0.25">
      <c r="A108" s="1">
        <v>25</v>
      </c>
      <c r="C108" s="1"/>
      <c r="D108" s="1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9"/>
      <c r="R108" s="31"/>
      <c r="S108" s="31">
        <f>Tabla134[[#This Row],[PU]]*Tabla134[[#This Row],[VIAJES ]]</f>
        <v>0</v>
      </c>
      <c r="T108" s="31">
        <f>Tabla134[[#This Row],[SUBTOTAL]]*16%</f>
        <v>0</v>
      </c>
      <c r="U108" s="31">
        <f>Tabla134[[#This Row],[SUBTOTAL]]+Tabla134[[#This Row],[IVA]]</f>
        <v>0</v>
      </c>
    </row>
    <row r="109" spans="1:21" x14ac:dyDescent="0.25">
      <c r="A109" s="1">
        <v>25</v>
      </c>
      <c r="C109" s="1"/>
      <c r="D109" s="1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9"/>
      <c r="R109" s="31"/>
      <c r="S109" s="31">
        <f>Tabla134[[#This Row],[PU]]*Tabla134[[#This Row],[VIAJES ]]</f>
        <v>0</v>
      </c>
      <c r="T109" s="31">
        <f>Tabla134[[#This Row],[SUBTOTAL]]*16%</f>
        <v>0</v>
      </c>
      <c r="U109" s="31">
        <f>Tabla134[[#This Row],[SUBTOTAL]]+Tabla134[[#This Row],[IVA]]</f>
        <v>0</v>
      </c>
    </row>
    <row r="110" spans="1:21" x14ac:dyDescent="0.25">
      <c r="A110" s="1">
        <v>25</v>
      </c>
      <c r="C110" s="1"/>
      <c r="D110" s="1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9"/>
      <c r="R110" s="31"/>
      <c r="S110" s="31">
        <f>Tabla134[[#This Row],[PU]]*Tabla134[[#This Row],[VIAJES ]]</f>
        <v>0</v>
      </c>
      <c r="T110" s="31">
        <f>Tabla134[[#This Row],[SUBTOTAL]]*16%</f>
        <v>0</v>
      </c>
      <c r="U110" s="31">
        <f>Tabla134[[#This Row],[SUBTOTAL]]+Tabla134[[#This Row],[IVA]]</f>
        <v>0</v>
      </c>
    </row>
    <row r="111" spans="1:21" x14ac:dyDescent="0.25">
      <c r="A111" s="1">
        <v>25</v>
      </c>
      <c r="C111" s="1"/>
      <c r="D111" s="1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9"/>
      <c r="R111" s="31"/>
      <c r="S111" s="31">
        <f>Tabla134[[#This Row],[PU]]*Tabla134[[#This Row],[VIAJES ]]</f>
        <v>0</v>
      </c>
      <c r="T111" s="31">
        <f>Tabla134[[#This Row],[SUBTOTAL]]*16%</f>
        <v>0</v>
      </c>
      <c r="U111" s="31">
        <f>Tabla134[[#This Row],[SUBTOTAL]]+Tabla134[[#This Row],[IVA]]</f>
        <v>0</v>
      </c>
    </row>
    <row r="112" spans="1:21" x14ac:dyDescent="0.25">
      <c r="A112" s="1">
        <v>25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1"/>
      <c r="S112" s="31">
        <f>Tabla134[[#This Row],[PU]]*Tabla134[[#This Row],[VIAJES ]]</f>
        <v>0</v>
      </c>
      <c r="T112" s="31">
        <f>Tabla134[[#This Row],[SUBTOTAL]]*16%</f>
        <v>0</v>
      </c>
      <c r="U112" s="31">
        <f>Tabla134[[#This Row],[SUBTOTAL]]+Tabla134[[#This Row],[IVA]]</f>
        <v>0</v>
      </c>
    </row>
    <row r="113" spans="1:21" x14ac:dyDescent="0.25">
      <c r="A113" s="1">
        <v>25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1"/>
      <c r="S113" s="31">
        <f>Tabla134[[#This Row],[PU]]*Tabla134[[#This Row],[VIAJES ]]</f>
        <v>0</v>
      </c>
      <c r="T113" s="31">
        <f>Tabla134[[#This Row],[SUBTOTAL]]*16%</f>
        <v>0</v>
      </c>
      <c r="U113" s="31">
        <f>Tabla134[[#This Row],[SUBTOTAL]]+Tabla134[[#This Row],[IVA]]</f>
        <v>0</v>
      </c>
    </row>
    <row r="114" spans="1:21" x14ac:dyDescent="0.25">
      <c r="A114" s="1">
        <v>25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1"/>
      <c r="S114" s="31">
        <f>Tabla134[[#This Row],[PU]]*Tabla134[[#This Row],[VIAJES ]]</f>
        <v>0</v>
      </c>
      <c r="T114" s="31">
        <f>Tabla134[[#This Row],[SUBTOTAL]]*16%</f>
        <v>0</v>
      </c>
      <c r="U114" s="31">
        <f>Tabla134[[#This Row],[SUBTOTAL]]+Tabla134[[#This Row],[IVA]]</f>
        <v>0</v>
      </c>
    </row>
    <row r="115" spans="1:21" x14ac:dyDescent="0.25">
      <c r="A115" s="1">
        <v>25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1"/>
      <c r="S115" s="31">
        <f>Tabla134[[#This Row],[PU]]*Tabla134[[#This Row],[VIAJES ]]</f>
        <v>0</v>
      </c>
      <c r="T115" s="31">
        <f>Tabla134[[#This Row],[SUBTOTAL]]*16%</f>
        <v>0</v>
      </c>
      <c r="U115" s="31">
        <f>Tabla134[[#This Row],[SUBTOTAL]]+Tabla134[[#This Row],[IVA]]</f>
        <v>0</v>
      </c>
    </row>
    <row r="116" spans="1:21" x14ac:dyDescent="0.25">
      <c r="A116" s="1">
        <v>25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1"/>
      <c r="S116" s="31">
        <f>Tabla134[[#This Row],[PU]]*Tabla134[[#This Row],[VIAJES ]]</f>
        <v>0</v>
      </c>
      <c r="T116" s="31">
        <f>Tabla134[[#This Row],[SUBTOTAL]]*16%</f>
        <v>0</v>
      </c>
      <c r="U116" s="31">
        <f>Tabla134[[#This Row],[SUBTOTAL]]+Tabla134[[#This Row],[IVA]]</f>
        <v>0</v>
      </c>
    </row>
    <row r="117" spans="1:21" s="6" customFormat="1" ht="21" x14ac:dyDescent="0.35">
      <c r="A117" s="5" t="s">
        <v>14</v>
      </c>
      <c r="B117" s="5"/>
      <c r="C117" s="11"/>
      <c r="D117" s="11"/>
      <c r="E117" s="11">
        <f>SUBTOTAL(109,Tabla134[[VIAJES ]])</f>
        <v>72</v>
      </c>
      <c r="F117" s="11"/>
      <c r="G117" s="11"/>
      <c r="H117" s="11">
        <f>SUBTOTAL(109,Tabla134[CAPACIDAD])</f>
        <v>994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33"/>
      <c r="S117" s="33"/>
      <c r="T117" s="33"/>
      <c r="U117" s="33">
        <f>SUBTOTAL(109,Tabla134[TOTAL])</f>
        <v>200100</v>
      </c>
    </row>
    <row r="169" spans="3:3" x14ac:dyDescent="0.25">
      <c r="C169">
        <v>1</v>
      </c>
    </row>
    <row r="170" spans="3:3" x14ac:dyDescent="0.25">
      <c r="C170">
        <v>1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6" orientation="landscape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44EB-1DCE-4E64-BBC5-9E57C08EDA21}">
  <dimension ref="A2:T135"/>
  <sheetViews>
    <sheetView topLeftCell="J67" zoomScaleNormal="100" zoomScaleSheetLayoutView="100" workbookViewId="0">
      <selection activeCell="S86" sqref="S86"/>
    </sheetView>
  </sheetViews>
  <sheetFormatPr baseColWidth="10" defaultRowHeight="15" x14ac:dyDescent="0.25"/>
  <cols>
    <col min="1" max="2" width="9" style="1" customWidth="1"/>
    <col min="3" max="3" width="9.85546875" customWidth="1"/>
    <col min="4" max="4" width="11.42578125" customWidth="1"/>
    <col min="5" max="5" width="7.5703125" customWidth="1"/>
    <col min="6" max="6" width="14.5703125" customWidth="1"/>
    <col min="8" max="8" width="18.42578125" customWidth="1"/>
    <col min="9" max="9" width="14.42578125" customWidth="1"/>
    <col min="10" max="10" width="25.140625" customWidth="1"/>
    <col min="11" max="14" width="14.42578125" customWidth="1"/>
    <col min="15" max="15" width="16.28515625" customWidth="1"/>
    <col min="16" max="16" width="28" customWidth="1"/>
    <col min="17" max="19" width="11.42578125" style="29"/>
    <col min="20" max="20" width="22.85546875" style="29" customWidth="1"/>
  </cols>
  <sheetData>
    <row r="2" spans="1:20" ht="18.75" x14ac:dyDescent="0.3">
      <c r="C2" s="2" t="s">
        <v>1</v>
      </c>
      <c r="D2" s="8" t="s">
        <v>27</v>
      </c>
      <c r="K2" s="9"/>
    </row>
    <row r="3" spans="1:20" x14ac:dyDescent="0.25">
      <c r="C3" s="2" t="s">
        <v>11</v>
      </c>
      <c r="D3" s="4">
        <v>25</v>
      </c>
      <c r="K3" s="9"/>
    </row>
    <row r="4" spans="1:20" x14ac:dyDescent="0.25">
      <c r="C4" s="2" t="s">
        <v>9</v>
      </c>
      <c r="D4" s="3" t="s">
        <v>44</v>
      </c>
      <c r="K4" s="9"/>
      <c r="L4" s="9"/>
    </row>
    <row r="5" spans="1:20" x14ac:dyDescent="0.25">
      <c r="C5" s="9"/>
      <c r="H5" s="1"/>
      <c r="K5" s="9"/>
      <c r="L5" s="9"/>
    </row>
    <row r="6" spans="1:20" s="7" customFormat="1" ht="39.950000000000003" customHeight="1" x14ac:dyDescent="0.25">
      <c r="A6" s="15" t="s">
        <v>22</v>
      </c>
      <c r="B6" s="15" t="s">
        <v>0</v>
      </c>
      <c r="C6" s="15" t="s">
        <v>2</v>
      </c>
      <c r="D6" s="15" t="s">
        <v>3</v>
      </c>
      <c r="E6" s="15" t="s">
        <v>12</v>
      </c>
      <c r="F6" s="15" t="s">
        <v>10</v>
      </c>
      <c r="G6" s="15" t="s">
        <v>4</v>
      </c>
      <c r="H6" s="15" t="s">
        <v>20</v>
      </c>
      <c r="I6" s="15" t="s">
        <v>21</v>
      </c>
      <c r="J6" s="15" t="s">
        <v>6</v>
      </c>
      <c r="K6" s="15" t="s">
        <v>8</v>
      </c>
      <c r="L6" s="15" t="s">
        <v>23</v>
      </c>
      <c r="M6" s="15" t="s">
        <v>24</v>
      </c>
      <c r="N6" s="15" t="s">
        <v>111</v>
      </c>
      <c r="O6" s="15" t="s">
        <v>26</v>
      </c>
      <c r="P6" s="15" t="s">
        <v>7</v>
      </c>
      <c r="Q6" s="34" t="s">
        <v>149</v>
      </c>
      <c r="R6" s="34" t="s">
        <v>150</v>
      </c>
      <c r="S6" s="34" t="s">
        <v>151</v>
      </c>
      <c r="T6" s="34" t="s">
        <v>152</v>
      </c>
    </row>
    <row r="7" spans="1:20" x14ac:dyDescent="0.25">
      <c r="A7" s="1">
        <v>25</v>
      </c>
      <c r="B7" s="1">
        <v>1</v>
      </c>
      <c r="C7" s="9">
        <v>5704</v>
      </c>
      <c r="D7" s="10">
        <v>46188</v>
      </c>
      <c r="E7" s="9">
        <v>1</v>
      </c>
      <c r="F7" s="9" t="s">
        <v>44</v>
      </c>
      <c r="G7" s="9" t="s">
        <v>126</v>
      </c>
      <c r="H7" s="9">
        <v>14</v>
      </c>
      <c r="I7" s="9"/>
      <c r="J7" s="9" t="s">
        <v>55</v>
      </c>
      <c r="K7" s="9" t="s">
        <v>32</v>
      </c>
      <c r="L7" s="9" t="s">
        <v>127</v>
      </c>
      <c r="M7" s="9" t="s">
        <v>128</v>
      </c>
      <c r="N7" s="9"/>
      <c r="O7" s="9"/>
      <c r="P7" s="9"/>
      <c r="Q7" s="35">
        <v>3350</v>
      </c>
      <c r="R7" s="35">
        <f>Tabla13[[#This Row],[PU]]*Tabla13[[#This Row],[VIAJES ]]</f>
        <v>3350</v>
      </c>
      <c r="S7" s="35">
        <f>Tabla13[[#This Row],[SUBTOTAL]]*16%</f>
        <v>536</v>
      </c>
      <c r="T7" s="35">
        <f>Tabla13[[#This Row],[SUBTOTAL]]+Tabla13[[#This Row],[IVA]]</f>
        <v>3886</v>
      </c>
    </row>
    <row r="8" spans="1:20" x14ac:dyDescent="0.25">
      <c r="A8" s="1">
        <v>25</v>
      </c>
      <c r="B8" s="1">
        <v>2</v>
      </c>
      <c r="C8" s="9">
        <v>5705</v>
      </c>
      <c r="D8" s="10">
        <v>46188</v>
      </c>
      <c r="E8" s="9">
        <v>1</v>
      </c>
      <c r="F8" s="9" t="s">
        <v>44</v>
      </c>
      <c r="G8" s="9" t="s">
        <v>81</v>
      </c>
      <c r="H8" s="9">
        <v>14</v>
      </c>
      <c r="I8" s="9"/>
      <c r="J8" s="9" t="s">
        <v>53</v>
      </c>
      <c r="K8" s="9" t="s">
        <v>32</v>
      </c>
      <c r="L8" s="9" t="s">
        <v>128</v>
      </c>
      <c r="M8" s="9" t="s">
        <v>129</v>
      </c>
      <c r="N8" s="9"/>
      <c r="O8" s="9"/>
      <c r="P8" s="9"/>
      <c r="Q8" s="35">
        <v>3350</v>
      </c>
      <c r="R8" s="35">
        <f>Tabla13[[#This Row],[PU]]*Tabla13[[#This Row],[VIAJES ]]</f>
        <v>3350</v>
      </c>
      <c r="S8" s="35">
        <f>Tabla13[[#This Row],[SUBTOTAL]]*16%</f>
        <v>536</v>
      </c>
      <c r="T8" s="35">
        <f>Tabla13[[#This Row],[SUBTOTAL]]+Tabla13[[#This Row],[IVA]]</f>
        <v>3886</v>
      </c>
    </row>
    <row r="9" spans="1:20" x14ac:dyDescent="0.25">
      <c r="A9" s="1">
        <v>25</v>
      </c>
      <c r="B9" s="1">
        <v>3</v>
      </c>
      <c r="C9" s="9">
        <v>5706</v>
      </c>
      <c r="D9" s="10">
        <v>46188</v>
      </c>
      <c r="E9" s="9">
        <v>1</v>
      </c>
      <c r="F9" s="9" t="s">
        <v>44</v>
      </c>
      <c r="G9" s="9" t="s">
        <v>130</v>
      </c>
      <c r="H9" s="9">
        <v>14</v>
      </c>
      <c r="I9" s="9"/>
      <c r="J9" s="9" t="s">
        <v>46</v>
      </c>
      <c r="K9" s="9" t="s">
        <v>32</v>
      </c>
      <c r="L9" s="9" t="s">
        <v>132</v>
      </c>
      <c r="M9" s="9" t="s">
        <v>131</v>
      </c>
      <c r="N9" s="9"/>
      <c r="O9" s="9"/>
      <c r="P9" s="9"/>
      <c r="Q9" s="35">
        <v>3350</v>
      </c>
      <c r="R9" s="35">
        <f>Tabla13[[#This Row],[PU]]*Tabla13[[#This Row],[VIAJES ]]</f>
        <v>3350</v>
      </c>
      <c r="S9" s="35">
        <f>Tabla13[[#This Row],[SUBTOTAL]]*16%</f>
        <v>536</v>
      </c>
      <c r="T9" s="35">
        <f>Tabla13[[#This Row],[SUBTOTAL]]+Tabla13[[#This Row],[IVA]]</f>
        <v>3886</v>
      </c>
    </row>
    <row r="10" spans="1:20" x14ac:dyDescent="0.25">
      <c r="A10" s="1">
        <v>25</v>
      </c>
      <c r="B10" s="1">
        <v>4</v>
      </c>
      <c r="C10" s="9">
        <v>5707</v>
      </c>
      <c r="D10" s="10">
        <v>46188</v>
      </c>
      <c r="E10" s="9">
        <v>1</v>
      </c>
      <c r="F10" s="9" t="s">
        <v>44</v>
      </c>
      <c r="G10" s="9" t="s">
        <v>99</v>
      </c>
      <c r="H10" s="9">
        <v>14</v>
      </c>
      <c r="I10" s="9"/>
      <c r="J10" s="9" t="s">
        <v>46</v>
      </c>
      <c r="K10" s="9" t="s">
        <v>32</v>
      </c>
      <c r="L10" s="9" t="s">
        <v>129</v>
      </c>
      <c r="M10" s="9" t="s">
        <v>132</v>
      </c>
      <c r="N10" s="9"/>
      <c r="O10" s="9"/>
      <c r="P10" s="9"/>
      <c r="Q10" s="35">
        <v>3350</v>
      </c>
      <c r="R10" s="35">
        <f>Tabla13[[#This Row],[PU]]*Tabla13[[#This Row],[VIAJES ]]</f>
        <v>3350</v>
      </c>
      <c r="S10" s="35">
        <f>Tabla13[[#This Row],[SUBTOTAL]]*16%</f>
        <v>536</v>
      </c>
      <c r="T10" s="35">
        <f>Tabla13[[#This Row],[SUBTOTAL]]+Tabla13[[#This Row],[IVA]]</f>
        <v>3886</v>
      </c>
    </row>
    <row r="11" spans="1:20" x14ac:dyDescent="0.25">
      <c r="A11" s="1">
        <v>25</v>
      </c>
      <c r="B11" s="1">
        <v>5</v>
      </c>
      <c r="C11" s="9">
        <v>5708</v>
      </c>
      <c r="D11" s="10">
        <v>46188</v>
      </c>
      <c r="E11" s="9">
        <v>1</v>
      </c>
      <c r="F11" s="9" t="s">
        <v>44</v>
      </c>
      <c r="G11" s="9" t="s">
        <v>51</v>
      </c>
      <c r="H11" s="9">
        <v>14</v>
      </c>
      <c r="I11" s="9"/>
      <c r="J11" s="9" t="s">
        <v>52</v>
      </c>
      <c r="K11" s="9" t="s">
        <v>32</v>
      </c>
      <c r="L11" s="9" t="s">
        <v>131</v>
      </c>
      <c r="M11" s="9" t="s">
        <v>133</v>
      </c>
      <c r="N11" s="9"/>
      <c r="O11" s="9"/>
      <c r="P11" s="9"/>
      <c r="Q11" s="35">
        <v>3350</v>
      </c>
      <c r="R11" s="35">
        <f>Tabla13[[#This Row],[PU]]*Tabla13[[#This Row],[VIAJES ]]</f>
        <v>3350</v>
      </c>
      <c r="S11" s="35">
        <f>Tabla13[[#This Row],[SUBTOTAL]]*16%</f>
        <v>536</v>
      </c>
      <c r="T11" s="35">
        <f>Tabla13[[#This Row],[SUBTOTAL]]+Tabla13[[#This Row],[IVA]]</f>
        <v>3886</v>
      </c>
    </row>
    <row r="12" spans="1:20" x14ac:dyDescent="0.25">
      <c r="A12" s="1">
        <v>25</v>
      </c>
      <c r="B12" s="1">
        <v>6</v>
      </c>
      <c r="C12" s="9">
        <v>5709</v>
      </c>
      <c r="D12" s="10">
        <v>46188</v>
      </c>
      <c r="E12" s="9">
        <v>1</v>
      </c>
      <c r="F12" s="9" t="s">
        <v>44</v>
      </c>
      <c r="G12" s="9" t="s">
        <v>134</v>
      </c>
      <c r="H12" s="9">
        <v>14</v>
      </c>
      <c r="I12" s="9"/>
      <c r="J12" s="9" t="s">
        <v>87</v>
      </c>
      <c r="K12" s="9" t="s">
        <v>32</v>
      </c>
      <c r="L12" s="9" t="s">
        <v>135</v>
      </c>
      <c r="M12" s="9" t="s">
        <v>136</v>
      </c>
      <c r="N12" s="9"/>
      <c r="O12" s="9"/>
      <c r="P12" s="9"/>
      <c r="Q12" s="35">
        <v>3350</v>
      </c>
      <c r="R12" s="35">
        <f>Tabla13[[#This Row],[PU]]*Tabla13[[#This Row],[VIAJES ]]</f>
        <v>3350</v>
      </c>
      <c r="S12" s="35">
        <f>Tabla13[[#This Row],[SUBTOTAL]]*16%</f>
        <v>536</v>
      </c>
      <c r="T12" s="35">
        <f>Tabla13[[#This Row],[SUBTOTAL]]+Tabla13[[#This Row],[IVA]]</f>
        <v>3886</v>
      </c>
    </row>
    <row r="13" spans="1:20" x14ac:dyDescent="0.25">
      <c r="A13" s="1">
        <v>25</v>
      </c>
      <c r="B13" s="1">
        <v>7</v>
      </c>
      <c r="C13" s="9">
        <v>5710</v>
      </c>
      <c r="D13" s="10">
        <v>46188</v>
      </c>
      <c r="E13" s="9">
        <v>1</v>
      </c>
      <c r="F13" s="9" t="s">
        <v>44</v>
      </c>
      <c r="G13" s="9" t="s">
        <v>137</v>
      </c>
      <c r="H13" s="9">
        <v>14</v>
      </c>
      <c r="I13" s="9"/>
      <c r="J13" s="9" t="s">
        <v>48</v>
      </c>
      <c r="K13" s="9" t="s">
        <v>32</v>
      </c>
      <c r="L13" s="9" t="s">
        <v>133</v>
      </c>
      <c r="M13" s="9" t="s">
        <v>138</v>
      </c>
      <c r="N13" s="9"/>
      <c r="O13" s="9"/>
      <c r="P13" s="9"/>
      <c r="Q13" s="35">
        <v>3350</v>
      </c>
      <c r="R13" s="35">
        <f>Tabla13[[#This Row],[PU]]*Tabla13[[#This Row],[VIAJES ]]</f>
        <v>3350</v>
      </c>
      <c r="S13" s="35">
        <f>Tabla13[[#This Row],[SUBTOTAL]]*16%</f>
        <v>536</v>
      </c>
      <c r="T13" s="35">
        <f>Tabla13[[#This Row],[SUBTOTAL]]+Tabla13[[#This Row],[IVA]]</f>
        <v>3886</v>
      </c>
    </row>
    <row r="14" spans="1:20" x14ac:dyDescent="0.25">
      <c r="A14" s="1">
        <v>25</v>
      </c>
      <c r="B14" s="1">
        <v>8</v>
      </c>
      <c r="C14" s="9">
        <v>5711</v>
      </c>
      <c r="D14" s="10">
        <v>46188</v>
      </c>
      <c r="E14" s="9">
        <v>1</v>
      </c>
      <c r="F14" s="9" t="s">
        <v>44</v>
      </c>
      <c r="G14" s="9" t="s">
        <v>139</v>
      </c>
      <c r="H14" s="9">
        <v>14</v>
      </c>
      <c r="I14" s="9"/>
      <c r="J14" s="9" t="s">
        <v>50</v>
      </c>
      <c r="K14" s="9" t="s">
        <v>32</v>
      </c>
      <c r="L14" s="9" t="s">
        <v>140</v>
      </c>
      <c r="M14" s="9" t="s">
        <v>141</v>
      </c>
      <c r="N14" s="9"/>
      <c r="O14" s="9"/>
      <c r="P14" s="9"/>
      <c r="Q14" s="35">
        <v>3350</v>
      </c>
      <c r="R14" s="35">
        <f>Tabla13[[#This Row],[PU]]*Tabla13[[#This Row],[VIAJES ]]</f>
        <v>3350</v>
      </c>
      <c r="S14" s="35">
        <f>Tabla13[[#This Row],[SUBTOTAL]]*16%</f>
        <v>536</v>
      </c>
      <c r="T14" s="35">
        <f>Tabla13[[#This Row],[SUBTOTAL]]+Tabla13[[#This Row],[IVA]]</f>
        <v>3886</v>
      </c>
    </row>
    <row r="15" spans="1:20" x14ac:dyDescent="0.25">
      <c r="A15" s="1">
        <v>25</v>
      </c>
      <c r="B15" s="1">
        <v>9</v>
      </c>
      <c r="C15" s="9">
        <v>5712</v>
      </c>
      <c r="D15" s="10">
        <v>46188</v>
      </c>
      <c r="E15" s="9">
        <v>1</v>
      </c>
      <c r="F15" s="9" t="s">
        <v>44</v>
      </c>
      <c r="G15" s="9" t="s">
        <v>142</v>
      </c>
      <c r="H15" s="9">
        <v>14</v>
      </c>
      <c r="I15" s="9"/>
      <c r="J15" s="9" t="s">
        <v>143</v>
      </c>
      <c r="K15" s="9" t="s">
        <v>32</v>
      </c>
      <c r="L15" s="9" t="s">
        <v>141</v>
      </c>
      <c r="M15" s="9" t="s">
        <v>144</v>
      </c>
      <c r="N15" s="9"/>
      <c r="O15" s="9"/>
      <c r="P15" s="9"/>
      <c r="Q15" s="35">
        <v>3350</v>
      </c>
      <c r="R15" s="35">
        <f>Tabla13[[#This Row],[PU]]*Tabla13[[#This Row],[VIAJES ]]</f>
        <v>3350</v>
      </c>
      <c r="S15" s="35">
        <f>Tabla13[[#This Row],[SUBTOTAL]]*16%</f>
        <v>536</v>
      </c>
      <c r="T15" s="35">
        <f>Tabla13[[#This Row],[SUBTOTAL]]+Tabla13[[#This Row],[IVA]]</f>
        <v>3886</v>
      </c>
    </row>
    <row r="16" spans="1:20" x14ac:dyDescent="0.25">
      <c r="A16" s="1">
        <v>25</v>
      </c>
      <c r="B16" s="1">
        <v>10</v>
      </c>
      <c r="C16" s="9">
        <v>5713</v>
      </c>
      <c r="D16" s="10">
        <v>46188</v>
      </c>
      <c r="E16" s="9">
        <v>1</v>
      </c>
      <c r="F16" s="9" t="s">
        <v>44</v>
      </c>
      <c r="G16" s="9" t="s">
        <v>81</v>
      </c>
      <c r="H16" s="9">
        <v>14</v>
      </c>
      <c r="I16" s="9"/>
      <c r="J16" s="9" t="s">
        <v>53</v>
      </c>
      <c r="K16" s="9" t="s">
        <v>32</v>
      </c>
      <c r="L16" s="9" t="s">
        <v>136</v>
      </c>
      <c r="M16" s="9" t="s">
        <v>145</v>
      </c>
      <c r="N16" s="9"/>
      <c r="O16" s="9"/>
      <c r="P16" s="9"/>
      <c r="Q16" s="35">
        <v>3350</v>
      </c>
      <c r="R16" s="35">
        <f>Tabla13[[#This Row],[PU]]*Tabla13[[#This Row],[VIAJES ]]</f>
        <v>3350</v>
      </c>
      <c r="S16" s="35">
        <f>Tabla13[[#This Row],[SUBTOTAL]]*16%</f>
        <v>536</v>
      </c>
      <c r="T16" s="35">
        <f>Tabla13[[#This Row],[SUBTOTAL]]+Tabla13[[#This Row],[IVA]]</f>
        <v>3886</v>
      </c>
    </row>
    <row r="17" spans="1:20" x14ac:dyDescent="0.25">
      <c r="A17" s="1">
        <v>25</v>
      </c>
      <c r="B17" s="1">
        <v>11</v>
      </c>
      <c r="C17" s="9">
        <v>5714</v>
      </c>
      <c r="D17" s="10">
        <v>46188</v>
      </c>
      <c r="E17" s="9">
        <v>1</v>
      </c>
      <c r="F17" s="9" t="s">
        <v>44</v>
      </c>
      <c r="G17" s="9" t="s">
        <v>126</v>
      </c>
      <c r="H17" s="9">
        <v>14</v>
      </c>
      <c r="I17" s="9"/>
      <c r="J17" s="9" t="s">
        <v>55</v>
      </c>
      <c r="K17" s="9" t="s">
        <v>32</v>
      </c>
      <c r="L17" s="9" t="s">
        <v>146</v>
      </c>
      <c r="M17" s="9" t="s">
        <v>147</v>
      </c>
      <c r="N17" s="9"/>
      <c r="O17" s="9"/>
      <c r="P17" s="9"/>
      <c r="Q17" s="35">
        <v>3350</v>
      </c>
      <c r="R17" s="35">
        <f>Tabla13[[#This Row],[PU]]*Tabla13[[#This Row],[VIAJES ]]</f>
        <v>3350</v>
      </c>
      <c r="S17" s="35">
        <f>Tabla13[[#This Row],[SUBTOTAL]]*16%</f>
        <v>536</v>
      </c>
      <c r="T17" s="35">
        <f>Tabla13[[#This Row],[SUBTOTAL]]+Tabla13[[#This Row],[IVA]]</f>
        <v>3886</v>
      </c>
    </row>
    <row r="18" spans="1:20" x14ac:dyDescent="0.25">
      <c r="A18" s="1">
        <v>25</v>
      </c>
      <c r="B18" s="1">
        <v>12</v>
      </c>
      <c r="C18" s="9">
        <v>5715</v>
      </c>
      <c r="D18" s="10">
        <v>46188</v>
      </c>
      <c r="E18" s="9">
        <v>1</v>
      </c>
      <c r="F18" s="9" t="s">
        <v>44</v>
      </c>
      <c r="G18" s="9" t="s">
        <v>51</v>
      </c>
      <c r="H18" s="9">
        <v>14</v>
      </c>
      <c r="I18" s="9"/>
      <c r="J18" s="9" t="s">
        <v>52</v>
      </c>
      <c r="K18" s="9" t="s">
        <v>32</v>
      </c>
      <c r="L18" s="9" t="s">
        <v>147</v>
      </c>
      <c r="M18" s="9" t="s">
        <v>148</v>
      </c>
      <c r="N18" s="9"/>
      <c r="O18" s="9"/>
      <c r="P18" s="9"/>
      <c r="Q18" s="35">
        <v>3350</v>
      </c>
      <c r="R18" s="35">
        <f>Tabla13[[#This Row],[PU]]*Tabla13[[#This Row],[VIAJES ]]</f>
        <v>3350</v>
      </c>
      <c r="S18" s="35">
        <f>Tabla13[[#This Row],[SUBTOTAL]]*16%</f>
        <v>536</v>
      </c>
      <c r="T18" s="35">
        <f>Tabla13[[#This Row],[SUBTOTAL]]+Tabla13[[#This Row],[IVA]]</f>
        <v>3886</v>
      </c>
    </row>
    <row r="19" spans="1:20" x14ac:dyDescent="0.25">
      <c r="A19" s="1">
        <v>25</v>
      </c>
      <c r="B19" s="20">
        <v>1</v>
      </c>
      <c r="C19" s="9" t="s">
        <v>73</v>
      </c>
      <c r="D19" s="10">
        <v>46188</v>
      </c>
      <c r="E19" s="9">
        <v>1</v>
      </c>
      <c r="F19" s="9" t="s">
        <v>74</v>
      </c>
      <c r="G19" s="9" t="s">
        <v>75</v>
      </c>
      <c r="H19" s="9">
        <v>10</v>
      </c>
      <c r="I19" s="9"/>
      <c r="J19" s="9" t="s">
        <v>78</v>
      </c>
      <c r="K19" s="9" t="s">
        <v>32</v>
      </c>
      <c r="L19" s="21">
        <v>0</v>
      </c>
      <c r="M19" s="21">
        <v>0</v>
      </c>
      <c r="N19" s="9"/>
      <c r="O19" s="9"/>
      <c r="P19" s="16" t="s">
        <v>121</v>
      </c>
      <c r="Q19" s="35">
        <v>4500</v>
      </c>
      <c r="R19" s="35">
        <f>Tabla13[[#This Row],[PU]]*Tabla13[[#This Row],[VIAJES ]]</f>
        <v>4500</v>
      </c>
      <c r="S19" s="35">
        <f>Tabla13[[#This Row],[SUBTOTAL]]*16%</f>
        <v>720</v>
      </c>
      <c r="T19" s="35">
        <f>Tabla13[[#This Row],[SUBTOTAL]]+Tabla13[[#This Row],[IVA]]</f>
        <v>5220</v>
      </c>
    </row>
    <row r="20" spans="1:20" x14ac:dyDescent="0.25">
      <c r="A20" s="1">
        <v>25</v>
      </c>
      <c r="B20" s="1">
        <v>1</v>
      </c>
      <c r="C20" s="9">
        <v>5719</v>
      </c>
      <c r="D20" s="10">
        <v>46189</v>
      </c>
      <c r="E20" s="9">
        <v>1</v>
      </c>
      <c r="F20" s="9" t="s">
        <v>44</v>
      </c>
      <c r="G20" s="9" t="s">
        <v>45</v>
      </c>
      <c r="H20" s="1">
        <v>14</v>
      </c>
      <c r="I20" s="9"/>
      <c r="J20" s="9" t="s">
        <v>46</v>
      </c>
      <c r="K20" s="9" t="s">
        <v>32</v>
      </c>
      <c r="L20" s="17">
        <v>34360</v>
      </c>
      <c r="M20" s="17">
        <f>Tabla13[[#This Row],[KM INICIO]]-30</f>
        <v>34330</v>
      </c>
      <c r="N20" s="18" t="s">
        <v>34</v>
      </c>
      <c r="O20" s="9"/>
      <c r="P20" s="9"/>
      <c r="Q20" s="35">
        <v>3350</v>
      </c>
      <c r="R20" s="35">
        <f>Tabla13[[#This Row],[PU]]*Tabla13[[#This Row],[VIAJES ]]</f>
        <v>3350</v>
      </c>
      <c r="S20" s="35">
        <f>Tabla13[[#This Row],[SUBTOTAL]]*16%</f>
        <v>536</v>
      </c>
      <c r="T20" s="35">
        <f>Tabla13[[#This Row],[SUBTOTAL]]+Tabla13[[#This Row],[IVA]]</f>
        <v>3886</v>
      </c>
    </row>
    <row r="21" spans="1:20" x14ac:dyDescent="0.25">
      <c r="A21" s="1">
        <v>25</v>
      </c>
      <c r="B21" s="1">
        <v>2</v>
      </c>
      <c r="C21" s="9">
        <v>5720</v>
      </c>
      <c r="D21" s="10">
        <v>46189</v>
      </c>
      <c r="E21" s="9">
        <v>1</v>
      </c>
      <c r="F21" s="9" t="s">
        <v>44</v>
      </c>
      <c r="G21" s="9" t="s">
        <v>99</v>
      </c>
      <c r="H21" s="1">
        <v>14</v>
      </c>
      <c r="I21" s="9"/>
      <c r="J21" s="9" t="s">
        <v>100</v>
      </c>
      <c r="K21" s="9" t="s">
        <v>32</v>
      </c>
      <c r="L21" s="17">
        <f>M20</f>
        <v>34330</v>
      </c>
      <c r="M21" s="17">
        <f>Tabla13[[#This Row],[KM INICIO]]-35</f>
        <v>34295</v>
      </c>
      <c r="N21" s="18" t="s">
        <v>34</v>
      </c>
      <c r="O21" s="9"/>
      <c r="P21" s="9"/>
      <c r="Q21" s="35">
        <v>3350</v>
      </c>
      <c r="R21" s="35">
        <f>Tabla13[[#This Row],[PU]]*Tabla13[[#This Row],[VIAJES ]]</f>
        <v>3350</v>
      </c>
      <c r="S21" s="35">
        <f>Tabla13[[#This Row],[SUBTOTAL]]*16%</f>
        <v>536</v>
      </c>
      <c r="T21" s="35">
        <f>Tabla13[[#This Row],[SUBTOTAL]]+Tabla13[[#This Row],[IVA]]</f>
        <v>3886</v>
      </c>
    </row>
    <row r="22" spans="1:20" x14ac:dyDescent="0.25">
      <c r="A22" s="1">
        <v>25</v>
      </c>
      <c r="B22" s="1">
        <v>3</v>
      </c>
      <c r="C22" s="9">
        <v>5721</v>
      </c>
      <c r="D22" s="10">
        <v>46189</v>
      </c>
      <c r="E22" s="9">
        <v>1</v>
      </c>
      <c r="F22" s="9" t="s">
        <v>44</v>
      </c>
      <c r="G22" s="9" t="s">
        <v>47</v>
      </c>
      <c r="H22" s="1">
        <v>14</v>
      </c>
      <c r="I22" s="9"/>
      <c r="J22" s="9" t="s">
        <v>48</v>
      </c>
      <c r="K22" s="9" t="s">
        <v>32</v>
      </c>
      <c r="L22" s="21">
        <f>M21</f>
        <v>34295</v>
      </c>
      <c r="M22" s="21">
        <f>Tabla13[[#This Row],[KM INICIO]]-38</f>
        <v>34257</v>
      </c>
      <c r="N22" s="18" t="s">
        <v>34</v>
      </c>
      <c r="O22" s="9"/>
      <c r="P22" s="9"/>
      <c r="Q22" s="35">
        <v>3350</v>
      </c>
      <c r="R22" s="35">
        <f>Tabla13[[#This Row],[PU]]*Tabla13[[#This Row],[VIAJES ]]</f>
        <v>3350</v>
      </c>
      <c r="S22" s="35">
        <f>Tabla13[[#This Row],[SUBTOTAL]]*16%</f>
        <v>536</v>
      </c>
      <c r="T22" s="35">
        <f>Tabla13[[#This Row],[SUBTOTAL]]+Tabla13[[#This Row],[IVA]]</f>
        <v>3886</v>
      </c>
    </row>
    <row r="23" spans="1:20" x14ac:dyDescent="0.25">
      <c r="A23" s="1">
        <v>25</v>
      </c>
      <c r="B23" s="1">
        <v>4</v>
      </c>
      <c r="C23" s="9">
        <v>5722</v>
      </c>
      <c r="D23" s="10">
        <v>46189</v>
      </c>
      <c r="E23" s="9">
        <v>1</v>
      </c>
      <c r="F23" s="9" t="s">
        <v>44</v>
      </c>
      <c r="G23" s="9" t="s">
        <v>49</v>
      </c>
      <c r="H23" s="1">
        <v>14</v>
      </c>
      <c r="I23" s="9"/>
      <c r="J23" s="9" t="s">
        <v>50</v>
      </c>
      <c r="K23" s="9" t="s">
        <v>32</v>
      </c>
      <c r="L23" s="21">
        <f>M22</f>
        <v>34257</v>
      </c>
      <c r="M23" s="21">
        <f>Tabla13[[#This Row],[KM INICIO]]-35</f>
        <v>34222</v>
      </c>
      <c r="N23" s="18" t="s">
        <v>34</v>
      </c>
      <c r="O23" s="9"/>
      <c r="P23" s="9"/>
      <c r="Q23" s="35">
        <v>3350</v>
      </c>
      <c r="R23" s="35">
        <f>Tabla13[[#This Row],[PU]]*Tabla13[[#This Row],[VIAJES ]]</f>
        <v>3350</v>
      </c>
      <c r="S23" s="35">
        <f>Tabla13[[#This Row],[SUBTOTAL]]*16%</f>
        <v>536</v>
      </c>
      <c r="T23" s="35">
        <f>Tabla13[[#This Row],[SUBTOTAL]]+Tabla13[[#This Row],[IVA]]</f>
        <v>3886</v>
      </c>
    </row>
    <row r="24" spans="1:20" x14ac:dyDescent="0.25">
      <c r="A24" s="1">
        <v>25</v>
      </c>
      <c r="B24" s="1">
        <v>5</v>
      </c>
      <c r="C24" s="9">
        <v>5723</v>
      </c>
      <c r="D24" s="10">
        <v>46189</v>
      </c>
      <c r="E24" s="9">
        <v>1</v>
      </c>
      <c r="F24" s="9" t="s">
        <v>44</v>
      </c>
      <c r="G24" s="9" t="s">
        <v>51</v>
      </c>
      <c r="H24" s="1">
        <v>14</v>
      </c>
      <c r="I24" s="9"/>
      <c r="J24" s="9" t="s">
        <v>52</v>
      </c>
      <c r="K24" s="9" t="s">
        <v>32</v>
      </c>
      <c r="L24" s="21">
        <f t="shared" ref="L24:L62" si="0">M23</f>
        <v>34222</v>
      </c>
      <c r="M24" s="21">
        <f>Tabla13[[#This Row],[KM INICIO]]-30</f>
        <v>34192</v>
      </c>
      <c r="N24" s="18" t="s">
        <v>34</v>
      </c>
      <c r="O24" s="9"/>
      <c r="P24" s="9"/>
      <c r="Q24" s="35">
        <v>3350</v>
      </c>
      <c r="R24" s="35">
        <f>Tabla13[[#This Row],[PU]]*Tabla13[[#This Row],[VIAJES ]]</f>
        <v>3350</v>
      </c>
      <c r="S24" s="35">
        <f>Tabla13[[#This Row],[SUBTOTAL]]*16%</f>
        <v>536</v>
      </c>
      <c r="T24" s="35">
        <f>Tabla13[[#This Row],[SUBTOTAL]]+Tabla13[[#This Row],[IVA]]</f>
        <v>3886</v>
      </c>
    </row>
    <row r="25" spans="1:20" x14ac:dyDescent="0.25">
      <c r="A25" s="1">
        <v>25</v>
      </c>
      <c r="B25" s="1">
        <v>6</v>
      </c>
      <c r="C25" s="9">
        <v>5724</v>
      </c>
      <c r="D25" s="10">
        <v>46189</v>
      </c>
      <c r="E25" s="9">
        <v>1</v>
      </c>
      <c r="F25" s="9" t="s">
        <v>44</v>
      </c>
      <c r="G25" s="9" t="s">
        <v>81</v>
      </c>
      <c r="H25" s="1">
        <v>14</v>
      </c>
      <c r="I25" s="9"/>
      <c r="J25" s="9" t="s">
        <v>53</v>
      </c>
      <c r="K25" s="9" t="s">
        <v>32</v>
      </c>
      <c r="L25" s="21">
        <f t="shared" si="0"/>
        <v>34192</v>
      </c>
      <c r="M25" s="21">
        <f>Tabla13[[#This Row],[KM INICIO]]-32</f>
        <v>34160</v>
      </c>
      <c r="N25" s="18" t="s">
        <v>34</v>
      </c>
      <c r="O25" s="9"/>
      <c r="P25" s="9"/>
      <c r="Q25" s="35">
        <v>3350</v>
      </c>
      <c r="R25" s="35">
        <f>Tabla13[[#This Row],[PU]]*Tabla13[[#This Row],[VIAJES ]]</f>
        <v>3350</v>
      </c>
      <c r="S25" s="35">
        <f>Tabla13[[#This Row],[SUBTOTAL]]*16%</f>
        <v>536</v>
      </c>
      <c r="T25" s="35">
        <f>Tabla13[[#This Row],[SUBTOTAL]]+Tabla13[[#This Row],[IVA]]</f>
        <v>3886</v>
      </c>
    </row>
    <row r="26" spans="1:20" x14ac:dyDescent="0.25">
      <c r="A26" s="1">
        <v>25</v>
      </c>
      <c r="B26" s="1">
        <v>7</v>
      </c>
      <c r="C26" s="9">
        <v>5725</v>
      </c>
      <c r="D26" s="10">
        <v>46189</v>
      </c>
      <c r="E26" s="9">
        <v>1</v>
      </c>
      <c r="F26" s="9" t="s">
        <v>44</v>
      </c>
      <c r="G26" s="9" t="s">
        <v>54</v>
      </c>
      <c r="H26" s="1">
        <v>14</v>
      </c>
      <c r="I26" s="9"/>
      <c r="J26" s="9" t="s">
        <v>55</v>
      </c>
      <c r="K26" s="9" t="s">
        <v>32</v>
      </c>
      <c r="L26" s="21">
        <v>35000</v>
      </c>
      <c r="M26" s="21">
        <f>Tabla13[[#This Row],[KM INICIO]]-35</f>
        <v>34965</v>
      </c>
      <c r="N26" s="18" t="s">
        <v>34</v>
      </c>
      <c r="O26" s="9"/>
      <c r="P26" s="9"/>
      <c r="Q26" s="35">
        <v>3350</v>
      </c>
      <c r="R26" s="35">
        <f>Tabla13[[#This Row],[PU]]*Tabla13[[#This Row],[VIAJES ]]</f>
        <v>3350</v>
      </c>
      <c r="S26" s="35">
        <f>Tabla13[[#This Row],[SUBTOTAL]]*16%</f>
        <v>536</v>
      </c>
      <c r="T26" s="35">
        <f>Tabla13[[#This Row],[SUBTOTAL]]+Tabla13[[#This Row],[IVA]]</f>
        <v>3886</v>
      </c>
    </row>
    <row r="27" spans="1:20" x14ac:dyDescent="0.25">
      <c r="A27" s="1">
        <v>25</v>
      </c>
      <c r="B27" s="1">
        <v>8</v>
      </c>
      <c r="C27" s="9">
        <v>5726</v>
      </c>
      <c r="D27" s="10">
        <v>46189</v>
      </c>
      <c r="E27" s="9">
        <v>1</v>
      </c>
      <c r="F27" s="9" t="s">
        <v>44</v>
      </c>
      <c r="G27" s="9" t="s">
        <v>56</v>
      </c>
      <c r="H27" s="1">
        <v>14</v>
      </c>
      <c r="I27" s="9"/>
      <c r="J27" s="9" t="s">
        <v>57</v>
      </c>
      <c r="K27" s="9" t="s">
        <v>32</v>
      </c>
      <c r="L27" s="21">
        <f t="shared" si="0"/>
        <v>34965</v>
      </c>
      <c r="M27" s="21">
        <f>Tabla13[[#This Row],[KM INICIO]]-38</f>
        <v>34927</v>
      </c>
      <c r="N27" s="18" t="s">
        <v>34</v>
      </c>
      <c r="O27" s="9"/>
      <c r="P27" s="9"/>
      <c r="Q27" s="35">
        <v>3350</v>
      </c>
      <c r="R27" s="35">
        <f>Tabla13[[#This Row],[PU]]*Tabla13[[#This Row],[VIAJES ]]</f>
        <v>3350</v>
      </c>
      <c r="S27" s="35">
        <f>Tabla13[[#This Row],[SUBTOTAL]]*16%</f>
        <v>536</v>
      </c>
      <c r="T27" s="35">
        <f>Tabla13[[#This Row],[SUBTOTAL]]+Tabla13[[#This Row],[IVA]]</f>
        <v>3886</v>
      </c>
    </row>
    <row r="28" spans="1:20" x14ac:dyDescent="0.25">
      <c r="A28" s="1">
        <v>25</v>
      </c>
      <c r="B28" s="1">
        <v>9</v>
      </c>
      <c r="C28" s="9">
        <v>5727</v>
      </c>
      <c r="D28" s="10">
        <v>46189</v>
      </c>
      <c r="E28" s="9">
        <v>1</v>
      </c>
      <c r="F28" s="9" t="s">
        <v>44</v>
      </c>
      <c r="G28" s="9" t="s">
        <v>58</v>
      </c>
      <c r="H28" s="1">
        <v>14</v>
      </c>
      <c r="I28" s="9"/>
      <c r="J28" s="9" t="s">
        <v>59</v>
      </c>
      <c r="K28" s="9" t="s">
        <v>32</v>
      </c>
      <c r="L28" s="21">
        <f t="shared" si="0"/>
        <v>34927</v>
      </c>
      <c r="M28" s="21">
        <f>Tabla13[[#This Row],[KM INICIO]]-35</f>
        <v>34892</v>
      </c>
      <c r="N28" s="18" t="s">
        <v>34</v>
      </c>
      <c r="O28" s="9"/>
      <c r="P28" s="9"/>
      <c r="Q28" s="35">
        <v>3350</v>
      </c>
      <c r="R28" s="35">
        <f>Tabla13[[#This Row],[PU]]*Tabla13[[#This Row],[VIAJES ]]</f>
        <v>3350</v>
      </c>
      <c r="S28" s="35">
        <f>Tabla13[[#This Row],[SUBTOTAL]]*16%</f>
        <v>536</v>
      </c>
      <c r="T28" s="35">
        <f>Tabla13[[#This Row],[SUBTOTAL]]+Tabla13[[#This Row],[IVA]]</f>
        <v>3886</v>
      </c>
    </row>
    <row r="29" spans="1:20" x14ac:dyDescent="0.25">
      <c r="A29" s="1">
        <v>25</v>
      </c>
      <c r="B29" s="1">
        <v>10</v>
      </c>
      <c r="C29" s="9">
        <v>5728</v>
      </c>
      <c r="D29" s="10">
        <v>46189</v>
      </c>
      <c r="E29" s="9">
        <v>1</v>
      </c>
      <c r="F29" s="9" t="s">
        <v>44</v>
      </c>
      <c r="G29" s="9" t="s">
        <v>60</v>
      </c>
      <c r="H29" s="1">
        <v>14</v>
      </c>
      <c r="I29" s="9"/>
      <c r="J29" s="9" t="s">
        <v>61</v>
      </c>
      <c r="K29" s="9" t="s">
        <v>32</v>
      </c>
      <c r="L29" s="21">
        <f t="shared" si="0"/>
        <v>34892</v>
      </c>
      <c r="M29" s="21">
        <f>Tabla13[[#This Row],[KM INICIO]]-35</f>
        <v>34857</v>
      </c>
      <c r="N29" s="18" t="s">
        <v>34</v>
      </c>
      <c r="O29" s="9"/>
      <c r="P29" s="9"/>
      <c r="Q29" s="35">
        <v>3350</v>
      </c>
      <c r="R29" s="35">
        <f>Tabla13[[#This Row],[PU]]*Tabla13[[#This Row],[VIAJES ]]</f>
        <v>3350</v>
      </c>
      <c r="S29" s="35">
        <f>Tabla13[[#This Row],[SUBTOTAL]]*16%</f>
        <v>536</v>
      </c>
      <c r="T29" s="35">
        <f>Tabla13[[#This Row],[SUBTOTAL]]+Tabla13[[#This Row],[IVA]]</f>
        <v>3886</v>
      </c>
    </row>
    <row r="30" spans="1:20" x14ac:dyDescent="0.25">
      <c r="A30" s="1">
        <v>25</v>
      </c>
      <c r="B30" s="1">
        <v>11</v>
      </c>
      <c r="C30" s="9">
        <v>5729</v>
      </c>
      <c r="D30" s="10">
        <v>46189</v>
      </c>
      <c r="E30" s="9">
        <v>1</v>
      </c>
      <c r="F30" s="9" t="s">
        <v>44</v>
      </c>
      <c r="G30" s="9" t="s">
        <v>62</v>
      </c>
      <c r="H30" s="1">
        <v>14</v>
      </c>
      <c r="I30" s="9"/>
      <c r="J30" s="9" t="s">
        <v>102</v>
      </c>
      <c r="K30" s="9" t="s">
        <v>32</v>
      </c>
      <c r="L30" s="21">
        <f t="shared" si="0"/>
        <v>34857</v>
      </c>
      <c r="M30" s="21">
        <f>Tabla13[[#This Row],[KM INICIO]]-39</f>
        <v>34818</v>
      </c>
      <c r="N30" s="18" t="s">
        <v>34</v>
      </c>
      <c r="O30" s="9"/>
      <c r="P30" s="9"/>
      <c r="Q30" s="35">
        <v>3350</v>
      </c>
      <c r="R30" s="35">
        <f>Tabla13[[#This Row],[PU]]*Tabla13[[#This Row],[VIAJES ]]</f>
        <v>3350</v>
      </c>
      <c r="S30" s="35">
        <f>Tabla13[[#This Row],[SUBTOTAL]]*16%</f>
        <v>536</v>
      </c>
      <c r="T30" s="35">
        <f>Tabla13[[#This Row],[SUBTOTAL]]+Tabla13[[#This Row],[IVA]]</f>
        <v>3886</v>
      </c>
    </row>
    <row r="31" spans="1:20" x14ac:dyDescent="0.25">
      <c r="A31" s="1">
        <v>25</v>
      </c>
      <c r="B31" s="1">
        <v>12</v>
      </c>
      <c r="C31" s="9">
        <v>5730</v>
      </c>
      <c r="D31" s="10">
        <v>46189</v>
      </c>
      <c r="E31" s="9">
        <v>1</v>
      </c>
      <c r="F31" s="9" t="s">
        <v>44</v>
      </c>
      <c r="G31" s="9" t="s">
        <v>63</v>
      </c>
      <c r="H31" s="1">
        <v>14</v>
      </c>
      <c r="I31" s="9"/>
      <c r="J31" s="9" t="s">
        <v>64</v>
      </c>
      <c r="K31" s="9" t="s">
        <v>32</v>
      </c>
      <c r="L31" s="21">
        <f t="shared" si="0"/>
        <v>34818</v>
      </c>
      <c r="M31" s="21">
        <f>Tabla13[[#This Row],[KM INICIO]]-35</f>
        <v>34783</v>
      </c>
      <c r="N31" s="18" t="s">
        <v>34</v>
      </c>
      <c r="O31" s="9"/>
      <c r="P31" s="9"/>
      <c r="Q31" s="35">
        <v>3350</v>
      </c>
      <c r="R31" s="35">
        <f>Tabla13[[#This Row],[PU]]*Tabla13[[#This Row],[VIAJES ]]</f>
        <v>3350</v>
      </c>
      <c r="S31" s="35">
        <f>Tabla13[[#This Row],[SUBTOTAL]]*16%</f>
        <v>536</v>
      </c>
      <c r="T31" s="35">
        <f>Tabla13[[#This Row],[SUBTOTAL]]+Tabla13[[#This Row],[IVA]]</f>
        <v>3886</v>
      </c>
    </row>
    <row r="32" spans="1:20" x14ac:dyDescent="0.25">
      <c r="A32" s="1">
        <v>25</v>
      </c>
      <c r="B32" s="1">
        <v>13</v>
      </c>
      <c r="C32" s="9">
        <v>5731</v>
      </c>
      <c r="D32" s="10">
        <v>46189</v>
      </c>
      <c r="E32" s="9">
        <v>1</v>
      </c>
      <c r="F32" s="9" t="s">
        <v>44</v>
      </c>
      <c r="G32" s="9" t="s">
        <v>65</v>
      </c>
      <c r="H32" s="1">
        <v>14</v>
      </c>
      <c r="I32" s="9"/>
      <c r="J32" s="9" t="s">
        <v>66</v>
      </c>
      <c r="K32" s="9" t="s">
        <v>32</v>
      </c>
      <c r="L32" s="21">
        <f t="shared" si="0"/>
        <v>34783</v>
      </c>
      <c r="M32" s="21">
        <f>Tabla13[[#This Row],[KM INICIO]]-35</f>
        <v>34748</v>
      </c>
      <c r="N32" s="18" t="s">
        <v>34</v>
      </c>
      <c r="O32" s="9"/>
      <c r="P32" s="9"/>
      <c r="Q32" s="35">
        <v>3350</v>
      </c>
      <c r="R32" s="35">
        <f>Tabla13[[#This Row],[PU]]*Tabla13[[#This Row],[VIAJES ]]</f>
        <v>3350</v>
      </c>
      <c r="S32" s="35">
        <f>Tabla13[[#This Row],[SUBTOTAL]]*16%</f>
        <v>536</v>
      </c>
      <c r="T32" s="35">
        <f>Tabla13[[#This Row],[SUBTOTAL]]+Tabla13[[#This Row],[IVA]]</f>
        <v>3886</v>
      </c>
    </row>
    <row r="33" spans="1:20" x14ac:dyDescent="0.25">
      <c r="A33" s="1">
        <v>25</v>
      </c>
      <c r="B33" s="1">
        <v>14</v>
      </c>
      <c r="C33" s="9">
        <v>5732</v>
      </c>
      <c r="D33" s="10">
        <v>46189</v>
      </c>
      <c r="E33" s="9">
        <v>1</v>
      </c>
      <c r="F33" s="9" t="s">
        <v>44</v>
      </c>
      <c r="G33" s="9" t="s">
        <v>67</v>
      </c>
      <c r="H33" s="1">
        <v>14</v>
      </c>
      <c r="I33" s="9"/>
      <c r="J33" s="9" t="s">
        <v>68</v>
      </c>
      <c r="K33" s="9" t="s">
        <v>32</v>
      </c>
      <c r="L33" s="21">
        <f t="shared" si="0"/>
        <v>34748</v>
      </c>
      <c r="M33" s="21">
        <f>Tabla13[[#This Row],[KM INICIO]]-40</f>
        <v>34708</v>
      </c>
      <c r="N33" s="18" t="s">
        <v>34</v>
      </c>
      <c r="O33" s="9"/>
      <c r="P33" s="9"/>
      <c r="Q33" s="35">
        <v>3350</v>
      </c>
      <c r="R33" s="35">
        <f>Tabla13[[#This Row],[PU]]*Tabla13[[#This Row],[VIAJES ]]</f>
        <v>3350</v>
      </c>
      <c r="S33" s="35">
        <f>Tabla13[[#This Row],[SUBTOTAL]]*16%</f>
        <v>536</v>
      </c>
      <c r="T33" s="35">
        <f>Tabla13[[#This Row],[SUBTOTAL]]+Tabla13[[#This Row],[IVA]]</f>
        <v>3886</v>
      </c>
    </row>
    <row r="34" spans="1:20" x14ac:dyDescent="0.25">
      <c r="A34" s="1">
        <v>25</v>
      </c>
      <c r="B34" s="1">
        <v>15</v>
      </c>
      <c r="C34" s="9">
        <v>5733</v>
      </c>
      <c r="D34" s="10">
        <v>46189</v>
      </c>
      <c r="E34" s="9">
        <v>1</v>
      </c>
      <c r="F34" s="9" t="s">
        <v>44</v>
      </c>
      <c r="G34" s="9" t="s">
        <v>69</v>
      </c>
      <c r="H34" s="1">
        <v>14</v>
      </c>
      <c r="I34" s="9"/>
      <c r="J34" s="9" t="s">
        <v>70</v>
      </c>
      <c r="K34" s="9" t="s">
        <v>32</v>
      </c>
      <c r="L34" s="21">
        <f t="shared" si="0"/>
        <v>34708</v>
      </c>
      <c r="M34" s="21">
        <f>Tabla13[[#This Row],[KM INICIO]]-35</f>
        <v>34673</v>
      </c>
      <c r="N34" s="18" t="s">
        <v>34</v>
      </c>
      <c r="O34" s="9"/>
      <c r="P34" s="9"/>
      <c r="Q34" s="35">
        <v>3350</v>
      </c>
      <c r="R34" s="35">
        <f>Tabla13[[#This Row],[PU]]*Tabla13[[#This Row],[VIAJES ]]</f>
        <v>3350</v>
      </c>
      <c r="S34" s="35">
        <f>Tabla13[[#This Row],[SUBTOTAL]]*16%</f>
        <v>536</v>
      </c>
      <c r="T34" s="35">
        <f>Tabla13[[#This Row],[SUBTOTAL]]+Tabla13[[#This Row],[IVA]]</f>
        <v>3886</v>
      </c>
    </row>
    <row r="35" spans="1:20" x14ac:dyDescent="0.25">
      <c r="A35" s="1">
        <v>25</v>
      </c>
      <c r="B35" s="1">
        <v>16</v>
      </c>
      <c r="C35" s="9">
        <v>5734</v>
      </c>
      <c r="D35" s="10">
        <v>46189</v>
      </c>
      <c r="E35" s="9">
        <v>1</v>
      </c>
      <c r="F35" s="9" t="s">
        <v>44</v>
      </c>
      <c r="G35" s="9" t="s">
        <v>115</v>
      </c>
      <c r="H35" s="1">
        <v>14</v>
      </c>
      <c r="I35" s="9"/>
      <c r="J35" s="9" t="s">
        <v>71</v>
      </c>
      <c r="K35" s="9" t="s">
        <v>32</v>
      </c>
      <c r="L35" s="21">
        <f t="shared" si="0"/>
        <v>34673</v>
      </c>
      <c r="M35" s="21">
        <f>Tabla13[[#This Row],[KM INICIO]]-36</f>
        <v>34637</v>
      </c>
      <c r="N35" s="18" t="s">
        <v>34</v>
      </c>
      <c r="O35" s="9"/>
      <c r="P35" s="9"/>
      <c r="Q35" s="35">
        <v>3350</v>
      </c>
      <c r="R35" s="35">
        <f>Tabla13[[#This Row],[PU]]*Tabla13[[#This Row],[VIAJES ]]</f>
        <v>3350</v>
      </c>
      <c r="S35" s="35">
        <f>Tabla13[[#This Row],[SUBTOTAL]]*16%</f>
        <v>536</v>
      </c>
      <c r="T35" s="35">
        <f>Tabla13[[#This Row],[SUBTOTAL]]+Tabla13[[#This Row],[IVA]]</f>
        <v>3886</v>
      </c>
    </row>
    <row r="36" spans="1:20" x14ac:dyDescent="0.25">
      <c r="A36" s="1">
        <v>25</v>
      </c>
      <c r="B36" s="1">
        <v>17</v>
      </c>
      <c r="C36" s="9">
        <v>5735</v>
      </c>
      <c r="D36" s="10">
        <v>46189</v>
      </c>
      <c r="E36" s="9">
        <v>1</v>
      </c>
      <c r="F36" s="9" t="s">
        <v>44</v>
      </c>
      <c r="G36" s="9" t="s">
        <v>72</v>
      </c>
      <c r="H36" s="1">
        <v>14</v>
      </c>
      <c r="I36" s="9"/>
      <c r="J36" s="9" t="s">
        <v>77</v>
      </c>
      <c r="K36" s="9" t="s">
        <v>32</v>
      </c>
      <c r="L36" s="21">
        <f t="shared" si="0"/>
        <v>34637</v>
      </c>
      <c r="M36" s="21">
        <f>Tabla13[[#This Row],[KM INICIO]]-37</f>
        <v>34600</v>
      </c>
      <c r="N36" s="18" t="s">
        <v>34</v>
      </c>
      <c r="O36" s="9"/>
      <c r="P36" s="9"/>
      <c r="Q36" s="35">
        <v>3350</v>
      </c>
      <c r="R36" s="35">
        <f>Tabla13[[#This Row],[PU]]*Tabla13[[#This Row],[VIAJES ]]</f>
        <v>3350</v>
      </c>
      <c r="S36" s="35">
        <f>Tabla13[[#This Row],[SUBTOTAL]]*16%</f>
        <v>536</v>
      </c>
      <c r="T36" s="35">
        <f>Tabla13[[#This Row],[SUBTOTAL]]+Tabla13[[#This Row],[IVA]]</f>
        <v>3886</v>
      </c>
    </row>
    <row r="37" spans="1:20" x14ac:dyDescent="0.25">
      <c r="A37" s="1">
        <v>25</v>
      </c>
      <c r="B37" s="20">
        <v>1</v>
      </c>
      <c r="C37" s="9" t="s">
        <v>73</v>
      </c>
      <c r="D37" s="10">
        <v>46189</v>
      </c>
      <c r="E37" s="9">
        <v>1</v>
      </c>
      <c r="F37" s="9" t="s">
        <v>74</v>
      </c>
      <c r="G37" s="9" t="s">
        <v>75</v>
      </c>
      <c r="H37" s="9">
        <v>10</v>
      </c>
      <c r="I37" s="9"/>
      <c r="J37" s="9" t="s">
        <v>78</v>
      </c>
      <c r="K37" s="9" t="s">
        <v>32</v>
      </c>
      <c r="L37" s="21">
        <v>0</v>
      </c>
      <c r="M37" s="21">
        <v>0</v>
      </c>
      <c r="N37" s="18" t="s">
        <v>34</v>
      </c>
      <c r="O37" s="9"/>
      <c r="P37" s="16" t="s">
        <v>121</v>
      </c>
      <c r="Q37" s="35">
        <v>4500</v>
      </c>
      <c r="R37" s="35">
        <f>Tabla13[[#This Row],[PU]]*Tabla13[[#This Row],[VIAJES ]]</f>
        <v>4500</v>
      </c>
      <c r="S37" s="35">
        <f>Tabla13[[#This Row],[SUBTOTAL]]*16%</f>
        <v>720</v>
      </c>
      <c r="T37" s="35">
        <f>Tabla13[[#This Row],[SUBTOTAL]]+Tabla13[[#This Row],[IVA]]</f>
        <v>5220</v>
      </c>
    </row>
    <row r="38" spans="1:20" x14ac:dyDescent="0.25">
      <c r="A38" s="1">
        <v>25</v>
      </c>
      <c r="B38" s="1">
        <v>1</v>
      </c>
      <c r="C38" s="9">
        <v>5738</v>
      </c>
      <c r="D38" s="10">
        <v>46190</v>
      </c>
      <c r="E38" s="9">
        <v>1</v>
      </c>
      <c r="F38" s="9" t="s">
        <v>44</v>
      </c>
      <c r="G38" s="9" t="s">
        <v>99</v>
      </c>
      <c r="H38" s="1">
        <v>14</v>
      </c>
      <c r="I38" s="9"/>
      <c r="J38" s="9" t="s">
        <v>100</v>
      </c>
      <c r="K38" s="9" t="s">
        <v>32</v>
      </c>
      <c r="L38" s="21">
        <v>35000</v>
      </c>
      <c r="M38" s="21">
        <f>Tabla13[[#This Row],[KM INICIO]]-33</f>
        <v>34967</v>
      </c>
      <c r="N38" s="18" t="s">
        <v>34</v>
      </c>
      <c r="O38" s="9"/>
      <c r="P38" s="9"/>
      <c r="Q38" s="35">
        <v>3350</v>
      </c>
      <c r="R38" s="35">
        <f>Tabla13[[#This Row],[PU]]*Tabla13[[#This Row],[VIAJES ]]</f>
        <v>3350</v>
      </c>
      <c r="S38" s="35">
        <f>Tabla13[[#This Row],[SUBTOTAL]]*16%</f>
        <v>536</v>
      </c>
      <c r="T38" s="35">
        <f>Tabla13[[#This Row],[SUBTOTAL]]+Tabla13[[#This Row],[IVA]]</f>
        <v>3886</v>
      </c>
    </row>
    <row r="39" spans="1:20" x14ac:dyDescent="0.25">
      <c r="A39" s="1">
        <v>25</v>
      </c>
      <c r="B39" s="1">
        <v>2</v>
      </c>
      <c r="C39" s="9">
        <v>5739</v>
      </c>
      <c r="D39" s="10">
        <v>46190</v>
      </c>
      <c r="E39" s="9">
        <v>1</v>
      </c>
      <c r="F39" s="9" t="s">
        <v>44</v>
      </c>
      <c r="G39" s="9" t="s">
        <v>56</v>
      </c>
      <c r="H39" s="1">
        <v>14</v>
      </c>
      <c r="I39" s="9"/>
      <c r="J39" s="9" t="s">
        <v>57</v>
      </c>
      <c r="K39" s="9" t="s">
        <v>32</v>
      </c>
      <c r="L39" s="21">
        <f t="shared" si="0"/>
        <v>34967</v>
      </c>
      <c r="M39" s="21">
        <f>Tabla13[[#This Row],[KM INICIO]]-35</f>
        <v>34932</v>
      </c>
      <c r="N39" s="18" t="s">
        <v>34</v>
      </c>
      <c r="O39" s="9"/>
      <c r="P39" s="9"/>
      <c r="Q39" s="35">
        <v>3350</v>
      </c>
      <c r="R39" s="35">
        <f>Tabla13[[#This Row],[PU]]*Tabla13[[#This Row],[VIAJES ]]</f>
        <v>3350</v>
      </c>
      <c r="S39" s="35">
        <f>Tabla13[[#This Row],[SUBTOTAL]]*16%</f>
        <v>536</v>
      </c>
      <c r="T39" s="35">
        <f>Tabla13[[#This Row],[SUBTOTAL]]+Tabla13[[#This Row],[IVA]]</f>
        <v>3886</v>
      </c>
    </row>
    <row r="40" spans="1:20" x14ac:dyDescent="0.25">
      <c r="A40" s="1">
        <v>25</v>
      </c>
      <c r="B40" s="1">
        <v>3</v>
      </c>
      <c r="C40" s="9">
        <v>5740</v>
      </c>
      <c r="D40" s="10">
        <v>46190</v>
      </c>
      <c r="E40" s="9">
        <v>1</v>
      </c>
      <c r="F40" s="9" t="s">
        <v>44</v>
      </c>
      <c r="G40" s="9" t="s">
        <v>98</v>
      </c>
      <c r="H40" s="1">
        <v>14</v>
      </c>
      <c r="I40" s="9"/>
      <c r="J40" s="9" t="s">
        <v>46</v>
      </c>
      <c r="K40" s="9" t="s">
        <v>32</v>
      </c>
      <c r="L40" s="21">
        <f t="shared" si="0"/>
        <v>34932</v>
      </c>
      <c r="M40" s="21">
        <f>Tabla13[[#This Row],[KM INICIO]]-34</f>
        <v>34898</v>
      </c>
      <c r="N40" s="18" t="s">
        <v>34</v>
      </c>
      <c r="O40" s="9"/>
      <c r="P40" s="9"/>
      <c r="Q40" s="35">
        <v>3350</v>
      </c>
      <c r="R40" s="35">
        <f>Tabla13[[#This Row],[PU]]*Tabla13[[#This Row],[VIAJES ]]</f>
        <v>3350</v>
      </c>
      <c r="S40" s="35">
        <f>Tabla13[[#This Row],[SUBTOTAL]]*16%</f>
        <v>536</v>
      </c>
      <c r="T40" s="35">
        <f>Tabla13[[#This Row],[SUBTOTAL]]+Tabla13[[#This Row],[IVA]]</f>
        <v>3886</v>
      </c>
    </row>
    <row r="41" spans="1:20" x14ac:dyDescent="0.25">
      <c r="A41" s="1">
        <v>25</v>
      </c>
      <c r="B41" s="1">
        <v>4</v>
      </c>
      <c r="C41" s="9">
        <v>5741</v>
      </c>
      <c r="D41" s="10">
        <v>46190</v>
      </c>
      <c r="E41" s="9">
        <v>1</v>
      </c>
      <c r="F41" s="9" t="s">
        <v>44</v>
      </c>
      <c r="G41" s="9" t="s">
        <v>69</v>
      </c>
      <c r="H41" s="1">
        <v>14</v>
      </c>
      <c r="I41" s="9"/>
      <c r="J41" s="9" t="s">
        <v>70</v>
      </c>
      <c r="K41" s="9" t="s">
        <v>32</v>
      </c>
      <c r="L41" s="21">
        <f t="shared" si="0"/>
        <v>34898</v>
      </c>
      <c r="M41" s="21">
        <f>Tabla13[[#This Row],[KM INICIO]]-37</f>
        <v>34861</v>
      </c>
      <c r="N41" s="18" t="s">
        <v>34</v>
      </c>
      <c r="O41" s="9"/>
      <c r="P41" s="9"/>
      <c r="Q41" s="35">
        <v>3350</v>
      </c>
      <c r="R41" s="35">
        <f>Tabla13[[#This Row],[PU]]*Tabla13[[#This Row],[VIAJES ]]</f>
        <v>3350</v>
      </c>
      <c r="S41" s="35">
        <f>Tabla13[[#This Row],[SUBTOTAL]]*16%</f>
        <v>536</v>
      </c>
      <c r="T41" s="35">
        <f>Tabla13[[#This Row],[SUBTOTAL]]+Tabla13[[#This Row],[IVA]]</f>
        <v>3886</v>
      </c>
    </row>
    <row r="42" spans="1:20" x14ac:dyDescent="0.25">
      <c r="A42" s="1">
        <v>25</v>
      </c>
      <c r="B42" s="1">
        <v>5</v>
      </c>
      <c r="C42" s="9">
        <v>5742</v>
      </c>
      <c r="D42" s="10">
        <v>46190</v>
      </c>
      <c r="E42" s="9">
        <v>1</v>
      </c>
      <c r="F42" s="9" t="s">
        <v>44</v>
      </c>
      <c r="G42" s="9" t="s">
        <v>58</v>
      </c>
      <c r="H42" s="1">
        <v>14</v>
      </c>
      <c r="I42" s="9"/>
      <c r="J42" s="9" t="s">
        <v>59</v>
      </c>
      <c r="K42" s="9" t="s">
        <v>32</v>
      </c>
      <c r="L42" s="21">
        <f t="shared" si="0"/>
        <v>34861</v>
      </c>
      <c r="M42" s="21">
        <f>Tabla13[[#This Row],[KM INICIO]]-33</f>
        <v>34828</v>
      </c>
      <c r="N42" s="18" t="s">
        <v>34</v>
      </c>
      <c r="O42" s="9"/>
      <c r="P42" s="9"/>
      <c r="Q42" s="35">
        <v>3350</v>
      </c>
      <c r="R42" s="35">
        <f>Tabla13[[#This Row],[PU]]*Tabla13[[#This Row],[VIAJES ]]</f>
        <v>3350</v>
      </c>
      <c r="S42" s="35">
        <f>Tabla13[[#This Row],[SUBTOTAL]]*16%</f>
        <v>536</v>
      </c>
      <c r="T42" s="35">
        <f>Tabla13[[#This Row],[SUBTOTAL]]+Tabla13[[#This Row],[IVA]]</f>
        <v>3886</v>
      </c>
    </row>
    <row r="43" spans="1:20" x14ac:dyDescent="0.25">
      <c r="A43" s="1">
        <v>25</v>
      </c>
      <c r="B43" s="1">
        <v>6</v>
      </c>
      <c r="C43" s="9">
        <v>5743</v>
      </c>
      <c r="D43" s="10">
        <v>46190</v>
      </c>
      <c r="E43" s="9">
        <v>1</v>
      </c>
      <c r="F43" s="9" t="s">
        <v>44</v>
      </c>
      <c r="G43" s="9" t="s">
        <v>88</v>
      </c>
      <c r="H43" s="1">
        <v>14</v>
      </c>
      <c r="I43" s="9"/>
      <c r="J43" s="9" t="s">
        <v>89</v>
      </c>
      <c r="K43" s="9" t="s">
        <v>32</v>
      </c>
      <c r="L43" s="21">
        <f t="shared" si="0"/>
        <v>34828</v>
      </c>
      <c r="M43" s="21">
        <f>Tabla13[[#This Row],[KM INICIO]]-36</f>
        <v>34792</v>
      </c>
      <c r="N43" s="18" t="s">
        <v>34</v>
      </c>
      <c r="O43" s="9"/>
      <c r="P43" s="9"/>
      <c r="Q43" s="35">
        <v>3350</v>
      </c>
      <c r="R43" s="35">
        <f>Tabla13[[#This Row],[PU]]*Tabla13[[#This Row],[VIAJES ]]</f>
        <v>3350</v>
      </c>
      <c r="S43" s="35">
        <f>Tabla13[[#This Row],[SUBTOTAL]]*16%</f>
        <v>536</v>
      </c>
      <c r="T43" s="35">
        <f>Tabla13[[#This Row],[SUBTOTAL]]+Tabla13[[#This Row],[IVA]]</f>
        <v>3886</v>
      </c>
    </row>
    <row r="44" spans="1:20" x14ac:dyDescent="0.25">
      <c r="A44" s="1">
        <v>25</v>
      </c>
      <c r="B44" s="1">
        <v>7</v>
      </c>
      <c r="C44" s="9">
        <v>5744</v>
      </c>
      <c r="D44" s="10">
        <v>46190</v>
      </c>
      <c r="E44" s="9">
        <v>1</v>
      </c>
      <c r="F44" s="9" t="s">
        <v>44</v>
      </c>
      <c r="G44" s="9" t="s">
        <v>65</v>
      </c>
      <c r="H44" s="1">
        <v>14</v>
      </c>
      <c r="I44" s="9"/>
      <c r="J44" s="9" t="s">
        <v>66</v>
      </c>
      <c r="K44" s="9" t="s">
        <v>32</v>
      </c>
      <c r="L44" s="21">
        <f t="shared" si="0"/>
        <v>34792</v>
      </c>
      <c r="M44" s="21">
        <f>Tabla13[[#This Row],[KM INICIO]]-33</f>
        <v>34759</v>
      </c>
      <c r="N44" s="18" t="s">
        <v>34</v>
      </c>
      <c r="O44" s="9"/>
      <c r="P44" s="9"/>
      <c r="Q44" s="35">
        <v>3350</v>
      </c>
      <c r="R44" s="35">
        <f>Tabla13[[#This Row],[PU]]*Tabla13[[#This Row],[VIAJES ]]</f>
        <v>3350</v>
      </c>
      <c r="S44" s="35">
        <f>Tabla13[[#This Row],[SUBTOTAL]]*16%</f>
        <v>536</v>
      </c>
      <c r="T44" s="35">
        <f>Tabla13[[#This Row],[SUBTOTAL]]+Tabla13[[#This Row],[IVA]]</f>
        <v>3886</v>
      </c>
    </row>
    <row r="45" spans="1:20" x14ac:dyDescent="0.25">
      <c r="A45" s="1">
        <v>25</v>
      </c>
      <c r="B45" s="1">
        <v>8</v>
      </c>
      <c r="C45" s="9">
        <v>5745</v>
      </c>
      <c r="D45" s="10">
        <v>46190</v>
      </c>
      <c r="E45" s="9">
        <v>1</v>
      </c>
      <c r="F45" s="9" t="s">
        <v>44</v>
      </c>
      <c r="G45" s="9" t="s">
        <v>90</v>
      </c>
      <c r="H45" s="1">
        <v>14</v>
      </c>
      <c r="I45" s="9"/>
      <c r="J45" s="9" t="s">
        <v>91</v>
      </c>
      <c r="K45" s="9" t="s">
        <v>32</v>
      </c>
      <c r="L45" s="21">
        <f t="shared" si="0"/>
        <v>34759</v>
      </c>
      <c r="M45" s="21">
        <f>Tabla13[[#This Row],[KM INICIO]]-31</f>
        <v>34728</v>
      </c>
      <c r="N45" s="18" t="s">
        <v>34</v>
      </c>
      <c r="O45" s="9"/>
      <c r="P45" s="9"/>
      <c r="Q45" s="35">
        <v>3350</v>
      </c>
      <c r="R45" s="35">
        <f>Tabla13[[#This Row],[PU]]*Tabla13[[#This Row],[VIAJES ]]</f>
        <v>3350</v>
      </c>
      <c r="S45" s="35">
        <f>Tabla13[[#This Row],[SUBTOTAL]]*16%</f>
        <v>536</v>
      </c>
      <c r="T45" s="35">
        <f>Tabla13[[#This Row],[SUBTOTAL]]+Tabla13[[#This Row],[IVA]]</f>
        <v>3886</v>
      </c>
    </row>
    <row r="46" spans="1:20" x14ac:dyDescent="0.25">
      <c r="A46" s="1">
        <v>25</v>
      </c>
      <c r="B46" s="1">
        <v>9</v>
      </c>
      <c r="C46" s="9">
        <v>5746</v>
      </c>
      <c r="D46" s="10">
        <v>46190</v>
      </c>
      <c r="E46" s="9">
        <v>1</v>
      </c>
      <c r="F46" s="9" t="s">
        <v>44</v>
      </c>
      <c r="G46" s="9" t="s">
        <v>63</v>
      </c>
      <c r="H46" s="1">
        <v>14</v>
      </c>
      <c r="I46" s="9"/>
      <c r="J46" s="9" t="s">
        <v>64</v>
      </c>
      <c r="K46" s="9" t="s">
        <v>32</v>
      </c>
      <c r="L46" s="21">
        <v>35000</v>
      </c>
      <c r="M46" s="21">
        <f>Tabla13[[#This Row],[KM INICIO]]-32</f>
        <v>34968</v>
      </c>
      <c r="N46" s="18" t="s">
        <v>34</v>
      </c>
      <c r="O46" s="9"/>
      <c r="P46" s="9"/>
      <c r="Q46" s="35">
        <v>3350</v>
      </c>
      <c r="R46" s="35">
        <f>Tabla13[[#This Row],[PU]]*Tabla13[[#This Row],[VIAJES ]]</f>
        <v>3350</v>
      </c>
      <c r="S46" s="35">
        <f>Tabla13[[#This Row],[SUBTOTAL]]*16%</f>
        <v>536</v>
      </c>
      <c r="T46" s="35">
        <f>Tabla13[[#This Row],[SUBTOTAL]]+Tabla13[[#This Row],[IVA]]</f>
        <v>3886</v>
      </c>
    </row>
    <row r="47" spans="1:20" x14ac:dyDescent="0.25">
      <c r="A47" s="1">
        <v>25</v>
      </c>
      <c r="B47" s="1">
        <v>10</v>
      </c>
      <c r="C47" s="9">
        <v>5747</v>
      </c>
      <c r="D47" s="10">
        <v>46190</v>
      </c>
      <c r="E47" s="9">
        <v>1</v>
      </c>
      <c r="F47" s="9" t="s">
        <v>44</v>
      </c>
      <c r="G47" s="9" t="s">
        <v>94</v>
      </c>
      <c r="H47" s="1">
        <v>14</v>
      </c>
      <c r="I47" s="9"/>
      <c r="J47" s="9" t="s">
        <v>93</v>
      </c>
      <c r="K47" s="9" t="s">
        <v>32</v>
      </c>
      <c r="L47" s="21">
        <f t="shared" si="0"/>
        <v>34968</v>
      </c>
      <c r="M47" s="21">
        <f>Tabla13[[#This Row],[KM INICIO]]-37</f>
        <v>34931</v>
      </c>
      <c r="N47" s="18" t="s">
        <v>34</v>
      </c>
      <c r="O47" s="9"/>
      <c r="P47" s="9"/>
      <c r="Q47" s="35">
        <v>3350</v>
      </c>
      <c r="R47" s="35">
        <f>Tabla13[[#This Row],[PU]]*Tabla13[[#This Row],[VIAJES ]]</f>
        <v>3350</v>
      </c>
      <c r="S47" s="35">
        <f>Tabla13[[#This Row],[SUBTOTAL]]*16%</f>
        <v>536</v>
      </c>
      <c r="T47" s="35">
        <f>Tabla13[[#This Row],[SUBTOTAL]]+Tabla13[[#This Row],[IVA]]</f>
        <v>3886</v>
      </c>
    </row>
    <row r="48" spans="1:20" x14ac:dyDescent="0.25">
      <c r="A48" s="1">
        <v>25</v>
      </c>
      <c r="B48" s="1">
        <v>11</v>
      </c>
      <c r="C48" s="9">
        <v>5748</v>
      </c>
      <c r="D48" s="10">
        <v>46190</v>
      </c>
      <c r="E48" s="9">
        <v>1</v>
      </c>
      <c r="F48" s="9" t="s">
        <v>44</v>
      </c>
      <c r="G48" s="9" t="s">
        <v>115</v>
      </c>
      <c r="H48" s="1">
        <v>14</v>
      </c>
      <c r="I48" s="9"/>
      <c r="J48" s="9" t="s">
        <v>71</v>
      </c>
      <c r="K48" s="9" t="s">
        <v>32</v>
      </c>
      <c r="L48" s="21">
        <f t="shared" si="0"/>
        <v>34931</v>
      </c>
      <c r="M48" s="21">
        <f>Tabla13[[#This Row],[KM INICIO]]-37</f>
        <v>34894</v>
      </c>
      <c r="N48" s="18" t="s">
        <v>34</v>
      </c>
      <c r="O48" s="9"/>
      <c r="P48" s="9"/>
      <c r="Q48" s="35">
        <v>3350</v>
      </c>
      <c r="R48" s="35">
        <f>Tabla13[[#This Row],[PU]]*Tabla13[[#This Row],[VIAJES ]]</f>
        <v>3350</v>
      </c>
      <c r="S48" s="35">
        <f>Tabla13[[#This Row],[SUBTOTAL]]*16%</f>
        <v>536</v>
      </c>
      <c r="T48" s="35">
        <f>Tabla13[[#This Row],[SUBTOTAL]]+Tabla13[[#This Row],[IVA]]</f>
        <v>3886</v>
      </c>
    </row>
    <row r="49" spans="1:20" x14ac:dyDescent="0.25">
      <c r="A49" s="1">
        <v>25</v>
      </c>
      <c r="B49" s="1">
        <v>12</v>
      </c>
      <c r="C49" s="9">
        <v>5749</v>
      </c>
      <c r="D49" s="10">
        <v>46190</v>
      </c>
      <c r="E49" s="9">
        <v>1</v>
      </c>
      <c r="F49" s="9" t="s">
        <v>44</v>
      </c>
      <c r="G49" s="9" t="s">
        <v>72</v>
      </c>
      <c r="H49" s="1">
        <v>14</v>
      </c>
      <c r="I49" s="9"/>
      <c r="J49" s="9" t="s">
        <v>77</v>
      </c>
      <c r="K49" s="9" t="s">
        <v>32</v>
      </c>
      <c r="L49" s="21">
        <f t="shared" si="0"/>
        <v>34894</v>
      </c>
      <c r="M49" s="21">
        <f>Tabla13[[#This Row],[KM INICIO]]-37</f>
        <v>34857</v>
      </c>
      <c r="N49" s="18" t="s">
        <v>34</v>
      </c>
      <c r="O49" s="9"/>
      <c r="P49" s="9"/>
      <c r="Q49" s="35">
        <v>3350</v>
      </c>
      <c r="R49" s="35">
        <f>Tabla13[[#This Row],[PU]]*Tabla13[[#This Row],[VIAJES ]]</f>
        <v>3350</v>
      </c>
      <c r="S49" s="35">
        <f>Tabla13[[#This Row],[SUBTOTAL]]*16%</f>
        <v>536</v>
      </c>
      <c r="T49" s="35">
        <f>Tabla13[[#This Row],[SUBTOTAL]]+Tabla13[[#This Row],[IVA]]</f>
        <v>3886</v>
      </c>
    </row>
    <row r="50" spans="1:20" x14ac:dyDescent="0.25">
      <c r="A50" s="1">
        <v>25</v>
      </c>
      <c r="B50" s="20">
        <v>1</v>
      </c>
      <c r="C50" s="9" t="s">
        <v>73</v>
      </c>
      <c r="D50" s="10">
        <v>46190</v>
      </c>
      <c r="E50" s="9">
        <v>1</v>
      </c>
      <c r="F50" s="9" t="s">
        <v>74</v>
      </c>
      <c r="G50" s="9" t="s">
        <v>75</v>
      </c>
      <c r="H50" s="9">
        <v>10</v>
      </c>
      <c r="I50" s="9"/>
      <c r="J50" s="9" t="s">
        <v>78</v>
      </c>
      <c r="K50" s="9" t="s">
        <v>32</v>
      </c>
      <c r="L50" s="21">
        <v>0</v>
      </c>
      <c r="M50" s="21">
        <v>0</v>
      </c>
      <c r="N50" s="18" t="s">
        <v>34</v>
      </c>
      <c r="O50" s="9"/>
      <c r="P50" s="16" t="s">
        <v>121</v>
      </c>
      <c r="Q50" s="35">
        <v>4500</v>
      </c>
      <c r="R50" s="35">
        <f>Tabla13[[#This Row],[PU]]*Tabla13[[#This Row],[VIAJES ]]</f>
        <v>4500</v>
      </c>
      <c r="S50" s="35">
        <f>Tabla13[[#This Row],[SUBTOTAL]]*16%</f>
        <v>720</v>
      </c>
      <c r="T50" s="35">
        <f>Tabla13[[#This Row],[SUBTOTAL]]+Tabla13[[#This Row],[IVA]]</f>
        <v>5220</v>
      </c>
    </row>
    <row r="51" spans="1:20" x14ac:dyDescent="0.25">
      <c r="A51" s="1">
        <v>25</v>
      </c>
      <c r="B51" s="1">
        <v>1</v>
      </c>
      <c r="C51" s="9">
        <v>251</v>
      </c>
      <c r="D51" s="10">
        <v>46191</v>
      </c>
      <c r="E51" s="9">
        <v>1</v>
      </c>
      <c r="F51" s="9" t="s">
        <v>44</v>
      </c>
      <c r="G51" s="9" t="s">
        <v>69</v>
      </c>
      <c r="H51" s="1">
        <v>14</v>
      </c>
      <c r="I51" s="9"/>
      <c r="J51" s="9" t="s">
        <v>70</v>
      </c>
      <c r="K51" s="9" t="s">
        <v>32</v>
      </c>
      <c r="L51" s="21">
        <v>34600</v>
      </c>
      <c r="M51" s="21">
        <f>Tabla13[[#This Row],[KM INICIO]]-32</f>
        <v>34568</v>
      </c>
      <c r="N51" s="18" t="s">
        <v>34</v>
      </c>
      <c r="O51" s="9"/>
      <c r="P51" s="9"/>
      <c r="Q51" s="35">
        <v>3350</v>
      </c>
      <c r="R51" s="35">
        <f>Tabla13[[#This Row],[PU]]*Tabla13[[#This Row],[VIAJES ]]</f>
        <v>3350</v>
      </c>
      <c r="S51" s="35">
        <f>Tabla13[[#This Row],[SUBTOTAL]]*16%</f>
        <v>536</v>
      </c>
      <c r="T51" s="35">
        <f>Tabla13[[#This Row],[SUBTOTAL]]+Tabla13[[#This Row],[IVA]]</f>
        <v>3886</v>
      </c>
    </row>
    <row r="52" spans="1:20" x14ac:dyDescent="0.25">
      <c r="A52" s="1">
        <v>25</v>
      </c>
      <c r="B52" s="1">
        <v>2</v>
      </c>
      <c r="C52" s="9">
        <v>252</v>
      </c>
      <c r="D52" s="10">
        <v>46191</v>
      </c>
      <c r="E52" s="9">
        <v>1</v>
      </c>
      <c r="F52" s="9" t="s">
        <v>44</v>
      </c>
      <c r="G52" s="9" t="s">
        <v>56</v>
      </c>
      <c r="H52" s="1">
        <v>14</v>
      </c>
      <c r="I52" s="9"/>
      <c r="J52" s="9" t="s">
        <v>57</v>
      </c>
      <c r="K52" s="9" t="s">
        <v>32</v>
      </c>
      <c r="L52" s="21">
        <f t="shared" si="0"/>
        <v>34568</v>
      </c>
      <c r="M52" s="21">
        <f>Tabla13[[#This Row],[KM INICIO]]-36</f>
        <v>34532</v>
      </c>
      <c r="N52" s="18" t="s">
        <v>34</v>
      </c>
      <c r="O52" s="9"/>
      <c r="P52" s="9"/>
      <c r="Q52" s="35">
        <v>3350</v>
      </c>
      <c r="R52" s="35">
        <f>Tabla13[[#This Row],[PU]]*Tabla13[[#This Row],[VIAJES ]]</f>
        <v>3350</v>
      </c>
      <c r="S52" s="35">
        <f>Tabla13[[#This Row],[SUBTOTAL]]*16%</f>
        <v>536</v>
      </c>
      <c r="T52" s="35">
        <f>Tabla13[[#This Row],[SUBTOTAL]]+Tabla13[[#This Row],[IVA]]</f>
        <v>3886</v>
      </c>
    </row>
    <row r="53" spans="1:20" x14ac:dyDescent="0.25">
      <c r="A53" s="1">
        <v>25</v>
      </c>
      <c r="B53" s="1">
        <v>3</v>
      </c>
      <c r="C53" s="9">
        <v>253</v>
      </c>
      <c r="D53" s="10">
        <v>46191</v>
      </c>
      <c r="E53" s="9">
        <v>1</v>
      </c>
      <c r="F53" s="9" t="s">
        <v>44</v>
      </c>
      <c r="G53" s="9" t="s">
        <v>101</v>
      </c>
      <c r="H53" s="1">
        <v>14</v>
      </c>
      <c r="I53" s="9"/>
      <c r="J53" s="9" t="s">
        <v>76</v>
      </c>
      <c r="K53" s="9" t="s">
        <v>32</v>
      </c>
      <c r="L53" s="21">
        <f t="shared" si="0"/>
        <v>34532</v>
      </c>
      <c r="M53" s="21">
        <f>Tabla13[[#This Row],[KM INICIO]]-37</f>
        <v>34495</v>
      </c>
      <c r="N53" s="18" t="s">
        <v>34</v>
      </c>
      <c r="O53" s="9"/>
      <c r="P53" s="9"/>
      <c r="Q53" s="35">
        <v>3350</v>
      </c>
      <c r="R53" s="35">
        <f>Tabla13[[#This Row],[PU]]*Tabla13[[#This Row],[VIAJES ]]</f>
        <v>3350</v>
      </c>
      <c r="S53" s="35">
        <f>Tabla13[[#This Row],[SUBTOTAL]]*16%</f>
        <v>536</v>
      </c>
      <c r="T53" s="35">
        <f>Tabla13[[#This Row],[SUBTOTAL]]+Tabla13[[#This Row],[IVA]]</f>
        <v>3886</v>
      </c>
    </row>
    <row r="54" spans="1:20" x14ac:dyDescent="0.25">
      <c r="A54" s="1">
        <v>25</v>
      </c>
      <c r="B54" s="1">
        <v>4</v>
      </c>
      <c r="C54" s="9">
        <v>254</v>
      </c>
      <c r="D54" s="10">
        <v>46191</v>
      </c>
      <c r="E54" s="9">
        <v>1</v>
      </c>
      <c r="F54" s="9" t="s">
        <v>44</v>
      </c>
      <c r="G54" s="9" t="s">
        <v>62</v>
      </c>
      <c r="H54" s="1">
        <v>14</v>
      </c>
      <c r="I54" s="9"/>
      <c r="J54" s="9" t="s">
        <v>102</v>
      </c>
      <c r="K54" s="9" t="s">
        <v>32</v>
      </c>
      <c r="L54" s="21">
        <f t="shared" si="0"/>
        <v>34495</v>
      </c>
      <c r="M54" s="21">
        <f>Tabla13[[#This Row],[KM INICIO]]-36</f>
        <v>34459</v>
      </c>
      <c r="N54" s="18" t="s">
        <v>34</v>
      </c>
      <c r="O54" s="9"/>
      <c r="P54" s="9"/>
      <c r="Q54" s="35">
        <v>3350</v>
      </c>
      <c r="R54" s="35">
        <f>Tabla13[[#This Row],[PU]]*Tabla13[[#This Row],[VIAJES ]]</f>
        <v>3350</v>
      </c>
      <c r="S54" s="35">
        <f>Tabla13[[#This Row],[SUBTOTAL]]*16%</f>
        <v>536</v>
      </c>
      <c r="T54" s="35">
        <f>Tabla13[[#This Row],[SUBTOTAL]]+Tabla13[[#This Row],[IVA]]</f>
        <v>3886</v>
      </c>
    </row>
    <row r="55" spans="1:20" x14ac:dyDescent="0.25">
      <c r="A55" s="1">
        <v>25</v>
      </c>
      <c r="B55" s="1">
        <v>5</v>
      </c>
      <c r="C55" s="9">
        <v>255</v>
      </c>
      <c r="D55" s="10">
        <v>46191</v>
      </c>
      <c r="E55" s="9">
        <v>1</v>
      </c>
      <c r="F55" s="9" t="s">
        <v>44</v>
      </c>
      <c r="G55" s="9" t="s">
        <v>103</v>
      </c>
      <c r="H55" s="1">
        <v>14</v>
      </c>
      <c r="I55" s="9"/>
      <c r="J55" s="9" t="s">
        <v>104</v>
      </c>
      <c r="K55" s="9" t="s">
        <v>32</v>
      </c>
      <c r="L55" s="21">
        <f t="shared" si="0"/>
        <v>34459</v>
      </c>
      <c r="M55" s="21">
        <f>Tabla13[[#This Row],[KM INICIO]]-38</f>
        <v>34421</v>
      </c>
      <c r="N55" s="18" t="s">
        <v>34</v>
      </c>
      <c r="O55" s="9"/>
      <c r="P55" s="9"/>
      <c r="Q55" s="35">
        <v>3350</v>
      </c>
      <c r="R55" s="35">
        <f>Tabla13[[#This Row],[PU]]*Tabla13[[#This Row],[VIAJES ]]</f>
        <v>3350</v>
      </c>
      <c r="S55" s="35">
        <f>Tabla13[[#This Row],[SUBTOTAL]]*16%</f>
        <v>536</v>
      </c>
      <c r="T55" s="35">
        <f>Tabla13[[#This Row],[SUBTOTAL]]+Tabla13[[#This Row],[IVA]]</f>
        <v>3886</v>
      </c>
    </row>
    <row r="56" spans="1:20" x14ac:dyDescent="0.25">
      <c r="A56" s="1">
        <v>25</v>
      </c>
      <c r="B56" s="1">
        <v>6</v>
      </c>
      <c r="C56" s="9">
        <v>256</v>
      </c>
      <c r="D56" s="10">
        <v>46191</v>
      </c>
      <c r="E56" s="9">
        <v>1</v>
      </c>
      <c r="F56" s="9" t="s">
        <v>44</v>
      </c>
      <c r="G56" s="9" t="s">
        <v>58</v>
      </c>
      <c r="H56" s="1">
        <v>14</v>
      </c>
      <c r="I56" s="9"/>
      <c r="J56" s="9" t="s">
        <v>59</v>
      </c>
      <c r="K56" s="9" t="s">
        <v>32</v>
      </c>
      <c r="L56" s="21">
        <f t="shared" si="0"/>
        <v>34421</v>
      </c>
      <c r="M56" s="21">
        <f>Tabla13[[#This Row],[KM INICIO]]-40</f>
        <v>34381</v>
      </c>
      <c r="N56" s="18" t="s">
        <v>34</v>
      </c>
      <c r="O56" s="9"/>
      <c r="P56" s="9"/>
      <c r="Q56" s="35">
        <v>3350</v>
      </c>
      <c r="R56" s="35">
        <f>Tabla13[[#This Row],[PU]]*Tabla13[[#This Row],[VIAJES ]]</f>
        <v>3350</v>
      </c>
      <c r="S56" s="35">
        <f>Tabla13[[#This Row],[SUBTOTAL]]*16%</f>
        <v>536</v>
      </c>
      <c r="T56" s="35">
        <f>Tabla13[[#This Row],[SUBTOTAL]]+Tabla13[[#This Row],[IVA]]</f>
        <v>3886</v>
      </c>
    </row>
    <row r="57" spans="1:20" x14ac:dyDescent="0.25">
      <c r="A57" s="1">
        <v>25</v>
      </c>
      <c r="B57" s="1">
        <v>7</v>
      </c>
      <c r="C57" s="9">
        <v>257</v>
      </c>
      <c r="D57" s="10">
        <v>46191</v>
      </c>
      <c r="E57" s="9">
        <v>1</v>
      </c>
      <c r="F57" s="9" t="s">
        <v>44</v>
      </c>
      <c r="G57" s="9" t="s">
        <v>65</v>
      </c>
      <c r="H57" s="1">
        <v>14</v>
      </c>
      <c r="I57" s="9"/>
      <c r="J57" s="9" t="s">
        <v>66</v>
      </c>
      <c r="K57" s="9" t="s">
        <v>32</v>
      </c>
      <c r="L57" s="21">
        <f t="shared" si="0"/>
        <v>34381</v>
      </c>
      <c r="M57" s="21">
        <f>Tabla13[[#This Row],[KM INICIO]]-37</f>
        <v>34344</v>
      </c>
      <c r="N57" s="18" t="s">
        <v>34</v>
      </c>
      <c r="O57" s="9"/>
      <c r="P57" s="9"/>
      <c r="Q57" s="35">
        <v>3350</v>
      </c>
      <c r="R57" s="35">
        <f>Tabla13[[#This Row],[PU]]*Tabla13[[#This Row],[VIAJES ]]</f>
        <v>3350</v>
      </c>
      <c r="S57" s="35">
        <f>Tabla13[[#This Row],[SUBTOTAL]]*16%</f>
        <v>536</v>
      </c>
      <c r="T57" s="35">
        <f>Tabla13[[#This Row],[SUBTOTAL]]+Tabla13[[#This Row],[IVA]]</f>
        <v>3886</v>
      </c>
    </row>
    <row r="58" spans="1:20" x14ac:dyDescent="0.25">
      <c r="A58" s="1">
        <v>25</v>
      </c>
      <c r="B58" s="1">
        <v>8</v>
      </c>
      <c r="C58" s="9">
        <v>258</v>
      </c>
      <c r="D58" s="10">
        <v>46191</v>
      </c>
      <c r="E58" s="9">
        <v>1</v>
      </c>
      <c r="F58" s="9" t="s">
        <v>44</v>
      </c>
      <c r="G58" s="9" t="s">
        <v>90</v>
      </c>
      <c r="H58" s="1">
        <v>14</v>
      </c>
      <c r="I58" s="9"/>
      <c r="J58" s="9" t="s">
        <v>91</v>
      </c>
      <c r="K58" s="9" t="s">
        <v>32</v>
      </c>
      <c r="L58" s="21">
        <f t="shared" si="0"/>
        <v>34344</v>
      </c>
      <c r="M58" s="21">
        <f>Tabla13[[#This Row],[KM INICIO]]-35</f>
        <v>34309</v>
      </c>
      <c r="N58" s="18" t="s">
        <v>34</v>
      </c>
      <c r="O58" s="9"/>
      <c r="P58" s="9"/>
      <c r="Q58" s="35">
        <v>3350</v>
      </c>
      <c r="R58" s="35">
        <f>Tabla13[[#This Row],[PU]]*Tabla13[[#This Row],[VIAJES ]]</f>
        <v>3350</v>
      </c>
      <c r="S58" s="35">
        <f>Tabla13[[#This Row],[SUBTOTAL]]*16%</f>
        <v>536</v>
      </c>
      <c r="T58" s="35">
        <f>Tabla13[[#This Row],[SUBTOTAL]]+Tabla13[[#This Row],[IVA]]</f>
        <v>3886</v>
      </c>
    </row>
    <row r="59" spans="1:20" x14ac:dyDescent="0.25">
      <c r="A59" s="1">
        <v>25</v>
      </c>
      <c r="B59" s="1">
        <v>9</v>
      </c>
      <c r="C59" s="9">
        <v>259</v>
      </c>
      <c r="D59" s="10">
        <v>46191</v>
      </c>
      <c r="E59" s="9">
        <v>1</v>
      </c>
      <c r="F59" s="9" t="s">
        <v>44</v>
      </c>
      <c r="G59" s="9" t="s">
        <v>105</v>
      </c>
      <c r="H59" s="1">
        <v>14</v>
      </c>
      <c r="I59" s="9"/>
      <c r="J59" s="9" t="s">
        <v>106</v>
      </c>
      <c r="K59" s="9" t="s">
        <v>32</v>
      </c>
      <c r="L59" s="21">
        <f t="shared" si="0"/>
        <v>34309</v>
      </c>
      <c r="M59" s="21">
        <f>Tabla13[[#This Row],[KM INICIO]]-40</f>
        <v>34269</v>
      </c>
      <c r="N59" s="18" t="s">
        <v>34</v>
      </c>
      <c r="O59" s="9"/>
      <c r="P59" s="9"/>
      <c r="Q59" s="35">
        <v>3350</v>
      </c>
      <c r="R59" s="35">
        <f>Tabla13[[#This Row],[PU]]*Tabla13[[#This Row],[VIAJES ]]</f>
        <v>3350</v>
      </c>
      <c r="S59" s="35">
        <f>Tabla13[[#This Row],[SUBTOTAL]]*16%</f>
        <v>536</v>
      </c>
      <c r="T59" s="35">
        <f>Tabla13[[#This Row],[SUBTOTAL]]+Tabla13[[#This Row],[IVA]]</f>
        <v>3886</v>
      </c>
    </row>
    <row r="60" spans="1:20" x14ac:dyDescent="0.25">
      <c r="A60" s="1">
        <v>25</v>
      </c>
      <c r="B60" s="1">
        <v>10</v>
      </c>
      <c r="C60" s="9">
        <v>260</v>
      </c>
      <c r="D60" s="10">
        <v>46191</v>
      </c>
      <c r="E60" s="9">
        <v>1</v>
      </c>
      <c r="F60" s="9" t="s">
        <v>44</v>
      </c>
      <c r="G60" s="9" t="s">
        <v>92</v>
      </c>
      <c r="H60" s="1">
        <v>14</v>
      </c>
      <c r="I60" s="9"/>
      <c r="J60" s="9" t="s">
        <v>64</v>
      </c>
      <c r="K60" s="9" t="s">
        <v>32</v>
      </c>
      <c r="L60" s="21">
        <f t="shared" si="0"/>
        <v>34269</v>
      </c>
      <c r="M60" s="21">
        <f>Tabla13[[#This Row],[KM INICIO]]-37</f>
        <v>34232</v>
      </c>
      <c r="N60" s="18" t="s">
        <v>34</v>
      </c>
      <c r="O60" s="9"/>
      <c r="P60" s="9"/>
      <c r="Q60" s="35">
        <v>3350</v>
      </c>
      <c r="R60" s="35">
        <f>Tabla13[[#This Row],[PU]]*Tabla13[[#This Row],[VIAJES ]]</f>
        <v>3350</v>
      </c>
      <c r="S60" s="35">
        <f>Tabla13[[#This Row],[SUBTOTAL]]*16%</f>
        <v>536</v>
      </c>
      <c r="T60" s="35">
        <f>Tabla13[[#This Row],[SUBTOTAL]]+Tabla13[[#This Row],[IVA]]</f>
        <v>3886</v>
      </c>
    </row>
    <row r="61" spans="1:20" x14ac:dyDescent="0.25">
      <c r="A61" s="1">
        <v>25</v>
      </c>
      <c r="B61" s="1">
        <v>11</v>
      </c>
      <c r="C61" s="9">
        <v>261</v>
      </c>
      <c r="D61" s="10">
        <v>46191</v>
      </c>
      <c r="E61" s="9">
        <v>1</v>
      </c>
      <c r="F61" s="9" t="s">
        <v>44</v>
      </c>
      <c r="G61" s="9" t="s">
        <v>107</v>
      </c>
      <c r="H61" s="1">
        <v>14</v>
      </c>
      <c r="I61" s="9"/>
      <c r="J61" s="9" t="s">
        <v>108</v>
      </c>
      <c r="K61" s="9" t="s">
        <v>32</v>
      </c>
      <c r="L61" s="21">
        <f t="shared" si="0"/>
        <v>34232</v>
      </c>
      <c r="M61" s="21">
        <f>Tabla13[[#This Row],[KM INICIO]]-38</f>
        <v>34194</v>
      </c>
      <c r="N61" s="18" t="s">
        <v>34</v>
      </c>
      <c r="O61" s="9"/>
      <c r="P61" s="9"/>
      <c r="Q61" s="35">
        <v>3350</v>
      </c>
      <c r="R61" s="35">
        <f>Tabla13[[#This Row],[PU]]*Tabla13[[#This Row],[VIAJES ]]</f>
        <v>3350</v>
      </c>
      <c r="S61" s="35">
        <f>Tabla13[[#This Row],[SUBTOTAL]]*16%</f>
        <v>536</v>
      </c>
      <c r="T61" s="35">
        <f>Tabla13[[#This Row],[SUBTOTAL]]+Tabla13[[#This Row],[IVA]]</f>
        <v>3886</v>
      </c>
    </row>
    <row r="62" spans="1:20" x14ac:dyDescent="0.25">
      <c r="A62" s="1">
        <v>25</v>
      </c>
      <c r="B62" s="1">
        <v>12</v>
      </c>
      <c r="C62" s="9">
        <v>262</v>
      </c>
      <c r="D62" s="10">
        <v>46191</v>
      </c>
      <c r="E62" s="9">
        <v>1</v>
      </c>
      <c r="F62" s="9" t="s">
        <v>44</v>
      </c>
      <c r="G62" s="9" t="s">
        <v>109</v>
      </c>
      <c r="H62" s="1">
        <v>14</v>
      </c>
      <c r="I62" s="9"/>
      <c r="J62" s="9" t="s">
        <v>110</v>
      </c>
      <c r="K62" s="9" t="s">
        <v>32</v>
      </c>
      <c r="L62" s="21">
        <f t="shared" si="0"/>
        <v>34194</v>
      </c>
      <c r="M62" s="21">
        <f>Tabla13[[#This Row],[KM INICIO]]-34</f>
        <v>34160</v>
      </c>
      <c r="N62" s="18" t="s">
        <v>34</v>
      </c>
      <c r="O62" s="9"/>
      <c r="P62" s="9"/>
      <c r="Q62" s="35">
        <v>3350</v>
      </c>
      <c r="R62" s="35">
        <f>Tabla13[[#This Row],[PU]]*Tabla13[[#This Row],[VIAJES ]]</f>
        <v>3350</v>
      </c>
      <c r="S62" s="35">
        <f>Tabla13[[#This Row],[SUBTOTAL]]*16%</f>
        <v>536</v>
      </c>
      <c r="T62" s="35">
        <f>Tabla13[[#This Row],[SUBTOTAL]]+Tabla13[[#This Row],[IVA]]</f>
        <v>3886</v>
      </c>
    </row>
    <row r="63" spans="1:20" x14ac:dyDescent="0.25">
      <c r="A63" s="1">
        <v>25</v>
      </c>
      <c r="B63" s="1">
        <v>13</v>
      </c>
      <c r="C63" s="9">
        <v>263</v>
      </c>
      <c r="D63" s="10">
        <v>46191</v>
      </c>
      <c r="E63" s="9">
        <v>1</v>
      </c>
      <c r="F63" s="9" t="s">
        <v>44</v>
      </c>
      <c r="G63" s="9" t="s">
        <v>67</v>
      </c>
      <c r="H63" s="1">
        <v>14</v>
      </c>
      <c r="I63" s="9"/>
      <c r="J63" s="9" t="s">
        <v>68</v>
      </c>
      <c r="K63" s="9" t="s">
        <v>32</v>
      </c>
      <c r="L63" s="21">
        <v>34728</v>
      </c>
      <c r="M63" s="21">
        <f>Tabla13[[#This Row],[KM INICIO]]-28</f>
        <v>34700</v>
      </c>
      <c r="N63" s="18" t="s">
        <v>34</v>
      </c>
      <c r="O63" s="9"/>
      <c r="P63" s="9"/>
      <c r="Q63" s="35">
        <v>3350</v>
      </c>
      <c r="R63" s="35">
        <f>Tabla13[[#This Row],[PU]]*Tabla13[[#This Row],[VIAJES ]]</f>
        <v>3350</v>
      </c>
      <c r="S63" s="35">
        <f>Tabla13[[#This Row],[SUBTOTAL]]*16%</f>
        <v>536</v>
      </c>
      <c r="T63" s="35">
        <f>Tabla13[[#This Row],[SUBTOTAL]]+Tabla13[[#This Row],[IVA]]</f>
        <v>3886</v>
      </c>
    </row>
    <row r="64" spans="1:20" x14ac:dyDescent="0.25">
      <c r="A64" s="1">
        <v>25</v>
      </c>
      <c r="B64" s="1">
        <v>14</v>
      </c>
      <c r="C64" s="9">
        <v>264</v>
      </c>
      <c r="D64" s="10">
        <v>46191</v>
      </c>
      <c r="E64" s="9">
        <v>1</v>
      </c>
      <c r="F64" s="9" t="s">
        <v>44</v>
      </c>
      <c r="G64" s="9" t="s">
        <v>115</v>
      </c>
      <c r="H64" s="1">
        <v>14</v>
      </c>
      <c r="I64" s="9"/>
      <c r="J64" s="9" t="s">
        <v>71</v>
      </c>
      <c r="K64" s="9" t="s">
        <v>32</v>
      </c>
      <c r="L64" s="21">
        <v>34745</v>
      </c>
      <c r="M64" s="21">
        <f>Tabla13[[#This Row],[KM INICIO]]-45</f>
        <v>34700</v>
      </c>
      <c r="N64" s="18" t="s">
        <v>34</v>
      </c>
      <c r="O64" s="9"/>
      <c r="P64" s="9"/>
      <c r="Q64" s="35">
        <v>3350</v>
      </c>
      <c r="R64" s="35">
        <f>Tabla13[[#This Row],[PU]]*Tabla13[[#This Row],[VIAJES ]]</f>
        <v>3350</v>
      </c>
      <c r="S64" s="35">
        <f>Tabla13[[#This Row],[SUBTOTAL]]*16%</f>
        <v>536</v>
      </c>
      <c r="T64" s="35">
        <f>Tabla13[[#This Row],[SUBTOTAL]]+Tabla13[[#This Row],[IVA]]</f>
        <v>3886</v>
      </c>
    </row>
    <row r="65" spans="1:20" x14ac:dyDescent="0.25">
      <c r="A65" s="1">
        <v>25</v>
      </c>
      <c r="B65" s="20">
        <v>1</v>
      </c>
      <c r="C65" s="9" t="s">
        <v>73</v>
      </c>
      <c r="D65" s="10">
        <v>46191</v>
      </c>
      <c r="E65" s="9">
        <v>1</v>
      </c>
      <c r="F65" s="9" t="s">
        <v>74</v>
      </c>
      <c r="G65" s="9" t="s">
        <v>75</v>
      </c>
      <c r="H65" s="9">
        <v>10</v>
      </c>
      <c r="I65" s="9"/>
      <c r="J65" s="9" t="s">
        <v>78</v>
      </c>
      <c r="K65" s="9" t="s">
        <v>32</v>
      </c>
      <c r="L65" s="21">
        <v>0</v>
      </c>
      <c r="M65" s="21">
        <v>0</v>
      </c>
      <c r="N65" s="18" t="s">
        <v>34</v>
      </c>
      <c r="O65" s="9"/>
      <c r="P65" s="16" t="s">
        <v>121</v>
      </c>
      <c r="Q65" s="35">
        <v>4500</v>
      </c>
      <c r="R65" s="35">
        <f>Tabla13[[#This Row],[PU]]*Tabla13[[#This Row],[VIAJES ]]</f>
        <v>4500</v>
      </c>
      <c r="S65" s="35">
        <f>Tabla13[[#This Row],[SUBTOTAL]]*16%</f>
        <v>720</v>
      </c>
      <c r="T65" s="35">
        <f>Tabla13[[#This Row],[SUBTOTAL]]+Tabla13[[#This Row],[IVA]]</f>
        <v>5220</v>
      </c>
    </row>
    <row r="66" spans="1:20" x14ac:dyDescent="0.25">
      <c r="A66" s="1">
        <v>25</v>
      </c>
      <c r="B66" s="1">
        <v>1</v>
      </c>
      <c r="C66" s="9">
        <v>265</v>
      </c>
      <c r="D66" s="10">
        <v>46192</v>
      </c>
      <c r="E66" s="9">
        <v>1</v>
      </c>
      <c r="F66" s="9" t="s">
        <v>44</v>
      </c>
      <c r="G66" s="9" t="s">
        <v>62</v>
      </c>
      <c r="H66" s="1">
        <v>14</v>
      </c>
      <c r="I66" s="9"/>
      <c r="J66" s="9" t="s">
        <v>76</v>
      </c>
      <c r="K66" s="9" t="s">
        <v>32</v>
      </c>
      <c r="L66" s="21">
        <v>22985</v>
      </c>
      <c r="M66" s="21">
        <f>Tabla13[[#This Row],[KM INICIO]]+33</f>
        <v>23018</v>
      </c>
      <c r="N66" s="21" t="s">
        <v>112</v>
      </c>
      <c r="O66" s="9"/>
      <c r="P66" s="9"/>
      <c r="Q66" s="35">
        <v>3350</v>
      </c>
      <c r="R66" s="35">
        <f>Tabla13[[#This Row],[PU]]*Tabla13[[#This Row],[VIAJES ]]</f>
        <v>3350</v>
      </c>
      <c r="S66" s="35">
        <f>Tabla13[[#This Row],[SUBTOTAL]]*16%</f>
        <v>536</v>
      </c>
      <c r="T66" s="35">
        <f>Tabla13[[#This Row],[SUBTOTAL]]+Tabla13[[#This Row],[IVA]]</f>
        <v>3886</v>
      </c>
    </row>
    <row r="67" spans="1:20" x14ac:dyDescent="0.25">
      <c r="A67" s="1">
        <v>25</v>
      </c>
      <c r="B67" s="1">
        <v>2</v>
      </c>
      <c r="C67" s="9">
        <v>266</v>
      </c>
      <c r="D67" s="10">
        <f>D66</f>
        <v>46192</v>
      </c>
      <c r="E67" s="9">
        <v>1</v>
      </c>
      <c r="F67" s="9" t="s">
        <v>44</v>
      </c>
      <c r="G67" s="9" t="s">
        <v>98</v>
      </c>
      <c r="H67" s="1">
        <v>14</v>
      </c>
      <c r="I67" s="9"/>
      <c r="J67" s="9" t="s">
        <v>46</v>
      </c>
      <c r="K67" s="9" t="s">
        <v>32</v>
      </c>
      <c r="L67" s="21">
        <f>M66</f>
        <v>23018</v>
      </c>
      <c r="M67" s="21">
        <f>Tabla13[[#This Row],[KM INICIO]]+35</f>
        <v>23053</v>
      </c>
      <c r="N67" s="21" t="s">
        <v>112</v>
      </c>
      <c r="O67" s="9"/>
      <c r="P67" s="9"/>
      <c r="Q67" s="35">
        <v>3350</v>
      </c>
      <c r="R67" s="35">
        <f>Tabla13[[#This Row],[PU]]*Tabla13[[#This Row],[VIAJES ]]</f>
        <v>3350</v>
      </c>
      <c r="S67" s="35">
        <f>Tabla13[[#This Row],[SUBTOTAL]]*16%</f>
        <v>536</v>
      </c>
      <c r="T67" s="35">
        <f>Tabla13[[#This Row],[SUBTOTAL]]+Tabla13[[#This Row],[IVA]]</f>
        <v>3886</v>
      </c>
    </row>
    <row r="68" spans="1:20" x14ac:dyDescent="0.25">
      <c r="A68" s="1">
        <v>25</v>
      </c>
      <c r="B68" s="1">
        <v>3</v>
      </c>
      <c r="C68" s="9">
        <v>267</v>
      </c>
      <c r="D68" s="10">
        <f t="shared" ref="D68:D79" si="1">D67</f>
        <v>46192</v>
      </c>
      <c r="E68" s="9">
        <v>1</v>
      </c>
      <c r="F68" s="9" t="s">
        <v>44</v>
      </c>
      <c r="G68" s="9" t="s">
        <v>113</v>
      </c>
      <c r="H68" s="1">
        <v>14</v>
      </c>
      <c r="I68" s="9"/>
      <c r="J68" s="9" t="s">
        <v>114</v>
      </c>
      <c r="K68" s="9" t="s">
        <v>32</v>
      </c>
      <c r="L68" s="21">
        <f t="shared" ref="L68:L79" si="2">M67</f>
        <v>23053</v>
      </c>
      <c r="M68" s="21">
        <f>Tabla13[[#This Row],[KM INICIO]]+36</f>
        <v>23089</v>
      </c>
      <c r="N68" s="21" t="s">
        <v>112</v>
      </c>
      <c r="O68" s="9"/>
      <c r="P68" s="9"/>
      <c r="Q68" s="35">
        <v>3350</v>
      </c>
      <c r="R68" s="35">
        <f>Tabla13[[#This Row],[PU]]*Tabla13[[#This Row],[VIAJES ]]</f>
        <v>3350</v>
      </c>
      <c r="S68" s="35">
        <f>Tabla13[[#This Row],[SUBTOTAL]]*16%</f>
        <v>536</v>
      </c>
      <c r="T68" s="35">
        <f>Tabla13[[#This Row],[SUBTOTAL]]+Tabla13[[#This Row],[IVA]]</f>
        <v>3886</v>
      </c>
    </row>
    <row r="69" spans="1:20" x14ac:dyDescent="0.25">
      <c r="A69" s="1">
        <v>25</v>
      </c>
      <c r="B69" s="1">
        <v>4</v>
      </c>
      <c r="C69" s="9">
        <v>268</v>
      </c>
      <c r="D69" s="10">
        <f t="shared" si="1"/>
        <v>46192</v>
      </c>
      <c r="E69" s="9">
        <v>1</v>
      </c>
      <c r="F69" s="9" t="s">
        <v>44</v>
      </c>
      <c r="G69" s="9" t="s">
        <v>81</v>
      </c>
      <c r="H69" s="1">
        <v>14</v>
      </c>
      <c r="I69" s="9"/>
      <c r="J69" s="9" t="s">
        <v>53</v>
      </c>
      <c r="K69" s="9" t="s">
        <v>32</v>
      </c>
      <c r="L69" s="21">
        <f t="shared" si="2"/>
        <v>23089</v>
      </c>
      <c r="M69" s="21">
        <f>Tabla13[[#This Row],[KM INICIO]]+39</f>
        <v>23128</v>
      </c>
      <c r="N69" s="21" t="s">
        <v>112</v>
      </c>
      <c r="O69" s="9"/>
      <c r="P69" s="9"/>
      <c r="Q69" s="35">
        <v>3350</v>
      </c>
      <c r="R69" s="35">
        <f>Tabla13[[#This Row],[PU]]*Tabla13[[#This Row],[VIAJES ]]</f>
        <v>3350</v>
      </c>
      <c r="S69" s="35">
        <f>Tabla13[[#This Row],[SUBTOTAL]]*16%</f>
        <v>536</v>
      </c>
      <c r="T69" s="35">
        <f>Tabla13[[#This Row],[SUBTOTAL]]+Tabla13[[#This Row],[IVA]]</f>
        <v>3886</v>
      </c>
    </row>
    <row r="70" spans="1:20" x14ac:dyDescent="0.25">
      <c r="A70" s="1">
        <v>25</v>
      </c>
      <c r="B70" s="1">
        <v>5</v>
      </c>
      <c r="C70" s="9">
        <v>269</v>
      </c>
      <c r="D70" s="10">
        <f t="shared" si="1"/>
        <v>46192</v>
      </c>
      <c r="E70" s="9">
        <v>1</v>
      </c>
      <c r="F70" s="9" t="s">
        <v>44</v>
      </c>
      <c r="G70" s="9" t="s">
        <v>99</v>
      </c>
      <c r="H70" s="1">
        <v>14</v>
      </c>
      <c r="I70" s="9"/>
      <c r="J70" s="9" t="s">
        <v>100</v>
      </c>
      <c r="K70" s="9" t="s">
        <v>32</v>
      </c>
      <c r="L70" s="21">
        <f t="shared" si="2"/>
        <v>23128</v>
      </c>
      <c r="M70" s="21">
        <f>Tabla13[[#This Row],[KM INICIO]]+35</f>
        <v>23163</v>
      </c>
      <c r="N70" s="21" t="s">
        <v>112</v>
      </c>
      <c r="O70" s="9"/>
      <c r="P70" s="9"/>
      <c r="Q70" s="35">
        <v>3350</v>
      </c>
      <c r="R70" s="35">
        <f>Tabla13[[#This Row],[PU]]*Tabla13[[#This Row],[VIAJES ]]</f>
        <v>3350</v>
      </c>
      <c r="S70" s="35">
        <f>Tabla13[[#This Row],[SUBTOTAL]]*16%</f>
        <v>536</v>
      </c>
      <c r="T70" s="35">
        <f>Tabla13[[#This Row],[SUBTOTAL]]+Tabla13[[#This Row],[IVA]]</f>
        <v>3886</v>
      </c>
    </row>
    <row r="71" spans="1:20" x14ac:dyDescent="0.25">
      <c r="A71" s="1">
        <v>25</v>
      </c>
      <c r="B71" s="1">
        <v>6</v>
      </c>
      <c r="C71" s="9">
        <v>270</v>
      </c>
      <c r="D71" s="10">
        <f t="shared" si="1"/>
        <v>46192</v>
      </c>
      <c r="E71" s="9">
        <v>1</v>
      </c>
      <c r="F71" s="9" t="s">
        <v>44</v>
      </c>
      <c r="G71" s="9" t="s">
        <v>54</v>
      </c>
      <c r="H71" s="1">
        <v>14</v>
      </c>
      <c r="I71" s="9"/>
      <c r="J71" s="9" t="s">
        <v>55</v>
      </c>
      <c r="K71" s="9" t="s">
        <v>32</v>
      </c>
      <c r="L71" s="21">
        <f t="shared" si="2"/>
        <v>23163</v>
      </c>
      <c r="M71" s="21">
        <f>Tabla13[[#This Row],[KM INICIO]]+37</f>
        <v>23200</v>
      </c>
      <c r="N71" s="21" t="s">
        <v>112</v>
      </c>
      <c r="O71" s="9"/>
      <c r="P71" s="9"/>
      <c r="Q71" s="35">
        <v>3350</v>
      </c>
      <c r="R71" s="35">
        <f>Tabla13[[#This Row],[PU]]*Tabla13[[#This Row],[VIAJES ]]</f>
        <v>3350</v>
      </c>
      <c r="S71" s="35">
        <f>Tabla13[[#This Row],[SUBTOTAL]]*16%</f>
        <v>536</v>
      </c>
      <c r="T71" s="35">
        <f>Tabla13[[#This Row],[SUBTOTAL]]+Tabla13[[#This Row],[IVA]]</f>
        <v>3886</v>
      </c>
    </row>
    <row r="72" spans="1:20" x14ac:dyDescent="0.25">
      <c r="A72" s="1">
        <v>25</v>
      </c>
      <c r="B72" s="1">
        <v>7</v>
      </c>
      <c r="C72" s="9">
        <v>271</v>
      </c>
      <c r="D72" s="10">
        <f t="shared" si="1"/>
        <v>46192</v>
      </c>
      <c r="E72" s="9">
        <v>1</v>
      </c>
      <c r="F72" s="9" t="s">
        <v>44</v>
      </c>
      <c r="G72" s="9" t="s">
        <v>115</v>
      </c>
      <c r="H72" s="1">
        <v>14</v>
      </c>
      <c r="I72" s="9"/>
      <c r="J72" s="9" t="s">
        <v>71</v>
      </c>
      <c r="K72" s="9" t="s">
        <v>32</v>
      </c>
      <c r="L72" s="21">
        <f t="shared" si="2"/>
        <v>23200</v>
      </c>
      <c r="M72" s="21">
        <f>Tabla13[[#This Row],[KM INICIO]]+39</f>
        <v>23239</v>
      </c>
      <c r="N72" s="21" t="s">
        <v>112</v>
      </c>
      <c r="O72" s="9"/>
      <c r="P72" s="9"/>
      <c r="Q72" s="35">
        <v>3350</v>
      </c>
      <c r="R72" s="35">
        <f>Tabla13[[#This Row],[PU]]*Tabla13[[#This Row],[VIAJES ]]</f>
        <v>3350</v>
      </c>
      <c r="S72" s="35">
        <f>Tabla13[[#This Row],[SUBTOTAL]]*16%</f>
        <v>536</v>
      </c>
      <c r="T72" s="35">
        <f>Tabla13[[#This Row],[SUBTOTAL]]+Tabla13[[#This Row],[IVA]]</f>
        <v>3886</v>
      </c>
    </row>
    <row r="73" spans="1:20" x14ac:dyDescent="0.25">
      <c r="A73" s="1">
        <v>25</v>
      </c>
      <c r="B73" s="1">
        <v>8</v>
      </c>
      <c r="C73" s="9">
        <v>272</v>
      </c>
      <c r="D73" s="10">
        <f t="shared" si="1"/>
        <v>46192</v>
      </c>
      <c r="E73" s="9">
        <v>1</v>
      </c>
      <c r="F73" s="9" t="s">
        <v>44</v>
      </c>
      <c r="G73" s="9" t="s">
        <v>116</v>
      </c>
      <c r="H73" s="1">
        <v>14</v>
      </c>
      <c r="I73" s="9"/>
      <c r="J73" s="9" t="s">
        <v>117</v>
      </c>
      <c r="K73" s="9" t="s">
        <v>32</v>
      </c>
      <c r="L73" s="21">
        <f t="shared" si="2"/>
        <v>23239</v>
      </c>
      <c r="M73" s="21">
        <f>Tabla13[[#This Row],[KM INICIO]]+32</f>
        <v>23271</v>
      </c>
      <c r="N73" s="21" t="s">
        <v>112</v>
      </c>
      <c r="O73" s="9"/>
      <c r="P73" s="9"/>
      <c r="Q73" s="35">
        <v>3350</v>
      </c>
      <c r="R73" s="35">
        <f>Tabla13[[#This Row],[PU]]*Tabla13[[#This Row],[VIAJES ]]</f>
        <v>3350</v>
      </c>
      <c r="S73" s="35">
        <f>Tabla13[[#This Row],[SUBTOTAL]]*16%</f>
        <v>536</v>
      </c>
      <c r="T73" s="35">
        <f>Tabla13[[#This Row],[SUBTOTAL]]+Tabla13[[#This Row],[IVA]]</f>
        <v>3886</v>
      </c>
    </row>
    <row r="74" spans="1:20" x14ac:dyDescent="0.25">
      <c r="A74" s="1">
        <v>25</v>
      </c>
      <c r="B74" s="1">
        <v>9</v>
      </c>
      <c r="C74" s="9">
        <v>273</v>
      </c>
      <c r="D74" s="10">
        <f t="shared" si="1"/>
        <v>46192</v>
      </c>
      <c r="E74" s="9">
        <v>1</v>
      </c>
      <c r="F74" s="9" t="s">
        <v>44</v>
      </c>
      <c r="G74" s="9" t="s">
        <v>65</v>
      </c>
      <c r="H74" s="1">
        <v>14</v>
      </c>
      <c r="I74" s="9"/>
      <c r="J74" s="9" t="s">
        <v>66</v>
      </c>
      <c r="K74" s="9" t="s">
        <v>32</v>
      </c>
      <c r="L74" s="21">
        <f t="shared" si="2"/>
        <v>23271</v>
      </c>
      <c r="M74" s="21">
        <f>Tabla13[[#This Row],[KM INICIO]]+37</f>
        <v>23308</v>
      </c>
      <c r="N74" s="21" t="s">
        <v>112</v>
      </c>
      <c r="O74" s="9"/>
      <c r="P74" s="9"/>
      <c r="Q74" s="35">
        <v>3350</v>
      </c>
      <c r="R74" s="35">
        <f>Tabla13[[#This Row],[PU]]*Tabla13[[#This Row],[VIAJES ]]</f>
        <v>3350</v>
      </c>
      <c r="S74" s="35">
        <f>Tabla13[[#This Row],[SUBTOTAL]]*16%</f>
        <v>536</v>
      </c>
      <c r="T74" s="35">
        <f>Tabla13[[#This Row],[SUBTOTAL]]+Tabla13[[#This Row],[IVA]]</f>
        <v>3886</v>
      </c>
    </row>
    <row r="75" spans="1:20" x14ac:dyDescent="0.25">
      <c r="A75" s="1">
        <v>25</v>
      </c>
      <c r="B75" s="1">
        <v>10</v>
      </c>
      <c r="C75" s="9">
        <v>274</v>
      </c>
      <c r="D75" s="10">
        <f t="shared" si="1"/>
        <v>46192</v>
      </c>
      <c r="E75" s="9">
        <v>1</v>
      </c>
      <c r="F75" s="9" t="s">
        <v>44</v>
      </c>
      <c r="G75" s="9" t="s">
        <v>118</v>
      </c>
      <c r="H75" s="1">
        <v>14</v>
      </c>
      <c r="I75" s="9"/>
      <c r="J75" s="9" t="s">
        <v>91</v>
      </c>
      <c r="K75" s="9" t="s">
        <v>32</v>
      </c>
      <c r="L75" s="21">
        <f t="shared" si="2"/>
        <v>23308</v>
      </c>
      <c r="M75" s="21">
        <f>Tabla13[[#This Row],[KM INICIO]]+34</f>
        <v>23342</v>
      </c>
      <c r="N75" s="21" t="s">
        <v>112</v>
      </c>
      <c r="O75" s="9"/>
      <c r="P75" s="9"/>
      <c r="Q75" s="35">
        <v>3350</v>
      </c>
      <c r="R75" s="35">
        <f>Tabla13[[#This Row],[PU]]*Tabla13[[#This Row],[VIAJES ]]</f>
        <v>3350</v>
      </c>
      <c r="S75" s="35">
        <f>Tabla13[[#This Row],[SUBTOTAL]]*16%</f>
        <v>536</v>
      </c>
      <c r="T75" s="35">
        <f>Tabla13[[#This Row],[SUBTOTAL]]+Tabla13[[#This Row],[IVA]]</f>
        <v>3886</v>
      </c>
    </row>
    <row r="76" spans="1:20" x14ac:dyDescent="0.25">
      <c r="A76" s="1">
        <v>25</v>
      </c>
      <c r="B76" s="1">
        <v>11</v>
      </c>
      <c r="C76" s="9">
        <v>275</v>
      </c>
      <c r="D76" s="10">
        <f t="shared" si="1"/>
        <v>46192</v>
      </c>
      <c r="E76" s="9">
        <v>1</v>
      </c>
      <c r="F76" s="9" t="s">
        <v>44</v>
      </c>
      <c r="G76" s="9" t="s">
        <v>119</v>
      </c>
      <c r="H76" s="1">
        <v>14</v>
      </c>
      <c r="I76" s="9"/>
      <c r="J76" s="9" t="s">
        <v>93</v>
      </c>
      <c r="K76" s="9" t="s">
        <v>32</v>
      </c>
      <c r="L76" s="21">
        <f t="shared" si="2"/>
        <v>23342</v>
      </c>
      <c r="M76" s="21">
        <f>Tabla13[[#This Row],[KM INICIO]]+36</f>
        <v>23378</v>
      </c>
      <c r="N76" s="21" t="s">
        <v>112</v>
      </c>
      <c r="O76" s="9"/>
      <c r="P76" s="9"/>
      <c r="Q76" s="35">
        <v>3350</v>
      </c>
      <c r="R76" s="35">
        <f>Tabla13[[#This Row],[PU]]*Tabla13[[#This Row],[VIAJES ]]</f>
        <v>3350</v>
      </c>
      <c r="S76" s="35">
        <f>Tabla13[[#This Row],[SUBTOTAL]]*16%</f>
        <v>536</v>
      </c>
      <c r="T76" s="35">
        <f>Tabla13[[#This Row],[SUBTOTAL]]+Tabla13[[#This Row],[IVA]]</f>
        <v>3886</v>
      </c>
    </row>
    <row r="77" spans="1:20" x14ac:dyDescent="0.25">
      <c r="A77" s="1">
        <v>25</v>
      </c>
      <c r="B77" s="1">
        <v>12</v>
      </c>
      <c r="C77" s="9">
        <v>276</v>
      </c>
      <c r="D77" s="10">
        <f t="shared" si="1"/>
        <v>46192</v>
      </c>
      <c r="E77" s="9">
        <v>1</v>
      </c>
      <c r="F77" s="9" t="s">
        <v>44</v>
      </c>
      <c r="G77" s="9" t="s">
        <v>120</v>
      </c>
      <c r="H77" s="1">
        <v>14</v>
      </c>
      <c r="I77" s="9"/>
      <c r="J77" s="9" t="s">
        <v>70</v>
      </c>
      <c r="K77" s="9" t="s">
        <v>32</v>
      </c>
      <c r="L77" s="21">
        <f t="shared" si="2"/>
        <v>23378</v>
      </c>
      <c r="M77" s="21">
        <f>Tabla13[[#This Row],[KM INICIO]]+33</f>
        <v>23411</v>
      </c>
      <c r="N77" s="21" t="s">
        <v>112</v>
      </c>
      <c r="O77" s="9"/>
      <c r="P77" s="9"/>
      <c r="Q77" s="35">
        <v>3350</v>
      </c>
      <c r="R77" s="35">
        <f>Tabla13[[#This Row],[PU]]*Tabla13[[#This Row],[VIAJES ]]</f>
        <v>3350</v>
      </c>
      <c r="S77" s="35">
        <f>Tabla13[[#This Row],[SUBTOTAL]]*16%</f>
        <v>536</v>
      </c>
      <c r="T77" s="35">
        <f>Tabla13[[#This Row],[SUBTOTAL]]+Tabla13[[#This Row],[IVA]]</f>
        <v>3886</v>
      </c>
    </row>
    <row r="78" spans="1:20" x14ac:dyDescent="0.25">
      <c r="A78" s="1">
        <v>25</v>
      </c>
      <c r="B78" s="1">
        <v>13</v>
      </c>
      <c r="C78" s="9">
        <v>277</v>
      </c>
      <c r="D78" s="10">
        <f t="shared" si="1"/>
        <v>46192</v>
      </c>
      <c r="E78" s="9">
        <v>1</v>
      </c>
      <c r="F78" s="9" t="s">
        <v>44</v>
      </c>
      <c r="G78" s="9" t="s">
        <v>92</v>
      </c>
      <c r="H78" s="1">
        <v>14</v>
      </c>
      <c r="I78" s="9"/>
      <c r="J78" s="9" t="s">
        <v>64</v>
      </c>
      <c r="K78" s="9" t="s">
        <v>32</v>
      </c>
      <c r="L78" s="21">
        <f t="shared" si="2"/>
        <v>23411</v>
      </c>
      <c r="M78" s="21">
        <f>Tabla13[[#This Row],[KM INICIO]]+36</f>
        <v>23447</v>
      </c>
      <c r="N78" s="21" t="s">
        <v>112</v>
      </c>
      <c r="O78" s="9"/>
      <c r="P78" s="9"/>
      <c r="Q78" s="35">
        <v>3350</v>
      </c>
      <c r="R78" s="35">
        <f>Tabla13[[#This Row],[PU]]*Tabla13[[#This Row],[VIAJES ]]</f>
        <v>3350</v>
      </c>
      <c r="S78" s="35">
        <f>Tabla13[[#This Row],[SUBTOTAL]]*16%</f>
        <v>536</v>
      </c>
      <c r="T78" s="35">
        <f>Tabla13[[#This Row],[SUBTOTAL]]+Tabla13[[#This Row],[IVA]]</f>
        <v>3886</v>
      </c>
    </row>
    <row r="79" spans="1:20" x14ac:dyDescent="0.25">
      <c r="A79" s="1">
        <v>25</v>
      </c>
      <c r="B79" s="1">
        <v>14</v>
      </c>
      <c r="C79" s="9">
        <v>278</v>
      </c>
      <c r="D79" s="10">
        <f t="shared" si="1"/>
        <v>46192</v>
      </c>
      <c r="E79" s="9">
        <v>1</v>
      </c>
      <c r="F79" s="9" t="s">
        <v>44</v>
      </c>
      <c r="G79" s="9" t="s">
        <v>67</v>
      </c>
      <c r="H79" s="1">
        <v>14</v>
      </c>
      <c r="I79" s="9"/>
      <c r="J79" s="9" t="s">
        <v>68</v>
      </c>
      <c r="K79" s="9" t="s">
        <v>32</v>
      </c>
      <c r="L79" s="21">
        <f t="shared" si="2"/>
        <v>23447</v>
      </c>
      <c r="M79" s="21">
        <f>Tabla13[[#This Row],[KM INICIO]]+38</f>
        <v>23485</v>
      </c>
      <c r="N79" s="21" t="s">
        <v>112</v>
      </c>
      <c r="O79" s="9"/>
      <c r="P79" s="9"/>
      <c r="Q79" s="35">
        <v>3350</v>
      </c>
      <c r="R79" s="35">
        <f>Tabla13[[#This Row],[PU]]*Tabla13[[#This Row],[VIAJES ]]</f>
        <v>3350</v>
      </c>
      <c r="S79" s="35">
        <f>Tabla13[[#This Row],[SUBTOTAL]]*16%</f>
        <v>536</v>
      </c>
      <c r="T79" s="35">
        <f>Tabla13[[#This Row],[SUBTOTAL]]+Tabla13[[#This Row],[IVA]]</f>
        <v>3886</v>
      </c>
    </row>
    <row r="80" spans="1:20" x14ac:dyDescent="0.25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35"/>
      <c r="R80" s="35">
        <f>Tabla13[[#This Row],[PU]]*Tabla13[[#This Row],[VIAJES ]]</f>
        <v>0</v>
      </c>
      <c r="S80" s="35">
        <f>Tabla13[[#This Row],[SUBTOTAL]]*16%</f>
        <v>0</v>
      </c>
      <c r="T80" s="35">
        <f>Tabla13[[#This Row],[SUBTOTAL]]+Tabla13[[#This Row],[IVA]]</f>
        <v>0</v>
      </c>
    </row>
    <row r="81" spans="1:20" x14ac:dyDescent="0.25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35"/>
      <c r="R81" s="35">
        <f>Tabla13[[#This Row],[PU]]*Tabla13[[#This Row],[VIAJES ]]</f>
        <v>0</v>
      </c>
      <c r="S81" s="35">
        <f>Tabla13[[#This Row],[SUBTOTAL]]*16%</f>
        <v>0</v>
      </c>
      <c r="T81" s="35">
        <f>Tabla13[[#This Row],[SUBTOTAL]]+Tabla13[[#This Row],[IVA]]</f>
        <v>0</v>
      </c>
    </row>
    <row r="82" spans="1:20" s="6" customFormat="1" ht="21" x14ac:dyDescent="0.35">
      <c r="A82" s="5" t="s">
        <v>14</v>
      </c>
      <c r="B82" s="5"/>
      <c r="C82" s="11"/>
      <c r="D82" s="11"/>
      <c r="E82" s="11">
        <f>SUBTOTAL(109,Tabla13[[VIAJES ]])</f>
        <v>73</v>
      </c>
      <c r="F82" s="11"/>
      <c r="G82" s="11"/>
      <c r="H82" s="11">
        <f>SUBTOTAL(109,Tabla13[CAPACIDAD (M3) ])</f>
        <v>1006</v>
      </c>
      <c r="I82" s="11"/>
      <c r="J82" s="11"/>
      <c r="K82" s="11"/>
      <c r="L82" s="11"/>
      <c r="M82" s="11"/>
      <c r="N82" s="11"/>
      <c r="O82" s="11"/>
      <c r="P82" s="11"/>
      <c r="Q82" s="36"/>
      <c r="R82" s="33"/>
      <c r="S82" s="33"/>
      <c r="T82" s="33">
        <f>SUBTOTAL(109,Tabla13[[TOTAL ]])</f>
        <v>289014</v>
      </c>
    </row>
    <row r="83" spans="1:20" x14ac:dyDescent="0.25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20" x14ac:dyDescent="0.25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20" x14ac:dyDescent="0.25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20" x14ac:dyDescent="0.25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20" x14ac:dyDescent="0.25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20" x14ac:dyDescent="0.25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20" x14ac:dyDescent="0.25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20" x14ac:dyDescent="0.25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20" x14ac:dyDescent="0.25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20" x14ac:dyDescent="0.25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20" x14ac:dyDescent="0.25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20" x14ac:dyDescent="0.25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20" x14ac:dyDescent="0.25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1:20" x14ac:dyDescent="0.25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3:16" x14ac:dyDescent="0.25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3:16" x14ac:dyDescent="0.25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3:16" x14ac:dyDescent="0.25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3:16" x14ac:dyDescent="0.25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3:16" x14ac:dyDescent="0.25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3:16" x14ac:dyDescent="0.25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3:16" x14ac:dyDescent="0.25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3:16" x14ac:dyDescent="0.25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3:16" x14ac:dyDescent="0.2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3:16" x14ac:dyDescent="0.25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3:16" x14ac:dyDescent="0.25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3:16" x14ac:dyDescent="0.2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3:16" x14ac:dyDescent="0.25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3:16" x14ac:dyDescent="0.25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3:16" x14ac:dyDescent="0.2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3:16" x14ac:dyDescent="0.25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3:16" x14ac:dyDescent="0.25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3:16" x14ac:dyDescent="0.2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3:16" x14ac:dyDescent="0.25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3:16" x14ac:dyDescent="0.25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3:16" x14ac:dyDescent="0.25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3:16" x14ac:dyDescent="0.25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3:16" x14ac:dyDescent="0.25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3:16" x14ac:dyDescent="0.25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3:16" x14ac:dyDescent="0.25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3:16" x14ac:dyDescent="0.25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3:16" x14ac:dyDescent="0.25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3:16" x14ac:dyDescent="0.25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3:16" x14ac:dyDescent="0.25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3:16" x14ac:dyDescent="0.25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3:16" x14ac:dyDescent="0.25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3:16" x14ac:dyDescent="0.25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3:16" x14ac:dyDescent="0.25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3:16" x14ac:dyDescent="0.25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3:16" x14ac:dyDescent="0.25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3:16" x14ac:dyDescent="0.25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3:16" x14ac:dyDescent="0.25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3:16" x14ac:dyDescent="0.25">
      <c r="C134" s="9">
        <v>1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3:16" x14ac:dyDescent="0.25">
      <c r="C135" s="9">
        <v>1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</sheetData>
  <pageMargins left="0.70866141732283472" right="0.70866141732283472" top="0.74803149606299213" bottom="0.74803149606299213" header="0.31496062992125984" footer="0.31496062992125984"/>
  <pageSetup scale="48" orientation="landscape" verticalDpi="300" r:id="rId1"/>
  <ignoredErrors>
    <ignoredError sqref="M22 M27:M33 M43 M53 M67 M70:M71 M73:M74 M77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FRESADO</vt:lpstr>
      <vt:lpstr>CARPETA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2026-06-10T16:31:09Z</cp:lastPrinted>
  <dcterms:created xsi:type="dcterms:W3CDTF">2026-06-10T16:07:36Z</dcterms:created>
  <dcterms:modified xsi:type="dcterms:W3CDTF">2026-06-24T15:51:37Z</dcterms:modified>
</cp:coreProperties>
</file>