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0F156A8-5F89-4871-850A-E4602DA6E0F3}" xr6:coauthVersionLast="47" xr6:coauthVersionMax="47" xr10:uidLastSave="{00000000-0000-0000-0000-000000000000}"/>
  <bookViews>
    <workbookView xWindow="-120" yWindow="-120" windowWidth="20730" windowHeight="11040" activeTab="2" xr2:uid="{38B013A0-6897-4BE0-9F47-32B7F9997D52}"/>
  </bookViews>
  <sheets>
    <sheet name="1" sheetId="1" r:id="rId1"/>
    <sheet name="2" sheetId="2" r:id="rId2"/>
    <sheet name="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3" l="1"/>
  <c r="E63" i="3"/>
  <c r="H62" i="2"/>
  <c r="E62" i="2"/>
  <c r="F62" i="1"/>
  <c r="I62" i="1"/>
</calcChain>
</file>

<file path=xl/sharedStrings.xml><?xml version="1.0" encoding="utf-8"?>
<sst xmlns="http://schemas.openxmlformats.org/spreadsheetml/2006/main" count="63" uniqueCount="30">
  <si>
    <t>NO</t>
  </si>
  <si>
    <t xml:space="preserve">OBRA: </t>
  </si>
  <si>
    <t xml:space="preserve">FOLIO </t>
  </si>
  <si>
    <t>FECHA</t>
  </si>
  <si>
    <t>PLACAS</t>
  </si>
  <si>
    <t>CAPACIDAD</t>
  </si>
  <si>
    <t>OPERADOR</t>
  </si>
  <si>
    <t>OBSERVACIONES</t>
  </si>
  <si>
    <t>SINDICATO</t>
  </si>
  <si>
    <t xml:space="preserve">MATERIAL: </t>
  </si>
  <si>
    <t xml:space="preserve">MATERIAL </t>
  </si>
  <si>
    <t>SEMANA:</t>
  </si>
  <si>
    <t xml:space="preserve">VIAJES </t>
  </si>
  <si>
    <t xml:space="preserve">UNIDAD </t>
  </si>
  <si>
    <t>TOTAL</t>
  </si>
  <si>
    <t xml:space="preserve">AGUA </t>
  </si>
  <si>
    <t>MEZCLA</t>
  </si>
  <si>
    <t xml:space="preserve">FRESADO </t>
  </si>
  <si>
    <t>KM INICIA</t>
  </si>
  <si>
    <t>KM TERMINA</t>
  </si>
  <si>
    <t>CPO</t>
  </si>
  <si>
    <t>CARRIL</t>
  </si>
  <si>
    <t xml:space="preserve">CAPACIDAD (M3) </t>
  </si>
  <si>
    <t xml:space="preserve">PESO TOTAL (KG) </t>
  </si>
  <si>
    <t xml:space="preserve">SEM </t>
  </si>
  <si>
    <t>KM INICIO</t>
  </si>
  <si>
    <t>KM FINAL</t>
  </si>
  <si>
    <t>FOLIO 2</t>
  </si>
  <si>
    <t>******</t>
  </si>
  <si>
    <t>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</si>
</sst>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17C90-FB95-4296-A6C9-C79B7A18A200}" name="Tabla1" displayName="Tabla1" ref="A6:M62" totalsRowCount="1" headerRowDxfId="56" totalsRowDxfId="55">
  <autoFilter ref="A6:M61" xr:uid="{8D717C90-FB95-4296-A6C9-C79B7A18A200}"/>
  <tableColumns count="13">
    <tableColumn id="1" xr3:uid="{6D270597-FF16-4CE4-9600-51DD04DC15FB}" name="SEM " totalsRowLabel="TOTAL" dataDxfId="6" totalsRowDxfId="8"/>
    <tableColumn id="13" xr3:uid="{D28DCBF1-C32E-4245-BB6B-38A008A8F06B}" name="NO" dataDxfId="5" totalsRowDxfId="7"/>
    <tableColumn id="2" xr3:uid="{E41E7057-CCC6-4944-830C-1AD6ADFBC790}" name="FOLIO " totalsRowDxfId="54"/>
    <tableColumn id="12" xr3:uid="{0AF312A0-D99A-4BD3-BFC8-1471BF5A7EBD}" name="FOLIO 2" totalsRowDxfId="9"/>
    <tableColumn id="3" xr3:uid="{9B8A2897-34FF-4984-8687-BD5236F398A8}" name="FECHA" totalsRowDxfId="53"/>
    <tableColumn id="10" xr3:uid="{21D1C27A-C0F9-4F2D-8BEC-192378879A6D}" name="VIAJES " totalsRowFunction="sum" totalsRowDxfId="52"/>
    <tableColumn id="4" xr3:uid="{A12AB81B-6ADF-4187-8170-BE08C3385F07}" name="MATERIAL " totalsRowDxfId="51"/>
    <tableColumn id="5" xr3:uid="{55F16C6F-7023-498E-9158-6E6B405D9377}" name="PLACAS" totalsRowDxfId="50"/>
    <tableColumn id="6" xr3:uid="{08DC5065-A60F-4824-A3B7-6196D1E78B44}" name="CAPACIDAD" totalsRowFunction="sum" totalsRowDxfId="49"/>
    <tableColumn id="11" xr3:uid="{ED7E8587-0B3E-4498-8F43-700ED22E0143}" name="UNIDAD " totalsRowDxfId="48"/>
    <tableColumn id="7" xr3:uid="{9233DDFC-EA9D-4008-87D2-7523999DD79E}" name="OPERADOR" totalsRowDxfId="47"/>
    <tableColumn id="8" xr3:uid="{34E5F55E-4425-405A-A9EB-A5C4C947CE65}" name="SINDICATO" totalsRowDxfId="46"/>
    <tableColumn id="9" xr3:uid="{29CF6F56-8103-439F-9D0B-D4F8C082A19D}" name="OBSERVACIONES" totalsRowDxfId="45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27EBC-6E34-47EA-A5D1-F03F28A197B4}" name="Tabla13" displayName="Tabla13" ref="A6:P62" totalsRowCount="1" headerRowDxfId="44" totalsRowDxfId="43">
  <autoFilter ref="A6:P61" xr:uid="{8D717C90-FB95-4296-A6C9-C79B7A18A200}"/>
  <tableColumns count="16">
    <tableColumn id="1" xr3:uid="{DBDDDE87-3136-41BB-BF2C-19141E7900E5}" name="SEM " totalsRowLabel="TOTAL" dataDxfId="42" totalsRowDxfId="1"/>
    <tableColumn id="13" xr3:uid="{FF2DBDA8-D9D1-440C-8052-490C0FAEFD04}" name="NO" dataDxfId="41" totalsRowDxfId="0"/>
    <tableColumn id="2" xr3:uid="{173D1978-9F3A-4300-BEB6-0A47D0AD4515}" name="FOLIO " totalsRowDxfId="40"/>
    <tableColumn id="3" xr3:uid="{967F54B0-9546-45F7-8B88-7A985CB17E2C}" name="FECHA" totalsRowDxfId="39"/>
    <tableColumn id="10" xr3:uid="{59ED56B1-A4CB-4E5A-BC9B-096EC1A34E87}" name="VIAJES " totalsRowFunction="sum" totalsRowDxfId="38"/>
    <tableColumn id="4" xr3:uid="{1A34ABD1-F24C-4950-845E-93ADDD32354A}" name="MATERIAL " totalsRowDxfId="37"/>
    <tableColumn id="5" xr3:uid="{6BFD7B16-4B05-46FA-8DFB-11DDF6836665}" name="PLACAS" totalsRowDxfId="36"/>
    <tableColumn id="6" xr3:uid="{47A23ED3-893B-4ACB-ADAE-653A5B4D9482}" name="CAPACIDAD (M3) " totalsRowFunction="sum" totalsRowDxfId="35"/>
    <tableColumn id="12" xr3:uid="{8D4BF9F9-D4F6-4546-A952-4AAA08105500}" name="PESO TOTAL (KG) " totalsRowDxfId="34"/>
    <tableColumn id="7" xr3:uid="{5BD4FFA7-7053-44BE-927E-CB5FC555D15D}" name="OPERADOR" totalsRowDxfId="33"/>
    <tableColumn id="8" xr3:uid="{320C1973-DA64-4E94-8675-2E332E271B1B}" name="SINDICATO" totalsRowDxfId="32"/>
    <tableColumn id="14" xr3:uid="{F090B8BF-8FBF-45F1-9A05-92A347734BDD}" name="KM INICIO" totalsRowDxfId="31"/>
    <tableColumn id="11" xr3:uid="{8A8C90D6-C2B1-4151-A4E1-C48F09C5EA5C}" name="KM FINAL" totalsRowDxfId="30"/>
    <tableColumn id="16" xr3:uid="{CF0DA1C5-11A7-478F-819E-D9154DC71570}" name="CPO" totalsRowDxfId="29"/>
    <tableColumn id="15" xr3:uid="{57A912DF-B43C-46AF-A8F5-EB12476FEA53}" name="CARRIL" totalsRowDxfId="28"/>
    <tableColumn id="9" xr3:uid="{18E147B0-810A-4CE1-A0E3-21AD3320FC00}" name="OBSERVACIONES" totalsRowDxfId="2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92F9F-F71D-47F4-8052-EC02B1A4076C}" name="Tabla134" displayName="Tabla134" ref="A6:P63" totalsRowCount="1" headerRowDxfId="26" totalsRowDxfId="25">
  <autoFilter ref="A6:P62" xr:uid="{8D717C90-FB95-4296-A6C9-C79B7A18A200}"/>
  <tableColumns count="16">
    <tableColumn id="1" xr3:uid="{7A452428-A22C-49AB-BF8D-53941C4C7B7D}" name="SEM " totalsRowLabel="TOTAL" dataDxfId="24" totalsRowDxfId="4"/>
    <tableColumn id="16" xr3:uid="{07632DCE-86C9-4DAB-96B6-3D15BC4E34E9}" name="NO" dataDxfId="2" totalsRowDxfId="3"/>
    <tableColumn id="2" xr3:uid="{95752474-9822-4578-AAD3-E1E7BCF6C4BF}" name="FOLIO " totalsRowDxfId="23"/>
    <tableColumn id="3" xr3:uid="{D566B420-B7D2-4357-858E-9E3C7030BF50}" name="FECHA" totalsRowDxfId="22"/>
    <tableColumn id="10" xr3:uid="{887BBD80-3DD5-47F1-94DD-2C255F1A9AE8}" name="VIAJES " totalsRowFunction="sum" totalsRowDxfId="21"/>
    <tableColumn id="4" xr3:uid="{BA50F43A-9D3C-4614-97A8-230A95796ACA}" name="MATERIAL " totalsRowDxfId="20"/>
    <tableColumn id="5" xr3:uid="{711B0AC2-03FE-4ADB-900C-0B6BC8A971ED}" name="PLACAS" totalsRowDxfId="19"/>
    <tableColumn id="6" xr3:uid="{F3424566-E94A-44F1-B4E0-0FD8812538A7}" name="CAPACIDAD" totalsRowFunction="sum" totalsRowDxfId="18"/>
    <tableColumn id="11" xr3:uid="{9F174E4F-5017-496B-B188-E750CC00E47E}" name="UNIDAD " totalsRowDxfId="17"/>
    <tableColumn id="7" xr3:uid="{1BBCB745-943B-41CC-BA5F-2A5F663B7FC4}" name="OPERADOR" totalsRowDxfId="16"/>
    <tableColumn id="8" xr3:uid="{7C0DBDAB-0E2C-444E-803A-C15D9ADD9E44}" name="SINDICATO" totalsRowDxfId="15"/>
    <tableColumn id="15" xr3:uid="{601E3CAB-50E9-4BE2-959C-3CE7E941DE4E}" name="KM INICIA" totalsRowDxfId="14"/>
    <tableColumn id="14" xr3:uid="{D1D68F5A-A391-4FD5-ABE2-C819A5CC4C25}" name="KM TERMINA" totalsRowDxfId="13"/>
    <tableColumn id="13" xr3:uid="{14BCF14B-60BD-4360-BAB7-2EE5F361856C}" name="CPO" totalsRowDxfId="12"/>
    <tableColumn id="12" xr3:uid="{A17143CC-C69C-4B04-8620-ECD805E7797E}" name="CARRIL" totalsRowDxfId="11"/>
    <tableColumn id="9" xr3:uid="{923A1F37-5BD7-4C71-B9A3-24BD6217D0D6}" name="OBSERVACIONES" totalsRow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D141-2F1B-41BC-9670-5E972C91DE2F}">
  <dimension ref="A2:M115"/>
  <sheetViews>
    <sheetView view="pageBreakPreview" zoomScale="90" zoomScaleNormal="100" zoomScaleSheetLayoutView="90" workbookViewId="0">
      <selection activeCell="F3" sqref="F3"/>
    </sheetView>
  </sheetViews>
  <sheetFormatPr baseColWidth="10" defaultRowHeight="15" x14ac:dyDescent="0.25"/>
  <cols>
    <col min="1" max="2" width="9" style="1" customWidth="1"/>
    <col min="3" max="4" width="13" customWidth="1"/>
    <col min="5" max="5" width="11.5703125" customWidth="1"/>
    <col min="6" max="6" width="8.5703125" customWidth="1"/>
    <col min="7" max="7" width="14.7109375" customWidth="1"/>
    <col min="9" max="10" width="14" customWidth="1"/>
    <col min="11" max="11" width="13.42578125" customWidth="1"/>
    <col min="12" max="12" width="14.28515625" customWidth="1"/>
    <col min="13" max="13" width="28" customWidth="1"/>
  </cols>
  <sheetData>
    <row r="2" spans="1:13" ht="18.75" x14ac:dyDescent="0.3">
      <c r="C2" s="2" t="s">
        <v>1</v>
      </c>
      <c r="D2" s="8" t="s">
        <v>28</v>
      </c>
    </row>
    <row r="3" spans="1:13" x14ac:dyDescent="0.25">
      <c r="C3" s="2" t="s">
        <v>11</v>
      </c>
      <c r="D3" s="4">
        <v>25</v>
      </c>
    </row>
    <row r="4" spans="1:13" x14ac:dyDescent="0.25">
      <c r="C4" s="2" t="s">
        <v>9</v>
      </c>
      <c r="D4" s="4" t="s">
        <v>15</v>
      </c>
    </row>
    <row r="6" spans="1:13" s="7" customFormat="1" ht="29.25" customHeight="1" x14ac:dyDescent="0.25">
      <c r="A6" s="7" t="s">
        <v>24</v>
      </c>
      <c r="B6" s="7" t="s">
        <v>0</v>
      </c>
      <c r="C6" s="7" t="s">
        <v>2</v>
      </c>
      <c r="D6" s="7" t="s">
        <v>27</v>
      </c>
      <c r="E6" s="7" t="s">
        <v>3</v>
      </c>
      <c r="F6" s="7" t="s">
        <v>12</v>
      </c>
      <c r="G6" s="7" t="s">
        <v>10</v>
      </c>
      <c r="H6" s="7" t="s">
        <v>4</v>
      </c>
      <c r="I6" s="7" t="s">
        <v>5</v>
      </c>
      <c r="J6" s="7" t="s">
        <v>13</v>
      </c>
      <c r="K6" s="7" t="s">
        <v>6</v>
      </c>
      <c r="L6" s="7" t="s">
        <v>8</v>
      </c>
      <c r="M6" s="7" t="s">
        <v>7</v>
      </c>
    </row>
    <row r="7" spans="1:13" x14ac:dyDescent="0.25">
      <c r="A7" s="1">
        <v>25</v>
      </c>
    </row>
    <row r="8" spans="1:13" x14ac:dyDescent="0.25">
      <c r="A8" s="1">
        <v>25</v>
      </c>
    </row>
    <row r="9" spans="1:13" x14ac:dyDescent="0.25">
      <c r="A9" s="1">
        <v>25</v>
      </c>
    </row>
    <row r="10" spans="1:13" x14ac:dyDescent="0.25">
      <c r="A10" s="1">
        <v>25</v>
      </c>
    </row>
    <row r="11" spans="1:13" x14ac:dyDescent="0.25">
      <c r="A11" s="1">
        <v>25</v>
      </c>
    </row>
    <row r="12" spans="1:13" x14ac:dyDescent="0.25">
      <c r="A12" s="1">
        <v>25</v>
      </c>
    </row>
    <row r="13" spans="1:13" x14ac:dyDescent="0.25">
      <c r="A13" s="1">
        <v>25</v>
      </c>
    </row>
    <row r="14" spans="1:13" x14ac:dyDescent="0.25">
      <c r="A14" s="1">
        <v>25</v>
      </c>
    </row>
    <row r="15" spans="1:13" x14ac:dyDescent="0.25">
      <c r="A15" s="1">
        <v>25</v>
      </c>
    </row>
    <row r="16" spans="1:13" x14ac:dyDescent="0.25">
      <c r="A16" s="1">
        <v>25</v>
      </c>
    </row>
    <row r="17" spans="1:1" x14ac:dyDescent="0.25">
      <c r="A17" s="1">
        <v>25</v>
      </c>
    </row>
    <row r="18" spans="1:1" x14ac:dyDescent="0.25">
      <c r="A18" s="1">
        <v>25</v>
      </c>
    </row>
    <row r="19" spans="1:1" x14ac:dyDescent="0.25">
      <c r="A19" s="1">
        <v>25</v>
      </c>
    </row>
    <row r="20" spans="1:1" x14ac:dyDescent="0.25">
      <c r="A20" s="1">
        <v>25</v>
      </c>
    </row>
    <row r="21" spans="1:1" x14ac:dyDescent="0.25">
      <c r="A21" s="1">
        <v>25</v>
      </c>
    </row>
    <row r="22" spans="1:1" x14ac:dyDescent="0.25">
      <c r="A22" s="1">
        <v>25</v>
      </c>
    </row>
    <row r="23" spans="1:1" x14ac:dyDescent="0.25">
      <c r="A23" s="1">
        <v>25</v>
      </c>
    </row>
    <row r="24" spans="1:1" x14ac:dyDescent="0.25">
      <c r="A24" s="1">
        <v>25</v>
      </c>
    </row>
    <row r="25" spans="1:1" x14ac:dyDescent="0.25">
      <c r="A25" s="1">
        <v>25</v>
      </c>
    </row>
    <row r="26" spans="1:1" x14ac:dyDescent="0.25">
      <c r="A26" s="1">
        <v>25</v>
      </c>
    </row>
    <row r="27" spans="1:1" x14ac:dyDescent="0.25">
      <c r="A27" s="1">
        <v>25</v>
      </c>
    </row>
    <row r="28" spans="1:1" x14ac:dyDescent="0.25">
      <c r="A28" s="1">
        <v>25</v>
      </c>
    </row>
    <row r="29" spans="1:1" x14ac:dyDescent="0.25">
      <c r="A29" s="1">
        <v>25</v>
      </c>
    </row>
    <row r="30" spans="1:1" x14ac:dyDescent="0.25">
      <c r="A30" s="1">
        <v>25</v>
      </c>
    </row>
    <row r="31" spans="1:1" x14ac:dyDescent="0.25">
      <c r="A31" s="1">
        <v>25</v>
      </c>
    </row>
    <row r="32" spans="1:1" x14ac:dyDescent="0.25">
      <c r="A32" s="1">
        <v>25</v>
      </c>
    </row>
    <row r="33" spans="1:1" x14ac:dyDescent="0.25">
      <c r="A33" s="1">
        <v>25</v>
      </c>
    </row>
    <row r="34" spans="1:1" x14ac:dyDescent="0.25">
      <c r="A34" s="1">
        <v>25</v>
      </c>
    </row>
    <row r="35" spans="1:1" x14ac:dyDescent="0.25">
      <c r="A35" s="1">
        <v>25</v>
      </c>
    </row>
    <row r="36" spans="1:1" x14ac:dyDescent="0.25">
      <c r="A36" s="1">
        <v>25</v>
      </c>
    </row>
    <row r="37" spans="1:1" x14ac:dyDescent="0.25">
      <c r="A37" s="1">
        <v>25</v>
      </c>
    </row>
    <row r="38" spans="1:1" x14ac:dyDescent="0.25">
      <c r="A38" s="1">
        <v>25</v>
      </c>
    </row>
    <row r="39" spans="1:1" x14ac:dyDescent="0.25">
      <c r="A39" s="1">
        <v>25</v>
      </c>
    </row>
    <row r="40" spans="1:1" x14ac:dyDescent="0.25">
      <c r="A40" s="1">
        <v>25</v>
      </c>
    </row>
    <row r="41" spans="1:1" x14ac:dyDescent="0.25">
      <c r="A41" s="1">
        <v>25</v>
      </c>
    </row>
    <row r="42" spans="1:1" x14ac:dyDescent="0.25">
      <c r="A42" s="1">
        <v>25</v>
      </c>
    </row>
    <row r="43" spans="1:1" x14ac:dyDescent="0.25">
      <c r="A43" s="1">
        <v>25</v>
      </c>
    </row>
    <row r="44" spans="1:1" x14ac:dyDescent="0.25">
      <c r="A44" s="1">
        <v>25</v>
      </c>
    </row>
    <row r="45" spans="1:1" x14ac:dyDescent="0.25">
      <c r="A45" s="1">
        <v>25</v>
      </c>
    </row>
    <row r="46" spans="1:1" x14ac:dyDescent="0.25">
      <c r="A46" s="1">
        <v>25</v>
      </c>
    </row>
    <row r="47" spans="1:1" x14ac:dyDescent="0.25">
      <c r="A47" s="1">
        <v>25</v>
      </c>
    </row>
    <row r="48" spans="1:1" x14ac:dyDescent="0.25">
      <c r="A48" s="1">
        <v>25</v>
      </c>
    </row>
    <row r="49" spans="1:9" x14ac:dyDescent="0.25">
      <c r="A49" s="1">
        <v>25</v>
      </c>
    </row>
    <row r="50" spans="1:9" x14ac:dyDescent="0.25">
      <c r="A50" s="1">
        <v>25</v>
      </c>
    </row>
    <row r="51" spans="1:9" x14ac:dyDescent="0.25">
      <c r="A51" s="1">
        <v>25</v>
      </c>
    </row>
    <row r="52" spans="1:9" x14ac:dyDescent="0.25">
      <c r="A52" s="1">
        <v>25</v>
      </c>
    </row>
    <row r="53" spans="1:9" x14ac:dyDescent="0.25">
      <c r="A53" s="1">
        <v>25</v>
      </c>
    </row>
    <row r="54" spans="1:9" x14ac:dyDescent="0.25">
      <c r="A54" s="1">
        <v>25</v>
      </c>
    </row>
    <row r="55" spans="1:9" x14ac:dyDescent="0.25">
      <c r="A55" s="1">
        <v>25</v>
      </c>
    </row>
    <row r="56" spans="1:9" x14ac:dyDescent="0.25">
      <c r="A56" s="1">
        <v>25</v>
      </c>
    </row>
    <row r="57" spans="1:9" x14ac:dyDescent="0.25">
      <c r="A57" s="1">
        <v>25</v>
      </c>
    </row>
    <row r="58" spans="1:9" x14ac:dyDescent="0.25">
      <c r="A58" s="1">
        <v>25</v>
      </c>
    </row>
    <row r="59" spans="1:9" x14ac:dyDescent="0.25">
      <c r="A59" s="1">
        <v>25</v>
      </c>
    </row>
    <row r="60" spans="1:9" x14ac:dyDescent="0.25">
      <c r="A60" s="1">
        <v>25</v>
      </c>
    </row>
    <row r="61" spans="1:9" x14ac:dyDescent="0.25">
      <c r="A61" s="1">
        <v>25</v>
      </c>
    </row>
    <row r="62" spans="1:9" s="6" customFormat="1" ht="21" x14ac:dyDescent="0.35">
      <c r="A62" s="5" t="s">
        <v>14</v>
      </c>
      <c r="B62" s="5"/>
      <c r="F62" s="6">
        <f>SUBTOTAL(109,Tabla1[[VIAJES ]])</f>
        <v>0</v>
      </c>
      <c r="I62" s="6">
        <f>SUBTOTAL(109,Tabla1[CAPACIDAD])</f>
        <v>0</v>
      </c>
    </row>
    <row r="114" spans="3:3" x14ac:dyDescent="0.25">
      <c r="C114">
        <v>1</v>
      </c>
    </row>
    <row r="115" spans="3:3" x14ac:dyDescent="0.25">
      <c r="C115">
        <v>1</v>
      </c>
    </row>
  </sheetData>
  <pageMargins left="0.70866141732283472" right="0.70866141732283472" top="0.74803149606299213" bottom="0.74803149606299213" header="0.31496062992125984" footer="0.31496062992125984"/>
  <pageSetup scale="70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44EB-1DCE-4E64-BBC5-9E57C08EDA21}">
  <dimension ref="A2:P115"/>
  <sheetViews>
    <sheetView view="pageBreakPreview" zoomScaleNormal="100" zoomScaleSheetLayoutView="100" workbookViewId="0">
      <selection activeCell="F15" sqref="F15"/>
    </sheetView>
  </sheetViews>
  <sheetFormatPr baseColWidth="10" defaultRowHeight="15" x14ac:dyDescent="0.25"/>
  <cols>
    <col min="1" max="2" width="9" style="1" customWidth="1"/>
    <col min="3" max="3" width="9.85546875" customWidth="1"/>
    <col min="4" max="4" width="11.5703125" customWidth="1"/>
    <col min="5" max="5" width="7.7109375" customWidth="1"/>
    <col min="6" max="6" width="14.7109375" customWidth="1"/>
    <col min="8" max="8" width="18.5703125" customWidth="1"/>
    <col min="9" max="9" width="16.28515625" customWidth="1"/>
    <col min="10" max="10" width="20" customWidth="1"/>
    <col min="11" max="15" width="14.28515625" customWidth="1"/>
    <col min="16" max="16" width="28" customWidth="1"/>
  </cols>
  <sheetData>
    <row r="2" spans="1:16" ht="18.75" x14ac:dyDescent="0.3">
      <c r="C2" s="2" t="s">
        <v>1</v>
      </c>
      <c r="D2" s="8" t="s">
        <v>29</v>
      </c>
    </row>
    <row r="3" spans="1:16" x14ac:dyDescent="0.25">
      <c r="C3" s="2" t="s">
        <v>11</v>
      </c>
      <c r="D3" s="4">
        <v>25</v>
      </c>
    </row>
    <row r="4" spans="1:16" x14ac:dyDescent="0.25">
      <c r="C4" s="2" t="s">
        <v>9</v>
      </c>
      <c r="D4" s="3" t="s">
        <v>16</v>
      </c>
    </row>
    <row r="6" spans="1:16" s="7" customFormat="1" ht="29.25" customHeight="1" x14ac:dyDescent="0.25">
      <c r="A6" s="7" t="s">
        <v>24</v>
      </c>
      <c r="B6" s="7" t="s">
        <v>0</v>
      </c>
      <c r="C6" s="7" t="s">
        <v>2</v>
      </c>
      <c r="D6" s="7" t="s">
        <v>3</v>
      </c>
      <c r="E6" s="7" t="s">
        <v>12</v>
      </c>
      <c r="F6" s="7" t="s">
        <v>10</v>
      </c>
      <c r="G6" s="7" t="s">
        <v>4</v>
      </c>
      <c r="H6" s="7" t="s">
        <v>22</v>
      </c>
      <c r="I6" s="7" t="s">
        <v>23</v>
      </c>
      <c r="J6" s="7" t="s">
        <v>6</v>
      </c>
      <c r="K6" s="7" t="s">
        <v>8</v>
      </c>
      <c r="L6" s="7" t="s">
        <v>25</v>
      </c>
      <c r="M6" s="7" t="s">
        <v>26</v>
      </c>
      <c r="N6" s="7" t="s">
        <v>20</v>
      </c>
      <c r="O6" s="7" t="s">
        <v>21</v>
      </c>
      <c r="P6" s="7" t="s">
        <v>7</v>
      </c>
    </row>
    <row r="7" spans="1:16" x14ac:dyDescent="0.25">
      <c r="A7" s="1">
        <v>25</v>
      </c>
      <c r="D7" s="9"/>
    </row>
    <row r="8" spans="1:16" x14ac:dyDescent="0.25">
      <c r="A8" s="1">
        <v>25</v>
      </c>
      <c r="D8" s="9"/>
    </row>
    <row r="9" spans="1:16" x14ac:dyDescent="0.25">
      <c r="A9" s="1">
        <v>25</v>
      </c>
      <c r="D9" s="9"/>
    </row>
    <row r="10" spans="1:16" x14ac:dyDescent="0.25">
      <c r="A10" s="1">
        <v>25</v>
      </c>
      <c r="D10" s="9"/>
    </row>
    <row r="11" spans="1:16" x14ac:dyDescent="0.25">
      <c r="A11" s="1">
        <v>25</v>
      </c>
      <c r="D11" s="9"/>
    </row>
    <row r="12" spans="1:16" x14ac:dyDescent="0.25">
      <c r="A12" s="1">
        <v>25</v>
      </c>
      <c r="D12" s="9"/>
    </row>
    <row r="13" spans="1:16" x14ac:dyDescent="0.25">
      <c r="A13" s="1">
        <v>25</v>
      </c>
      <c r="D13" s="9"/>
    </row>
    <row r="14" spans="1:16" x14ac:dyDescent="0.25">
      <c r="A14" s="1">
        <v>25</v>
      </c>
      <c r="D14" s="9"/>
    </row>
    <row r="15" spans="1:16" x14ac:dyDescent="0.25">
      <c r="A15" s="1">
        <v>25</v>
      </c>
      <c r="D15" s="9"/>
    </row>
    <row r="16" spans="1:16" x14ac:dyDescent="0.25">
      <c r="A16" s="1">
        <v>25</v>
      </c>
      <c r="D16" s="9"/>
    </row>
    <row r="17" spans="1:4" x14ac:dyDescent="0.25">
      <c r="A17" s="1">
        <v>25</v>
      </c>
      <c r="D17" s="9"/>
    </row>
    <row r="18" spans="1:4" x14ac:dyDescent="0.25">
      <c r="A18" s="1">
        <v>25</v>
      </c>
      <c r="D18" s="9"/>
    </row>
    <row r="19" spans="1:4" x14ac:dyDescent="0.25">
      <c r="A19" s="1">
        <v>25</v>
      </c>
      <c r="D19" s="9"/>
    </row>
    <row r="20" spans="1:4" x14ac:dyDescent="0.25">
      <c r="A20" s="1">
        <v>25</v>
      </c>
      <c r="D20" s="9"/>
    </row>
    <row r="21" spans="1:4" x14ac:dyDescent="0.25">
      <c r="A21" s="1">
        <v>25</v>
      </c>
      <c r="D21" s="9"/>
    </row>
    <row r="22" spans="1:4" x14ac:dyDescent="0.25">
      <c r="A22" s="1">
        <v>25</v>
      </c>
    </row>
    <row r="23" spans="1:4" x14ac:dyDescent="0.25">
      <c r="A23" s="1">
        <v>25</v>
      </c>
    </row>
    <row r="24" spans="1:4" x14ac:dyDescent="0.25">
      <c r="A24" s="1">
        <v>25</v>
      </c>
    </row>
    <row r="25" spans="1:4" x14ac:dyDescent="0.25">
      <c r="A25" s="1">
        <v>25</v>
      </c>
    </row>
    <row r="26" spans="1:4" x14ac:dyDescent="0.25">
      <c r="A26" s="1">
        <v>25</v>
      </c>
    </row>
    <row r="27" spans="1:4" x14ac:dyDescent="0.25">
      <c r="A27" s="1">
        <v>25</v>
      </c>
    </row>
    <row r="28" spans="1:4" x14ac:dyDescent="0.25">
      <c r="A28" s="1">
        <v>25</v>
      </c>
    </row>
    <row r="29" spans="1:4" x14ac:dyDescent="0.25">
      <c r="A29" s="1">
        <v>25</v>
      </c>
    </row>
    <row r="30" spans="1:4" x14ac:dyDescent="0.25">
      <c r="A30" s="1">
        <v>25</v>
      </c>
    </row>
    <row r="31" spans="1:4" x14ac:dyDescent="0.25">
      <c r="A31" s="1">
        <v>25</v>
      </c>
    </row>
    <row r="32" spans="1:4" x14ac:dyDescent="0.25">
      <c r="A32" s="1">
        <v>25</v>
      </c>
    </row>
    <row r="33" spans="1:1" x14ac:dyDescent="0.25">
      <c r="A33" s="1">
        <v>25</v>
      </c>
    </row>
    <row r="34" spans="1:1" x14ac:dyDescent="0.25">
      <c r="A34" s="1">
        <v>25</v>
      </c>
    </row>
    <row r="35" spans="1:1" x14ac:dyDescent="0.25">
      <c r="A35" s="1">
        <v>25</v>
      </c>
    </row>
    <row r="36" spans="1:1" x14ac:dyDescent="0.25">
      <c r="A36" s="1">
        <v>25</v>
      </c>
    </row>
    <row r="37" spans="1:1" x14ac:dyDescent="0.25">
      <c r="A37" s="1">
        <v>25</v>
      </c>
    </row>
    <row r="38" spans="1:1" x14ac:dyDescent="0.25">
      <c r="A38" s="1">
        <v>25</v>
      </c>
    </row>
    <row r="39" spans="1:1" x14ac:dyDescent="0.25">
      <c r="A39" s="1">
        <v>25</v>
      </c>
    </row>
    <row r="40" spans="1:1" x14ac:dyDescent="0.25">
      <c r="A40" s="1">
        <v>25</v>
      </c>
    </row>
    <row r="41" spans="1:1" x14ac:dyDescent="0.25">
      <c r="A41" s="1">
        <v>25</v>
      </c>
    </row>
    <row r="42" spans="1:1" x14ac:dyDescent="0.25">
      <c r="A42" s="1">
        <v>25</v>
      </c>
    </row>
    <row r="43" spans="1:1" x14ac:dyDescent="0.25">
      <c r="A43" s="1">
        <v>25</v>
      </c>
    </row>
    <row r="44" spans="1:1" x14ac:dyDescent="0.25">
      <c r="A44" s="1">
        <v>25</v>
      </c>
    </row>
    <row r="45" spans="1:1" x14ac:dyDescent="0.25">
      <c r="A45" s="1">
        <v>25</v>
      </c>
    </row>
    <row r="46" spans="1:1" x14ac:dyDescent="0.25">
      <c r="A46" s="1">
        <v>25</v>
      </c>
    </row>
    <row r="47" spans="1:1" x14ac:dyDescent="0.25">
      <c r="A47" s="1">
        <v>25</v>
      </c>
    </row>
    <row r="48" spans="1:1" x14ac:dyDescent="0.25">
      <c r="A48" s="1">
        <v>25</v>
      </c>
    </row>
    <row r="49" spans="1:8" x14ac:dyDescent="0.25">
      <c r="A49" s="1">
        <v>25</v>
      </c>
    </row>
    <row r="50" spans="1:8" x14ac:dyDescent="0.25">
      <c r="A50" s="1">
        <v>25</v>
      </c>
    </row>
    <row r="51" spans="1:8" x14ac:dyDescent="0.25">
      <c r="A51" s="1">
        <v>25</v>
      </c>
    </row>
    <row r="52" spans="1:8" x14ac:dyDescent="0.25">
      <c r="A52" s="1">
        <v>25</v>
      </c>
    </row>
    <row r="53" spans="1:8" x14ac:dyDescent="0.25">
      <c r="A53" s="1">
        <v>25</v>
      </c>
    </row>
    <row r="54" spans="1:8" x14ac:dyDescent="0.25">
      <c r="A54" s="1">
        <v>25</v>
      </c>
    </row>
    <row r="55" spans="1:8" x14ac:dyDescent="0.25">
      <c r="A55" s="1">
        <v>25</v>
      </c>
    </row>
    <row r="56" spans="1:8" x14ac:dyDescent="0.25">
      <c r="A56" s="1">
        <v>25</v>
      </c>
    </row>
    <row r="57" spans="1:8" x14ac:dyDescent="0.25">
      <c r="A57" s="1">
        <v>25</v>
      </c>
    </row>
    <row r="58" spans="1:8" x14ac:dyDescent="0.25">
      <c r="A58" s="1">
        <v>52</v>
      </c>
    </row>
    <row r="59" spans="1:8" x14ac:dyDescent="0.25">
      <c r="A59" s="1">
        <v>53</v>
      </c>
    </row>
    <row r="60" spans="1:8" x14ac:dyDescent="0.25">
      <c r="A60" s="1">
        <v>54</v>
      </c>
    </row>
    <row r="61" spans="1:8" x14ac:dyDescent="0.25">
      <c r="A61" s="1">
        <v>55</v>
      </c>
    </row>
    <row r="62" spans="1:8" s="6" customFormat="1" ht="21" x14ac:dyDescent="0.35">
      <c r="A62" s="5" t="s">
        <v>14</v>
      </c>
      <c r="B62" s="5"/>
      <c r="E62" s="6">
        <f>SUBTOTAL(109,Tabla13[[VIAJES ]])</f>
        <v>0</v>
      </c>
      <c r="H62" s="6">
        <f>SUBTOTAL(109,Tabla13[CAPACIDAD (M3) ])</f>
        <v>0</v>
      </c>
    </row>
    <row r="114" spans="3:3" x14ac:dyDescent="0.25">
      <c r="C114">
        <v>1</v>
      </c>
    </row>
    <row r="115" spans="3:3" x14ac:dyDescent="0.25">
      <c r="C115">
        <v>1</v>
      </c>
    </row>
  </sheetData>
  <pageMargins left="0.70866141732283472" right="0.70866141732283472" top="0.74803149606299213" bottom="0.74803149606299213" header="0.31496062992125984" footer="0.31496062992125984"/>
  <pageSetup scale="51" orientation="landscape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C85E-7EA1-438B-B709-56AE9B4DEAB5}">
  <dimension ref="A2:P116"/>
  <sheetViews>
    <sheetView tabSelected="1" zoomScaleNormal="100" zoomScaleSheetLayoutView="120" workbookViewId="0">
      <selection activeCell="D14" sqref="D14"/>
    </sheetView>
  </sheetViews>
  <sheetFormatPr baseColWidth="10" defaultRowHeight="15" x14ac:dyDescent="0.25"/>
  <cols>
    <col min="1" max="2" width="9.140625" style="1" customWidth="1"/>
    <col min="3" max="3" width="10.7109375" customWidth="1"/>
    <col min="4" max="4" width="11.5703125" customWidth="1"/>
    <col min="5" max="5" width="6.85546875" customWidth="1"/>
    <col min="6" max="6" width="14.7109375" customWidth="1"/>
    <col min="8" max="8" width="13" customWidth="1"/>
    <col min="9" max="9" width="10.7109375" customWidth="1"/>
    <col min="10" max="10" width="24.42578125" customWidth="1"/>
    <col min="11" max="11" width="30" customWidth="1"/>
    <col min="12" max="13" width="14.28515625" customWidth="1"/>
    <col min="14" max="14" width="7.5703125" customWidth="1"/>
    <col min="15" max="15" width="11.140625" customWidth="1"/>
    <col min="16" max="16" width="28" customWidth="1"/>
  </cols>
  <sheetData>
    <row r="2" spans="1:16" ht="18.75" x14ac:dyDescent="0.3">
      <c r="C2" s="2" t="s">
        <v>1</v>
      </c>
      <c r="D2" s="8" t="s">
        <v>28</v>
      </c>
    </row>
    <row r="3" spans="1:16" x14ac:dyDescent="0.25">
      <c r="C3" s="2" t="s">
        <v>11</v>
      </c>
      <c r="D3" s="4">
        <v>25</v>
      </c>
    </row>
    <row r="4" spans="1:16" x14ac:dyDescent="0.25">
      <c r="C4" s="2" t="s">
        <v>9</v>
      </c>
      <c r="D4" s="4" t="s">
        <v>17</v>
      </c>
    </row>
    <row r="6" spans="1:16" s="7" customFormat="1" ht="29.25" customHeight="1" x14ac:dyDescent="0.25">
      <c r="A6" s="7" t="s">
        <v>24</v>
      </c>
      <c r="B6" s="7" t="s">
        <v>0</v>
      </c>
      <c r="C6" s="7" t="s">
        <v>2</v>
      </c>
      <c r="D6" s="7" t="s">
        <v>3</v>
      </c>
      <c r="E6" s="7" t="s">
        <v>12</v>
      </c>
      <c r="F6" s="7" t="s">
        <v>10</v>
      </c>
      <c r="G6" s="7" t="s">
        <v>4</v>
      </c>
      <c r="H6" s="7" t="s">
        <v>5</v>
      </c>
      <c r="I6" s="7" t="s">
        <v>13</v>
      </c>
      <c r="J6" s="7" t="s">
        <v>6</v>
      </c>
      <c r="K6" s="7" t="s">
        <v>8</v>
      </c>
      <c r="L6" s="7" t="s">
        <v>18</v>
      </c>
      <c r="M6" s="7" t="s">
        <v>19</v>
      </c>
      <c r="N6" s="7" t="s">
        <v>20</v>
      </c>
      <c r="O6" s="7" t="s">
        <v>21</v>
      </c>
      <c r="P6" s="7" t="s">
        <v>7</v>
      </c>
    </row>
    <row r="7" spans="1:16" x14ac:dyDescent="0.25">
      <c r="A7" s="1">
        <v>25</v>
      </c>
      <c r="D7" s="9"/>
    </row>
    <row r="8" spans="1:16" x14ac:dyDescent="0.25">
      <c r="A8" s="1">
        <v>25</v>
      </c>
      <c r="D8" s="9"/>
    </row>
    <row r="9" spans="1:16" x14ac:dyDescent="0.25">
      <c r="A9" s="1">
        <v>25</v>
      </c>
      <c r="D9" s="9"/>
    </row>
    <row r="10" spans="1:16" x14ac:dyDescent="0.25">
      <c r="A10" s="1">
        <v>25</v>
      </c>
      <c r="D10" s="9"/>
    </row>
    <row r="11" spans="1:16" x14ac:dyDescent="0.25">
      <c r="A11" s="1">
        <v>25</v>
      </c>
      <c r="D11" s="9"/>
    </row>
    <row r="12" spans="1:16" x14ac:dyDescent="0.25">
      <c r="A12" s="1">
        <v>25</v>
      </c>
      <c r="D12" s="9"/>
    </row>
    <row r="13" spans="1:16" x14ac:dyDescent="0.25">
      <c r="A13" s="1">
        <v>25</v>
      </c>
      <c r="D13" s="9"/>
    </row>
    <row r="14" spans="1:16" x14ac:dyDescent="0.25">
      <c r="A14" s="1">
        <v>25</v>
      </c>
      <c r="D14" s="9"/>
    </row>
    <row r="15" spans="1:16" x14ac:dyDescent="0.25">
      <c r="A15" s="1">
        <v>25</v>
      </c>
      <c r="D15" s="9"/>
    </row>
    <row r="16" spans="1:16" x14ac:dyDescent="0.25">
      <c r="A16" s="1">
        <v>25</v>
      </c>
      <c r="D16" s="9"/>
    </row>
    <row r="17" spans="1:4" x14ac:dyDescent="0.25">
      <c r="A17" s="1">
        <v>25</v>
      </c>
      <c r="D17" s="9"/>
    </row>
    <row r="18" spans="1:4" x14ac:dyDescent="0.25">
      <c r="A18" s="1">
        <v>25</v>
      </c>
      <c r="D18" s="9"/>
    </row>
    <row r="19" spans="1:4" x14ac:dyDescent="0.25">
      <c r="A19" s="1">
        <v>25</v>
      </c>
      <c r="D19" s="9"/>
    </row>
    <row r="20" spans="1:4" x14ac:dyDescent="0.25">
      <c r="A20" s="1">
        <v>25</v>
      </c>
      <c r="D20" s="9"/>
    </row>
    <row r="21" spans="1:4" x14ac:dyDescent="0.25">
      <c r="A21" s="1">
        <v>25</v>
      </c>
      <c r="D21" s="9"/>
    </row>
    <row r="22" spans="1:4" x14ac:dyDescent="0.25">
      <c r="A22" s="1">
        <v>25</v>
      </c>
      <c r="D22" s="9"/>
    </row>
    <row r="23" spans="1:4" x14ac:dyDescent="0.25">
      <c r="A23" s="1">
        <v>25</v>
      </c>
      <c r="D23" s="9"/>
    </row>
    <row r="24" spans="1:4" x14ac:dyDescent="0.25">
      <c r="A24" s="1">
        <v>25</v>
      </c>
      <c r="D24" s="9"/>
    </row>
    <row r="25" spans="1:4" x14ac:dyDescent="0.25">
      <c r="A25" s="1">
        <v>25</v>
      </c>
      <c r="D25" s="9"/>
    </row>
    <row r="26" spans="1:4" x14ac:dyDescent="0.25">
      <c r="A26" s="1">
        <v>25</v>
      </c>
    </row>
    <row r="27" spans="1:4" x14ac:dyDescent="0.25">
      <c r="A27" s="1">
        <v>25</v>
      </c>
    </row>
    <row r="28" spans="1:4" x14ac:dyDescent="0.25">
      <c r="A28" s="1">
        <v>25</v>
      </c>
    </row>
    <row r="29" spans="1:4" x14ac:dyDescent="0.25">
      <c r="A29" s="1">
        <v>25</v>
      </c>
    </row>
    <row r="30" spans="1:4" x14ac:dyDescent="0.25">
      <c r="A30" s="1">
        <v>25</v>
      </c>
    </row>
    <row r="31" spans="1:4" x14ac:dyDescent="0.25">
      <c r="A31" s="1">
        <v>25</v>
      </c>
    </row>
    <row r="32" spans="1:4" x14ac:dyDescent="0.25">
      <c r="A32" s="1">
        <v>25</v>
      </c>
    </row>
    <row r="33" spans="1:1" x14ac:dyDescent="0.25">
      <c r="A33" s="1">
        <v>25</v>
      </c>
    </row>
    <row r="34" spans="1:1" x14ac:dyDescent="0.25">
      <c r="A34" s="1">
        <v>25</v>
      </c>
    </row>
    <row r="35" spans="1:1" x14ac:dyDescent="0.25">
      <c r="A35" s="1">
        <v>25</v>
      </c>
    </row>
    <row r="36" spans="1:1" x14ac:dyDescent="0.25">
      <c r="A36" s="1">
        <v>25</v>
      </c>
    </row>
    <row r="37" spans="1:1" x14ac:dyDescent="0.25">
      <c r="A37" s="1">
        <v>25</v>
      </c>
    </row>
    <row r="38" spans="1:1" x14ac:dyDescent="0.25">
      <c r="A38" s="1">
        <v>25</v>
      </c>
    </row>
    <row r="39" spans="1:1" x14ac:dyDescent="0.25">
      <c r="A39" s="1">
        <v>25</v>
      </c>
    </row>
    <row r="40" spans="1:1" x14ac:dyDescent="0.25">
      <c r="A40" s="1">
        <v>25</v>
      </c>
    </row>
    <row r="41" spans="1:1" x14ac:dyDescent="0.25">
      <c r="A41" s="1">
        <v>25</v>
      </c>
    </row>
    <row r="42" spans="1:1" x14ac:dyDescent="0.25">
      <c r="A42" s="1">
        <v>25</v>
      </c>
    </row>
    <row r="43" spans="1:1" x14ac:dyDescent="0.25">
      <c r="A43" s="1">
        <v>25</v>
      </c>
    </row>
    <row r="44" spans="1:1" x14ac:dyDescent="0.25">
      <c r="A44" s="1">
        <v>25</v>
      </c>
    </row>
    <row r="45" spans="1:1" x14ac:dyDescent="0.25">
      <c r="A45" s="1">
        <v>25</v>
      </c>
    </row>
    <row r="46" spans="1:1" x14ac:dyDescent="0.25">
      <c r="A46" s="1">
        <v>25</v>
      </c>
    </row>
    <row r="47" spans="1:1" x14ac:dyDescent="0.25">
      <c r="A47" s="1">
        <v>25</v>
      </c>
    </row>
    <row r="48" spans="1:1" x14ac:dyDescent="0.25">
      <c r="A48" s="1">
        <v>25</v>
      </c>
    </row>
    <row r="49" spans="1:8" x14ac:dyDescent="0.25">
      <c r="A49" s="1">
        <v>25</v>
      </c>
    </row>
    <row r="50" spans="1:8" x14ac:dyDescent="0.25">
      <c r="A50" s="1">
        <v>25</v>
      </c>
    </row>
    <row r="51" spans="1:8" x14ac:dyDescent="0.25">
      <c r="A51" s="1">
        <v>25</v>
      </c>
    </row>
    <row r="52" spans="1:8" x14ac:dyDescent="0.25">
      <c r="A52" s="1">
        <v>25</v>
      </c>
    </row>
    <row r="53" spans="1:8" x14ac:dyDescent="0.25">
      <c r="A53" s="1">
        <v>25</v>
      </c>
    </row>
    <row r="54" spans="1:8" x14ac:dyDescent="0.25">
      <c r="A54" s="1">
        <v>25</v>
      </c>
    </row>
    <row r="55" spans="1:8" x14ac:dyDescent="0.25">
      <c r="A55" s="1">
        <v>25</v>
      </c>
    </row>
    <row r="56" spans="1:8" x14ac:dyDescent="0.25">
      <c r="A56" s="1">
        <v>25</v>
      </c>
    </row>
    <row r="57" spans="1:8" x14ac:dyDescent="0.25">
      <c r="A57" s="1">
        <v>25</v>
      </c>
    </row>
    <row r="58" spans="1:8" x14ac:dyDescent="0.25">
      <c r="A58" s="1">
        <v>25</v>
      </c>
    </row>
    <row r="59" spans="1:8" x14ac:dyDescent="0.25">
      <c r="A59" s="1">
        <v>25</v>
      </c>
    </row>
    <row r="60" spans="1:8" x14ac:dyDescent="0.25">
      <c r="A60" s="1">
        <v>25</v>
      </c>
    </row>
    <row r="61" spans="1:8" x14ac:dyDescent="0.25">
      <c r="A61" s="1">
        <v>25</v>
      </c>
    </row>
    <row r="62" spans="1:8" x14ac:dyDescent="0.25">
      <c r="A62" s="1">
        <v>25</v>
      </c>
    </row>
    <row r="63" spans="1:8" s="6" customFormat="1" ht="21" x14ac:dyDescent="0.35">
      <c r="A63" s="5" t="s">
        <v>14</v>
      </c>
      <c r="B63" s="5"/>
      <c r="E63" s="6">
        <f>SUBTOTAL(109,Tabla134[[VIAJES ]])</f>
        <v>0</v>
      </c>
      <c r="H63" s="6">
        <f>SUBTOTAL(109,Tabla134[CAPACIDAD])</f>
        <v>0</v>
      </c>
    </row>
    <row r="115" spans="3:3" x14ac:dyDescent="0.25">
      <c r="C115">
        <v>1</v>
      </c>
    </row>
    <row r="116" spans="3:3" x14ac:dyDescent="0.25">
      <c r="C116">
        <v>1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6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2026-06-10T16:31:09Z</cp:lastPrinted>
  <dcterms:created xsi:type="dcterms:W3CDTF">2026-06-10T16:07:36Z</dcterms:created>
  <dcterms:modified xsi:type="dcterms:W3CDTF">2026-06-15T15:28:05Z</dcterms:modified>
</cp:coreProperties>
</file>