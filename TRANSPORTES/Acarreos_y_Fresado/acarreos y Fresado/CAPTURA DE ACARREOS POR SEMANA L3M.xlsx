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ZCLA" sheetId="1" r:id="rId4"/>
    <sheet state="visible" name="FRESADO" sheetId="2" r:id="rId5"/>
  </sheets>
  <definedNames/>
  <calcPr/>
  <extLst>
    <ext uri="GoogleSheetsCustomDataVersion2">
      <go:sheetsCustomData xmlns:go="http://customooxmlschemas.google.com/" r:id="rId6" roundtripDataChecksum="4fXRt0zOFCeZWDJEBo8GI0GBfoh0wsUYxzPI2iD951k="/>
    </ext>
  </extLst>
</workbook>
</file>

<file path=xl/sharedStrings.xml><?xml version="1.0" encoding="utf-8"?>
<sst xmlns="http://schemas.openxmlformats.org/spreadsheetml/2006/main" count="700" uniqueCount="133">
  <si>
    <t xml:space="preserve">OBRA: </t>
  </si>
  <si>
    <t>AUTOPISTA LERMA-TRES MARIAS</t>
  </si>
  <si>
    <t>SEMANA:</t>
  </si>
  <si>
    <t xml:space="preserve">MATERIAL: </t>
  </si>
  <si>
    <t>MEZCLA</t>
  </si>
  <si>
    <t xml:space="preserve">SEM </t>
  </si>
  <si>
    <t>NO</t>
  </si>
  <si>
    <t xml:space="preserve">FOLIO </t>
  </si>
  <si>
    <t>FECHA</t>
  </si>
  <si>
    <t xml:space="preserve">VIAJES </t>
  </si>
  <si>
    <t xml:space="preserve">MATERIAL </t>
  </si>
  <si>
    <t>PLACAS</t>
  </si>
  <si>
    <t xml:space="preserve">CAPACIDAD (M3) </t>
  </si>
  <si>
    <t xml:space="preserve">PESO TOTAL (KG) </t>
  </si>
  <si>
    <t>OPERADOR</t>
  </si>
  <si>
    <t>SINDICATO</t>
  </si>
  <si>
    <t>KM INICIO</t>
  </si>
  <si>
    <t>KM FINAL</t>
  </si>
  <si>
    <t>KM ACARREO POR VIAJE</t>
  </si>
  <si>
    <t>OBSERVACIONES</t>
  </si>
  <si>
    <t>PU</t>
  </si>
  <si>
    <t>SUBTOTAL</t>
  </si>
  <si>
    <t>IVA</t>
  </si>
  <si>
    <t xml:space="preserve">TOTAL </t>
  </si>
  <si>
    <t>PROTOCOLO AMAAC III</t>
  </si>
  <si>
    <t>HG5343F</t>
  </si>
  <si>
    <t>JOSE MARIA</t>
  </si>
  <si>
    <t>EMULSIONES Y ASFALTOS JORGE</t>
  </si>
  <si>
    <t>6+290</t>
  </si>
  <si>
    <t>6+442</t>
  </si>
  <si>
    <t>HC1924G</t>
  </si>
  <si>
    <t>HECTOR PIÑA</t>
  </si>
  <si>
    <t>NG9783D</t>
  </si>
  <si>
    <t>MANUEL DE LA CRUZ</t>
  </si>
  <si>
    <t>464AJ2</t>
  </si>
  <si>
    <t>CARLOS VALDES</t>
  </si>
  <si>
    <t>HA6315A</t>
  </si>
  <si>
    <t>JUAN CARLOS ARIAS</t>
  </si>
  <si>
    <t>511AN4</t>
  </si>
  <si>
    <t>ADAN LOPEZ</t>
  </si>
  <si>
    <t>52BM3K</t>
  </si>
  <si>
    <t>MAURICIO HERNANDEZ</t>
  </si>
  <si>
    <t>48BA2X</t>
  </si>
  <si>
    <t>SAUL SANCHEZ</t>
  </si>
  <si>
    <t>6+550</t>
  </si>
  <si>
    <t>6+585</t>
  </si>
  <si>
    <t>6+756</t>
  </si>
  <si>
    <t>6+771</t>
  </si>
  <si>
    <t>30BD4K</t>
  </si>
  <si>
    <t>FABIAN ALANIS</t>
  </si>
  <si>
    <t>6+880</t>
  </si>
  <si>
    <t>7+001</t>
  </si>
  <si>
    <t>7+111</t>
  </si>
  <si>
    <t>7+085</t>
  </si>
  <si>
    <t>7+055</t>
  </si>
  <si>
    <t>HF4385-G</t>
  </si>
  <si>
    <t>FERNANDO MARTINEZ</t>
  </si>
  <si>
    <t>7+025</t>
  </si>
  <si>
    <t>6+995</t>
  </si>
  <si>
    <t>6+965</t>
  </si>
  <si>
    <t>6+935</t>
  </si>
  <si>
    <t>6+694</t>
  </si>
  <si>
    <t>6+747</t>
  </si>
  <si>
    <t>6+732</t>
  </si>
  <si>
    <t>87-A2-GY</t>
  </si>
  <si>
    <t>MARTIN MALVAEZ</t>
  </si>
  <si>
    <t>6+662</t>
  </si>
  <si>
    <t>6+630</t>
  </si>
  <si>
    <t>6+633</t>
  </si>
  <si>
    <t>6+520</t>
  </si>
  <si>
    <t>6+490</t>
  </si>
  <si>
    <t>6+980</t>
  </si>
  <si>
    <t>6+450</t>
  </si>
  <si>
    <t>6+440</t>
  </si>
  <si>
    <t>6+406</t>
  </si>
  <si>
    <t>6+410</t>
  </si>
  <si>
    <t>6+330</t>
  </si>
  <si>
    <t>6+370</t>
  </si>
  <si>
    <t>6+350</t>
  </si>
  <si>
    <t>11+144</t>
  </si>
  <si>
    <t>11+180</t>
  </si>
  <si>
    <t>11+210</t>
  </si>
  <si>
    <t>11+250</t>
  </si>
  <si>
    <t>11+294</t>
  </si>
  <si>
    <t>TOTAL</t>
  </si>
  <si>
    <t>LERMA-TRES MARIAS</t>
  </si>
  <si>
    <t xml:space="preserve">FRESADO </t>
  </si>
  <si>
    <t>CAPACIDAD</t>
  </si>
  <si>
    <t xml:space="preserve">UNIDAD </t>
  </si>
  <si>
    <t>KM INICIA</t>
  </si>
  <si>
    <t>KM TERMINA</t>
  </si>
  <si>
    <t xml:space="preserve">TIRO </t>
  </si>
  <si>
    <t>CPO</t>
  </si>
  <si>
    <t>CARRIL</t>
  </si>
  <si>
    <t>FRESADO</t>
  </si>
  <si>
    <t>HB-9873-H</t>
  </si>
  <si>
    <r>
      <rPr>
        <rFont val="Aptos Narrow"/>
        <color theme="1"/>
        <sz val="11.0"/>
      </rPr>
      <t>M</t>
    </r>
    <r>
      <rPr>
        <rFont val="Aptos Narrow"/>
        <color theme="1"/>
        <sz val="11.0"/>
      </rPr>
      <t>³</t>
    </r>
  </si>
  <si>
    <t>CIRILO GARCIA</t>
  </si>
  <si>
    <t xml:space="preserve">PUNTO ASIGNADO POR EL CLIENTE </t>
  </si>
  <si>
    <t>UNICO</t>
  </si>
  <si>
    <t>HG-2412-G</t>
  </si>
  <si>
    <t>M³</t>
  </si>
  <si>
    <t>ALEXANDER MALVAEZ</t>
  </si>
  <si>
    <t>NT-2814-C</t>
  </si>
  <si>
    <t>GIOVANI CONTRERAS</t>
  </si>
  <si>
    <t>LIMPIEZA</t>
  </si>
  <si>
    <t>7-HV-8457</t>
  </si>
  <si>
    <t>ALEJANDRO LORENZO</t>
  </si>
  <si>
    <t>JDJ TRANSPORTES</t>
  </si>
  <si>
    <t>6+765</t>
  </si>
  <si>
    <t>6+650</t>
  </si>
  <si>
    <t>6+977</t>
  </si>
  <si>
    <t>6+947</t>
  </si>
  <si>
    <t>6+931</t>
  </si>
  <si>
    <t>6+906</t>
  </si>
  <si>
    <t>6+887</t>
  </si>
  <si>
    <t>6+874</t>
  </si>
  <si>
    <t>6+726</t>
  </si>
  <si>
    <t>6+714</t>
  </si>
  <si>
    <t>6+706</t>
  </si>
  <si>
    <t>6+685</t>
  </si>
  <si>
    <t>6+673</t>
  </si>
  <si>
    <t>6+645</t>
  </si>
  <si>
    <t>6+594</t>
  </si>
  <si>
    <t>6+449</t>
  </si>
  <si>
    <t>HB-4926-H</t>
  </si>
  <si>
    <t>6+420</t>
  </si>
  <si>
    <t>6+309</t>
  </si>
  <si>
    <t>6+369</t>
  </si>
  <si>
    <t>6+332</t>
  </si>
  <si>
    <t>HF-4385-G</t>
  </si>
  <si>
    <t>6+322</t>
  </si>
  <si>
    <t>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</si>
</sst>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10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4.0"/>
      <color theme="1"/>
      <name val="Aptos Narrow"/>
    </font>
    <font>
      <b/>
      <sz val="12.0"/>
      <color rgb="FFFFFFFF"/>
      <name val="Aptos Narrow"/>
    </font>
    <font>
      <b/>
      <sz val="12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sz val="16.0"/>
      <color theme="1"/>
      <name val="Aptos Narrow"/>
    </font>
    <font>
      <sz val="16.0"/>
      <color rgb="FF00000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Font="1" applyNumberFormat="1"/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Border="1" applyFont="1"/>
    <xf borderId="1" fillId="2" fontId="1" numFmtId="14" xfId="0" applyBorder="1" applyFont="1" applyNumberFormat="1"/>
    <xf borderId="0" fillId="0" fontId="6" numFmtId="164" xfId="0" applyAlignment="1" applyFont="1" applyNumberFormat="1">
      <alignment readingOrder="0"/>
    </xf>
    <xf borderId="0" fillId="0" fontId="1" numFmtId="164" xfId="0" applyFont="1" applyNumberFormat="1"/>
    <xf borderId="1" fillId="3" fontId="1" numFmtId="0" xfId="0" applyAlignment="1" applyBorder="1" applyFill="1" applyFont="1">
      <alignment horizontal="center" vertical="center"/>
    </xf>
    <xf borderId="1" fillId="3" fontId="1" numFmtId="0" xfId="0" applyBorder="1" applyFont="1"/>
    <xf borderId="1" fillId="3" fontId="1" numFmtId="14" xfId="0" applyBorder="1" applyFont="1" applyNumberFormat="1"/>
    <xf borderId="1" fillId="4" fontId="1" numFmtId="0" xfId="0" applyAlignment="1" applyBorder="1" applyFill="1" applyFont="1">
      <alignment horizontal="center" vertical="center"/>
    </xf>
    <xf borderId="1" fillId="4" fontId="1" numFmtId="0" xfId="0" applyBorder="1" applyFont="1"/>
    <xf borderId="1" fillId="4" fontId="1" numFmtId="14" xfId="0" applyBorder="1" applyFont="1" applyNumberFormat="1"/>
    <xf borderId="1" fillId="5" fontId="1" numFmtId="0" xfId="0" applyAlignment="1" applyBorder="1" applyFill="1" applyFont="1">
      <alignment horizontal="center" vertical="center"/>
    </xf>
    <xf borderId="1" fillId="5" fontId="1" numFmtId="0" xfId="0" applyBorder="1" applyFont="1"/>
    <xf borderId="1" fillId="5" fontId="1" numFmtId="14" xfId="0" applyBorder="1" applyFont="1" applyNumberFormat="1"/>
    <xf borderId="0" fillId="0" fontId="7" numFmtId="0" xfId="0" applyFont="1"/>
    <xf borderId="0" fillId="0" fontId="1" numFmtId="14" xfId="0" applyFont="1" applyNumberFormat="1"/>
    <xf borderId="0" fillId="0" fontId="8" numFmtId="0" xfId="0" applyAlignment="1" applyFont="1">
      <alignment horizontal="center" vertical="center"/>
    </xf>
    <xf borderId="0" fillId="0" fontId="8" numFmtId="0" xfId="0" applyFont="1"/>
    <xf borderId="0" fillId="0" fontId="9" numFmtId="164" xfId="0" applyFont="1" applyNumberFormat="1"/>
    <xf borderId="0" fillId="0" fontId="8" numFmtId="0" xfId="0" applyFont="1"/>
    <xf borderId="0" fillId="0" fontId="7" numFmtId="0" xfId="0" applyFont="1"/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2">
    <tableStyle count="4" pivot="0" name="MEZCLA-style">
      <tableStyleElement dxfId="1" type="headerRow"/>
      <tableStyleElement dxfId="2" type="firstRowStripe"/>
      <tableStyleElement dxfId="2" type="secondRowStripe"/>
      <tableStyleElement dxfId="2" type="totalRow"/>
    </tableStyle>
    <tableStyle count="4" pivot="0" name="FRESADO-style">
      <tableStyleElement dxfId="3" type="headerRow"/>
      <tableStyleElement dxfId="2" type="firstRowStripe"/>
      <tableStyleElement dxfId="2" type="secondRowStripe"/>
      <tableStyleElement dxfId="2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6:S62" displayName="Table_1" name="Table_1" id="1">
  <tableColumns count="19">
    <tableColumn totalsRowLabel="TOTAL" name="SEM " id="1"/>
    <tableColumn name="NO" id="2"/>
    <tableColumn name="FOLIO " id="3"/>
    <tableColumn name="FECHA" id="4"/>
    <tableColumn totalsRowFunction="custom" name="VIAJES " id="5"/>
    <tableColumn name="MATERIAL " id="6"/>
    <tableColumn name="PLACAS" id="7"/>
    <tableColumn totalsRowFunction="custom" name="CAPACIDAD (M3) " id="8"/>
    <tableColumn name="PESO TOTAL (KG) " id="9"/>
    <tableColumn name="OPERADOR" id="10"/>
    <tableColumn name="SINDICATO" id="11"/>
    <tableColumn name="KM INICIO" id="12"/>
    <tableColumn name="KM FINAL" id="13"/>
    <tableColumn name="KM ACARREO POR VIAJE" id="14"/>
    <tableColumn name="OBSERVACIONES" id="15"/>
    <tableColumn name="PU" id="16"/>
    <tableColumn totalsRowFunction="custom" name="SUBTOTAL" id="17"/>
    <tableColumn totalsRowFunction="custom" name="IVA" id="18"/>
    <tableColumn totalsRowFunction="custom" name="TOTAL " id="19"/>
  </tableColumns>
  <tableStyleInfo name="MEZCLA-style" showColumnStripes="0" showFirstColumn="1" showLastColumn="1" showRowStripes="1"/>
</table>
</file>

<file path=xl/tables/table2.xml><?xml version="1.0" encoding="utf-8"?>
<table xmlns="http://schemas.openxmlformats.org/spreadsheetml/2006/main" totalsRowCount="1" ref="A6:U63" displayName="Table_2" name="Table_2" id="2">
  <tableColumns count="21">
    <tableColumn totalsRowLabel="TOTAL" name="SEM " id="1"/>
    <tableColumn name="NO" id="2"/>
    <tableColumn name="FOLIO " id="3"/>
    <tableColumn name="FECHA" id="4"/>
    <tableColumn totalsRowFunction="custom" name="VIAJES " id="5"/>
    <tableColumn name="MATERIAL " id="6"/>
    <tableColumn name="PLACAS" id="7"/>
    <tableColumn totalsRowFunction="custom" name="CAPACIDAD" id="8"/>
    <tableColumn name="UNIDAD " id="9"/>
    <tableColumn name="OPERADOR" id="10"/>
    <tableColumn name="SINDICATO" id="11"/>
    <tableColumn name="KM INICIA" id="12"/>
    <tableColumn name="KM TERMINA" id="13"/>
    <tableColumn name="TIRO " id="14"/>
    <tableColumn name="CPO" id="15"/>
    <tableColumn name="CARRIL" id="16"/>
    <tableColumn name="OBSERVACIONES" id="17"/>
    <tableColumn name="PU" id="18"/>
    <tableColumn name="SUBTOTAL" id="19"/>
    <tableColumn name="IVA" id="20"/>
    <tableColumn name="TOTAL " id="21"/>
  </tableColumns>
  <tableStyleInfo name="FRES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5.13"/>
    <col customWidth="1" min="3" max="3" width="5.63"/>
    <col customWidth="1" min="4" max="4" width="11.63"/>
    <col customWidth="1" min="5" max="5" width="7.75"/>
    <col customWidth="1" min="6" max="6" width="19.75"/>
    <col customWidth="1" min="7" max="7" width="10.63"/>
    <col customWidth="1" min="8" max="8" width="18.63"/>
    <col customWidth="1" min="9" max="9" width="16.25"/>
    <col customWidth="1" min="10" max="10" width="20.0"/>
    <col customWidth="1" min="11" max="11" width="27.75"/>
    <col customWidth="1" min="12" max="12" width="8.25"/>
    <col customWidth="1" min="13" max="13" width="9.25"/>
    <col customWidth="1" min="14" max="14" width="27.63"/>
    <col customWidth="1" min="15" max="15" width="28.0"/>
    <col customWidth="1" min="16" max="16" width="11.38"/>
    <col customWidth="1" min="17" max="17" width="19.0"/>
    <col customWidth="1" min="18" max="18" width="17.38"/>
    <col customWidth="1" min="19" max="19" width="19.0"/>
    <col customWidth="1" min="20" max="26" width="10.63"/>
  </cols>
  <sheetData>
    <row r="1">
      <c r="A1" s="1"/>
      <c r="B1" s="1"/>
      <c r="P1" s="2"/>
      <c r="Q1" s="2"/>
      <c r="R1" s="2"/>
      <c r="S1" s="2"/>
    </row>
    <row r="2">
      <c r="A2" s="1"/>
      <c r="B2" s="1"/>
      <c r="C2" s="3" t="s">
        <v>0</v>
      </c>
      <c r="D2" s="4" t="s">
        <v>1</v>
      </c>
      <c r="P2" s="2"/>
      <c r="Q2" s="2"/>
      <c r="R2" s="2"/>
      <c r="S2" s="2"/>
    </row>
    <row r="3">
      <c r="A3" s="1"/>
      <c r="B3" s="1"/>
      <c r="C3" s="3" t="s">
        <v>2</v>
      </c>
      <c r="D3" s="5">
        <v>25.0</v>
      </c>
      <c r="P3" s="2"/>
      <c r="Q3" s="2"/>
      <c r="R3" s="2"/>
      <c r="S3" s="2"/>
    </row>
    <row r="4">
      <c r="A4" s="1"/>
      <c r="B4" s="1"/>
      <c r="C4" s="3" t="s">
        <v>3</v>
      </c>
      <c r="D4" s="6" t="s">
        <v>4</v>
      </c>
      <c r="P4" s="2"/>
      <c r="Q4" s="2"/>
      <c r="R4" s="2"/>
      <c r="S4" s="2"/>
    </row>
    <row r="5">
      <c r="A5" s="1"/>
      <c r="B5" s="1"/>
      <c r="P5" s="2"/>
      <c r="Q5" s="2"/>
      <c r="R5" s="2"/>
      <c r="S5" s="2"/>
    </row>
    <row r="6" ht="29.25" customHeight="1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9"/>
      <c r="U6" s="9"/>
      <c r="V6" s="9"/>
      <c r="W6" s="9"/>
      <c r="X6" s="9"/>
      <c r="Y6" s="9"/>
      <c r="Z6" s="9"/>
    </row>
    <row r="7">
      <c r="A7" s="10">
        <v>25.0</v>
      </c>
      <c r="B7" s="11">
        <v>1.0</v>
      </c>
      <c r="C7" s="12">
        <v>83.0</v>
      </c>
      <c r="D7" s="13">
        <v>46188.0</v>
      </c>
      <c r="E7" s="12">
        <v>1.0</v>
      </c>
      <c r="F7" s="12" t="s">
        <v>24</v>
      </c>
      <c r="G7" s="12" t="s">
        <v>25</v>
      </c>
      <c r="H7" s="12">
        <v>14.0</v>
      </c>
      <c r="I7" s="12">
        <v>24270.0</v>
      </c>
      <c r="J7" s="12" t="s">
        <v>26</v>
      </c>
      <c r="K7" s="12" t="s">
        <v>27</v>
      </c>
      <c r="L7" s="12" t="s">
        <v>28</v>
      </c>
      <c r="M7" s="12" t="s">
        <v>29</v>
      </c>
      <c r="N7" s="12">
        <v>28.0</v>
      </c>
      <c r="O7" s="12"/>
      <c r="P7" s="14">
        <v>6280.0</v>
      </c>
      <c r="Q7" s="15">
        <f>MEZCLA!$P7*MEZCLA!$E7</f>
        <v>6280</v>
      </c>
      <c r="R7" s="15">
        <f>MEZCLA!$Q7*16%</f>
        <v>1004.8</v>
      </c>
      <c r="S7" s="15">
        <f>MEZCLA!$Q7+MEZCLA!$R7</f>
        <v>7284.8</v>
      </c>
    </row>
    <row r="8">
      <c r="A8" s="10">
        <v>25.0</v>
      </c>
      <c r="B8" s="11">
        <v>2.0</v>
      </c>
      <c r="C8" s="12">
        <v>84.0</v>
      </c>
      <c r="D8" s="13">
        <v>46188.0</v>
      </c>
      <c r="E8" s="12">
        <v>1.0</v>
      </c>
      <c r="F8" s="12" t="s">
        <v>24</v>
      </c>
      <c r="G8" s="12" t="s">
        <v>30</v>
      </c>
      <c r="H8" s="12">
        <v>14.0</v>
      </c>
      <c r="I8" s="12">
        <v>25180.0</v>
      </c>
      <c r="J8" s="12" t="s">
        <v>31</v>
      </c>
      <c r="K8" s="12" t="s">
        <v>27</v>
      </c>
      <c r="L8" s="12" t="s">
        <v>28</v>
      </c>
      <c r="M8" s="12" t="s">
        <v>29</v>
      </c>
      <c r="N8" s="12">
        <v>28.0</v>
      </c>
      <c r="O8" s="12"/>
      <c r="P8" s="14">
        <v>6280.0</v>
      </c>
      <c r="Q8" s="15">
        <f>MEZCLA!$P8*MEZCLA!$E8</f>
        <v>6280</v>
      </c>
      <c r="R8" s="15">
        <f>MEZCLA!$Q8*16%</f>
        <v>1004.8</v>
      </c>
      <c r="S8" s="15">
        <f>MEZCLA!$Q8+MEZCLA!$R8</f>
        <v>7284.8</v>
      </c>
    </row>
    <row r="9">
      <c r="A9" s="10">
        <v>25.0</v>
      </c>
      <c r="B9" s="11">
        <v>3.0</v>
      </c>
      <c r="C9" s="12">
        <v>85.0</v>
      </c>
      <c r="D9" s="13">
        <v>46188.0</v>
      </c>
      <c r="E9" s="12">
        <v>1.0</v>
      </c>
      <c r="F9" s="12" t="s">
        <v>24</v>
      </c>
      <c r="G9" s="12" t="s">
        <v>32</v>
      </c>
      <c r="H9" s="12">
        <v>14.0</v>
      </c>
      <c r="I9" s="12">
        <v>25310.0</v>
      </c>
      <c r="J9" s="12" t="s">
        <v>33</v>
      </c>
      <c r="K9" s="12" t="s">
        <v>27</v>
      </c>
      <c r="L9" s="12" t="s">
        <v>28</v>
      </c>
      <c r="M9" s="12" t="s">
        <v>29</v>
      </c>
      <c r="N9" s="12">
        <v>28.0</v>
      </c>
      <c r="O9" s="12"/>
      <c r="P9" s="14">
        <v>6280.0</v>
      </c>
      <c r="Q9" s="15">
        <f>MEZCLA!$P9*MEZCLA!$E9</f>
        <v>6280</v>
      </c>
      <c r="R9" s="15">
        <f>MEZCLA!$Q9*16%</f>
        <v>1004.8</v>
      </c>
      <c r="S9" s="15">
        <f>MEZCLA!$Q9+MEZCLA!$R9</f>
        <v>7284.8</v>
      </c>
    </row>
    <row r="10">
      <c r="A10" s="10">
        <v>25.0</v>
      </c>
      <c r="B10" s="11">
        <v>4.0</v>
      </c>
      <c r="C10" s="12">
        <v>86.0</v>
      </c>
      <c r="D10" s="13">
        <v>46188.0</v>
      </c>
      <c r="E10" s="12">
        <v>1.0</v>
      </c>
      <c r="F10" s="12" t="s">
        <v>24</v>
      </c>
      <c r="G10" s="12" t="s">
        <v>34</v>
      </c>
      <c r="H10" s="12">
        <v>14.0</v>
      </c>
      <c r="I10" s="12">
        <v>24830.0</v>
      </c>
      <c r="J10" s="12" t="s">
        <v>35</v>
      </c>
      <c r="K10" s="12" t="s">
        <v>27</v>
      </c>
      <c r="L10" s="12" t="s">
        <v>28</v>
      </c>
      <c r="M10" s="12" t="s">
        <v>29</v>
      </c>
      <c r="N10" s="12">
        <v>28.0</v>
      </c>
      <c r="O10" s="12"/>
      <c r="P10" s="14">
        <v>6280.0</v>
      </c>
      <c r="Q10" s="15">
        <f>MEZCLA!$P10*MEZCLA!$E10</f>
        <v>6280</v>
      </c>
      <c r="R10" s="15">
        <f>MEZCLA!$Q10*16%</f>
        <v>1004.8</v>
      </c>
      <c r="S10" s="15">
        <f>MEZCLA!$Q10+MEZCLA!$R10</f>
        <v>7284.8</v>
      </c>
    </row>
    <row r="11">
      <c r="A11" s="10">
        <v>25.0</v>
      </c>
      <c r="B11" s="11">
        <v>5.0</v>
      </c>
      <c r="C11" s="12">
        <v>89.0</v>
      </c>
      <c r="D11" s="13">
        <v>46188.0</v>
      </c>
      <c r="E11" s="12">
        <v>1.0</v>
      </c>
      <c r="F11" s="12" t="s">
        <v>24</v>
      </c>
      <c r="G11" s="12" t="s">
        <v>36</v>
      </c>
      <c r="H11" s="12">
        <v>14.0</v>
      </c>
      <c r="I11" s="12">
        <v>20480.0</v>
      </c>
      <c r="J11" s="12" t="s">
        <v>37</v>
      </c>
      <c r="K11" s="12" t="s">
        <v>27</v>
      </c>
      <c r="L11" s="12" t="s">
        <v>28</v>
      </c>
      <c r="M11" s="12" t="s">
        <v>29</v>
      </c>
      <c r="N11" s="12">
        <v>22.0</v>
      </c>
      <c r="O11" s="12"/>
      <c r="P11" s="14">
        <v>6280.0</v>
      </c>
      <c r="Q11" s="15">
        <f>MEZCLA!$P11*MEZCLA!$E11</f>
        <v>6280</v>
      </c>
      <c r="R11" s="15">
        <f>MEZCLA!$Q11*16%</f>
        <v>1004.8</v>
      </c>
      <c r="S11" s="15">
        <f>MEZCLA!$Q11+MEZCLA!$R11</f>
        <v>7284.8</v>
      </c>
    </row>
    <row r="12">
      <c r="A12" s="10">
        <v>25.0</v>
      </c>
      <c r="B12" s="11">
        <v>6.0</v>
      </c>
      <c r="C12" s="12">
        <v>90.0</v>
      </c>
      <c r="D12" s="13">
        <v>46188.0</v>
      </c>
      <c r="E12" s="12">
        <v>1.0</v>
      </c>
      <c r="F12" s="12" t="s">
        <v>24</v>
      </c>
      <c r="G12" s="12" t="s">
        <v>38</v>
      </c>
      <c r="H12" s="12">
        <v>14.0</v>
      </c>
      <c r="I12" s="12">
        <v>25190.0</v>
      </c>
      <c r="J12" s="12" t="s">
        <v>39</v>
      </c>
      <c r="K12" s="12" t="s">
        <v>27</v>
      </c>
      <c r="L12" s="12" t="s">
        <v>28</v>
      </c>
      <c r="M12" s="12" t="s">
        <v>29</v>
      </c>
      <c r="N12" s="12">
        <v>22.0</v>
      </c>
      <c r="O12" s="12"/>
      <c r="P12" s="14">
        <v>6280.0</v>
      </c>
      <c r="Q12" s="15">
        <f>MEZCLA!$P12*MEZCLA!$E12</f>
        <v>6280</v>
      </c>
      <c r="R12" s="15">
        <f>MEZCLA!$Q12*16%</f>
        <v>1004.8</v>
      </c>
      <c r="S12" s="15">
        <f>MEZCLA!$Q12+MEZCLA!$R12</f>
        <v>7284.8</v>
      </c>
    </row>
    <row r="13">
      <c r="A13" s="10">
        <v>25.0</v>
      </c>
      <c r="B13" s="11">
        <v>7.0</v>
      </c>
      <c r="C13" s="12">
        <v>91.0</v>
      </c>
      <c r="D13" s="13">
        <v>46188.0</v>
      </c>
      <c r="E13" s="12">
        <v>1.0</v>
      </c>
      <c r="F13" s="12" t="s">
        <v>24</v>
      </c>
      <c r="G13" s="12" t="s">
        <v>40</v>
      </c>
      <c r="H13" s="12">
        <v>14.0</v>
      </c>
      <c r="I13" s="12">
        <v>24390.0</v>
      </c>
      <c r="J13" s="12" t="s">
        <v>41</v>
      </c>
      <c r="K13" s="12" t="s">
        <v>27</v>
      </c>
      <c r="L13" s="12" t="s">
        <v>28</v>
      </c>
      <c r="M13" s="12" t="s">
        <v>29</v>
      </c>
      <c r="N13" s="12">
        <v>22.0</v>
      </c>
      <c r="O13" s="12"/>
      <c r="P13" s="14">
        <v>6280.0</v>
      </c>
      <c r="Q13" s="15">
        <f>MEZCLA!$P13*MEZCLA!$E13</f>
        <v>6280</v>
      </c>
      <c r="R13" s="15">
        <f>MEZCLA!$Q13*16%</f>
        <v>1004.8</v>
      </c>
      <c r="S13" s="15">
        <f>MEZCLA!$Q13+MEZCLA!$R13</f>
        <v>7284.8</v>
      </c>
    </row>
    <row r="14">
      <c r="A14" s="10">
        <v>25.0</v>
      </c>
      <c r="B14" s="11">
        <v>8.0</v>
      </c>
      <c r="C14" s="12">
        <v>92.0</v>
      </c>
      <c r="D14" s="13">
        <v>46188.0</v>
      </c>
      <c r="E14" s="12">
        <v>1.0</v>
      </c>
      <c r="F14" s="12" t="s">
        <v>24</v>
      </c>
      <c r="G14" s="12" t="s">
        <v>42</v>
      </c>
      <c r="H14" s="12">
        <v>14.0</v>
      </c>
      <c r="I14" s="12">
        <v>24890.0</v>
      </c>
      <c r="J14" s="12" t="s">
        <v>43</v>
      </c>
      <c r="K14" s="12" t="s">
        <v>27</v>
      </c>
      <c r="L14" s="12" t="s">
        <v>28</v>
      </c>
      <c r="M14" s="12" t="s">
        <v>29</v>
      </c>
      <c r="N14" s="12">
        <v>22.0</v>
      </c>
      <c r="O14" s="12"/>
      <c r="P14" s="14">
        <v>6280.0</v>
      </c>
      <c r="Q14" s="15">
        <f>MEZCLA!$P14*MEZCLA!$E14</f>
        <v>6280</v>
      </c>
      <c r="R14" s="15">
        <f>MEZCLA!$Q14*16%</f>
        <v>1004.8</v>
      </c>
      <c r="S14" s="15">
        <f>MEZCLA!$Q14+MEZCLA!$R14</f>
        <v>7284.8</v>
      </c>
    </row>
    <row r="15">
      <c r="A15" s="10">
        <v>25.0</v>
      </c>
      <c r="B15" s="11">
        <v>9.0</v>
      </c>
      <c r="C15" s="12">
        <v>100.0</v>
      </c>
      <c r="D15" s="13">
        <v>46188.0</v>
      </c>
      <c r="E15" s="12">
        <v>1.0</v>
      </c>
      <c r="F15" s="12" t="s">
        <v>24</v>
      </c>
      <c r="G15" s="12" t="s">
        <v>25</v>
      </c>
      <c r="H15" s="12">
        <v>14.0</v>
      </c>
      <c r="I15" s="12">
        <v>16280.0</v>
      </c>
      <c r="J15" s="12" t="s">
        <v>26</v>
      </c>
      <c r="K15" s="12" t="s">
        <v>27</v>
      </c>
      <c r="L15" s="12" t="s">
        <v>28</v>
      </c>
      <c r="M15" s="12" t="s">
        <v>29</v>
      </c>
      <c r="N15" s="12">
        <v>22.0</v>
      </c>
      <c r="O15" s="12"/>
      <c r="P15" s="14">
        <v>6280.0</v>
      </c>
      <c r="Q15" s="15">
        <f>MEZCLA!$P15*MEZCLA!$E15</f>
        <v>6280</v>
      </c>
      <c r="R15" s="15">
        <f>MEZCLA!$Q15*16%</f>
        <v>1004.8</v>
      </c>
      <c r="S15" s="15">
        <f>MEZCLA!$Q15+MEZCLA!$R15</f>
        <v>7284.8</v>
      </c>
    </row>
    <row r="16">
      <c r="A16" s="10">
        <v>25.0</v>
      </c>
      <c r="B16" s="16">
        <v>10.0</v>
      </c>
      <c r="C16" s="17">
        <v>113.0</v>
      </c>
      <c r="D16" s="18">
        <v>46189.0</v>
      </c>
      <c r="E16" s="17">
        <v>1.0</v>
      </c>
      <c r="F16" s="17" t="s">
        <v>24</v>
      </c>
      <c r="G16" s="17" t="s">
        <v>32</v>
      </c>
      <c r="H16" s="17">
        <v>14.0</v>
      </c>
      <c r="I16" s="17">
        <v>25820.0</v>
      </c>
      <c r="J16" s="17" t="s">
        <v>33</v>
      </c>
      <c r="K16" s="17" t="s">
        <v>27</v>
      </c>
      <c r="L16" s="17" t="s">
        <v>44</v>
      </c>
      <c r="M16" s="17" t="s">
        <v>45</v>
      </c>
      <c r="N16" s="17">
        <v>22.0</v>
      </c>
      <c r="O16" s="17"/>
      <c r="P16" s="14">
        <v>6280.0</v>
      </c>
      <c r="Q16" s="15">
        <f>MEZCLA!$P16*MEZCLA!$E16</f>
        <v>6280</v>
      </c>
      <c r="R16" s="15">
        <f>MEZCLA!$Q16*16%</f>
        <v>1004.8</v>
      </c>
      <c r="S16" s="15">
        <f>MEZCLA!$Q16+MEZCLA!$R16</f>
        <v>7284.8</v>
      </c>
    </row>
    <row r="17">
      <c r="A17" s="10">
        <v>25.0</v>
      </c>
      <c r="B17" s="16">
        <v>11.0</v>
      </c>
      <c r="C17" s="17">
        <v>114.0</v>
      </c>
      <c r="D17" s="18">
        <v>46189.0</v>
      </c>
      <c r="E17" s="17">
        <v>1.0</v>
      </c>
      <c r="F17" s="17" t="s">
        <v>24</v>
      </c>
      <c r="G17" s="17" t="s">
        <v>34</v>
      </c>
      <c r="H17" s="17">
        <v>14.0</v>
      </c>
      <c r="I17" s="17">
        <v>25620.0</v>
      </c>
      <c r="J17" s="17" t="s">
        <v>35</v>
      </c>
      <c r="K17" s="17" t="s">
        <v>27</v>
      </c>
      <c r="L17" s="17" t="s">
        <v>44</v>
      </c>
      <c r="M17" s="17" t="s">
        <v>45</v>
      </c>
      <c r="N17" s="17">
        <v>22.0</v>
      </c>
      <c r="O17" s="17"/>
      <c r="P17" s="14">
        <v>6280.0</v>
      </c>
      <c r="Q17" s="15">
        <f>MEZCLA!$P17*MEZCLA!$E17</f>
        <v>6280</v>
      </c>
      <c r="R17" s="15">
        <f>MEZCLA!$Q17*16%</f>
        <v>1004.8</v>
      </c>
      <c r="S17" s="15">
        <f>MEZCLA!$Q17+MEZCLA!$R17</f>
        <v>7284.8</v>
      </c>
    </row>
    <row r="18">
      <c r="A18" s="10">
        <v>25.0</v>
      </c>
      <c r="B18" s="16">
        <v>12.0</v>
      </c>
      <c r="C18" s="17">
        <v>115.0</v>
      </c>
      <c r="D18" s="18">
        <v>46189.0</v>
      </c>
      <c r="E18" s="17">
        <v>1.0</v>
      </c>
      <c r="F18" s="17" t="s">
        <v>24</v>
      </c>
      <c r="G18" s="17" t="s">
        <v>36</v>
      </c>
      <c r="H18" s="17">
        <v>14.0</v>
      </c>
      <c r="I18" s="17">
        <v>22430.0</v>
      </c>
      <c r="J18" s="17" t="s">
        <v>37</v>
      </c>
      <c r="K18" s="17" t="s">
        <v>27</v>
      </c>
      <c r="L18" s="17" t="s">
        <v>46</v>
      </c>
      <c r="M18" s="17" t="s">
        <v>47</v>
      </c>
      <c r="N18" s="17">
        <v>22.0</v>
      </c>
      <c r="O18" s="17"/>
      <c r="P18" s="14">
        <v>6280.0</v>
      </c>
      <c r="Q18" s="15">
        <f>MEZCLA!$P18*MEZCLA!$E18</f>
        <v>6280</v>
      </c>
      <c r="R18" s="15">
        <f>MEZCLA!$Q18*16%</f>
        <v>1004.8</v>
      </c>
      <c r="S18" s="15">
        <f>MEZCLA!$Q18+MEZCLA!$R18</f>
        <v>7284.8</v>
      </c>
    </row>
    <row r="19">
      <c r="A19" s="10">
        <v>25.0</v>
      </c>
      <c r="B19" s="16">
        <v>13.0</v>
      </c>
      <c r="C19" s="17">
        <v>116.0</v>
      </c>
      <c r="D19" s="18">
        <v>46189.0</v>
      </c>
      <c r="E19" s="17">
        <v>1.0</v>
      </c>
      <c r="F19" s="17" t="s">
        <v>24</v>
      </c>
      <c r="G19" s="17" t="s">
        <v>48</v>
      </c>
      <c r="H19" s="17">
        <v>14.0</v>
      </c>
      <c r="I19" s="17">
        <v>26320.0</v>
      </c>
      <c r="J19" s="17" t="s">
        <v>49</v>
      </c>
      <c r="K19" s="17" t="s">
        <v>27</v>
      </c>
      <c r="L19" s="17" t="s">
        <v>46</v>
      </c>
      <c r="M19" s="17" t="s">
        <v>47</v>
      </c>
      <c r="N19" s="17">
        <v>22.0</v>
      </c>
      <c r="O19" s="17"/>
      <c r="P19" s="14">
        <v>6280.0</v>
      </c>
      <c r="Q19" s="15">
        <f>MEZCLA!$P19*MEZCLA!$E19</f>
        <v>6280</v>
      </c>
      <c r="R19" s="15">
        <f>MEZCLA!$Q19*16%</f>
        <v>1004.8</v>
      </c>
      <c r="S19" s="15">
        <f>MEZCLA!$Q19+MEZCLA!$R19</f>
        <v>7284.8</v>
      </c>
    </row>
    <row r="20">
      <c r="A20" s="10">
        <v>25.0</v>
      </c>
      <c r="B20" s="16">
        <v>14.0</v>
      </c>
      <c r="C20" s="17">
        <v>117.0</v>
      </c>
      <c r="D20" s="18">
        <v>46189.0</v>
      </c>
      <c r="E20" s="17">
        <v>1.0</v>
      </c>
      <c r="F20" s="17" t="s">
        <v>24</v>
      </c>
      <c r="G20" s="17" t="s">
        <v>38</v>
      </c>
      <c r="H20" s="17">
        <v>14.0</v>
      </c>
      <c r="I20" s="17">
        <v>2600.0</v>
      </c>
      <c r="J20" s="17" t="s">
        <v>39</v>
      </c>
      <c r="K20" s="17" t="s">
        <v>27</v>
      </c>
      <c r="L20" s="17" t="s">
        <v>46</v>
      </c>
      <c r="M20" s="17" t="s">
        <v>47</v>
      </c>
      <c r="N20" s="17">
        <v>22.0</v>
      </c>
      <c r="O20" s="17"/>
      <c r="P20" s="14">
        <v>6280.0</v>
      </c>
      <c r="Q20" s="15">
        <f>MEZCLA!$P20*MEZCLA!$E20</f>
        <v>6280</v>
      </c>
      <c r="R20" s="15">
        <f>MEZCLA!$Q20*16%</f>
        <v>1004.8</v>
      </c>
      <c r="S20" s="15">
        <f>MEZCLA!$Q20+MEZCLA!$R20</f>
        <v>7284.8</v>
      </c>
    </row>
    <row r="21" ht="15.75" customHeight="1">
      <c r="A21" s="10">
        <v>25.0</v>
      </c>
      <c r="B21" s="16">
        <v>15.0</v>
      </c>
      <c r="C21" s="17">
        <v>118.0</v>
      </c>
      <c r="D21" s="18">
        <v>46189.0</v>
      </c>
      <c r="E21" s="17">
        <v>1.0</v>
      </c>
      <c r="F21" s="17" t="s">
        <v>24</v>
      </c>
      <c r="G21" s="17" t="s">
        <v>30</v>
      </c>
      <c r="H21" s="17">
        <v>14.0</v>
      </c>
      <c r="I21" s="17">
        <v>25910.0</v>
      </c>
      <c r="J21" s="17" t="s">
        <v>31</v>
      </c>
      <c r="K21" s="17" t="s">
        <v>27</v>
      </c>
      <c r="L21" s="17" t="s">
        <v>50</v>
      </c>
      <c r="M21" s="17" t="s">
        <v>51</v>
      </c>
      <c r="N21" s="17">
        <v>22.0</v>
      </c>
      <c r="O21" s="17"/>
      <c r="P21" s="14">
        <v>6280.0</v>
      </c>
      <c r="Q21" s="15">
        <f>MEZCLA!$P21*MEZCLA!$E21</f>
        <v>6280</v>
      </c>
      <c r="R21" s="15">
        <f>MEZCLA!$Q21*16%</f>
        <v>1004.8</v>
      </c>
      <c r="S21" s="15">
        <f>MEZCLA!$Q21+MEZCLA!$R21</f>
        <v>7284.8</v>
      </c>
    </row>
    <row r="22" ht="15.75" customHeight="1">
      <c r="A22" s="10">
        <v>25.0</v>
      </c>
      <c r="B22" s="16">
        <v>16.0</v>
      </c>
      <c r="C22" s="17">
        <v>119.0</v>
      </c>
      <c r="D22" s="18">
        <v>46189.0</v>
      </c>
      <c r="E22" s="17">
        <v>1.0</v>
      </c>
      <c r="F22" s="17" t="s">
        <v>24</v>
      </c>
      <c r="G22" s="17" t="s">
        <v>42</v>
      </c>
      <c r="H22" s="17">
        <v>14.0</v>
      </c>
      <c r="I22" s="17">
        <v>24980.0</v>
      </c>
      <c r="J22" s="17" t="s">
        <v>43</v>
      </c>
      <c r="K22" s="17" t="s">
        <v>27</v>
      </c>
      <c r="L22" s="17" t="s">
        <v>50</v>
      </c>
      <c r="M22" s="17" t="s">
        <v>51</v>
      </c>
      <c r="N22" s="17">
        <v>22.0</v>
      </c>
      <c r="O22" s="17"/>
      <c r="P22" s="14">
        <v>6280.0</v>
      </c>
      <c r="Q22" s="15">
        <f>MEZCLA!$P22*MEZCLA!$E22</f>
        <v>6280</v>
      </c>
      <c r="R22" s="15">
        <f>MEZCLA!$Q22*16%</f>
        <v>1004.8</v>
      </c>
      <c r="S22" s="15">
        <f>MEZCLA!$Q22+MEZCLA!$R22</f>
        <v>7284.8</v>
      </c>
    </row>
    <row r="23" ht="15.75" customHeight="1">
      <c r="A23" s="10">
        <v>25.0</v>
      </c>
      <c r="B23" s="16">
        <v>17.0</v>
      </c>
      <c r="C23" s="17">
        <v>120.0</v>
      </c>
      <c r="D23" s="18">
        <v>46189.0</v>
      </c>
      <c r="E23" s="17">
        <v>1.0</v>
      </c>
      <c r="F23" s="17" t="s">
        <v>24</v>
      </c>
      <c r="G23" s="17" t="s">
        <v>40</v>
      </c>
      <c r="H23" s="17">
        <v>14.0</v>
      </c>
      <c r="I23" s="17">
        <v>24850.0</v>
      </c>
      <c r="J23" s="17" t="s">
        <v>41</v>
      </c>
      <c r="K23" s="17" t="s">
        <v>27</v>
      </c>
      <c r="L23" s="17" t="s">
        <v>50</v>
      </c>
      <c r="M23" s="17" t="s">
        <v>51</v>
      </c>
      <c r="N23" s="17">
        <v>22.0</v>
      </c>
      <c r="O23" s="17"/>
      <c r="P23" s="14">
        <v>6280.0</v>
      </c>
      <c r="Q23" s="15">
        <f>MEZCLA!$P23*MEZCLA!$E23</f>
        <v>6280</v>
      </c>
      <c r="R23" s="15">
        <f>MEZCLA!$Q23*16%</f>
        <v>1004.8</v>
      </c>
      <c r="S23" s="15">
        <f>MEZCLA!$Q23+MEZCLA!$R23</f>
        <v>7284.8</v>
      </c>
    </row>
    <row r="24" ht="15.75" customHeight="1">
      <c r="A24" s="10">
        <v>25.0</v>
      </c>
      <c r="B24" s="16">
        <v>18.0</v>
      </c>
      <c r="C24" s="17">
        <v>121.0</v>
      </c>
      <c r="D24" s="18">
        <v>46189.0</v>
      </c>
      <c r="E24" s="17">
        <v>1.0</v>
      </c>
      <c r="F24" s="17" t="s">
        <v>24</v>
      </c>
      <c r="G24" s="17" t="s">
        <v>25</v>
      </c>
      <c r="H24" s="17">
        <v>14.0</v>
      </c>
      <c r="I24" s="17">
        <v>24790.0</v>
      </c>
      <c r="J24" s="17" t="s">
        <v>26</v>
      </c>
      <c r="K24" s="17" t="s">
        <v>27</v>
      </c>
      <c r="L24" s="17" t="s">
        <v>50</v>
      </c>
      <c r="M24" s="17" t="s">
        <v>51</v>
      </c>
      <c r="N24" s="17">
        <v>22.0</v>
      </c>
      <c r="O24" s="17"/>
      <c r="P24" s="14">
        <v>6280.0</v>
      </c>
      <c r="Q24" s="15">
        <f>MEZCLA!$P24*MEZCLA!$E24</f>
        <v>6280</v>
      </c>
      <c r="R24" s="15">
        <f>MEZCLA!$Q24*16%</f>
        <v>1004.8</v>
      </c>
      <c r="S24" s="15">
        <f>MEZCLA!$Q24+MEZCLA!$R24</f>
        <v>7284.8</v>
      </c>
    </row>
    <row r="25" ht="15.75" customHeight="1">
      <c r="A25" s="10">
        <v>25.0</v>
      </c>
      <c r="B25" s="19">
        <v>19.0</v>
      </c>
      <c r="C25" s="20">
        <v>133.0</v>
      </c>
      <c r="D25" s="21">
        <v>46190.0</v>
      </c>
      <c r="E25" s="20">
        <v>1.0</v>
      </c>
      <c r="F25" s="20" t="s">
        <v>24</v>
      </c>
      <c r="G25" s="20" t="s">
        <v>48</v>
      </c>
      <c r="H25" s="20">
        <v>14.0</v>
      </c>
      <c r="I25" s="20">
        <v>25150.0</v>
      </c>
      <c r="J25" s="20" t="s">
        <v>49</v>
      </c>
      <c r="K25" s="20" t="s">
        <v>27</v>
      </c>
      <c r="L25" s="20" t="s">
        <v>52</v>
      </c>
      <c r="M25" s="20" t="s">
        <v>53</v>
      </c>
      <c r="N25" s="20">
        <v>28.0</v>
      </c>
      <c r="O25" s="20"/>
      <c r="P25" s="14">
        <v>6280.0</v>
      </c>
      <c r="Q25" s="15">
        <f>MEZCLA!$P25*MEZCLA!$E25</f>
        <v>6280</v>
      </c>
      <c r="R25" s="15">
        <f>MEZCLA!$Q25*16%</f>
        <v>1004.8</v>
      </c>
      <c r="S25" s="15">
        <f>MEZCLA!$Q25+MEZCLA!$R25</f>
        <v>7284.8</v>
      </c>
    </row>
    <row r="26" ht="15.75" customHeight="1">
      <c r="A26" s="10">
        <v>25.0</v>
      </c>
      <c r="B26" s="19">
        <v>20.0</v>
      </c>
      <c r="C26" s="20">
        <v>134.0</v>
      </c>
      <c r="D26" s="21">
        <v>46190.0</v>
      </c>
      <c r="E26" s="20">
        <v>1.0</v>
      </c>
      <c r="F26" s="20" t="s">
        <v>24</v>
      </c>
      <c r="G26" s="20" t="s">
        <v>42</v>
      </c>
      <c r="H26" s="20">
        <v>14.0</v>
      </c>
      <c r="I26" s="20">
        <v>24210.0</v>
      </c>
      <c r="J26" s="20" t="s">
        <v>43</v>
      </c>
      <c r="K26" s="20" t="s">
        <v>27</v>
      </c>
      <c r="L26" s="20" t="s">
        <v>53</v>
      </c>
      <c r="M26" s="20" t="s">
        <v>54</v>
      </c>
      <c r="N26" s="20">
        <v>28.0</v>
      </c>
      <c r="O26" s="20"/>
      <c r="P26" s="14">
        <v>6280.0</v>
      </c>
      <c r="Q26" s="15">
        <f>MEZCLA!$P26*MEZCLA!$E26</f>
        <v>6280</v>
      </c>
      <c r="R26" s="15">
        <f>MEZCLA!$Q26*16%</f>
        <v>1004.8</v>
      </c>
      <c r="S26" s="15">
        <f>MEZCLA!$Q26+MEZCLA!$R26</f>
        <v>7284.8</v>
      </c>
    </row>
    <row r="27" ht="15.75" customHeight="1">
      <c r="A27" s="10">
        <v>25.0</v>
      </c>
      <c r="B27" s="19">
        <v>21.0</v>
      </c>
      <c r="C27" s="20">
        <v>135.0</v>
      </c>
      <c r="D27" s="21">
        <v>46190.0</v>
      </c>
      <c r="E27" s="20">
        <v>1.0</v>
      </c>
      <c r="F27" s="20" t="s">
        <v>24</v>
      </c>
      <c r="G27" s="20" t="s">
        <v>55</v>
      </c>
      <c r="H27" s="20">
        <v>14.0</v>
      </c>
      <c r="I27" s="20">
        <v>25440.0</v>
      </c>
      <c r="J27" s="20" t="s">
        <v>56</v>
      </c>
      <c r="K27" s="20" t="s">
        <v>27</v>
      </c>
      <c r="L27" s="20" t="s">
        <v>54</v>
      </c>
      <c r="M27" s="20" t="s">
        <v>57</v>
      </c>
      <c r="N27" s="20">
        <v>28.0</v>
      </c>
      <c r="O27" s="20"/>
      <c r="P27" s="14">
        <v>6280.0</v>
      </c>
      <c r="Q27" s="15">
        <f>MEZCLA!$P27*MEZCLA!$E27</f>
        <v>6280</v>
      </c>
      <c r="R27" s="15">
        <f>MEZCLA!$Q27*16%</f>
        <v>1004.8</v>
      </c>
      <c r="S27" s="15">
        <f>MEZCLA!$Q27+MEZCLA!$R27</f>
        <v>7284.8</v>
      </c>
    </row>
    <row r="28" ht="15.75" customHeight="1">
      <c r="A28" s="10">
        <v>25.0</v>
      </c>
      <c r="B28" s="19">
        <v>22.0</v>
      </c>
      <c r="C28" s="20">
        <v>136.0</v>
      </c>
      <c r="D28" s="21">
        <v>46190.0</v>
      </c>
      <c r="E28" s="20">
        <v>1.0</v>
      </c>
      <c r="F28" s="20" t="s">
        <v>24</v>
      </c>
      <c r="G28" s="20" t="s">
        <v>38</v>
      </c>
      <c r="H28" s="20">
        <v>14.0</v>
      </c>
      <c r="I28" s="20">
        <v>25600.0</v>
      </c>
      <c r="J28" s="20" t="s">
        <v>39</v>
      </c>
      <c r="K28" s="20" t="s">
        <v>27</v>
      </c>
      <c r="L28" s="20" t="s">
        <v>57</v>
      </c>
      <c r="M28" s="20" t="s">
        <v>58</v>
      </c>
      <c r="N28" s="20">
        <v>28.0</v>
      </c>
      <c r="O28" s="20"/>
      <c r="P28" s="14">
        <v>6280.0</v>
      </c>
      <c r="Q28" s="15">
        <f>MEZCLA!$P28*MEZCLA!$E28</f>
        <v>6280</v>
      </c>
      <c r="R28" s="15">
        <f>MEZCLA!$Q28*16%</f>
        <v>1004.8</v>
      </c>
      <c r="S28" s="15">
        <f>MEZCLA!$Q28+MEZCLA!$R28</f>
        <v>7284.8</v>
      </c>
    </row>
    <row r="29" ht="15.75" customHeight="1">
      <c r="A29" s="10">
        <v>25.0</v>
      </c>
      <c r="B29" s="19">
        <v>23.0</v>
      </c>
      <c r="C29" s="20">
        <v>137.0</v>
      </c>
      <c r="D29" s="21">
        <v>46190.0</v>
      </c>
      <c r="E29" s="20">
        <v>1.0</v>
      </c>
      <c r="F29" s="20" t="s">
        <v>24</v>
      </c>
      <c r="G29" s="20" t="s">
        <v>36</v>
      </c>
      <c r="H29" s="20">
        <v>14.0</v>
      </c>
      <c r="I29" s="20">
        <v>22380.0</v>
      </c>
      <c r="J29" s="20" t="s">
        <v>37</v>
      </c>
      <c r="K29" s="20" t="s">
        <v>27</v>
      </c>
      <c r="L29" s="20" t="s">
        <v>58</v>
      </c>
      <c r="M29" s="20" t="s">
        <v>59</v>
      </c>
      <c r="N29" s="20">
        <v>28.0</v>
      </c>
      <c r="O29" s="20"/>
      <c r="P29" s="14">
        <v>6280.0</v>
      </c>
      <c r="Q29" s="15">
        <f>MEZCLA!$P29*MEZCLA!$E29</f>
        <v>6280</v>
      </c>
      <c r="R29" s="15">
        <f>MEZCLA!$Q29*16%</f>
        <v>1004.8</v>
      </c>
      <c r="S29" s="15">
        <f>MEZCLA!$Q29+MEZCLA!$R29</f>
        <v>7284.8</v>
      </c>
    </row>
    <row r="30" ht="15.75" customHeight="1">
      <c r="A30" s="10">
        <v>25.0</v>
      </c>
      <c r="B30" s="19">
        <v>24.0</v>
      </c>
      <c r="C30" s="20">
        <v>138.0</v>
      </c>
      <c r="D30" s="21">
        <v>46190.0</v>
      </c>
      <c r="E30" s="20">
        <v>1.0</v>
      </c>
      <c r="F30" s="20" t="s">
        <v>24</v>
      </c>
      <c r="G30" s="20" t="s">
        <v>34</v>
      </c>
      <c r="H30" s="20">
        <v>14.0</v>
      </c>
      <c r="I30" s="20">
        <v>24460.0</v>
      </c>
      <c r="J30" s="20" t="s">
        <v>35</v>
      </c>
      <c r="K30" s="20" t="s">
        <v>27</v>
      </c>
      <c r="L30" s="20" t="s">
        <v>59</v>
      </c>
      <c r="M30" s="20" t="s">
        <v>60</v>
      </c>
      <c r="N30" s="20">
        <v>28.0</v>
      </c>
      <c r="O30" s="20"/>
      <c r="P30" s="14">
        <v>6280.0</v>
      </c>
      <c r="Q30" s="15">
        <f>MEZCLA!$P30*MEZCLA!$E30</f>
        <v>6280</v>
      </c>
      <c r="R30" s="15">
        <f>MEZCLA!$Q30*16%</f>
        <v>1004.8</v>
      </c>
      <c r="S30" s="15">
        <f>MEZCLA!$Q30+MEZCLA!$R30</f>
        <v>7284.8</v>
      </c>
    </row>
    <row r="31" ht="15.75" customHeight="1">
      <c r="A31" s="10">
        <v>25.0</v>
      </c>
      <c r="B31" s="19">
        <v>25.0</v>
      </c>
      <c r="C31" s="20">
        <v>139.0</v>
      </c>
      <c r="D31" s="21">
        <v>46190.0</v>
      </c>
      <c r="E31" s="20">
        <v>1.0</v>
      </c>
      <c r="F31" s="20" t="s">
        <v>24</v>
      </c>
      <c r="G31" s="20" t="s">
        <v>30</v>
      </c>
      <c r="H31" s="20">
        <v>14.0</v>
      </c>
      <c r="I31" s="20">
        <v>25480.0</v>
      </c>
      <c r="J31" s="20" t="s">
        <v>31</v>
      </c>
      <c r="K31" s="20" t="s">
        <v>27</v>
      </c>
      <c r="L31" s="20" t="s">
        <v>61</v>
      </c>
      <c r="M31" s="20" t="s">
        <v>62</v>
      </c>
      <c r="N31" s="20">
        <v>28.0</v>
      </c>
      <c r="O31" s="20"/>
      <c r="P31" s="14">
        <v>6280.0</v>
      </c>
      <c r="Q31" s="15">
        <f>MEZCLA!$P31*MEZCLA!$E31</f>
        <v>6280</v>
      </c>
      <c r="R31" s="15">
        <f>MEZCLA!$Q31*16%</f>
        <v>1004.8</v>
      </c>
      <c r="S31" s="15">
        <f>MEZCLA!$Q31+MEZCLA!$R31</f>
        <v>7284.8</v>
      </c>
    </row>
    <row r="32" ht="15.75" customHeight="1">
      <c r="A32" s="10">
        <v>25.0</v>
      </c>
      <c r="B32" s="19">
        <v>26.0</v>
      </c>
      <c r="C32" s="20">
        <v>140.0</v>
      </c>
      <c r="D32" s="21">
        <v>46190.0</v>
      </c>
      <c r="E32" s="20">
        <v>1.0</v>
      </c>
      <c r="F32" s="20" t="s">
        <v>24</v>
      </c>
      <c r="G32" s="20" t="s">
        <v>25</v>
      </c>
      <c r="H32" s="20">
        <v>14.0</v>
      </c>
      <c r="I32" s="20">
        <v>24620.0</v>
      </c>
      <c r="J32" s="20" t="s">
        <v>26</v>
      </c>
      <c r="K32" s="20" t="s">
        <v>27</v>
      </c>
      <c r="L32" s="20" t="s">
        <v>62</v>
      </c>
      <c r="M32" s="20" t="s">
        <v>63</v>
      </c>
      <c r="N32" s="20">
        <v>28.0</v>
      </c>
      <c r="O32" s="20"/>
      <c r="P32" s="14">
        <v>6280.0</v>
      </c>
      <c r="Q32" s="15">
        <f>MEZCLA!$P32*MEZCLA!$E32</f>
        <v>6280</v>
      </c>
      <c r="R32" s="15">
        <f>MEZCLA!$Q32*16%</f>
        <v>1004.8</v>
      </c>
      <c r="S32" s="15">
        <f>MEZCLA!$Q32+MEZCLA!$R32</f>
        <v>7284.8</v>
      </c>
    </row>
    <row r="33" ht="15.75" customHeight="1">
      <c r="A33" s="10">
        <v>25.0</v>
      </c>
      <c r="B33" s="19">
        <v>27.0</v>
      </c>
      <c r="C33" s="20">
        <v>141.0</v>
      </c>
      <c r="D33" s="21">
        <v>46190.0</v>
      </c>
      <c r="E33" s="20">
        <v>1.0</v>
      </c>
      <c r="F33" s="20" t="s">
        <v>24</v>
      </c>
      <c r="G33" s="20" t="s">
        <v>64</v>
      </c>
      <c r="H33" s="20">
        <v>14.0</v>
      </c>
      <c r="I33" s="20">
        <v>16590.0</v>
      </c>
      <c r="J33" s="20" t="s">
        <v>65</v>
      </c>
      <c r="K33" s="20" t="s">
        <v>27</v>
      </c>
      <c r="L33" s="20" t="s">
        <v>66</v>
      </c>
      <c r="M33" s="20" t="s">
        <v>67</v>
      </c>
      <c r="N33" s="20">
        <v>28.0</v>
      </c>
      <c r="O33" s="20"/>
      <c r="P33" s="14">
        <v>6280.0</v>
      </c>
      <c r="Q33" s="15">
        <f>MEZCLA!$P33*MEZCLA!$E33</f>
        <v>6280</v>
      </c>
      <c r="R33" s="15">
        <f>MEZCLA!$Q33*16%</f>
        <v>1004.8</v>
      </c>
      <c r="S33" s="15">
        <f>MEZCLA!$Q33+MEZCLA!$R33</f>
        <v>7284.8</v>
      </c>
    </row>
    <row r="34" ht="15.75" customHeight="1">
      <c r="A34" s="10">
        <v>25.0</v>
      </c>
      <c r="B34" s="22">
        <v>28.0</v>
      </c>
      <c r="C34" s="23">
        <v>152.0</v>
      </c>
      <c r="D34" s="24">
        <v>46191.0</v>
      </c>
      <c r="E34" s="23">
        <v>1.0</v>
      </c>
      <c r="F34" s="23" t="s">
        <v>24</v>
      </c>
      <c r="G34" s="23" t="s">
        <v>36</v>
      </c>
      <c r="H34" s="23">
        <v>14.0</v>
      </c>
      <c r="I34" s="23">
        <v>22960.0</v>
      </c>
      <c r="J34" s="23" t="s">
        <v>37</v>
      </c>
      <c r="K34" s="23" t="s">
        <v>27</v>
      </c>
      <c r="L34" s="23" t="s">
        <v>68</v>
      </c>
      <c r="M34" s="23" t="s">
        <v>45</v>
      </c>
      <c r="N34" s="23">
        <v>28.0</v>
      </c>
      <c r="O34" s="23"/>
      <c r="P34" s="14">
        <v>6280.0</v>
      </c>
      <c r="Q34" s="15">
        <f>MEZCLA!$P34*MEZCLA!$E34</f>
        <v>6280</v>
      </c>
      <c r="R34" s="15">
        <f>MEZCLA!$Q34*16%</f>
        <v>1004.8</v>
      </c>
      <c r="S34" s="15">
        <f>MEZCLA!$Q34+MEZCLA!$R34</f>
        <v>7284.8</v>
      </c>
    </row>
    <row r="35" ht="15.75" customHeight="1">
      <c r="A35" s="10">
        <v>25.0</v>
      </c>
      <c r="B35" s="22">
        <v>29.0</v>
      </c>
      <c r="C35" s="23">
        <v>153.0</v>
      </c>
      <c r="D35" s="24">
        <v>46191.0</v>
      </c>
      <c r="E35" s="23">
        <v>1.0</v>
      </c>
      <c r="F35" s="23" t="s">
        <v>24</v>
      </c>
      <c r="G35" s="23" t="s">
        <v>34</v>
      </c>
      <c r="H35" s="23">
        <v>14.0</v>
      </c>
      <c r="I35" s="23">
        <v>24900.0</v>
      </c>
      <c r="J35" s="23" t="s">
        <v>35</v>
      </c>
      <c r="K35" s="23" t="s">
        <v>27</v>
      </c>
      <c r="L35" s="23" t="s">
        <v>68</v>
      </c>
      <c r="M35" s="23" t="s">
        <v>45</v>
      </c>
      <c r="N35" s="23">
        <v>28.0</v>
      </c>
      <c r="O35" s="23"/>
      <c r="P35" s="14">
        <v>6280.0</v>
      </c>
      <c r="Q35" s="15">
        <f>MEZCLA!$P35*MEZCLA!$E35</f>
        <v>6280</v>
      </c>
      <c r="R35" s="15">
        <f>MEZCLA!$Q35*16%</f>
        <v>1004.8</v>
      </c>
      <c r="S35" s="15">
        <f>MEZCLA!$Q35+MEZCLA!$R35</f>
        <v>7284.8</v>
      </c>
    </row>
    <row r="36" ht="15.75" customHeight="1">
      <c r="A36" s="10">
        <v>25.0</v>
      </c>
      <c r="B36" s="22">
        <v>30.0</v>
      </c>
      <c r="C36" s="23">
        <v>154.0</v>
      </c>
      <c r="D36" s="24">
        <v>46191.0</v>
      </c>
      <c r="E36" s="23">
        <v>1.0</v>
      </c>
      <c r="F36" s="23" t="s">
        <v>24</v>
      </c>
      <c r="G36" s="23" t="s">
        <v>48</v>
      </c>
      <c r="H36" s="23">
        <v>14.0</v>
      </c>
      <c r="I36" s="23">
        <v>27010.0</v>
      </c>
      <c r="J36" s="23" t="s">
        <v>49</v>
      </c>
      <c r="K36" s="23" t="s">
        <v>27</v>
      </c>
      <c r="L36" s="23" t="s">
        <v>68</v>
      </c>
      <c r="M36" s="23" t="s">
        <v>45</v>
      </c>
      <c r="N36" s="23">
        <v>28.0</v>
      </c>
      <c r="O36" s="23"/>
      <c r="P36" s="14">
        <v>6280.0</v>
      </c>
      <c r="Q36" s="15">
        <f>MEZCLA!$P36*MEZCLA!$E36</f>
        <v>6280</v>
      </c>
      <c r="R36" s="15">
        <f>MEZCLA!$Q36*16%</f>
        <v>1004.8</v>
      </c>
      <c r="S36" s="15">
        <f>MEZCLA!$Q36+MEZCLA!$R36</f>
        <v>7284.8</v>
      </c>
    </row>
    <row r="37" ht="15.75" customHeight="1">
      <c r="A37" s="10">
        <v>25.0</v>
      </c>
      <c r="B37" s="22">
        <v>31.0</v>
      </c>
      <c r="C37" s="23">
        <v>155.0</v>
      </c>
      <c r="D37" s="24">
        <v>46191.0</v>
      </c>
      <c r="E37" s="23">
        <v>1.0</v>
      </c>
      <c r="F37" s="23" t="s">
        <v>24</v>
      </c>
      <c r="G37" s="23" t="s">
        <v>42</v>
      </c>
      <c r="H37" s="23">
        <v>14.0</v>
      </c>
      <c r="I37" s="23">
        <v>24830.0</v>
      </c>
      <c r="J37" s="23" t="s">
        <v>43</v>
      </c>
      <c r="K37" s="23" t="s">
        <v>27</v>
      </c>
      <c r="L37" s="23" t="s">
        <v>69</v>
      </c>
      <c r="M37" s="23" t="s">
        <v>70</v>
      </c>
      <c r="N37" s="23">
        <v>28.0</v>
      </c>
      <c r="O37" s="23"/>
      <c r="P37" s="14">
        <v>6280.0</v>
      </c>
      <c r="Q37" s="15">
        <f>MEZCLA!$P37*MEZCLA!$E37</f>
        <v>6280</v>
      </c>
      <c r="R37" s="15">
        <f>MEZCLA!$Q37*16%</f>
        <v>1004.8</v>
      </c>
      <c r="S37" s="15">
        <f>MEZCLA!$Q37+MEZCLA!$R37</f>
        <v>7284.8</v>
      </c>
    </row>
    <row r="38" ht="15.75" customHeight="1">
      <c r="A38" s="10">
        <v>25.0</v>
      </c>
      <c r="B38" s="22">
        <v>32.0</v>
      </c>
      <c r="C38" s="23">
        <v>156.0</v>
      </c>
      <c r="D38" s="24">
        <v>46191.0</v>
      </c>
      <c r="E38" s="23">
        <v>1.0</v>
      </c>
      <c r="F38" s="23" t="s">
        <v>24</v>
      </c>
      <c r="G38" s="23" t="s">
        <v>38</v>
      </c>
      <c r="H38" s="23">
        <v>14.0</v>
      </c>
      <c r="I38" s="23">
        <v>25460.0</v>
      </c>
      <c r="J38" s="23" t="s">
        <v>39</v>
      </c>
      <c r="K38" s="23" t="s">
        <v>27</v>
      </c>
      <c r="L38" s="23" t="s">
        <v>71</v>
      </c>
      <c r="M38" s="23" t="s">
        <v>72</v>
      </c>
      <c r="N38" s="23">
        <v>28.0</v>
      </c>
      <c r="O38" s="23"/>
      <c r="P38" s="14">
        <v>6280.0</v>
      </c>
      <c r="Q38" s="15">
        <f>MEZCLA!$P38*MEZCLA!$E38</f>
        <v>6280</v>
      </c>
      <c r="R38" s="15">
        <f>MEZCLA!$Q38*16%</f>
        <v>1004.8</v>
      </c>
      <c r="S38" s="15">
        <f>MEZCLA!$Q38+MEZCLA!$R38</f>
        <v>7284.8</v>
      </c>
    </row>
    <row r="39" ht="15.75" customHeight="1">
      <c r="A39" s="10">
        <v>25.0</v>
      </c>
      <c r="B39" s="22">
        <v>33.0</v>
      </c>
      <c r="C39" s="23">
        <v>157.0</v>
      </c>
      <c r="D39" s="24">
        <v>46191.0</v>
      </c>
      <c r="E39" s="23">
        <v>1.0</v>
      </c>
      <c r="F39" s="23" t="s">
        <v>24</v>
      </c>
      <c r="G39" s="23" t="s">
        <v>30</v>
      </c>
      <c r="H39" s="23">
        <v>14.0</v>
      </c>
      <c r="I39" s="23">
        <v>25860.0</v>
      </c>
      <c r="J39" s="23" t="s">
        <v>31</v>
      </c>
      <c r="K39" s="23" t="s">
        <v>27</v>
      </c>
      <c r="L39" s="23" t="s">
        <v>73</v>
      </c>
      <c r="M39" s="23" t="s">
        <v>74</v>
      </c>
      <c r="N39" s="23">
        <v>28.0</v>
      </c>
      <c r="O39" s="23"/>
      <c r="P39" s="14">
        <v>6280.0</v>
      </c>
      <c r="Q39" s="15">
        <f>MEZCLA!$P39*MEZCLA!$E39</f>
        <v>6280</v>
      </c>
      <c r="R39" s="15">
        <f>MEZCLA!$Q39*16%</f>
        <v>1004.8</v>
      </c>
      <c r="S39" s="15">
        <f>MEZCLA!$Q39+MEZCLA!$R39</f>
        <v>7284.8</v>
      </c>
    </row>
    <row r="40" ht="15.75" customHeight="1">
      <c r="A40" s="10">
        <v>25.0</v>
      </c>
      <c r="B40" s="22">
        <v>34.0</v>
      </c>
      <c r="C40" s="23">
        <v>158.0</v>
      </c>
      <c r="D40" s="24">
        <v>46191.0</v>
      </c>
      <c r="E40" s="23">
        <v>1.0</v>
      </c>
      <c r="F40" s="23" t="s">
        <v>24</v>
      </c>
      <c r="G40" s="23" t="s">
        <v>55</v>
      </c>
      <c r="H40" s="23">
        <v>14.0</v>
      </c>
      <c r="I40" s="23">
        <v>25230.0</v>
      </c>
      <c r="J40" s="23" t="s">
        <v>56</v>
      </c>
      <c r="K40" s="23" t="s">
        <v>27</v>
      </c>
      <c r="L40" s="23" t="s">
        <v>75</v>
      </c>
      <c r="M40" s="23" t="s">
        <v>76</v>
      </c>
      <c r="N40" s="23">
        <v>28.0</v>
      </c>
      <c r="O40" s="23"/>
      <c r="P40" s="14">
        <v>6280.0</v>
      </c>
      <c r="Q40" s="15">
        <f>MEZCLA!$P40*MEZCLA!$E40</f>
        <v>6280</v>
      </c>
      <c r="R40" s="15">
        <f>MEZCLA!$Q40*16%</f>
        <v>1004.8</v>
      </c>
      <c r="S40" s="15">
        <f>MEZCLA!$Q40+MEZCLA!$R40</f>
        <v>7284.8</v>
      </c>
    </row>
    <row r="41" ht="15.75" customHeight="1">
      <c r="A41" s="10">
        <v>25.0</v>
      </c>
      <c r="B41" s="22">
        <v>35.0</v>
      </c>
      <c r="C41" s="23">
        <v>159.0</v>
      </c>
      <c r="D41" s="24">
        <v>46191.0</v>
      </c>
      <c r="E41" s="23">
        <v>1.0</v>
      </c>
      <c r="F41" s="23" t="s">
        <v>24</v>
      </c>
      <c r="G41" s="23" t="s">
        <v>25</v>
      </c>
      <c r="H41" s="23">
        <v>14.0</v>
      </c>
      <c r="I41" s="23">
        <v>25400.0</v>
      </c>
      <c r="J41" s="23" t="s">
        <v>26</v>
      </c>
      <c r="K41" s="23" t="s">
        <v>27</v>
      </c>
      <c r="L41" s="23" t="s">
        <v>77</v>
      </c>
      <c r="M41" s="23" t="s">
        <v>78</v>
      </c>
      <c r="N41" s="23">
        <v>28.0</v>
      </c>
      <c r="O41" s="23"/>
      <c r="P41" s="14">
        <v>6280.0</v>
      </c>
      <c r="Q41" s="15">
        <f>MEZCLA!$P41*MEZCLA!$E41</f>
        <v>6280</v>
      </c>
      <c r="R41" s="15">
        <f>MEZCLA!$Q41*16%</f>
        <v>1004.8</v>
      </c>
      <c r="S41" s="15">
        <f>MEZCLA!$Q41+MEZCLA!$R41</f>
        <v>7284.8</v>
      </c>
    </row>
    <row r="42" ht="15.75" customHeight="1">
      <c r="A42" s="10">
        <v>25.0</v>
      </c>
      <c r="B42" s="10">
        <v>36.0</v>
      </c>
      <c r="C42" s="25">
        <v>186.0</v>
      </c>
      <c r="D42" s="26">
        <v>46192.0</v>
      </c>
      <c r="E42" s="25">
        <v>1.0</v>
      </c>
      <c r="F42" s="25" t="s">
        <v>24</v>
      </c>
      <c r="G42" s="25" t="s">
        <v>36</v>
      </c>
      <c r="H42" s="25">
        <v>14.0</v>
      </c>
      <c r="I42" s="25">
        <v>21310.0</v>
      </c>
      <c r="J42" s="25" t="s">
        <v>37</v>
      </c>
      <c r="K42" s="25" t="s">
        <v>27</v>
      </c>
      <c r="L42" s="25" t="s">
        <v>79</v>
      </c>
      <c r="M42" s="25" t="s">
        <v>80</v>
      </c>
      <c r="N42" s="25">
        <v>48.0</v>
      </c>
      <c r="O42" s="25"/>
      <c r="P42" s="14">
        <v>6280.0</v>
      </c>
      <c r="Q42" s="15">
        <f>MEZCLA!$P42*MEZCLA!$E42</f>
        <v>6280</v>
      </c>
      <c r="R42" s="15">
        <f>MEZCLA!$Q42*16%</f>
        <v>1004.8</v>
      </c>
      <c r="S42" s="15">
        <f>MEZCLA!$Q42+MEZCLA!$R42</f>
        <v>7284.8</v>
      </c>
    </row>
    <row r="43" ht="15.75" customHeight="1">
      <c r="A43" s="10">
        <v>25.0</v>
      </c>
      <c r="B43" s="10">
        <v>37.0</v>
      </c>
      <c r="C43" s="25">
        <v>187.0</v>
      </c>
      <c r="D43" s="26">
        <v>46192.0</v>
      </c>
      <c r="E43" s="25">
        <v>1.0</v>
      </c>
      <c r="F43" s="25" t="s">
        <v>24</v>
      </c>
      <c r="G43" s="25" t="s">
        <v>34</v>
      </c>
      <c r="H43" s="25">
        <v>14.0</v>
      </c>
      <c r="I43" s="25">
        <v>24360.0</v>
      </c>
      <c r="J43" s="25" t="s">
        <v>35</v>
      </c>
      <c r="K43" s="25" t="s">
        <v>27</v>
      </c>
      <c r="L43" s="25" t="s">
        <v>80</v>
      </c>
      <c r="M43" s="25" t="s">
        <v>81</v>
      </c>
      <c r="N43" s="25">
        <v>48.0</v>
      </c>
      <c r="O43" s="25"/>
      <c r="P43" s="14">
        <v>6280.0</v>
      </c>
      <c r="Q43" s="15">
        <f>MEZCLA!$P43*MEZCLA!$E43</f>
        <v>6280</v>
      </c>
      <c r="R43" s="15">
        <f>MEZCLA!$Q43*16%</f>
        <v>1004.8</v>
      </c>
      <c r="S43" s="15">
        <f>MEZCLA!$Q43+MEZCLA!$R43</f>
        <v>7284.8</v>
      </c>
    </row>
    <row r="44" ht="15.75" customHeight="1">
      <c r="A44" s="10">
        <v>25.0</v>
      </c>
      <c r="B44" s="10">
        <v>38.0</v>
      </c>
      <c r="C44" s="25">
        <v>188.0</v>
      </c>
      <c r="D44" s="26">
        <v>46192.0</v>
      </c>
      <c r="E44" s="25">
        <v>1.0</v>
      </c>
      <c r="F44" s="25" t="s">
        <v>24</v>
      </c>
      <c r="G44" s="25" t="s">
        <v>48</v>
      </c>
      <c r="H44" s="25">
        <v>14.0</v>
      </c>
      <c r="I44" s="25">
        <v>24870.0</v>
      </c>
      <c r="J44" s="25" t="s">
        <v>49</v>
      </c>
      <c r="K44" s="25" t="s">
        <v>27</v>
      </c>
      <c r="L44" s="25" t="s">
        <v>81</v>
      </c>
      <c r="M44" s="25" t="s">
        <v>82</v>
      </c>
      <c r="N44" s="25">
        <v>48.0</v>
      </c>
      <c r="O44" s="25"/>
      <c r="P44" s="14">
        <v>6280.0</v>
      </c>
      <c r="Q44" s="15">
        <f>MEZCLA!$P44*MEZCLA!$E44</f>
        <v>6280</v>
      </c>
      <c r="R44" s="15">
        <f>MEZCLA!$Q44*16%</f>
        <v>1004.8</v>
      </c>
      <c r="S44" s="15">
        <f>MEZCLA!$Q44+MEZCLA!$R44</f>
        <v>7284.8</v>
      </c>
    </row>
    <row r="45" ht="15.75" customHeight="1">
      <c r="A45" s="10">
        <v>25.0</v>
      </c>
      <c r="B45" s="10">
        <v>39.0</v>
      </c>
      <c r="C45" s="25">
        <v>189.0</v>
      </c>
      <c r="D45" s="26">
        <v>46192.0</v>
      </c>
      <c r="E45" s="25">
        <v>1.0</v>
      </c>
      <c r="F45" s="25" t="s">
        <v>24</v>
      </c>
      <c r="G45" s="25" t="s">
        <v>25</v>
      </c>
      <c r="H45" s="25">
        <v>14.0</v>
      </c>
      <c r="I45" s="25">
        <v>24210.0</v>
      </c>
      <c r="J45" s="25" t="s">
        <v>26</v>
      </c>
      <c r="K45" s="25" t="s">
        <v>27</v>
      </c>
      <c r="L45" s="25" t="s">
        <v>82</v>
      </c>
      <c r="M45" s="25" t="s">
        <v>83</v>
      </c>
      <c r="N45" s="25">
        <v>48.0</v>
      </c>
      <c r="O45" s="25"/>
      <c r="P45" s="14">
        <v>6280.0</v>
      </c>
      <c r="Q45" s="15">
        <f>MEZCLA!$P45*MEZCLA!$E45</f>
        <v>6280</v>
      </c>
      <c r="R45" s="15">
        <f>MEZCLA!$Q45*16%</f>
        <v>1004.8</v>
      </c>
      <c r="S45" s="15">
        <f>MEZCLA!$Q45+MEZCLA!$R45</f>
        <v>7284.8</v>
      </c>
    </row>
    <row r="46" ht="15.75" customHeight="1">
      <c r="A46" s="10">
        <v>25.0</v>
      </c>
      <c r="B46" s="10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15"/>
      <c r="Q46" s="15">
        <f>MEZCLA!$P46*MEZCLA!$E46</f>
        <v>0</v>
      </c>
      <c r="R46" s="15">
        <f>MEZCLA!$Q46*16%</f>
        <v>0</v>
      </c>
      <c r="S46" s="15">
        <f>MEZCLA!$Q46+MEZCLA!$R46</f>
        <v>0</v>
      </c>
    </row>
    <row r="47" ht="15.75" customHeight="1">
      <c r="A47" s="10">
        <v>25.0</v>
      </c>
      <c r="B47" s="10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15"/>
      <c r="Q47" s="15">
        <f>MEZCLA!$P47*MEZCLA!$E47</f>
        <v>0</v>
      </c>
      <c r="R47" s="15">
        <f>MEZCLA!$Q47*16%</f>
        <v>0</v>
      </c>
      <c r="S47" s="15">
        <f>MEZCLA!$Q47+MEZCLA!$R47</f>
        <v>0</v>
      </c>
    </row>
    <row r="48" ht="15.75" customHeight="1">
      <c r="A48" s="10">
        <v>25.0</v>
      </c>
      <c r="B48" s="10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15"/>
      <c r="Q48" s="15">
        <f>MEZCLA!$P48*MEZCLA!$E48</f>
        <v>0</v>
      </c>
      <c r="R48" s="15">
        <f>MEZCLA!$Q48*16%</f>
        <v>0</v>
      </c>
      <c r="S48" s="15">
        <f>MEZCLA!$Q48+MEZCLA!$R48</f>
        <v>0</v>
      </c>
    </row>
    <row r="49" ht="15.75" customHeight="1">
      <c r="A49" s="10">
        <v>25.0</v>
      </c>
      <c r="B49" s="10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15"/>
      <c r="Q49" s="15">
        <f>MEZCLA!$P49*MEZCLA!$E49</f>
        <v>0</v>
      </c>
      <c r="R49" s="15">
        <f>MEZCLA!$Q49*16%</f>
        <v>0</v>
      </c>
      <c r="S49" s="15">
        <f>MEZCLA!$Q49+MEZCLA!$R49</f>
        <v>0</v>
      </c>
    </row>
    <row r="50" ht="15.75" customHeight="1">
      <c r="A50" s="10">
        <v>25.0</v>
      </c>
      <c r="B50" s="10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15"/>
      <c r="Q50" s="15">
        <f>MEZCLA!$P50*MEZCLA!$E50</f>
        <v>0</v>
      </c>
      <c r="R50" s="15">
        <f>MEZCLA!$Q50*16%</f>
        <v>0</v>
      </c>
      <c r="S50" s="15">
        <f>MEZCLA!$Q50+MEZCLA!$R50</f>
        <v>0</v>
      </c>
    </row>
    <row r="51" ht="15.75" customHeight="1">
      <c r="A51" s="10">
        <v>25.0</v>
      </c>
      <c r="B51" s="10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15"/>
      <c r="Q51" s="15">
        <f>MEZCLA!$P51*MEZCLA!$E51</f>
        <v>0</v>
      </c>
      <c r="R51" s="15">
        <f>MEZCLA!$Q51*16%</f>
        <v>0</v>
      </c>
      <c r="S51" s="15">
        <f>MEZCLA!$Q51+MEZCLA!$R51</f>
        <v>0</v>
      </c>
    </row>
    <row r="52" ht="15.75" customHeight="1">
      <c r="A52" s="10">
        <v>25.0</v>
      </c>
      <c r="B52" s="10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15"/>
      <c r="Q52" s="15">
        <f>MEZCLA!$P52*MEZCLA!$E52</f>
        <v>0</v>
      </c>
      <c r="R52" s="15">
        <f>MEZCLA!$Q52*16%</f>
        <v>0</v>
      </c>
      <c r="S52" s="15">
        <f>MEZCLA!$Q52+MEZCLA!$R52</f>
        <v>0</v>
      </c>
    </row>
    <row r="53" ht="15.75" customHeight="1">
      <c r="A53" s="10">
        <v>25.0</v>
      </c>
      <c r="B53" s="10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15"/>
      <c r="Q53" s="15">
        <f>MEZCLA!$P53*MEZCLA!$E53</f>
        <v>0</v>
      </c>
      <c r="R53" s="15">
        <f>MEZCLA!$Q53*16%</f>
        <v>0</v>
      </c>
      <c r="S53" s="15">
        <f>MEZCLA!$Q53+MEZCLA!$R53</f>
        <v>0</v>
      </c>
    </row>
    <row r="54" ht="15.75" customHeight="1">
      <c r="A54" s="10">
        <v>25.0</v>
      </c>
      <c r="B54" s="10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15"/>
      <c r="Q54" s="15">
        <f>MEZCLA!$P54*MEZCLA!$E54</f>
        <v>0</v>
      </c>
      <c r="R54" s="15">
        <f>MEZCLA!$Q54*16%</f>
        <v>0</v>
      </c>
      <c r="S54" s="15">
        <f>MEZCLA!$Q54+MEZCLA!$R54</f>
        <v>0</v>
      </c>
    </row>
    <row r="55" ht="15.75" customHeight="1">
      <c r="A55" s="10">
        <v>25.0</v>
      </c>
      <c r="B55" s="1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15"/>
      <c r="Q55" s="15">
        <f>MEZCLA!$P55*MEZCLA!$E55</f>
        <v>0</v>
      </c>
      <c r="R55" s="15">
        <f>MEZCLA!$Q55*16%</f>
        <v>0</v>
      </c>
      <c r="S55" s="15">
        <f>MEZCLA!$Q55+MEZCLA!$R55</f>
        <v>0</v>
      </c>
    </row>
    <row r="56" ht="15.75" customHeight="1">
      <c r="A56" s="10">
        <v>25.0</v>
      </c>
      <c r="B56" s="10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15"/>
      <c r="Q56" s="15">
        <f>MEZCLA!$P56*MEZCLA!$E56</f>
        <v>0</v>
      </c>
      <c r="R56" s="15">
        <f>MEZCLA!$Q56*16%</f>
        <v>0</v>
      </c>
      <c r="S56" s="15">
        <f>MEZCLA!$Q56+MEZCLA!$R56</f>
        <v>0</v>
      </c>
    </row>
    <row r="57" ht="15.75" customHeight="1">
      <c r="A57" s="10">
        <v>25.0</v>
      </c>
      <c r="B57" s="1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15"/>
      <c r="Q57" s="15">
        <f>MEZCLA!$P57*MEZCLA!$E57</f>
        <v>0</v>
      </c>
      <c r="R57" s="15">
        <f>MEZCLA!$Q57*16%</f>
        <v>0</v>
      </c>
      <c r="S57" s="15">
        <f>MEZCLA!$Q57+MEZCLA!$R57</f>
        <v>0</v>
      </c>
    </row>
    <row r="58" ht="15.75" customHeight="1">
      <c r="A58" s="10">
        <v>52.0</v>
      </c>
      <c r="B58" s="1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15"/>
      <c r="Q58" s="15">
        <f>MEZCLA!$P58*MEZCLA!$E58</f>
        <v>0</v>
      </c>
      <c r="R58" s="15">
        <f>MEZCLA!$Q58*16%</f>
        <v>0</v>
      </c>
      <c r="S58" s="15">
        <f>MEZCLA!$Q58+MEZCLA!$R58</f>
        <v>0</v>
      </c>
    </row>
    <row r="59" ht="15.75" customHeight="1">
      <c r="A59" s="10">
        <v>53.0</v>
      </c>
      <c r="B59" s="10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15"/>
      <c r="Q59" s="15">
        <f>MEZCLA!$P59*MEZCLA!$E59</f>
        <v>0</v>
      </c>
      <c r="R59" s="15">
        <f>MEZCLA!$Q59*16%</f>
        <v>0</v>
      </c>
      <c r="S59" s="15">
        <f>MEZCLA!$Q59+MEZCLA!$R59</f>
        <v>0</v>
      </c>
    </row>
    <row r="60" ht="15.75" customHeight="1">
      <c r="A60" s="10">
        <v>54.0</v>
      </c>
      <c r="B60" s="10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15"/>
      <c r="Q60" s="15">
        <f>MEZCLA!$P60*MEZCLA!$E60</f>
        <v>0</v>
      </c>
      <c r="R60" s="15">
        <f>MEZCLA!$Q60*16%</f>
        <v>0</v>
      </c>
      <c r="S60" s="15">
        <f>MEZCLA!$Q60+MEZCLA!$R60</f>
        <v>0</v>
      </c>
    </row>
    <row r="61" ht="15.75" customHeight="1">
      <c r="A61" s="10">
        <v>55.0</v>
      </c>
      <c r="B61" s="1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15"/>
      <c r="Q61" s="15">
        <f>MEZCLA!$P61*MEZCLA!$E61</f>
        <v>0</v>
      </c>
      <c r="R61" s="15">
        <f>MEZCLA!$Q61*16%</f>
        <v>0</v>
      </c>
      <c r="S61" s="15">
        <f>MEZCLA!$Q61+MEZCLA!$R61</f>
        <v>0</v>
      </c>
    </row>
    <row r="62" ht="15.75" customHeight="1">
      <c r="A62" s="27" t="s">
        <v>84</v>
      </c>
      <c r="B62" s="27"/>
      <c r="C62" s="28"/>
      <c r="D62" s="28"/>
      <c r="E62" s="28">
        <f>SUBTOTAL(109,MEZCLA!$E$7:$E$61)</f>
        <v>39</v>
      </c>
      <c r="F62" s="28"/>
      <c r="G62" s="28"/>
      <c r="H62" s="28">
        <f>SUBTOTAL(109,MEZCLA!$H$7:$H$61)</f>
        <v>546</v>
      </c>
      <c r="I62" s="28"/>
      <c r="J62" s="28"/>
      <c r="K62" s="28"/>
      <c r="L62" s="28"/>
      <c r="M62" s="28"/>
      <c r="N62" s="28"/>
      <c r="O62" s="28"/>
      <c r="P62" s="29"/>
      <c r="Q62" s="29">
        <f>SUBTOTAL(109,MEZCLA!$Q$7:$Q$61)</f>
        <v>244920</v>
      </c>
      <c r="R62" s="29">
        <f>SUBTOTAL(109,MEZCLA!$R$7:$R$61)</f>
        <v>39187.2</v>
      </c>
      <c r="S62" s="29">
        <f>SUBTOTAL(109,MEZCLA!$S$7:$S$61)</f>
        <v>284107.2</v>
      </c>
      <c r="T62" s="30"/>
      <c r="U62" s="30"/>
      <c r="V62" s="30"/>
      <c r="W62" s="30"/>
      <c r="X62" s="30"/>
      <c r="Y62" s="30"/>
      <c r="Z62" s="30"/>
    </row>
    <row r="63" ht="15.75" customHeight="1">
      <c r="A63" s="1"/>
      <c r="B63" s="1"/>
      <c r="P63" s="2"/>
      <c r="Q63" s="2"/>
      <c r="R63" s="2"/>
      <c r="S63" s="2"/>
    </row>
    <row r="64" ht="15.75" customHeight="1">
      <c r="A64" s="1"/>
      <c r="B64" s="1"/>
      <c r="P64" s="2"/>
      <c r="Q64" s="2"/>
      <c r="R64" s="2"/>
      <c r="S64" s="2"/>
    </row>
    <row r="65" ht="15.75" customHeight="1">
      <c r="A65" s="1"/>
      <c r="B65" s="1"/>
      <c r="P65" s="2"/>
      <c r="Q65" s="2"/>
      <c r="R65" s="2"/>
      <c r="S65" s="2"/>
    </row>
    <row r="66" ht="15.75" customHeight="1">
      <c r="A66" s="1"/>
      <c r="B66" s="1"/>
      <c r="P66" s="2"/>
      <c r="Q66" s="2"/>
      <c r="R66" s="2"/>
      <c r="S66" s="2"/>
    </row>
    <row r="67" ht="15.75" customHeight="1">
      <c r="A67" s="1"/>
      <c r="B67" s="1"/>
      <c r="P67" s="2"/>
      <c r="Q67" s="2"/>
      <c r="R67" s="2"/>
      <c r="S67" s="2"/>
    </row>
    <row r="68" ht="15.75" customHeight="1">
      <c r="A68" s="1"/>
      <c r="B68" s="1"/>
      <c r="P68" s="2"/>
      <c r="Q68" s="2"/>
      <c r="R68" s="2"/>
      <c r="S68" s="2"/>
    </row>
    <row r="69" ht="15.75" customHeight="1">
      <c r="A69" s="1"/>
      <c r="B69" s="1"/>
      <c r="P69" s="2"/>
      <c r="Q69" s="2"/>
      <c r="R69" s="2"/>
      <c r="S69" s="2"/>
    </row>
    <row r="70" ht="15.75" customHeight="1">
      <c r="A70" s="1"/>
      <c r="B70" s="1"/>
      <c r="P70" s="2"/>
      <c r="Q70" s="2"/>
      <c r="R70" s="2"/>
      <c r="S70" s="2"/>
    </row>
    <row r="71" ht="15.75" customHeight="1">
      <c r="A71" s="1"/>
      <c r="B71" s="1"/>
      <c r="P71" s="2"/>
      <c r="Q71" s="2"/>
      <c r="R71" s="2"/>
      <c r="S71" s="2"/>
    </row>
    <row r="72" ht="15.75" customHeight="1">
      <c r="A72" s="1"/>
      <c r="B72" s="1"/>
      <c r="P72" s="2"/>
      <c r="Q72" s="2"/>
      <c r="R72" s="2"/>
      <c r="S72" s="2"/>
    </row>
    <row r="73" ht="15.75" customHeight="1">
      <c r="A73" s="1"/>
      <c r="B73" s="1"/>
      <c r="P73" s="2"/>
      <c r="Q73" s="2"/>
      <c r="R73" s="2"/>
      <c r="S73" s="2"/>
    </row>
    <row r="74" ht="15.75" customHeight="1">
      <c r="A74" s="1"/>
      <c r="B74" s="1"/>
      <c r="P74" s="2"/>
      <c r="Q74" s="2"/>
      <c r="R74" s="2"/>
      <c r="S74" s="2"/>
    </row>
    <row r="75" ht="15.75" customHeight="1">
      <c r="A75" s="1"/>
      <c r="B75" s="1"/>
      <c r="P75" s="2"/>
      <c r="Q75" s="2"/>
      <c r="R75" s="2"/>
      <c r="S75" s="2"/>
    </row>
    <row r="76" ht="15.75" customHeight="1">
      <c r="A76" s="1"/>
      <c r="B76" s="1"/>
      <c r="P76" s="2"/>
      <c r="Q76" s="2"/>
      <c r="R76" s="2"/>
      <c r="S76" s="2"/>
    </row>
    <row r="77" ht="15.75" customHeight="1">
      <c r="A77" s="1"/>
      <c r="B77" s="1"/>
      <c r="P77" s="2"/>
      <c r="Q77" s="2"/>
      <c r="R77" s="2"/>
      <c r="S77" s="2"/>
    </row>
    <row r="78" ht="15.75" customHeight="1">
      <c r="A78" s="1"/>
      <c r="B78" s="1"/>
      <c r="P78" s="2"/>
      <c r="Q78" s="2"/>
      <c r="R78" s="2"/>
      <c r="S78" s="2"/>
    </row>
    <row r="79" ht="15.75" customHeight="1">
      <c r="A79" s="1"/>
      <c r="B79" s="1"/>
      <c r="P79" s="2"/>
      <c r="Q79" s="2"/>
      <c r="R79" s="2"/>
      <c r="S79" s="2"/>
    </row>
    <row r="80" ht="15.75" customHeight="1">
      <c r="A80" s="1"/>
      <c r="B80" s="1"/>
      <c r="P80" s="2"/>
      <c r="Q80" s="2"/>
      <c r="R80" s="2"/>
      <c r="S80" s="2"/>
    </row>
    <row r="81" ht="15.75" customHeight="1">
      <c r="A81" s="1"/>
      <c r="B81" s="1"/>
      <c r="P81" s="2"/>
      <c r="Q81" s="2"/>
      <c r="R81" s="2"/>
      <c r="S81" s="2"/>
    </row>
    <row r="82" ht="15.75" customHeight="1">
      <c r="A82" s="1"/>
      <c r="B82" s="1"/>
      <c r="P82" s="2"/>
      <c r="Q82" s="2"/>
      <c r="R82" s="2"/>
      <c r="S82" s="2"/>
    </row>
    <row r="83" ht="15.75" customHeight="1">
      <c r="A83" s="1"/>
      <c r="B83" s="1"/>
      <c r="P83" s="2"/>
      <c r="Q83" s="2"/>
      <c r="R83" s="2"/>
      <c r="S83" s="2"/>
    </row>
    <row r="84" ht="15.75" customHeight="1">
      <c r="A84" s="1"/>
      <c r="B84" s="1"/>
      <c r="P84" s="2"/>
      <c r="Q84" s="2"/>
      <c r="R84" s="2"/>
      <c r="S84" s="2"/>
    </row>
    <row r="85" ht="15.75" customHeight="1">
      <c r="A85" s="1"/>
      <c r="B85" s="1"/>
      <c r="P85" s="2"/>
      <c r="Q85" s="2"/>
      <c r="R85" s="2"/>
      <c r="S85" s="2"/>
    </row>
    <row r="86" ht="15.75" customHeight="1">
      <c r="A86" s="1"/>
      <c r="B86" s="1"/>
      <c r="P86" s="2"/>
      <c r="Q86" s="2"/>
      <c r="R86" s="2"/>
      <c r="S86" s="2"/>
    </row>
    <row r="87" ht="15.75" customHeight="1">
      <c r="A87" s="1"/>
      <c r="B87" s="1"/>
      <c r="P87" s="2"/>
      <c r="Q87" s="2"/>
      <c r="R87" s="2"/>
      <c r="S87" s="2"/>
    </row>
    <row r="88" ht="15.75" customHeight="1">
      <c r="A88" s="1"/>
      <c r="B88" s="1"/>
      <c r="P88" s="2"/>
      <c r="Q88" s="2"/>
      <c r="R88" s="2"/>
      <c r="S88" s="2"/>
    </row>
    <row r="89" ht="15.75" customHeight="1">
      <c r="A89" s="1"/>
      <c r="B89" s="1"/>
      <c r="P89" s="2"/>
      <c r="Q89" s="2"/>
      <c r="R89" s="2"/>
      <c r="S89" s="2"/>
    </row>
    <row r="90" ht="15.75" customHeight="1">
      <c r="A90" s="1"/>
      <c r="B90" s="1"/>
      <c r="P90" s="2"/>
      <c r="Q90" s="2"/>
      <c r="R90" s="2"/>
      <c r="S90" s="2"/>
    </row>
    <row r="91" ht="15.75" customHeight="1">
      <c r="A91" s="1"/>
      <c r="B91" s="1"/>
      <c r="P91" s="2"/>
      <c r="Q91" s="2"/>
      <c r="R91" s="2"/>
      <c r="S91" s="2"/>
    </row>
    <row r="92" ht="15.75" customHeight="1">
      <c r="A92" s="1"/>
      <c r="B92" s="1"/>
      <c r="P92" s="2"/>
      <c r="Q92" s="2"/>
      <c r="R92" s="2"/>
      <c r="S92" s="2"/>
    </row>
    <row r="93" ht="15.75" customHeight="1">
      <c r="A93" s="1"/>
      <c r="B93" s="1"/>
      <c r="P93" s="2"/>
      <c r="Q93" s="2"/>
      <c r="R93" s="2"/>
      <c r="S93" s="2"/>
    </row>
    <row r="94" ht="15.75" customHeight="1">
      <c r="A94" s="1"/>
      <c r="B94" s="1"/>
      <c r="P94" s="2"/>
      <c r="Q94" s="2"/>
      <c r="R94" s="2"/>
      <c r="S94" s="2"/>
    </row>
    <row r="95" ht="15.75" customHeight="1">
      <c r="A95" s="1"/>
      <c r="B95" s="1"/>
      <c r="P95" s="2"/>
      <c r="Q95" s="2"/>
      <c r="R95" s="2"/>
      <c r="S95" s="2"/>
    </row>
    <row r="96" ht="15.75" customHeight="1">
      <c r="A96" s="1"/>
      <c r="B96" s="1"/>
      <c r="P96" s="2"/>
      <c r="Q96" s="2"/>
      <c r="R96" s="2"/>
      <c r="S96" s="2"/>
    </row>
    <row r="97" ht="15.75" customHeight="1">
      <c r="A97" s="1"/>
      <c r="B97" s="1"/>
      <c r="P97" s="2"/>
      <c r="Q97" s="2"/>
      <c r="R97" s="2"/>
      <c r="S97" s="2"/>
    </row>
    <row r="98" ht="15.75" customHeight="1">
      <c r="A98" s="1"/>
      <c r="B98" s="1"/>
      <c r="P98" s="2"/>
      <c r="Q98" s="2"/>
      <c r="R98" s="2"/>
      <c r="S98" s="2"/>
    </row>
    <row r="99" ht="15.75" customHeight="1">
      <c r="A99" s="1"/>
      <c r="B99" s="1"/>
      <c r="P99" s="2"/>
      <c r="Q99" s="2"/>
      <c r="R99" s="2"/>
      <c r="S99" s="2"/>
    </row>
    <row r="100" ht="15.75" customHeight="1">
      <c r="A100" s="1"/>
      <c r="B100" s="1"/>
      <c r="P100" s="2"/>
      <c r="Q100" s="2"/>
      <c r="R100" s="2"/>
      <c r="S100" s="2"/>
    </row>
    <row r="101" ht="15.75" customHeight="1">
      <c r="A101" s="1"/>
      <c r="B101" s="1"/>
      <c r="P101" s="2"/>
      <c r="Q101" s="2"/>
      <c r="R101" s="2"/>
      <c r="S101" s="2"/>
    </row>
    <row r="102" ht="15.75" customHeight="1">
      <c r="A102" s="1"/>
      <c r="B102" s="1"/>
      <c r="P102" s="2"/>
      <c r="Q102" s="2"/>
      <c r="R102" s="2"/>
      <c r="S102" s="2"/>
    </row>
    <row r="103" ht="15.75" customHeight="1">
      <c r="A103" s="1"/>
      <c r="B103" s="1"/>
      <c r="P103" s="2"/>
      <c r="Q103" s="2"/>
      <c r="R103" s="2"/>
      <c r="S103" s="2"/>
    </row>
    <row r="104" ht="15.75" customHeight="1">
      <c r="A104" s="1"/>
      <c r="B104" s="1"/>
      <c r="P104" s="2"/>
      <c r="Q104" s="2"/>
      <c r="R104" s="2"/>
      <c r="S104" s="2"/>
    </row>
    <row r="105" ht="15.75" customHeight="1">
      <c r="A105" s="1"/>
      <c r="B105" s="1"/>
      <c r="P105" s="2"/>
      <c r="Q105" s="2"/>
      <c r="R105" s="2"/>
      <c r="S105" s="2"/>
    </row>
    <row r="106" ht="15.75" customHeight="1">
      <c r="A106" s="1"/>
      <c r="B106" s="1"/>
      <c r="P106" s="2"/>
      <c r="Q106" s="2"/>
      <c r="R106" s="2"/>
      <c r="S106" s="2"/>
    </row>
    <row r="107" ht="15.75" customHeight="1">
      <c r="A107" s="1"/>
      <c r="B107" s="1"/>
      <c r="P107" s="2"/>
      <c r="Q107" s="2"/>
      <c r="R107" s="2"/>
      <c r="S107" s="2"/>
    </row>
    <row r="108" ht="15.75" customHeight="1">
      <c r="A108" s="1"/>
      <c r="B108" s="1"/>
      <c r="P108" s="2"/>
      <c r="Q108" s="2"/>
      <c r="R108" s="2"/>
      <c r="S108" s="2"/>
    </row>
    <row r="109" ht="15.75" customHeight="1">
      <c r="A109" s="1"/>
      <c r="B109" s="1"/>
      <c r="P109" s="2"/>
      <c r="Q109" s="2"/>
      <c r="R109" s="2"/>
      <c r="S109" s="2"/>
    </row>
    <row r="110" ht="15.75" customHeight="1">
      <c r="A110" s="1"/>
      <c r="B110" s="1"/>
      <c r="P110" s="2"/>
      <c r="Q110" s="2"/>
      <c r="R110" s="2"/>
      <c r="S110" s="2"/>
    </row>
    <row r="111" ht="15.75" customHeight="1">
      <c r="A111" s="1"/>
      <c r="B111" s="1"/>
      <c r="P111" s="2"/>
      <c r="Q111" s="2"/>
      <c r="R111" s="2"/>
      <c r="S111" s="2"/>
    </row>
    <row r="112" ht="15.75" customHeight="1">
      <c r="A112" s="1"/>
      <c r="B112" s="1"/>
      <c r="P112" s="2"/>
      <c r="Q112" s="2"/>
      <c r="R112" s="2"/>
      <c r="S112" s="2"/>
    </row>
    <row r="113" ht="15.75" customHeight="1">
      <c r="A113" s="1"/>
      <c r="B113" s="1"/>
      <c r="P113" s="2"/>
      <c r="Q113" s="2"/>
      <c r="R113" s="2"/>
      <c r="S113" s="2"/>
    </row>
    <row r="114" ht="15.75" customHeight="1">
      <c r="A114" s="1"/>
      <c r="B114" s="1"/>
      <c r="C114" s="31">
        <v>1.0</v>
      </c>
      <c r="P114" s="2"/>
      <c r="Q114" s="2"/>
      <c r="R114" s="2"/>
      <c r="S114" s="2"/>
    </row>
    <row r="115" ht="15.75" customHeight="1">
      <c r="A115" s="1"/>
      <c r="B115" s="1"/>
      <c r="C115" s="31">
        <v>1.0</v>
      </c>
      <c r="P115" s="2"/>
      <c r="Q115" s="2"/>
      <c r="R115" s="2"/>
      <c r="S115" s="2"/>
    </row>
    <row r="116" ht="15.75" customHeight="1">
      <c r="A116" s="1"/>
      <c r="B116" s="1"/>
      <c r="P116" s="2"/>
      <c r="Q116" s="2"/>
      <c r="R116" s="2"/>
      <c r="S116" s="2"/>
    </row>
    <row r="117" ht="15.75" customHeight="1">
      <c r="A117" s="1"/>
      <c r="B117" s="1"/>
      <c r="P117" s="2"/>
      <c r="Q117" s="2"/>
      <c r="R117" s="2"/>
      <c r="S117" s="2"/>
    </row>
    <row r="118" ht="15.75" customHeight="1">
      <c r="A118" s="1"/>
      <c r="B118" s="1"/>
      <c r="P118" s="2"/>
      <c r="Q118" s="2"/>
      <c r="R118" s="2"/>
      <c r="S118" s="2"/>
    </row>
    <row r="119" ht="15.75" customHeight="1">
      <c r="A119" s="1"/>
      <c r="B119" s="1"/>
      <c r="P119" s="2"/>
      <c r="Q119" s="2"/>
      <c r="R119" s="2"/>
      <c r="S119" s="2"/>
    </row>
    <row r="120" ht="15.75" customHeight="1">
      <c r="A120" s="1"/>
      <c r="B120" s="1"/>
      <c r="P120" s="2"/>
      <c r="Q120" s="2"/>
      <c r="R120" s="2"/>
      <c r="S120" s="2"/>
    </row>
    <row r="121" ht="15.75" customHeight="1">
      <c r="A121" s="1"/>
      <c r="B121" s="1"/>
      <c r="P121" s="2"/>
      <c r="Q121" s="2"/>
      <c r="R121" s="2"/>
      <c r="S121" s="2"/>
    </row>
    <row r="122" ht="15.75" customHeight="1">
      <c r="A122" s="1"/>
      <c r="B122" s="1"/>
      <c r="P122" s="2"/>
      <c r="Q122" s="2"/>
      <c r="R122" s="2"/>
      <c r="S122" s="2"/>
    </row>
    <row r="123" ht="15.75" customHeight="1">
      <c r="A123" s="1"/>
      <c r="B123" s="1"/>
      <c r="P123" s="2"/>
      <c r="Q123" s="2"/>
      <c r="R123" s="2"/>
      <c r="S123" s="2"/>
    </row>
    <row r="124" ht="15.75" customHeight="1">
      <c r="A124" s="1"/>
      <c r="B124" s="1"/>
      <c r="P124" s="2"/>
      <c r="Q124" s="2"/>
      <c r="R124" s="2"/>
      <c r="S124" s="2"/>
    </row>
    <row r="125" ht="15.75" customHeight="1">
      <c r="A125" s="1"/>
      <c r="B125" s="1"/>
      <c r="P125" s="2"/>
      <c r="Q125" s="2"/>
      <c r="R125" s="2"/>
      <c r="S125" s="2"/>
    </row>
    <row r="126" ht="15.75" customHeight="1">
      <c r="A126" s="1"/>
      <c r="B126" s="1"/>
      <c r="P126" s="2"/>
      <c r="Q126" s="2"/>
      <c r="R126" s="2"/>
      <c r="S126" s="2"/>
    </row>
    <row r="127" ht="15.75" customHeight="1">
      <c r="A127" s="1"/>
      <c r="B127" s="1"/>
      <c r="P127" s="2"/>
      <c r="Q127" s="2"/>
      <c r="R127" s="2"/>
      <c r="S127" s="2"/>
    </row>
    <row r="128" ht="15.75" customHeight="1">
      <c r="A128" s="1"/>
      <c r="B128" s="1"/>
      <c r="P128" s="2"/>
      <c r="Q128" s="2"/>
      <c r="R128" s="2"/>
      <c r="S128" s="2"/>
    </row>
    <row r="129" ht="15.75" customHeight="1">
      <c r="A129" s="1"/>
      <c r="B129" s="1"/>
      <c r="P129" s="2"/>
      <c r="Q129" s="2"/>
      <c r="R129" s="2"/>
      <c r="S129" s="2"/>
    </row>
    <row r="130" ht="15.75" customHeight="1">
      <c r="A130" s="1"/>
      <c r="B130" s="1"/>
      <c r="P130" s="2"/>
      <c r="Q130" s="2"/>
      <c r="R130" s="2"/>
      <c r="S130" s="2"/>
    </row>
    <row r="131" ht="15.75" customHeight="1">
      <c r="A131" s="1"/>
      <c r="B131" s="1"/>
      <c r="P131" s="2"/>
      <c r="Q131" s="2"/>
      <c r="R131" s="2"/>
      <c r="S131" s="2"/>
    </row>
    <row r="132" ht="15.75" customHeight="1">
      <c r="A132" s="1"/>
      <c r="B132" s="1"/>
      <c r="P132" s="2"/>
      <c r="Q132" s="2"/>
      <c r="R132" s="2"/>
      <c r="S132" s="2"/>
    </row>
    <row r="133" ht="15.75" customHeight="1">
      <c r="A133" s="1"/>
      <c r="B133" s="1"/>
      <c r="P133" s="2"/>
      <c r="Q133" s="2"/>
      <c r="R133" s="2"/>
      <c r="S133" s="2"/>
    </row>
    <row r="134" ht="15.75" customHeight="1">
      <c r="A134" s="1"/>
      <c r="B134" s="1"/>
      <c r="P134" s="2"/>
      <c r="Q134" s="2"/>
      <c r="R134" s="2"/>
      <c r="S134" s="2"/>
    </row>
    <row r="135" ht="15.75" customHeight="1">
      <c r="A135" s="1"/>
      <c r="B135" s="1"/>
      <c r="P135" s="2"/>
      <c r="Q135" s="2"/>
      <c r="R135" s="2"/>
      <c r="S135" s="2"/>
    </row>
    <row r="136" ht="15.75" customHeight="1">
      <c r="A136" s="1"/>
      <c r="B136" s="1"/>
      <c r="P136" s="2"/>
      <c r="Q136" s="2"/>
      <c r="R136" s="2"/>
      <c r="S136" s="2"/>
    </row>
    <row r="137" ht="15.75" customHeight="1">
      <c r="A137" s="1"/>
      <c r="B137" s="1"/>
      <c r="P137" s="2"/>
      <c r="Q137" s="2"/>
      <c r="R137" s="2"/>
      <c r="S137" s="2"/>
    </row>
    <row r="138" ht="15.75" customHeight="1">
      <c r="A138" s="1"/>
      <c r="B138" s="1"/>
      <c r="P138" s="2"/>
      <c r="Q138" s="2"/>
      <c r="R138" s="2"/>
      <c r="S138" s="2"/>
    </row>
    <row r="139" ht="15.75" customHeight="1">
      <c r="A139" s="1"/>
      <c r="B139" s="1"/>
      <c r="P139" s="2"/>
      <c r="Q139" s="2"/>
      <c r="R139" s="2"/>
      <c r="S139" s="2"/>
    </row>
    <row r="140" ht="15.75" customHeight="1">
      <c r="A140" s="1"/>
      <c r="B140" s="1"/>
      <c r="P140" s="2"/>
      <c r="Q140" s="2"/>
      <c r="R140" s="2"/>
      <c r="S140" s="2"/>
    </row>
    <row r="141" ht="15.75" customHeight="1">
      <c r="A141" s="1"/>
      <c r="B141" s="1"/>
      <c r="P141" s="2"/>
      <c r="Q141" s="2"/>
      <c r="R141" s="2"/>
      <c r="S141" s="2"/>
    </row>
    <row r="142" ht="15.75" customHeight="1">
      <c r="A142" s="1"/>
      <c r="B142" s="1"/>
      <c r="P142" s="2"/>
      <c r="Q142" s="2"/>
      <c r="R142" s="2"/>
      <c r="S142" s="2"/>
    </row>
    <row r="143" ht="15.75" customHeight="1">
      <c r="A143" s="1"/>
      <c r="B143" s="1"/>
      <c r="P143" s="2"/>
      <c r="Q143" s="2"/>
      <c r="R143" s="2"/>
      <c r="S143" s="2"/>
    </row>
    <row r="144" ht="15.75" customHeight="1">
      <c r="A144" s="1"/>
      <c r="B144" s="1"/>
      <c r="P144" s="2"/>
      <c r="Q144" s="2"/>
      <c r="R144" s="2"/>
      <c r="S144" s="2"/>
    </row>
    <row r="145" ht="15.75" customHeight="1">
      <c r="A145" s="1"/>
      <c r="B145" s="1"/>
      <c r="P145" s="2"/>
      <c r="Q145" s="2"/>
      <c r="R145" s="2"/>
      <c r="S145" s="2"/>
    </row>
    <row r="146" ht="15.75" customHeight="1">
      <c r="A146" s="1"/>
      <c r="B146" s="1"/>
      <c r="P146" s="2"/>
      <c r="Q146" s="2"/>
      <c r="R146" s="2"/>
      <c r="S146" s="2"/>
    </row>
    <row r="147" ht="15.75" customHeight="1">
      <c r="A147" s="1"/>
      <c r="B147" s="1"/>
      <c r="P147" s="2"/>
      <c r="Q147" s="2"/>
      <c r="R147" s="2"/>
      <c r="S147" s="2"/>
    </row>
    <row r="148" ht="15.75" customHeight="1">
      <c r="A148" s="1"/>
      <c r="B148" s="1"/>
      <c r="P148" s="2"/>
      <c r="Q148" s="2"/>
      <c r="R148" s="2"/>
      <c r="S148" s="2"/>
    </row>
    <row r="149" ht="15.75" customHeight="1">
      <c r="A149" s="1"/>
      <c r="B149" s="1"/>
      <c r="P149" s="2"/>
      <c r="Q149" s="2"/>
      <c r="R149" s="2"/>
      <c r="S149" s="2"/>
    </row>
    <row r="150" ht="15.75" customHeight="1">
      <c r="A150" s="1"/>
      <c r="B150" s="1"/>
      <c r="P150" s="2"/>
      <c r="Q150" s="2"/>
      <c r="R150" s="2"/>
      <c r="S150" s="2"/>
    </row>
    <row r="151" ht="15.75" customHeight="1">
      <c r="A151" s="1"/>
      <c r="B151" s="1"/>
      <c r="P151" s="2"/>
      <c r="Q151" s="2"/>
      <c r="R151" s="2"/>
      <c r="S151" s="2"/>
    </row>
    <row r="152" ht="15.75" customHeight="1">
      <c r="A152" s="1"/>
      <c r="B152" s="1"/>
      <c r="P152" s="2"/>
      <c r="Q152" s="2"/>
      <c r="R152" s="2"/>
      <c r="S152" s="2"/>
    </row>
    <row r="153" ht="15.75" customHeight="1">
      <c r="A153" s="1"/>
      <c r="B153" s="1"/>
      <c r="P153" s="2"/>
      <c r="Q153" s="2"/>
      <c r="R153" s="2"/>
      <c r="S153" s="2"/>
    </row>
    <row r="154" ht="15.75" customHeight="1">
      <c r="A154" s="1"/>
      <c r="B154" s="1"/>
      <c r="P154" s="2"/>
      <c r="Q154" s="2"/>
      <c r="R154" s="2"/>
      <c r="S154" s="2"/>
    </row>
    <row r="155" ht="15.75" customHeight="1">
      <c r="A155" s="1"/>
      <c r="B155" s="1"/>
      <c r="P155" s="2"/>
      <c r="Q155" s="2"/>
      <c r="R155" s="2"/>
      <c r="S155" s="2"/>
    </row>
    <row r="156" ht="15.75" customHeight="1">
      <c r="A156" s="1"/>
      <c r="B156" s="1"/>
      <c r="P156" s="2"/>
      <c r="Q156" s="2"/>
      <c r="R156" s="2"/>
      <c r="S156" s="2"/>
    </row>
    <row r="157" ht="15.75" customHeight="1">
      <c r="A157" s="1"/>
      <c r="B157" s="1"/>
      <c r="P157" s="2"/>
      <c r="Q157" s="2"/>
      <c r="R157" s="2"/>
      <c r="S157" s="2"/>
    </row>
    <row r="158" ht="15.75" customHeight="1">
      <c r="A158" s="1"/>
      <c r="B158" s="1"/>
      <c r="P158" s="2"/>
      <c r="Q158" s="2"/>
      <c r="R158" s="2"/>
      <c r="S158" s="2"/>
    </row>
    <row r="159" ht="15.75" customHeight="1">
      <c r="A159" s="1"/>
      <c r="B159" s="1"/>
      <c r="P159" s="2"/>
      <c r="Q159" s="2"/>
      <c r="R159" s="2"/>
      <c r="S159" s="2"/>
    </row>
    <row r="160" ht="15.75" customHeight="1">
      <c r="A160" s="1"/>
      <c r="B160" s="1"/>
      <c r="P160" s="2"/>
      <c r="Q160" s="2"/>
      <c r="R160" s="2"/>
      <c r="S160" s="2"/>
    </row>
    <row r="161" ht="15.75" customHeight="1">
      <c r="A161" s="1"/>
      <c r="B161" s="1"/>
      <c r="P161" s="2"/>
      <c r="Q161" s="2"/>
      <c r="R161" s="2"/>
      <c r="S161" s="2"/>
    </row>
    <row r="162" ht="15.75" customHeight="1">
      <c r="A162" s="1"/>
      <c r="B162" s="1"/>
      <c r="P162" s="2"/>
      <c r="Q162" s="2"/>
      <c r="R162" s="2"/>
      <c r="S162" s="2"/>
    </row>
    <row r="163" ht="15.75" customHeight="1">
      <c r="A163" s="1"/>
      <c r="B163" s="1"/>
      <c r="P163" s="2"/>
      <c r="Q163" s="2"/>
      <c r="R163" s="2"/>
      <c r="S163" s="2"/>
    </row>
    <row r="164" ht="15.75" customHeight="1">
      <c r="A164" s="1"/>
      <c r="B164" s="1"/>
      <c r="P164" s="2"/>
      <c r="Q164" s="2"/>
      <c r="R164" s="2"/>
      <c r="S164" s="2"/>
    </row>
    <row r="165" ht="15.75" customHeight="1">
      <c r="A165" s="1"/>
      <c r="B165" s="1"/>
      <c r="P165" s="2"/>
      <c r="Q165" s="2"/>
      <c r="R165" s="2"/>
      <c r="S165" s="2"/>
    </row>
    <row r="166" ht="15.75" customHeight="1">
      <c r="A166" s="1"/>
      <c r="B166" s="1"/>
      <c r="P166" s="2"/>
      <c r="Q166" s="2"/>
      <c r="R166" s="2"/>
      <c r="S166" s="2"/>
    </row>
    <row r="167" ht="15.75" customHeight="1">
      <c r="A167" s="1"/>
      <c r="B167" s="1"/>
      <c r="P167" s="2"/>
      <c r="Q167" s="2"/>
      <c r="R167" s="2"/>
      <c r="S167" s="2"/>
    </row>
    <row r="168" ht="15.75" customHeight="1">
      <c r="A168" s="1"/>
      <c r="B168" s="1"/>
      <c r="P168" s="2"/>
      <c r="Q168" s="2"/>
      <c r="R168" s="2"/>
      <c r="S168" s="2"/>
    </row>
    <row r="169" ht="15.75" customHeight="1">
      <c r="A169" s="1"/>
      <c r="B169" s="1"/>
      <c r="P169" s="2"/>
      <c r="Q169" s="2"/>
      <c r="R169" s="2"/>
      <c r="S169" s="2"/>
    </row>
    <row r="170" ht="15.75" customHeight="1">
      <c r="A170" s="1"/>
      <c r="B170" s="1"/>
      <c r="P170" s="2"/>
      <c r="Q170" s="2"/>
      <c r="R170" s="2"/>
      <c r="S170" s="2"/>
    </row>
    <row r="171" ht="15.75" customHeight="1">
      <c r="A171" s="1"/>
      <c r="B171" s="1"/>
      <c r="P171" s="2"/>
      <c r="Q171" s="2"/>
      <c r="R171" s="2"/>
      <c r="S171" s="2"/>
    </row>
    <row r="172" ht="15.75" customHeight="1">
      <c r="A172" s="1"/>
      <c r="B172" s="1"/>
      <c r="P172" s="2"/>
      <c r="Q172" s="2"/>
      <c r="R172" s="2"/>
      <c r="S172" s="2"/>
    </row>
    <row r="173" ht="15.75" customHeight="1">
      <c r="A173" s="1"/>
      <c r="B173" s="1"/>
      <c r="P173" s="2"/>
      <c r="Q173" s="2"/>
      <c r="R173" s="2"/>
      <c r="S173" s="2"/>
    </row>
    <row r="174" ht="15.75" customHeight="1">
      <c r="A174" s="1"/>
      <c r="B174" s="1"/>
      <c r="P174" s="2"/>
      <c r="Q174" s="2"/>
      <c r="R174" s="2"/>
      <c r="S174" s="2"/>
    </row>
    <row r="175" ht="15.75" customHeight="1">
      <c r="A175" s="1"/>
      <c r="B175" s="1"/>
      <c r="P175" s="2"/>
      <c r="Q175" s="2"/>
      <c r="R175" s="2"/>
      <c r="S175" s="2"/>
    </row>
    <row r="176" ht="15.75" customHeight="1">
      <c r="A176" s="1"/>
      <c r="B176" s="1"/>
      <c r="P176" s="2"/>
      <c r="Q176" s="2"/>
      <c r="R176" s="2"/>
      <c r="S176" s="2"/>
    </row>
    <row r="177" ht="15.75" customHeight="1">
      <c r="A177" s="1"/>
      <c r="B177" s="1"/>
      <c r="P177" s="2"/>
      <c r="Q177" s="2"/>
      <c r="R177" s="2"/>
      <c r="S177" s="2"/>
    </row>
    <row r="178" ht="15.75" customHeight="1">
      <c r="A178" s="1"/>
      <c r="B178" s="1"/>
      <c r="P178" s="2"/>
      <c r="Q178" s="2"/>
      <c r="R178" s="2"/>
      <c r="S178" s="2"/>
    </row>
    <row r="179" ht="15.75" customHeight="1">
      <c r="A179" s="1"/>
      <c r="B179" s="1"/>
      <c r="P179" s="2"/>
      <c r="Q179" s="2"/>
      <c r="R179" s="2"/>
      <c r="S179" s="2"/>
    </row>
    <row r="180" ht="15.75" customHeight="1">
      <c r="A180" s="1"/>
      <c r="B180" s="1"/>
      <c r="P180" s="2"/>
      <c r="Q180" s="2"/>
      <c r="R180" s="2"/>
      <c r="S180" s="2"/>
    </row>
    <row r="181" ht="15.75" customHeight="1">
      <c r="A181" s="1"/>
      <c r="B181" s="1"/>
      <c r="P181" s="2"/>
      <c r="Q181" s="2"/>
      <c r="R181" s="2"/>
      <c r="S181" s="2"/>
    </row>
    <row r="182" ht="15.75" customHeight="1">
      <c r="A182" s="1"/>
      <c r="B182" s="1"/>
      <c r="P182" s="2"/>
      <c r="Q182" s="2"/>
      <c r="R182" s="2"/>
      <c r="S182" s="2"/>
    </row>
    <row r="183" ht="15.75" customHeight="1">
      <c r="A183" s="1"/>
      <c r="B183" s="1"/>
      <c r="P183" s="2"/>
      <c r="Q183" s="2"/>
      <c r="R183" s="2"/>
      <c r="S183" s="2"/>
    </row>
    <row r="184" ht="15.75" customHeight="1">
      <c r="A184" s="1"/>
      <c r="B184" s="1"/>
      <c r="P184" s="2"/>
      <c r="Q184" s="2"/>
      <c r="R184" s="2"/>
      <c r="S184" s="2"/>
    </row>
    <row r="185" ht="15.75" customHeight="1">
      <c r="A185" s="1"/>
      <c r="B185" s="1"/>
      <c r="P185" s="2"/>
      <c r="Q185" s="2"/>
      <c r="R185" s="2"/>
      <c r="S185" s="2"/>
    </row>
    <row r="186" ht="15.75" customHeight="1">
      <c r="A186" s="1"/>
      <c r="B186" s="1"/>
      <c r="P186" s="2"/>
      <c r="Q186" s="2"/>
      <c r="R186" s="2"/>
      <c r="S186" s="2"/>
    </row>
    <row r="187" ht="15.75" customHeight="1">
      <c r="A187" s="1"/>
      <c r="B187" s="1"/>
      <c r="P187" s="2"/>
      <c r="Q187" s="2"/>
      <c r="R187" s="2"/>
      <c r="S187" s="2"/>
    </row>
    <row r="188" ht="15.75" customHeight="1">
      <c r="A188" s="1"/>
      <c r="B188" s="1"/>
      <c r="P188" s="2"/>
      <c r="Q188" s="2"/>
      <c r="R188" s="2"/>
      <c r="S188" s="2"/>
    </row>
    <row r="189" ht="15.75" customHeight="1">
      <c r="A189" s="1"/>
      <c r="B189" s="1"/>
      <c r="P189" s="2"/>
      <c r="Q189" s="2"/>
      <c r="R189" s="2"/>
      <c r="S189" s="2"/>
    </row>
    <row r="190" ht="15.75" customHeight="1">
      <c r="A190" s="1"/>
      <c r="B190" s="1"/>
      <c r="P190" s="2"/>
      <c r="Q190" s="2"/>
      <c r="R190" s="2"/>
      <c r="S190" s="2"/>
    </row>
    <row r="191" ht="15.75" customHeight="1">
      <c r="A191" s="1"/>
      <c r="B191" s="1"/>
      <c r="P191" s="2"/>
      <c r="Q191" s="2"/>
      <c r="R191" s="2"/>
      <c r="S191" s="2"/>
    </row>
    <row r="192" ht="15.75" customHeight="1">
      <c r="A192" s="1"/>
      <c r="B192" s="1"/>
      <c r="P192" s="2"/>
      <c r="Q192" s="2"/>
      <c r="R192" s="2"/>
      <c r="S192" s="2"/>
    </row>
    <row r="193" ht="15.75" customHeight="1">
      <c r="A193" s="1"/>
      <c r="B193" s="1"/>
      <c r="P193" s="2"/>
      <c r="Q193" s="2"/>
      <c r="R193" s="2"/>
      <c r="S193" s="2"/>
    </row>
    <row r="194" ht="15.75" customHeight="1">
      <c r="A194" s="1"/>
      <c r="B194" s="1"/>
      <c r="P194" s="2"/>
      <c r="Q194" s="2"/>
      <c r="R194" s="2"/>
      <c r="S194" s="2"/>
    </row>
    <row r="195" ht="15.75" customHeight="1">
      <c r="A195" s="1"/>
      <c r="B195" s="1"/>
      <c r="P195" s="2"/>
      <c r="Q195" s="2"/>
      <c r="R195" s="2"/>
      <c r="S195" s="2"/>
    </row>
    <row r="196" ht="15.75" customHeight="1">
      <c r="A196" s="1"/>
      <c r="B196" s="1"/>
      <c r="P196" s="2"/>
      <c r="Q196" s="2"/>
      <c r="R196" s="2"/>
      <c r="S196" s="2"/>
    </row>
    <row r="197" ht="15.75" customHeight="1">
      <c r="A197" s="1"/>
      <c r="B197" s="1"/>
      <c r="P197" s="2"/>
      <c r="Q197" s="2"/>
      <c r="R197" s="2"/>
      <c r="S197" s="2"/>
    </row>
    <row r="198" ht="15.75" customHeight="1">
      <c r="A198" s="1"/>
      <c r="B198" s="1"/>
      <c r="P198" s="2"/>
      <c r="Q198" s="2"/>
      <c r="R198" s="2"/>
      <c r="S198" s="2"/>
    </row>
    <row r="199" ht="15.75" customHeight="1">
      <c r="A199" s="1"/>
      <c r="B199" s="1"/>
      <c r="P199" s="2"/>
      <c r="Q199" s="2"/>
      <c r="R199" s="2"/>
      <c r="S199" s="2"/>
    </row>
    <row r="200" ht="15.75" customHeight="1">
      <c r="A200" s="1"/>
      <c r="B200" s="1"/>
      <c r="P200" s="2"/>
      <c r="Q200" s="2"/>
      <c r="R200" s="2"/>
      <c r="S200" s="2"/>
    </row>
    <row r="201" ht="15.75" customHeight="1">
      <c r="A201" s="1"/>
      <c r="B201" s="1"/>
      <c r="P201" s="2"/>
      <c r="Q201" s="2"/>
      <c r="R201" s="2"/>
      <c r="S201" s="2"/>
    </row>
    <row r="202" ht="15.75" customHeight="1">
      <c r="A202" s="1"/>
      <c r="B202" s="1"/>
      <c r="P202" s="2"/>
      <c r="Q202" s="2"/>
      <c r="R202" s="2"/>
      <c r="S202" s="2"/>
    </row>
    <row r="203" ht="15.75" customHeight="1">
      <c r="A203" s="1"/>
      <c r="B203" s="1"/>
      <c r="P203" s="2"/>
      <c r="Q203" s="2"/>
      <c r="R203" s="2"/>
      <c r="S203" s="2"/>
    </row>
    <row r="204" ht="15.75" customHeight="1">
      <c r="A204" s="1"/>
      <c r="B204" s="1"/>
      <c r="P204" s="2"/>
      <c r="Q204" s="2"/>
      <c r="R204" s="2"/>
      <c r="S204" s="2"/>
    </row>
    <row r="205" ht="15.75" customHeight="1">
      <c r="A205" s="1"/>
      <c r="B205" s="1"/>
      <c r="P205" s="2"/>
      <c r="Q205" s="2"/>
      <c r="R205" s="2"/>
      <c r="S205" s="2"/>
    </row>
    <row r="206" ht="15.75" customHeight="1">
      <c r="A206" s="1"/>
      <c r="B206" s="1"/>
      <c r="P206" s="2"/>
      <c r="Q206" s="2"/>
      <c r="R206" s="2"/>
      <c r="S206" s="2"/>
    </row>
    <row r="207" ht="15.75" customHeight="1">
      <c r="A207" s="1"/>
      <c r="B207" s="1"/>
      <c r="P207" s="2"/>
      <c r="Q207" s="2"/>
      <c r="R207" s="2"/>
      <c r="S207" s="2"/>
    </row>
    <row r="208" ht="15.75" customHeight="1">
      <c r="A208" s="1"/>
      <c r="B208" s="1"/>
      <c r="P208" s="2"/>
      <c r="Q208" s="2"/>
      <c r="R208" s="2"/>
      <c r="S208" s="2"/>
    </row>
    <row r="209" ht="15.75" customHeight="1">
      <c r="A209" s="1"/>
      <c r="B209" s="1"/>
      <c r="P209" s="2"/>
      <c r="Q209" s="2"/>
      <c r="R209" s="2"/>
      <c r="S209" s="2"/>
    </row>
    <row r="210" ht="15.75" customHeight="1">
      <c r="A210" s="1"/>
      <c r="B210" s="1"/>
      <c r="P210" s="2"/>
      <c r="Q210" s="2"/>
      <c r="R210" s="2"/>
      <c r="S210" s="2"/>
    </row>
    <row r="211" ht="15.75" customHeight="1">
      <c r="A211" s="1"/>
      <c r="B211" s="1"/>
      <c r="P211" s="2"/>
      <c r="Q211" s="2"/>
      <c r="R211" s="2"/>
      <c r="S211" s="2"/>
    </row>
    <row r="212" ht="15.75" customHeight="1">
      <c r="A212" s="1"/>
      <c r="B212" s="1"/>
      <c r="P212" s="2"/>
      <c r="Q212" s="2"/>
      <c r="R212" s="2"/>
      <c r="S212" s="2"/>
    </row>
    <row r="213" ht="15.75" customHeight="1">
      <c r="A213" s="1"/>
      <c r="B213" s="1"/>
      <c r="P213" s="2"/>
      <c r="Q213" s="2"/>
      <c r="R213" s="2"/>
      <c r="S213" s="2"/>
    </row>
    <row r="214" ht="15.75" customHeight="1">
      <c r="A214" s="1"/>
      <c r="B214" s="1"/>
      <c r="P214" s="2"/>
      <c r="Q214" s="2"/>
      <c r="R214" s="2"/>
      <c r="S214" s="2"/>
    </row>
    <row r="215" ht="15.75" customHeight="1">
      <c r="A215" s="1"/>
      <c r="B215" s="1"/>
      <c r="P215" s="2"/>
      <c r="Q215" s="2"/>
      <c r="R215" s="2"/>
      <c r="S215" s="2"/>
    </row>
    <row r="216" ht="15.75" customHeight="1">
      <c r="A216" s="1"/>
      <c r="B216" s="1"/>
      <c r="P216" s="2"/>
      <c r="Q216" s="2"/>
      <c r="R216" s="2"/>
      <c r="S216" s="2"/>
    </row>
    <row r="217" ht="15.75" customHeight="1">
      <c r="A217" s="1"/>
      <c r="B217" s="1"/>
      <c r="P217" s="2"/>
      <c r="Q217" s="2"/>
      <c r="R217" s="2"/>
      <c r="S217" s="2"/>
    </row>
    <row r="218" ht="15.75" customHeight="1">
      <c r="A218" s="1"/>
      <c r="B218" s="1"/>
      <c r="P218" s="2"/>
      <c r="Q218" s="2"/>
      <c r="R218" s="2"/>
      <c r="S218" s="2"/>
    </row>
    <row r="219" ht="15.75" customHeight="1">
      <c r="A219" s="1"/>
      <c r="B219" s="1"/>
      <c r="P219" s="2"/>
      <c r="Q219" s="2"/>
      <c r="R219" s="2"/>
      <c r="S219" s="2"/>
    </row>
    <row r="220" ht="15.75" customHeight="1">
      <c r="A220" s="1"/>
      <c r="B220" s="1"/>
      <c r="P220" s="2"/>
      <c r="Q220" s="2"/>
      <c r="R220" s="2"/>
      <c r="S220" s="2"/>
    </row>
    <row r="221" ht="15.75" customHeight="1">
      <c r="A221" s="1"/>
      <c r="B221" s="1"/>
      <c r="P221" s="2"/>
      <c r="Q221" s="2"/>
      <c r="R221" s="2"/>
      <c r="S221" s="2"/>
    </row>
    <row r="222" ht="15.75" customHeight="1">
      <c r="A222" s="1"/>
      <c r="B222" s="1"/>
      <c r="P222" s="2"/>
      <c r="Q222" s="2"/>
      <c r="R222" s="2"/>
      <c r="S222" s="2"/>
    </row>
    <row r="223" ht="15.75" customHeight="1">
      <c r="A223" s="1"/>
      <c r="B223" s="1"/>
      <c r="P223" s="2"/>
      <c r="Q223" s="2"/>
      <c r="R223" s="2"/>
      <c r="S223" s="2"/>
    </row>
    <row r="224" ht="15.75" customHeight="1">
      <c r="A224" s="1"/>
      <c r="B224" s="1"/>
      <c r="P224" s="2"/>
      <c r="Q224" s="2"/>
      <c r="R224" s="2"/>
      <c r="S224" s="2"/>
    </row>
    <row r="225" ht="15.75" customHeight="1">
      <c r="A225" s="1"/>
      <c r="B225" s="1"/>
      <c r="P225" s="2"/>
      <c r="Q225" s="2"/>
      <c r="R225" s="2"/>
      <c r="S225" s="2"/>
    </row>
    <row r="226" ht="15.75" customHeight="1">
      <c r="A226" s="1"/>
      <c r="B226" s="1"/>
      <c r="P226" s="2"/>
      <c r="Q226" s="2"/>
      <c r="R226" s="2"/>
      <c r="S226" s="2"/>
    </row>
    <row r="227" ht="15.75" customHeight="1">
      <c r="A227" s="1"/>
      <c r="B227" s="1"/>
      <c r="P227" s="2"/>
      <c r="Q227" s="2"/>
      <c r="R227" s="2"/>
      <c r="S227" s="2"/>
    </row>
    <row r="228" ht="15.75" customHeight="1">
      <c r="A228" s="1"/>
      <c r="B228" s="1"/>
      <c r="P228" s="2"/>
      <c r="Q228" s="2"/>
      <c r="R228" s="2"/>
      <c r="S228" s="2"/>
    </row>
    <row r="229" ht="15.75" customHeight="1">
      <c r="A229" s="1"/>
      <c r="B229" s="1"/>
      <c r="P229" s="2"/>
      <c r="Q229" s="2"/>
      <c r="R229" s="2"/>
      <c r="S229" s="2"/>
    </row>
    <row r="230" ht="15.75" customHeight="1">
      <c r="A230" s="1"/>
      <c r="B230" s="1"/>
      <c r="P230" s="2"/>
      <c r="Q230" s="2"/>
      <c r="R230" s="2"/>
      <c r="S230" s="2"/>
    </row>
    <row r="231" ht="15.75" customHeight="1">
      <c r="A231" s="1"/>
      <c r="B231" s="1"/>
      <c r="P231" s="2"/>
      <c r="Q231" s="2"/>
      <c r="R231" s="2"/>
      <c r="S231" s="2"/>
    </row>
    <row r="232" ht="15.75" customHeight="1">
      <c r="A232" s="1"/>
      <c r="B232" s="1"/>
      <c r="P232" s="2"/>
      <c r="Q232" s="2"/>
      <c r="R232" s="2"/>
      <c r="S232" s="2"/>
    </row>
    <row r="233" ht="15.75" customHeight="1">
      <c r="A233" s="1"/>
      <c r="B233" s="1"/>
      <c r="P233" s="2"/>
      <c r="Q233" s="2"/>
      <c r="R233" s="2"/>
      <c r="S233" s="2"/>
    </row>
    <row r="234" ht="15.75" customHeight="1">
      <c r="A234" s="1"/>
      <c r="B234" s="1"/>
      <c r="P234" s="2"/>
      <c r="Q234" s="2"/>
      <c r="R234" s="2"/>
      <c r="S234" s="2"/>
    </row>
    <row r="235" ht="15.75" customHeight="1">
      <c r="A235" s="1"/>
      <c r="B235" s="1"/>
      <c r="P235" s="2"/>
      <c r="Q235" s="2"/>
      <c r="R235" s="2"/>
      <c r="S235" s="2"/>
    </row>
    <row r="236" ht="15.75" customHeight="1">
      <c r="A236" s="1"/>
      <c r="B236" s="1"/>
      <c r="P236" s="2"/>
      <c r="Q236" s="2"/>
      <c r="R236" s="2"/>
      <c r="S236" s="2"/>
    </row>
    <row r="237" ht="15.75" customHeight="1">
      <c r="A237" s="1"/>
      <c r="B237" s="1"/>
      <c r="P237" s="2"/>
      <c r="Q237" s="2"/>
      <c r="R237" s="2"/>
      <c r="S237" s="2"/>
    </row>
    <row r="238" ht="15.75" customHeight="1">
      <c r="A238" s="1"/>
      <c r="B238" s="1"/>
      <c r="P238" s="2"/>
      <c r="Q238" s="2"/>
      <c r="R238" s="2"/>
      <c r="S238" s="2"/>
    </row>
    <row r="239" ht="15.75" customHeight="1">
      <c r="A239" s="1"/>
      <c r="B239" s="1"/>
      <c r="P239" s="2"/>
      <c r="Q239" s="2"/>
      <c r="R239" s="2"/>
      <c r="S239" s="2"/>
    </row>
    <row r="240" ht="15.75" customHeight="1">
      <c r="A240" s="1"/>
      <c r="B240" s="1"/>
      <c r="P240" s="2"/>
      <c r="Q240" s="2"/>
      <c r="R240" s="2"/>
      <c r="S240" s="2"/>
    </row>
    <row r="241" ht="15.75" customHeight="1">
      <c r="A241" s="1"/>
      <c r="B241" s="1"/>
      <c r="P241" s="2"/>
      <c r="Q241" s="2"/>
      <c r="R241" s="2"/>
      <c r="S241" s="2"/>
    </row>
    <row r="242" ht="15.75" customHeight="1">
      <c r="A242" s="1"/>
      <c r="B242" s="1"/>
      <c r="P242" s="2"/>
      <c r="Q242" s="2"/>
      <c r="R242" s="2"/>
      <c r="S242" s="2"/>
    </row>
    <row r="243" ht="15.75" customHeight="1">
      <c r="A243" s="1"/>
      <c r="B243" s="1"/>
      <c r="P243" s="2"/>
      <c r="Q243" s="2"/>
      <c r="R243" s="2"/>
      <c r="S243" s="2"/>
    </row>
    <row r="244" ht="15.75" customHeight="1">
      <c r="A244" s="1"/>
      <c r="B244" s="1"/>
      <c r="P244" s="2"/>
      <c r="Q244" s="2"/>
      <c r="R244" s="2"/>
      <c r="S244" s="2"/>
    </row>
    <row r="245" ht="15.75" customHeight="1">
      <c r="A245" s="1"/>
      <c r="B245" s="1"/>
      <c r="P245" s="2"/>
      <c r="Q245" s="2"/>
      <c r="R245" s="2"/>
      <c r="S245" s="2"/>
    </row>
    <row r="246" ht="15.75" customHeight="1">
      <c r="A246" s="1"/>
      <c r="B246" s="1"/>
      <c r="P246" s="2"/>
      <c r="Q246" s="2"/>
      <c r="R246" s="2"/>
      <c r="S246" s="2"/>
    </row>
    <row r="247" ht="15.75" customHeight="1">
      <c r="A247" s="1"/>
      <c r="B247" s="1"/>
      <c r="P247" s="2"/>
      <c r="Q247" s="2"/>
      <c r="R247" s="2"/>
      <c r="S247" s="2"/>
    </row>
    <row r="248" ht="15.75" customHeight="1">
      <c r="A248" s="1"/>
      <c r="B248" s="1"/>
      <c r="P248" s="2"/>
      <c r="Q248" s="2"/>
      <c r="R248" s="2"/>
      <c r="S248" s="2"/>
    </row>
    <row r="249" ht="15.75" customHeight="1">
      <c r="A249" s="1"/>
      <c r="B249" s="1"/>
      <c r="P249" s="2"/>
      <c r="Q249" s="2"/>
      <c r="R249" s="2"/>
      <c r="S249" s="2"/>
    </row>
    <row r="250" ht="15.75" customHeight="1">
      <c r="A250" s="1"/>
      <c r="B250" s="1"/>
      <c r="P250" s="2"/>
      <c r="Q250" s="2"/>
      <c r="R250" s="2"/>
      <c r="S250" s="2"/>
    </row>
    <row r="251" ht="15.75" customHeight="1">
      <c r="A251" s="1"/>
      <c r="B251" s="1"/>
      <c r="P251" s="2"/>
      <c r="Q251" s="2"/>
      <c r="R251" s="2"/>
      <c r="S251" s="2"/>
    </row>
    <row r="252" ht="15.75" customHeight="1">
      <c r="A252" s="1"/>
      <c r="B252" s="1"/>
      <c r="P252" s="2"/>
      <c r="Q252" s="2"/>
      <c r="R252" s="2"/>
      <c r="S252" s="2"/>
    </row>
    <row r="253" ht="15.75" customHeight="1">
      <c r="A253" s="1"/>
      <c r="B253" s="1"/>
      <c r="P253" s="2"/>
      <c r="Q253" s="2"/>
      <c r="R253" s="2"/>
      <c r="S253" s="2"/>
    </row>
    <row r="254" ht="15.75" customHeight="1">
      <c r="A254" s="1"/>
      <c r="B254" s="1"/>
      <c r="P254" s="2"/>
      <c r="Q254" s="2"/>
      <c r="R254" s="2"/>
      <c r="S254" s="2"/>
    </row>
    <row r="255" ht="15.75" customHeight="1">
      <c r="A255" s="1"/>
      <c r="B255" s="1"/>
      <c r="P255" s="2"/>
      <c r="Q255" s="2"/>
      <c r="R255" s="2"/>
      <c r="S255" s="2"/>
    </row>
    <row r="256" ht="15.75" customHeight="1">
      <c r="A256" s="1"/>
      <c r="B256" s="1"/>
      <c r="P256" s="2"/>
      <c r="Q256" s="2"/>
      <c r="R256" s="2"/>
      <c r="S256" s="2"/>
    </row>
    <row r="257" ht="15.75" customHeight="1">
      <c r="A257" s="1"/>
      <c r="B257" s="1"/>
      <c r="P257" s="2"/>
      <c r="Q257" s="2"/>
      <c r="R257" s="2"/>
      <c r="S257" s="2"/>
    </row>
    <row r="258" ht="15.75" customHeight="1">
      <c r="A258" s="1"/>
      <c r="B258" s="1"/>
      <c r="P258" s="2"/>
      <c r="Q258" s="2"/>
      <c r="R258" s="2"/>
      <c r="S258" s="2"/>
    </row>
    <row r="259" ht="15.75" customHeight="1">
      <c r="A259" s="1"/>
      <c r="B259" s="1"/>
      <c r="P259" s="2"/>
      <c r="Q259" s="2"/>
      <c r="R259" s="2"/>
      <c r="S259" s="2"/>
    </row>
    <row r="260" ht="15.75" customHeight="1">
      <c r="A260" s="1"/>
      <c r="B260" s="1"/>
      <c r="P260" s="2"/>
      <c r="Q260" s="2"/>
      <c r="R260" s="2"/>
      <c r="S260" s="2"/>
    </row>
    <row r="261" ht="15.75" customHeight="1">
      <c r="A261" s="1"/>
      <c r="B261" s="1"/>
      <c r="P261" s="2"/>
      <c r="Q261" s="2"/>
      <c r="R261" s="2"/>
      <c r="S261" s="2"/>
    </row>
    <row r="262" ht="15.75" customHeight="1">
      <c r="A262" s="1"/>
      <c r="B262" s="1"/>
      <c r="P262" s="2"/>
      <c r="Q262" s="2"/>
      <c r="R262" s="2"/>
      <c r="S262" s="2"/>
    </row>
    <row r="263" ht="15.75" customHeight="1">
      <c r="A263" s="1"/>
      <c r="B263" s="1"/>
      <c r="P263" s="2"/>
      <c r="Q263" s="2"/>
      <c r="R263" s="2"/>
      <c r="S263" s="2"/>
    </row>
    <row r="264" ht="15.75" customHeight="1">
      <c r="A264" s="1"/>
      <c r="B264" s="1"/>
      <c r="P264" s="2"/>
      <c r="Q264" s="2"/>
      <c r="R264" s="2"/>
      <c r="S264" s="2"/>
    </row>
    <row r="265" ht="15.75" customHeight="1">
      <c r="A265" s="1"/>
      <c r="B265" s="1"/>
      <c r="P265" s="2"/>
      <c r="Q265" s="2"/>
      <c r="R265" s="2"/>
      <c r="S265" s="2"/>
    </row>
    <row r="266" ht="15.75" customHeight="1">
      <c r="A266" s="1"/>
      <c r="B266" s="1"/>
      <c r="P266" s="2"/>
      <c r="Q266" s="2"/>
      <c r="R266" s="2"/>
      <c r="S266" s="2"/>
    </row>
    <row r="267" ht="15.75" customHeight="1">
      <c r="A267" s="1"/>
      <c r="B267" s="1"/>
      <c r="P267" s="2"/>
      <c r="Q267" s="2"/>
      <c r="R267" s="2"/>
      <c r="S267" s="2"/>
    </row>
    <row r="268" ht="15.75" customHeight="1">
      <c r="A268" s="1"/>
      <c r="B268" s="1"/>
      <c r="P268" s="2"/>
      <c r="Q268" s="2"/>
      <c r="R268" s="2"/>
      <c r="S268" s="2"/>
    </row>
    <row r="269" ht="15.75" customHeight="1">
      <c r="A269" s="1"/>
      <c r="B269" s="1"/>
      <c r="P269" s="2"/>
      <c r="Q269" s="2"/>
      <c r="R269" s="2"/>
      <c r="S269" s="2"/>
    </row>
    <row r="270" ht="15.75" customHeight="1">
      <c r="A270" s="1"/>
      <c r="B270" s="1"/>
      <c r="P270" s="2"/>
      <c r="Q270" s="2"/>
      <c r="R270" s="2"/>
      <c r="S270" s="2"/>
    </row>
    <row r="271" ht="15.75" customHeight="1">
      <c r="A271" s="1"/>
      <c r="B271" s="1"/>
      <c r="P271" s="2"/>
      <c r="Q271" s="2"/>
      <c r="R271" s="2"/>
      <c r="S271" s="2"/>
    </row>
    <row r="272" ht="15.75" customHeight="1">
      <c r="A272" s="1"/>
      <c r="B272" s="1"/>
      <c r="P272" s="2"/>
      <c r="Q272" s="2"/>
      <c r="R272" s="2"/>
      <c r="S272" s="2"/>
    </row>
    <row r="273" ht="15.75" customHeight="1">
      <c r="A273" s="1"/>
      <c r="B273" s="1"/>
      <c r="P273" s="2"/>
      <c r="Q273" s="2"/>
      <c r="R273" s="2"/>
      <c r="S273" s="2"/>
    </row>
    <row r="274" ht="15.75" customHeight="1">
      <c r="A274" s="1"/>
      <c r="B274" s="1"/>
      <c r="P274" s="2"/>
      <c r="Q274" s="2"/>
      <c r="R274" s="2"/>
      <c r="S274" s="2"/>
    </row>
    <row r="275" ht="15.75" customHeight="1">
      <c r="A275" s="1"/>
      <c r="B275" s="1"/>
      <c r="P275" s="2"/>
      <c r="Q275" s="2"/>
      <c r="R275" s="2"/>
      <c r="S275" s="2"/>
    </row>
    <row r="276" ht="15.75" customHeight="1">
      <c r="A276" s="1"/>
      <c r="B276" s="1"/>
      <c r="P276" s="2"/>
      <c r="Q276" s="2"/>
      <c r="R276" s="2"/>
      <c r="S276" s="2"/>
    </row>
    <row r="277" ht="15.75" customHeight="1">
      <c r="A277" s="1"/>
      <c r="B277" s="1"/>
      <c r="P277" s="2"/>
      <c r="Q277" s="2"/>
      <c r="R277" s="2"/>
      <c r="S277" s="2"/>
    </row>
    <row r="278" ht="15.75" customHeight="1">
      <c r="A278" s="1"/>
      <c r="B278" s="1"/>
      <c r="P278" s="2"/>
      <c r="Q278" s="2"/>
      <c r="R278" s="2"/>
      <c r="S278" s="2"/>
    </row>
    <row r="279" ht="15.75" customHeight="1">
      <c r="A279" s="1"/>
      <c r="B279" s="1"/>
      <c r="P279" s="2"/>
      <c r="Q279" s="2"/>
      <c r="R279" s="2"/>
      <c r="S279" s="2"/>
    </row>
    <row r="280" ht="15.75" customHeight="1">
      <c r="A280" s="1"/>
      <c r="B280" s="1"/>
      <c r="P280" s="2"/>
      <c r="Q280" s="2"/>
      <c r="R280" s="2"/>
      <c r="S280" s="2"/>
    </row>
    <row r="281" ht="15.75" customHeight="1">
      <c r="A281" s="1"/>
      <c r="B281" s="1"/>
      <c r="P281" s="2"/>
      <c r="Q281" s="2"/>
      <c r="R281" s="2"/>
      <c r="S281" s="2"/>
    </row>
    <row r="282" ht="15.75" customHeight="1">
      <c r="A282" s="1"/>
      <c r="B282" s="1"/>
      <c r="P282" s="2"/>
      <c r="Q282" s="2"/>
      <c r="R282" s="2"/>
      <c r="S282" s="2"/>
    </row>
    <row r="283" ht="15.75" customHeight="1">
      <c r="A283" s="1"/>
      <c r="B283" s="1"/>
      <c r="P283" s="2"/>
      <c r="Q283" s="2"/>
      <c r="R283" s="2"/>
      <c r="S283" s="2"/>
    </row>
    <row r="284" ht="15.75" customHeight="1">
      <c r="A284" s="1"/>
      <c r="B284" s="1"/>
      <c r="P284" s="2"/>
      <c r="Q284" s="2"/>
      <c r="R284" s="2"/>
      <c r="S284" s="2"/>
    </row>
    <row r="285" ht="15.75" customHeight="1">
      <c r="A285" s="1"/>
      <c r="B285" s="1"/>
      <c r="P285" s="2"/>
      <c r="Q285" s="2"/>
      <c r="R285" s="2"/>
      <c r="S285" s="2"/>
    </row>
    <row r="286" ht="15.75" customHeight="1">
      <c r="A286" s="1"/>
      <c r="B286" s="1"/>
      <c r="P286" s="2"/>
      <c r="Q286" s="2"/>
      <c r="R286" s="2"/>
      <c r="S286" s="2"/>
    </row>
    <row r="287" ht="15.75" customHeight="1">
      <c r="A287" s="1"/>
      <c r="B287" s="1"/>
      <c r="P287" s="2"/>
      <c r="Q287" s="2"/>
      <c r="R287" s="2"/>
      <c r="S287" s="2"/>
    </row>
    <row r="288" ht="15.75" customHeight="1">
      <c r="A288" s="1"/>
      <c r="B288" s="1"/>
      <c r="P288" s="2"/>
      <c r="Q288" s="2"/>
      <c r="R288" s="2"/>
      <c r="S288" s="2"/>
    </row>
    <row r="289" ht="15.75" customHeight="1">
      <c r="A289" s="1"/>
      <c r="B289" s="1"/>
      <c r="P289" s="2"/>
      <c r="Q289" s="2"/>
      <c r="R289" s="2"/>
      <c r="S289" s="2"/>
    </row>
    <row r="290" ht="15.75" customHeight="1">
      <c r="A290" s="1"/>
      <c r="B290" s="1"/>
      <c r="P290" s="2"/>
      <c r="Q290" s="2"/>
      <c r="R290" s="2"/>
      <c r="S290" s="2"/>
    </row>
    <row r="291" ht="15.75" customHeight="1">
      <c r="A291" s="1"/>
      <c r="B291" s="1"/>
      <c r="P291" s="2"/>
      <c r="Q291" s="2"/>
      <c r="R291" s="2"/>
      <c r="S291" s="2"/>
    </row>
    <row r="292" ht="15.75" customHeight="1">
      <c r="A292" s="1"/>
      <c r="B292" s="1"/>
      <c r="P292" s="2"/>
      <c r="Q292" s="2"/>
      <c r="R292" s="2"/>
      <c r="S292" s="2"/>
    </row>
    <row r="293" ht="15.75" customHeight="1">
      <c r="A293" s="1"/>
      <c r="B293" s="1"/>
      <c r="P293" s="2"/>
      <c r="Q293" s="2"/>
      <c r="R293" s="2"/>
      <c r="S293" s="2"/>
    </row>
    <row r="294" ht="15.75" customHeight="1">
      <c r="A294" s="1"/>
      <c r="B294" s="1"/>
      <c r="P294" s="2"/>
      <c r="Q294" s="2"/>
      <c r="R294" s="2"/>
      <c r="S294" s="2"/>
    </row>
    <row r="295" ht="15.75" customHeight="1">
      <c r="A295" s="1"/>
      <c r="B295" s="1"/>
      <c r="P295" s="2"/>
      <c r="Q295" s="2"/>
      <c r="R295" s="2"/>
      <c r="S295" s="2"/>
    </row>
    <row r="296" ht="15.75" customHeight="1">
      <c r="A296" s="1"/>
      <c r="B296" s="1"/>
      <c r="P296" s="2"/>
      <c r="Q296" s="2"/>
      <c r="R296" s="2"/>
      <c r="S296" s="2"/>
    </row>
    <row r="297" ht="15.75" customHeight="1">
      <c r="A297" s="1"/>
      <c r="B297" s="1"/>
      <c r="P297" s="2"/>
      <c r="Q297" s="2"/>
      <c r="R297" s="2"/>
      <c r="S297" s="2"/>
    </row>
    <row r="298" ht="15.75" customHeight="1">
      <c r="A298" s="1"/>
      <c r="B298" s="1"/>
      <c r="P298" s="2"/>
      <c r="Q298" s="2"/>
      <c r="R298" s="2"/>
      <c r="S298" s="2"/>
    </row>
    <row r="299" ht="15.75" customHeight="1">
      <c r="A299" s="1"/>
      <c r="B299" s="1"/>
      <c r="P299" s="2"/>
      <c r="Q299" s="2"/>
      <c r="R299" s="2"/>
      <c r="S299" s="2"/>
    </row>
    <row r="300" ht="15.75" customHeight="1">
      <c r="A300" s="1"/>
      <c r="B300" s="1"/>
      <c r="P300" s="2"/>
      <c r="Q300" s="2"/>
      <c r="R300" s="2"/>
      <c r="S300" s="2"/>
    </row>
    <row r="301" ht="15.75" customHeight="1">
      <c r="A301" s="1"/>
      <c r="B301" s="1"/>
      <c r="P301" s="2"/>
      <c r="Q301" s="2"/>
      <c r="R301" s="2"/>
      <c r="S301" s="2"/>
    </row>
    <row r="302" ht="15.75" customHeight="1">
      <c r="A302" s="1"/>
      <c r="B302" s="1"/>
      <c r="P302" s="2"/>
      <c r="Q302" s="2"/>
      <c r="R302" s="2"/>
      <c r="S302" s="2"/>
    </row>
    <row r="303" ht="15.75" customHeight="1">
      <c r="A303" s="1"/>
      <c r="B303" s="1"/>
      <c r="P303" s="2"/>
      <c r="Q303" s="2"/>
      <c r="R303" s="2"/>
      <c r="S303" s="2"/>
    </row>
    <row r="304" ht="15.75" customHeight="1">
      <c r="A304" s="1"/>
      <c r="B304" s="1"/>
      <c r="P304" s="2"/>
      <c r="Q304" s="2"/>
      <c r="R304" s="2"/>
      <c r="S304" s="2"/>
    </row>
    <row r="305" ht="15.75" customHeight="1">
      <c r="A305" s="1"/>
      <c r="B305" s="1"/>
      <c r="P305" s="2"/>
      <c r="Q305" s="2"/>
      <c r="R305" s="2"/>
      <c r="S305" s="2"/>
    </row>
    <row r="306" ht="15.75" customHeight="1">
      <c r="A306" s="1"/>
      <c r="B306" s="1"/>
      <c r="P306" s="2"/>
      <c r="Q306" s="2"/>
      <c r="R306" s="2"/>
      <c r="S306" s="2"/>
    </row>
    <row r="307" ht="15.75" customHeight="1">
      <c r="A307" s="1"/>
      <c r="B307" s="1"/>
      <c r="P307" s="2"/>
      <c r="Q307" s="2"/>
      <c r="R307" s="2"/>
      <c r="S307" s="2"/>
    </row>
    <row r="308" ht="15.75" customHeight="1">
      <c r="A308" s="1"/>
      <c r="B308" s="1"/>
      <c r="P308" s="2"/>
      <c r="Q308" s="2"/>
      <c r="R308" s="2"/>
      <c r="S308" s="2"/>
    </row>
    <row r="309" ht="15.75" customHeight="1">
      <c r="A309" s="1"/>
      <c r="B309" s="1"/>
      <c r="P309" s="2"/>
      <c r="Q309" s="2"/>
      <c r="R309" s="2"/>
      <c r="S309" s="2"/>
    </row>
    <row r="310" ht="15.75" customHeight="1">
      <c r="A310" s="1"/>
      <c r="B310" s="1"/>
      <c r="P310" s="2"/>
      <c r="Q310" s="2"/>
      <c r="R310" s="2"/>
      <c r="S310" s="2"/>
    </row>
    <row r="311" ht="15.75" customHeight="1">
      <c r="A311" s="1"/>
      <c r="B311" s="1"/>
      <c r="P311" s="2"/>
      <c r="Q311" s="2"/>
      <c r="R311" s="2"/>
      <c r="S311" s="2"/>
    </row>
    <row r="312" ht="15.75" customHeight="1">
      <c r="A312" s="1"/>
      <c r="B312" s="1"/>
      <c r="P312" s="2"/>
      <c r="Q312" s="2"/>
      <c r="R312" s="2"/>
      <c r="S312" s="2"/>
    </row>
    <row r="313" ht="15.75" customHeight="1">
      <c r="A313" s="1"/>
      <c r="B313" s="1"/>
      <c r="P313" s="2"/>
      <c r="Q313" s="2"/>
      <c r="R313" s="2"/>
      <c r="S313" s="2"/>
    </row>
    <row r="314" ht="15.75" customHeight="1">
      <c r="A314" s="1"/>
      <c r="B314" s="1"/>
      <c r="P314" s="2"/>
      <c r="Q314" s="2"/>
      <c r="R314" s="2"/>
      <c r="S314" s="2"/>
    </row>
    <row r="315" ht="15.75" customHeight="1">
      <c r="A315" s="1"/>
      <c r="B315" s="1"/>
      <c r="P315" s="2"/>
      <c r="Q315" s="2"/>
      <c r="R315" s="2"/>
      <c r="S315" s="2"/>
    </row>
    <row r="316" ht="15.75" customHeight="1">
      <c r="A316" s="1"/>
      <c r="B316" s="1"/>
      <c r="P316" s="2"/>
      <c r="Q316" s="2"/>
      <c r="R316" s="2"/>
      <c r="S316" s="2"/>
    </row>
    <row r="317" ht="15.75" customHeight="1">
      <c r="A317" s="1"/>
      <c r="B317" s="1"/>
      <c r="P317" s="2"/>
      <c r="Q317" s="2"/>
      <c r="R317" s="2"/>
      <c r="S317" s="2"/>
    </row>
    <row r="318" ht="15.75" customHeight="1">
      <c r="A318" s="1"/>
      <c r="B318" s="1"/>
      <c r="P318" s="2"/>
      <c r="Q318" s="2"/>
      <c r="R318" s="2"/>
      <c r="S318" s="2"/>
    </row>
    <row r="319" ht="15.75" customHeight="1">
      <c r="A319" s="1"/>
      <c r="B319" s="1"/>
      <c r="P319" s="2"/>
      <c r="Q319" s="2"/>
      <c r="R319" s="2"/>
      <c r="S319" s="2"/>
    </row>
    <row r="320" ht="15.75" customHeight="1">
      <c r="A320" s="1"/>
      <c r="B320" s="1"/>
      <c r="P320" s="2"/>
      <c r="Q320" s="2"/>
      <c r="R320" s="2"/>
      <c r="S320" s="2"/>
    </row>
    <row r="321" ht="15.75" customHeight="1">
      <c r="A321" s="1"/>
      <c r="B321" s="1"/>
      <c r="P321" s="2"/>
      <c r="Q321" s="2"/>
      <c r="R321" s="2"/>
      <c r="S321" s="2"/>
    </row>
    <row r="322" ht="15.75" customHeight="1">
      <c r="A322" s="1"/>
      <c r="B322" s="1"/>
      <c r="P322" s="2"/>
      <c r="Q322" s="2"/>
      <c r="R322" s="2"/>
      <c r="S322" s="2"/>
    </row>
    <row r="323" ht="15.75" customHeight="1">
      <c r="A323" s="1"/>
      <c r="B323" s="1"/>
      <c r="P323" s="2"/>
      <c r="Q323" s="2"/>
      <c r="R323" s="2"/>
      <c r="S323" s="2"/>
    </row>
    <row r="324" ht="15.75" customHeight="1">
      <c r="A324" s="1"/>
      <c r="B324" s="1"/>
      <c r="P324" s="2"/>
      <c r="Q324" s="2"/>
      <c r="R324" s="2"/>
      <c r="S324" s="2"/>
    </row>
    <row r="325" ht="15.75" customHeight="1">
      <c r="A325" s="1"/>
      <c r="B325" s="1"/>
      <c r="P325" s="2"/>
      <c r="Q325" s="2"/>
      <c r="R325" s="2"/>
      <c r="S325" s="2"/>
    </row>
    <row r="326" ht="15.75" customHeight="1">
      <c r="A326" s="1"/>
      <c r="B326" s="1"/>
      <c r="P326" s="2"/>
      <c r="Q326" s="2"/>
      <c r="R326" s="2"/>
      <c r="S326" s="2"/>
    </row>
    <row r="327" ht="15.75" customHeight="1">
      <c r="A327" s="1"/>
      <c r="B327" s="1"/>
      <c r="P327" s="2"/>
      <c r="Q327" s="2"/>
      <c r="R327" s="2"/>
      <c r="S327" s="2"/>
    </row>
    <row r="328" ht="15.75" customHeight="1">
      <c r="A328" s="1"/>
      <c r="B328" s="1"/>
      <c r="P328" s="2"/>
      <c r="Q328" s="2"/>
      <c r="R328" s="2"/>
      <c r="S328" s="2"/>
    </row>
    <row r="329" ht="15.75" customHeight="1">
      <c r="A329" s="1"/>
      <c r="B329" s="1"/>
      <c r="P329" s="2"/>
      <c r="Q329" s="2"/>
      <c r="R329" s="2"/>
      <c r="S329" s="2"/>
    </row>
    <row r="330" ht="15.75" customHeight="1">
      <c r="A330" s="1"/>
      <c r="B330" s="1"/>
      <c r="P330" s="2"/>
      <c r="Q330" s="2"/>
      <c r="R330" s="2"/>
      <c r="S330" s="2"/>
    </row>
    <row r="331" ht="15.75" customHeight="1">
      <c r="A331" s="1"/>
      <c r="B331" s="1"/>
      <c r="P331" s="2"/>
      <c r="Q331" s="2"/>
      <c r="R331" s="2"/>
      <c r="S331" s="2"/>
    </row>
    <row r="332" ht="15.75" customHeight="1">
      <c r="A332" s="1"/>
      <c r="B332" s="1"/>
      <c r="P332" s="2"/>
      <c r="Q332" s="2"/>
      <c r="R332" s="2"/>
      <c r="S332" s="2"/>
    </row>
    <row r="333" ht="15.75" customHeight="1">
      <c r="A333" s="1"/>
      <c r="B333" s="1"/>
      <c r="P333" s="2"/>
      <c r="Q333" s="2"/>
      <c r="R333" s="2"/>
      <c r="S333" s="2"/>
    </row>
    <row r="334" ht="15.75" customHeight="1">
      <c r="A334" s="1"/>
      <c r="B334" s="1"/>
      <c r="P334" s="2"/>
      <c r="Q334" s="2"/>
      <c r="R334" s="2"/>
      <c r="S334" s="2"/>
    </row>
    <row r="335" ht="15.75" customHeight="1">
      <c r="A335" s="1"/>
      <c r="B335" s="1"/>
      <c r="P335" s="2"/>
      <c r="Q335" s="2"/>
      <c r="R335" s="2"/>
      <c r="S335" s="2"/>
    </row>
    <row r="336" ht="15.75" customHeight="1">
      <c r="A336" s="1"/>
      <c r="B336" s="1"/>
      <c r="P336" s="2"/>
      <c r="Q336" s="2"/>
      <c r="R336" s="2"/>
      <c r="S336" s="2"/>
    </row>
    <row r="337" ht="15.75" customHeight="1">
      <c r="A337" s="1"/>
      <c r="B337" s="1"/>
      <c r="P337" s="2"/>
      <c r="Q337" s="2"/>
      <c r="R337" s="2"/>
      <c r="S337" s="2"/>
    </row>
    <row r="338" ht="15.75" customHeight="1">
      <c r="A338" s="1"/>
      <c r="B338" s="1"/>
      <c r="P338" s="2"/>
      <c r="Q338" s="2"/>
      <c r="R338" s="2"/>
      <c r="S338" s="2"/>
    </row>
    <row r="339" ht="15.75" customHeight="1">
      <c r="A339" s="1"/>
      <c r="B339" s="1"/>
      <c r="P339" s="2"/>
      <c r="Q339" s="2"/>
      <c r="R339" s="2"/>
      <c r="S339" s="2"/>
    </row>
    <row r="340" ht="15.75" customHeight="1">
      <c r="A340" s="1"/>
      <c r="B340" s="1"/>
      <c r="P340" s="2"/>
      <c r="Q340" s="2"/>
      <c r="R340" s="2"/>
      <c r="S340" s="2"/>
    </row>
    <row r="341" ht="15.75" customHeight="1">
      <c r="A341" s="1"/>
      <c r="B341" s="1"/>
      <c r="P341" s="2"/>
      <c r="Q341" s="2"/>
      <c r="R341" s="2"/>
      <c r="S341" s="2"/>
    </row>
    <row r="342" ht="15.75" customHeight="1">
      <c r="A342" s="1"/>
      <c r="B342" s="1"/>
      <c r="P342" s="2"/>
      <c r="Q342" s="2"/>
      <c r="R342" s="2"/>
      <c r="S342" s="2"/>
    </row>
    <row r="343" ht="15.75" customHeight="1">
      <c r="A343" s="1"/>
      <c r="B343" s="1"/>
      <c r="P343" s="2"/>
      <c r="Q343" s="2"/>
      <c r="R343" s="2"/>
      <c r="S343" s="2"/>
    </row>
    <row r="344" ht="15.75" customHeight="1">
      <c r="A344" s="1"/>
      <c r="B344" s="1"/>
      <c r="P344" s="2"/>
      <c r="Q344" s="2"/>
      <c r="R344" s="2"/>
      <c r="S344" s="2"/>
    </row>
    <row r="345" ht="15.75" customHeight="1">
      <c r="A345" s="1"/>
      <c r="B345" s="1"/>
      <c r="P345" s="2"/>
      <c r="Q345" s="2"/>
      <c r="R345" s="2"/>
      <c r="S345" s="2"/>
    </row>
    <row r="346" ht="15.75" customHeight="1">
      <c r="A346" s="1"/>
      <c r="B346" s="1"/>
      <c r="P346" s="2"/>
      <c r="Q346" s="2"/>
      <c r="R346" s="2"/>
      <c r="S346" s="2"/>
    </row>
    <row r="347" ht="15.75" customHeight="1">
      <c r="A347" s="1"/>
      <c r="B347" s="1"/>
      <c r="P347" s="2"/>
      <c r="Q347" s="2"/>
      <c r="R347" s="2"/>
      <c r="S347" s="2"/>
    </row>
    <row r="348" ht="15.75" customHeight="1">
      <c r="A348" s="1"/>
      <c r="B348" s="1"/>
      <c r="P348" s="2"/>
      <c r="Q348" s="2"/>
      <c r="R348" s="2"/>
      <c r="S348" s="2"/>
    </row>
    <row r="349" ht="15.75" customHeight="1">
      <c r="A349" s="1"/>
      <c r="B349" s="1"/>
      <c r="P349" s="2"/>
      <c r="Q349" s="2"/>
      <c r="R349" s="2"/>
      <c r="S349" s="2"/>
    </row>
    <row r="350" ht="15.75" customHeight="1">
      <c r="A350" s="1"/>
      <c r="B350" s="1"/>
      <c r="P350" s="2"/>
      <c r="Q350" s="2"/>
      <c r="R350" s="2"/>
      <c r="S350" s="2"/>
    </row>
    <row r="351" ht="15.75" customHeight="1">
      <c r="A351" s="1"/>
      <c r="B351" s="1"/>
      <c r="P351" s="2"/>
      <c r="Q351" s="2"/>
      <c r="R351" s="2"/>
      <c r="S351" s="2"/>
    </row>
    <row r="352" ht="15.75" customHeight="1">
      <c r="A352" s="1"/>
      <c r="B352" s="1"/>
      <c r="P352" s="2"/>
      <c r="Q352" s="2"/>
      <c r="R352" s="2"/>
      <c r="S352" s="2"/>
    </row>
    <row r="353" ht="15.75" customHeight="1">
      <c r="A353" s="1"/>
      <c r="B353" s="1"/>
      <c r="P353" s="2"/>
      <c r="Q353" s="2"/>
      <c r="R353" s="2"/>
      <c r="S353" s="2"/>
    </row>
    <row r="354" ht="15.75" customHeight="1">
      <c r="A354" s="1"/>
      <c r="B354" s="1"/>
      <c r="P354" s="2"/>
      <c r="Q354" s="2"/>
      <c r="R354" s="2"/>
      <c r="S354" s="2"/>
    </row>
    <row r="355" ht="15.75" customHeight="1">
      <c r="A355" s="1"/>
      <c r="B355" s="1"/>
      <c r="P355" s="2"/>
      <c r="Q355" s="2"/>
      <c r="R355" s="2"/>
      <c r="S355" s="2"/>
    </row>
    <row r="356" ht="15.75" customHeight="1">
      <c r="A356" s="1"/>
      <c r="B356" s="1"/>
      <c r="P356" s="2"/>
      <c r="Q356" s="2"/>
      <c r="R356" s="2"/>
      <c r="S356" s="2"/>
    </row>
    <row r="357" ht="15.75" customHeight="1">
      <c r="A357" s="1"/>
      <c r="B357" s="1"/>
      <c r="P357" s="2"/>
      <c r="Q357" s="2"/>
      <c r="R357" s="2"/>
      <c r="S357" s="2"/>
    </row>
    <row r="358" ht="15.75" customHeight="1">
      <c r="A358" s="1"/>
      <c r="B358" s="1"/>
      <c r="P358" s="2"/>
      <c r="Q358" s="2"/>
      <c r="R358" s="2"/>
      <c r="S358" s="2"/>
    </row>
    <row r="359" ht="15.75" customHeight="1">
      <c r="A359" s="1"/>
      <c r="B359" s="1"/>
      <c r="P359" s="2"/>
      <c r="Q359" s="2"/>
      <c r="R359" s="2"/>
      <c r="S359" s="2"/>
    </row>
    <row r="360" ht="15.75" customHeight="1">
      <c r="A360" s="1"/>
      <c r="B360" s="1"/>
      <c r="P360" s="2"/>
      <c r="Q360" s="2"/>
      <c r="R360" s="2"/>
      <c r="S360" s="2"/>
    </row>
    <row r="361" ht="15.75" customHeight="1">
      <c r="A361" s="1"/>
      <c r="B361" s="1"/>
      <c r="P361" s="2"/>
      <c r="Q361" s="2"/>
      <c r="R361" s="2"/>
      <c r="S361" s="2"/>
    </row>
    <row r="362" ht="15.75" customHeight="1">
      <c r="A362" s="1"/>
      <c r="B362" s="1"/>
      <c r="P362" s="2"/>
      <c r="Q362" s="2"/>
      <c r="R362" s="2"/>
      <c r="S362" s="2"/>
    </row>
    <row r="363" ht="15.75" customHeight="1">
      <c r="A363" s="1"/>
      <c r="B363" s="1"/>
      <c r="P363" s="2"/>
      <c r="Q363" s="2"/>
      <c r="R363" s="2"/>
      <c r="S363" s="2"/>
    </row>
    <row r="364" ht="15.75" customHeight="1">
      <c r="A364" s="1"/>
      <c r="B364" s="1"/>
      <c r="P364" s="2"/>
      <c r="Q364" s="2"/>
      <c r="R364" s="2"/>
      <c r="S364" s="2"/>
    </row>
    <row r="365" ht="15.75" customHeight="1">
      <c r="A365" s="1"/>
      <c r="B365" s="1"/>
      <c r="P365" s="2"/>
      <c r="Q365" s="2"/>
      <c r="R365" s="2"/>
      <c r="S365" s="2"/>
    </row>
    <row r="366" ht="15.75" customHeight="1">
      <c r="A366" s="1"/>
      <c r="B366" s="1"/>
      <c r="P366" s="2"/>
      <c r="Q366" s="2"/>
      <c r="R366" s="2"/>
      <c r="S366" s="2"/>
    </row>
    <row r="367" ht="15.75" customHeight="1">
      <c r="A367" s="1"/>
      <c r="B367" s="1"/>
      <c r="P367" s="2"/>
      <c r="Q367" s="2"/>
      <c r="R367" s="2"/>
      <c r="S367" s="2"/>
    </row>
    <row r="368" ht="15.75" customHeight="1">
      <c r="A368" s="1"/>
      <c r="B368" s="1"/>
      <c r="P368" s="2"/>
      <c r="Q368" s="2"/>
      <c r="R368" s="2"/>
      <c r="S368" s="2"/>
    </row>
    <row r="369" ht="15.75" customHeight="1">
      <c r="A369" s="1"/>
      <c r="B369" s="1"/>
      <c r="P369" s="2"/>
      <c r="Q369" s="2"/>
      <c r="R369" s="2"/>
      <c r="S369" s="2"/>
    </row>
    <row r="370" ht="15.75" customHeight="1">
      <c r="A370" s="1"/>
      <c r="B370" s="1"/>
      <c r="P370" s="2"/>
      <c r="Q370" s="2"/>
      <c r="R370" s="2"/>
      <c r="S370" s="2"/>
    </row>
    <row r="371" ht="15.75" customHeight="1">
      <c r="A371" s="1"/>
      <c r="B371" s="1"/>
      <c r="P371" s="2"/>
      <c r="Q371" s="2"/>
      <c r="R371" s="2"/>
      <c r="S371" s="2"/>
    </row>
    <row r="372" ht="15.75" customHeight="1">
      <c r="A372" s="1"/>
      <c r="B372" s="1"/>
      <c r="P372" s="2"/>
      <c r="Q372" s="2"/>
      <c r="R372" s="2"/>
      <c r="S372" s="2"/>
    </row>
    <row r="373" ht="15.75" customHeight="1">
      <c r="A373" s="1"/>
      <c r="B373" s="1"/>
      <c r="P373" s="2"/>
      <c r="Q373" s="2"/>
      <c r="R373" s="2"/>
      <c r="S373" s="2"/>
    </row>
    <row r="374" ht="15.75" customHeight="1">
      <c r="A374" s="1"/>
      <c r="B374" s="1"/>
      <c r="P374" s="2"/>
      <c r="Q374" s="2"/>
      <c r="R374" s="2"/>
      <c r="S374" s="2"/>
    </row>
    <row r="375" ht="15.75" customHeight="1">
      <c r="A375" s="1"/>
      <c r="B375" s="1"/>
      <c r="P375" s="2"/>
      <c r="Q375" s="2"/>
      <c r="R375" s="2"/>
      <c r="S375" s="2"/>
    </row>
    <row r="376" ht="15.75" customHeight="1">
      <c r="A376" s="1"/>
      <c r="B376" s="1"/>
      <c r="P376" s="2"/>
      <c r="Q376" s="2"/>
      <c r="R376" s="2"/>
      <c r="S376" s="2"/>
    </row>
    <row r="377" ht="15.75" customHeight="1">
      <c r="A377" s="1"/>
      <c r="B377" s="1"/>
      <c r="P377" s="2"/>
      <c r="Q377" s="2"/>
      <c r="R377" s="2"/>
      <c r="S377" s="2"/>
    </row>
    <row r="378" ht="15.75" customHeight="1">
      <c r="A378" s="1"/>
      <c r="B378" s="1"/>
      <c r="P378" s="2"/>
      <c r="Q378" s="2"/>
      <c r="R378" s="2"/>
      <c r="S378" s="2"/>
    </row>
    <row r="379" ht="15.75" customHeight="1">
      <c r="A379" s="1"/>
      <c r="B379" s="1"/>
      <c r="P379" s="2"/>
      <c r="Q379" s="2"/>
      <c r="R379" s="2"/>
      <c r="S379" s="2"/>
    </row>
    <row r="380" ht="15.75" customHeight="1">
      <c r="A380" s="1"/>
      <c r="B380" s="1"/>
      <c r="P380" s="2"/>
      <c r="Q380" s="2"/>
      <c r="R380" s="2"/>
      <c r="S380" s="2"/>
    </row>
    <row r="381" ht="15.75" customHeight="1">
      <c r="A381" s="1"/>
      <c r="B381" s="1"/>
      <c r="P381" s="2"/>
      <c r="Q381" s="2"/>
      <c r="R381" s="2"/>
      <c r="S381" s="2"/>
    </row>
    <row r="382" ht="15.75" customHeight="1">
      <c r="A382" s="1"/>
      <c r="B382" s="1"/>
      <c r="P382" s="2"/>
      <c r="Q382" s="2"/>
      <c r="R382" s="2"/>
      <c r="S382" s="2"/>
    </row>
    <row r="383" ht="15.75" customHeight="1">
      <c r="A383" s="1"/>
      <c r="B383" s="1"/>
      <c r="P383" s="2"/>
      <c r="Q383" s="2"/>
      <c r="R383" s="2"/>
      <c r="S383" s="2"/>
    </row>
    <row r="384" ht="15.75" customHeight="1">
      <c r="A384" s="1"/>
      <c r="B384" s="1"/>
      <c r="P384" s="2"/>
      <c r="Q384" s="2"/>
      <c r="R384" s="2"/>
      <c r="S384" s="2"/>
    </row>
    <row r="385" ht="15.75" customHeight="1">
      <c r="A385" s="1"/>
      <c r="B385" s="1"/>
      <c r="P385" s="2"/>
      <c r="Q385" s="2"/>
      <c r="R385" s="2"/>
      <c r="S385" s="2"/>
    </row>
    <row r="386" ht="15.75" customHeight="1">
      <c r="A386" s="1"/>
      <c r="B386" s="1"/>
      <c r="P386" s="2"/>
      <c r="Q386" s="2"/>
      <c r="R386" s="2"/>
      <c r="S386" s="2"/>
    </row>
    <row r="387" ht="15.75" customHeight="1">
      <c r="A387" s="1"/>
      <c r="B387" s="1"/>
      <c r="P387" s="2"/>
      <c r="Q387" s="2"/>
      <c r="R387" s="2"/>
      <c r="S387" s="2"/>
    </row>
    <row r="388" ht="15.75" customHeight="1">
      <c r="A388" s="1"/>
      <c r="B388" s="1"/>
      <c r="P388" s="2"/>
      <c r="Q388" s="2"/>
      <c r="R388" s="2"/>
      <c r="S388" s="2"/>
    </row>
    <row r="389" ht="15.75" customHeight="1">
      <c r="A389" s="1"/>
      <c r="B389" s="1"/>
      <c r="P389" s="2"/>
      <c r="Q389" s="2"/>
      <c r="R389" s="2"/>
      <c r="S389" s="2"/>
    </row>
    <row r="390" ht="15.75" customHeight="1">
      <c r="A390" s="1"/>
      <c r="B390" s="1"/>
      <c r="P390" s="2"/>
      <c r="Q390" s="2"/>
      <c r="R390" s="2"/>
      <c r="S390" s="2"/>
    </row>
    <row r="391" ht="15.75" customHeight="1">
      <c r="A391" s="1"/>
      <c r="B391" s="1"/>
      <c r="P391" s="2"/>
      <c r="Q391" s="2"/>
      <c r="R391" s="2"/>
      <c r="S391" s="2"/>
    </row>
    <row r="392" ht="15.75" customHeight="1">
      <c r="A392" s="1"/>
      <c r="B392" s="1"/>
      <c r="P392" s="2"/>
      <c r="Q392" s="2"/>
      <c r="R392" s="2"/>
      <c r="S392" s="2"/>
    </row>
    <row r="393" ht="15.75" customHeight="1">
      <c r="A393" s="1"/>
      <c r="B393" s="1"/>
      <c r="P393" s="2"/>
      <c r="Q393" s="2"/>
      <c r="R393" s="2"/>
      <c r="S393" s="2"/>
    </row>
    <row r="394" ht="15.75" customHeight="1">
      <c r="A394" s="1"/>
      <c r="B394" s="1"/>
      <c r="P394" s="2"/>
      <c r="Q394" s="2"/>
      <c r="R394" s="2"/>
      <c r="S394" s="2"/>
    </row>
    <row r="395" ht="15.75" customHeight="1">
      <c r="A395" s="1"/>
      <c r="B395" s="1"/>
      <c r="P395" s="2"/>
      <c r="Q395" s="2"/>
      <c r="R395" s="2"/>
      <c r="S395" s="2"/>
    </row>
    <row r="396" ht="15.75" customHeight="1">
      <c r="A396" s="1"/>
      <c r="B396" s="1"/>
      <c r="P396" s="2"/>
      <c r="Q396" s="2"/>
      <c r="R396" s="2"/>
      <c r="S396" s="2"/>
    </row>
    <row r="397" ht="15.75" customHeight="1">
      <c r="A397" s="1"/>
      <c r="B397" s="1"/>
      <c r="P397" s="2"/>
      <c r="Q397" s="2"/>
      <c r="R397" s="2"/>
      <c r="S397" s="2"/>
    </row>
    <row r="398" ht="15.75" customHeight="1">
      <c r="A398" s="1"/>
      <c r="B398" s="1"/>
      <c r="P398" s="2"/>
      <c r="Q398" s="2"/>
      <c r="R398" s="2"/>
      <c r="S398" s="2"/>
    </row>
    <row r="399" ht="15.75" customHeight="1">
      <c r="A399" s="1"/>
      <c r="B399" s="1"/>
      <c r="P399" s="2"/>
      <c r="Q399" s="2"/>
      <c r="R399" s="2"/>
      <c r="S399" s="2"/>
    </row>
    <row r="400" ht="15.75" customHeight="1">
      <c r="A400" s="1"/>
      <c r="B400" s="1"/>
      <c r="P400" s="2"/>
      <c r="Q400" s="2"/>
      <c r="R400" s="2"/>
      <c r="S400" s="2"/>
    </row>
    <row r="401" ht="15.75" customHeight="1">
      <c r="A401" s="1"/>
      <c r="B401" s="1"/>
      <c r="P401" s="2"/>
      <c r="Q401" s="2"/>
      <c r="R401" s="2"/>
      <c r="S401" s="2"/>
    </row>
    <row r="402" ht="15.75" customHeight="1">
      <c r="A402" s="1"/>
      <c r="B402" s="1"/>
      <c r="P402" s="2"/>
      <c r="Q402" s="2"/>
      <c r="R402" s="2"/>
      <c r="S402" s="2"/>
    </row>
    <row r="403" ht="15.75" customHeight="1">
      <c r="A403" s="1"/>
      <c r="B403" s="1"/>
      <c r="P403" s="2"/>
      <c r="Q403" s="2"/>
      <c r="R403" s="2"/>
      <c r="S403" s="2"/>
    </row>
    <row r="404" ht="15.75" customHeight="1">
      <c r="A404" s="1"/>
      <c r="B404" s="1"/>
      <c r="P404" s="2"/>
      <c r="Q404" s="2"/>
      <c r="R404" s="2"/>
      <c r="S404" s="2"/>
    </row>
    <row r="405" ht="15.75" customHeight="1">
      <c r="A405" s="1"/>
      <c r="B405" s="1"/>
      <c r="P405" s="2"/>
      <c r="Q405" s="2"/>
      <c r="R405" s="2"/>
      <c r="S405" s="2"/>
    </row>
    <row r="406" ht="15.75" customHeight="1">
      <c r="A406" s="1"/>
      <c r="B406" s="1"/>
      <c r="P406" s="2"/>
      <c r="Q406" s="2"/>
      <c r="R406" s="2"/>
      <c r="S406" s="2"/>
    </row>
    <row r="407" ht="15.75" customHeight="1">
      <c r="A407" s="1"/>
      <c r="B407" s="1"/>
      <c r="P407" s="2"/>
      <c r="Q407" s="2"/>
      <c r="R407" s="2"/>
      <c r="S407" s="2"/>
    </row>
    <row r="408" ht="15.75" customHeight="1">
      <c r="A408" s="1"/>
      <c r="B408" s="1"/>
      <c r="P408" s="2"/>
      <c r="Q408" s="2"/>
      <c r="R408" s="2"/>
      <c r="S408" s="2"/>
    </row>
    <row r="409" ht="15.75" customHeight="1">
      <c r="A409" s="1"/>
      <c r="B409" s="1"/>
      <c r="P409" s="2"/>
      <c r="Q409" s="2"/>
      <c r="R409" s="2"/>
      <c r="S409" s="2"/>
    </row>
    <row r="410" ht="15.75" customHeight="1">
      <c r="A410" s="1"/>
      <c r="B410" s="1"/>
      <c r="P410" s="2"/>
      <c r="Q410" s="2"/>
      <c r="R410" s="2"/>
      <c r="S410" s="2"/>
    </row>
    <row r="411" ht="15.75" customHeight="1">
      <c r="A411" s="1"/>
      <c r="B411" s="1"/>
      <c r="P411" s="2"/>
      <c r="Q411" s="2"/>
      <c r="R411" s="2"/>
      <c r="S411" s="2"/>
    </row>
    <row r="412" ht="15.75" customHeight="1">
      <c r="A412" s="1"/>
      <c r="B412" s="1"/>
      <c r="P412" s="2"/>
      <c r="Q412" s="2"/>
      <c r="R412" s="2"/>
      <c r="S412" s="2"/>
    </row>
    <row r="413" ht="15.75" customHeight="1">
      <c r="A413" s="1"/>
      <c r="B413" s="1"/>
      <c r="P413" s="2"/>
      <c r="Q413" s="2"/>
      <c r="R413" s="2"/>
      <c r="S413" s="2"/>
    </row>
    <row r="414" ht="15.75" customHeight="1">
      <c r="A414" s="1"/>
      <c r="B414" s="1"/>
      <c r="P414" s="2"/>
      <c r="Q414" s="2"/>
      <c r="R414" s="2"/>
      <c r="S414" s="2"/>
    </row>
    <row r="415" ht="15.75" customHeight="1">
      <c r="A415" s="1"/>
      <c r="B415" s="1"/>
      <c r="P415" s="2"/>
      <c r="Q415" s="2"/>
      <c r="R415" s="2"/>
      <c r="S415" s="2"/>
    </row>
    <row r="416" ht="15.75" customHeight="1">
      <c r="A416" s="1"/>
      <c r="B416" s="1"/>
      <c r="P416" s="2"/>
      <c r="Q416" s="2"/>
      <c r="R416" s="2"/>
      <c r="S416" s="2"/>
    </row>
    <row r="417" ht="15.75" customHeight="1">
      <c r="A417" s="1"/>
      <c r="B417" s="1"/>
      <c r="P417" s="2"/>
      <c r="Q417" s="2"/>
      <c r="R417" s="2"/>
      <c r="S417" s="2"/>
    </row>
    <row r="418" ht="15.75" customHeight="1">
      <c r="A418" s="1"/>
      <c r="B418" s="1"/>
      <c r="P418" s="2"/>
      <c r="Q418" s="2"/>
      <c r="R418" s="2"/>
      <c r="S418" s="2"/>
    </row>
    <row r="419" ht="15.75" customHeight="1">
      <c r="A419" s="1"/>
      <c r="B419" s="1"/>
      <c r="P419" s="2"/>
      <c r="Q419" s="2"/>
      <c r="R419" s="2"/>
      <c r="S419" s="2"/>
    </row>
    <row r="420" ht="15.75" customHeight="1">
      <c r="A420" s="1"/>
      <c r="B420" s="1"/>
      <c r="P420" s="2"/>
      <c r="Q420" s="2"/>
      <c r="R420" s="2"/>
      <c r="S420" s="2"/>
    </row>
    <row r="421" ht="15.75" customHeight="1">
      <c r="A421" s="1"/>
      <c r="B421" s="1"/>
      <c r="P421" s="2"/>
      <c r="Q421" s="2"/>
      <c r="R421" s="2"/>
      <c r="S421" s="2"/>
    </row>
    <row r="422" ht="15.75" customHeight="1">
      <c r="A422" s="1"/>
      <c r="B422" s="1"/>
      <c r="P422" s="2"/>
      <c r="Q422" s="2"/>
      <c r="R422" s="2"/>
      <c r="S422" s="2"/>
    </row>
    <row r="423" ht="15.75" customHeight="1">
      <c r="A423" s="1"/>
      <c r="B423" s="1"/>
      <c r="P423" s="2"/>
      <c r="Q423" s="2"/>
      <c r="R423" s="2"/>
      <c r="S423" s="2"/>
    </row>
    <row r="424" ht="15.75" customHeight="1">
      <c r="A424" s="1"/>
      <c r="B424" s="1"/>
      <c r="P424" s="2"/>
      <c r="Q424" s="2"/>
      <c r="R424" s="2"/>
      <c r="S424" s="2"/>
    </row>
    <row r="425" ht="15.75" customHeight="1">
      <c r="A425" s="1"/>
      <c r="B425" s="1"/>
      <c r="P425" s="2"/>
      <c r="Q425" s="2"/>
      <c r="R425" s="2"/>
      <c r="S425" s="2"/>
    </row>
    <row r="426" ht="15.75" customHeight="1">
      <c r="A426" s="1"/>
      <c r="B426" s="1"/>
      <c r="P426" s="2"/>
      <c r="Q426" s="2"/>
      <c r="R426" s="2"/>
      <c r="S426" s="2"/>
    </row>
    <row r="427" ht="15.75" customHeight="1">
      <c r="A427" s="1"/>
      <c r="B427" s="1"/>
      <c r="P427" s="2"/>
      <c r="Q427" s="2"/>
      <c r="R427" s="2"/>
      <c r="S427" s="2"/>
    </row>
    <row r="428" ht="15.75" customHeight="1">
      <c r="A428" s="1"/>
      <c r="B428" s="1"/>
      <c r="P428" s="2"/>
      <c r="Q428" s="2"/>
      <c r="R428" s="2"/>
      <c r="S428" s="2"/>
    </row>
    <row r="429" ht="15.75" customHeight="1">
      <c r="A429" s="1"/>
      <c r="B429" s="1"/>
      <c r="P429" s="2"/>
      <c r="Q429" s="2"/>
      <c r="R429" s="2"/>
      <c r="S429" s="2"/>
    </row>
    <row r="430" ht="15.75" customHeight="1">
      <c r="A430" s="1"/>
      <c r="B430" s="1"/>
      <c r="P430" s="2"/>
      <c r="Q430" s="2"/>
      <c r="R430" s="2"/>
      <c r="S430" s="2"/>
    </row>
    <row r="431" ht="15.75" customHeight="1">
      <c r="A431" s="1"/>
      <c r="B431" s="1"/>
      <c r="P431" s="2"/>
      <c r="Q431" s="2"/>
      <c r="R431" s="2"/>
      <c r="S431" s="2"/>
    </row>
    <row r="432" ht="15.75" customHeight="1">
      <c r="A432" s="1"/>
      <c r="B432" s="1"/>
      <c r="P432" s="2"/>
      <c r="Q432" s="2"/>
      <c r="R432" s="2"/>
      <c r="S432" s="2"/>
    </row>
    <row r="433" ht="15.75" customHeight="1">
      <c r="A433" s="1"/>
      <c r="B433" s="1"/>
      <c r="P433" s="2"/>
      <c r="Q433" s="2"/>
      <c r="R433" s="2"/>
      <c r="S433" s="2"/>
    </row>
    <row r="434" ht="15.75" customHeight="1">
      <c r="A434" s="1"/>
      <c r="B434" s="1"/>
      <c r="P434" s="2"/>
      <c r="Q434" s="2"/>
      <c r="R434" s="2"/>
      <c r="S434" s="2"/>
    </row>
    <row r="435" ht="15.75" customHeight="1">
      <c r="A435" s="1"/>
      <c r="B435" s="1"/>
      <c r="P435" s="2"/>
      <c r="Q435" s="2"/>
      <c r="R435" s="2"/>
      <c r="S435" s="2"/>
    </row>
    <row r="436" ht="15.75" customHeight="1">
      <c r="A436" s="1"/>
      <c r="B436" s="1"/>
      <c r="P436" s="2"/>
      <c r="Q436" s="2"/>
      <c r="R436" s="2"/>
      <c r="S436" s="2"/>
    </row>
    <row r="437" ht="15.75" customHeight="1">
      <c r="A437" s="1"/>
      <c r="B437" s="1"/>
      <c r="P437" s="2"/>
      <c r="Q437" s="2"/>
      <c r="R437" s="2"/>
      <c r="S437" s="2"/>
    </row>
    <row r="438" ht="15.75" customHeight="1">
      <c r="A438" s="1"/>
      <c r="B438" s="1"/>
      <c r="P438" s="2"/>
      <c r="Q438" s="2"/>
      <c r="R438" s="2"/>
      <c r="S438" s="2"/>
    </row>
    <row r="439" ht="15.75" customHeight="1">
      <c r="A439" s="1"/>
      <c r="B439" s="1"/>
      <c r="P439" s="2"/>
      <c r="Q439" s="2"/>
      <c r="R439" s="2"/>
      <c r="S439" s="2"/>
    </row>
    <row r="440" ht="15.75" customHeight="1">
      <c r="A440" s="1"/>
      <c r="B440" s="1"/>
      <c r="P440" s="2"/>
      <c r="Q440" s="2"/>
      <c r="R440" s="2"/>
      <c r="S440" s="2"/>
    </row>
    <row r="441" ht="15.75" customHeight="1">
      <c r="A441" s="1"/>
      <c r="B441" s="1"/>
      <c r="P441" s="2"/>
      <c r="Q441" s="2"/>
      <c r="R441" s="2"/>
      <c r="S441" s="2"/>
    </row>
    <row r="442" ht="15.75" customHeight="1">
      <c r="A442" s="1"/>
      <c r="B442" s="1"/>
      <c r="P442" s="2"/>
      <c r="Q442" s="2"/>
      <c r="R442" s="2"/>
      <c r="S442" s="2"/>
    </row>
    <row r="443" ht="15.75" customHeight="1">
      <c r="A443" s="1"/>
      <c r="B443" s="1"/>
      <c r="P443" s="2"/>
      <c r="Q443" s="2"/>
      <c r="R443" s="2"/>
      <c r="S443" s="2"/>
    </row>
    <row r="444" ht="15.75" customHeight="1">
      <c r="A444" s="1"/>
      <c r="B444" s="1"/>
      <c r="P444" s="2"/>
      <c r="Q444" s="2"/>
      <c r="R444" s="2"/>
      <c r="S444" s="2"/>
    </row>
    <row r="445" ht="15.75" customHeight="1">
      <c r="A445" s="1"/>
      <c r="B445" s="1"/>
      <c r="P445" s="2"/>
      <c r="Q445" s="2"/>
      <c r="R445" s="2"/>
      <c r="S445" s="2"/>
    </row>
    <row r="446" ht="15.75" customHeight="1">
      <c r="A446" s="1"/>
      <c r="B446" s="1"/>
      <c r="P446" s="2"/>
      <c r="Q446" s="2"/>
      <c r="R446" s="2"/>
      <c r="S446" s="2"/>
    </row>
    <row r="447" ht="15.75" customHeight="1">
      <c r="A447" s="1"/>
      <c r="B447" s="1"/>
      <c r="P447" s="2"/>
      <c r="Q447" s="2"/>
      <c r="R447" s="2"/>
      <c r="S447" s="2"/>
    </row>
    <row r="448" ht="15.75" customHeight="1">
      <c r="A448" s="1"/>
      <c r="B448" s="1"/>
      <c r="P448" s="2"/>
      <c r="Q448" s="2"/>
      <c r="R448" s="2"/>
      <c r="S448" s="2"/>
    </row>
    <row r="449" ht="15.75" customHeight="1">
      <c r="A449" s="1"/>
      <c r="B449" s="1"/>
      <c r="P449" s="2"/>
      <c r="Q449" s="2"/>
      <c r="R449" s="2"/>
      <c r="S449" s="2"/>
    </row>
    <row r="450" ht="15.75" customHeight="1">
      <c r="A450" s="1"/>
      <c r="B450" s="1"/>
      <c r="P450" s="2"/>
      <c r="Q450" s="2"/>
      <c r="R450" s="2"/>
      <c r="S450" s="2"/>
    </row>
    <row r="451" ht="15.75" customHeight="1">
      <c r="A451" s="1"/>
      <c r="B451" s="1"/>
      <c r="P451" s="2"/>
      <c r="Q451" s="2"/>
      <c r="R451" s="2"/>
      <c r="S451" s="2"/>
    </row>
    <row r="452" ht="15.75" customHeight="1">
      <c r="A452" s="1"/>
      <c r="B452" s="1"/>
      <c r="P452" s="2"/>
      <c r="Q452" s="2"/>
      <c r="R452" s="2"/>
      <c r="S452" s="2"/>
    </row>
    <row r="453" ht="15.75" customHeight="1">
      <c r="A453" s="1"/>
      <c r="B453" s="1"/>
      <c r="P453" s="2"/>
      <c r="Q453" s="2"/>
      <c r="R453" s="2"/>
      <c r="S453" s="2"/>
    </row>
    <row r="454" ht="15.75" customHeight="1">
      <c r="A454" s="1"/>
      <c r="B454" s="1"/>
      <c r="P454" s="2"/>
      <c r="Q454" s="2"/>
      <c r="R454" s="2"/>
      <c r="S454" s="2"/>
    </row>
    <row r="455" ht="15.75" customHeight="1">
      <c r="A455" s="1"/>
      <c r="B455" s="1"/>
      <c r="P455" s="2"/>
      <c r="Q455" s="2"/>
      <c r="R455" s="2"/>
      <c r="S455" s="2"/>
    </row>
    <row r="456" ht="15.75" customHeight="1">
      <c r="A456" s="1"/>
      <c r="B456" s="1"/>
      <c r="P456" s="2"/>
      <c r="Q456" s="2"/>
      <c r="R456" s="2"/>
      <c r="S456" s="2"/>
    </row>
    <row r="457" ht="15.75" customHeight="1">
      <c r="A457" s="1"/>
      <c r="B457" s="1"/>
      <c r="P457" s="2"/>
      <c r="Q457" s="2"/>
      <c r="R457" s="2"/>
      <c r="S457" s="2"/>
    </row>
    <row r="458" ht="15.75" customHeight="1">
      <c r="A458" s="1"/>
      <c r="B458" s="1"/>
      <c r="P458" s="2"/>
      <c r="Q458" s="2"/>
      <c r="R458" s="2"/>
      <c r="S458" s="2"/>
    </row>
    <row r="459" ht="15.75" customHeight="1">
      <c r="A459" s="1"/>
      <c r="B459" s="1"/>
      <c r="P459" s="2"/>
      <c r="Q459" s="2"/>
      <c r="R459" s="2"/>
      <c r="S459" s="2"/>
    </row>
    <row r="460" ht="15.75" customHeight="1">
      <c r="A460" s="1"/>
      <c r="B460" s="1"/>
      <c r="P460" s="2"/>
      <c r="Q460" s="2"/>
      <c r="R460" s="2"/>
      <c r="S460" s="2"/>
    </row>
    <row r="461" ht="15.75" customHeight="1">
      <c r="A461" s="1"/>
      <c r="B461" s="1"/>
      <c r="P461" s="2"/>
      <c r="Q461" s="2"/>
      <c r="R461" s="2"/>
      <c r="S461" s="2"/>
    </row>
    <row r="462" ht="15.75" customHeight="1">
      <c r="A462" s="1"/>
      <c r="B462" s="1"/>
      <c r="P462" s="2"/>
      <c r="Q462" s="2"/>
      <c r="R462" s="2"/>
      <c r="S462" s="2"/>
    </row>
    <row r="463" ht="15.75" customHeight="1">
      <c r="A463" s="1"/>
      <c r="B463" s="1"/>
      <c r="P463" s="2"/>
      <c r="Q463" s="2"/>
      <c r="R463" s="2"/>
      <c r="S463" s="2"/>
    </row>
    <row r="464" ht="15.75" customHeight="1">
      <c r="A464" s="1"/>
      <c r="B464" s="1"/>
      <c r="P464" s="2"/>
      <c r="Q464" s="2"/>
      <c r="R464" s="2"/>
      <c r="S464" s="2"/>
    </row>
    <row r="465" ht="15.75" customHeight="1">
      <c r="A465" s="1"/>
      <c r="B465" s="1"/>
      <c r="P465" s="2"/>
      <c r="Q465" s="2"/>
      <c r="R465" s="2"/>
      <c r="S465" s="2"/>
    </row>
    <row r="466" ht="15.75" customHeight="1">
      <c r="A466" s="1"/>
      <c r="B466" s="1"/>
      <c r="P466" s="2"/>
      <c r="Q466" s="2"/>
      <c r="R466" s="2"/>
      <c r="S466" s="2"/>
    </row>
    <row r="467" ht="15.75" customHeight="1">
      <c r="A467" s="1"/>
      <c r="B467" s="1"/>
      <c r="P467" s="2"/>
      <c r="Q467" s="2"/>
      <c r="R467" s="2"/>
      <c r="S467" s="2"/>
    </row>
    <row r="468" ht="15.75" customHeight="1">
      <c r="A468" s="1"/>
      <c r="B468" s="1"/>
      <c r="P468" s="2"/>
      <c r="Q468" s="2"/>
      <c r="R468" s="2"/>
      <c r="S468" s="2"/>
    </row>
    <row r="469" ht="15.75" customHeight="1">
      <c r="A469" s="1"/>
      <c r="B469" s="1"/>
      <c r="P469" s="2"/>
      <c r="Q469" s="2"/>
      <c r="R469" s="2"/>
      <c r="S469" s="2"/>
    </row>
    <row r="470" ht="15.75" customHeight="1">
      <c r="A470" s="1"/>
      <c r="B470" s="1"/>
      <c r="P470" s="2"/>
      <c r="Q470" s="2"/>
      <c r="R470" s="2"/>
      <c r="S470" s="2"/>
    </row>
    <row r="471" ht="15.75" customHeight="1">
      <c r="A471" s="1"/>
      <c r="B471" s="1"/>
      <c r="P471" s="2"/>
      <c r="Q471" s="2"/>
      <c r="R471" s="2"/>
      <c r="S471" s="2"/>
    </row>
    <row r="472" ht="15.75" customHeight="1">
      <c r="A472" s="1"/>
      <c r="B472" s="1"/>
      <c r="P472" s="2"/>
      <c r="Q472" s="2"/>
      <c r="R472" s="2"/>
      <c r="S472" s="2"/>
    </row>
    <row r="473" ht="15.75" customHeight="1">
      <c r="A473" s="1"/>
      <c r="B473" s="1"/>
      <c r="P473" s="2"/>
      <c r="Q473" s="2"/>
      <c r="R473" s="2"/>
      <c r="S473" s="2"/>
    </row>
    <row r="474" ht="15.75" customHeight="1">
      <c r="A474" s="1"/>
      <c r="B474" s="1"/>
      <c r="P474" s="2"/>
      <c r="Q474" s="2"/>
      <c r="R474" s="2"/>
      <c r="S474" s="2"/>
    </row>
    <row r="475" ht="15.75" customHeight="1">
      <c r="A475" s="1"/>
      <c r="B475" s="1"/>
      <c r="P475" s="2"/>
      <c r="Q475" s="2"/>
      <c r="R475" s="2"/>
      <c r="S475" s="2"/>
    </row>
    <row r="476" ht="15.75" customHeight="1">
      <c r="A476" s="1"/>
      <c r="B476" s="1"/>
      <c r="P476" s="2"/>
      <c r="Q476" s="2"/>
      <c r="R476" s="2"/>
      <c r="S476" s="2"/>
    </row>
    <row r="477" ht="15.75" customHeight="1">
      <c r="A477" s="1"/>
      <c r="B477" s="1"/>
      <c r="P477" s="2"/>
      <c r="Q477" s="2"/>
      <c r="R477" s="2"/>
      <c r="S477" s="2"/>
    </row>
    <row r="478" ht="15.75" customHeight="1">
      <c r="A478" s="1"/>
      <c r="B478" s="1"/>
      <c r="P478" s="2"/>
      <c r="Q478" s="2"/>
      <c r="R478" s="2"/>
      <c r="S478" s="2"/>
    </row>
    <row r="479" ht="15.75" customHeight="1">
      <c r="A479" s="1"/>
      <c r="B479" s="1"/>
      <c r="P479" s="2"/>
      <c r="Q479" s="2"/>
      <c r="R479" s="2"/>
      <c r="S479" s="2"/>
    </row>
    <row r="480" ht="15.75" customHeight="1">
      <c r="A480" s="1"/>
      <c r="B480" s="1"/>
      <c r="P480" s="2"/>
      <c r="Q480" s="2"/>
      <c r="R480" s="2"/>
      <c r="S480" s="2"/>
    </row>
    <row r="481" ht="15.75" customHeight="1">
      <c r="A481" s="1"/>
      <c r="B481" s="1"/>
      <c r="P481" s="2"/>
      <c r="Q481" s="2"/>
      <c r="R481" s="2"/>
      <c r="S481" s="2"/>
    </row>
    <row r="482" ht="15.75" customHeight="1">
      <c r="A482" s="1"/>
      <c r="B482" s="1"/>
      <c r="P482" s="2"/>
      <c r="Q482" s="2"/>
      <c r="R482" s="2"/>
      <c r="S482" s="2"/>
    </row>
    <row r="483" ht="15.75" customHeight="1">
      <c r="A483" s="1"/>
      <c r="B483" s="1"/>
      <c r="P483" s="2"/>
      <c r="Q483" s="2"/>
      <c r="R483" s="2"/>
      <c r="S483" s="2"/>
    </row>
    <row r="484" ht="15.75" customHeight="1">
      <c r="A484" s="1"/>
      <c r="B484" s="1"/>
      <c r="P484" s="2"/>
      <c r="Q484" s="2"/>
      <c r="R484" s="2"/>
      <c r="S484" s="2"/>
    </row>
    <row r="485" ht="15.75" customHeight="1">
      <c r="A485" s="1"/>
      <c r="B485" s="1"/>
      <c r="P485" s="2"/>
      <c r="Q485" s="2"/>
      <c r="R485" s="2"/>
      <c r="S485" s="2"/>
    </row>
    <row r="486" ht="15.75" customHeight="1">
      <c r="A486" s="1"/>
      <c r="B486" s="1"/>
      <c r="P486" s="2"/>
      <c r="Q486" s="2"/>
      <c r="R486" s="2"/>
      <c r="S486" s="2"/>
    </row>
    <row r="487" ht="15.75" customHeight="1">
      <c r="A487" s="1"/>
      <c r="B487" s="1"/>
      <c r="P487" s="2"/>
      <c r="Q487" s="2"/>
      <c r="R487" s="2"/>
      <c r="S487" s="2"/>
    </row>
    <row r="488" ht="15.75" customHeight="1">
      <c r="A488" s="1"/>
      <c r="B488" s="1"/>
      <c r="P488" s="2"/>
      <c r="Q488" s="2"/>
      <c r="R488" s="2"/>
      <c r="S488" s="2"/>
    </row>
    <row r="489" ht="15.75" customHeight="1">
      <c r="A489" s="1"/>
      <c r="B489" s="1"/>
      <c r="P489" s="2"/>
      <c r="Q489" s="2"/>
      <c r="R489" s="2"/>
      <c r="S489" s="2"/>
    </row>
    <row r="490" ht="15.75" customHeight="1">
      <c r="A490" s="1"/>
      <c r="B490" s="1"/>
      <c r="P490" s="2"/>
      <c r="Q490" s="2"/>
      <c r="R490" s="2"/>
      <c r="S490" s="2"/>
    </row>
    <row r="491" ht="15.75" customHeight="1">
      <c r="A491" s="1"/>
      <c r="B491" s="1"/>
      <c r="P491" s="2"/>
      <c r="Q491" s="2"/>
      <c r="R491" s="2"/>
      <c r="S491" s="2"/>
    </row>
    <row r="492" ht="15.75" customHeight="1">
      <c r="A492" s="1"/>
      <c r="B492" s="1"/>
      <c r="P492" s="2"/>
      <c r="Q492" s="2"/>
      <c r="R492" s="2"/>
      <c r="S492" s="2"/>
    </row>
    <row r="493" ht="15.75" customHeight="1">
      <c r="A493" s="1"/>
      <c r="B493" s="1"/>
      <c r="P493" s="2"/>
      <c r="Q493" s="2"/>
      <c r="R493" s="2"/>
      <c r="S493" s="2"/>
    </row>
    <row r="494" ht="15.75" customHeight="1">
      <c r="A494" s="1"/>
      <c r="B494" s="1"/>
      <c r="P494" s="2"/>
      <c r="Q494" s="2"/>
      <c r="R494" s="2"/>
      <c r="S494" s="2"/>
    </row>
    <row r="495" ht="15.75" customHeight="1">
      <c r="A495" s="1"/>
      <c r="B495" s="1"/>
      <c r="P495" s="2"/>
      <c r="Q495" s="2"/>
      <c r="R495" s="2"/>
      <c r="S495" s="2"/>
    </row>
    <row r="496" ht="15.75" customHeight="1">
      <c r="A496" s="1"/>
      <c r="B496" s="1"/>
      <c r="P496" s="2"/>
      <c r="Q496" s="2"/>
      <c r="R496" s="2"/>
      <c r="S496" s="2"/>
    </row>
    <row r="497" ht="15.75" customHeight="1">
      <c r="A497" s="1"/>
      <c r="B497" s="1"/>
      <c r="P497" s="2"/>
      <c r="Q497" s="2"/>
      <c r="R497" s="2"/>
      <c r="S497" s="2"/>
    </row>
    <row r="498" ht="15.75" customHeight="1">
      <c r="A498" s="1"/>
      <c r="B498" s="1"/>
      <c r="P498" s="2"/>
      <c r="Q498" s="2"/>
      <c r="R498" s="2"/>
      <c r="S498" s="2"/>
    </row>
    <row r="499" ht="15.75" customHeight="1">
      <c r="A499" s="1"/>
      <c r="B499" s="1"/>
      <c r="P499" s="2"/>
      <c r="Q499" s="2"/>
      <c r="R499" s="2"/>
      <c r="S499" s="2"/>
    </row>
    <row r="500" ht="15.75" customHeight="1">
      <c r="A500" s="1"/>
      <c r="B500" s="1"/>
      <c r="P500" s="2"/>
      <c r="Q500" s="2"/>
      <c r="R500" s="2"/>
      <c r="S500" s="2"/>
    </row>
    <row r="501" ht="15.75" customHeight="1">
      <c r="A501" s="1"/>
      <c r="B501" s="1"/>
      <c r="P501" s="2"/>
      <c r="Q501" s="2"/>
      <c r="R501" s="2"/>
      <c r="S501" s="2"/>
    </row>
    <row r="502" ht="15.75" customHeight="1">
      <c r="A502" s="1"/>
      <c r="B502" s="1"/>
      <c r="P502" s="2"/>
      <c r="Q502" s="2"/>
      <c r="R502" s="2"/>
      <c r="S502" s="2"/>
    </row>
    <row r="503" ht="15.75" customHeight="1">
      <c r="A503" s="1"/>
      <c r="B503" s="1"/>
      <c r="P503" s="2"/>
      <c r="Q503" s="2"/>
      <c r="R503" s="2"/>
      <c r="S503" s="2"/>
    </row>
    <row r="504" ht="15.75" customHeight="1">
      <c r="A504" s="1"/>
      <c r="B504" s="1"/>
      <c r="P504" s="2"/>
      <c r="Q504" s="2"/>
      <c r="R504" s="2"/>
      <c r="S504" s="2"/>
    </row>
    <row r="505" ht="15.75" customHeight="1">
      <c r="A505" s="1"/>
      <c r="B505" s="1"/>
      <c r="P505" s="2"/>
      <c r="Q505" s="2"/>
      <c r="R505" s="2"/>
      <c r="S505" s="2"/>
    </row>
    <row r="506" ht="15.75" customHeight="1">
      <c r="A506" s="1"/>
      <c r="B506" s="1"/>
      <c r="P506" s="2"/>
      <c r="Q506" s="2"/>
      <c r="R506" s="2"/>
      <c r="S506" s="2"/>
    </row>
    <row r="507" ht="15.75" customHeight="1">
      <c r="A507" s="1"/>
      <c r="B507" s="1"/>
      <c r="P507" s="2"/>
      <c r="Q507" s="2"/>
      <c r="R507" s="2"/>
      <c r="S507" s="2"/>
    </row>
    <row r="508" ht="15.75" customHeight="1">
      <c r="A508" s="1"/>
      <c r="B508" s="1"/>
      <c r="P508" s="2"/>
      <c r="Q508" s="2"/>
      <c r="R508" s="2"/>
      <c r="S508" s="2"/>
    </row>
    <row r="509" ht="15.75" customHeight="1">
      <c r="A509" s="1"/>
      <c r="B509" s="1"/>
      <c r="P509" s="2"/>
      <c r="Q509" s="2"/>
      <c r="R509" s="2"/>
      <c r="S509" s="2"/>
    </row>
    <row r="510" ht="15.75" customHeight="1">
      <c r="A510" s="1"/>
      <c r="B510" s="1"/>
      <c r="P510" s="2"/>
      <c r="Q510" s="2"/>
      <c r="R510" s="2"/>
      <c r="S510" s="2"/>
    </row>
    <row r="511" ht="15.75" customHeight="1">
      <c r="A511" s="1"/>
      <c r="B511" s="1"/>
      <c r="P511" s="2"/>
      <c r="Q511" s="2"/>
      <c r="R511" s="2"/>
      <c r="S511" s="2"/>
    </row>
    <row r="512" ht="15.75" customHeight="1">
      <c r="A512" s="1"/>
      <c r="B512" s="1"/>
      <c r="P512" s="2"/>
      <c r="Q512" s="2"/>
      <c r="R512" s="2"/>
      <c r="S512" s="2"/>
    </row>
    <row r="513" ht="15.75" customHeight="1">
      <c r="A513" s="1"/>
      <c r="B513" s="1"/>
      <c r="P513" s="2"/>
      <c r="Q513" s="2"/>
      <c r="R513" s="2"/>
      <c r="S513" s="2"/>
    </row>
    <row r="514" ht="15.75" customHeight="1">
      <c r="A514" s="1"/>
      <c r="B514" s="1"/>
      <c r="P514" s="2"/>
      <c r="Q514" s="2"/>
      <c r="R514" s="2"/>
      <c r="S514" s="2"/>
    </row>
    <row r="515" ht="15.75" customHeight="1">
      <c r="A515" s="1"/>
      <c r="B515" s="1"/>
      <c r="P515" s="2"/>
      <c r="Q515" s="2"/>
      <c r="R515" s="2"/>
      <c r="S515" s="2"/>
    </row>
    <row r="516" ht="15.75" customHeight="1">
      <c r="A516" s="1"/>
      <c r="B516" s="1"/>
      <c r="P516" s="2"/>
      <c r="Q516" s="2"/>
      <c r="R516" s="2"/>
      <c r="S516" s="2"/>
    </row>
    <row r="517" ht="15.75" customHeight="1">
      <c r="A517" s="1"/>
      <c r="B517" s="1"/>
      <c r="P517" s="2"/>
      <c r="Q517" s="2"/>
      <c r="R517" s="2"/>
      <c r="S517" s="2"/>
    </row>
    <row r="518" ht="15.75" customHeight="1">
      <c r="A518" s="1"/>
      <c r="B518" s="1"/>
      <c r="P518" s="2"/>
      <c r="Q518" s="2"/>
      <c r="R518" s="2"/>
      <c r="S518" s="2"/>
    </row>
    <row r="519" ht="15.75" customHeight="1">
      <c r="A519" s="1"/>
      <c r="B519" s="1"/>
      <c r="P519" s="2"/>
      <c r="Q519" s="2"/>
      <c r="R519" s="2"/>
      <c r="S519" s="2"/>
    </row>
    <row r="520" ht="15.75" customHeight="1">
      <c r="A520" s="1"/>
      <c r="B520" s="1"/>
      <c r="P520" s="2"/>
      <c r="Q520" s="2"/>
      <c r="R520" s="2"/>
      <c r="S520" s="2"/>
    </row>
    <row r="521" ht="15.75" customHeight="1">
      <c r="A521" s="1"/>
      <c r="B521" s="1"/>
      <c r="P521" s="2"/>
      <c r="Q521" s="2"/>
      <c r="R521" s="2"/>
      <c r="S521" s="2"/>
    </row>
    <row r="522" ht="15.75" customHeight="1">
      <c r="A522" s="1"/>
      <c r="B522" s="1"/>
      <c r="P522" s="2"/>
      <c r="Q522" s="2"/>
      <c r="R522" s="2"/>
      <c r="S522" s="2"/>
    </row>
    <row r="523" ht="15.75" customHeight="1">
      <c r="A523" s="1"/>
      <c r="B523" s="1"/>
      <c r="P523" s="2"/>
      <c r="Q523" s="2"/>
      <c r="R523" s="2"/>
      <c r="S523" s="2"/>
    </row>
    <row r="524" ht="15.75" customHeight="1">
      <c r="A524" s="1"/>
      <c r="B524" s="1"/>
      <c r="P524" s="2"/>
      <c r="Q524" s="2"/>
      <c r="R524" s="2"/>
      <c r="S524" s="2"/>
    </row>
    <row r="525" ht="15.75" customHeight="1">
      <c r="A525" s="1"/>
      <c r="B525" s="1"/>
      <c r="P525" s="2"/>
      <c r="Q525" s="2"/>
      <c r="R525" s="2"/>
      <c r="S525" s="2"/>
    </row>
    <row r="526" ht="15.75" customHeight="1">
      <c r="A526" s="1"/>
      <c r="B526" s="1"/>
      <c r="P526" s="2"/>
      <c r="Q526" s="2"/>
      <c r="R526" s="2"/>
      <c r="S526" s="2"/>
    </row>
    <row r="527" ht="15.75" customHeight="1">
      <c r="A527" s="1"/>
      <c r="B527" s="1"/>
      <c r="P527" s="2"/>
      <c r="Q527" s="2"/>
      <c r="R527" s="2"/>
      <c r="S527" s="2"/>
    </row>
    <row r="528" ht="15.75" customHeight="1">
      <c r="A528" s="1"/>
      <c r="B528" s="1"/>
      <c r="P528" s="2"/>
      <c r="Q528" s="2"/>
      <c r="R528" s="2"/>
      <c r="S528" s="2"/>
    </row>
    <row r="529" ht="15.75" customHeight="1">
      <c r="A529" s="1"/>
      <c r="B529" s="1"/>
      <c r="P529" s="2"/>
      <c r="Q529" s="2"/>
      <c r="R529" s="2"/>
      <c r="S529" s="2"/>
    </row>
    <row r="530" ht="15.75" customHeight="1">
      <c r="A530" s="1"/>
      <c r="B530" s="1"/>
      <c r="P530" s="2"/>
      <c r="Q530" s="2"/>
      <c r="R530" s="2"/>
      <c r="S530" s="2"/>
    </row>
    <row r="531" ht="15.75" customHeight="1">
      <c r="A531" s="1"/>
      <c r="B531" s="1"/>
      <c r="P531" s="2"/>
      <c r="Q531" s="2"/>
      <c r="R531" s="2"/>
      <c r="S531" s="2"/>
    </row>
    <row r="532" ht="15.75" customHeight="1">
      <c r="A532" s="1"/>
      <c r="B532" s="1"/>
      <c r="P532" s="2"/>
      <c r="Q532" s="2"/>
      <c r="R532" s="2"/>
      <c r="S532" s="2"/>
    </row>
    <row r="533" ht="15.75" customHeight="1">
      <c r="A533" s="1"/>
      <c r="B533" s="1"/>
      <c r="P533" s="2"/>
      <c r="Q533" s="2"/>
      <c r="R533" s="2"/>
      <c r="S533" s="2"/>
    </row>
    <row r="534" ht="15.75" customHeight="1">
      <c r="A534" s="1"/>
      <c r="B534" s="1"/>
      <c r="P534" s="2"/>
      <c r="Q534" s="2"/>
      <c r="R534" s="2"/>
      <c r="S534" s="2"/>
    </row>
    <row r="535" ht="15.75" customHeight="1">
      <c r="A535" s="1"/>
      <c r="B535" s="1"/>
      <c r="P535" s="2"/>
      <c r="Q535" s="2"/>
      <c r="R535" s="2"/>
      <c r="S535" s="2"/>
    </row>
    <row r="536" ht="15.75" customHeight="1">
      <c r="A536" s="1"/>
      <c r="B536" s="1"/>
      <c r="P536" s="2"/>
      <c r="Q536" s="2"/>
      <c r="R536" s="2"/>
      <c r="S536" s="2"/>
    </row>
    <row r="537" ht="15.75" customHeight="1">
      <c r="A537" s="1"/>
      <c r="B537" s="1"/>
      <c r="P537" s="2"/>
      <c r="Q537" s="2"/>
      <c r="R537" s="2"/>
      <c r="S537" s="2"/>
    </row>
    <row r="538" ht="15.75" customHeight="1">
      <c r="A538" s="1"/>
      <c r="B538" s="1"/>
      <c r="P538" s="2"/>
      <c r="Q538" s="2"/>
      <c r="R538" s="2"/>
      <c r="S538" s="2"/>
    </row>
    <row r="539" ht="15.75" customHeight="1">
      <c r="A539" s="1"/>
      <c r="B539" s="1"/>
      <c r="P539" s="2"/>
      <c r="Q539" s="2"/>
      <c r="R539" s="2"/>
      <c r="S539" s="2"/>
    </row>
    <row r="540" ht="15.75" customHeight="1">
      <c r="A540" s="1"/>
      <c r="B540" s="1"/>
      <c r="P540" s="2"/>
      <c r="Q540" s="2"/>
      <c r="R540" s="2"/>
      <c r="S540" s="2"/>
    </row>
    <row r="541" ht="15.75" customHeight="1">
      <c r="A541" s="1"/>
      <c r="B541" s="1"/>
      <c r="P541" s="2"/>
      <c r="Q541" s="2"/>
      <c r="R541" s="2"/>
      <c r="S541" s="2"/>
    </row>
    <row r="542" ht="15.75" customHeight="1">
      <c r="A542" s="1"/>
      <c r="B542" s="1"/>
      <c r="P542" s="2"/>
      <c r="Q542" s="2"/>
      <c r="R542" s="2"/>
      <c r="S542" s="2"/>
    </row>
    <row r="543" ht="15.75" customHeight="1">
      <c r="A543" s="1"/>
      <c r="B543" s="1"/>
      <c r="P543" s="2"/>
      <c r="Q543" s="2"/>
      <c r="R543" s="2"/>
      <c r="S543" s="2"/>
    </row>
    <row r="544" ht="15.75" customHeight="1">
      <c r="A544" s="1"/>
      <c r="B544" s="1"/>
      <c r="P544" s="2"/>
      <c r="Q544" s="2"/>
      <c r="R544" s="2"/>
      <c r="S544" s="2"/>
    </row>
    <row r="545" ht="15.75" customHeight="1">
      <c r="A545" s="1"/>
      <c r="B545" s="1"/>
      <c r="P545" s="2"/>
      <c r="Q545" s="2"/>
      <c r="R545" s="2"/>
      <c r="S545" s="2"/>
    </row>
    <row r="546" ht="15.75" customHeight="1">
      <c r="A546" s="1"/>
      <c r="B546" s="1"/>
      <c r="P546" s="2"/>
      <c r="Q546" s="2"/>
      <c r="R546" s="2"/>
      <c r="S546" s="2"/>
    </row>
    <row r="547" ht="15.75" customHeight="1">
      <c r="A547" s="1"/>
      <c r="B547" s="1"/>
      <c r="P547" s="2"/>
      <c r="Q547" s="2"/>
      <c r="R547" s="2"/>
      <c r="S547" s="2"/>
    </row>
    <row r="548" ht="15.75" customHeight="1">
      <c r="A548" s="1"/>
      <c r="B548" s="1"/>
      <c r="P548" s="2"/>
      <c r="Q548" s="2"/>
      <c r="R548" s="2"/>
      <c r="S548" s="2"/>
    </row>
    <row r="549" ht="15.75" customHeight="1">
      <c r="A549" s="1"/>
      <c r="B549" s="1"/>
      <c r="P549" s="2"/>
      <c r="Q549" s="2"/>
      <c r="R549" s="2"/>
      <c r="S549" s="2"/>
    </row>
    <row r="550" ht="15.75" customHeight="1">
      <c r="A550" s="1"/>
      <c r="B550" s="1"/>
      <c r="P550" s="2"/>
      <c r="Q550" s="2"/>
      <c r="R550" s="2"/>
      <c r="S550" s="2"/>
    </row>
    <row r="551" ht="15.75" customHeight="1">
      <c r="A551" s="1"/>
      <c r="B551" s="1"/>
      <c r="P551" s="2"/>
      <c r="Q551" s="2"/>
      <c r="R551" s="2"/>
      <c r="S551" s="2"/>
    </row>
    <row r="552" ht="15.75" customHeight="1">
      <c r="A552" s="1"/>
      <c r="B552" s="1"/>
      <c r="P552" s="2"/>
      <c r="Q552" s="2"/>
      <c r="R552" s="2"/>
      <c r="S552" s="2"/>
    </row>
    <row r="553" ht="15.75" customHeight="1">
      <c r="A553" s="1"/>
      <c r="B553" s="1"/>
      <c r="P553" s="2"/>
      <c r="Q553" s="2"/>
      <c r="R553" s="2"/>
      <c r="S553" s="2"/>
    </row>
    <row r="554" ht="15.75" customHeight="1">
      <c r="A554" s="1"/>
      <c r="B554" s="1"/>
      <c r="P554" s="2"/>
      <c r="Q554" s="2"/>
      <c r="R554" s="2"/>
      <c r="S554" s="2"/>
    </row>
    <row r="555" ht="15.75" customHeight="1">
      <c r="A555" s="1"/>
      <c r="B555" s="1"/>
      <c r="P555" s="2"/>
      <c r="Q555" s="2"/>
      <c r="R555" s="2"/>
      <c r="S555" s="2"/>
    </row>
    <row r="556" ht="15.75" customHeight="1">
      <c r="A556" s="1"/>
      <c r="B556" s="1"/>
      <c r="P556" s="2"/>
      <c r="Q556" s="2"/>
      <c r="R556" s="2"/>
      <c r="S556" s="2"/>
    </row>
    <row r="557" ht="15.75" customHeight="1">
      <c r="A557" s="1"/>
      <c r="B557" s="1"/>
      <c r="P557" s="2"/>
      <c r="Q557" s="2"/>
      <c r="R557" s="2"/>
      <c r="S557" s="2"/>
    </row>
    <row r="558" ht="15.75" customHeight="1">
      <c r="A558" s="1"/>
      <c r="B558" s="1"/>
      <c r="P558" s="2"/>
      <c r="Q558" s="2"/>
      <c r="R558" s="2"/>
      <c r="S558" s="2"/>
    </row>
    <row r="559" ht="15.75" customHeight="1">
      <c r="A559" s="1"/>
      <c r="B559" s="1"/>
      <c r="P559" s="2"/>
      <c r="Q559" s="2"/>
      <c r="R559" s="2"/>
      <c r="S559" s="2"/>
    </row>
    <row r="560" ht="15.75" customHeight="1">
      <c r="A560" s="1"/>
      <c r="B560" s="1"/>
      <c r="P560" s="2"/>
      <c r="Q560" s="2"/>
      <c r="R560" s="2"/>
      <c r="S560" s="2"/>
    </row>
    <row r="561" ht="15.75" customHeight="1">
      <c r="A561" s="1"/>
      <c r="B561" s="1"/>
      <c r="P561" s="2"/>
      <c r="Q561" s="2"/>
      <c r="R561" s="2"/>
      <c r="S561" s="2"/>
    </row>
    <row r="562" ht="15.75" customHeight="1">
      <c r="A562" s="1"/>
      <c r="B562" s="1"/>
      <c r="P562" s="2"/>
      <c r="Q562" s="2"/>
      <c r="R562" s="2"/>
      <c r="S562" s="2"/>
    </row>
    <row r="563" ht="15.75" customHeight="1">
      <c r="A563" s="1"/>
      <c r="B563" s="1"/>
      <c r="P563" s="2"/>
      <c r="Q563" s="2"/>
      <c r="R563" s="2"/>
      <c r="S563" s="2"/>
    </row>
    <row r="564" ht="15.75" customHeight="1">
      <c r="A564" s="1"/>
      <c r="B564" s="1"/>
      <c r="P564" s="2"/>
      <c r="Q564" s="2"/>
      <c r="R564" s="2"/>
      <c r="S564" s="2"/>
    </row>
    <row r="565" ht="15.75" customHeight="1">
      <c r="A565" s="1"/>
      <c r="B565" s="1"/>
      <c r="P565" s="2"/>
      <c r="Q565" s="2"/>
      <c r="R565" s="2"/>
      <c r="S565" s="2"/>
    </row>
    <row r="566" ht="15.75" customHeight="1">
      <c r="A566" s="1"/>
      <c r="B566" s="1"/>
      <c r="P566" s="2"/>
      <c r="Q566" s="2"/>
      <c r="R566" s="2"/>
      <c r="S566" s="2"/>
    </row>
    <row r="567" ht="15.75" customHeight="1">
      <c r="A567" s="1"/>
      <c r="B567" s="1"/>
      <c r="P567" s="2"/>
      <c r="Q567" s="2"/>
      <c r="R567" s="2"/>
      <c r="S567" s="2"/>
    </row>
    <row r="568" ht="15.75" customHeight="1">
      <c r="A568" s="1"/>
      <c r="B568" s="1"/>
      <c r="P568" s="2"/>
      <c r="Q568" s="2"/>
      <c r="R568" s="2"/>
      <c r="S568" s="2"/>
    </row>
    <row r="569" ht="15.75" customHeight="1">
      <c r="A569" s="1"/>
      <c r="B569" s="1"/>
      <c r="P569" s="2"/>
      <c r="Q569" s="2"/>
      <c r="R569" s="2"/>
      <c r="S569" s="2"/>
    </row>
    <row r="570" ht="15.75" customHeight="1">
      <c r="A570" s="1"/>
      <c r="B570" s="1"/>
      <c r="P570" s="2"/>
      <c r="Q570" s="2"/>
      <c r="R570" s="2"/>
      <c r="S570" s="2"/>
    </row>
    <row r="571" ht="15.75" customHeight="1">
      <c r="A571" s="1"/>
      <c r="B571" s="1"/>
      <c r="P571" s="2"/>
      <c r="Q571" s="2"/>
      <c r="R571" s="2"/>
      <c r="S571" s="2"/>
    </row>
    <row r="572" ht="15.75" customHeight="1">
      <c r="A572" s="1"/>
      <c r="B572" s="1"/>
      <c r="P572" s="2"/>
      <c r="Q572" s="2"/>
      <c r="R572" s="2"/>
      <c r="S572" s="2"/>
    </row>
    <row r="573" ht="15.75" customHeight="1">
      <c r="A573" s="1"/>
      <c r="B573" s="1"/>
      <c r="P573" s="2"/>
      <c r="Q573" s="2"/>
      <c r="R573" s="2"/>
      <c r="S573" s="2"/>
    </row>
    <row r="574" ht="15.75" customHeight="1">
      <c r="A574" s="1"/>
      <c r="B574" s="1"/>
      <c r="P574" s="2"/>
      <c r="Q574" s="2"/>
      <c r="R574" s="2"/>
      <c r="S574" s="2"/>
    </row>
    <row r="575" ht="15.75" customHeight="1">
      <c r="A575" s="1"/>
      <c r="B575" s="1"/>
      <c r="P575" s="2"/>
      <c r="Q575" s="2"/>
      <c r="R575" s="2"/>
      <c r="S575" s="2"/>
    </row>
    <row r="576" ht="15.75" customHeight="1">
      <c r="A576" s="1"/>
      <c r="B576" s="1"/>
      <c r="P576" s="2"/>
      <c r="Q576" s="2"/>
      <c r="R576" s="2"/>
      <c r="S576" s="2"/>
    </row>
    <row r="577" ht="15.75" customHeight="1">
      <c r="A577" s="1"/>
      <c r="B577" s="1"/>
      <c r="P577" s="2"/>
      <c r="Q577" s="2"/>
      <c r="R577" s="2"/>
      <c r="S577" s="2"/>
    </row>
    <row r="578" ht="15.75" customHeight="1">
      <c r="A578" s="1"/>
      <c r="B578" s="1"/>
      <c r="P578" s="2"/>
      <c r="Q578" s="2"/>
      <c r="R578" s="2"/>
      <c r="S578" s="2"/>
    </row>
    <row r="579" ht="15.75" customHeight="1">
      <c r="A579" s="1"/>
      <c r="B579" s="1"/>
      <c r="P579" s="2"/>
      <c r="Q579" s="2"/>
      <c r="R579" s="2"/>
      <c r="S579" s="2"/>
    </row>
    <row r="580" ht="15.75" customHeight="1">
      <c r="A580" s="1"/>
      <c r="B580" s="1"/>
      <c r="P580" s="2"/>
      <c r="Q580" s="2"/>
      <c r="R580" s="2"/>
      <c r="S580" s="2"/>
    </row>
    <row r="581" ht="15.75" customHeight="1">
      <c r="A581" s="1"/>
      <c r="B581" s="1"/>
      <c r="P581" s="2"/>
      <c r="Q581" s="2"/>
      <c r="R581" s="2"/>
      <c r="S581" s="2"/>
    </row>
    <row r="582" ht="15.75" customHeight="1">
      <c r="A582" s="1"/>
      <c r="B582" s="1"/>
      <c r="P582" s="2"/>
      <c r="Q582" s="2"/>
      <c r="R582" s="2"/>
      <c r="S582" s="2"/>
    </row>
    <row r="583" ht="15.75" customHeight="1">
      <c r="A583" s="1"/>
      <c r="B583" s="1"/>
      <c r="P583" s="2"/>
      <c r="Q583" s="2"/>
      <c r="R583" s="2"/>
      <c r="S583" s="2"/>
    </row>
    <row r="584" ht="15.75" customHeight="1">
      <c r="A584" s="1"/>
      <c r="B584" s="1"/>
      <c r="P584" s="2"/>
      <c r="Q584" s="2"/>
      <c r="R584" s="2"/>
      <c r="S584" s="2"/>
    </row>
    <row r="585" ht="15.75" customHeight="1">
      <c r="A585" s="1"/>
      <c r="B585" s="1"/>
      <c r="P585" s="2"/>
      <c r="Q585" s="2"/>
      <c r="R585" s="2"/>
      <c r="S585" s="2"/>
    </row>
    <row r="586" ht="15.75" customHeight="1">
      <c r="A586" s="1"/>
      <c r="B586" s="1"/>
      <c r="P586" s="2"/>
      <c r="Q586" s="2"/>
      <c r="R586" s="2"/>
      <c r="S586" s="2"/>
    </row>
    <row r="587" ht="15.75" customHeight="1">
      <c r="A587" s="1"/>
      <c r="B587" s="1"/>
      <c r="P587" s="2"/>
      <c r="Q587" s="2"/>
      <c r="R587" s="2"/>
      <c r="S587" s="2"/>
    </row>
    <row r="588" ht="15.75" customHeight="1">
      <c r="A588" s="1"/>
      <c r="B588" s="1"/>
      <c r="P588" s="2"/>
      <c r="Q588" s="2"/>
      <c r="R588" s="2"/>
      <c r="S588" s="2"/>
    </row>
    <row r="589" ht="15.75" customHeight="1">
      <c r="A589" s="1"/>
      <c r="B589" s="1"/>
      <c r="P589" s="2"/>
      <c r="Q589" s="2"/>
      <c r="R589" s="2"/>
      <c r="S589" s="2"/>
    </row>
    <row r="590" ht="15.75" customHeight="1">
      <c r="A590" s="1"/>
      <c r="B590" s="1"/>
      <c r="P590" s="2"/>
      <c r="Q590" s="2"/>
      <c r="R590" s="2"/>
      <c r="S590" s="2"/>
    </row>
    <row r="591" ht="15.75" customHeight="1">
      <c r="A591" s="1"/>
      <c r="B591" s="1"/>
      <c r="P591" s="2"/>
      <c r="Q591" s="2"/>
      <c r="R591" s="2"/>
      <c r="S591" s="2"/>
    </row>
    <row r="592" ht="15.75" customHeight="1">
      <c r="A592" s="1"/>
      <c r="B592" s="1"/>
      <c r="P592" s="2"/>
      <c r="Q592" s="2"/>
      <c r="R592" s="2"/>
      <c r="S592" s="2"/>
    </row>
    <row r="593" ht="15.75" customHeight="1">
      <c r="A593" s="1"/>
      <c r="B593" s="1"/>
      <c r="P593" s="2"/>
      <c r="Q593" s="2"/>
      <c r="R593" s="2"/>
      <c r="S593" s="2"/>
    </row>
    <row r="594" ht="15.75" customHeight="1">
      <c r="A594" s="1"/>
      <c r="B594" s="1"/>
      <c r="P594" s="2"/>
      <c r="Q594" s="2"/>
      <c r="R594" s="2"/>
      <c r="S594" s="2"/>
    </row>
    <row r="595" ht="15.75" customHeight="1">
      <c r="A595" s="1"/>
      <c r="B595" s="1"/>
      <c r="P595" s="2"/>
      <c r="Q595" s="2"/>
      <c r="R595" s="2"/>
      <c r="S595" s="2"/>
    </row>
    <row r="596" ht="15.75" customHeight="1">
      <c r="A596" s="1"/>
      <c r="B596" s="1"/>
      <c r="P596" s="2"/>
      <c r="Q596" s="2"/>
      <c r="R596" s="2"/>
      <c r="S596" s="2"/>
    </row>
    <row r="597" ht="15.75" customHeight="1">
      <c r="A597" s="1"/>
      <c r="B597" s="1"/>
      <c r="P597" s="2"/>
      <c r="Q597" s="2"/>
      <c r="R597" s="2"/>
      <c r="S597" s="2"/>
    </row>
    <row r="598" ht="15.75" customHeight="1">
      <c r="A598" s="1"/>
      <c r="B598" s="1"/>
      <c r="P598" s="2"/>
      <c r="Q598" s="2"/>
      <c r="R598" s="2"/>
      <c r="S598" s="2"/>
    </row>
    <row r="599" ht="15.75" customHeight="1">
      <c r="A599" s="1"/>
      <c r="B599" s="1"/>
      <c r="P599" s="2"/>
      <c r="Q599" s="2"/>
      <c r="R599" s="2"/>
      <c r="S599" s="2"/>
    </row>
    <row r="600" ht="15.75" customHeight="1">
      <c r="A600" s="1"/>
      <c r="B600" s="1"/>
      <c r="P600" s="2"/>
      <c r="Q600" s="2"/>
      <c r="R600" s="2"/>
      <c r="S600" s="2"/>
    </row>
    <row r="601" ht="15.75" customHeight="1">
      <c r="A601" s="1"/>
      <c r="B601" s="1"/>
      <c r="P601" s="2"/>
      <c r="Q601" s="2"/>
      <c r="R601" s="2"/>
      <c r="S601" s="2"/>
    </row>
    <row r="602" ht="15.75" customHeight="1">
      <c r="A602" s="1"/>
      <c r="B602" s="1"/>
      <c r="P602" s="2"/>
      <c r="Q602" s="2"/>
      <c r="R602" s="2"/>
      <c r="S602" s="2"/>
    </row>
    <row r="603" ht="15.75" customHeight="1">
      <c r="A603" s="1"/>
      <c r="B603" s="1"/>
      <c r="P603" s="2"/>
      <c r="Q603" s="2"/>
      <c r="R603" s="2"/>
      <c r="S603" s="2"/>
    </row>
    <row r="604" ht="15.75" customHeight="1">
      <c r="A604" s="1"/>
      <c r="B604" s="1"/>
      <c r="P604" s="2"/>
      <c r="Q604" s="2"/>
      <c r="R604" s="2"/>
      <c r="S604" s="2"/>
    </row>
    <row r="605" ht="15.75" customHeight="1">
      <c r="A605" s="1"/>
      <c r="B605" s="1"/>
      <c r="P605" s="2"/>
      <c r="Q605" s="2"/>
      <c r="R605" s="2"/>
      <c r="S605" s="2"/>
    </row>
    <row r="606" ht="15.75" customHeight="1">
      <c r="A606" s="1"/>
      <c r="B606" s="1"/>
      <c r="P606" s="2"/>
      <c r="Q606" s="2"/>
      <c r="R606" s="2"/>
      <c r="S606" s="2"/>
    </row>
    <row r="607" ht="15.75" customHeight="1">
      <c r="A607" s="1"/>
      <c r="B607" s="1"/>
      <c r="P607" s="2"/>
      <c r="Q607" s="2"/>
      <c r="R607" s="2"/>
      <c r="S607" s="2"/>
    </row>
    <row r="608" ht="15.75" customHeight="1">
      <c r="A608" s="1"/>
      <c r="B608" s="1"/>
      <c r="P608" s="2"/>
      <c r="Q608" s="2"/>
      <c r="R608" s="2"/>
      <c r="S608" s="2"/>
    </row>
    <row r="609" ht="15.75" customHeight="1">
      <c r="A609" s="1"/>
      <c r="B609" s="1"/>
      <c r="P609" s="2"/>
      <c r="Q609" s="2"/>
      <c r="R609" s="2"/>
      <c r="S609" s="2"/>
    </row>
    <row r="610" ht="15.75" customHeight="1">
      <c r="A610" s="1"/>
      <c r="B610" s="1"/>
      <c r="P610" s="2"/>
      <c r="Q610" s="2"/>
      <c r="R610" s="2"/>
      <c r="S610" s="2"/>
    </row>
    <row r="611" ht="15.75" customHeight="1">
      <c r="A611" s="1"/>
      <c r="B611" s="1"/>
      <c r="P611" s="2"/>
      <c r="Q611" s="2"/>
      <c r="R611" s="2"/>
      <c r="S611" s="2"/>
    </row>
    <row r="612" ht="15.75" customHeight="1">
      <c r="A612" s="1"/>
      <c r="B612" s="1"/>
      <c r="P612" s="2"/>
      <c r="Q612" s="2"/>
      <c r="R612" s="2"/>
      <c r="S612" s="2"/>
    </row>
    <row r="613" ht="15.75" customHeight="1">
      <c r="A613" s="1"/>
      <c r="B613" s="1"/>
      <c r="P613" s="2"/>
      <c r="Q613" s="2"/>
      <c r="R613" s="2"/>
      <c r="S613" s="2"/>
    </row>
    <row r="614" ht="15.75" customHeight="1">
      <c r="A614" s="1"/>
      <c r="B614" s="1"/>
      <c r="P614" s="2"/>
      <c r="Q614" s="2"/>
      <c r="R614" s="2"/>
      <c r="S614" s="2"/>
    </row>
    <row r="615" ht="15.75" customHeight="1">
      <c r="A615" s="1"/>
      <c r="B615" s="1"/>
      <c r="P615" s="2"/>
      <c r="Q615" s="2"/>
      <c r="R615" s="2"/>
      <c r="S615" s="2"/>
    </row>
    <row r="616" ht="15.75" customHeight="1">
      <c r="A616" s="1"/>
      <c r="B616" s="1"/>
      <c r="P616" s="2"/>
      <c r="Q616" s="2"/>
      <c r="R616" s="2"/>
      <c r="S616" s="2"/>
    </row>
    <row r="617" ht="15.75" customHeight="1">
      <c r="A617" s="1"/>
      <c r="B617" s="1"/>
      <c r="P617" s="2"/>
      <c r="Q617" s="2"/>
      <c r="R617" s="2"/>
      <c r="S617" s="2"/>
    </row>
    <row r="618" ht="15.75" customHeight="1">
      <c r="A618" s="1"/>
      <c r="B618" s="1"/>
      <c r="P618" s="2"/>
      <c r="Q618" s="2"/>
      <c r="R618" s="2"/>
      <c r="S618" s="2"/>
    </row>
    <row r="619" ht="15.75" customHeight="1">
      <c r="A619" s="1"/>
      <c r="B619" s="1"/>
      <c r="P619" s="2"/>
      <c r="Q619" s="2"/>
      <c r="R619" s="2"/>
      <c r="S619" s="2"/>
    </row>
    <row r="620" ht="15.75" customHeight="1">
      <c r="A620" s="1"/>
      <c r="B620" s="1"/>
      <c r="P620" s="2"/>
      <c r="Q620" s="2"/>
      <c r="R620" s="2"/>
      <c r="S620" s="2"/>
    </row>
    <row r="621" ht="15.75" customHeight="1">
      <c r="A621" s="1"/>
      <c r="B621" s="1"/>
      <c r="P621" s="2"/>
      <c r="Q621" s="2"/>
      <c r="R621" s="2"/>
      <c r="S621" s="2"/>
    </row>
    <row r="622" ht="15.75" customHeight="1">
      <c r="A622" s="1"/>
      <c r="B622" s="1"/>
      <c r="P622" s="2"/>
      <c r="Q622" s="2"/>
      <c r="R622" s="2"/>
      <c r="S622" s="2"/>
    </row>
    <row r="623" ht="15.75" customHeight="1">
      <c r="A623" s="1"/>
      <c r="B623" s="1"/>
      <c r="P623" s="2"/>
      <c r="Q623" s="2"/>
      <c r="R623" s="2"/>
      <c r="S623" s="2"/>
    </row>
    <row r="624" ht="15.75" customHeight="1">
      <c r="A624" s="1"/>
      <c r="B624" s="1"/>
      <c r="P624" s="2"/>
      <c r="Q624" s="2"/>
      <c r="R624" s="2"/>
      <c r="S624" s="2"/>
    </row>
    <row r="625" ht="15.75" customHeight="1">
      <c r="A625" s="1"/>
      <c r="B625" s="1"/>
      <c r="P625" s="2"/>
      <c r="Q625" s="2"/>
      <c r="R625" s="2"/>
      <c r="S625" s="2"/>
    </row>
    <row r="626" ht="15.75" customHeight="1">
      <c r="A626" s="1"/>
      <c r="B626" s="1"/>
      <c r="P626" s="2"/>
      <c r="Q626" s="2"/>
      <c r="R626" s="2"/>
      <c r="S626" s="2"/>
    </row>
    <row r="627" ht="15.75" customHeight="1">
      <c r="A627" s="1"/>
      <c r="B627" s="1"/>
      <c r="P627" s="2"/>
      <c r="Q627" s="2"/>
      <c r="R627" s="2"/>
      <c r="S627" s="2"/>
    </row>
    <row r="628" ht="15.75" customHeight="1">
      <c r="A628" s="1"/>
      <c r="B628" s="1"/>
      <c r="P628" s="2"/>
      <c r="Q628" s="2"/>
      <c r="R628" s="2"/>
      <c r="S628" s="2"/>
    </row>
    <row r="629" ht="15.75" customHeight="1">
      <c r="A629" s="1"/>
      <c r="B629" s="1"/>
      <c r="P629" s="2"/>
      <c r="Q629" s="2"/>
      <c r="R629" s="2"/>
      <c r="S629" s="2"/>
    </row>
    <row r="630" ht="15.75" customHeight="1">
      <c r="A630" s="1"/>
      <c r="B630" s="1"/>
      <c r="P630" s="2"/>
      <c r="Q630" s="2"/>
      <c r="R630" s="2"/>
      <c r="S630" s="2"/>
    </row>
    <row r="631" ht="15.75" customHeight="1">
      <c r="A631" s="1"/>
      <c r="B631" s="1"/>
      <c r="P631" s="2"/>
      <c r="Q631" s="2"/>
      <c r="R631" s="2"/>
      <c r="S631" s="2"/>
    </row>
    <row r="632" ht="15.75" customHeight="1">
      <c r="A632" s="1"/>
      <c r="B632" s="1"/>
      <c r="P632" s="2"/>
      <c r="Q632" s="2"/>
      <c r="R632" s="2"/>
      <c r="S632" s="2"/>
    </row>
    <row r="633" ht="15.75" customHeight="1">
      <c r="A633" s="1"/>
      <c r="B633" s="1"/>
      <c r="P633" s="2"/>
      <c r="Q633" s="2"/>
      <c r="R633" s="2"/>
      <c r="S633" s="2"/>
    </row>
    <row r="634" ht="15.75" customHeight="1">
      <c r="A634" s="1"/>
      <c r="B634" s="1"/>
      <c r="P634" s="2"/>
      <c r="Q634" s="2"/>
      <c r="R634" s="2"/>
      <c r="S634" s="2"/>
    </row>
    <row r="635" ht="15.75" customHeight="1">
      <c r="A635" s="1"/>
      <c r="B635" s="1"/>
      <c r="P635" s="2"/>
      <c r="Q635" s="2"/>
      <c r="R635" s="2"/>
      <c r="S635" s="2"/>
    </row>
    <row r="636" ht="15.75" customHeight="1">
      <c r="A636" s="1"/>
      <c r="B636" s="1"/>
      <c r="P636" s="2"/>
      <c r="Q636" s="2"/>
      <c r="R636" s="2"/>
      <c r="S636" s="2"/>
    </row>
    <row r="637" ht="15.75" customHeight="1">
      <c r="A637" s="1"/>
      <c r="B637" s="1"/>
      <c r="P637" s="2"/>
      <c r="Q637" s="2"/>
      <c r="R637" s="2"/>
      <c r="S637" s="2"/>
    </row>
    <row r="638" ht="15.75" customHeight="1">
      <c r="A638" s="1"/>
      <c r="B638" s="1"/>
      <c r="P638" s="2"/>
      <c r="Q638" s="2"/>
      <c r="R638" s="2"/>
      <c r="S638" s="2"/>
    </row>
    <row r="639" ht="15.75" customHeight="1">
      <c r="A639" s="1"/>
      <c r="B639" s="1"/>
      <c r="P639" s="2"/>
      <c r="Q639" s="2"/>
      <c r="R639" s="2"/>
      <c r="S639" s="2"/>
    </row>
    <row r="640" ht="15.75" customHeight="1">
      <c r="A640" s="1"/>
      <c r="B640" s="1"/>
      <c r="P640" s="2"/>
      <c r="Q640" s="2"/>
      <c r="R640" s="2"/>
      <c r="S640" s="2"/>
    </row>
    <row r="641" ht="15.75" customHeight="1">
      <c r="A641" s="1"/>
      <c r="B641" s="1"/>
      <c r="P641" s="2"/>
      <c r="Q641" s="2"/>
      <c r="R641" s="2"/>
      <c r="S641" s="2"/>
    </row>
    <row r="642" ht="15.75" customHeight="1">
      <c r="A642" s="1"/>
      <c r="B642" s="1"/>
      <c r="P642" s="2"/>
      <c r="Q642" s="2"/>
      <c r="R642" s="2"/>
      <c r="S642" s="2"/>
    </row>
    <row r="643" ht="15.75" customHeight="1">
      <c r="A643" s="1"/>
      <c r="B643" s="1"/>
      <c r="P643" s="2"/>
      <c r="Q643" s="2"/>
      <c r="R643" s="2"/>
      <c r="S643" s="2"/>
    </row>
    <row r="644" ht="15.75" customHeight="1">
      <c r="A644" s="1"/>
      <c r="B644" s="1"/>
      <c r="P644" s="2"/>
      <c r="Q644" s="2"/>
      <c r="R644" s="2"/>
      <c r="S644" s="2"/>
    </row>
    <row r="645" ht="15.75" customHeight="1">
      <c r="A645" s="1"/>
      <c r="B645" s="1"/>
      <c r="P645" s="2"/>
      <c r="Q645" s="2"/>
      <c r="R645" s="2"/>
      <c r="S645" s="2"/>
    </row>
    <row r="646" ht="15.75" customHeight="1">
      <c r="A646" s="1"/>
      <c r="B646" s="1"/>
      <c r="P646" s="2"/>
      <c r="Q646" s="2"/>
      <c r="R646" s="2"/>
      <c r="S646" s="2"/>
    </row>
    <row r="647" ht="15.75" customHeight="1">
      <c r="A647" s="1"/>
      <c r="B647" s="1"/>
      <c r="P647" s="2"/>
      <c r="Q647" s="2"/>
      <c r="R647" s="2"/>
      <c r="S647" s="2"/>
    </row>
    <row r="648" ht="15.75" customHeight="1">
      <c r="A648" s="1"/>
      <c r="B648" s="1"/>
      <c r="P648" s="2"/>
      <c r="Q648" s="2"/>
      <c r="R648" s="2"/>
      <c r="S648" s="2"/>
    </row>
    <row r="649" ht="15.75" customHeight="1">
      <c r="A649" s="1"/>
      <c r="B649" s="1"/>
      <c r="P649" s="2"/>
      <c r="Q649" s="2"/>
      <c r="R649" s="2"/>
      <c r="S649" s="2"/>
    </row>
    <row r="650" ht="15.75" customHeight="1">
      <c r="A650" s="1"/>
      <c r="B650" s="1"/>
      <c r="P650" s="2"/>
      <c r="Q650" s="2"/>
      <c r="R650" s="2"/>
      <c r="S650" s="2"/>
    </row>
    <row r="651" ht="15.75" customHeight="1">
      <c r="A651" s="1"/>
      <c r="B651" s="1"/>
      <c r="P651" s="2"/>
      <c r="Q651" s="2"/>
      <c r="R651" s="2"/>
      <c r="S651" s="2"/>
    </row>
    <row r="652" ht="15.75" customHeight="1">
      <c r="A652" s="1"/>
      <c r="B652" s="1"/>
      <c r="P652" s="2"/>
      <c r="Q652" s="2"/>
      <c r="R652" s="2"/>
      <c r="S652" s="2"/>
    </row>
    <row r="653" ht="15.75" customHeight="1">
      <c r="A653" s="1"/>
      <c r="B653" s="1"/>
      <c r="P653" s="2"/>
      <c r="Q653" s="2"/>
      <c r="R653" s="2"/>
      <c r="S653" s="2"/>
    </row>
    <row r="654" ht="15.75" customHeight="1">
      <c r="A654" s="1"/>
      <c r="B654" s="1"/>
      <c r="P654" s="2"/>
      <c r="Q654" s="2"/>
      <c r="R654" s="2"/>
      <c r="S654" s="2"/>
    </row>
    <row r="655" ht="15.75" customHeight="1">
      <c r="A655" s="1"/>
      <c r="B655" s="1"/>
      <c r="P655" s="2"/>
      <c r="Q655" s="2"/>
      <c r="R655" s="2"/>
      <c r="S655" s="2"/>
    </row>
    <row r="656" ht="15.75" customHeight="1">
      <c r="A656" s="1"/>
      <c r="B656" s="1"/>
      <c r="P656" s="2"/>
      <c r="Q656" s="2"/>
      <c r="R656" s="2"/>
      <c r="S656" s="2"/>
    </row>
    <row r="657" ht="15.75" customHeight="1">
      <c r="A657" s="1"/>
      <c r="B657" s="1"/>
      <c r="P657" s="2"/>
      <c r="Q657" s="2"/>
      <c r="R657" s="2"/>
      <c r="S657" s="2"/>
    </row>
    <row r="658" ht="15.75" customHeight="1">
      <c r="A658" s="1"/>
      <c r="B658" s="1"/>
      <c r="P658" s="2"/>
      <c r="Q658" s="2"/>
      <c r="R658" s="2"/>
      <c r="S658" s="2"/>
    </row>
    <row r="659" ht="15.75" customHeight="1">
      <c r="A659" s="1"/>
      <c r="B659" s="1"/>
      <c r="P659" s="2"/>
      <c r="Q659" s="2"/>
      <c r="R659" s="2"/>
      <c r="S659" s="2"/>
    </row>
    <row r="660" ht="15.75" customHeight="1">
      <c r="A660" s="1"/>
      <c r="B660" s="1"/>
      <c r="P660" s="2"/>
      <c r="Q660" s="2"/>
      <c r="R660" s="2"/>
      <c r="S660" s="2"/>
    </row>
    <row r="661" ht="15.75" customHeight="1">
      <c r="A661" s="1"/>
      <c r="B661" s="1"/>
      <c r="P661" s="2"/>
      <c r="Q661" s="2"/>
      <c r="R661" s="2"/>
      <c r="S661" s="2"/>
    </row>
    <row r="662" ht="15.75" customHeight="1">
      <c r="A662" s="1"/>
      <c r="B662" s="1"/>
      <c r="P662" s="2"/>
      <c r="Q662" s="2"/>
      <c r="R662" s="2"/>
      <c r="S662" s="2"/>
    </row>
    <row r="663" ht="15.75" customHeight="1">
      <c r="A663" s="1"/>
      <c r="B663" s="1"/>
      <c r="P663" s="2"/>
      <c r="Q663" s="2"/>
      <c r="R663" s="2"/>
      <c r="S663" s="2"/>
    </row>
    <row r="664" ht="15.75" customHeight="1">
      <c r="A664" s="1"/>
      <c r="B664" s="1"/>
      <c r="P664" s="2"/>
      <c r="Q664" s="2"/>
      <c r="R664" s="2"/>
      <c r="S664" s="2"/>
    </row>
    <row r="665" ht="15.75" customHeight="1">
      <c r="A665" s="1"/>
      <c r="B665" s="1"/>
      <c r="P665" s="2"/>
      <c r="Q665" s="2"/>
      <c r="R665" s="2"/>
      <c r="S665" s="2"/>
    </row>
    <row r="666" ht="15.75" customHeight="1">
      <c r="A666" s="1"/>
      <c r="B666" s="1"/>
      <c r="P666" s="2"/>
      <c r="Q666" s="2"/>
      <c r="R666" s="2"/>
      <c r="S666" s="2"/>
    </row>
    <row r="667" ht="15.75" customHeight="1">
      <c r="A667" s="1"/>
      <c r="B667" s="1"/>
      <c r="P667" s="2"/>
      <c r="Q667" s="2"/>
      <c r="R667" s="2"/>
      <c r="S667" s="2"/>
    </row>
    <row r="668" ht="15.75" customHeight="1">
      <c r="A668" s="1"/>
      <c r="B668" s="1"/>
      <c r="P668" s="2"/>
      <c r="Q668" s="2"/>
      <c r="R668" s="2"/>
      <c r="S668" s="2"/>
    </row>
    <row r="669" ht="15.75" customHeight="1">
      <c r="A669" s="1"/>
      <c r="B669" s="1"/>
      <c r="P669" s="2"/>
      <c r="Q669" s="2"/>
      <c r="R669" s="2"/>
      <c r="S669" s="2"/>
    </row>
    <row r="670" ht="15.75" customHeight="1">
      <c r="A670" s="1"/>
      <c r="B670" s="1"/>
      <c r="P670" s="2"/>
      <c r="Q670" s="2"/>
      <c r="R670" s="2"/>
      <c r="S670" s="2"/>
    </row>
    <row r="671" ht="15.75" customHeight="1">
      <c r="A671" s="1"/>
      <c r="B671" s="1"/>
      <c r="P671" s="2"/>
      <c r="Q671" s="2"/>
      <c r="R671" s="2"/>
      <c r="S671" s="2"/>
    </row>
    <row r="672" ht="15.75" customHeight="1">
      <c r="A672" s="1"/>
      <c r="B672" s="1"/>
      <c r="P672" s="2"/>
      <c r="Q672" s="2"/>
      <c r="R672" s="2"/>
      <c r="S672" s="2"/>
    </row>
    <row r="673" ht="15.75" customHeight="1">
      <c r="A673" s="1"/>
      <c r="B673" s="1"/>
      <c r="P673" s="2"/>
      <c r="Q673" s="2"/>
      <c r="R673" s="2"/>
      <c r="S673" s="2"/>
    </row>
    <row r="674" ht="15.75" customHeight="1">
      <c r="A674" s="1"/>
      <c r="B674" s="1"/>
      <c r="P674" s="2"/>
      <c r="Q674" s="2"/>
      <c r="R674" s="2"/>
      <c r="S674" s="2"/>
    </row>
    <row r="675" ht="15.75" customHeight="1">
      <c r="A675" s="1"/>
      <c r="B675" s="1"/>
      <c r="P675" s="2"/>
      <c r="Q675" s="2"/>
      <c r="R675" s="2"/>
      <c r="S675" s="2"/>
    </row>
    <row r="676" ht="15.75" customHeight="1">
      <c r="A676" s="1"/>
      <c r="B676" s="1"/>
      <c r="P676" s="2"/>
      <c r="Q676" s="2"/>
      <c r="R676" s="2"/>
      <c r="S676" s="2"/>
    </row>
    <row r="677" ht="15.75" customHeight="1">
      <c r="A677" s="1"/>
      <c r="B677" s="1"/>
      <c r="P677" s="2"/>
      <c r="Q677" s="2"/>
      <c r="R677" s="2"/>
      <c r="S677" s="2"/>
    </row>
    <row r="678" ht="15.75" customHeight="1">
      <c r="A678" s="1"/>
      <c r="B678" s="1"/>
      <c r="P678" s="2"/>
      <c r="Q678" s="2"/>
      <c r="R678" s="2"/>
      <c r="S678" s="2"/>
    </row>
    <row r="679" ht="15.75" customHeight="1">
      <c r="A679" s="1"/>
      <c r="B679" s="1"/>
      <c r="P679" s="2"/>
      <c r="Q679" s="2"/>
      <c r="R679" s="2"/>
      <c r="S679" s="2"/>
    </row>
    <row r="680" ht="15.75" customHeight="1">
      <c r="A680" s="1"/>
      <c r="B680" s="1"/>
      <c r="P680" s="2"/>
      <c r="Q680" s="2"/>
      <c r="R680" s="2"/>
      <c r="S680" s="2"/>
    </row>
    <row r="681" ht="15.75" customHeight="1">
      <c r="A681" s="1"/>
      <c r="B681" s="1"/>
      <c r="P681" s="2"/>
      <c r="Q681" s="2"/>
      <c r="R681" s="2"/>
      <c r="S681" s="2"/>
    </row>
    <row r="682" ht="15.75" customHeight="1">
      <c r="A682" s="1"/>
      <c r="B682" s="1"/>
      <c r="P682" s="2"/>
      <c r="Q682" s="2"/>
      <c r="R682" s="2"/>
      <c r="S682" s="2"/>
    </row>
    <row r="683" ht="15.75" customHeight="1">
      <c r="A683" s="1"/>
      <c r="B683" s="1"/>
      <c r="P683" s="2"/>
      <c r="Q683" s="2"/>
      <c r="R683" s="2"/>
      <c r="S683" s="2"/>
    </row>
    <row r="684" ht="15.75" customHeight="1">
      <c r="A684" s="1"/>
      <c r="B684" s="1"/>
      <c r="P684" s="2"/>
      <c r="Q684" s="2"/>
      <c r="R684" s="2"/>
      <c r="S684" s="2"/>
    </row>
    <row r="685" ht="15.75" customHeight="1">
      <c r="A685" s="1"/>
      <c r="B685" s="1"/>
      <c r="P685" s="2"/>
      <c r="Q685" s="2"/>
      <c r="R685" s="2"/>
      <c r="S685" s="2"/>
    </row>
    <row r="686" ht="15.75" customHeight="1">
      <c r="A686" s="1"/>
      <c r="B686" s="1"/>
      <c r="P686" s="2"/>
      <c r="Q686" s="2"/>
      <c r="R686" s="2"/>
      <c r="S686" s="2"/>
    </row>
    <row r="687" ht="15.75" customHeight="1">
      <c r="A687" s="1"/>
      <c r="B687" s="1"/>
      <c r="P687" s="2"/>
      <c r="Q687" s="2"/>
      <c r="R687" s="2"/>
      <c r="S687" s="2"/>
    </row>
    <row r="688" ht="15.75" customHeight="1">
      <c r="A688" s="1"/>
      <c r="B688" s="1"/>
      <c r="P688" s="2"/>
      <c r="Q688" s="2"/>
      <c r="R688" s="2"/>
      <c r="S688" s="2"/>
    </row>
    <row r="689" ht="15.75" customHeight="1">
      <c r="A689" s="1"/>
      <c r="B689" s="1"/>
      <c r="P689" s="2"/>
      <c r="Q689" s="2"/>
      <c r="R689" s="2"/>
      <c r="S689" s="2"/>
    </row>
    <row r="690" ht="15.75" customHeight="1">
      <c r="A690" s="1"/>
      <c r="B690" s="1"/>
      <c r="P690" s="2"/>
      <c r="Q690" s="2"/>
      <c r="R690" s="2"/>
      <c r="S690" s="2"/>
    </row>
    <row r="691" ht="15.75" customHeight="1">
      <c r="A691" s="1"/>
      <c r="B691" s="1"/>
      <c r="P691" s="2"/>
      <c r="Q691" s="2"/>
      <c r="R691" s="2"/>
      <c r="S691" s="2"/>
    </row>
    <row r="692" ht="15.75" customHeight="1">
      <c r="A692" s="1"/>
      <c r="B692" s="1"/>
      <c r="P692" s="2"/>
      <c r="Q692" s="2"/>
      <c r="R692" s="2"/>
      <c r="S692" s="2"/>
    </row>
    <row r="693" ht="15.75" customHeight="1">
      <c r="A693" s="1"/>
      <c r="B693" s="1"/>
      <c r="P693" s="2"/>
      <c r="Q693" s="2"/>
      <c r="R693" s="2"/>
      <c r="S693" s="2"/>
    </row>
    <row r="694" ht="15.75" customHeight="1">
      <c r="A694" s="1"/>
      <c r="B694" s="1"/>
      <c r="P694" s="2"/>
      <c r="Q694" s="2"/>
      <c r="R694" s="2"/>
      <c r="S694" s="2"/>
    </row>
    <row r="695" ht="15.75" customHeight="1">
      <c r="A695" s="1"/>
      <c r="B695" s="1"/>
      <c r="P695" s="2"/>
      <c r="Q695" s="2"/>
      <c r="R695" s="2"/>
      <c r="S695" s="2"/>
    </row>
    <row r="696" ht="15.75" customHeight="1">
      <c r="A696" s="1"/>
      <c r="B696" s="1"/>
      <c r="P696" s="2"/>
      <c r="Q696" s="2"/>
      <c r="R696" s="2"/>
      <c r="S696" s="2"/>
    </row>
    <row r="697" ht="15.75" customHeight="1">
      <c r="A697" s="1"/>
      <c r="B697" s="1"/>
      <c r="P697" s="2"/>
      <c r="Q697" s="2"/>
      <c r="R697" s="2"/>
      <c r="S697" s="2"/>
    </row>
    <row r="698" ht="15.75" customHeight="1">
      <c r="A698" s="1"/>
      <c r="B698" s="1"/>
      <c r="P698" s="2"/>
      <c r="Q698" s="2"/>
      <c r="R698" s="2"/>
      <c r="S698" s="2"/>
    </row>
    <row r="699" ht="15.75" customHeight="1">
      <c r="A699" s="1"/>
      <c r="B699" s="1"/>
      <c r="P699" s="2"/>
      <c r="Q699" s="2"/>
      <c r="R699" s="2"/>
      <c r="S699" s="2"/>
    </row>
    <row r="700" ht="15.75" customHeight="1">
      <c r="A700" s="1"/>
      <c r="B700" s="1"/>
      <c r="P700" s="2"/>
      <c r="Q700" s="2"/>
      <c r="R700" s="2"/>
      <c r="S700" s="2"/>
    </row>
    <row r="701" ht="15.75" customHeight="1">
      <c r="A701" s="1"/>
      <c r="B701" s="1"/>
      <c r="P701" s="2"/>
      <c r="Q701" s="2"/>
      <c r="R701" s="2"/>
      <c r="S701" s="2"/>
    </row>
    <row r="702" ht="15.75" customHeight="1">
      <c r="A702" s="1"/>
      <c r="B702" s="1"/>
      <c r="P702" s="2"/>
      <c r="Q702" s="2"/>
      <c r="R702" s="2"/>
      <c r="S702" s="2"/>
    </row>
    <row r="703" ht="15.75" customHeight="1">
      <c r="A703" s="1"/>
      <c r="B703" s="1"/>
      <c r="P703" s="2"/>
      <c r="Q703" s="2"/>
      <c r="R703" s="2"/>
      <c r="S703" s="2"/>
    </row>
    <row r="704" ht="15.75" customHeight="1">
      <c r="A704" s="1"/>
      <c r="B704" s="1"/>
      <c r="P704" s="2"/>
      <c r="Q704" s="2"/>
      <c r="R704" s="2"/>
      <c r="S704" s="2"/>
    </row>
    <row r="705" ht="15.75" customHeight="1">
      <c r="A705" s="1"/>
      <c r="B705" s="1"/>
      <c r="P705" s="2"/>
      <c r="Q705" s="2"/>
      <c r="R705" s="2"/>
      <c r="S705" s="2"/>
    </row>
    <row r="706" ht="15.75" customHeight="1">
      <c r="A706" s="1"/>
      <c r="B706" s="1"/>
      <c r="P706" s="2"/>
      <c r="Q706" s="2"/>
      <c r="R706" s="2"/>
      <c r="S706" s="2"/>
    </row>
    <row r="707" ht="15.75" customHeight="1">
      <c r="A707" s="1"/>
      <c r="B707" s="1"/>
      <c r="P707" s="2"/>
      <c r="Q707" s="2"/>
      <c r="R707" s="2"/>
      <c r="S707" s="2"/>
    </row>
    <row r="708" ht="15.75" customHeight="1">
      <c r="A708" s="1"/>
      <c r="B708" s="1"/>
      <c r="P708" s="2"/>
      <c r="Q708" s="2"/>
      <c r="R708" s="2"/>
      <c r="S708" s="2"/>
    </row>
    <row r="709" ht="15.75" customHeight="1">
      <c r="A709" s="1"/>
      <c r="B709" s="1"/>
      <c r="P709" s="2"/>
      <c r="Q709" s="2"/>
      <c r="R709" s="2"/>
      <c r="S709" s="2"/>
    </row>
    <row r="710" ht="15.75" customHeight="1">
      <c r="A710" s="1"/>
      <c r="B710" s="1"/>
      <c r="P710" s="2"/>
      <c r="Q710" s="2"/>
      <c r="R710" s="2"/>
      <c r="S710" s="2"/>
    </row>
    <row r="711" ht="15.75" customHeight="1">
      <c r="A711" s="1"/>
      <c r="B711" s="1"/>
      <c r="P711" s="2"/>
      <c r="Q711" s="2"/>
      <c r="R711" s="2"/>
      <c r="S711" s="2"/>
    </row>
    <row r="712" ht="15.75" customHeight="1">
      <c r="A712" s="1"/>
      <c r="B712" s="1"/>
      <c r="P712" s="2"/>
      <c r="Q712" s="2"/>
      <c r="R712" s="2"/>
      <c r="S712" s="2"/>
    </row>
    <row r="713" ht="15.75" customHeight="1">
      <c r="A713" s="1"/>
      <c r="B713" s="1"/>
      <c r="P713" s="2"/>
      <c r="Q713" s="2"/>
      <c r="R713" s="2"/>
      <c r="S713" s="2"/>
    </row>
    <row r="714" ht="15.75" customHeight="1">
      <c r="A714" s="1"/>
      <c r="B714" s="1"/>
      <c r="P714" s="2"/>
      <c r="Q714" s="2"/>
      <c r="R714" s="2"/>
      <c r="S714" s="2"/>
    </row>
    <row r="715" ht="15.75" customHeight="1">
      <c r="A715" s="1"/>
      <c r="B715" s="1"/>
      <c r="P715" s="2"/>
      <c r="Q715" s="2"/>
      <c r="R715" s="2"/>
      <c r="S715" s="2"/>
    </row>
    <row r="716" ht="15.75" customHeight="1">
      <c r="A716" s="1"/>
      <c r="B716" s="1"/>
      <c r="P716" s="2"/>
      <c r="Q716" s="2"/>
      <c r="R716" s="2"/>
      <c r="S716" s="2"/>
    </row>
    <row r="717" ht="15.75" customHeight="1">
      <c r="A717" s="1"/>
      <c r="B717" s="1"/>
      <c r="P717" s="2"/>
      <c r="Q717" s="2"/>
      <c r="R717" s="2"/>
      <c r="S717" s="2"/>
    </row>
    <row r="718" ht="15.75" customHeight="1">
      <c r="A718" s="1"/>
      <c r="B718" s="1"/>
      <c r="P718" s="2"/>
      <c r="Q718" s="2"/>
      <c r="R718" s="2"/>
      <c r="S718" s="2"/>
    </row>
    <row r="719" ht="15.75" customHeight="1">
      <c r="A719" s="1"/>
      <c r="B719" s="1"/>
      <c r="P719" s="2"/>
      <c r="Q719" s="2"/>
      <c r="R719" s="2"/>
      <c r="S719" s="2"/>
    </row>
    <row r="720" ht="15.75" customHeight="1">
      <c r="A720" s="1"/>
      <c r="B720" s="1"/>
      <c r="P720" s="2"/>
      <c r="Q720" s="2"/>
      <c r="R720" s="2"/>
      <c r="S720" s="2"/>
    </row>
    <row r="721" ht="15.75" customHeight="1">
      <c r="A721" s="1"/>
      <c r="B721" s="1"/>
      <c r="P721" s="2"/>
      <c r="Q721" s="2"/>
      <c r="R721" s="2"/>
      <c r="S721" s="2"/>
    </row>
    <row r="722" ht="15.75" customHeight="1">
      <c r="A722" s="1"/>
      <c r="B722" s="1"/>
      <c r="P722" s="2"/>
      <c r="Q722" s="2"/>
      <c r="R722" s="2"/>
      <c r="S722" s="2"/>
    </row>
    <row r="723" ht="15.75" customHeight="1">
      <c r="A723" s="1"/>
      <c r="B723" s="1"/>
      <c r="P723" s="2"/>
      <c r="Q723" s="2"/>
      <c r="R723" s="2"/>
      <c r="S723" s="2"/>
    </row>
    <row r="724" ht="15.75" customHeight="1">
      <c r="A724" s="1"/>
      <c r="B724" s="1"/>
      <c r="P724" s="2"/>
      <c r="Q724" s="2"/>
      <c r="R724" s="2"/>
      <c r="S724" s="2"/>
    </row>
    <row r="725" ht="15.75" customHeight="1">
      <c r="A725" s="1"/>
      <c r="B725" s="1"/>
      <c r="P725" s="2"/>
      <c r="Q725" s="2"/>
      <c r="R725" s="2"/>
      <c r="S725" s="2"/>
    </row>
    <row r="726" ht="15.75" customHeight="1">
      <c r="A726" s="1"/>
      <c r="B726" s="1"/>
      <c r="P726" s="2"/>
      <c r="Q726" s="2"/>
      <c r="R726" s="2"/>
      <c r="S726" s="2"/>
    </row>
    <row r="727" ht="15.75" customHeight="1">
      <c r="A727" s="1"/>
      <c r="B727" s="1"/>
      <c r="P727" s="2"/>
      <c r="Q727" s="2"/>
      <c r="R727" s="2"/>
      <c r="S727" s="2"/>
    </row>
    <row r="728" ht="15.75" customHeight="1">
      <c r="A728" s="1"/>
      <c r="B728" s="1"/>
      <c r="P728" s="2"/>
      <c r="Q728" s="2"/>
      <c r="R728" s="2"/>
      <c r="S728" s="2"/>
    </row>
    <row r="729" ht="15.75" customHeight="1">
      <c r="A729" s="1"/>
      <c r="B729" s="1"/>
      <c r="P729" s="2"/>
      <c r="Q729" s="2"/>
      <c r="R729" s="2"/>
      <c r="S729" s="2"/>
    </row>
    <row r="730" ht="15.75" customHeight="1">
      <c r="A730" s="1"/>
      <c r="B730" s="1"/>
      <c r="P730" s="2"/>
      <c r="Q730" s="2"/>
      <c r="R730" s="2"/>
      <c r="S730" s="2"/>
    </row>
    <row r="731" ht="15.75" customHeight="1">
      <c r="A731" s="1"/>
      <c r="B731" s="1"/>
      <c r="P731" s="2"/>
      <c r="Q731" s="2"/>
      <c r="R731" s="2"/>
      <c r="S731" s="2"/>
    </row>
    <row r="732" ht="15.75" customHeight="1">
      <c r="A732" s="1"/>
      <c r="B732" s="1"/>
      <c r="P732" s="2"/>
      <c r="Q732" s="2"/>
      <c r="R732" s="2"/>
      <c r="S732" s="2"/>
    </row>
    <row r="733" ht="15.75" customHeight="1">
      <c r="A733" s="1"/>
      <c r="B733" s="1"/>
      <c r="P733" s="2"/>
      <c r="Q733" s="2"/>
      <c r="R733" s="2"/>
      <c r="S733" s="2"/>
    </row>
    <row r="734" ht="15.75" customHeight="1">
      <c r="A734" s="1"/>
      <c r="B734" s="1"/>
      <c r="P734" s="2"/>
      <c r="Q734" s="2"/>
      <c r="R734" s="2"/>
      <c r="S734" s="2"/>
    </row>
    <row r="735" ht="15.75" customHeight="1">
      <c r="A735" s="1"/>
      <c r="B735" s="1"/>
      <c r="P735" s="2"/>
      <c r="Q735" s="2"/>
      <c r="R735" s="2"/>
      <c r="S735" s="2"/>
    </row>
    <row r="736" ht="15.75" customHeight="1">
      <c r="A736" s="1"/>
      <c r="B736" s="1"/>
      <c r="P736" s="2"/>
      <c r="Q736" s="2"/>
      <c r="R736" s="2"/>
      <c r="S736" s="2"/>
    </row>
    <row r="737" ht="15.75" customHeight="1">
      <c r="A737" s="1"/>
      <c r="B737" s="1"/>
      <c r="P737" s="2"/>
      <c r="Q737" s="2"/>
      <c r="R737" s="2"/>
      <c r="S737" s="2"/>
    </row>
    <row r="738" ht="15.75" customHeight="1">
      <c r="A738" s="1"/>
      <c r="B738" s="1"/>
      <c r="P738" s="2"/>
      <c r="Q738" s="2"/>
      <c r="R738" s="2"/>
      <c r="S738" s="2"/>
    </row>
    <row r="739" ht="15.75" customHeight="1">
      <c r="A739" s="1"/>
      <c r="B739" s="1"/>
      <c r="P739" s="2"/>
      <c r="Q739" s="2"/>
      <c r="R739" s="2"/>
      <c r="S739" s="2"/>
    </row>
    <row r="740" ht="15.75" customHeight="1">
      <c r="A740" s="1"/>
      <c r="B740" s="1"/>
      <c r="P740" s="2"/>
      <c r="Q740" s="2"/>
      <c r="R740" s="2"/>
      <c r="S740" s="2"/>
    </row>
    <row r="741" ht="15.75" customHeight="1">
      <c r="A741" s="1"/>
      <c r="B741" s="1"/>
      <c r="P741" s="2"/>
      <c r="Q741" s="2"/>
      <c r="R741" s="2"/>
      <c r="S741" s="2"/>
    </row>
    <row r="742" ht="15.75" customHeight="1">
      <c r="A742" s="1"/>
      <c r="B742" s="1"/>
      <c r="P742" s="2"/>
      <c r="Q742" s="2"/>
      <c r="R742" s="2"/>
      <c r="S742" s="2"/>
    </row>
    <row r="743" ht="15.75" customHeight="1">
      <c r="A743" s="1"/>
      <c r="B743" s="1"/>
      <c r="P743" s="2"/>
      <c r="Q743" s="2"/>
      <c r="R743" s="2"/>
      <c r="S743" s="2"/>
    </row>
    <row r="744" ht="15.75" customHeight="1">
      <c r="A744" s="1"/>
      <c r="B744" s="1"/>
      <c r="P744" s="2"/>
      <c r="Q744" s="2"/>
      <c r="R744" s="2"/>
      <c r="S744" s="2"/>
    </row>
    <row r="745" ht="15.75" customHeight="1">
      <c r="A745" s="1"/>
      <c r="B745" s="1"/>
      <c r="P745" s="2"/>
      <c r="Q745" s="2"/>
      <c r="R745" s="2"/>
      <c r="S745" s="2"/>
    </row>
    <row r="746" ht="15.75" customHeight="1">
      <c r="A746" s="1"/>
      <c r="B746" s="1"/>
      <c r="P746" s="2"/>
      <c r="Q746" s="2"/>
      <c r="R746" s="2"/>
      <c r="S746" s="2"/>
    </row>
    <row r="747" ht="15.75" customHeight="1">
      <c r="A747" s="1"/>
      <c r="B747" s="1"/>
      <c r="P747" s="2"/>
      <c r="Q747" s="2"/>
      <c r="R747" s="2"/>
      <c r="S747" s="2"/>
    </row>
    <row r="748" ht="15.75" customHeight="1">
      <c r="A748" s="1"/>
      <c r="B748" s="1"/>
      <c r="P748" s="2"/>
      <c r="Q748" s="2"/>
      <c r="R748" s="2"/>
      <c r="S748" s="2"/>
    </row>
    <row r="749" ht="15.75" customHeight="1">
      <c r="A749" s="1"/>
      <c r="B749" s="1"/>
      <c r="P749" s="2"/>
      <c r="Q749" s="2"/>
      <c r="R749" s="2"/>
      <c r="S749" s="2"/>
    </row>
    <row r="750" ht="15.75" customHeight="1">
      <c r="A750" s="1"/>
      <c r="B750" s="1"/>
      <c r="P750" s="2"/>
      <c r="Q750" s="2"/>
      <c r="R750" s="2"/>
      <c r="S750" s="2"/>
    </row>
    <row r="751" ht="15.75" customHeight="1">
      <c r="A751" s="1"/>
      <c r="B751" s="1"/>
      <c r="P751" s="2"/>
      <c r="Q751" s="2"/>
      <c r="R751" s="2"/>
      <c r="S751" s="2"/>
    </row>
    <row r="752" ht="15.75" customHeight="1">
      <c r="A752" s="1"/>
      <c r="B752" s="1"/>
      <c r="P752" s="2"/>
      <c r="Q752" s="2"/>
      <c r="R752" s="2"/>
      <c r="S752" s="2"/>
    </row>
    <row r="753" ht="15.75" customHeight="1">
      <c r="A753" s="1"/>
      <c r="B753" s="1"/>
      <c r="P753" s="2"/>
      <c r="Q753" s="2"/>
      <c r="R753" s="2"/>
      <c r="S753" s="2"/>
    </row>
    <row r="754" ht="15.75" customHeight="1">
      <c r="A754" s="1"/>
      <c r="B754" s="1"/>
      <c r="P754" s="2"/>
      <c r="Q754" s="2"/>
      <c r="R754" s="2"/>
      <c r="S754" s="2"/>
    </row>
    <row r="755" ht="15.75" customHeight="1">
      <c r="A755" s="1"/>
      <c r="B755" s="1"/>
      <c r="P755" s="2"/>
      <c r="Q755" s="2"/>
      <c r="R755" s="2"/>
      <c r="S755" s="2"/>
    </row>
    <row r="756" ht="15.75" customHeight="1">
      <c r="A756" s="1"/>
      <c r="B756" s="1"/>
      <c r="P756" s="2"/>
      <c r="Q756" s="2"/>
      <c r="R756" s="2"/>
      <c r="S756" s="2"/>
    </row>
    <row r="757" ht="15.75" customHeight="1">
      <c r="A757" s="1"/>
      <c r="B757" s="1"/>
      <c r="P757" s="2"/>
      <c r="Q757" s="2"/>
      <c r="R757" s="2"/>
      <c r="S757" s="2"/>
    </row>
    <row r="758" ht="15.75" customHeight="1">
      <c r="A758" s="1"/>
      <c r="B758" s="1"/>
      <c r="P758" s="2"/>
      <c r="Q758" s="2"/>
      <c r="R758" s="2"/>
      <c r="S758" s="2"/>
    </row>
    <row r="759" ht="15.75" customHeight="1">
      <c r="A759" s="1"/>
      <c r="B759" s="1"/>
      <c r="P759" s="2"/>
      <c r="Q759" s="2"/>
      <c r="R759" s="2"/>
      <c r="S759" s="2"/>
    </row>
    <row r="760" ht="15.75" customHeight="1">
      <c r="A760" s="1"/>
      <c r="B760" s="1"/>
      <c r="P760" s="2"/>
      <c r="Q760" s="2"/>
      <c r="R760" s="2"/>
      <c r="S760" s="2"/>
    </row>
    <row r="761" ht="15.75" customHeight="1">
      <c r="A761" s="1"/>
      <c r="B761" s="1"/>
      <c r="P761" s="2"/>
      <c r="Q761" s="2"/>
      <c r="R761" s="2"/>
      <c r="S761" s="2"/>
    </row>
    <row r="762" ht="15.75" customHeight="1">
      <c r="A762" s="1"/>
      <c r="B762" s="1"/>
      <c r="P762" s="2"/>
      <c r="Q762" s="2"/>
      <c r="R762" s="2"/>
      <c r="S762" s="2"/>
    </row>
    <row r="763" ht="15.75" customHeight="1">
      <c r="A763" s="1"/>
      <c r="B763" s="1"/>
      <c r="P763" s="2"/>
      <c r="Q763" s="2"/>
      <c r="R763" s="2"/>
      <c r="S763" s="2"/>
    </row>
    <row r="764" ht="15.75" customHeight="1">
      <c r="A764" s="1"/>
      <c r="B764" s="1"/>
      <c r="P764" s="2"/>
      <c r="Q764" s="2"/>
      <c r="R764" s="2"/>
      <c r="S764" s="2"/>
    </row>
    <row r="765" ht="15.75" customHeight="1">
      <c r="A765" s="1"/>
      <c r="B765" s="1"/>
      <c r="P765" s="2"/>
      <c r="Q765" s="2"/>
      <c r="R765" s="2"/>
      <c r="S765" s="2"/>
    </row>
    <row r="766" ht="15.75" customHeight="1">
      <c r="A766" s="1"/>
      <c r="B766" s="1"/>
      <c r="P766" s="2"/>
      <c r="Q766" s="2"/>
      <c r="R766" s="2"/>
      <c r="S766" s="2"/>
    </row>
    <row r="767" ht="15.75" customHeight="1">
      <c r="A767" s="1"/>
      <c r="B767" s="1"/>
      <c r="P767" s="2"/>
      <c r="Q767" s="2"/>
      <c r="R767" s="2"/>
      <c r="S767" s="2"/>
    </row>
    <row r="768" ht="15.75" customHeight="1">
      <c r="A768" s="1"/>
      <c r="B768" s="1"/>
      <c r="P768" s="2"/>
      <c r="Q768" s="2"/>
      <c r="R768" s="2"/>
      <c r="S768" s="2"/>
    </row>
    <row r="769" ht="15.75" customHeight="1">
      <c r="A769" s="1"/>
      <c r="B769" s="1"/>
      <c r="P769" s="2"/>
      <c r="Q769" s="2"/>
      <c r="R769" s="2"/>
      <c r="S769" s="2"/>
    </row>
    <row r="770" ht="15.75" customHeight="1">
      <c r="A770" s="1"/>
      <c r="B770" s="1"/>
      <c r="P770" s="2"/>
      <c r="Q770" s="2"/>
      <c r="R770" s="2"/>
      <c r="S770" s="2"/>
    </row>
    <row r="771" ht="15.75" customHeight="1">
      <c r="A771" s="1"/>
      <c r="B771" s="1"/>
      <c r="P771" s="2"/>
      <c r="Q771" s="2"/>
      <c r="R771" s="2"/>
      <c r="S771" s="2"/>
    </row>
    <row r="772" ht="15.75" customHeight="1">
      <c r="A772" s="1"/>
      <c r="B772" s="1"/>
      <c r="P772" s="2"/>
      <c r="Q772" s="2"/>
      <c r="R772" s="2"/>
      <c r="S772" s="2"/>
    </row>
    <row r="773" ht="15.75" customHeight="1">
      <c r="A773" s="1"/>
      <c r="B773" s="1"/>
      <c r="P773" s="2"/>
      <c r="Q773" s="2"/>
      <c r="R773" s="2"/>
      <c r="S773" s="2"/>
    </row>
    <row r="774" ht="15.75" customHeight="1">
      <c r="A774" s="1"/>
      <c r="B774" s="1"/>
      <c r="P774" s="2"/>
      <c r="Q774" s="2"/>
      <c r="R774" s="2"/>
      <c r="S774" s="2"/>
    </row>
    <row r="775" ht="15.75" customHeight="1">
      <c r="A775" s="1"/>
      <c r="B775" s="1"/>
      <c r="P775" s="2"/>
      <c r="Q775" s="2"/>
      <c r="R775" s="2"/>
      <c r="S775" s="2"/>
    </row>
    <row r="776" ht="15.75" customHeight="1">
      <c r="A776" s="1"/>
      <c r="B776" s="1"/>
      <c r="P776" s="2"/>
      <c r="Q776" s="2"/>
      <c r="R776" s="2"/>
      <c r="S776" s="2"/>
    </row>
    <row r="777" ht="15.75" customHeight="1">
      <c r="A777" s="1"/>
      <c r="B777" s="1"/>
      <c r="P777" s="2"/>
      <c r="Q777" s="2"/>
      <c r="R777" s="2"/>
      <c r="S777" s="2"/>
    </row>
    <row r="778" ht="15.75" customHeight="1">
      <c r="A778" s="1"/>
      <c r="B778" s="1"/>
      <c r="P778" s="2"/>
      <c r="Q778" s="2"/>
      <c r="R778" s="2"/>
      <c r="S778" s="2"/>
    </row>
    <row r="779" ht="15.75" customHeight="1">
      <c r="A779" s="1"/>
      <c r="B779" s="1"/>
      <c r="P779" s="2"/>
      <c r="Q779" s="2"/>
      <c r="R779" s="2"/>
      <c r="S779" s="2"/>
    </row>
    <row r="780" ht="15.75" customHeight="1">
      <c r="A780" s="1"/>
      <c r="B780" s="1"/>
      <c r="P780" s="2"/>
      <c r="Q780" s="2"/>
      <c r="R780" s="2"/>
      <c r="S780" s="2"/>
    </row>
    <row r="781" ht="15.75" customHeight="1">
      <c r="A781" s="1"/>
      <c r="B781" s="1"/>
      <c r="P781" s="2"/>
      <c r="Q781" s="2"/>
      <c r="R781" s="2"/>
      <c r="S781" s="2"/>
    </row>
    <row r="782" ht="15.75" customHeight="1">
      <c r="A782" s="1"/>
      <c r="B782" s="1"/>
      <c r="P782" s="2"/>
      <c r="Q782" s="2"/>
      <c r="R782" s="2"/>
      <c r="S782" s="2"/>
    </row>
    <row r="783" ht="15.75" customHeight="1">
      <c r="A783" s="1"/>
      <c r="B783" s="1"/>
      <c r="P783" s="2"/>
      <c r="Q783" s="2"/>
      <c r="R783" s="2"/>
      <c r="S783" s="2"/>
    </row>
    <row r="784" ht="15.75" customHeight="1">
      <c r="A784" s="1"/>
      <c r="B784" s="1"/>
      <c r="P784" s="2"/>
      <c r="Q784" s="2"/>
      <c r="R784" s="2"/>
      <c r="S784" s="2"/>
    </row>
    <row r="785" ht="15.75" customHeight="1">
      <c r="A785" s="1"/>
      <c r="B785" s="1"/>
      <c r="P785" s="2"/>
      <c r="Q785" s="2"/>
      <c r="R785" s="2"/>
      <c r="S785" s="2"/>
    </row>
    <row r="786" ht="15.75" customHeight="1">
      <c r="A786" s="1"/>
      <c r="B786" s="1"/>
      <c r="P786" s="2"/>
      <c r="Q786" s="2"/>
      <c r="R786" s="2"/>
      <c r="S786" s="2"/>
    </row>
    <row r="787" ht="15.75" customHeight="1">
      <c r="A787" s="1"/>
      <c r="B787" s="1"/>
      <c r="P787" s="2"/>
      <c r="Q787" s="2"/>
      <c r="R787" s="2"/>
      <c r="S787" s="2"/>
    </row>
    <row r="788" ht="15.75" customHeight="1">
      <c r="A788" s="1"/>
      <c r="B788" s="1"/>
      <c r="P788" s="2"/>
      <c r="Q788" s="2"/>
      <c r="R788" s="2"/>
      <c r="S788" s="2"/>
    </row>
    <row r="789" ht="15.75" customHeight="1">
      <c r="A789" s="1"/>
      <c r="B789" s="1"/>
      <c r="P789" s="2"/>
      <c r="Q789" s="2"/>
      <c r="R789" s="2"/>
      <c r="S789" s="2"/>
    </row>
    <row r="790" ht="15.75" customHeight="1">
      <c r="A790" s="1"/>
      <c r="B790" s="1"/>
      <c r="P790" s="2"/>
      <c r="Q790" s="2"/>
      <c r="R790" s="2"/>
      <c r="S790" s="2"/>
    </row>
    <row r="791" ht="15.75" customHeight="1">
      <c r="A791" s="1"/>
      <c r="B791" s="1"/>
      <c r="P791" s="2"/>
      <c r="Q791" s="2"/>
      <c r="R791" s="2"/>
      <c r="S791" s="2"/>
    </row>
    <row r="792" ht="15.75" customHeight="1">
      <c r="A792" s="1"/>
      <c r="B792" s="1"/>
      <c r="P792" s="2"/>
      <c r="Q792" s="2"/>
      <c r="R792" s="2"/>
      <c r="S792" s="2"/>
    </row>
    <row r="793" ht="15.75" customHeight="1">
      <c r="A793" s="1"/>
      <c r="B793" s="1"/>
      <c r="P793" s="2"/>
      <c r="Q793" s="2"/>
      <c r="R793" s="2"/>
      <c r="S793" s="2"/>
    </row>
    <row r="794" ht="15.75" customHeight="1">
      <c r="A794" s="1"/>
      <c r="B794" s="1"/>
      <c r="P794" s="2"/>
      <c r="Q794" s="2"/>
      <c r="R794" s="2"/>
      <c r="S794" s="2"/>
    </row>
    <row r="795" ht="15.75" customHeight="1">
      <c r="A795" s="1"/>
      <c r="B795" s="1"/>
      <c r="P795" s="2"/>
      <c r="Q795" s="2"/>
      <c r="R795" s="2"/>
      <c r="S795" s="2"/>
    </row>
    <row r="796" ht="15.75" customHeight="1">
      <c r="A796" s="1"/>
      <c r="B796" s="1"/>
      <c r="P796" s="2"/>
      <c r="Q796" s="2"/>
      <c r="R796" s="2"/>
      <c r="S796" s="2"/>
    </row>
    <row r="797" ht="15.75" customHeight="1">
      <c r="A797" s="1"/>
      <c r="B797" s="1"/>
      <c r="P797" s="2"/>
      <c r="Q797" s="2"/>
      <c r="R797" s="2"/>
      <c r="S797" s="2"/>
    </row>
    <row r="798" ht="15.75" customHeight="1">
      <c r="A798" s="1"/>
      <c r="B798" s="1"/>
      <c r="P798" s="2"/>
      <c r="Q798" s="2"/>
      <c r="R798" s="2"/>
      <c r="S798" s="2"/>
    </row>
    <row r="799" ht="15.75" customHeight="1">
      <c r="A799" s="1"/>
      <c r="B799" s="1"/>
      <c r="P799" s="2"/>
      <c r="Q799" s="2"/>
      <c r="R799" s="2"/>
      <c r="S799" s="2"/>
    </row>
    <row r="800" ht="15.75" customHeight="1">
      <c r="A800" s="1"/>
      <c r="B800" s="1"/>
      <c r="P800" s="2"/>
      <c r="Q800" s="2"/>
      <c r="R800" s="2"/>
      <c r="S800" s="2"/>
    </row>
    <row r="801" ht="15.75" customHeight="1">
      <c r="A801" s="1"/>
      <c r="B801" s="1"/>
      <c r="P801" s="2"/>
      <c r="Q801" s="2"/>
      <c r="R801" s="2"/>
      <c r="S801" s="2"/>
    </row>
    <row r="802" ht="15.75" customHeight="1">
      <c r="A802" s="1"/>
      <c r="B802" s="1"/>
      <c r="P802" s="2"/>
      <c r="Q802" s="2"/>
      <c r="R802" s="2"/>
      <c r="S802" s="2"/>
    </row>
    <row r="803" ht="15.75" customHeight="1">
      <c r="A803" s="1"/>
      <c r="B803" s="1"/>
      <c r="P803" s="2"/>
      <c r="Q803" s="2"/>
      <c r="R803" s="2"/>
      <c r="S803" s="2"/>
    </row>
    <row r="804" ht="15.75" customHeight="1">
      <c r="A804" s="1"/>
      <c r="B804" s="1"/>
      <c r="P804" s="2"/>
      <c r="Q804" s="2"/>
      <c r="R804" s="2"/>
      <c r="S804" s="2"/>
    </row>
    <row r="805" ht="15.75" customHeight="1">
      <c r="A805" s="1"/>
      <c r="B805" s="1"/>
      <c r="P805" s="2"/>
      <c r="Q805" s="2"/>
      <c r="R805" s="2"/>
      <c r="S805" s="2"/>
    </row>
    <row r="806" ht="15.75" customHeight="1">
      <c r="A806" s="1"/>
      <c r="B806" s="1"/>
      <c r="P806" s="2"/>
      <c r="Q806" s="2"/>
      <c r="R806" s="2"/>
      <c r="S806" s="2"/>
    </row>
    <row r="807" ht="15.75" customHeight="1">
      <c r="A807" s="1"/>
      <c r="B807" s="1"/>
      <c r="P807" s="2"/>
      <c r="Q807" s="2"/>
      <c r="R807" s="2"/>
      <c r="S807" s="2"/>
    </row>
    <row r="808" ht="15.75" customHeight="1">
      <c r="A808" s="1"/>
      <c r="B808" s="1"/>
      <c r="P808" s="2"/>
      <c r="Q808" s="2"/>
      <c r="R808" s="2"/>
      <c r="S808" s="2"/>
    </row>
    <row r="809" ht="15.75" customHeight="1">
      <c r="A809" s="1"/>
      <c r="B809" s="1"/>
      <c r="P809" s="2"/>
      <c r="Q809" s="2"/>
      <c r="R809" s="2"/>
      <c r="S809" s="2"/>
    </row>
    <row r="810" ht="15.75" customHeight="1">
      <c r="A810" s="1"/>
      <c r="B810" s="1"/>
      <c r="P810" s="2"/>
      <c r="Q810" s="2"/>
      <c r="R810" s="2"/>
      <c r="S810" s="2"/>
    </row>
    <row r="811" ht="15.75" customHeight="1">
      <c r="A811" s="1"/>
      <c r="B811" s="1"/>
      <c r="P811" s="2"/>
      <c r="Q811" s="2"/>
      <c r="R811" s="2"/>
      <c r="S811" s="2"/>
    </row>
    <row r="812" ht="15.75" customHeight="1">
      <c r="A812" s="1"/>
      <c r="B812" s="1"/>
      <c r="P812" s="2"/>
      <c r="Q812" s="2"/>
      <c r="R812" s="2"/>
      <c r="S812" s="2"/>
    </row>
    <row r="813" ht="15.75" customHeight="1">
      <c r="A813" s="1"/>
      <c r="B813" s="1"/>
      <c r="P813" s="2"/>
      <c r="Q813" s="2"/>
      <c r="R813" s="2"/>
      <c r="S813" s="2"/>
    </row>
    <row r="814" ht="15.75" customHeight="1">
      <c r="A814" s="1"/>
      <c r="B814" s="1"/>
      <c r="P814" s="2"/>
      <c r="Q814" s="2"/>
      <c r="R814" s="2"/>
      <c r="S814" s="2"/>
    </row>
    <row r="815" ht="15.75" customHeight="1">
      <c r="A815" s="1"/>
      <c r="B815" s="1"/>
      <c r="P815" s="2"/>
      <c r="Q815" s="2"/>
      <c r="R815" s="2"/>
      <c r="S815" s="2"/>
    </row>
    <row r="816" ht="15.75" customHeight="1">
      <c r="A816" s="1"/>
      <c r="B816" s="1"/>
      <c r="P816" s="2"/>
      <c r="Q816" s="2"/>
      <c r="R816" s="2"/>
      <c r="S816" s="2"/>
    </row>
    <row r="817" ht="15.75" customHeight="1">
      <c r="A817" s="1"/>
      <c r="B817" s="1"/>
      <c r="P817" s="2"/>
      <c r="Q817" s="2"/>
      <c r="R817" s="2"/>
      <c r="S817" s="2"/>
    </row>
    <row r="818" ht="15.75" customHeight="1">
      <c r="A818" s="1"/>
      <c r="B818" s="1"/>
      <c r="P818" s="2"/>
      <c r="Q818" s="2"/>
      <c r="R818" s="2"/>
      <c r="S818" s="2"/>
    </row>
    <row r="819" ht="15.75" customHeight="1">
      <c r="A819" s="1"/>
      <c r="B819" s="1"/>
      <c r="P819" s="2"/>
      <c r="Q819" s="2"/>
      <c r="R819" s="2"/>
      <c r="S819" s="2"/>
    </row>
    <row r="820" ht="15.75" customHeight="1">
      <c r="A820" s="1"/>
      <c r="B820" s="1"/>
      <c r="P820" s="2"/>
      <c r="Q820" s="2"/>
      <c r="R820" s="2"/>
      <c r="S820" s="2"/>
    </row>
    <row r="821" ht="15.75" customHeight="1">
      <c r="A821" s="1"/>
      <c r="B821" s="1"/>
      <c r="P821" s="2"/>
      <c r="Q821" s="2"/>
      <c r="R821" s="2"/>
      <c r="S821" s="2"/>
    </row>
    <row r="822" ht="15.75" customHeight="1">
      <c r="A822" s="1"/>
      <c r="B822" s="1"/>
      <c r="P822" s="2"/>
      <c r="Q822" s="2"/>
      <c r="R822" s="2"/>
      <c r="S822" s="2"/>
    </row>
    <row r="823" ht="15.75" customHeight="1">
      <c r="A823" s="1"/>
      <c r="B823" s="1"/>
      <c r="P823" s="2"/>
      <c r="Q823" s="2"/>
      <c r="R823" s="2"/>
      <c r="S823" s="2"/>
    </row>
    <row r="824" ht="15.75" customHeight="1">
      <c r="A824" s="1"/>
      <c r="B824" s="1"/>
      <c r="P824" s="2"/>
      <c r="Q824" s="2"/>
      <c r="R824" s="2"/>
      <c r="S824" s="2"/>
    </row>
    <row r="825" ht="15.75" customHeight="1">
      <c r="A825" s="1"/>
      <c r="B825" s="1"/>
      <c r="P825" s="2"/>
      <c r="Q825" s="2"/>
      <c r="R825" s="2"/>
      <c r="S825" s="2"/>
    </row>
    <row r="826" ht="15.75" customHeight="1">
      <c r="A826" s="1"/>
      <c r="B826" s="1"/>
      <c r="P826" s="2"/>
      <c r="Q826" s="2"/>
      <c r="R826" s="2"/>
      <c r="S826" s="2"/>
    </row>
    <row r="827" ht="15.75" customHeight="1">
      <c r="A827" s="1"/>
      <c r="B827" s="1"/>
      <c r="P827" s="2"/>
      <c r="Q827" s="2"/>
      <c r="R827" s="2"/>
      <c r="S827" s="2"/>
    </row>
    <row r="828" ht="15.75" customHeight="1">
      <c r="A828" s="1"/>
      <c r="B828" s="1"/>
      <c r="P828" s="2"/>
      <c r="Q828" s="2"/>
      <c r="R828" s="2"/>
      <c r="S828" s="2"/>
    </row>
    <row r="829" ht="15.75" customHeight="1">
      <c r="A829" s="1"/>
      <c r="B829" s="1"/>
      <c r="P829" s="2"/>
      <c r="Q829" s="2"/>
      <c r="R829" s="2"/>
      <c r="S829" s="2"/>
    </row>
    <row r="830" ht="15.75" customHeight="1">
      <c r="A830" s="1"/>
      <c r="B830" s="1"/>
      <c r="P830" s="2"/>
      <c r="Q830" s="2"/>
      <c r="R830" s="2"/>
      <c r="S830" s="2"/>
    </row>
    <row r="831" ht="15.75" customHeight="1">
      <c r="A831" s="1"/>
      <c r="B831" s="1"/>
      <c r="P831" s="2"/>
      <c r="Q831" s="2"/>
      <c r="R831" s="2"/>
      <c r="S831" s="2"/>
    </row>
    <row r="832" ht="15.75" customHeight="1">
      <c r="A832" s="1"/>
      <c r="B832" s="1"/>
      <c r="P832" s="2"/>
      <c r="Q832" s="2"/>
      <c r="R832" s="2"/>
      <c r="S832" s="2"/>
    </row>
    <row r="833" ht="15.75" customHeight="1">
      <c r="A833" s="1"/>
      <c r="B833" s="1"/>
      <c r="P833" s="2"/>
      <c r="Q833" s="2"/>
      <c r="R833" s="2"/>
      <c r="S833" s="2"/>
    </row>
    <row r="834" ht="15.75" customHeight="1">
      <c r="A834" s="1"/>
      <c r="B834" s="1"/>
      <c r="P834" s="2"/>
      <c r="Q834" s="2"/>
      <c r="R834" s="2"/>
      <c r="S834" s="2"/>
    </row>
    <row r="835" ht="15.75" customHeight="1">
      <c r="A835" s="1"/>
      <c r="B835" s="1"/>
      <c r="P835" s="2"/>
      <c r="Q835" s="2"/>
      <c r="R835" s="2"/>
      <c r="S835" s="2"/>
    </row>
    <row r="836" ht="15.75" customHeight="1">
      <c r="A836" s="1"/>
      <c r="B836" s="1"/>
      <c r="P836" s="2"/>
      <c r="Q836" s="2"/>
      <c r="R836" s="2"/>
      <c r="S836" s="2"/>
    </row>
    <row r="837" ht="15.75" customHeight="1">
      <c r="A837" s="1"/>
      <c r="B837" s="1"/>
      <c r="P837" s="2"/>
      <c r="Q837" s="2"/>
      <c r="R837" s="2"/>
      <c r="S837" s="2"/>
    </row>
    <row r="838" ht="15.75" customHeight="1">
      <c r="A838" s="1"/>
      <c r="B838" s="1"/>
      <c r="P838" s="2"/>
      <c r="Q838" s="2"/>
      <c r="R838" s="2"/>
      <c r="S838" s="2"/>
    </row>
    <row r="839" ht="15.75" customHeight="1">
      <c r="A839" s="1"/>
      <c r="B839" s="1"/>
      <c r="P839" s="2"/>
      <c r="Q839" s="2"/>
      <c r="R839" s="2"/>
      <c r="S839" s="2"/>
    </row>
    <row r="840" ht="15.75" customHeight="1">
      <c r="A840" s="1"/>
      <c r="B840" s="1"/>
      <c r="P840" s="2"/>
      <c r="Q840" s="2"/>
      <c r="R840" s="2"/>
      <c r="S840" s="2"/>
    </row>
    <row r="841" ht="15.75" customHeight="1">
      <c r="A841" s="1"/>
      <c r="B841" s="1"/>
      <c r="P841" s="2"/>
      <c r="Q841" s="2"/>
      <c r="R841" s="2"/>
      <c r="S841" s="2"/>
    </row>
    <row r="842" ht="15.75" customHeight="1">
      <c r="A842" s="1"/>
      <c r="B842" s="1"/>
      <c r="P842" s="2"/>
      <c r="Q842" s="2"/>
      <c r="R842" s="2"/>
      <c r="S842" s="2"/>
    </row>
    <row r="843" ht="15.75" customHeight="1">
      <c r="A843" s="1"/>
      <c r="B843" s="1"/>
      <c r="P843" s="2"/>
      <c r="Q843" s="2"/>
      <c r="R843" s="2"/>
      <c r="S843" s="2"/>
    </row>
    <row r="844" ht="15.75" customHeight="1">
      <c r="A844" s="1"/>
      <c r="B844" s="1"/>
      <c r="P844" s="2"/>
      <c r="Q844" s="2"/>
      <c r="R844" s="2"/>
      <c r="S844" s="2"/>
    </row>
    <row r="845" ht="15.75" customHeight="1">
      <c r="A845" s="1"/>
      <c r="B845" s="1"/>
      <c r="P845" s="2"/>
      <c r="Q845" s="2"/>
      <c r="R845" s="2"/>
      <c r="S845" s="2"/>
    </row>
    <row r="846" ht="15.75" customHeight="1">
      <c r="A846" s="1"/>
      <c r="B846" s="1"/>
      <c r="P846" s="2"/>
      <c r="Q846" s="2"/>
      <c r="R846" s="2"/>
      <c r="S846" s="2"/>
    </row>
    <row r="847" ht="15.75" customHeight="1">
      <c r="A847" s="1"/>
      <c r="B847" s="1"/>
      <c r="P847" s="2"/>
      <c r="Q847" s="2"/>
      <c r="R847" s="2"/>
      <c r="S847" s="2"/>
    </row>
    <row r="848" ht="15.75" customHeight="1">
      <c r="A848" s="1"/>
      <c r="B848" s="1"/>
      <c r="P848" s="2"/>
      <c r="Q848" s="2"/>
      <c r="R848" s="2"/>
      <c r="S848" s="2"/>
    </row>
    <row r="849" ht="15.75" customHeight="1">
      <c r="A849" s="1"/>
      <c r="B849" s="1"/>
      <c r="P849" s="2"/>
      <c r="Q849" s="2"/>
      <c r="R849" s="2"/>
      <c r="S849" s="2"/>
    </row>
    <row r="850" ht="15.75" customHeight="1">
      <c r="A850" s="1"/>
      <c r="B850" s="1"/>
      <c r="P850" s="2"/>
      <c r="Q850" s="2"/>
      <c r="R850" s="2"/>
      <c r="S850" s="2"/>
    </row>
    <row r="851" ht="15.75" customHeight="1">
      <c r="A851" s="1"/>
      <c r="B851" s="1"/>
      <c r="P851" s="2"/>
      <c r="Q851" s="2"/>
      <c r="R851" s="2"/>
      <c r="S851" s="2"/>
    </row>
    <row r="852" ht="15.75" customHeight="1">
      <c r="A852" s="1"/>
      <c r="B852" s="1"/>
      <c r="P852" s="2"/>
      <c r="Q852" s="2"/>
      <c r="R852" s="2"/>
      <c r="S852" s="2"/>
    </row>
    <row r="853" ht="15.75" customHeight="1">
      <c r="A853" s="1"/>
      <c r="B853" s="1"/>
      <c r="P853" s="2"/>
      <c r="Q853" s="2"/>
      <c r="R853" s="2"/>
      <c r="S853" s="2"/>
    </row>
    <row r="854" ht="15.75" customHeight="1">
      <c r="A854" s="1"/>
      <c r="B854" s="1"/>
      <c r="P854" s="2"/>
      <c r="Q854" s="2"/>
      <c r="R854" s="2"/>
      <c r="S854" s="2"/>
    </row>
    <row r="855" ht="15.75" customHeight="1">
      <c r="A855" s="1"/>
      <c r="B855" s="1"/>
      <c r="P855" s="2"/>
      <c r="Q855" s="2"/>
      <c r="R855" s="2"/>
      <c r="S855" s="2"/>
    </row>
    <row r="856" ht="15.75" customHeight="1">
      <c r="A856" s="1"/>
      <c r="B856" s="1"/>
      <c r="P856" s="2"/>
      <c r="Q856" s="2"/>
      <c r="R856" s="2"/>
      <c r="S856" s="2"/>
    </row>
    <row r="857" ht="15.75" customHeight="1">
      <c r="A857" s="1"/>
      <c r="B857" s="1"/>
      <c r="P857" s="2"/>
      <c r="Q857" s="2"/>
      <c r="R857" s="2"/>
      <c r="S857" s="2"/>
    </row>
    <row r="858" ht="15.75" customHeight="1">
      <c r="A858" s="1"/>
      <c r="B858" s="1"/>
      <c r="P858" s="2"/>
      <c r="Q858" s="2"/>
      <c r="R858" s="2"/>
      <c r="S858" s="2"/>
    </row>
    <row r="859" ht="15.75" customHeight="1">
      <c r="A859" s="1"/>
      <c r="B859" s="1"/>
      <c r="P859" s="2"/>
      <c r="Q859" s="2"/>
      <c r="R859" s="2"/>
      <c r="S859" s="2"/>
    </row>
    <row r="860" ht="15.75" customHeight="1">
      <c r="A860" s="1"/>
      <c r="B860" s="1"/>
      <c r="P860" s="2"/>
      <c r="Q860" s="2"/>
      <c r="R860" s="2"/>
      <c r="S860" s="2"/>
    </row>
    <row r="861" ht="15.75" customHeight="1">
      <c r="A861" s="1"/>
      <c r="B861" s="1"/>
      <c r="P861" s="2"/>
      <c r="Q861" s="2"/>
      <c r="R861" s="2"/>
      <c r="S861" s="2"/>
    </row>
    <row r="862" ht="15.75" customHeight="1">
      <c r="A862" s="1"/>
      <c r="B862" s="1"/>
      <c r="P862" s="2"/>
      <c r="Q862" s="2"/>
      <c r="R862" s="2"/>
      <c r="S862" s="2"/>
    </row>
    <row r="863" ht="15.75" customHeight="1">
      <c r="A863" s="1"/>
      <c r="B863" s="1"/>
      <c r="P863" s="2"/>
      <c r="Q863" s="2"/>
      <c r="R863" s="2"/>
      <c r="S863" s="2"/>
    </row>
    <row r="864" ht="15.75" customHeight="1">
      <c r="A864" s="1"/>
      <c r="B864" s="1"/>
      <c r="P864" s="2"/>
      <c r="Q864" s="2"/>
      <c r="R864" s="2"/>
      <c r="S864" s="2"/>
    </row>
    <row r="865" ht="15.75" customHeight="1">
      <c r="A865" s="1"/>
      <c r="B865" s="1"/>
      <c r="P865" s="2"/>
      <c r="Q865" s="2"/>
      <c r="R865" s="2"/>
      <c r="S865" s="2"/>
    </row>
    <row r="866" ht="15.75" customHeight="1">
      <c r="A866" s="1"/>
      <c r="B866" s="1"/>
      <c r="P866" s="2"/>
      <c r="Q866" s="2"/>
      <c r="R866" s="2"/>
      <c r="S866" s="2"/>
    </row>
    <row r="867" ht="15.75" customHeight="1">
      <c r="A867" s="1"/>
      <c r="B867" s="1"/>
      <c r="P867" s="2"/>
      <c r="Q867" s="2"/>
      <c r="R867" s="2"/>
      <c r="S867" s="2"/>
    </row>
    <row r="868" ht="15.75" customHeight="1">
      <c r="A868" s="1"/>
      <c r="B868" s="1"/>
      <c r="P868" s="2"/>
      <c r="Q868" s="2"/>
      <c r="R868" s="2"/>
      <c r="S868" s="2"/>
    </row>
    <row r="869" ht="15.75" customHeight="1">
      <c r="A869" s="1"/>
      <c r="B869" s="1"/>
      <c r="P869" s="2"/>
      <c r="Q869" s="2"/>
      <c r="R869" s="2"/>
      <c r="S869" s="2"/>
    </row>
    <row r="870" ht="15.75" customHeight="1">
      <c r="A870" s="1"/>
      <c r="B870" s="1"/>
      <c r="P870" s="2"/>
      <c r="Q870" s="2"/>
      <c r="R870" s="2"/>
      <c r="S870" s="2"/>
    </row>
    <row r="871" ht="15.75" customHeight="1">
      <c r="A871" s="1"/>
      <c r="B871" s="1"/>
      <c r="P871" s="2"/>
      <c r="Q871" s="2"/>
      <c r="R871" s="2"/>
      <c r="S871" s="2"/>
    </row>
    <row r="872" ht="15.75" customHeight="1">
      <c r="A872" s="1"/>
      <c r="B872" s="1"/>
      <c r="P872" s="2"/>
      <c r="Q872" s="2"/>
      <c r="R872" s="2"/>
      <c r="S872" s="2"/>
    </row>
    <row r="873" ht="15.75" customHeight="1">
      <c r="A873" s="1"/>
      <c r="B873" s="1"/>
      <c r="P873" s="2"/>
      <c r="Q873" s="2"/>
      <c r="R873" s="2"/>
      <c r="S873" s="2"/>
    </row>
    <row r="874" ht="15.75" customHeight="1">
      <c r="A874" s="1"/>
      <c r="B874" s="1"/>
      <c r="P874" s="2"/>
      <c r="Q874" s="2"/>
      <c r="R874" s="2"/>
      <c r="S874" s="2"/>
    </row>
    <row r="875" ht="15.75" customHeight="1">
      <c r="A875" s="1"/>
      <c r="B875" s="1"/>
      <c r="P875" s="2"/>
      <c r="Q875" s="2"/>
      <c r="R875" s="2"/>
      <c r="S875" s="2"/>
    </row>
    <row r="876" ht="15.75" customHeight="1">
      <c r="A876" s="1"/>
      <c r="B876" s="1"/>
      <c r="P876" s="2"/>
      <c r="Q876" s="2"/>
      <c r="R876" s="2"/>
      <c r="S876" s="2"/>
    </row>
    <row r="877" ht="15.75" customHeight="1">
      <c r="A877" s="1"/>
      <c r="B877" s="1"/>
      <c r="P877" s="2"/>
      <c r="Q877" s="2"/>
      <c r="R877" s="2"/>
      <c r="S877" s="2"/>
    </row>
    <row r="878" ht="15.75" customHeight="1">
      <c r="A878" s="1"/>
      <c r="B878" s="1"/>
      <c r="P878" s="2"/>
      <c r="Q878" s="2"/>
      <c r="R878" s="2"/>
      <c r="S878" s="2"/>
    </row>
    <row r="879" ht="15.75" customHeight="1">
      <c r="A879" s="1"/>
      <c r="B879" s="1"/>
      <c r="P879" s="2"/>
      <c r="Q879" s="2"/>
      <c r="R879" s="2"/>
      <c r="S879" s="2"/>
    </row>
    <row r="880" ht="15.75" customHeight="1">
      <c r="A880" s="1"/>
      <c r="B880" s="1"/>
      <c r="P880" s="2"/>
      <c r="Q880" s="2"/>
      <c r="R880" s="2"/>
      <c r="S880" s="2"/>
    </row>
    <row r="881" ht="15.75" customHeight="1">
      <c r="A881" s="1"/>
      <c r="B881" s="1"/>
      <c r="P881" s="2"/>
      <c r="Q881" s="2"/>
      <c r="R881" s="2"/>
      <c r="S881" s="2"/>
    </row>
    <row r="882" ht="15.75" customHeight="1">
      <c r="A882" s="1"/>
      <c r="B882" s="1"/>
      <c r="P882" s="2"/>
      <c r="Q882" s="2"/>
      <c r="R882" s="2"/>
      <c r="S882" s="2"/>
    </row>
    <row r="883" ht="15.75" customHeight="1">
      <c r="A883" s="1"/>
      <c r="B883" s="1"/>
      <c r="P883" s="2"/>
      <c r="Q883" s="2"/>
      <c r="R883" s="2"/>
      <c r="S883" s="2"/>
    </row>
    <row r="884" ht="15.75" customHeight="1">
      <c r="A884" s="1"/>
      <c r="B884" s="1"/>
      <c r="P884" s="2"/>
      <c r="Q884" s="2"/>
      <c r="R884" s="2"/>
      <c r="S884" s="2"/>
    </row>
    <row r="885" ht="15.75" customHeight="1">
      <c r="A885" s="1"/>
      <c r="B885" s="1"/>
      <c r="P885" s="2"/>
      <c r="Q885" s="2"/>
      <c r="R885" s="2"/>
      <c r="S885" s="2"/>
    </row>
    <row r="886" ht="15.75" customHeight="1">
      <c r="A886" s="1"/>
      <c r="B886" s="1"/>
      <c r="P886" s="2"/>
      <c r="Q886" s="2"/>
      <c r="R886" s="2"/>
      <c r="S886" s="2"/>
    </row>
    <row r="887" ht="15.75" customHeight="1">
      <c r="A887" s="1"/>
      <c r="B887" s="1"/>
      <c r="P887" s="2"/>
      <c r="Q887" s="2"/>
      <c r="R887" s="2"/>
      <c r="S887" s="2"/>
    </row>
    <row r="888" ht="15.75" customHeight="1">
      <c r="A888" s="1"/>
      <c r="B888" s="1"/>
      <c r="P888" s="2"/>
      <c r="Q888" s="2"/>
      <c r="R888" s="2"/>
      <c r="S888" s="2"/>
    </row>
    <row r="889" ht="15.75" customHeight="1">
      <c r="A889" s="1"/>
      <c r="B889" s="1"/>
      <c r="P889" s="2"/>
      <c r="Q889" s="2"/>
      <c r="R889" s="2"/>
      <c r="S889" s="2"/>
    </row>
    <row r="890" ht="15.75" customHeight="1">
      <c r="A890" s="1"/>
      <c r="B890" s="1"/>
      <c r="P890" s="2"/>
      <c r="Q890" s="2"/>
      <c r="R890" s="2"/>
      <c r="S890" s="2"/>
    </row>
    <row r="891" ht="15.75" customHeight="1">
      <c r="A891" s="1"/>
      <c r="B891" s="1"/>
      <c r="P891" s="2"/>
      <c r="Q891" s="2"/>
      <c r="R891" s="2"/>
      <c r="S891" s="2"/>
    </row>
    <row r="892" ht="15.75" customHeight="1">
      <c r="A892" s="1"/>
      <c r="B892" s="1"/>
      <c r="P892" s="2"/>
      <c r="Q892" s="2"/>
      <c r="R892" s="2"/>
      <c r="S892" s="2"/>
    </row>
    <row r="893" ht="15.75" customHeight="1">
      <c r="A893" s="1"/>
      <c r="B893" s="1"/>
      <c r="P893" s="2"/>
      <c r="Q893" s="2"/>
      <c r="R893" s="2"/>
      <c r="S893" s="2"/>
    </row>
    <row r="894" ht="15.75" customHeight="1">
      <c r="A894" s="1"/>
      <c r="B894" s="1"/>
      <c r="P894" s="2"/>
      <c r="Q894" s="2"/>
      <c r="R894" s="2"/>
      <c r="S894" s="2"/>
    </row>
    <row r="895" ht="15.75" customHeight="1">
      <c r="A895" s="1"/>
      <c r="B895" s="1"/>
      <c r="P895" s="2"/>
      <c r="Q895" s="2"/>
      <c r="R895" s="2"/>
      <c r="S895" s="2"/>
    </row>
    <row r="896" ht="15.75" customHeight="1">
      <c r="A896" s="1"/>
      <c r="B896" s="1"/>
      <c r="P896" s="2"/>
      <c r="Q896" s="2"/>
      <c r="R896" s="2"/>
      <c r="S896" s="2"/>
    </row>
    <row r="897" ht="15.75" customHeight="1">
      <c r="A897" s="1"/>
      <c r="B897" s="1"/>
      <c r="P897" s="2"/>
      <c r="Q897" s="2"/>
      <c r="R897" s="2"/>
      <c r="S897" s="2"/>
    </row>
    <row r="898" ht="15.75" customHeight="1">
      <c r="A898" s="1"/>
      <c r="B898" s="1"/>
      <c r="P898" s="2"/>
      <c r="Q898" s="2"/>
      <c r="R898" s="2"/>
      <c r="S898" s="2"/>
    </row>
    <row r="899" ht="15.75" customHeight="1">
      <c r="A899" s="1"/>
      <c r="B899" s="1"/>
      <c r="P899" s="2"/>
      <c r="Q899" s="2"/>
      <c r="R899" s="2"/>
      <c r="S899" s="2"/>
    </row>
    <row r="900" ht="15.75" customHeight="1">
      <c r="A900" s="1"/>
      <c r="B900" s="1"/>
      <c r="P900" s="2"/>
      <c r="Q900" s="2"/>
      <c r="R900" s="2"/>
      <c r="S900" s="2"/>
    </row>
    <row r="901" ht="15.75" customHeight="1">
      <c r="A901" s="1"/>
      <c r="B901" s="1"/>
      <c r="P901" s="2"/>
      <c r="Q901" s="2"/>
      <c r="R901" s="2"/>
      <c r="S901" s="2"/>
    </row>
    <row r="902" ht="15.75" customHeight="1">
      <c r="A902" s="1"/>
      <c r="B902" s="1"/>
      <c r="P902" s="2"/>
      <c r="Q902" s="2"/>
      <c r="R902" s="2"/>
      <c r="S902" s="2"/>
    </row>
    <row r="903" ht="15.75" customHeight="1">
      <c r="A903" s="1"/>
      <c r="B903" s="1"/>
      <c r="P903" s="2"/>
      <c r="Q903" s="2"/>
      <c r="R903" s="2"/>
      <c r="S903" s="2"/>
    </row>
    <row r="904" ht="15.75" customHeight="1">
      <c r="A904" s="1"/>
      <c r="B904" s="1"/>
      <c r="P904" s="2"/>
      <c r="Q904" s="2"/>
      <c r="R904" s="2"/>
      <c r="S904" s="2"/>
    </row>
    <row r="905" ht="15.75" customHeight="1">
      <c r="A905" s="1"/>
      <c r="B905" s="1"/>
      <c r="P905" s="2"/>
      <c r="Q905" s="2"/>
      <c r="R905" s="2"/>
      <c r="S905" s="2"/>
    </row>
    <row r="906" ht="15.75" customHeight="1">
      <c r="A906" s="1"/>
      <c r="B906" s="1"/>
      <c r="P906" s="2"/>
      <c r="Q906" s="2"/>
      <c r="R906" s="2"/>
      <c r="S906" s="2"/>
    </row>
    <row r="907" ht="15.75" customHeight="1">
      <c r="A907" s="1"/>
      <c r="B907" s="1"/>
      <c r="P907" s="2"/>
      <c r="Q907" s="2"/>
      <c r="R907" s="2"/>
      <c r="S907" s="2"/>
    </row>
    <row r="908" ht="15.75" customHeight="1">
      <c r="A908" s="1"/>
      <c r="B908" s="1"/>
      <c r="P908" s="2"/>
      <c r="Q908" s="2"/>
      <c r="R908" s="2"/>
      <c r="S908" s="2"/>
    </row>
    <row r="909" ht="15.75" customHeight="1">
      <c r="A909" s="1"/>
      <c r="B909" s="1"/>
      <c r="P909" s="2"/>
      <c r="Q909" s="2"/>
      <c r="R909" s="2"/>
      <c r="S909" s="2"/>
    </row>
    <row r="910" ht="15.75" customHeight="1">
      <c r="A910" s="1"/>
      <c r="B910" s="1"/>
      <c r="P910" s="2"/>
      <c r="Q910" s="2"/>
      <c r="R910" s="2"/>
      <c r="S910" s="2"/>
    </row>
    <row r="911" ht="15.75" customHeight="1">
      <c r="A911" s="1"/>
      <c r="B911" s="1"/>
      <c r="P911" s="2"/>
      <c r="Q911" s="2"/>
      <c r="R911" s="2"/>
      <c r="S911" s="2"/>
    </row>
    <row r="912" ht="15.75" customHeight="1">
      <c r="A912" s="1"/>
      <c r="B912" s="1"/>
      <c r="P912" s="2"/>
      <c r="Q912" s="2"/>
      <c r="R912" s="2"/>
      <c r="S912" s="2"/>
    </row>
    <row r="913" ht="15.75" customHeight="1">
      <c r="A913" s="1"/>
      <c r="B913" s="1"/>
      <c r="P913" s="2"/>
      <c r="Q913" s="2"/>
      <c r="R913" s="2"/>
      <c r="S913" s="2"/>
    </row>
    <row r="914" ht="15.75" customHeight="1">
      <c r="A914" s="1"/>
      <c r="B914" s="1"/>
      <c r="P914" s="2"/>
      <c r="Q914" s="2"/>
      <c r="R914" s="2"/>
      <c r="S914" s="2"/>
    </row>
    <row r="915" ht="15.75" customHeight="1">
      <c r="A915" s="1"/>
      <c r="B915" s="1"/>
      <c r="P915" s="2"/>
      <c r="Q915" s="2"/>
      <c r="R915" s="2"/>
      <c r="S915" s="2"/>
    </row>
    <row r="916" ht="15.75" customHeight="1">
      <c r="A916" s="1"/>
      <c r="B916" s="1"/>
      <c r="P916" s="2"/>
      <c r="Q916" s="2"/>
      <c r="R916" s="2"/>
      <c r="S916" s="2"/>
    </row>
    <row r="917" ht="15.75" customHeight="1">
      <c r="A917" s="1"/>
      <c r="B917" s="1"/>
      <c r="P917" s="2"/>
      <c r="Q917" s="2"/>
      <c r="R917" s="2"/>
      <c r="S917" s="2"/>
    </row>
    <row r="918" ht="15.75" customHeight="1">
      <c r="A918" s="1"/>
      <c r="B918" s="1"/>
      <c r="P918" s="2"/>
      <c r="Q918" s="2"/>
      <c r="R918" s="2"/>
      <c r="S918" s="2"/>
    </row>
    <row r="919" ht="15.75" customHeight="1">
      <c r="A919" s="1"/>
      <c r="B919" s="1"/>
      <c r="P919" s="2"/>
      <c r="Q919" s="2"/>
      <c r="R919" s="2"/>
      <c r="S919" s="2"/>
    </row>
    <row r="920" ht="15.75" customHeight="1">
      <c r="A920" s="1"/>
      <c r="B920" s="1"/>
      <c r="P920" s="2"/>
      <c r="Q920" s="2"/>
      <c r="R920" s="2"/>
      <c r="S920" s="2"/>
    </row>
    <row r="921" ht="15.75" customHeight="1">
      <c r="A921" s="1"/>
      <c r="B921" s="1"/>
      <c r="P921" s="2"/>
      <c r="Q921" s="2"/>
      <c r="R921" s="2"/>
      <c r="S921" s="2"/>
    </row>
    <row r="922" ht="15.75" customHeight="1">
      <c r="A922" s="1"/>
      <c r="B922" s="1"/>
      <c r="P922" s="2"/>
      <c r="Q922" s="2"/>
      <c r="R922" s="2"/>
      <c r="S922" s="2"/>
    </row>
    <row r="923" ht="15.75" customHeight="1">
      <c r="A923" s="1"/>
      <c r="B923" s="1"/>
      <c r="P923" s="2"/>
      <c r="Q923" s="2"/>
      <c r="R923" s="2"/>
      <c r="S923" s="2"/>
    </row>
    <row r="924" ht="15.75" customHeight="1">
      <c r="A924" s="1"/>
      <c r="B924" s="1"/>
      <c r="P924" s="2"/>
      <c r="Q924" s="2"/>
      <c r="R924" s="2"/>
      <c r="S924" s="2"/>
    </row>
    <row r="925" ht="15.75" customHeight="1">
      <c r="A925" s="1"/>
      <c r="B925" s="1"/>
      <c r="P925" s="2"/>
      <c r="Q925" s="2"/>
      <c r="R925" s="2"/>
      <c r="S925" s="2"/>
    </row>
    <row r="926" ht="15.75" customHeight="1">
      <c r="A926" s="1"/>
      <c r="B926" s="1"/>
      <c r="P926" s="2"/>
      <c r="Q926" s="2"/>
      <c r="R926" s="2"/>
      <c r="S926" s="2"/>
    </row>
    <row r="927" ht="15.75" customHeight="1">
      <c r="A927" s="1"/>
      <c r="B927" s="1"/>
      <c r="P927" s="2"/>
      <c r="Q927" s="2"/>
      <c r="R927" s="2"/>
      <c r="S927" s="2"/>
    </row>
    <row r="928" ht="15.75" customHeight="1">
      <c r="A928" s="1"/>
      <c r="B928" s="1"/>
      <c r="P928" s="2"/>
      <c r="Q928" s="2"/>
      <c r="R928" s="2"/>
      <c r="S928" s="2"/>
    </row>
    <row r="929" ht="15.75" customHeight="1">
      <c r="A929" s="1"/>
      <c r="B929" s="1"/>
      <c r="P929" s="2"/>
      <c r="Q929" s="2"/>
      <c r="R929" s="2"/>
      <c r="S929" s="2"/>
    </row>
    <row r="930" ht="15.75" customHeight="1">
      <c r="A930" s="1"/>
      <c r="B930" s="1"/>
      <c r="P930" s="2"/>
      <c r="Q930" s="2"/>
      <c r="R930" s="2"/>
      <c r="S930" s="2"/>
    </row>
    <row r="931" ht="15.75" customHeight="1">
      <c r="A931" s="1"/>
      <c r="B931" s="1"/>
      <c r="P931" s="2"/>
      <c r="Q931" s="2"/>
      <c r="R931" s="2"/>
      <c r="S931" s="2"/>
    </row>
    <row r="932" ht="15.75" customHeight="1">
      <c r="A932" s="1"/>
      <c r="B932" s="1"/>
      <c r="P932" s="2"/>
      <c r="Q932" s="2"/>
      <c r="R932" s="2"/>
      <c r="S932" s="2"/>
    </row>
    <row r="933" ht="15.75" customHeight="1">
      <c r="A933" s="1"/>
      <c r="B933" s="1"/>
      <c r="P933" s="2"/>
      <c r="Q933" s="2"/>
      <c r="R933" s="2"/>
      <c r="S933" s="2"/>
    </row>
    <row r="934" ht="15.75" customHeight="1">
      <c r="A934" s="1"/>
      <c r="B934" s="1"/>
      <c r="P934" s="2"/>
      <c r="Q934" s="2"/>
      <c r="R934" s="2"/>
      <c r="S934" s="2"/>
    </row>
    <row r="935" ht="15.75" customHeight="1">
      <c r="A935" s="1"/>
      <c r="B935" s="1"/>
      <c r="P935" s="2"/>
      <c r="Q935" s="2"/>
      <c r="R935" s="2"/>
      <c r="S935" s="2"/>
    </row>
    <row r="936" ht="15.75" customHeight="1">
      <c r="A936" s="1"/>
      <c r="B936" s="1"/>
      <c r="P936" s="2"/>
      <c r="Q936" s="2"/>
      <c r="R936" s="2"/>
      <c r="S936" s="2"/>
    </row>
    <row r="937" ht="15.75" customHeight="1">
      <c r="A937" s="1"/>
      <c r="B937" s="1"/>
      <c r="P937" s="2"/>
      <c r="Q937" s="2"/>
      <c r="R937" s="2"/>
      <c r="S937" s="2"/>
    </row>
    <row r="938" ht="15.75" customHeight="1">
      <c r="A938" s="1"/>
      <c r="B938" s="1"/>
      <c r="P938" s="2"/>
      <c r="Q938" s="2"/>
      <c r="R938" s="2"/>
      <c r="S938" s="2"/>
    </row>
    <row r="939" ht="15.75" customHeight="1">
      <c r="A939" s="1"/>
      <c r="B939" s="1"/>
      <c r="P939" s="2"/>
      <c r="Q939" s="2"/>
      <c r="R939" s="2"/>
      <c r="S939" s="2"/>
    </row>
    <row r="940" ht="15.75" customHeight="1">
      <c r="A940" s="1"/>
      <c r="B940" s="1"/>
      <c r="P940" s="2"/>
      <c r="Q940" s="2"/>
      <c r="R940" s="2"/>
      <c r="S940" s="2"/>
    </row>
    <row r="941" ht="15.75" customHeight="1">
      <c r="A941" s="1"/>
      <c r="B941" s="1"/>
      <c r="P941" s="2"/>
      <c r="Q941" s="2"/>
      <c r="R941" s="2"/>
      <c r="S941" s="2"/>
    </row>
    <row r="942" ht="15.75" customHeight="1">
      <c r="A942" s="1"/>
      <c r="B942" s="1"/>
      <c r="P942" s="2"/>
      <c r="Q942" s="2"/>
      <c r="R942" s="2"/>
      <c r="S942" s="2"/>
    </row>
    <row r="943" ht="15.75" customHeight="1">
      <c r="A943" s="1"/>
      <c r="B943" s="1"/>
      <c r="P943" s="2"/>
      <c r="Q943" s="2"/>
      <c r="R943" s="2"/>
      <c r="S943" s="2"/>
    </row>
    <row r="944" ht="15.75" customHeight="1">
      <c r="A944" s="1"/>
      <c r="B944" s="1"/>
      <c r="P944" s="2"/>
      <c r="Q944" s="2"/>
      <c r="R944" s="2"/>
      <c r="S944" s="2"/>
    </row>
    <row r="945" ht="15.75" customHeight="1">
      <c r="A945" s="1"/>
      <c r="B945" s="1"/>
      <c r="P945" s="2"/>
      <c r="Q945" s="2"/>
      <c r="R945" s="2"/>
      <c r="S945" s="2"/>
    </row>
    <row r="946" ht="15.75" customHeight="1">
      <c r="A946" s="1"/>
      <c r="B946" s="1"/>
      <c r="P946" s="2"/>
      <c r="Q946" s="2"/>
      <c r="R946" s="2"/>
      <c r="S946" s="2"/>
    </row>
    <row r="947" ht="15.75" customHeight="1">
      <c r="A947" s="1"/>
      <c r="B947" s="1"/>
      <c r="P947" s="2"/>
      <c r="Q947" s="2"/>
      <c r="R947" s="2"/>
      <c r="S947" s="2"/>
    </row>
    <row r="948" ht="15.75" customHeight="1">
      <c r="A948" s="1"/>
      <c r="B948" s="1"/>
      <c r="P948" s="2"/>
      <c r="Q948" s="2"/>
      <c r="R948" s="2"/>
      <c r="S948" s="2"/>
    </row>
    <row r="949" ht="15.75" customHeight="1">
      <c r="A949" s="1"/>
      <c r="B949" s="1"/>
      <c r="P949" s="2"/>
      <c r="Q949" s="2"/>
      <c r="R949" s="2"/>
      <c r="S949" s="2"/>
    </row>
    <row r="950" ht="15.75" customHeight="1">
      <c r="A950" s="1"/>
      <c r="B950" s="1"/>
      <c r="P950" s="2"/>
      <c r="Q950" s="2"/>
      <c r="R950" s="2"/>
      <c r="S950" s="2"/>
    </row>
    <row r="951" ht="15.75" customHeight="1">
      <c r="A951" s="1"/>
      <c r="B951" s="1"/>
      <c r="P951" s="2"/>
      <c r="Q951" s="2"/>
      <c r="R951" s="2"/>
      <c r="S951" s="2"/>
    </row>
    <row r="952" ht="15.75" customHeight="1">
      <c r="A952" s="1"/>
      <c r="B952" s="1"/>
      <c r="P952" s="2"/>
      <c r="Q952" s="2"/>
      <c r="R952" s="2"/>
      <c r="S952" s="2"/>
    </row>
    <row r="953" ht="15.75" customHeight="1">
      <c r="A953" s="1"/>
      <c r="B953" s="1"/>
      <c r="P953" s="2"/>
      <c r="Q953" s="2"/>
      <c r="R953" s="2"/>
      <c r="S953" s="2"/>
    </row>
    <row r="954" ht="15.75" customHeight="1">
      <c r="A954" s="1"/>
      <c r="B954" s="1"/>
      <c r="P954" s="2"/>
      <c r="Q954" s="2"/>
      <c r="R954" s="2"/>
      <c r="S954" s="2"/>
    </row>
    <row r="955" ht="15.75" customHeight="1">
      <c r="A955" s="1"/>
      <c r="B955" s="1"/>
      <c r="P955" s="2"/>
      <c r="Q955" s="2"/>
      <c r="R955" s="2"/>
      <c r="S955" s="2"/>
    </row>
    <row r="956" ht="15.75" customHeight="1">
      <c r="A956" s="1"/>
      <c r="B956" s="1"/>
      <c r="P956" s="2"/>
      <c r="Q956" s="2"/>
      <c r="R956" s="2"/>
      <c r="S956" s="2"/>
    </row>
    <row r="957" ht="15.75" customHeight="1">
      <c r="A957" s="1"/>
      <c r="B957" s="1"/>
      <c r="P957" s="2"/>
      <c r="Q957" s="2"/>
      <c r="R957" s="2"/>
      <c r="S957" s="2"/>
    </row>
    <row r="958" ht="15.75" customHeight="1">
      <c r="A958" s="1"/>
      <c r="B958" s="1"/>
      <c r="P958" s="2"/>
      <c r="Q958" s="2"/>
      <c r="R958" s="2"/>
      <c r="S958" s="2"/>
    </row>
    <row r="959" ht="15.75" customHeight="1">
      <c r="A959" s="1"/>
      <c r="B959" s="1"/>
      <c r="P959" s="2"/>
      <c r="Q959" s="2"/>
      <c r="R959" s="2"/>
      <c r="S959" s="2"/>
    </row>
    <row r="960" ht="15.75" customHeight="1">
      <c r="A960" s="1"/>
      <c r="B960" s="1"/>
      <c r="P960" s="2"/>
      <c r="Q960" s="2"/>
      <c r="R960" s="2"/>
      <c r="S960" s="2"/>
    </row>
    <row r="961" ht="15.75" customHeight="1">
      <c r="A961" s="1"/>
      <c r="B961" s="1"/>
      <c r="P961" s="2"/>
      <c r="Q961" s="2"/>
      <c r="R961" s="2"/>
      <c r="S961" s="2"/>
    </row>
    <row r="962" ht="15.75" customHeight="1">
      <c r="A962" s="1"/>
      <c r="B962" s="1"/>
      <c r="P962" s="2"/>
      <c r="Q962" s="2"/>
      <c r="R962" s="2"/>
      <c r="S962" s="2"/>
    </row>
    <row r="963" ht="15.75" customHeight="1">
      <c r="A963" s="1"/>
      <c r="B963" s="1"/>
      <c r="P963" s="2"/>
      <c r="Q963" s="2"/>
      <c r="R963" s="2"/>
      <c r="S963" s="2"/>
    </row>
    <row r="964" ht="15.75" customHeight="1">
      <c r="A964" s="1"/>
      <c r="B964" s="1"/>
      <c r="P964" s="2"/>
      <c r="Q964" s="2"/>
      <c r="R964" s="2"/>
      <c r="S964" s="2"/>
    </row>
    <row r="965" ht="15.75" customHeight="1">
      <c r="A965" s="1"/>
      <c r="B965" s="1"/>
      <c r="P965" s="2"/>
      <c r="Q965" s="2"/>
      <c r="R965" s="2"/>
      <c r="S965" s="2"/>
    </row>
    <row r="966" ht="15.75" customHeight="1">
      <c r="A966" s="1"/>
      <c r="B966" s="1"/>
      <c r="P966" s="2"/>
      <c r="Q966" s="2"/>
      <c r="R966" s="2"/>
      <c r="S966" s="2"/>
    </row>
    <row r="967" ht="15.75" customHeight="1">
      <c r="A967" s="1"/>
      <c r="B967" s="1"/>
      <c r="P967" s="2"/>
      <c r="Q967" s="2"/>
      <c r="R967" s="2"/>
      <c r="S967" s="2"/>
    </row>
    <row r="968" ht="15.75" customHeight="1">
      <c r="A968" s="1"/>
      <c r="B968" s="1"/>
      <c r="P968" s="2"/>
      <c r="Q968" s="2"/>
      <c r="R968" s="2"/>
      <c r="S968" s="2"/>
    </row>
    <row r="969" ht="15.75" customHeight="1">
      <c r="A969" s="1"/>
      <c r="B969" s="1"/>
      <c r="P969" s="2"/>
      <c r="Q969" s="2"/>
      <c r="R969" s="2"/>
      <c r="S969" s="2"/>
    </row>
    <row r="970" ht="15.75" customHeight="1">
      <c r="A970" s="1"/>
      <c r="B970" s="1"/>
      <c r="P970" s="2"/>
      <c r="Q970" s="2"/>
      <c r="R970" s="2"/>
      <c r="S970" s="2"/>
    </row>
    <row r="971" ht="15.75" customHeight="1">
      <c r="A971" s="1"/>
      <c r="B971" s="1"/>
      <c r="P971" s="2"/>
      <c r="Q971" s="2"/>
      <c r="R971" s="2"/>
      <c r="S971" s="2"/>
    </row>
    <row r="972" ht="15.75" customHeight="1">
      <c r="A972" s="1"/>
      <c r="B972" s="1"/>
      <c r="P972" s="2"/>
      <c r="Q972" s="2"/>
      <c r="R972" s="2"/>
      <c r="S972" s="2"/>
    </row>
    <row r="973" ht="15.75" customHeight="1">
      <c r="A973" s="1"/>
      <c r="B973" s="1"/>
      <c r="P973" s="2"/>
      <c r="Q973" s="2"/>
      <c r="R973" s="2"/>
      <c r="S973" s="2"/>
    </row>
    <row r="974" ht="15.75" customHeight="1">
      <c r="A974" s="1"/>
      <c r="B974" s="1"/>
      <c r="P974" s="2"/>
      <c r="Q974" s="2"/>
      <c r="R974" s="2"/>
      <c r="S974" s="2"/>
    </row>
    <row r="975" ht="15.75" customHeight="1">
      <c r="A975" s="1"/>
      <c r="B975" s="1"/>
      <c r="P975" s="2"/>
      <c r="Q975" s="2"/>
      <c r="R975" s="2"/>
      <c r="S975" s="2"/>
    </row>
    <row r="976" ht="15.75" customHeight="1">
      <c r="A976" s="1"/>
      <c r="B976" s="1"/>
      <c r="P976" s="2"/>
      <c r="Q976" s="2"/>
      <c r="R976" s="2"/>
      <c r="S976" s="2"/>
    </row>
    <row r="977" ht="15.75" customHeight="1">
      <c r="A977" s="1"/>
      <c r="B977" s="1"/>
      <c r="P977" s="2"/>
      <c r="Q977" s="2"/>
      <c r="R977" s="2"/>
      <c r="S977" s="2"/>
    </row>
    <row r="978" ht="15.75" customHeight="1">
      <c r="A978" s="1"/>
      <c r="B978" s="1"/>
      <c r="P978" s="2"/>
      <c r="Q978" s="2"/>
      <c r="R978" s="2"/>
      <c r="S978" s="2"/>
    </row>
    <row r="979" ht="15.75" customHeight="1">
      <c r="A979" s="1"/>
      <c r="B979" s="1"/>
      <c r="P979" s="2"/>
      <c r="Q979" s="2"/>
      <c r="R979" s="2"/>
      <c r="S979" s="2"/>
    </row>
    <row r="980" ht="15.75" customHeight="1">
      <c r="A980" s="1"/>
      <c r="B980" s="1"/>
      <c r="P980" s="2"/>
      <c r="Q980" s="2"/>
      <c r="R980" s="2"/>
      <c r="S980" s="2"/>
    </row>
    <row r="981" ht="15.75" customHeight="1">
      <c r="A981" s="1"/>
      <c r="B981" s="1"/>
      <c r="P981" s="2"/>
      <c r="Q981" s="2"/>
      <c r="R981" s="2"/>
      <c r="S981" s="2"/>
    </row>
    <row r="982" ht="15.75" customHeight="1">
      <c r="A982" s="1"/>
      <c r="B982" s="1"/>
      <c r="P982" s="2"/>
      <c r="Q982" s="2"/>
      <c r="R982" s="2"/>
      <c r="S982" s="2"/>
    </row>
    <row r="983" ht="15.75" customHeight="1">
      <c r="A983" s="1"/>
      <c r="B983" s="1"/>
      <c r="P983" s="2"/>
      <c r="Q983" s="2"/>
      <c r="R983" s="2"/>
      <c r="S983" s="2"/>
    </row>
    <row r="984" ht="15.75" customHeight="1">
      <c r="A984" s="1"/>
      <c r="B984" s="1"/>
      <c r="P984" s="2"/>
      <c r="Q984" s="2"/>
      <c r="R984" s="2"/>
      <c r="S984" s="2"/>
    </row>
    <row r="985" ht="15.75" customHeight="1">
      <c r="A985" s="1"/>
      <c r="B985" s="1"/>
      <c r="P985" s="2"/>
      <c r="Q985" s="2"/>
      <c r="R985" s="2"/>
      <c r="S985" s="2"/>
    </row>
    <row r="986" ht="15.75" customHeight="1">
      <c r="A986" s="1"/>
      <c r="B986" s="1"/>
      <c r="P986" s="2"/>
      <c r="Q986" s="2"/>
      <c r="R986" s="2"/>
      <c r="S986" s="2"/>
    </row>
    <row r="987" ht="15.75" customHeight="1">
      <c r="A987" s="1"/>
      <c r="B987" s="1"/>
      <c r="P987" s="2"/>
      <c r="Q987" s="2"/>
      <c r="R987" s="2"/>
      <c r="S987" s="2"/>
    </row>
    <row r="988" ht="15.75" customHeight="1">
      <c r="A988" s="1"/>
      <c r="B988" s="1"/>
      <c r="P988" s="2"/>
      <c r="Q988" s="2"/>
      <c r="R988" s="2"/>
      <c r="S988" s="2"/>
    </row>
    <row r="989" ht="15.75" customHeight="1">
      <c r="A989" s="1"/>
      <c r="B989" s="1"/>
      <c r="P989" s="2"/>
      <c r="Q989" s="2"/>
      <c r="R989" s="2"/>
      <c r="S989" s="2"/>
    </row>
    <row r="990" ht="15.75" customHeight="1">
      <c r="A990" s="1"/>
      <c r="B990" s="1"/>
      <c r="P990" s="2"/>
      <c r="Q990" s="2"/>
      <c r="R990" s="2"/>
      <c r="S990" s="2"/>
    </row>
    <row r="991" ht="15.75" customHeight="1">
      <c r="A991" s="1"/>
      <c r="B991" s="1"/>
      <c r="P991" s="2"/>
      <c r="Q991" s="2"/>
      <c r="R991" s="2"/>
      <c r="S991" s="2"/>
    </row>
    <row r="992" ht="15.75" customHeight="1">
      <c r="A992" s="1"/>
      <c r="B992" s="1"/>
      <c r="P992" s="2"/>
      <c r="Q992" s="2"/>
      <c r="R992" s="2"/>
      <c r="S992" s="2"/>
    </row>
    <row r="993" ht="15.75" customHeight="1">
      <c r="A993" s="1"/>
      <c r="B993" s="1"/>
      <c r="P993" s="2"/>
      <c r="Q993" s="2"/>
      <c r="R993" s="2"/>
      <c r="S993" s="2"/>
    </row>
    <row r="994" ht="15.75" customHeight="1">
      <c r="A994" s="1"/>
      <c r="B994" s="1"/>
      <c r="P994" s="2"/>
      <c r="Q994" s="2"/>
      <c r="R994" s="2"/>
      <c r="S994" s="2"/>
    </row>
    <row r="995" ht="15.75" customHeight="1">
      <c r="A995" s="1"/>
      <c r="B995" s="1"/>
      <c r="P995" s="2"/>
      <c r="Q995" s="2"/>
      <c r="R995" s="2"/>
      <c r="S995" s="2"/>
    </row>
    <row r="996" ht="15.75" customHeight="1">
      <c r="A996" s="1"/>
      <c r="B996" s="1"/>
      <c r="P996" s="2"/>
      <c r="Q996" s="2"/>
      <c r="R996" s="2"/>
      <c r="S996" s="2"/>
    </row>
    <row r="997" ht="15.75" customHeight="1">
      <c r="A997" s="1"/>
      <c r="B997" s="1"/>
      <c r="P997" s="2"/>
      <c r="Q997" s="2"/>
      <c r="R997" s="2"/>
      <c r="S997" s="2"/>
    </row>
    <row r="998" ht="15.75" customHeight="1">
      <c r="A998" s="1"/>
      <c r="B998" s="1"/>
      <c r="P998" s="2"/>
      <c r="Q998" s="2"/>
      <c r="R998" s="2"/>
      <c r="S998" s="2"/>
    </row>
    <row r="999" ht="15.75" customHeight="1">
      <c r="A999" s="1"/>
      <c r="B999" s="1"/>
      <c r="P999" s="2"/>
      <c r="Q999" s="2"/>
      <c r="R999" s="2"/>
      <c r="S999" s="2"/>
    </row>
    <row r="1000" ht="15.75" customHeight="1">
      <c r="A1000" s="1"/>
      <c r="B1000" s="1"/>
      <c r="P1000" s="2"/>
      <c r="Q1000" s="2"/>
      <c r="R1000" s="2"/>
      <c r="S1000" s="2"/>
    </row>
  </sheetData>
  <mergeCells count="1">
    <mergeCell ref="D2:F2"/>
  </mergeCells>
  <printOptions/>
  <pageMargins bottom="0.7480314960629921" footer="0.0" header="0.0" left="0.7086614173228347" right="0.7086614173228347" top="0.7480314960629921"/>
  <pageSetup scale="51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0.75"/>
    <col customWidth="1" min="4" max="4" width="11.63"/>
    <col customWidth="1" min="5" max="5" width="6.88"/>
    <col customWidth="1" min="6" max="6" width="14.75"/>
    <col customWidth="1" min="7" max="7" width="10.63"/>
    <col customWidth="1" min="8" max="8" width="13.0"/>
    <col customWidth="1" min="9" max="9" width="10.75"/>
    <col customWidth="1" min="10" max="10" width="24.38"/>
    <col customWidth="1" min="11" max="11" width="30.0"/>
    <col customWidth="1" min="12" max="14" width="14.25"/>
    <col customWidth="1" min="15" max="15" width="7.63"/>
    <col customWidth="1" min="16" max="16" width="11.13"/>
    <col customWidth="1" min="17" max="17" width="28.0"/>
    <col customWidth="1" min="18" max="21" width="11.38"/>
    <col customWidth="1" min="22" max="26" width="10.63"/>
  </cols>
  <sheetData>
    <row r="1">
      <c r="A1" s="1"/>
      <c r="B1" s="1"/>
      <c r="R1" s="2"/>
      <c r="S1" s="2"/>
      <c r="T1" s="2"/>
      <c r="U1" s="2"/>
    </row>
    <row r="2">
      <c r="A2" s="1"/>
      <c r="B2" s="1"/>
      <c r="C2" s="3" t="s">
        <v>0</v>
      </c>
      <c r="D2" s="4" t="s">
        <v>85</v>
      </c>
      <c r="R2" s="2"/>
      <c r="S2" s="2"/>
      <c r="T2" s="2"/>
      <c r="U2" s="2"/>
    </row>
    <row r="3">
      <c r="A3" s="1"/>
      <c r="B3" s="1"/>
      <c r="C3" s="3" t="s">
        <v>2</v>
      </c>
      <c r="D3" s="5">
        <v>25.0</v>
      </c>
      <c r="R3" s="2"/>
      <c r="S3" s="2"/>
      <c r="T3" s="2"/>
      <c r="U3" s="2"/>
    </row>
    <row r="4">
      <c r="A4" s="1"/>
      <c r="B4" s="1"/>
      <c r="C4" s="3" t="s">
        <v>3</v>
      </c>
      <c r="D4" s="5" t="s">
        <v>86</v>
      </c>
      <c r="R4" s="2"/>
      <c r="S4" s="2"/>
      <c r="T4" s="2"/>
      <c r="U4" s="2"/>
    </row>
    <row r="5">
      <c r="A5" s="1"/>
      <c r="B5" s="1"/>
      <c r="R5" s="2"/>
      <c r="S5" s="2"/>
      <c r="T5" s="2"/>
      <c r="U5" s="2"/>
    </row>
    <row r="6" ht="29.25" customHeight="1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87</v>
      </c>
      <c r="I6" s="7" t="s">
        <v>88</v>
      </c>
      <c r="J6" s="7" t="s">
        <v>14</v>
      </c>
      <c r="K6" s="7" t="s">
        <v>15</v>
      </c>
      <c r="L6" s="7" t="s">
        <v>89</v>
      </c>
      <c r="M6" s="7" t="s">
        <v>90</v>
      </c>
      <c r="N6" s="7" t="s">
        <v>91</v>
      </c>
      <c r="O6" s="7" t="s">
        <v>92</v>
      </c>
      <c r="P6" s="7" t="s">
        <v>93</v>
      </c>
      <c r="Q6" s="7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9"/>
      <c r="W6" s="9"/>
      <c r="X6" s="9"/>
      <c r="Y6" s="9"/>
      <c r="Z6" s="9"/>
    </row>
    <row r="7">
      <c r="A7" s="10">
        <v>25.0</v>
      </c>
      <c r="B7" s="11">
        <v>1.0</v>
      </c>
      <c r="C7" s="12">
        <v>5808.0</v>
      </c>
      <c r="D7" s="13">
        <v>46188.0</v>
      </c>
      <c r="E7" s="12">
        <v>1.0</v>
      </c>
      <c r="F7" s="12" t="s">
        <v>94</v>
      </c>
      <c r="G7" s="12" t="s">
        <v>95</v>
      </c>
      <c r="H7" s="32">
        <v>14.0</v>
      </c>
      <c r="I7" s="32" t="s">
        <v>96</v>
      </c>
      <c r="J7" s="12" t="s">
        <v>97</v>
      </c>
      <c r="K7" s="12" t="s">
        <v>27</v>
      </c>
      <c r="L7" s="12" t="s">
        <v>28</v>
      </c>
      <c r="M7" s="12" t="s">
        <v>29</v>
      </c>
      <c r="N7" s="33" t="s">
        <v>98</v>
      </c>
      <c r="O7" s="12">
        <v>1.0</v>
      </c>
      <c r="P7" s="12" t="s">
        <v>99</v>
      </c>
      <c r="Q7" s="12"/>
      <c r="R7" s="14">
        <v>7000.0</v>
      </c>
      <c r="S7" s="15">
        <f>FRESADO!$R7*FRESADO!$E7</f>
        <v>7000</v>
      </c>
      <c r="T7" s="15">
        <f>FRESADO!$S7*16%</f>
        <v>1120</v>
      </c>
      <c r="U7" s="15">
        <f>FRESADO!$S7+FRESADO!$T7</f>
        <v>8120</v>
      </c>
    </row>
    <row r="8">
      <c r="A8" s="10">
        <v>25.0</v>
      </c>
      <c r="B8" s="11">
        <v>2.0</v>
      </c>
      <c r="C8" s="12">
        <v>5809.0</v>
      </c>
      <c r="D8" s="13">
        <v>46188.0</v>
      </c>
      <c r="E8" s="12">
        <v>1.0</v>
      </c>
      <c r="F8" s="12" t="s">
        <v>94</v>
      </c>
      <c r="G8" s="12" t="s">
        <v>100</v>
      </c>
      <c r="H8" s="12">
        <v>14.0</v>
      </c>
      <c r="I8" s="12" t="s">
        <v>101</v>
      </c>
      <c r="J8" s="12" t="s">
        <v>102</v>
      </c>
      <c r="K8" s="12" t="s">
        <v>27</v>
      </c>
      <c r="L8" s="12" t="s">
        <v>28</v>
      </c>
      <c r="M8" s="12" t="s">
        <v>29</v>
      </c>
      <c r="N8" s="33" t="s">
        <v>98</v>
      </c>
      <c r="O8" s="12">
        <v>1.0</v>
      </c>
      <c r="P8" s="12" t="s">
        <v>99</v>
      </c>
      <c r="Q8" s="12"/>
      <c r="R8" s="14">
        <v>7000.0</v>
      </c>
      <c r="S8" s="15">
        <f>FRESADO!$R8*FRESADO!$E8</f>
        <v>7000</v>
      </c>
      <c r="T8" s="15">
        <f>FRESADO!$S8*16%</f>
        <v>1120</v>
      </c>
      <c r="U8" s="15">
        <f>FRESADO!$S8+FRESADO!$T8</f>
        <v>8120</v>
      </c>
    </row>
    <row r="9">
      <c r="A9" s="10">
        <v>25.0</v>
      </c>
      <c r="B9" s="11">
        <v>3.0</v>
      </c>
      <c r="C9" s="12">
        <v>5810.0</v>
      </c>
      <c r="D9" s="13">
        <v>46188.0</v>
      </c>
      <c r="E9" s="12">
        <v>1.0</v>
      </c>
      <c r="F9" s="12" t="s">
        <v>94</v>
      </c>
      <c r="G9" s="12" t="s">
        <v>103</v>
      </c>
      <c r="H9" s="12">
        <v>14.0</v>
      </c>
      <c r="I9" s="12" t="s">
        <v>101</v>
      </c>
      <c r="J9" s="12" t="s">
        <v>104</v>
      </c>
      <c r="K9" s="12" t="s">
        <v>27</v>
      </c>
      <c r="L9" s="12" t="s">
        <v>28</v>
      </c>
      <c r="M9" s="12" t="s">
        <v>29</v>
      </c>
      <c r="N9" s="33" t="s">
        <v>98</v>
      </c>
      <c r="O9" s="12">
        <v>1.0</v>
      </c>
      <c r="P9" s="12" t="s">
        <v>99</v>
      </c>
      <c r="Q9" s="12"/>
      <c r="R9" s="14">
        <v>7000.0</v>
      </c>
      <c r="S9" s="15">
        <f>FRESADO!$R9*FRESADO!$E9</f>
        <v>7000</v>
      </c>
      <c r="T9" s="15">
        <f>FRESADO!$S9*16%</f>
        <v>1120</v>
      </c>
      <c r="U9" s="15">
        <f>FRESADO!$S9+FRESADO!$T9</f>
        <v>8120</v>
      </c>
    </row>
    <row r="10">
      <c r="A10" s="10">
        <v>25.0</v>
      </c>
      <c r="B10" s="11">
        <v>4.0</v>
      </c>
      <c r="C10" s="12">
        <v>5811.0</v>
      </c>
      <c r="D10" s="13">
        <v>46188.0</v>
      </c>
      <c r="E10" s="12">
        <v>1.0</v>
      </c>
      <c r="F10" s="12" t="s">
        <v>94</v>
      </c>
      <c r="G10" s="12" t="s">
        <v>64</v>
      </c>
      <c r="H10" s="12">
        <v>14.0</v>
      </c>
      <c r="I10" s="12" t="s">
        <v>101</v>
      </c>
      <c r="J10" s="12" t="s">
        <v>65</v>
      </c>
      <c r="K10" s="12" t="s">
        <v>27</v>
      </c>
      <c r="L10" s="12" t="s">
        <v>28</v>
      </c>
      <c r="M10" s="12" t="s">
        <v>29</v>
      </c>
      <c r="N10" s="33" t="s">
        <v>98</v>
      </c>
      <c r="O10" s="12">
        <v>1.0</v>
      </c>
      <c r="P10" s="12" t="s">
        <v>99</v>
      </c>
      <c r="Q10" s="12"/>
      <c r="R10" s="14">
        <v>7000.0</v>
      </c>
      <c r="S10" s="15">
        <f>FRESADO!$R10*FRESADO!$E10</f>
        <v>7000</v>
      </c>
      <c r="T10" s="15">
        <f>FRESADO!$S10*16%</f>
        <v>1120</v>
      </c>
      <c r="U10" s="15">
        <f>FRESADO!$S10+FRESADO!$T10</f>
        <v>8120</v>
      </c>
    </row>
    <row r="11">
      <c r="A11" s="10">
        <v>25.0</v>
      </c>
      <c r="B11" s="11">
        <v>5.0</v>
      </c>
      <c r="C11" s="12">
        <v>5812.0</v>
      </c>
      <c r="D11" s="13">
        <v>46188.0</v>
      </c>
      <c r="E11" s="12">
        <v>1.0</v>
      </c>
      <c r="F11" s="12" t="s">
        <v>94</v>
      </c>
      <c r="G11" s="12" t="s">
        <v>95</v>
      </c>
      <c r="H11" s="12">
        <v>14.0</v>
      </c>
      <c r="I11" s="12" t="s">
        <v>101</v>
      </c>
      <c r="J11" s="12" t="s">
        <v>97</v>
      </c>
      <c r="K11" s="12" t="s">
        <v>27</v>
      </c>
      <c r="L11" s="12" t="s">
        <v>28</v>
      </c>
      <c r="M11" s="12" t="s">
        <v>29</v>
      </c>
      <c r="N11" s="33" t="s">
        <v>98</v>
      </c>
      <c r="O11" s="12">
        <v>1.0</v>
      </c>
      <c r="P11" s="12" t="s">
        <v>99</v>
      </c>
      <c r="Q11" s="12"/>
      <c r="R11" s="14">
        <v>7000.0</v>
      </c>
      <c r="S11" s="15">
        <f>FRESADO!$R11*FRESADO!$E11</f>
        <v>7000</v>
      </c>
      <c r="T11" s="15">
        <f>FRESADO!$S11*16%</f>
        <v>1120</v>
      </c>
      <c r="U11" s="15">
        <f>FRESADO!$S11+FRESADO!$T11</f>
        <v>8120</v>
      </c>
    </row>
    <row r="12">
      <c r="A12" s="10">
        <v>25.0</v>
      </c>
      <c r="B12" s="11">
        <v>6.0</v>
      </c>
      <c r="C12" s="12">
        <v>5813.0</v>
      </c>
      <c r="D12" s="13">
        <v>46188.0</v>
      </c>
      <c r="E12" s="12">
        <v>1.0</v>
      </c>
      <c r="F12" s="12" t="s">
        <v>94</v>
      </c>
      <c r="G12" s="12" t="s">
        <v>100</v>
      </c>
      <c r="H12" s="12">
        <v>14.0</v>
      </c>
      <c r="I12" s="12" t="s">
        <v>101</v>
      </c>
      <c r="J12" s="12" t="s">
        <v>102</v>
      </c>
      <c r="K12" s="12" t="s">
        <v>27</v>
      </c>
      <c r="L12" s="12" t="s">
        <v>28</v>
      </c>
      <c r="M12" s="12" t="s">
        <v>29</v>
      </c>
      <c r="N12" s="33" t="s">
        <v>98</v>
      </c>
      <c r="O12" s="12">
        <v>1.0</v>
      </c>
      <c r="P12" s="12" t="s">
        <v>99</v>
      </c>
      <c r="Q12" s="12"/>
      <c r="R12" s="14">
        <v>7000.0</v>
      </c>
      <c r="S12" s="15">
        <f>FRESADO!$R12*FRESADO!$E12</f>
        <v>7000</v>
      </c>
      <c r="T12" s="15">
        <f>FRESADO!$S12*16%</f>
        <v>1120</v>
      </c>
      <c r="U12" s="15">
        <f>FRESADO!$S12+FRESADO!$T12</f>
        <v>8120</v>
      </c>
    </row>
    <row r="13">
      <c r="A13" s="10">
        <v>25.0</v>
      </c>
      <c r="B13" s="11">
        <v>7.0</v>
      </c>
      <c r="C13" s="12">
        <v>5814.0</v>
      </c>
      <c r="D13" s="13">
        <v>46188.0</v>
      </c>
      <c r="E13" s="12">
        <v>1.0</v>
      </c>
      <c r="F13" s="12" t="s">
        <v>94</v>
      </c>
      <c r="G13" s="12" t="s">
        <v>103</v>
      </c>
      <c r="H13" s="12">
        <v>14.0</v>
      </c>
      <c r="I13" s="12" t="s">
        <v>101</v>
      </c>
      <c r="J13" s="12" t="s">
        <v>104</v>
      </c>
      <c r="K13" s="12" t="s">
        <v>27</v>
      </c>
      <c r="L13" s="12" t="s">
        <v>28</v>
      </c>
      <c r="M13" s="12" t="s">
        <v>29</v>
      </c>
      <c r="N13" s="33" t="s">
        <v>98</v>
      </c>
      <c r="O13" s="12">
        <v>1.0</v>
      </c>
      <c r="P13" s="12" t="s">
        <v>99</v>
      </c>
      <c r="Q13" s="12"/>
      <c r="R13" s="14">
        <v>7000.0</v>
      </c>
      <c r="S13" s="15">
        <f>FRESADO!$R13*FRESADO!$E13</f>
        <v>7000</v>
      </c>
      <c r="T13" s="15">
        <f>FRESADO!$S13*16%</f>
        <v>1120</v>
      </c>
      <c r="U13" s="15">
        <f>FRESADO!$S13+FRESADO!$T13</f>
        <v>8120</v>
      </c>
    </row>
    <row r="14">
      <c r="A14" s="10">
        <v>25.0</v>
      </c>
      <c r="B14" s="11">
        <v>8.0</v>
      </c>
      <c r="C14" s="12">
        <v>5815.0</v>
      </c>
      <c r="D14" s="13">
        <v>46188.0</v>
      </c>
      <c r="E14" s="12">
        <v>1.0</v>
      </c>
      <c r="F14" s="12" t="s">
        <v>94</v>
      </c>
      <c r="G14" s="12" t="s">
        <v>64</v>
      </c>
      <c r="H14" s="12">
        <v>14.0</v>
      </c>
      <c r="I14" s="12" t="s">
        <v>101</v>
      </c>
      <c r="J14" s="12" t="s">
        <v>65</v>
      </c>
      <c r="K14" s="12" t="s">
        <v>27</v>
      </c>
      <c r="L14" s="12" t="s">
        <v>28</v>
      </c>
      <c r="M14" s="12" t="s">
        <v>29</v>
      </c>
      <c r="N14" s="33" t="s">
        <v>98</v>
      </c>
      <c r="O14" s="12">
        <v>1.0</v>
      </c>
      <c r="P14" s="12" t="s">
        <v>99</v>
      </c>
      <c r="Q14" s="12"/>
      <c r="R14" s="14">
        <v>7000.0</v>
      </c>
      <c r="S14" s="15">
        <f>FRESADO!$R14*FRESADO!$E14</f>
        <v>7000</v>
      </c>
      <c r="T14" s="15">
        <f>FRESADO!$S14*16%</f>
        <v>1120</v>
      </c>
      <c r="U14" s="15">
        <f>FRESADO!$S14+FRESADO!$T14</f>
        <v>8120</v>
      </c>
    </row>
    <row r="15">
      <c r="A15" s="10">
        <v>25.0</v>
      </c>
      <c r="B15" s="11">
        <v>9.0</v>
      </c>
      <c r="C15" s="12">
        <v>5816.0</v>
      </c>
      <c r="D15" s="13">
        <v>46188.0</v>
      </c>
      <c r="E15" s="12">
        <v>1.0</v>
      </c>
      <c r="F15" s="12" t="s">
        <v>94</v>
      </c>
      <c r="G15" s="12" t="s">
        <v>95</v>
      </c>
      <c r="H15" s="12">
        <v>14.0</v>
      </c>
      <c r="I15" s="12" t="s">
        <v>101</v>
      </c>
      <c r="J15" s="12" t="s">
        <v>97</v>
      </c>
      <c r="K15" s="12" t="s">
        <v>27</v>
      </c>
      <c r="L15" s="12" t="s">
        <v>28</v>
      </c>
      <c r="M15" s="12" t="s">
        <v>29</v>
      </c>
      <c r="N15" s="33" t="s">
        <v>98</v>
      </c>
      <c r="O15" s="12">
        <v>1.0</v>
      </c>
      <c r="P15" s="12" t="s">
        <v>99</v>
      </c>
      <c r="Q15" s="12"/>
      <c r="R15" s="14">
        <v>7000.0</v>
      </c>
      <c r="S15" s="15">
        <f>FRESADO!$R15*FRESADO!$E15</f>
        <v>7000</v>
      </c>
      <c r="T15" s="15">
        <f>FRESADO!$S15*16%</f>
        <v>1120</v>
      </c>
      <c r="U15" s="15">
        <f>FRESADO!$S15+FRESADO!$T15</f>
        <v>8120</v>
      </c>
    </row>
    <row r="16">
      <c r="A16" s="10">
        <v>25.0</v>
      </c>
      <c r="B16" s="11">
        <v>10.0</v>
      </c>
      <c r="C16" s="12">
        <v>5817.0</v>
      </c>
      <c r="D16" s="13">
        <v>46188.0</v>
      </c>
      <c r="E16" s="12">
        <v>1.0</v>
      </c>
      <c r="F16" s="12" t="s">
        <v>105</v>
      </c>
      <c r="G16" s="12" t="s">
        <v>100</v>
      </c>
      <c r="H16" s="12">
        <v>14.0</v>
      </c>
      <c r="I16" s="12" t="s">
        <v>101</v>
      </c>
      <c r="J16" s="12" t="s">
        <v>102</v>
      </c>
      <c r="K16" s="12" t="s">
        <v>27</v>
      </c>
      <c r="L16" s="12" t="s">
        <v>28</v>
      </c>
      <c r="M16" s="12" t="s">
        <v>29</v>
      </c>
      <c r="N16" s="33" t="s">
        <v>98</v>
      </c>
      <c r="O16" s="12">
        <v>1.0</v>
      </c>
      <c r="P16" s="12" t="s">
        <v>99</v>
      </c>
      <c r="Q16" s="12"/>
      <c r="R16" s="14">
        <v>7000.0</v>
      </c>
      <c r="S16" s="15">
        <f>FRESADO!$R16*FRESADO!$E16</f>
        <v>7000</v>
      </c>
      <c r="T16" s="15">
        <f>FRESADO!$S16*16%</f>
        <v>1120</v>
      </c>
      <c r="U16" s="15">
        <f>FRESADO!$S16+FRESADO!$T16</f>
        <v>8120</v>
      </c>
    </row>
    <row r="17">
      <c r="A17" s="10">
        <v>25.0</v>
      </c>
      <c r="B17" s="16">
        <v>11.0</v>
      </c>
      <c r="C17" s="17">
        <v>5818.0</v>
      </c>
      <c r="D17" s="18">
        <v>46189.0</v>
      </c>
      <c r="E17" s="17">
        <v>1.0</v>
      </c>
      <c r="F17" s="17" t="s">
        <v>94</v>
      </c>
      <c r="G17" s="17" t="s">
        <v>95</v>
      </c>
      <c r="H17" s="17">
        <v>14.0</v>
      </c>
      <c r="I17" s="17" t="s">
        <v>101</v>
      </c>
      <c r="J17" s="17" t="s">
        <v>97</v>
      </c>
      <c r="K17" s="17" t="s">
        <v>27</v>
      </c>
      <c r="L17" s="17" t="s">
        <v>44</v>
      </c>
      <c r="M17" s="17" t="s">
        <v>45</v>
      </c>
      <c r="N17" s="33" t="s">
        <v>98</v>
      </c>
      <c r="O17" s="17">
        <v>1.0</v>
      </c>
      <c r="P17" s="17" t="s">
        <v>99</v>
      </c>
      <c r="Q17" s="17"/>
      <c r="R17" s="14">
        <v>7000.0</v>
      </c>
      <c r="S17" s="15">
        <f>FRESADO!$R17*FRESADO!$E17</f>
        <v>7000</v>
      </c>
      <c r="T17" s="15">
        <f>FRESADO!$S17*16%</f>
        <v>1120</v>
      </c>
      <c r="U17" s="15">
        <f>FRESADO!$S17+FRESADO!$T17</f>
        <v>8120</v>
      </c>
    </row>
    <row r="18">
      <c r="A18" s="10">
        <v>25.0</v>
      </c>
      <c r="B18" s="16">
        <v>12.0</v>
      </c>
      <c r="C18" s="17">
        <v>5819.0</v>
      </c>
      <c r="D18" s="18">
        <v>46189.0</v>
      </c>
      <c r="E18" s="17">
        <v>1.0</v>
      </c>
      <c r="F18" s="17" t="s">
        <v>94</v>
      </c>
      <c r="G18" s="17" t="s">
        <v>95</v>
      </c>
      <c r="H18" s="17">
        <v>14.0</v>
      </c>
      <c r="I18" s="17" t="s">
        <v>101</v>
      </c>
      <c r="J18" s="17" t="s">
        <v>97</v>
      </c>
      <c r="K18" s="17" t="s">
        <v>27</v>
      </c>
      <c r="L18" s="17" t="s">
        <v>44</v>
      </c>
      <c r="M18" s="17" t="s">
        <v>45</v>
      </c>
      <c r="N18" s="33" t="s">
        <v>98</v>
      </c>
      <c r="O18" s="17">
        <v>1.0</v>
      </c>
      <c r="P18" s="17" t="s">
        <v>99</v>
      </c>
      <c r="Q18" s="17"/>
      <c r="R18" s="14">
        <v>7000.0</v>
      </c>
      <c r="S18" s="15">
        <f>FRESADO!$R18*FRESADO!$E18</f>
        <v>7000</v>
      </c>
      <c r="T18" s="15">
        <f>FRESADO!$S18*16%</f>
        <v>1120</v>
      </c>
      <c r="U18" s="15">
        <f>FRESADO!$S18+FRESADO!$T18</f>
        <v>8120</v>
      </c>
    </row>
    <row r="19">
      <c r="A19" s="10">
        <v>25.0</v>
      </c>
      <c r="B19" s="16">
        <v>13.0</v>
      </c>
      <c r="C19" s="17">
        <v>5820.0</v>
      </c>
      <c r="D19" s="18">
        <v>46189.0</v>
      </c>
      <c r="E19" s="17">
        <v>1.0</v>
      </c>
      <c r="F19" s="17" t="s">
        <v>94</v>
      </c>
      <c r="G19" s="17" t="s">
        <v>106</v>
      </c>
      <c r="H19" s="17">
        <v>28.0</v>
      </c>
      <c r="I19" s="17" t="s">
        <v>101</v>
      </c>
      <c r="J19" s="17" t="s">
        <v>107</v>
      </c>
      <c r="K19" s="17" t="s">
        <v>108</v>
      </c>
      <c r="L19" s="17" t="s">
        <v>109</v>
      </c>
      <c r="M19" s="17" t="s">
        <v>47</v>
      </c>
      <c r="N19" s="33" t="s">
        <v>98</v>
      </c>
      <c r="O19" s="17">
        <v>1.0</v>
      </c>
      <c r="P19" s="17" t="s">
        <v>99</v>
      </c>
      <c r="Q19" s="17"/>
      <c r="R19" s="14">
        <v>0.0</v>
      </c>
      <c r="S19" s="15">
        <f>FRESADO!$R19*FRESADO!$E19</f>
        <v>0</v>
      </c>
      <c r="T19" s="15">
        <f>FRESADO!$S19*16%</f>
        <v>0</v>
      </c>
      <c r="U19" s="15">
        <f>FRESADO!$S19+FRESADO!$T19</f>
        <v>0</v>
      </c>
    </row>
    <row r="20">
      <c r="A20" s="10">
        <v>25.0</v>
      </c>
      <c r="B20" s="16">
        <v>14.0</v>
      </c>
      <c r="C20" s="17">
        <v>5821.0</v>
      </c>
      <c r="D20" s="18">
        <v>46189.0</v>
      </c>
      <c r="E20" s="17">
        <v>1.0</v>
      </c>
      <c r="F20" s="17" t="s">
        <v>94</v>
      </c>
      <c r="G20" s="17" t="s">
        <v>100</v>
      </c>
      <c r="H20" s="17">
        <v>14.0</v>
      </c>
      <c r="I20" s="17" t="s">
        <v>101</v>
      </c>
      <c r="J20" s="17" t="s">
        <v>102</v>
      </c>
      <c r="K20" s="17" t="s">
        <v>27</v>
      </c>
      <c r="L20" s="17" t="s">
        <v>46</v>
      </c>
      <c r="M20" s="17" t="s">
        <v>47</v>
      </c>
      <c r="N20" s="33" t="s">
        <v>98</v>
      </c>
      <c r="O20" s="17">
        <v>1.0</v>
      </c>
      <c r="P20" s="17" t="s">
        <v>99</v>
      </c>
      <c r="Q20" s="17"/>
      <c r="R20" s="14">
        <v>7000.0</v>
      </c>
      <c r="S20" s="15">
        <f>FRESADO!$R20*FRESADO!$E20</f>
        <v>7000</v>
      </c>
      <c r="T20" s="15">
        <f>FRESADO!$S20*16%</f>
        <v>1120</v>
      </c>
      <c r="U20" s="15">
        <f>FRESADO!$S20+FRESADO!$T20</f>
        <v>8120</v>
      </c>
    </row>
    <row r="21" ht="15.75" customHeight="1">
      <c r="A21" s="10">
        <v>25.0</v>
      </c>
      <c r="B21" s="16">
        <v>15.0</v>
      </c>
      <c r="C21" s="17">
        <v>5822.0</v>
      </c>
      <c r="D21" s="18">
        <v>46189.0</v>
      </c>
      <c r="E21" s="17">
        <v>1.0</v>
      </c>
      <c r="F21" s="17" t="s">
        <v>94</v>
      </c>
      <c r="G21" s="17" t="s">
        <v>103</v>
      </c>
      <c r="H21" s="17">
        <v>14.0</v>
      </c>
      <c r="I21" s="17" t="s">
        <v>101</v>
      </c>
      <c r="J21" s="17" t="s">
        <v>104</v>
      </c>
      <c r="K21" s="17" t="s">
        <v>27</v>
      </c>
      <c r="L21" s="17" t="s">
        <v>46</v>
      </c>
      <c r="M21" s="17" t="s">
        <v>47</v>
      </c>
      <c r="N21" s="33" t="s">
        <v>98</v>
      </c>
      <c r="O21" s="17">
        <v>1.0</v>
      </c>
      <c r="P21" s="17" t="s">
        <v>99</v>
      </c>
      <c r="Q21" s="17"/>
      <c r="R21" s="14">
        <v>7000.0</v>
      </c>
      <c r="S21" s="15">
        <f>FRESADO!$R21*FRESADO!$E21</f>
        <v>7000</v>
      </c>
      <c r="T21" s="15">
        <f>FRESADO!$S21*16%</f>
        <v>1120</v>
      </c>
      <c r="U21" s="15">
        <f>FRESADO!$S21+FRESADO!$T21</f>
        <v>8120</v>
      </c>
    </row>
    <row r="22" ht="15.75" customHeight="1">
      <c r="A22" s="10">
        <v>25.0</v>
      </c>
      <c r="B22" s="16">
        <v>16.0</v>
      </c>
      <c r="C22" s="17">
        <v>5823.0</v>
      </c>
      <c r="D22" s="18">
        <v>46189.0</v>
      </c>
      <c r="E22" s="17">
        <v>1.0</v>
      </c>
      <c r="F22" s="17" t="s">
        <v>94</v>
      </c>
      <c r="G22" s="17" t="s">
        <v>64</v>
      </c>
      <c r="H22" s="17">
        <v>14.0</v>
      </c>
      <c r="I22" s="17" t="s">
        <v>101</v>
      </c>
      <c r="J22" s="17" t="s">
        <v>65</v>
      </c>
      <c r="K22" s="17" t="s">
        <v>27</v>
      </c>
      <c r="L22" s="17" t="s">
        <v>44</v>
      </c>
      <c r="M22" s="17" t="s">
        <v>45</v>
      </c>
      <c r="N22" s="33" t="s">
        <v>98</v>
      </c>
      <c r="O22" s="17">
        <v>1.0</v>
      </c>
      <c r="P22" s="17" t="s">
        <v>99</v>
      </c>
      <c r="Q22" s="17"/>
      <c r="R22" s="14">
        <v>7000.0</v>
      </c>
      <c r="S22" s="15">
        <f>FRESADO!$R22*FRESADO!$E22</f>
        <v>7000</v>
      </c>
      <c r="T22" s="15">
        <f>FRESADO!$S22*16%</f>
        <v>1120</v>
      </c>
      <c r="U22" s="15">
        <f>FRESADO!$S22+FRESADO!$T22</f>
        <v>8120</v>
      </c>
    </row>
    <row r="23" ht="15.75" customHeight="1">
      <c r="A23" s="10">
        <v>25.0</v>
      </c>
      <c r="B23" s="16">
        <v>17.0</v>
      </c>
      <c r="C23" s="17">
        <v>5824.0</v>
      </c>
      <c r="D23" s="18">
        <v>46189.0</v>
      </c>
      <c r="E23" s="17">
        <v>1.0</v>
      </c>
      <c r="F23" s="17" t="s">
        <v>94</v>
      </c>
      <c r="G23" s="17" t="s">
        <v>95</v>
      </c>
      <c r="H23" s="17">
        <v>14.0</v>
      </c>
      <c r="I23" s="17" t="s">
        <v>101</v>
      </c>
      <c r="J23" s="17" t="s">
        <v>97</v>
      </c>
      <c r="K23" s="17" t="s">
        <v>27</v>
      </c>
      <c r="L23" s="17" t="s">
        <v>44</v>
      </c>
      <c r="M23" s="17" t="s">
        <v>45</v>
      </c>
      <c r="N23" s="33" t="s">
        <v>98</v>
      </c>
      <c r="O23" s="17">
        <v>1.0</v>
      </c>
      <c r="P23" s="17" t="s">
        <v>99</v>
      </c>
      <c r="Q23" s="17"/>
      <c r="R23" s="14">
        <v>7000.0</v>
      </c>
      <c r="S23" s="15">
        <f>FRESADO!$R23*FRESADO!$E23</f>
        <v>7000</v>
      </c>
      <c r="T23" s="15">
        <f>FRESADO!$S23*16%</f>
        <v>1120</v>
      </c>
      <c r="U23" s="15">
        <f>FRESADO!$S23+FRESADO!$T23</f>
        <v>8120</v>
      </c>
    </row>
    <row r="24" ht="15.75" customHeight="1">
      <c r="A24" s="10">
        <v>25.0</v>
      </c>
      <c r="B24" s="16">
        <v>18.0</v>
      </c>
      <c r="C24" s="17">
        <v>5825.0</v>
      </c>
      <c r="D24" s="18">
        <v>46189.0</v>
      </c>
      <c r="E24" s="17">
        <v>1.0</v>
      </c>
      <c r="F24" s="17" t="s">
        <v>94</v>
      </c>
      <c r="G24" s="17" t="s">
        <v>100</v>
      </c>
      <c r="H24" s="17">
        <v>14.0</v>
      </c>
      <c r="I24" s="17" t="s">
        <v>101</v>
      </c>
      <c r="J24" s="17" t="s">
        <v>102</v>
      </c>
      <c r="K24" s="17" t="s">
        <v>27</v>
      </c>
      <c r="L24" s="17" t="s">
        <v>44</v>
      </c>
      <c r="M24" s="17" t="s">
        <v>45</v>
      </c>
      <c r="N24" s="33" t="s">
        <v>98</v>
      </c>
      <c r="O24" s="17">
        <v>1.0</v>
      </c>
      <c r="P24" s="17" t="s">
        <v>99</v>
      </c>
      <c r="Q24" s="17"/>
      <c r="R24" s="14">
        <v>7000.0</v>
      </c>
      <c r="S24" s="15">
        <f>FRESADO!$R24*FRESADO!$E24</f>
        <v>7000</v>
      </c>
      <c r="T24" s="15">
        <f>FRESADO!$S24*16%</f>
        <v>1120</v>
      </c>
      <c r="U24" s="15">
        <f>FRESADO!$S24+FRESADO!$T24</f>
        <v>8120</v>
      </c>
    </row>
    <row r="25" ht="15.75" customHeight="1">
      <c r="A25" s="10">
        <v>25.0</v>
      </c>
      <c r="B25" s="16">
        <v>19.0</v>
      </c>
      <c r="C25" s="17">
        <v>5826.0</v>
      </c>
      <c r="D25" s="18">
        <v>46189.0</v>
      </c>
      <c r="E25" s="17">
        <v>1.0</v>
      </c>
      <c r="F25" s="17" t="s">
        <v>94</v>
      </c>
      <c r="G25" s="17" t="s">
        <v>103</v>
      </c>
      <c r="H25" s="17">
        <v>14.0</v>
      </c>
      <c r="I25" s="17" t="s">
        <v>101</v>
      </c>
      <c r="J25" s="17" t="s">
        <v>104</v>
      </c>
      <c r="K25" s="17" t="s">
        <v>27</v>
      </c>
      <c r="L25" s="17" t="s">
        <v>46</v>
      </c>
      <c r="M25" s="17" t="s">
        <v>47</v>
      </c>
      <c r="N25" s="33" t="s">
        <v>98</v>
      </c>
      <c r="O25" s="17">
        <v>1.0</v>
      </c>
      <c r="P25" s="17" t="s">
        <v>99</v>
      </c>
      <c r="Q25" s="17"/>
      <c r="R25" s="14">
        <v>7000.0</v>
      </c>
      <c r="S25" s="15">
        <f>FRESADO!$R25*FRESADO!$E25</f>
        <v>7000</v>
      </c>
      <c r="T25" s="15">
        <f>FRESADO!$S25*16%</f>
        <v>1120</v>
      </c>
      <c r="U25" s="15">
        <f>FRESADO!$S25+FRESADO!$T25</f>
        <v>8120</v>
      </c>
    </row>
    <row r="26" ht="15.75" customHeight="1">
      <c r="A26" s="10">
        <v>25.0</v>
      </c>
      <c r="B26" s="16">
        <v>20.0</v>
      </c>
      <c r="C26" s="17">
        <v>5827.0</v>
      </c>
      <c r="D26" s="18">
        <v>46189.0</v>
      </c>
      <c r="E26" s="17">
        <v>1.0</v>
      </c>
      <c r="F26" s="17" t="s">
        <v>105</v>
      </c>
      <c r="G26" s="17" t="s">
        <v>64</v>
      </c>
      <c r="H26" s="17">
        <v>14.0</v>
      </c>
      <c r="I26" s="17" t="s">
        <v>101</v>
      </c>
      <c r="J26" s="17" t="s">
        <v>65</v>
      </c>
      <c r="K26" s="17" t="s">
        <v>27</v>
      </c>
      <c r="L26" s="17" t="s">
        <v>110</v>
      </c>
      <c r="M26" s="17" t="s">
        <v>45</v>
      </c>
      <c r="N26" s="33" t="s">
        <v>98</v>
      </c>
      <c r="O26" s="17">
        <v>1.0</v>
      </c>
      <c r="P26" s="17" t="s">
        <v>99</v>
      </c>
      <c r="Q26" s="17"/>
      <c r="R26" s="14">
        <v>7000.0</v>
      </c>
      <c r="S26" s="15">
        <f>FRESADO!$R26*FRESADO!$E26</f>
        <v>7000</v>
      </c>
      <c r="T26" s="15">
        <f>FRESADO!$S26*16%</f>
        <v>1120</v>
      </c>
      <c r="U26" s="15">
        <f>FRESADO!$S26+FRESADO!$T26</f>
        <v>8120</v>
      </c>
    </row>
    <row r="27" ht="15.75" customHeight="1">
      <c r="A27" s="10">
        <v>25.0</v>
      </c>
      <c r="B27" s="19">
        <v>21.0</v>
      </c>
      <c r="C27" s="20">
        <v>5828.0</v>
      </c>
      <c r="D27" s="21">
        <v>46190.0</v>
      </c>
      <c r="E27" s="20">
        <v>1.0</v>
      </c>
      <c r="F27" s="20" t="s">
        <v>94</v>
      </c>
      <c r="G27" s="20" t="s">
        <v>95</v>
      </c>
      <c r="H27" s="20">
        <v>14.0</v>
      </c>
      <c r="I27" s="20" t="s">
        <v>101</v>
      </c>
      <c r="J27" s="20" t="s">
        <v>97</v>
      </c>
      <c r="K27" s="20" t="s">
        <v>27</v>
      </c>
      <c r="L27" s="20" t="s">
        <v>52</v>
      </c>
      <c r="M27" s="20" t="s">
        <v>111</v>
      </c>
      <c r="N27" s="33" t="s">
        <v>98</v>
      </c>
      <c r="O27" s="20">
        <v>2.0</v>
      </c>
      <c r="P27" s="20" t="s">
        <v>99</v>
      </c>
      <c r="Q27" s="20"/>
      <c r="R27" s="14">
        <v>7000.0</v>
      </c>
      <c r="S27" s="15">
        <f>FRESADO!$R27*FRESADO!$E27</f>
        <v>7000</v>
      </c>
      <c r="T27" s="15">
        <f>FRESADO!$S27*16%</f>
        <v>1120</v>
      </c>
      <c r="U27" s="15">
        <f>FRESADO!$S27+FRESADO!$T27</f>
        <v>8120</v>
      </c>
    </row>
    <row r="28" ht="15.75" customHeight="1">
      <c r="A28" s="10">
        <v>25.0</v>
      </c>
      <c r="B28" s="19">
        <v>22.0</v>
      </c>
      <c r="C28" s="20">
        <v>5829.0</v>
      </c>
      <c r="D28" s="21">
        <v>46190.0</v>
      </c>
      <c r="E28" s="20">
        <v>1.0</v>
      </c>
      <c r="F28" s="20" t="s">
        <v>94</v>
      </c>
      <c r="G28" s="20" t="s">
        <v>103</v>
      </c>
      <c r="H28" s="20">
        <v>14.0</v>
      </c>
      <c r="I28" s="20" t="s">
        <v>101</v>
      </c>
      <c r="J28" s="20" t="s">
        <v>104</v>
      </c>
      <c r="K28" s="20" t="s">
        <v>27</v>
      </c>
      <c r="L28" s="20" t="s">
        <v>52</v>
      </c>
      <c r="M28" s="20" t="s">
        <v>112</v>
      </c>
      <c r="N28" s="33" t="s">
        <v>98</v>
      </c>
      <c r="O28" s="20">
        <v>2.0</v>
      </c>
      <c r="P28" s="20" t="s">
        <v>99</v>
      </c>
      <c r="Q28" s="20"/>
      <c r="R28" s="14">
        <v>7000.0</v>
      </c>
      <c r="S28" s="15">
        <f>FRESADO!$R28*FRESADO!$E28</f>
        <v>7000</v>
      </c>
      <c r="T28" s="15">
        <f>FRESADO!$S28*16%</f>
        <v>1120</v>
      </c>
      <c r="U28" s="15">
        <f>FRESADO!$S28+FRESADO!$T28</f>
        <v>8120</v>
      </c>
    </row>
    <row r="29" ht="15.75" customHeight="1">
      <c r="A29" s="10">
        <v>25.0</v>
      </c>
      <c r="B29" s="19">
        <v>23.0</v>
      </c>
      <c r="C29" s="20">
        <v>5830.0</v>
      </c>
      <c r="D29" s="21">
        <v>46190.0</v>
      </c>
      <c r="E29" s="20">
        <v>1.0</v>
      </c>
      <c r="F29" s="20" t="s">
        <v>94</v>
      </c>
      <c r="G29" s="20" t="s">
        <v>100</v>
      </c>
      <c r="H29" s="20">
        <v>14.0</v>
      </c>
      <c r="I29" s="20" t="s">
        <v>101</v>
      </c>
      <c r="J29" s="20" t="s">
        <v>102</v>
      </c>
      <c r="K29" s="20" t="s">
        <v>27</v>
      </c>
      <c r="L29" s="20" t="s">
        <v>113</v>
      </c>
      <c r="M29" s="20" t="s">
        <v>114</v>
      </c>
      <c r="N29" s="33" t="s">
        <v>98</v>
      </c>
      <c r="O29" s="20">
        <v>2.0</v>
      </c>
      <c r="P29" s="20" t="s">
        <v>99</v>
      </c>
      <c r="Q29" s="20"/>
      <c r="R29" s="14">
        <v>7000.0</v>
      </c>
      <c r="S29" s="15">
        <f>FRESADO!$R29*FRESADO!$E29</f>
        <v>7000</v>
      </c>
      <c r="T29" s="15">
        <f>FRESADO!$S29*16%</f>
        <v>1120</v>
      </c>
      <c r="U29" s="15">
        <f>FRESADO!$S29+FRESADO!$T29</f>
        <v>8120</v>
      </c>
    </row>
    <row r="30" ht="15.75" customHeight="1">
      <c r="A30" s="10">
        <v>25.0</v>
      </c>
      <c r="B30" s="19">
        <v>24.0</v>
      </c>
      <c r="C30" s="20">
        <v>5831.0</v>
      </c>
      <c r="D30" s="21">
        <v>46190.0</v>
      </c>
      <c r="E30" s="20">
        <v>1.0</v>
      </c>
      <c r="F30" s="20" t="s">
        <v>94</v>
      </c>
      <c r="G30" s="20" t="s">
        <v>103</v>
      </c>
      <c r="H30" s="20">
        <v>14.0</v>
      </c>
      <c r="I30" s="20" t="s">
        <v>101</v>
      </c>
      <c r="J30" s="20" t="s">
        <v>104</v>
      </c>
      <c r="K30" s="20" t="s">
        <v>27</v>
      </c>
      <c r="L30" s="20" t="s">
        <v>115</v>
      </c>
      <c r="M30" s="20" t="s">
        <v>116</v>
      </c>
      <c r="N30" s="33" t="s">
        <v>98</v>
      </c>
      <c r="O30" s="20">
        <v>2.0</v>
      </c>
      <c r="P30" s="20" t="s">
        <v>99</v>
      </c>
      <c r="Q30" s="20"/>
      <c r="R30" s="14">
        <v>7000.0</v>
      </c>
      <c r="S30" s="15">
        <f>FRESADO!$R30*FRESADO!$E30</f>
        <v>7000</v>
      </c>
      <c r="T30" s="15">
        <f>FRESADO!$S30*16%</f>
        <v>1120</v>
      </c>
      <c r="U30" s="15">
        <f>FRESADO!$S30+FRESADO!$T30</f>
        <v>8120</v>
      </c>
    </row>
    <row r="31" ht="15.75" customHeight="1">
      <c r="A31" s="10">
        <v>25.0</v>
      </c>
      <c r="B31" s="19">
        <v>25.0</v>
      </c>
      <c r="C31" s="20">
        <v>5832.0</v>
      </c>
      <c r="D31" s="21">
        <v>46190.0</v>
      </c>
      <c r="E31" s="20">
        <v>1.0</v>
      </c>
      <c r="F31" s="20" t="s">
        <v>94</v>
      </c>
      <c r="G31" s="20" t="s">
        <v>95</v>
      </c>
      <c r="H31" s="20">
        <v>14.0</v>
      </c>
      <c r="I31" s="20" t="s">
        <v>101</v>
      </c>
      <c r="J31" s="20" t="s">
        <v>97</v>
      </c>
      <c r="K31" s="20" t="s">
        <v>27</v>
      </c>
      <c r="L31" s="20" t="s">
        <v>62</v>
      </c>
      <c r="M31" s="20" t="s">
        <v>63</v>
      </c>
      <c r="N31" s="33" t="s">
        <v>98</v>
      </c>
      <c r="O31" s="20">
        <v>2.0</v>
      </c>
      <c r="P31" s="20" t="s">
        <v>99</v>
      </c>
      <c r="Q31" s="20"/>
      <c r="R31" s="14">
        <v>7000.0</v>
      </c>
      <c r="S31" s="15">
        <f>FRESADO!$R31*FRESADO!$E31</f>
        <v>7000</v>
      </c>
      <c r="T31" s="15">
        <f>FRESADO!$S31*16%</f>
        <v>1120</v>
      </c>
      <c r="U31" s="15">
        <f>FRESADO!$S31+FRESADO!$T31</f>
        <v>8120</v>
      </c>
    </row>
    <row r="32" ht="15.75" customHeight="1">
      <c r="A32" s="10">
        <v>25.0</v>
      </c>
      <c r="B32" s="19">
        <v>26.0</v>
      </c>
      <c r="C32" s="20">
        <v>5833.0</v>
      </c>
      <c r="D32" s="21">
        <v>46190.0</v>
      </c>
      <c r="E32" s="20">
        <v>1.0</v>
      </c>
      <c r="F32" s="20" t="s">
        <v>94</v>
      </c>
      <c r="G32" s="20" t="s">
        <v>64</v>
      </c>
      <c r="H32" s="20">
        <v>14.0</v>
      </c>
      <c r="I32" s="20" t="s">
        <v>101</v>
      </c>
      <c r="J32" s="20" t="s">
        <v>65</v>
      </c>
      <c r="K32" s="20" t="s">
        <v>27</v>
      </c>
      <c r="L32" s="20" t="s">
        <v>117</v>
      </c>
      <c r="M32" s="20" t="s">
        <v>118</v>
      </c>
      <c r="N32" s="33" t="s">
        <v>98</v>
      </c>
      <c r="O32" s="20">
        <v>2.0</v>
      </c>
      <c r="P32" s="20" t="s">
        <v>99</v>
      </c>
      <c r="Q32" s="20"/>
      <c r="R32" s="14">
        <v>7000.0</v>
      </c>
      <c r="S32" s="15">
        <f>FRESADO!$R32*FRESADO!$E32</f>
        <v>7000</v>
      </c>
      <c r="T32" s="15">
        <f>FRESADO!$S32*16%</f>
        <v>1120</v>
      </c>
      <c r="U32" s="15">
        <f>FRESADO!$S32+FRESADO!$T32</f>
        <v>8120</v>
      </c>
    </row>
    <row r="33" ht="15.75" customHeight="1">
      <c r="A33" s="10">
        <v>25.0</v>
      </c>
      <c r="B33" s="19">
        <v>27.0</v>
      </c>
      <c r="C33" s="20">
        <v>5834.0</v>
      </c>
      <c r="D33" s="21">
        <v>46190.0</v>
      </c>
      <c r="E33" s="20">
        <v>1.0</v>
      </c>
      <c r="F33" s="20" t="s">
        <v>94</v>
      </c>
      <c r="G33" s="20" t="s">
        <v>100</v>
      </c>
      <c r="H33" s="20">
        <v>14.0</v>
      </c>
      <c r="I33" s="20" t="s">
        <v>101</v>
      </c>
      <c r="J33" s="20" t="s">
        <v>102</v>
      </c>
      <c r="K33" s="20" t="s">
        <v>27</v>
      </c>
      <c r="L33" s="20" t="s">
        <v>119</v>
      </c>
      <c r="M33" s="20" t="s">
        <v>61</v>
      </c>
      <c r="N33" s="33" t="s">
        <v>98</v>
      </c>
      <c r="O33" s="20">
        <v>2.0</v>
      </c>
      <c r="P33" s="20" t="s">
        <v>99</v>
      </c>
      <c r="Q33" s="20"/>
      <c r="R33" s="14">
        <v>7000.0</v>
      </c>
      <c r="S33" s="15">
        <f>FRESADO!$R33*FRESADO!$E33</f>
        <v>7000</v>
      </c>
      <c r="T33" s="15">
        <f>FRESADO!$S33*16%</f>
        <v>1120</v>
      </c>
      <c r="U33" s="15">
        <f>FRESADO!$S33+FRESADO!$T33</f>
        <v>8120</v>
      </c>
    </row>
    <row r="34" ht="15.75" customHeight="1">
      <c r="A34" s="10">
        <v>25.0</v>
      </c>
      <c r="B34" s="19">
        <v>28.0</v>
      </c>
      <c r="C34" s="20">
        <v>5835.0</v>
      </c>
      <c r="D34" s="21">
        <v>46190.0</v>
      </c>
      <c r="E34" s="20">
        <v>1.0</v>
      </c>
      <c r="F34" s="20" t="s">
        <v>94</v>
      </c>
      <c r="G34" s="20" t="s">
        <v>103</v>
      </c>
      <c r="H34" s="20">
        <v>14.0</v>
      </c>
      <c r="I34" s="20" t="s">
        <v>101</v>
      </c>
      <c r="J34" s="20" t="s">
        <v>104</v>
      </c>
      <c r="K34" s="20" t="s">
        <v>27</v>
      </c>
      <c r="L34" s="20" t="s">
        <v>120</v>
      </c>
      <c r="M34" s="20" t="s">
        <v>121</v>
      </c>
      <c r="N34" s="33" t="s">
        <v>98</v>
      </c>
      <c r="O34" s="20">
        <v>2.0</v>
      </c>
      <c r="P34" s="20" t="s">
        <v>99</v>
      </c>
      <c r="Q34" s="20"/>
      <c r="R34" s="14">
        <v>7000.0</v>
      </c>
      <c r="S34" s="15">
        <f>FRESADO!$R34*FRESADO!$E34</f>
        <v>7000</v>
      </c>
      <c r="T34" s="15">
        <f>FRESADO!$S34*16%</f>
        <v>1120</v>
      </c>
      <c r="U34" s="15">
        <f>FRESADO!$S34+FRESADO!$T34</f>
        <v>8120</v>
      </c>
    </row>
    <row r="35" ht="15.75" customHeight="1">
      <c r="A35" s="10">
        <v>25.0</v>
      </c>
      <c r="B35" s="19">
        <v>29.0</v>
      </c>
      <c r="C35" s="20">
        <v>5836.0</v>
      </c>
      <c r="D35" s="21">
        <v>46190.0</v>
      </c>
      <c r="E35" s="20">
        <v>1.0</v>
      </c>
      <c r="F35" s="20" t="s">
        <v>94</v>
      </c>
      <c r="G35" s="20" t="s">
        <v>95</v>
      </c>
      <c r="H35" s="20">
        <v>14.0</v>
      </c>
      <c r="I35" s="20" t="s">
        <v>101</v>
      </c>
      <c r="J35" s="20" t="s">
        <v>97</v>
      </c>
      <c r="K35" s="20" t="s">
        <v>27</v>
      </c>
      <c r="L35" s="20" t="s">
        <v>122</v>
      </c>
      <c r="M35" s="20" t="s">
        <v>68</v>
      </c>
      <c r="N35" s="33" t="s">
        <v>98</v>
      </c>
      <c r="O35" s="20">
        <v>2.0</v>
      </c>
      <c r="P35" s="20" t="s">
        <v>99</v>
      </c>
      <c r="Q35" s="20"/>
      <c r="R35" s="14">
        <v>7000.0</v>
      </c>
      <c r="S35" s="15">
        <f>FRESADO!$R35*FRESADO!$E35</f>
        <v>7000</v>
      </c>
      <c r="T35" s="15">
        <f>FRESADO!$S35*16%</f>
        <v>1120</v>
      </c>
      <c r="U35" s="15">
        <f>FRESADO!$S35+FRESADO!$T35</f>
        <v>8120</v>
      </c>
    </row>
    <row r="36" ht="15.75" customHeight="1">
      <c r="A36" s="10">
        <v>25.0</v>
      </c>
      <c r="B36" s="19">
        <v>30.0</v>
      </c>
      <c r="C36" s="20">
        <v>5837.0</v>
      </c>
      <c r="D36" s="21">
        <v>46190.0</v>
      </c>
      <c r="E36" s="20">
        <v>1.0</v>
      </c>
      <c r="F36" s="20" t="s">
        <v>105</v>
      </c>
      <c r="G36" s="20" t="s">
        <v>64</v>
      </c>
      <c r="H36" s="20">
        <v>14.0</v>
      </c>
      <c r="I36" s="20" t="s">
        <v>101</v>
      </c>
      <c r="J36" s="20" t="s">
        <v>65</v>
      </c>
      <c r="K36" s="20" t="s">
        <v>27</v>
      </c>
      <c r="L36" s="20" t="s">
        <v>122</v>
      </c>
      <c r="M36" s="20" t="s">
        <v>68</v>
      </c>
      <c r="N36" s="33" t="s">
        <v>98</v>
      </c>
      <c r="O36" s="20">
        <v>2.0</v>
      </c>
      <c r="P36" s="20" t="s">
        <v>99</v>
      </c>
      <c r="Q36" s="20"/>
      <c r="R36" s="14">
        <v>7000.0</v>
      </c>
      <c r="S36" s="15">
        <f>FRESADO!$R36*FRESADO!$E36</f>
        <v>7000</v>
      </c>
      <c r="T36" s="15">
        <f>FRESADO!$S36*16%</f>
        <v>1120</v>
      </c>
      <c r="U36" s="15">
        <f>FRESADO!$S36+FRESADO!$T36</f>
        <v>8120</v>
      </c>
    </row>
    <row r="37" ht="15.75" customHeight="1">
      <c r="A37" s="10">
        <v>25.0</v>
      </c>
      <c r="B37" s="19">
        <v>31.0</v>
      </c>
      <c r="C37" s="20">
        <v>5838.0</v>
      </c>
      <c r="D37" s="21">
        <v>46190.0</v>
      </c>
      <c r="E37" s="20">
        <v>1.0</v>
      </c>
      <c r="F37" s="20" t="s">
        <v>94</v>
      </c>
      <c r="G37" s="20" t="s">
        <v>64</v>
      </c>
      <c r="H37" s="20">
        <v>14.0</v>
      </c>
      <c r="I37" s="20" t="s">
        <v>101</v>
      </c>
      <c r="J37" s="20" t="s">
        <v>65</v>
      </c>
      <c r="K37" s="20" t="s">
        <v>27</v>
      </c>
      <c r="L37" s="20" t="s">
        <v>122</v>
      </c>
      <c r="M37" s="20" t="s">
        <v>68</v>
      </c>
      <c r="N37" s="33" t="s">
        <v>98</v>
      </c>
      <c r="O37" s="20">
        <v>2.0</v>
      </c>
      <c r="P37" s="20" t="s">
        <v>99</v>
      </c>
      <c r="Q37" s="20"/>
      <c r="R37" s="14">
        <v>7000.0</v>
      </c>
      <c r="S37" s="15">
        <f>FRESADO!$R37*FRESADO!$E37</f>
        <v>7000</v>
      </c>
      <c r="T37" s="15">
        <f>FRESADO!$S37*16%</f>
        <v>1120</v>
      </c>
      <c r="U37" s="15">
        <f>FRESADO!$S37+FRESADO!$T37</f>
        <v>8120</v>
      </c>
    </row>
    <row r="38" ht="15.75" customHeight="1">
      <c r="A38" s="10">
        <v>25.0</v>
      </c>
      <c r="B38" s="22">
        <v>32.0</v>
      </c>
      <c r="C38" s="23">
        <v>5839.0</v>
      </c>
      <c r="D38" s="24">
        <v>46191.0</v>
      </c>
      <c r="E38" s="23">
        <v>1.0</v>
      </c>
      <c r="F38" s="23" t="s">
        <v>94</v>
      </c>
      <c r="G38" s="23" t="s">
        <v>95</v>
      </c>
      <c r="H38" s="23">
        <v>14.0</v>
      </c>
      <c r="I38" s="23" t="s">
        <v>101</v>
      </c>
      <c r="J38" s="23" t="s">
        <v>97</v>
      </c>
      <c r="K38" s="23" t="s">
        <v>27</v>
      </c>
      <c r="L38" s="23" t="s">
        <v>68</v>
      </c>
      <c r="M38" s="23" t="s">
        <v>123</v>
      </c>
      <c r="N38" s="33" t="s">
        <v>98</v>
      </c>
      <c r="O38" s="23">
        <v>2.0</v>
      </c>
      <c r="P38" s="23" t="s">
        <v>99</v>
      </c>
      <c r="Q38" s="23"/>
      <c r="R38" s="14">
        <v>7000.0</v>
      </c>
      <c r="S38" s="15">
        <f>FRESADO!$R38*FRESADO!$E38</f>
        <v>7000</v>
      </c>
      <c r="T38" s="15">
        <f>FRESADO!$S38*16%</f>
        <v>1120</v>
      </c>
      <c r="U38" s="15">
        <f>FRESADO!$S38+FRESADO!$T38</f>
        <v>8120</v>
      </c>
    </row>
    <row r="39" ht="15.75" customHeight="1">
      <c r="A39" s="10">
        <v>25.0</v>
      </c>
      <c r="B39" s="22">
        <v>33.0</v>
      </c>
      <c r="C39" s="23">
        <v>5840.0</v>
      </c>
      <c r="D39" s="24">
        <v>46191.0</v>
      </c>
      <c r="E39" s="23">
        <v>1.0</v>
      </c>
      <c r="F39" s="23" t="s">
        <v>94</v>
      </c>
      <c r="G39" s="23" t="s">
        <v>64</v>
      </c>
      <c r="H39" s="23">
        <v>14.0</v>
      </c>
      <c r="I39" s="23" t="s">
        <v>101</v>
      </c>
      <c r="J39" s="23" t="s">
        <v>65</v>
      </c>
      <c r="K39" s="23" t="s">
        <v>27</v>
      </c>
      <c r="L39" s="23" t="s">
        <v>123</v>
      </c>
      <c r="M39" s="23" t="s">
        <v>124</v>
      </c>
      <c r="N39" s="33" t="s">
        <v>98</v>
      </c>
      <c r="O39" s="23">
        <v>2.0</v>
      </c>
      <c r="P39" s="23" t="s">
        <v>99</v>
      </c>
      <c r="Q39" s="23"/>
      <c r="R39" s="14">
        <v>7000.0</v>
      </c>
      <c r="S39" s="15">
        <f>FRESADO!$R39*FRESADO!$E39</f>
        <v>7000</v>
      </c>
      <c r="T39" s="15">
        <f>FRESADO!$S39*16%</f>
        <v>1120</v>
      </c>
      <c r="U39" s="15">
        <f>FRESADO!$S39+FRESADO!$T39</f>
        <v>8120</v>
      </c>
    </row>
    <row r="40" ht="15.75" customHeight="1">
      <c r="A40" s="10">
        <v>25.0</v>
      </c>
      <c r="B40" s="22">
        <v>34.0</v>
      </c>
      <c r="C40" s="23">
        <v>5841.0</v>
      </c>
      <c r="D40" s="24">
        <v>46191.0</v>
      </c>
      <c r="E40" s="23">
        <v>1.0</v>
      </c>
      <c r="F40" s="23" t="s">
        <v>94</v>
      </c>
      <c r="G40" s="23" t="s">
        <v>103</v>
      </c>
      <c r="H40" s="23">
        <v>14.0</v>
      </c>
      <c r="I40" s="23" t="s">
        <v>101</v>
      </c>
      <c r="J40" s="23" t="s">
        <v>104</v>
      </c>
      <c r="K40" s="23" t="s">
        <v>27</v>
      </c>
      <c r="L40" s="23" t="s">
        <v>68</v>
      </c>
      <c r="M40" s="23" t="s">
        <v>123</v>
      </c>
      <c r="N40" s="33" t="s">
        <v>98</v>
      </c>
      <c r="O40" s="23">
        <v>2.0</v>
      </c>
      <c r="P40" s="23" t="s">
        <v>99</v>
      </c>
      <c r="Q40" s="23"/>
      <c r="R40" s="14">
        <v>7000.0</v>
      </c>
      <c r="S40" s="15">
        <f>FRESADO!$R40*FRESADO!$E40</f>
        <v>7000</v>
      </c>
      <c r="T40" s="15">
        <f>FRESADO!$S40*16%</f>
        <v>1120</v>
      </c>
      <c r="U40" s="15">
        <f>FRESADO!$S40+FRESADO!$T40</f>
        <v>8120</v>
      </c>
    </row>
    <row r="41" ht="15.75" customHeight="1">
      <c r="A41" s="10">
        <v>25.0</v>
      </c>
      <c r="B41" s="22">
        <v>35.0</v>
      </c>
      <c r="C41" s="23">
        <v>5842.0</v>
      </c>
      <c r="D41" s="24">
        <v>46191.0</v>
      </c>
      <c r="E41" s="23">
        <v>1.0</v>
      </c>
      <c r="F41" s="23" t="s">
        <v>94</v>
      </c>
      <c r="G41" s="23" t="s">
        <v>100</v>
      </c>
      <c r="H41" s="23">
        <v>14.0</v>
      </c>
      <c r="I41" s="23" t="s">
        <v>101</v>
      </c>
      <c r="J41" s="23" t="s">
        <v>102</v>
      </c>
      <c r="K41" s="23" t="s">
        <v>27</v>
      </c>
      <c r="L41" s="23" t="s">
        <v>123</v>
      </c>
      <c r="M41" s="23" t="s">
        <v>124</v>
      </c>
      <c r="N41" s="33" t="s">
        <v>98</v>
      </c>
      <c r="O41" s="23">
        <v>2.0</v>
      </c>
      <c r="P41" s="23" t="s">
        <v>99</v>
      </c>
      <c r="Q41" s="23"/>
      <c r="R41" s="14">
        <v>7000.0</v>
      </c>
      <c r="S41" s="15">
        <f>FRESADO!$R41*FRESADO!$E41</f>
        <v>7000</v>
      </c>
      <c r="T41" s="15">
        <f>FRESADO!$S41*16%</f>
        <v>1120</v>
      </c>
      <c r="U41" s="15">
        <f>FRESADO!$S41+FRESADO!$T41</f>
        <v>8120</v>
      </c>
    </row>
    <row r="42" ht="15.75" customHeight="1">
      <c r="A42" s="10">
        <v>25.0</v>
      </c>
      <c r="B42" s="22">
        <v>36.0</v>
      </c>
      <c r="C42" s="23">
        <v>5843.0</v>
      </c>
      <c r="D42" s="24">
        <v>46191.0</v>
      </c>
      <c r="E42" s="23">
        <v>1.0</v>
      </c>
      <c r="F42" s="23" t="s">
        <v>94</v>
      </c>
      <c r="G42" s="23" t="s">
        <v>125</v>
      </c>
      <c r="H42" s="23">
        <v>14.0</v>
      </c>
      <c r="I42" s="23" t="s">
        <v>101</v>
      </c>
      <c r="J42" s="23" t="s">
        <v>97</v>
      </c>
      <c r="K42" s="23" t="s">
        <v>27</v>
      </c>
      <c r="L42" s="23" t="s">
        <v>73</v>
      </c>
      <c r="M42" s="23" t="s">
        <v>126</v>
      </c>
      <c r="N42" s="33" t="s">
        <v>98</v>
      </c>
      <c r="O42" s="23">
        <v>2.0</v>
      </c>
      <c r="P42" s="23" t="s">
        <v>99</v>
      </c>
      <c r="Q42" s="23"/>
      <c r="R42" s="14">
        <v>7000.0</v>
      </c>
      <c r="S42" s="15">
        <f>FRESADO!$R42*FRESADO!$E42</f>
        <v>7000</v>
      </c>
      <c r="T42" s="15">
        <f>FRESADO!$S42*16%</f>
        <v>1120</v>
      </c>
      <c r="U42" s="15">
        <f>FRESADO!$S42+FRESADO!$T42</f>
        <v>8120</v>
      </c>
    </row>
    <row r="43" ht="15.75" customHeight="1">
      <c r="A43" s="10">
        <v>25.0</v>
      </c>
      <c r="B43" s="22">
        <v>37.0</v>
      </c>
      <c r="C43" s="23">
        <v>5844.0</v>
      </c>
      <c r="D43" s="24">
        <v>46191.0</v>
      </c>
      <c r="E43" s="23">
        <v>1.0</v>
      </c>
      <c r="F43" s="23" t="s">
        <v>94</v>
      </c>
      <c r="G43" s="23" t="s">
        <v>64</v>
      </c>
      <c r="H43" s="23">
        <v>14.0</v>
      </c>
      <c r="I43" s="23" t="s">
        <v>101</v>
      </c>
      <c r="J43" s="23" t="s">
        <v>65</v>
      </c>
      <c r="K43" s="23" t="s">
        <v>27</v>
      </c>
      <c r="L43" s="23" t="s">
        <v>73</v>
      </c>
      <c r="M43" s="23" t="s">
        <v>127</v>
      </c>
      <c r="N43" s="33" t="s">
        <v>98</v>
      </c>
      <c r="O43" s="23">
        <v>2.0</v>
      </c>
      <c r="P43" s="23" t="s">
        <v>99</v>
      </c>
      <c r="Q43" s="23"/>
      <c r="R43" s="14">
        <v>7000.0</v>
      </c>
      <c r="S43" s="15">
        <f>FRESADO!$R43*FRESADO!$E43</f>
        <v>7000</v>
      </c>
      <c r="T43" s="15">
        <f>FRESADO!$S43*16%</f>
        <v>1120</v>
      </c>
      <c r="U43" s="15">
        <f>FRESADO!$S43+FRESADO!$T43</f>
        <v>8120</v>
      </c>
    </row>
    <row r="44" ht="15.75" customHeight="1">
      <c r="A44" s="10">
        <v>25.0</v>
      </c>
      <c r="B44" s="22">
        <v>38.0</v>
      </c>
      <c r="C44" s="23">
        <v>5845.0</v>
      </c>
      <c r="D44" s="24">
        <v>46191.0</v>
      </c>
      <c r="E44" s="23">
        <v>1.0</v>
      </c>
      <c r="F44" s="23" t="s">
        <v>94</v>
      </c>
      <c r="G44" s="23" t="s">
        <v>103</v>
      </c>
      <c r="H44" s="23">
        <v>14.0</v>
      </c>
      <c r="I44" s="23" t="s">
        <v>101</v>
      </c>
      <c r="J44" s="23" t="s">
        <v>104</v>
      </c>
      <c r="K44" s="23" t="s">
        <v>27</v>
      </c>
      <c r="L44" s="23" t="s">
        <v>73</v>
      </c>
      <c r="M44" s="23" t="s">
        <v>127</v>
      </c>
      <c r="N44" s="33" t="s">
        <v>98</v>
      </c>
      <c r="O44" s="23">
        <v>2.0</v>
      </c>
      <c r="P44" s="23" t="s">
        <v>99</v>
      </c>
      <c r="Q44" s="23"/>
      <c r="R44" s="14">
        <v>7000.0</v>
      </c>
      <c r="S44" s="15">
        <f>FRESADO!$R44*FRESADO!$E44</f>
        <v>7000</v>
      </c>
      <c r="T44" s="15">
        <f>FRESADO!$S44*16%</f>
        <v>1120</v>
      </c>
      <c r="U44" s="15">
        <f>FRESADO!$S44+FRESADO!$T44</f>
        <v>8120</v>
      </c>
    </row>
    <row r="45" ht="15.75" customHeight="1">
      <c r="A45" s="10">
        <v>25.0</v>
      </c>
      <c r="B45" s="22">
        <v>39.0</v>
      </c>
      <c r="C45" s="23">
        <v>5846.0</v>
      </c>
      <c r="D45" s="24">
        <v>46191.0</v>
      </c>
      <c r="E45" s="23">
        <v>1.0</v>
      </c>
      <c r="F45" s="23" t="s">
        <v>94</v>
      </c>
      <c r="G45" s="23" t="s">
        <v>100</v>
      </c>
      <c r="H45" s="23">
        <v>14.0</v>
      </c>
      <c r="I45" s="23" t="s">
        <v>101</v>
      </c>
      <c r="J45" s="23" t="s">
        <v>102</v>
      </c>
      <c r="K45" s="23" t="s">
        <v>27</v>
      </c>
      <c r="L45" s="23" t="s">
        <v>73</v>
      </c>
      <c r="M45" s="23" t="s">
        <v>127</v>
      </c>
      <c r="N45" s="33" t="s">
        <v>98</v>
      </c>
      <c r="O45" s="23">
        <v>2.0</v>
      </c>
      <c r="P45" s="23" t="s">
        <v>99</v>
      </c>
      <c r="Q45" s="23"/>
      <c r="R45" s="14">
        <v>7000.0</v>
      </c>
      <c r="S45" s="15">
        <f>FRESADO!$R45*FRESADO!$E45</f>
        <v>7000</v>
      </c>
      <c r="T45" s="15">
        <f>FRESADO!$S45*16%</f>
        <v>1120</v>
      </c>
      <c r="U45" s="15">
        <f>FRESADO!$S45+FRESADO!$T45</f>
        <v>8120</v>
      </c>
    </row>
    <row r="46" ht="15.75" customHeight="1">
      <c r="A46" s="10">
        <v>25.0</v>
      </c>
      <c r="B46" s="22">
        <v>40.0</v>
      </c>
      <c r="C46" s="23">
        <v>5847.0</v>
      </c>
      <c r="D46" s="24">
        <v>46191.0</v>
      </c>
      <c r="E46" s="23">
        <v>1.0</v>
      </c>
      <c r="F46" s="23" t="s">
        <v>94</v>
      </c>
      <c r="G46" s="23" t="s">
        <v>125</v>
      </c>
      <c r="H46" s="23">
        <v>14.0</v>
      </c>
      <c r="I46" s="23" t="s">
        <v>101</v>
      </c>
      <c r="J46" s="23" t="s">
        <v>97</v>
      </c>
      <c r="K46" s="23" t="s">
        <v>27</v>
      </c>
      <c r="L46" s="23" t="s">
        <v>128</v>
      </c>
      <c r="M46" s="23" t="s">
        <v>129</v>
      </c>
      <c r="N46" s="33" t="s">
        <v>98</v>
      </c>
      <c r="O46" s="23">
        <v>2.0</v>
      </c>
      <c r="P46" s="23" t="s">
        <v>99</v>
      </c>
      <c r="Q46" s="23"/>
      <c r="R46" s="14">
        <v>7000.0</v>
      </c>
      <c r="S46" s="15">
        <f>FRESADO!$R46*FRESADO!$E46</f>
        <v>7000</v>
      </c>
      <c r="T46" s="15">
        <f>FRESADO!$S46*16%</f>
        <v>1120</v>
      </c>
      <c r="U46" s="15">
        <f>FRESADO!$S46+FRESADO!$T46</f>
        <v>8120</v>
      </c>
    </row>
    <row r="47" ht="15.75" customHeight="1">
      <c r="A47" s="10">
        <v>25.0</v>
      </c>
      <c r="B47" s="22">
        <v>41.0</v>
      </c>
      <c r="C47" s="23">
        <v>5848.0</v>
      </c>
      <c r="D47" s="24">
        <v>46191.0</v>
      </c>
      <c r="E47" s="23">
        <v>1.0</v>
      </c>
      <c r="F47" s="23" t="s">
        <v>94</v>
      </c>
      <c r="G47" s="23" t="s">
        <v>130</v>
      </c>
      <c r="H47" s="23">
        <v>14.0</v>
      </c>
      <c r="I47" s="23" t="s">
        <v>101</v>
      </c>
      <c r="J47" s="23" t="s">
        <v>56</v>
      </c>
      <c r="K47" s="23" t="s">
        <v>27</v>
      </c>
      <c r="L47" s="23" t="s">
        <v>128</v>
      </c>
      <c r="M47" s="23" t="s">
        <v>131</v>
      </c>
      <c r="N47" s="33" t="s">
        <v>98</v>
      </c>
      <c r="O47" s="23">
        <v>2.0</v>
      </c>
      <c r="P47" s="23" t="s">
        <v>99</v>
      </c>
      <c r="Q47" s="23"/>
      <c r="R47" s="14">
        <v>7000.0</v>
      </c>
      <c r="S47" s="15">
        <f>FRESADO!$R47*FRESADO!$E47</f>
        <v>7000</v>
      </c>
      <c r="T47" s="15">
        <f>FRESADO!$S47*16%</f>
        <v>1120</v>
      </c>
      <c r="U47" s="15">
        <f>FRESADO!$S47+FRESADO!$T47</f>
        <v>8120</v>
      </c>
    </row>
    <row r="48" ht="15.75" customHeight="1">
      <c r="A48" s="10">
        <v>25.0</v>
      </c>
      <c r="B48" s="10">
        <v>42.0</v>
      </c>
      <c r="C48" s="25">
        <v>5849.0</v>
      </c>
      <c r="D48" s="26">
        <v>46192.0</v>
      </c>
      <c r="E48" s="25">
        <v>1.0</v>
      </c>
      <c r="F48" s="25" t="s">
        <v>94</v>
      </c>
      <c r="G48" s="25" t="s">
        <v>100</v>
      </c>
      <c r="H48" s="25">
        <v>14.0</v>
      </c>
      <c r="I48" s="25" t="s">
        <v>101</v>
      </c>
      <c r="J48" s="25" t="s">
        <v>102</v>
      </c>
      <c r="K48" s="25" t="s">
        <v>27</v>
      </c>
      <c r="L48" s="25" t="s">
        <v>79</v>
      </c>
      <c r="M48" s="25" t="s">
        <v>83</v>
      </c>
      <c r="N48" s="33" t="s">
        <v>98</v>
      </c>
      <c r="O48" s="25">
        <v>1.0</v>
      </c>
      <c r="P48" s="25" t="s">
        <v>132</v>
      </c>
      <c r="Q48" s="25"/>
      <c r="R48" s="14">
        <v>7000.0</v>
      </c>
      <c r="S48" s="15">
        <f>FRESADO!$R48*FRESADO!$E48</f>
        <v>7000</v>
      </c>
      <c r="T48" s="15">
        <f>FRESADO!$S48*16%</f>
        <v>1120</v>
      </c>
      <c r="U48" s="15">
        <f>FRESADO!$S48+FRESADO!$T48</f>
        <v>8120</v>
      </c>
    </row>
    <row r="49" ht="15.75" customHeight="1">
      <c r="A49" s="10">
        <v>25.0</v>
      </c>
      <c r="B49" s="10">
        <v>43.0</v>
      </c>
      <c r="C49" s="25">
        <v>5850.0</v>
      </c>
      <c r="D49" s="26">
        <v>46192.0</v>
      </c>
      <c r="E49" s="25">
        <v>1.0</v>
      </c>
      <c r="F49" s="25" t="s">
        <v>94</v>
      </c>
      <c r="G49" s="25" t="s">
        <v>64</v>
      </c>
      <c r="H49" s="25">
        <v>14.0</v>
      </c>
      <c r="I49" s="25" t="s">
        <v>101</v>
      </c>
      <c r="J49" s="25" t="s">
        <v>65</v>
      </c>
      <c r="K49" s="25" t="s">
        <v>27</v>
      </c>
      <c r="L49" s="25" t="s">
        <v>79</v>
      </c>
      <c r="M49" s="25" t="s">
        <v>83</v>
      </c>
      <c r="N49" s="33" t="s">
        <v>98</v>
      </c>
      <c r="O49" s="25">
        <v>1.0</v>
      </c>
      <c r="P49" s="25" t="s">
        <v>132</v>
      </c>
      <c r="Q49" s="25"/>
      <c r="R49" s="14">
        <v>7000.0</v>
      </c>
      <c r="S49" s="15">
        <f>FRESADO!$R49*FRESADO!$E49</f>
        <v>7000</v>
      </c>
      <c r="T49" s="15">
        <f>FRESADO!$S49*16%</f>
        <v>1120</v>
      </c>
      <c r="U49" s="15">
        <f>FRESADO!$S49+FRESADO!$T49</f>
        <v>8120</v>
      </c>
    </row>
    <row r="50" ht="15.75" customHeight="1">
      <c r="A50" s="10">
        <v>25.0</v>
      </c>
      <c r="B50" s="10">
        <v>44.0</v>
      </c>
      <c r="C50" s="25">
        <v>5951.0</v>
      </c>
      <c r="D50" s="26">
        <v>46192.0</v>
      </c>
      <c r="E50" s="25">
        <v>1.0</v>
      </c>
      <c r="F50" s="25" t="s">
        <v>94</v>
      </c>
      <c r="G50" s="25" t="s">
        <v>103</v>
      </c>
      <c r="H50" s="25">
        <v>14.0</v>
      </c>
      <c r="I50" s="25" t="s">
        <v>101</v>
      </c>
      <c r="J50" s="25" t="s">
        <v>104</v>
      </c>
      <c r="K50" s="25" t="s">
        <v>27</v>
      </c>
      <c r="L50" s="25" t="s">
        <v>79</v>
      </c>
      <c r="M50" s="25" t="s">
        <v>83</v>
      </c>
      <c r="N50" s="33" t="s">
        <v>98</v>
      </c>
      <c r="O50" s="25">
        <v>1.0</v>
      </c>
      <c r="P50" s="25" t="s">
        <v>132</v>
      </c>
      <c r="Q50" s="25"/>
      <c r="R50" s="14">
        <v>7000.0</v>
      </c>
      <c r="S50" s="15">
        <f>FRESADO!$R50*FRESADO!$E50</f>
        <v>7000</v>
      </c>
      <c r="T50" s="15">
        <f>FRESADO!$S50*16%</f>
        <v>1120</v>
      </c>
      <c r="U50" s="15">
        <f>FRESADO!$S50+FRESADO!$T50</f>
        <v>8120</v>
      </c>
    </row>
    <row r="51" ht="15.75" customHeight="1">
      <c r="A51" s="10">
        <v>25.0</v>
      </c>
      <c r="B51" s="10">
        <v>45.0</v>
      </c>
      <c r="C51" s="25">
        <v>5952.0</v>
      </c>
      <c r="D51" s="26">
        <v>46192.0</v>
      </c>
      <c r="E51" s="25">
        <v>1.0</v>
      </c>
      <c r="F51" s="25" t="s">
        <v>94</v>
      </c>
      <c r="G51" s="25" t="s">
        <v>64</v>
      </c>
      <c r="H51" s="25">
        <v>14.0</v>
      </c>
      <c r="I51" s="25" t="s">
        <v>101</v>
      </c>
      <c r="J51" s="25" t="s">
        <v>65</v>
      </c>
      <c r="K51" s="25" t="s">
        <v>27</v>
      </c>
      <c r="L51" s="25" t="s">
        <v>79</v>
      </c>
      <c r="M51" s="25" t="s">
        <v>83</v>
      </c>
      <c r="N51" s="33" t="s">
        <v>98</v>
      </c>
      <c r="O51" s="25">
        <v>1.0</v>
      </c>
      <c r="P51" s="25" t="s">
        <v>132</v>
      </c>
      <c r="Q51" s="25"/>
      <c r="R51" s="14">
        <v>7000.0</v>
      </c>
      <c r="S51" s="15">
        <f>FRESADO!$R51*FRESADO!$E51</f>
        <v>7000</v>
      </c>
      <c r="T51" s="15">
        <f>FRESADO!$S51*16%</f>
        <v>1120</v>
      </c>
      <c r="U51" s="15">
        <f>FRESADO!$S51+FRESADO!$T51</f>
        <v>8120</v>
      </c>
    </row>
    <row r="52" ht="15.75" customHeight="1">
      <c r="A52" s="10">
        <v>25.0</v>
      </c>
      <c r="B52" s="10">
        <v>46.0</v>
      </c>
      <c r="C52" s="25">
        <v>5953.0</v>
      </c>
      <c r="D52" s="26">
        <v>46192.0</v>
      </c>
      <c r="E52" s="25">
        <v>1.0</v>
      </c>
      <c r="F52" s="25" t="s">
        <v>94</v>
      </c>
      <c r="G52" s="25" t="s">
        <v>103</v>
      </c>
      <c r="H52" s="25">
        <v>14.0</v>
      </c>
      <c r="I52" s="25" t="s">
        <v>101</v>
      </c>
      <c r="J52" s="25" t="s">
        <v>104</v>
      </c>
      <c r="K52" s="25" t="s">
        <v>27</v>
      </c>
      <c r="L52" s="25" t="s">
        <v>79</v>
      </c>
      <c r="M52" s="25" t="s">
        <v>83</v>
      </c>
      <c r="N52" s="33" t="s">
        <v>98</v>
      </c>
      <c r="O52" s="25">
        <v>1.0</v>
      </c>
      <c r="P52" s="25" t="s">
        <v>132</v>
      </c>
      <c r="Q52" s="25"/>
      <c r="R52" s="14">
        <v>7000.0</v>
      </c>
      <c r="S52" s="15">
        <f>FRESADO!$R52*FRESADO!$E52</f>
        <v>7000</v>
      </c>
      <c r="T52" s="15">
        <f>FRESADO!$S52*16%</f>
        <v>1120</v>
      </c>
      <c r="U52" s="15">
        <f>FRESADO!$S52+FRESADO!$T52</f>
        <v>8120</v>
      </c>
    </row>
    <row r="53" ht="15.75" hidden="1" customHeight="1">
      <c r="A53" s="10">
        <v>25.0</v>
      </c>
      <c r="B53" s="10">
        <v>47.0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15"/>
      <c r="S53" s="15">
        <f>FRESADO!$R53*FRESADO!$E53</f>
        <v>0</v>
      </c>
      <c r="T53" s="15">
        <f>FRESADO!$S53*16%</f>
        <v>0</v>
      </c>
      <c r="U53" s="15">
        <f>FRESADO!$S53+FRESADO!$T53</f>
        <v>0</v>
      </c>
    </row>
    <row r="54" ht="15.75" hidden="1" customHeight="1">
      <c r="A54" s="10">
        <v>25.0</v>
      </c>
      <c r="B54" s="10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15"/>
      <c r="S54" s="15">
        <f>FRESADO!$R54*FRESADO!$E54</f>
        <v>0</v>
      </c>
      <c r="T54" s="15">
        <f>FRESADO!$S54*16%</f>
        <v>0</v>
      </c>
      <c r="U54" s="15">
        <f>FRESADO!$S54+FRESADO!$T54</f>
        <v>0</v>
      </c>
    </row>
    <row r="55" ht="15.75" hidden="1" customHeight="1">
      <c r="A55" s="10">
        <v>25.0</v>
      </c>
      <c r="B55" s="1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15"/>
      <c r="S55" s="15">
        <f>FRESADO!$R55*FRESADO!$E55</f>
        <v>0</v>
      </c>
      <c r="T55" s="15">
        <f>FRESADO!$S55*16%</f>
        <v>0</v>
      </c>
      <c r="U55" s="15">
        <f>FRESADO!$S55+FRESADO!$T55</f>
        <v>0</v>
      </c>
    </row>
    <row r="56" ht="15.75" hidden="1" customHeight="1">
      <c r="A56" s="10">
        <v>25.0</v>
      </c>
      <c r="B56" s="10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15"/>
      <c r="S56" s="15">
        <f>FRESADO!$R56*FRESADO!$E56</f>
        <v>0</v>
      </c>
      <c r="T56" s="15">
        <f>FRESADO!$S56*16%</f>
        <v>0</v>
      </c>
      <c r="U56" s="15">
        <f>FRESADO!$S56+FRESADO!$T56</f>
        <v>0</v>
      </c>
    </row>
    <row r="57" ht="15.75" hidden="1" customHeight="1">
      <c r="A57" s="10">
        <v>25.0</v>
      </c>
      <c r="B57" s="1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15"/>
      <c r="S57" s="15">
        <f>FRESADO!$R57*FRESADO!$E57</f>
        <v>0</v>
      </c>
      <c r="T57" s="15">
        <f>FRESADO!$S57*16%</f>
        <v>0</v>
      </c>
      <c r="U57" s="15">
        <f>FRESADO!$S57+FRESADO!$T57</f>
        <v>0</v>
      </c>
    </row>
    <row r="58" ht="15.75" hidden="1" customHeight="1">
      <c r="A58" s="10">
        <v>25.0</v>
      </c>
      <c r="B58" s="1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15"/>
      <c r="S58" s="15">
        <f>FRESADO!$R58*FRESADO!$E58</f>
        <v>0</v>
      </c>
      <c r="T58" s="15">
        <f>FRESADO!$S58*16%</f>
        <v>0</v>
      </c>
      <c r="U58" s="15">
        <f>FRESADO!$S58+FRESADO!$T58</f>
        <v>0</v>
      </c>
    </row>
    <row r="59" ht="15.75" hidden="1" customHeight="1">
      <c r="A59" s="10">
        <v>25.0</v>
      </c>
      <c r="B59" s="10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15"/>
      <c r="S59" s="15">
        <f>FRESADO!$R59*FRESADO!$E59</f>
        <v>0</v>
      </c>
      <c r="T59" s="15">
        <f>FRESADO!$S59*16%</f>
        <v>0</v>
      </c>
      <c r="U59" s="15">
        <f>FRESADO!$S59+FRESADO!$T59</f>
        <v>0</v>
      </c>
    </row>
    <row r="60" ht="15.75" hidden="1" customHeight="1">
      <c r="A60" s="10">
        <v>25.0</v>
      </c>
      <c r="B60" s="10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15"/>
      <c r="S60" s="15">
        <f>FRESADO!$R60*FRESADO!$E60</f>
        <v>0</v>
      </c>
      <c r="T60" s="15">
        <f>FRESADO!$S60*16%</f>
        <v>0</v>
      </c>
      <c r="U60" s="15">
        <f>FRESADO!$S60+FRESADO!$T60</f>
        <v>0</v>
      </c>
    </row>
    <row r="61" ht="15.75" hidden="1" customHeight="1">
      <c r="A61" s="10">
        <v>25.0</v>
      </c>
      <c r="B61" s="1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15"/>
      <c r="S61" s="15">
        <f>FRESADO!$R61*FRESADO!$E61</f>
        <v>0</v>
      </c>
      <c r="T61" s="15">
        <f>FRESADO!$S61*16%</f>
        <v>0</v>
      </c>
      <c r="U61" s="15">
        <f>FRESADO!$S61+FRESADO!$T61</f>
        <v>0</v>
      </c>
    </row>
    <row r="62" ht="15.75" hidden="1" customHeight="1">
      <c r="A62" s="10">
        <v>25.0</v>
      </c>
      <c r="B62" s="10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15"/>
      <c r="S62" s="15">
        <f>FRESADO!$R62*FRESADO!$E62</f>
        <v>0</v>
      </c>
      <c r="T62" s="15">
        <f>FRESADO!$S62*16%</f>
        <v>0</v>
      </c>
      <c r="U62" s="15">
        <f>FRESADO!$S62+FRESADO!$T62</f>
        <v>0</v>
      </c>
    </row>
    <row r="63" ht="15.75" customHeight="1">
      <c r="A63" s="27" t="s">
        <v>84</v>
      </c>
      <c r="B63" s="27"/>
      <c r="C63" s="28"/>
      <c r="D63" s="28"/>
      <c r="E63" s="28">
        <f>SUBTOTAL(109,FRESADO!$E$7:$E$62)</f>
        <v>46</v>
      </c>
      <c r="F63" s="28"/>
      <c r="G63" s="28"/>
      <c r="H63" s="28">
        <f>SUBTOTAL(109,FRESADO!$H$7:$H$62)</f>
        <v>658</v>
      </c>
      <c r="I63" s="28"/>
      <c r="J63" s="28"/>
      <c r="K63" s="28"/>
      <c r="L63" s="28"/>
      <c r="M63" s="28"/>
      <c r="N63" s="28"/>
      <c r="O63" s="28"/>
      <c r="P63" s="28"/>
      <c r="Q63" s="28"/>
      <c r="R63" s="29"/>
      <c r="S63" s="29"/>
      <c r="T63" s="29"/>
      <c r="U63" s="29"/>
      <c r="V63" s="30"/>
      <c r="W63" s="30"/>
      <c r="X63" s="30"/>
      <c r="Y63" s="30"/>
      <c r="Z63" s="30"/>
    </row>
    <row r="64" ht="15.75" customHeight="1">
      <c r="A64" s="1"/>
      <c r="B64" s="1"/>
      <c r="R64" s="2"/>
      <c r="S64" s="2"/>
      <c r="T64" s="2"/>
      <c r="U64" s="2"/>
    </row>
    <row r="65" ht="15.75" customHeight="1">
      <c r="A65" s="1"/>
      <c r="B65" s="1"/>
      <c r="R65" s="2"/>
      <c r="S65" s="2"/>
      <c r="T65" s="2"/>
      <c r="U65" s="2"/>
    </row>
    <row r="66" ht="15.75" customHeight="1">
      <c r="A66" s="1"/>
      <c r="B66" s="1"/>
      <c r="R66" s="2"/>
      <c r="S66" s="2"/>
      <c r="T66" s="2"/>
      <c r="U66" s="2"/>
    </row>
    <row r="67" ht="15.75" customHeight="1">
      <c r="A67" s="1"/>
      <c r="B67" s="1"/>
      <c r="R67" s="2"/>
      <c r="S67" s="2"/>
      <c r="T67" s="2"/>
      <c r="U67" s="2"/>
    </row>
    <row r="68" ht="15.75" customHeight="1">
      <c r="A68" s="1"/>
      <c r="B68" s="1"/>
      <c r="R68" s="2"/>
      <c r="S68" s="2"/>
      <c r="T68" s="2"/>
      <c r="U68" s="2"/>
    </row>
    <row r="69" ht="15.75" customHeight="1">
      <c r="A69" s="1"/>
      <c r="B69" s="1"/>
      <c r="R69" s="2"/>
      <c r="S69" s="2"/>
      <c r="T69" s="2"/>
      <c r="U69" s="2"/>
    </row>
    <row r="70" ht="15.75" customHeight="1">
      <c r="A70" s="1"/>
      <c r="B70" s="1"/>
      <c r="R70" s="2"/>
      <c r="S70" s="2"/>
      <c r="T70" s="2"/>
      <c r="U70" s="2"/>
    </row>
    <row r="71" ht="15.75" customHeight="1">
      <c r="A71" s="1"/>
      <c r="B71" s="1"/>
      <c r="R71" s="2"/>
      <c r="S71" s="2"/>
      <c r="T71" s="2"/>
      <c r="U71" s="2"/>
    </row>
    <row r="72" ht="15.75" customHeight="1">
      <c r="A72" s="1"/>
      <c r="B72" s="1"/>
      <c r="R72" s="2"/>
      <c r="S72" s="2"/>
      <c r="T72" s="2"/>
      <c r="U72" s="2"/>
    </row>
    <row r="73" ht="15.75" customHeight="1">
      <c r="A73" s="1"/>
      <c r="B73" s="1"/>
      <c r="R73" s="2"/>
      <c r="S73" s="2"/>
      <c r="T73" s="2"/>
      <c r="U73" s="2"/>
    </row>
    <row r="74" ht="15.75" customHeight="1">
      <c r="A74" s="1"/>
      <c r="B74" s="1"/>
      <c r="R74" s="2"/>
      <c r="S74" s="2"/>
      <c r="T74" s="2"/>
      <c r="U74" s="2"/>
    </row>
    <row r="75" ht="15.75" customHeight="1">
      <c r="A75" s="1"/>
      <c r="B75" s="1"/>
      <c r="R75" s="2"/>
      <c r="S75" s="2"/>
      <c r="T75" s="2"/>
      <c r="U75" s="2"/>
    </row>
    <row r="76" ht="15.75" customHeight="1">
      <c r="A76" s="1"/>
      <c r="B76" s="1"/>
      <c r="R76" s="2"/>
      <c r="S76" s="2"/>
      <c r="T76" s="2"/>
      <c r="U76" s="2"/>
    </row>
    <row r="77" ht="15.75" customHeight="1">
      <c r="A77" s="1"/>
      <c r="B77" s="1"/>
      <c r="R77" s="2"/>
      <c r="S77" s="2"/>
      <c r="T77" s="2"/>
      <c r="U77" s="2"/>
    </row>
    <row r="78" ht="15.75" customHeight="1">
      <c r="A78" s="1"/>
      <c r="B78" s="1"/>
      <c r="R78" s="2"/>
      <c r="S78" s="2"/>
      <c r="T78" s="2"/>
      <c r="U78" s="2"/>
    </row>
    <row r="79" ht="15.75" customHeight="1">
      <c r="A79" s="1"/>
      <c r="B79" s="1"/>
      <c r="R79" s="2"/>
      <c r="S79" s="2"/>
      <c r="T79" s="2"/>
      <c r="U79" s="2"/>
    </row>
    <row r="80" ht="15.75" customHeight="1">
      <c r="A80" s="1"/>
      <c r="B80" s="1"/>
      <c r="R80" s="2"/>
      <c r="S80" s="2"/>
      <c r="T80" s="2"/>
      <c r="U80" s="2"/>
    </row>
    <row r="81" ht="15.75" customHeight="1">
      <c r="A81" s="1"/>
      <c r="B81" s="1"/>
      <c r="R81" s="2"/>
      <c r="S81" s="2"/>
      <c r="T81" s="2"/>
      <c r="U81" s="2"/>
    </row>
    <row r="82" ht="15.75" customHeight="1">
      <c r="A82" s="1"/>
      <c r="B82" s="1"/>
      <c r="R82" s="2"/>
      <c r="S82" s="2"/>
      <c r="T82" s="2"/>
      <c r="U82" s="2"/>
    </row>
    <row r="83" ht="15.75" customHeight="1">
      <c r="A83" s="1"/>
      <c r="B83" s="1"/>
      <c r="R83" s="2"/>
      <c r="S83" s="2"/>
      <c r="T83" s="2"/>
      <c r="U83" s="2"/>
    </row>
    <row r="84" ht="15.75" customHeight="1">
      <c r="A84" s="1"/>
      <c r="B84" s="1"/>
      <c r="R84" s="2"/>
      <c r="S84" s="2"/>
      <c r="T84" s="2"/>
      <c r="U84" s="2"/>
    </row>
    <row r="85" ht="15.75" customHeight="1">
      <c r="A85" s="1"/>
      <c r="B85" s="1"/>
      <c r="R85" s="2"/>
      <c r="S85" s="2"/>
      <c r="T85" s="2"/>
      <c r="U85" s="2"/>
    </row>
    <row r="86" ht="15.75" customHeight="1">
      <c r="A86" s="1"/>
      <c r="B86" s="1"/>
      <c r="R86" s="2"/>
      <c r="S86" s="2"/>
      <c r="T86" s="2"/>
      <c r="U86" s="2"/>
    </row>
    <row r="87" ht="15.75" customHeight="1">
      <c r="A87" s="1"/>
      <c r="B87" s="1"/>
      <c r="R87" s="2"/>
      <c r="S87" s="2"/>
      <c r="T87" s="2"/>
      <c r="U87" s="2"/>
    </row>
    <row r="88" ht="15.75" customHeight="1">
      <c r="A88" s="1"/>
      <c r="B88" s="1"/>
      <c r="R88" s="2"/>
      <c r="S88" s="2"/>
      <c r="T88" s="2"/>
      <c r="U88" s="2"/>
    </row>
    <row r="89" ht="15.75" customHeight="1">
      <c r="A89" s="1"/>
      <c r="B89" s="1"/>
      <c r="R89" s="2"/>
      <c r="S89" s="2"/>
      <c r="T89" s="2"/>
      <c r="U89" s="2"/>
    </row>
    <row r="90" ht="15.75" customHeight="1">
      <c r="A90" s="1"/>
      <c r="B90" s="1"/>
      <c r="R90" s="2"/>
      <c r="S90" s="2"/>
      <c r="T90" s="2"/>
      <c r="U90" s="2"/>
    </row>
    <row r="91" ht="15.75" customHeight="1">
      <c r="A91" s="1"/>
      <c r="B91" s="1"/>
      <c r="R91" s="2"/>
      <c r="S91" s="2"/>
      <c r="T91" s="2"/>
      <c r="U91" s="2"/>
    </row>
    <row r="92" ht="15.75" customHeight="1">
      <c r="A92" s="1"/>
      <c r="B92" s="1"/>
      <c r="R92" s="2"/>
      <c r="S92" s="2"/>
      <c r="T92" s="2"/>
      <c r="U92" s="2"/>
    </row>
    <row r="93" ht="15.75" customHeight="1">
      <c r="A93" s="1"/>
      <c r="B93" s="1"/>
      <c r="R93" s="2"/>
      <c r="S93" s="2"/>
      <c r="T93" s="2"/>
      <c r="U93" s="2"/>
    </row>
    <row r="94" ht="15.75" customHeight="1">
      <c r="A94" s="1"/>
      <c r="B94" s="1"/>
      <c r="R94" s="2"/>
      <c r="S94" s="2"/>
      <c r="T94" s="2"/>
      <c r="U94" s="2"/>
    </row>
    <row r="95" ht="15.75" customHeight="1">
      <c r="A95" s="1"/>
      <c r="B95" s="1"/>
      <c r="R95" s="2"/>
      <c r="S95" s="2"/>
      <c r="T95" s="2"/>
      <c r="U95" s="2"/>
    </row>
    <row r="96" ht="15.75" customHeight="1">
      <c r="A96" s="1"/>
      <c r="B96" s="1"/>
      <c r="R96" s="2"/>
      <c r="S96" s="2"/>
      <c r="T96" s="2"/>
      <c r="U96" s="2"/>
    </row>
    <row r="97" ht="15.75" customHeight="1">
      <c r="A97" s="1"/>
      <c r="B97" s="1"/>
      <c r="R97" s="2"/>
      <c r="S97" s="2"/>
      <c r="T97" s="2"/>
      <c r="U97" s="2"/>
    </row>
    <row r="98" ht="15.75" customHeight="1">
      <c r="A98" s="1"/>
      <c r="B98" s="1"/>
      <c r="R98" s="2"/>
      <c r="S98" s="2"/>
      <c r="T98" s="2"/>
      <c r="U98" s="2"/>
    </row>
    <row r="99" ht="15.75" customHeight="1">
      <c r="A99" s="1"/>
      <c r="B99" s="1"/>
      <c r="R99" s="2"/>
      <c r="S99" s="2"/>
      <c r="T99" s="2"/>
      <c r="U99" s="2"/>
    </row>
    <row r="100" ht="15.75" customHeight="1">
      <c r="A100" s="1"/>
      <c r="B100" s="1"/>
      <c r="R100" s="2"/>
      <c r="S100" s="2"/>
      <c r="T100" s="2"/>
      <c r="U100" s="2"/>
    </row>
    <row r="101" ht="15.75" customHeight="1">
      <c r="A101" s="1"/>
      <c r="B101" s="1"/>
      <c r="R101" s="2"/>
      <c r="S101" s="2"/>
      <c r="T101" s="2"/>
      <c r="U101" s="2"/>
    </row>
    <row r="102" ht="15.75" customHeight="1">
      <c r="A102" s="1"/>
      <c r="B102" s="1"/>
      <c r="R102" s="2"/>
      <c r="S102" s="2"/>
      <c r="T102" s="2"/>
      <c r="U102" s="2"/>
    </row>
    <row r="103" ht="15.75" customHeight="1">
      <c r="A103" s="1"/>
      <c r="B103" s="1"/>
      <c r="R103" s="2"/>
      <c r="S103" s="2"/>
      <c r="T103" s="2"/>
      <c r="U103" s="2"/>
    </row>
    <row r="104" ht="15.75" customHeight="1">
      <c r="A104" s="1"/>
      <c r="B104" s="1"/>
      <c r="R104" s="2"/>
      <c r="S104" s="2"/>
      <c r="T104" s="2"/>
      <c r="U104" s="2"/>
    </row>
    <row r="105" ht="15.75" customHeight="1">
      <c r="A105" s="1"/>
      <c r="B105" s="1"/>
      <c r="R105" s="2"/>
      <c r="S105" s="2"/>
      <c r="T105" s="2"/>
      <c r="U105" s="2"/>
    </row>
    <row r="106" ht="15.75" customHeight="1">
      <c r="A106" s="1"/>
      <c r="B106" s="1"/>
      <c r="R106" s="2"/>
      <c r="S106" s="2"/>
      <c r="T106" s="2"/>
      <c r="U106" s="2"/>
    </row>
    <row r="107" ht="15.75" customHeight="1">
      <c r="A107" s="1"/>
      <c r="B107" s="1"/>
      <c r="R107" s="2"/>
      <c r="S107" s="2"/>
      <c r="T107" s="2"/>
      <c r="U107" s="2"/>
    </row>
    <row r="108" ht="15.75" customHeight="1">
      <c r="A108" s="1"/>
      <c r="B108" s="1"/>
      <c r="R108" s="2"/>
      <c r="S108" s="2"/>
      <c r="T108" s="2"/>
      <c r="U108" s="2"/>
    </row>
    <row r="109" ht="15.75" customHeight="1">
      <c r="A109" s="1"/>
      <c r="B109" s="1"/>
      <c r="R109" s="2"/>
      <c r="S109" s="2"/>
      <c r="T109" s="2"/>
      <c r="U109" s="2"/>
    </row>
    <row r="110" ht="15.75" customHeight="1">
      <c r="A110" s="1"/>
      <c r="B110" s="1"/>
      <c r="R110" s="2"/>
      <c r="S110" s="2"/>
      <c r="T110" s="2"/>
      <c r="U110" s="2"/>
    </row>
    <row r="111" ht="15.75" customHeight="1">
      <c r="A111" s="1"/>
      <c r="B111" s="1"/>
      <c r="R111" s="2"/>
      <c r="S111" s="2"/>
      <c r="T111" s="2"/>
      <c r="U111" s="2"/>
    </row>
    <row r="112" ht="15.75" customHeight="1">
      <c r="A112" s="1"/>
      <c r="B112" s="1"/>
      <c r="R112" s="2"/>
      <c r="S112" s="2"/>
      <c r="T112" s="2"/>
      <c r="U112" s="2"/>
    </row>
    <row r="113" ht="15.75" customHeight="1">
      <c r="A113" s="1"/>
      <c r="B113" s="1"/>
      <c r="R113" s="2"/>
      <c r="S113" s="2"/>
      <c r="T113" s="2"/>
      <c r="U113" s="2"/>
    </row>
    <row r="114" ht="15.75" customHeight="1">
      <c r="A114" s="1"/>
      <c r="B114" s="1"/>
      <c r="R114" s="2"/>
      <c r="S114" s="2"/>
      <c r="T114" s="2"/>
      <c r="U114" s="2"/>
    </row>
    <row r="115" ht="15.75" customHeight="1">
      <c r="A115" s="1"/>
      <c r="B115" s="1"/>
      <c r="C115" s="31">
        <v>1.0</v>
      </c>
      <c r="R115" s="2"/>
      <c r="S115" s="2"/>
      <c r="T115" s="2"/>
      <c r="U115" s="2"/>
    </row>
    <row r="116" ht="15.75" customHeight="1">
      <c r="A116" s="1"/>
      <c r="B116" s="1"/>
      <c r="C116" s="31">
        <v>1.0</v>
      </c>
      <c r="R116" s="2"/>
      <c r="S116" s="2"/>
      <c r="T116" s="2"/>
      <c r="U116" s="2"/>
    </row>
    <row r="117" ht="15.75" customHeight="1">
      <c r="A117" s="1"/>
      <c r="B117" s="1"/>
      <c r="R117" s="2"/>
      <c r="S117" s="2"/>
      <c r="T117" s="2"/>
      <c r="U117" s="2"/>
    </row>
    <row r="118" ht="15.75" customHeight="1">
      <c r="A118" s="1"/>
      <c r="B118" s="1"/>
      <c r="R118" s="2"/>
      <c r="S118" s="2"/>
      <c r="T118" s="2"/>
      <c r="U118" s="2"/>
    </row>
    <row r="119" ht="15.75" customHeight="1">
      <c r="A119" s="1"/>
      <c r="B119" s="1"/>
      <c r="R119" s="2"/>
      <c r="S119" s="2"/>
      <c r="T119" s="2"/>
      <c r="U119" s="2"/>
    </row>
    <row r="120" ht="15.75" customHeight="1">
      <c r="A120" s="1"/>
      <c r="B120" s="1"/>
      <c r="R120" s="2"/>
      <c r="S120" s="2"/>
      <c r="T120" s="2"/>
      <c r="U120" s="2"/>
    </row>
    <row r="121" ht="15.75" customHeight="1">
      <c r="A121" s="1"/>
      <c r="B121" s="1"/>
      <c r="R121" s="2"/>
      <c r="S121" s="2"/>
      <c r="T121" s="2"/>
      <c r="U121" s="2"/>
    </row>
    <row r="122" ht="15.75" customHeight="1">
      <c r="A122" s="1"/>
      <c r="B122" s="1"/>
      <c r="R122" s="2"/>
      <c r="S122" s="2"/>
      <c r="T122" s="2"/>
      <c r="U122" s="2"/>
    </row>
    <row r="123" ht="15.75" customHeight="1">
      <c r="A123" s="1"/>
      <c r="B123" s="1"/>
      <c r="R123" s="2"/>
      <c r="S123" s="2"/>
      <c r="T123" s="2"/>
      <c r="U123" s="2"/>
    </row>
    <row r="124" ht="15.75" customHeight="1">
      <c r="A124" s="1"/>
      <c r="B124" s="1"/>
      <c r="R124" s="2"/>
      <c r="S124" s="2"/>
      <c r="T124" s="2"/>
      <c r="U124" s="2"/>
    </row>
    <row r="125" ht="15.75" customHeight="1">
      <c r="A125" s="1"/>
      <c r="B125" s="1"/>
      <c r="R125" s="2"/>
      <c r="S125" s="2"/>
      <c r="T125" s="2"/>
      <c r="U125" s="2"/>
    </row>
    <row r="126" ht="15.75" customHeight="1">
      <c r="A126" s="1"/>
      <c r="B126" s="1"/>
      <c r="R126" s="2"/>
      <c r="S126" s="2"/>
      <c r="T126" s="2"/>
      <c r="U126" s="2"/>
    </row>
    <row r="127" ht="15.75" customHeight="1">
      <c r="A127" s="1"/>
      <c r="B127" s="1"/>
      <c r="R127" s="2"/>
      <c r="S127" s="2"/>
      <c r="T127" s="2"/>
      <c r="U127" s="2"/>
    </row>
    <row r="128" ht="15.75" customHeight="1">
      <c r="A128" s="1"/>
      <c r="B128" s="1"/>
      <c r="R128" s="2"/>
      <c r="S128" s="2"/>
      <c r="T128" s="2"/>
      <c r="U128" s="2"/>
    </row>
    <row r="129" ht="15.75" customHeight="1">
      <c r="A129" s="1"/>
      <c r="B129" s="1"/>
      <c r="R129" s="2"/>
      <c r="S129" s="2"/>
      <c r="T129" s="2"/>
      <c r="U129" s="2"/>
    </row>
    <row r="130" ht="15.75" customHeight="1">
      <c r="A130" s="1"/>
      <c r="B130" s="1"/>
      <c r="R130" s="2"/>
      <c r="S130" s="2"/>
      <c r="T130" s="2"/>
      <c r="U130" s="2"/>
    </row>
    <row r="131" ht="15.75" customHeight="1">
      <c r="A131" s="1"/>
      <c r="B131" s="1"/>
      <c r="R131" s="2"/>
      <c r="S131" s="2"/>
      <c r="T131" s="2"/>
      <c r="U131" s="2"/>
    </row>
    <row r="132" ht="15.75" customHeight="1">
      <c r="A132" s="1"/>
      <c r="B132" s="1"/>
      <c r="R132" s="2"/>
      <c r="S132" s="2"/>
      <c r="T132" s="2"/>
      <c r="U132" s="2"/>
    </row>
    <row r="133" ht="15.75" customHeight="1">
      <c r="A133" s="1"/>
      <c r="B133" s="1"/>
      <c r="R133" s="2"/>
      <c r="S133" s="2"/>
      <c r="T133" s="2"/>
      <c r="U133" s="2"/>
    </row>
    <row r="134" ht="15.75" customHeight="1">
      <c r="A134" s="1"/>
      <c r="B134" s="1"/>
      <c r="R134" s="2"/>
      <c r="S134" s="2"/>
      <c r="T134" s="2"/>
      <c r="U134" s="2"/>
    </row>
    <row r="135" ht="15.75" customHeight="1">
      <c r="A135" s="1"/>
      <c r="B135" s="1"/>
      <c r="R135" s="2"/>
      <c r="S135" s="2"/>
      <c r="T135" s="2"/>
      <c r="U135" s="2"/>
    </row>
    <row r="136" ht="15.75" customHeight="1">
      <c r="A136" s="1"/>
      <c r="B136" s="1"/>
      <c r="R136" s="2"/>
      <c r="S136" s="2"/>
      <c r="T136" s="2"/>
      <c r="U136" s="2"/>
    </row>
    <row r="137" ht="15.75" customHeight="1">
      <c r="A137" s="1"/>
      <c r="B137" s="1"/>
      <c r="R137" s="2"/>
      <c r="S137" s="2"/>
      <c r="T137" s="2"/>
      <c r="U137" s="2"/>
    </row>
    <row r="138" ht="15.75" customHeight="1">
      <c r="A138" s="1"/>
      <c r="B138" s="1"/>
      <c r="R138" s="2"/>
      <c r="S138" s="2"/>
      <c r="T138" s="2"/>
      <c r="U138" s="2"/>
    </row>
    <row r="139" ht="15.75" customHeight="1">
      <c r="A139" s="1"/>
      <c r="B139" s="1"/>
      <c r="R139" s="2"/>
      <c r="S139" s="2"/>
      <c r="T139" s="2"/>
      <c r="U139" s="2"/>
    </row>
    <row r="140" ht="15.75" customHeight="1">
      <c r="A140" s="1"/>
      <c r="B140" s="1"/>
      <c r="R140" s="2"/>
      <c r="S140" s="2"/>
      <c r="T140" s="2"/>
      <c r="U140" s="2"/>
    </row>
    <row r="141" ht="15.75" customHeight="1">
      <c r="A141" s="1"/>
      <c r="B141" s="1"/>
      <c r="R141" s="2"/>
      <c r="S141" s="2"/>
      <c r="T141" s="2"/>
      <c r="U141" s="2"/>
    </row>
    <row r="142" ht="15.75" customHeight="1">
      <c r="A142" s="1"/>
      <c r="B142" s="1"/>
      <c r="R142" s="2"/>
      <c r="S142" s="2"/>
      <c r="T142" s="2"/>
      <c r="U142" s="2"/>
    </row>
    <row r="143" ht="15.75" customHeight="1">
      <c r="A143" s="1"/>
      <c r="B143" s="1"/>
      <c r="R143" s="2"/>
      <c r="S143" s="2"/>
      <c r="T143" s="2"/>
      <c r="U143" s="2"/>
    </row>
    <row r="144" ht="15.75" customHeight="1">
      <c r="A144" s="1"/>
      <c r="B144" s="1"/>
      <c r="R144" s="2"/>
      <c r="S144" s="2"/>
      <c r="T144" s="2"/>
      <c r="U144" s="2"/>
    </row>
    <row r="145" ht="15.75" customHeight="1">
      <c r="A145" s="1"/>
      <c r="B145" s="1"/>
      <c r="R145" s="2"/>
      <c r="S145" s="2"/>
      <c r="T145" s="2"/>
      <c r="U145" s="2"/>
    </row>
    <row r="146" ht="15.75" customHeight="1">
      <c r="A146" s="1"/>
      <c r="B146" s="1"/>
      <c r="R146" s="2"/>
      <c r="S146" s="2"/>
      <c r="T146" s="2"/>
      <c r="U146" s="2"/>
    </row>
    <row r="147" ht="15.75" customHeight="1">
      <c r="A147" s="1"/>
      <c r="B147" s="1"/>
      <c r="R147" s="2"/>
      <c r="S147" s="2"/>
      <c r="T147" s="2"/>
      <c r="U147" s="2"/>
    </row>
    <row r="148" ht="15.75" customHeight="1">
      <c r="A148" s="1"/>
      <c r="B148" s="1"/>
      <c r="R148" s="2"/>
      <c r="S148" s="2"/>
      <c r="T148" s="2"/>
      <c r="U148" s="2"/>
    </row>
    <row r="149" ht="15.75" customHeight="1">
      <c r="A149" s="1"/>
      <c r="B149" s="1"/>
      <c r="R149" s="2"/>
      <c r="S149" s="2"/>
      <c r="T149" s="2"/>
      <c r="U149" s="2"/>
    </row>
    <row r="150" ht="15.75" customHeight="1">
      <c r="A150" s="1"/>
      <c r="B150" s="1"/>
      <c r="R150" s="2"/>
      <c r="S150" s="2"/>
      <c r="T150" s="2"/>
      <c r="U150" s="2"/>
    </row>
    <row r="151" ht="15.75" customHeight="1">
      <c r="A151" s="1"/>
      <c r="B151" s="1"/>
      <c r="R151" s="2"/>
      <c r="S151" s="2"/>
      <c r="T151" s="2"/>
      <c r="U151" s="2"/>
    </row>
    <row r="152" ht="15.75" customHeight="1">
      <c r="A152" s="1"/>
      <c r="B152" s="1"/>
      <c r="R152" s="2"/>
      <c r="S152" s="2"/>
      <c r="T152" s="2"/>
      <c r="U152" s="2"/>
    </row>
    <row r="153" ht="15.75" customHeight="1">
      <c r="A153" s="1"/>
      <c r="B153" s="1"/>
      <c r="R153" s="2"/>
      <c r="S153" s="2"/>
      <c r="T153" s="2"/>
      <c r="U153" s="2"/>
    </row>
    <row r="154" ht="15.75" customHeight="1">
      <c r="A154" s="1"/>
      <c r="B154" s="1"/>
      <c r="R154" s="2"/>
      <c r="S154" s="2"/>
      <c r="T154" s="2"/>
      <c r="U154" s="2"/>
    </row>
    <row r="155" ht="15.75" customHeight="1">
      <c r="A155" s="1"/>
      <c r="B155" s="1"/>
      <c r="R155" s="2"/>
      <c r="S155" s="2"/>
      <c r="T155" s="2"/>
      <c r="U155" s="2"/>
    </row>
    <row r="156" ht="15.75" customHeight="1">
      <c r="A156" s="1"/>
      <c r="B156" s="1"/>
      <c r="R156" s="2"/>
      <c r="S156" s="2"/>
      <c r="T156" s="2"/>
      <c r="U156" s="2"/>
    </row>
    <row r="157" ht="15.75" customHeight="1">
      <c r="A157" s="1"/>
      <c r="B157" s="1"/>
      <c r="R157" s="2"/>
      <c r="S157" s="2"/>
      <c r="T157" s="2"/>
      <c r="U157" s="2"/>
    </row>
    <row r="158" ht="15.75" customHeight="1">
      <c r="A158" s="1"/>
      <c r="B158" s="1"/>
      <c r="R158" s="2"/>
      <c r="S158" s="2"/>
      <c r="T158" s="2"/>
      <c r="U158" s="2"/>
    </row>
    <row r="159" ht="15.75" customHeight="1">
      <c r="A159" s="1"/>
      <c r="B159" s="1"/>
      <c r="R159" s="2"/>
      <c r="S159" s="2"/>
      <c r="T159" s="2"/>
      <c r="U159" s="2"/>
    </row>
    <row r="160" ht="15.75" customHeight="1">
      <c r="A160" s="1"/>
      <c r="B160" s="1"/>
      <c r="R160" s="2"/>
      <c r="S160" s="2"/>
      <c r="T160" s="2"/>
      <c r="U160" s="2"/>
    </row>
    <row r="161" ht="15.75" customHeight="1">
      <c r="A161" s="1"/>
      <c r="B161" s="1"/>
      <c r="R161" s="2"/>
      <c r="S161" s="2"/>
      <c r="T161" s="2"/>
      <c r="U161" s="2"/>
    </row>
    <row r="162" ht="15.75" customHeight="1">
      <c r="A162" s="1"/>
      <c r="B162" s="1"/>
      <c r="R162" s="2"/>
      <c r="S162" s="2"/>
      <c r="T162" s="2"/>
      <c r="U162" s="2"/>
    </row>
    <row r="163" ht="15.75" customHeight="1">
      <c r="A163" s="1"/>
      <c r="B163" s="1"/>
      <c r="R163" s="2"/>
      <c r="S163" s="2"/>
      <c r="T163" s="2"/>
      <c r="U163" s="2"/>
    </row>
    <row r="164" ht="15.75" customHeight="1">
      <c r="A164" s="1"/>
      <c r="B164" s="1"/>
      <c r="R164" s="2"/>
      <c r="S164" s="2"/>
      <c r="T164" s="2"/>
      <c r="U164" s="2"/>
    </row>
    <row r="165" ht="15.75" customHeight="1">
      <c r="A165" s="1"/>
      <c r="B165" s="1"/>
      <c r="R165" s="2"/>
      <c r="S165" s="2"/>
      <c r="T165" s="2"/>
      <c r="U165" s="2"/>
    </row>
    <row r="166" ht="15.75" customHeight="1">
      <c r="A166" s="1"/>
      <c r="B166" s="1"/>
      <c r="R166" s="2"/>
      <c r="S166" s="2"/>
      <c r="T166" s="2"/>
      <c r="U166" s="2"/>
    </row>
    <row r="167" ht="15.75" customHeight="1">
      <c r="A167" s="1"/>
      <c r="B167" s="1"/>
      <c r="R167" s="2"/>
      <c r="S167" s="2"/>
      <c r="T167" s="2"/>
      <c r="U167" s="2"/>
    </row>
    <row r="168" ht="15.75" customHeight="1">
      <c r="A168" s="1"/>
      <c r="B168" s="1"/>
      <c r="R168" s="2"/>
      <c r="S168" s="2"/>
      <c r="T168" s="2"/>
      <c r="U168" s="2"/>
    </row>
    <row r="169" ht="15.75" customHeight="1">
      <c r="A169" s="1"/>
      <c r="B169" s="1"/>
      <c r="R169" s="2"/>
      <c r="S169" s="2"/>
      <c r="T169" s="2"/>
      <c r="U169" s="2"/>
    </row>
    <row r="170" ht="15.75" customHeight="1">
      <c r="A170" s="1"/>
      <c r="B170" s="1"/>
      <c r="R170" s="2"/>
      <c r="S170" s="2"/>
      <c r="T170" s="2"/>
      <c r="U170" s="2"/>
    </row>
    <row r="171" ht="15.75" customHeight="1">
      <c r="A171" s="1"/>
      <c r="B171" s="1"/>
      <c r="R171" s="2"/>
      <c r="S171" s="2"/>
      <c r="T171" s="2"/>
      <c r="U171" s="2"/>
    </row>
    <row r="172" ht="15.75" customHeight="1">
      <c r="A172" s="1"/>
      <c r="B172" s="1"/>
      <c r="R172" s="2"/>
      <c r="S172" s="2"/>
      <c r="T172" s="2"/>
      <c r="U172" s="2"/>
    </row>
    <row r="173" ht="15.75" customHeight="1">
      <c r="A173" s="1"/>
      <c r="B173" s="1"/>
      <c r="R173" s="2"/>
      <c r="S173" s="2"/>
      <c r="T173" s="2"/>
      <c r="U173" s="2"/>
    </row>
    <row r="174" ht="15.75" customHeight="1">
      <c r="A174" s="1"/>
      <c r="B174" s="1"/>
      <c r="R174" s="2"/>
      <c r="S174" s="2"/>
      <c r="T174" s="2"/>
      <c r="U174" s="2"/>
    </row>
    <row r="175" ht="15.75" customHeight="1">
      <c r="A175" s="1"/>
      <c r="B175" s="1"/>
      <c r="R175" s="2"/>
      <c r="S175" s="2"/>
      <c r="T175" s="2"/>
      <c r="U175" s="2"/>
    </row>
    <row r="176" ht="15.75" customHeight="1">
      <c r="A176" s="1"/>
      <c r="B176" s="1"/>
      <c r="R176" s="2"/>
      <c r="S176" s="2"/>
      <c r="T176" s="2"/>
      <c r="U176" s="2"/>
    </row>
    <row r="177" ht="15.75" customHeight="1">
      <c r="A177" s="1"/>
      <c r="B177" s="1"/>
      <c r="R177" s="2"/>
      <c r="S177" s="2"/>
      <c r="T177" s="2"/>
      <c r="U177" s="2"/>
    </row>
    <row r="178" ht="15.75" customHeight="1">
      <c r="A178" s="1"/>
      <c r="B178" s="1"/>
      <c r="R178" s="2"/>
      <c r="S178" s="2"/>
      <c r="T178" s="2"/>
      <c r="U178" s="2"/>
    </row>
    <row r="179" ht="15.75" customHeight="1">
      <c r="A179" s="1"/>
      <c r="B179" s="1"/>
      <c r="R179" s="2"/>
      <c r="S179" s="2"/>
      <c r="T179" s="2"/>
      <c r="U179" s="2"/>
    </row>
    <row r="180" ht="15.75" customHeight="1">
      <c r="A180" s="1"/>
      <c r="B180" s="1"/>
      <c r="R180" s="2"/>
      <c r="S180" s="2"/>
      <c r="T180" s="2"/>
      <c r="U180" s="2"/>
    </row>
    <row r="181" ht="15.75" customHeight="1">
      <c r="A181" s="1"/>
      <c r="B181" s="1"/>
      <c r="R181" s="2"/>
      <c r="S181" s="2"/>
      <c r="T181" s="2"/>
      <c r="U181" s="2"/>
    </row>
    <row r="182" ht="15.75" customHeight="1">
      <c r="A182" s="1"/>
      <c r="B182" s="1"/>
      <c r="R182" s="2"/>
      <c r="S182" s="2"/>
      <c r="T182" s="2"/>
      <c r="U182" s="2"/>
    </row>
    <row r="183" ht="15.75" customHeight="1">
      <c r="A183" s="1"/>
      <c r="B183" s="1"/>
      <c r="R183" s="2"/>
      <c r="S183" s="2"/>
      <c r="T183" s="2"/>
      <c r="U183" s="2"/>
    </row>
    <row r="184" ht="15.75" customHeight="1">
      <c r="A184" s="1"/>
      <c r="B184" s="1"/>
      <c r="R184" s="2"/>
      <c r="S184" s="2"/>
      <c r="T184" s="2"/>
      <c r="U184" s="2"/>
    </row>
    <row r="185" ht="15.75" customHeight="1">
      <c r="A185" s="1"/>
      <c r="B185" s="1"/>
      <c r="R185" s="2"/>
      <c r="S185" s="2"/>
      <c r="T185" s="2"/>
      <c r="U185" s="2"/>
    </row>
    <row r="186" ht="15.75" customHeight="1">
      <c r="A186" s="1"/>
      <c r="B186" s="1"/>
      <c r="R186" s="2"/>
      <c r="S186" s="2"/>
      <c r="T186" s="2"/>
      <c r="U186" s="2"/>
    </row>
    <row r="187" ht="15.75" customHeight="1">
      <c r="A187" s="1"/>
      <c r="B187" s="1"/>
      <c r="R187" s="2"/>
      <c r="S187" s="2"/>
      <c r="T187" s="2"/>
      <c r="U187" s="2"/>
    </row>
    <row r="188" ht="15.75" customHeight="1">
      <c r="A188" s="1"/>
      <c r="B188" s="1"/>
      <c r="R188" s="2"/>
      <c r="S188" s="2"/>
      <c r="T188" s="2"/>
      <c r="U188" s="2"/>
    </row>
    <row r="189" ht="15.75" customHeight="1">
      <c r="A189" s="1"/>
      <c r="B189" s="1"/>
      <c r="R189" s="2"/>
      <c r="S189" s="2"/>
      <c r="T189" s="2"/>
      <c r="U189" s="2"/>
    </row>
    <row r="190" ht="15.75" customHeight="1">
      <c r="A190" s="1"/>
      <c r="B190" s="1"/>
      <c r="R190" s="2"/>
      <c r="S190" s="2"/>
      <c r="T190" s="2"/>
      <c r="U190" s="2"/>
    </row>
    <row r="191" ht="15.75" customHeight="1">
      <c r="A191" s="1"/>
      <c r="B191" s="1"/>
      <c r="R191" s="2"/>
      <c r="S191" s="2"/>
      <c r="T191" s="2"/>
      <c r="U191" s="2"/>
    </row>
    <row r="192" ht="15.75" customHeight="1">
      <c r="A192" s="1"/>
      <c r="B192" s="1"/>
      <c r="R192" s="2"/>
      <c r="S192" s="2"/>
      <c r="T192" s="2"/>
      <c r="U192" s="2"/>
    </row>
    <row r="193" ht="15.75" customHeight="1">
      <c r="A193" s="1"/>
      <c r="B193" s="1"/>
      <c r="R193" s="2"/>
      <c r="S193" s="2"/>
      <c r="T193" s="2"/>
      <c r="U193" s="2"/>
    </row>
    <row r="194" ht="15.75" customHeight="1">
      <c r="A194" s="1"/>
      <c r="B194" s="1"/>
      <c r="R194" s="2"/>
      <c r="S194" s="2"/>
      <c r="T194" s="2"/>
      <c r="U194" s="2"/>
    </row>
    <row r="195" ht="15.75" customHeight="1">
      <c r="A195" s="1"/>
      <c r="B195" s="1"/>
      <c r="R195" s="2"/>
      <c r="S195" s="2"/>
      <c r="T195" s="2"/>
      <c r="U195" s="2"/>
    </row>
    <row r="196" ht="15.75" customHeight="1">
      <c r="A196" s="1"/>
      <c r="B196" s="1"/>
      <c r="R196" s="2"/>
      <c r="S196" s="2"/>
      <c r="T196" s="2"/>
      <c r="U196" s="2"/>
    </row>
    <row r="197" ht="15.75" customHeight="1">
      <c r="A197" s="1"/>
      <c r="B197" s="1"/>
      <c r="R197" s="2"/>
      <c r="S197" s="2"/>
      <c r="T197" s="2"/>
      <c r="U197" s="2"/>
    </row>
    <row r="198" ht="15.75" customHeight="1">
      <c r="A198" s="1"/>
      <c r="B198" s="1"/>
      <c r="R198" s="2"/>
      <c r="S198" s="2"/>
      <c r="T198" s="2"/>
      <c r="U198" s="2"/>
    </row>
    <row r="199" ht="15.75" customHeight="1">
      <c r="A199" s="1"/>
      <c r="B199" s="1"/>
      <c r="R199" s="2"/>
      <c r="S199" s="2"/>
      <c r="T199" s="2"/>
      <c r="U199" s="2"/>
    </row>
    <row r="200" ht="15.75" customHeight="1">
      <c r="A200" s="1"/>
      <c r="B200" s="1"/>
      <c r="R200" s="2"/>
      <c r="S200" s="2"/>
      <c r="T200" s="2"/>
      <c r="U200" s="2"/>
    </row>
    <row r="201" ht="15.75" customHeight="1">
      <c r="A201" s="1"/>
      <c r="B201" s="1"/>
      <c r="R201" s="2"/>
      <c r="S201" s="2"/>
      <c r="T201" s="2"/>
      <c r="U201" s="2"/>
    </row>
    <row r="202" ht="15.75" customHeight="1">
      <c r="A202" s="1"/>
      <c r="B202" s="1"/>
      <c r="R202" s="2"/>
      <c r="S202" s="2"/>
      <c r="T202" s="2"/>
      <c r="U202" s="2"/>
    </row>
    <row r="203" ht="15.75" customHeight="1">
      <c r="A203" s="1"/>
      <c r="B203" s="1"/>
      <c r="R203" s="2"/>
      <c r="S203" s="2"/>
      <c r="T203" s="2"/>
      <c r="U203" s="2"/>
    </row>
    <row r="204" ht="15.75" customHeight="1">
      <c r="A204" s="1"/>
      <c r="B204" s="1"/>
      <c r="R204" s="2"/>
      <c r="S204" s="2"/>
      <c r="T204" s="2"/>
      <c r="U204" s="2"/>
    </row>
    <row r="205" ht="15.75" customHeight="1">
      <c r="A205" s="1"/>
      <c r="B205" s="1"/>
      <c r="R205" s="2"/>
      <c r="S205" s="2"/>
      <c r="T205" s="2"/>
      <c r="U205" s="2"/>
    </row>
    <row r="206" ht="15.75" customHeight="1">
      <c r="A206" s="1"/>
      <c r="B206" s="1"/>
      <c r="R206" s="2"/>
      <c r="S206" s="2"/>
      <c r="T206" s="2"/>
      <c r="U206" s="2"/>
    </row>
    <row r="207" ht="15.75" customHeight="1">
      <c r="A207" s="1"/>
      <c r="B207" s="1"/>
      <c r="R207" s="2"/>
      <c r="S207" s="2"/>
      <c r="T207" s="2"/>
      <c r="U207" s="2"/>
    </row>
    <row r="208" ht="15.75" customHeight="1">
      <c r="A208" s="1"/>
      <c r="B208" s="1"/>
      <c r="R208" s="2"/>
      <c r="S208" s="2"/>
      <c r="T208" s="2"/>
      <c r="U208" s="2"/>
    </row>
    <row r="209" ht="15.75" customHeight="1">
      <c r="A209" s="1"/>
      <c r="B209" s="1"/>
      <c r="R209" s="2"/>
      <c r="S209" s="2"/>
      <c r="T209" s="2"/>
      <c r="U209" s="2"/>
    </row>
    <row r="210" ht="15.75" customHeight="1">
      <c r="A210" s="1"/>
      <c r="B210" s="1"/>
      <c r="R210" s="2"/>
      <c r="S210" s="2"/>
      <c r="T210" s="2"/>
      <c r="U210" s="2"/>
    </row>
    <row r="211" ht="15.75" customHeight="1">
      <c r="A211" s="1"/>
      <c r="B211" s="1"/>
      <c r="R211" s="2"/>
      <c r="S211" s="2"/>
      <c r="T211" s="2"/>
      <c r="U211" s="2"/>
    </row>
    <row r="212" ht="15.75" customHeight="1">
      <c r="A212" s="1"/>
      <c r="B212" s="1"/>
      <c r="R212" s="2"/>
      <c r="S212" s="2"/>
      <c r="T212" s="2"/>
      <c r="U212" s="2"/>
    </row>
    <row r="213" ht="15.75" customHeight="1">
      <c r="A213" s="1"/>
      <c r="B213" s="1"/>
      <c r="R213" s="2"/>
      <c r="S213" s="2"/>
      <c r="T213" s="2"/>
      <c r="U213" s="2"/>
    </row>
    <row r="214" ht="15.75" customHeight="1">
      <c r="A214" s="1"/>
      <c r="B214" s="1"/>
      <c r="R214" s="2"/>
      <c r="S214" s="2"/>
      <c r="T214" s="2"/>
      <c r="U214" s="2"/>
    </row>
    <row r="215" ht="15.75" customHeight="1">
      <c r="A215" s="1"/>
      <c r="B215" s="1"/>
      <c r="R215" s="2"/>
      <c r="S215" s="2"/>
      <c r="T215" s="2"/>
      <c r="U215" s="2"/>
    </row>
    <row r="216" ht="15.75" customHeight="1">
      <c r="A216" s="1"/>
      <c r="B216" s="1"/>
      <c r="R216" s="2"/>
      <c r="S216" s="2"/>
      <c r="T216" s="2"/>
      <c r="U216" s="2"/>
    </row>
    <row r="217" ht="15.75" customHeight="1">
      <c r="A217" s="1"/>
      <c r="B217" s="1"/>
      <c r="R217" s="2"/>
      <c r="S217" s="2"/>
      <c r="T217" s="2"/>
      <c r="U217" s="2"/>
    </row>
    <row r="218" ht="15.75" customHeight="1">
      <c r="A218" s="1"/>
      <c r="B218" s="1"/>
      <c r="R218" s="2"/>
      <c r="S218" s="2"/>
      <c r="T218" s="2"/>
      <c r="U218" s="2"/>
    </row>
    <row r="219" ht="15.75" customHeight="1">
      <c r="A219" s="1"/>
      <c r="B219" s="1"/>
      <c r="R219" s="2"/>
      <c r="S219" s="2"/>
      <c r="T219" s="2"/>
      <c r="U219" s="2"/>
    </row>
    <row r="220" ht="15.75" customHeight="1">
      <c r="A220" s="1"/>
      <c r="B220" s="1"/>
      <c r="R220" s="2"/>
      <c r="S220" s="2"/>
      <c r="T220" s="2"/>
      <c r="U220" s="2"/>
    </row>
    <row r="221" ht="15.75" customHeight="1">
      <c r="A221" s="1"/>
      <c r="B221" s="1"/>
      <c r="R221" s="2"/>
      <c r="S221" s="2"/>
      <c r="T221" s="2"/>
      <c r="U221" s="2"/>
    </row>
    <row r="222" ht="15.75" customHeight="1">
      <c r="A222" s="1"/>
      <c r="B222" s="1"/>
      <c r="R222" s="2"/>
      <c r="S222" s="2"/>
      <c r="T222" s="2"/>
      <c r="U222" s="2"/>
    </row>
    <row r="223" ht="15.75" customHeight="1">
      <c r="A223" s="1"/>
      <c r="B223" s="1"/>
      <c r="R223" s="2"/>
      <c r="S223" s="2"/>
      <c r="T223" s="2"/>
      <c r="U223" s="2"/>
    </row>
    <row r="224" ht="15.75" customHeight="1">
      <c r="A224" s="1"/>
      <c r="B224" s="1"/>
      <c r="R224" s="2"/>
      <c r="S224" s="2"/>
      <c r="T224" s="2"/>
      <c r="U224" s="2"/>
    </row>
    <row r="225" ht="15.75" customHeight="1">
      <c r="A225" s="1"/>
      <c r="B225" s="1"/>
      <c r="R225" s="2"/>
      <c r="S225" s="2"/>
      <c r="T225" s="2"/>
      <c r="U225" s="2"/>
    </row>
    <row r="226" ht="15.75" customHeight="1">
      <c r="A226" s="1"/>
      <c r="B226" s="1"/>
      <c r="R226" s="2"/>
      <c r="S226" s="2"/>
      <c r="T226" s="2"/>
      <c r="U226" s="2"/>
    </row>
    <row r="227" ht="15.75" customHeight="1">
      <c r="A227" s="1"/>
      <c r="B227" s="1"/>
      <c r="R227" s="2"/>
      <c r="S227" s="2"/>
      <c r="T227" s="2"/>
      <c r="U227" s="2"/>
    </row>
    <row r="228" ht="15.75" customHeight="1">
      <c r="A228" s="1"/>
      <c r="B228" s="1"/>
      <c r="R228" s="2"/>
      <c r="S228" s="2"/>
      <c r="T228" s="2"/>
      <c r="U228" s="2"/>
    </row>
    <row r="229" ht="15.75" customHeight="1">
      <c r="A229" s="1"/>
      <c r="B229" s="1"/>
      <c r="R229" s="2"/>
      <c r="S229" s="2"/>
      <c r="T229" s="2"/>
      <c r="U229" s="2"/>
    </row>
    <row r="230" ht="15.75" customHeight="1">
      <c r="A230" s="1"/>
      <c r="B230" s="1"/>
      <c r="R230" s="2"/>
      <c r="S230" s="2"/>
      <c r="T230" s="2"/>
      <c r="U230" s="2"/>
    </row>
    <row r="231" ht="15.75" customHeight="1">
      <c r="A231" s="1"/>
      <c r="B231" s="1"/>
      <c r="R231" s="2"/>
      <c r="S231" s="2"/>
      <c r="T231" s="2"/>
      <c r="U231" s="2"/>
    </row>
    <row r="232" ht="15.75" customHeight="1">
      <c r="A232" s="1"/>
      <c r="B232" s="1"/>
      <c r="R232" s="2"/>
      <c r="S232" s="2"/>
      <c r="T232" s="2"/>
      <c r="U232" s="2"/>
    </row>
    <row r="233" ht="15.75" customHeight="1">
      <c r="A233" s="1"/>
      <c r="B233" s="1"/>
      <c r="R233" s="2"/>
      <c r="S233" s="2"/>
      <c r="T233" s="2"/>
      <c r="U233" s="2"/>
    </row>
    <row r="234" ht="15.75" customHeight="1">
      <c r="A234" s="1"/>
      <c r="B234" s="1"/>
      <c r="R234" s="2"/>
      <c r="S234" s="2"/>
      <c r="T234" s="2"/>
      <c r="U234" s="2"/>
    </row>
    <row r="235" ht="15.75" customHeight="1">
      <c r="A235" s="1"/>
      <c r="B235" s="1"/>
      <c r="R235" s="2"/>
      <c r="S235" s="2"/>
      <c r="T235" s="2"/>
      <c r="U235" s="2"/>
    </row>
    <row r="236" ht="15.75" customHeight="1">
      <c r="A236" s="1"/>
      <c r="B236" s="1"/>
      <c r="R236" s="2"/>
      <c r="S236" s="2"/>
      <c r="T236" s="2"/>
      <c r="U236" s="2"/>
    </row>
    <row r="237" ht="15.75" customHeight="1">
      <c r="A237" s="1"/>
      <c r="B237" s="1"/>
      <c r="R237" s="2"/>
      <c r="S237" s="2"/>
      <c r="T237" s="2"/>
      <c r="U237" s="2"/>
    </row>
    <row r="238" ht="15.75" customHeight="1">
      <c r="A238" s="1"/>
      <c r="B238" s="1"/>
      <c r="R238" s="2"/>
      <c r="S238" s="2"/>
      <c r="T238" s="2"/>
      <c r="U238" s="2"/>
    </row>
    <row r="239" ht="15.75" customHeight="1">
      <c r="A239" s="1"/>
      <c r="B239" s="1"/>
      <c r="R239" s="2"/>
      <c r="S239" s="2"/>
      <c r="T239" s="2"/>
      <c r="U239" s="2"/>
    </row>
    <row r="240" ht="15.75" customHeight="1">
      <c r="A240" s="1"/>
      <c r="B240" s="1"/>
      <c r="R240" s="2"/>
      <c r="S240" s="2"/>
      <c r="T240" s="2"/>
      <c r="U240" s="2"/>
    </row>
    <row r="241" ht="15.75" customHeight="1">
      <c r="A241" s="1"/>
      <c r="B241" s="1"/>
      <c r="R241" s="2"/>
      <c r="S241" s="2"/>
      <c r="T241" s="2"/>
      <c r="U241" s="2"/>
    </row>
    <row r="242" ht="15.75" customHeight="1">
      <c r="A242" s="1"/>
      <c r="B242" s="1"/>
      <c r="R242" s="2"/>
      <c r="S242" s="2"/>
      <c r="T242" s="2"/>
      <c r="U242" s="2"/>
    </row>
    <row r="243" ht="15.75" customHeight="1">
      <c r="A243" s="1"/>
      <c r="B243" s="1"/>
      <c r="R243" s="2"/>
      <c r="S243" s="2"/>
      <c r="T243" s="2"/>
      <c r="U243" s="2"/>
    </row>
    <row r="244" ht="15.75" customHeight="1">
      <c r="A244" s="1"/>
      <c r="B244" s="1"/>
      <c r="R244" s="2"/>
      <c r="S244" s="2"/>
      <c r="T244" s="2"/>
      <c r="U244" s="2"/>
    </row>
    <row r="245" ht="15.75" customHeight="1">
      <c r="A245" s="1"/>
      <c r="B245" s="1"/>
      <c r="R245" s="2"/>
      <c r="S245" s="2"/>
      <c r="T245" s="2"/>
      <c r="U245" s="2"/>
    </row>
    <row r="246" ht="15.75" customHeight="1">
      <c r="A246" s="1"/>
      <c r="B246" s="1"/>
      <c r="R246" s="2"/>
      <c r="S246" s="2"/>
      <c r="T246" s="2"/>
      <c r="U246" s="2"/>
    </row>
    <row r="247" ht="15.75" customHeight="1">
      <c r="A247" s="1"/>
      <c r="B247" s="1"/>
      <c r="R247" s="2"/>
      <c r="S247" s="2"/>
      <c r="T247" s="2"/>
      <c r="U247" s="2"/>
    </row>
    <row r="248" ht="15.75" customHeight="1">
      <c r="A248" s="1"/>
      <c r="B248" s="1"/>
      <c r="R248" s="2"/>
      <c r="S248" s="2"/>
      <c r="T248" s="2"/>
      <c r="U248" s="2"/>
    </row>
    <row r="249" ht="15.75" customHeight="1">
      <c r="A249" s="1"/>
      <c r="B249" s="1"/>
      <c r="R249" s="2"/>
      <c r="S249" s="2"/>
      <c r="T249" s="2"/>
      <c r="U249" s="2"/>
    </row>
    <row r="250" ht="15.75" customHeight="1">
      <c r="A250" s="1"/>
      <c r="B250" s="1"/>
      <c r="R250" s="2"/>
      <c r="S250" s="2"/>
      <c r="T250" s="2"/>
      <c r="U250" s="2"/>
    </row>
    <row r="251" ht="15.75" customHeight="1">
      <c r="A251" s="1"/>
      <c r="B251" s="1"/>
      <c r="R251" s="2"/>
      <c r="S251" s="2"/>
      <c r="T251" s="2"/>
      <c r="U251" s="2"/>
    </row>
    <row r="252" ht="15.75" customHeight="1">
      <c r="A252" s="1"/>
      <c r="B252" s="1"/>
      <c r="R252" s="2"/>
      <c r="S252" s="2"/>
      <c r="T252" s="2"/>
      <c r="U252" s="2"/>
    </row>
    <row r="253" ht="15.75" customHeight="1">
      <c r="A253" s="1"/>
      <c r="B253" s="1"/>
      <c r="R253" s="2"/>
      <c r="S253" s="2"/>
      <c r="T253" s="2"/>
      <c r="U253" s="2"/>
    </row>
    <row r="254" ht="15.75" customHeight="1">
      <c r="A254" s="1"/>
      <c r="B254" s="1"/>
      <c r="R254" s="2"/>
      <c r="S254" s="2"/>
      <c r="T254" s="2"/>
      <c r="U254" s="2"/>
    </row>
    <row r="255" ht="15.75" customHeight="1">
      <c r="A255" s="1"/>
      <c r="B255" s="1"/>
      <c r="R255" s="2"/>
      <c r="S255" s="2"/>
      <c r="T255" s="2"/>
      <c r="U255" s="2"/>
    </row>
    <row r="256" ht="15.75" customHeight="1">
      <c r="A256" s="1"/>
      <c r="B256" s="1"/>
      <c r="R256" s="2"/>
      <c r="S256" s="2"/>
      <c r="T256" s="2"/>
      <c r="U256" s="2"/>
    </row>
    <row r="257" ht="15.75" customHeight="1">
      <c r="A257" s="1"/>
      <c r="B257" s="1"/>
      <c r="R257" s="2"/>
      <c r="S257" s="2"/>
      <c r="T257" s="2"/>
      <c r="U257" s="2"/>
    </row>
    <row r="258" ht="15.75" customHeight="1">
      <c r="A258" s="1"/>
      <c r="B258" s="1"/>
      <c r="R258" s="2"/>
      <c r="S258" s="2"/>
      <c r="T258" s="2"/>
      <c r="U258" s="2"/>
    </row>
    <row r="259" ht="15.75" customHeight="1">
      <c r="A259" s="1"/>
      <c r="B259" s="1"/>
      <c r="R259" s="2"/>
      <c r="S259" s="2"/>
      <c r="T259" s="2"/>
      <c r="U259" s="2"/>
    </row>
    <row r="260" ht="15.75" customHeight="1">
      <c r="A260" s="1"/>
      <c r="B260" s="1"/>
      <c r="R260" s="2"/>
      <c r="S260" s="2"/>
      <c r="T260" s="2"/>
      <c r="U260" s="2"/>
    </row>
    <row r="261" ht="15.75" customHeight="1">
      <c r="A261" s="1"/>
      <c r="B261" s="1"/>
      <c r="R261" s="2"/>
      <c r="S261" s="2"/>
      <c r="T261" s="2"/>
      <c r="U261" s="2"/>
    </row>
    <row r="262" ht="15.75" customHeight="1">
      <c r="A262" s="1"/>
      <c r="B262" s="1"/>
      <c r="R262" s="2"/>
      <c r="S262" s="2"/>
      <c r="T262" s="2"/>
      <c r="U262" s="2"/>
    </row>
    <row r="263" ht="15.75" customHeight="1">
      <c r="A263" s="1"/>
      <c r="B263" s="1"/>
      <c r="R263" s="2"/>
      <c r="S263" s="2"/>
      <c r="T263" s="2"/>
      <c r="U263" s="2"/>
    </row>
    <row r="264" ht="15.75" customHeight="1">
      <c r="A264" s="1"/>
      <c r="B264" s="1"/>
      <c r="R264" s="2"/>
      <c r="S264" s="2"/>
      <c r="T264" s="2"/>
      <c r="U264" s="2"/>
    </row>
    <row r="265" ht="15.75" customHeight="1">
      <c r="A265" s="1"/>
      <c r="B265" s="1"/>
      <c r="R265" s="2"/>
      <c r="S265" s="2"/>
      <c r="T265" s="2"/>
      <c r="U265" s="2"/>
    </row>
    <row r="266" ht="15.75" customHeight="1">
      <c r="A266" s="1"/>
      <c r="B266" s="1"/>
      <c r="R266" s="2"/>
      <c r="S266" s="2"/>
      <c r="T266" s="2"/>
      <c r="U266" s="2"/>
    </row>
    <row r="267" ht="15.75" customHeight="1">
      <c r="A267" s="1"/>
      <c r="B267" s="1"/>
      <c r="R267" s="2"/>
      <c r="S267" s="2"/>
      <c r="T267" s="2"/>
      <c r="U267" s="2"/>
    </row>
    <row r="268" ht="15.75" customHeight="1">
      <c r="A268" s="1"/>
      <c r="B268" s="1"/>
      <c r="R268" s="2"/>
      <c r="S268" s="2"/>
      <c r="T268" s="2"/>
      <c r="U268" s="2"/>
    </row>
    <row r="269" ht="15.75" customHeight="1">
      <c r="A269" s="1"/>
      <c r="B269" s="1"/>
      <c r="R269" s="2"/>
      <c r="S269" s="2"/>
      <c r="T269" s="2"/>
      <c r="U269" s="2"/>
    </row>
    <row r="270" ht="15.75" customHeight="1">
      <c r="A270" s="1"/>
      <c r="B270" s="1"/>
      <c r="R270" s="2"/>
      <c r="S270" s="2"/>
      <c r="T270" s="2"/>
      <c r="U270" s="2"/>
    </row>
    <row r="271" ht="15.75" customHeight="1">
      <c r="A271" s="1"/>
      <c r="B271" s="1"/>
      <c r="R271" s="2"/>
      <c r="S271" s="2"/>
      <c r="T271" s="2"/>
      <c r="U271" s="2"/>
    </row>
    <row r="272" ht="15.75" customHeight="1">
      <c r="A272" s="1"/>
      <c r="B272" s="1"/>
      <c r="R272" s="2"/>
      <c r="S272" s="2"/>
      <c r="T272" s="2"/>
      <c r="U272" s="2"/>
    </row>
    <row r="273" ht="15.75" customHeight="1">
      <c r="A273" s="1"/>
      <c r="B273" s="1"/>
      <c r="R273" s="2"/>
      <c r="S273" s="2"/>
      <c r="T273" s="2"/>
      <c r="U273" s="2"/>
    </row>
    <row r="274" ht="15.75" customHeight="1">
      <c r="A274" s="1"/>
      <c r="B274" s="1"/>
      <c r="R274" s="2"/>
      <c r="S274" s="2"/>
      <c r="T274" s="2"/>
      <c r="U274" s="2"/>
    </row>
    <row r="275" ht="15.75" customHeight="1">
      <c r="A275" s="1"/>
      <c r="B275" s="1"/>
      <c r="R275" s="2"/>
      <c r="S275" s="2"/>
      <c r="T275" s="2"/>
      <c r="U275" s="2"/>
    </row>
    <row r="276" ht="15.75" customHeight="1">
      <c r="A276" s="1"/>
      <c r="B276" s="1"/>
      <c r="R276" s="2"/>
      <c r="S276" s="2"/>
      <c r="T276" s="2"/>
      <c r="U276" s="2"/>
    </row>
    <row r="277" ht="15.75" customHeight="1">
      <c r="A277" s="1"/>
      <c r="B277" s="1"/>
      <c r="R277" s="2"/>
      <c r="S277" s="2"/>
      <c r="T277" s="2"/>
      <c r="U277" s="2"/>
    </row>
    <row r="278" ht="15.75" customHeight="1">
      <c r="A278" s="1"/>
      <c r="B278" s="1"/>
      <c r="R278" s="2"/>
      <c r="S278" s="2"/>
      <c r="T278" s="2"/>
      <c r="U278" s="2"/>
    </row>
    <row r="279" ht="15.75" customHeight="1">
      <c r="A279" s="1"/>
      <c r="B279" s="1"/>
      <c r="R279" s="2"/>
      <c r="S279" s="2"/>
      <c r="T279" s="2"/>
      <c r="U279" s="2"/>
    </row>
    <row r="280" ht="15.75" customHeight="1">
      <c r="A280" s="1"/>
      <c r="B280" s="1"/>
      <c r="R280" s="2"/>
      <c r="S280" s="2"/>
      <c r="T280" s="2"/>
      <c r="U280" s="2"/>
    </row>
    <row r="281" ht="15.75" customHeight="1">
      <c r="A281" s="1"/>
      <c r="B281" s="1"/>
      <c r="R281" s="2"/>
      <c r="S281" s="2"/>
      <c r="T281" s="2"/>
      <c r="U281" s="2"/>
    </row>
    <row r="282" ht="15.75" customHeight="1">
      <c r="A282" s="1"/>
      <c r="B282" s="1"/>
      <c r="R282" s="2"/>
      <c r="S282" s="2"/>
      <c r="T282" s="2"/>
      <c r="U282" s="2"/>
    </row>
    <row r="283" ht="15.75" customHeight="1">
      <c r="A283" s="1"/>
      <c r="B283" s="1"/>
      <c r="R283" s="2"/>
      <c r="S283" s="2"/>
      <c r="T283" s="2"/>
      <c r="U283" s="2"/>
    </row>
    <row r="284" ht="15.75" customHeight="1">
      <c r="A284" s="1"/>
      <c r="B284" s="1"/>
      <c r="R284" s="2"/>
      <c r="S284" s="2"/>
      <c r="T284" s="2"/>
      <c r="U284" s="2"/>
    </row>
    <row r="285" ht="15.75" customHeight="1">
      <c r="A285" s="1"/>
      <c r="B285" s="1"/>
      <c r="R285" s="2"/>
      <c r="S285" s="2"/>
      <c r="T285" s="2"/>
      <c r="U285" s="2"/>
    </row>
    <row r="286" ht="15.75" customHeight="1">
      <c r="A286" s="1"/>
      <c r="B286" s="1"/>
      <c r="R286" s="2"/>
      <c r="S286" s="2"/>
      <c r="T286" s="2"/>
      <c r="U286" s="2"/>
    </row>
    <row r="287" ht="15.75" customHeight="1">
      <c r="A287" s="1"/>
      <c r="B287" s="1"/>
      <c r="R287" s="2"/>
      <c r="S287" s="2"/>
      <c r="T287" s="2"/>
      <c r="U287" s="2"/>
    </row>
    <row r="288" ht="15.75" customHeight="1">
      <c r="A288" s="1"/>
      <c r="B288" s="1"/>
      <c r="R288" s="2"/>
      <c r="S288" s="2"/>
      <c r="T288" s="2"/>
      <c r="U288" s="2"/>
    </row>
    <row r="289" ht="15.75" customHeight="1">
      <c r="A289" s="1"/>
      <c r="B289" s="1"/>
      <c r="R289" s="2"/>
      <c r="S289" s="2"/>
      <c r="T289" s="2"/>
      <c r="U289" s="2"/>
    </row>
    <row r="290" ht="15.75" customHeight="1">
      <c r="A290" s="1"/>
      <c r="B290" s="1"/>
      <c r="R290" s="2"/>
      <c r="S290" s="2"/>
      <c r="T290" s="2"/>
      <c r="U290" s="2"/>
    </row>
    <row r="291" ht="15.75" customHeight="1">
      <c r="A291" s="1"/>
      <c r="B291" s="1"/>
      <c r="R291" s="2"/>
      <c r="S291" s="2"/>
      <c r="T291" s="2"/>
      <c r="U291" s="2"/>
    </row>
    <row r="292" ht="15.75" customHeight="1">
      <c r="A292" s="1"/>
      <c r="B292" s="1"/>
      <c r="R292" s="2"/>
      <c r="S292" s="2"/>
      <c r="T292" s="2"/>
      <c r="U292" s="2"/>
    </row>
    <row r="293" ht="15.75" customHeight="1">
      <c r="A293" s="1"/>
      <c r="B293" s="1"/>
      <c r="R293" s="2"/>
      <c r="S293" s="2"/>
      <c r="T293" s="2"/>
      <c r="U293" s="2"/>
    </row>
    <row r="294" ht="15.75" customHeight="1">
      <c r="A294" s="1"/>
      <c r="B294" s="1"/>
      <c r="R294" s="2"/>
      <c r="S294" s="2"/>
      <c r="T294" s="2"/>
      <c r="U294" s="2"/>
    </row>
    <row r="295" ht="15.75" customHeight="1">
      <c r="A295" s="1"/>
      <c r="B295" s="1"/>
      <c r="R295" s="2"/>
      <c r="S295" s="2"/>
      <c r="T295" s="2"/>
      <c r="U295" s="2"/>
    </row>
    <row r="296" ht="15.75" customHeight="1">
      <c r="A296" s="1"/>
      <c r="B296" s="1"/>
      <c r="R296" s="2"/>
      <c r="S296" s="2"/>
      <c r="T296" s="2"/>
      <c r="U296" s="2"/>
    </row>
    <row r="297" ht="15.75" customHeight="1">
      <c r="A297" s="1"/>
      <c r="B297" s="1"/>
      <c r="R297" s="2"/>
      <c r="S297" s="2"/>
      <c r="T297" s="2"/>
      <c r="U297" s="2"/>
    </row>
    <row r="298" ht="15.75" customHeight="1">
      <c r="A298" s="1"/>
      <c r="B298" s="1"/>
      <c r="R298" s="2"/>
      <c r="S298" s="2"/>
      <c r="T298" s="2"/>
      <c r="U298" s="2"/>
    </row>
    <row r="299" ht="15.75" customHeight="1">
      <c r="A299" s="1"/>
      <c r="B299" s="1"/>
      <c r="R299" s="2"/>
      <c r="S299" s="2"/>
      <c r="T299" s="2"/>
      <c r="U299" s="2"/>
    </row>
    <row r="300" ht="15.75" customHeight="1">
      <c r="A300" s="1"/>
      <c r="B300" s="1"/>
      <c r="R300" s="2"/>
      <c r="S300" s="2"/>
      <c r="T300" s="2"/>
      <c r="U300" s="2"/>
    </row>
    <row r="301" ht="15.75" customHeight="1">
      <c r="A301" s="1"/>
      <c r="B301" s="1"/>
      <c r="R301" s="2"/>
      <c r="S301" s="2"/>
      <c r="T301" s="2"/>
      <c r="U301" s="2"/>
    </row>
    <row r="302" ht="15.75" customHeight="1">
      <c r="A302" s="1"/>
      <c r="B302" s="1"/>
      <c r="R302" s="2"/>
      <c r="S302" s="2"/>
      <c r="T302" s="2"/>
      <c r="U302" s="2"/>
    </row>
    <row r="303" ht="15.75" customHeight="1">
      <c r="A303" s="1"/>
      <c r="B303" s="1"/>
      <c r="R303" s="2"/>
      <c r="S303" s="2"/>
      <c r="T303" s="2"/>
      <c r="U303" s="2"/>
    </row>
    <row r="304" ht="15.75" customHeight="1">
      <c r="A304" s="1"/>
      <c r="B304" s="1"/>
      <c r="R304" s="2"/>
      <c r="S304" s="2"/>
      <c r="T304" s="2"/>
      <c r="U304" s="2"/>
    </row>
    <row r="305" ht="15.75" customHeight="1">
      <c r="A305" s="1"/>
      <c r="B305" s="1"/>
      <c r="R305" s="2"/>
      <c r="S305" s="2"/>
      <c r="T305" s="2"/>
      <c r="U305" s="2"/>
    </row>
    <row r="306" ht="15.75" customHeight="1">
      <c r="A306" s="1"/>
      <c r="B306" s="1"/>
      <c r="R306" s="2"/>
      <c r="S306" s="2"/>
      <c r="T306" s="2"/>
      <c r="U306" s="2"/>
    </row>
    <row r="307" ht="15.75" customHeight="1">
      <c r="A307" s="1"/>
      <c r="B307" s="1"/>
      <c r="R307" s="2"/>
      <c r="S307" s="2"/>
      <c r="T307" s="2"/>
      <c r="U307" s="2"/>
    </row>
    <row r="308" ht="15.75" customHeight="1">
      <c r="A308" s="1"/>
      <c r="B308" s="1"/>
      <c r="R308" s="2"/>
      <c r="S308" s="2"/>
      <c r="T308" s="2"/>
      <c r="U308" s="2"/>
    </row>
    <row r="309" ht="15.75" customHeight="1">
      <c r="A309" s="1"/>
      <c r="B309" s="1"/>
      <c r="R309" s="2"/>
      <c r="S309" s="2"/>
      <c r="T309" s="2"/>
      <c r="U309" s="2"/>
    </row>
    <row r="310" ht="15.75" customHeight="1">
      <c r="A310" s="1"/>
      <c r="B310" s="1"/>
      <c r="R310" s="2"/>
      <c r="S310" s="2"/>
      <c r="T310" s="2"/>
      <c r="U310" s="2"/>
    </row>
    <row r="311" ht="15.75" customHeight="1">
      <c r="A311" s="1"/>
      <c r="B311" s="1"/>
      <c r="R311" s="2"/>
      <c r="S311" s="2"/>
      <c r="T311" s="2"/>
      <c r="U311" s="2"/>
    </row>
    <row r="312" ht="15.75" customHeight="1">
      <c r="A312" s="1"/>
      <c r="B312" s="1"/>
      <c r="R312" s="2"/>
      <c r="S312" s="2"/>
      <c r="T312" s="2"/>
      <c r="U312" s="2"/>
    </row>
    <row r="313" ht="15.75" customHeight="1">
      <c r="A313" s="1"/>
      <c r="B313" s="1"/>
      <c r="R313" s="2"/>
      <c r="S313" s="2"/>
      <c r="T313" s="2"/>
      <c r="U313" s="2"/>
    </row>
    <row r="314" ht="15.75" customHeight="1">
      <c r="A314" s="1"/>
      <c r="B314" s="1"/>
      <c r="R314" s="2"/>
      <c r="S314" s="2"/>
      <c r="T314" s="2"/>
      <c r="U314" s="2"/>
    </row>
    <row r="315" ht="15.75" customHeight="1">
      <c r="A315" s="1"/>
      <c r="B315" s="1"/>
      <c r="R315" s="2"/>
      <c r="S315" s="2"/>
      <c r="T315" s="2"/>
      <c r="U315" s="2"/>
    </row>
    <row r="316" ht="15.75" customHeight="1">
      <c r="A316" s="1"/>
      <c r="B316" s="1"/>
      <c r="R316" s="2"/>
      <c r="S316" s="2"/>
      <c r="T316" s="2"/>
      <c r="U316" s="2"/>
    </row>
    <row r="317" ht="15.75" customHeight="1">
      <c r="A317" s="1"/>
      <c r="B317" s="1"/>
      <c r="R317" s="2"/>
      <c r="S317" s="2"/>
      <c r="T317" s="2"/>
      <c r="U317" s="2"/>
    </row>
    <row r="318" ht="15.75" customHeight="1">
      <c r="A318" s="1"/>
      <c r="B318" s="1"/>
      <c r="R318" s="2"/>
      <c r="S318" s="2"/>
      <c r="T318" s="2"/>
      <c r="U318" s="2"/>
    </row>
    <row r="319" ht="15.75" customHeight="1">
      <c r="A319" s="1"/>
      <c r="B319" s="1"/>
      <c r="R319" s="2"/>
      <c r="S319" s="2"/>
      <c r="T319" s="2"/>
      <c r="U319" s="2"/>
    </row>
    <row r="320" ht="15.75" customHeight="1">
      <c r="A320" s="1"/>
      <c r="B320" s="1"/>
      <c r="R320" s="2"/>
      <c r="S320" s="2"/>
      <c r="T320" s="2"/>
      <c r="U320" s="2"/>
    </row>
    <row r="321" ht="15.75" customHeight="1">
      <c r="A321" s="1"/>
      <c r="B321" s="1"/>
      <c r="R321" s="2"/>
      <c r="S321" s="2"/>
      <c r="T321" s="2"/>
      <c r="U321" s="2"/>
    </row>
    <row r="322" ht="15.75" customHeight="1">
      <c r="A322" s="1"/>
      <c r="B322" s="1"/>
      <c r="R322" s="2"/>
      <c r="S322" s="2"/>
      <c r="T322" s="2"/>
      <c r="U322" s="2"/>
    </row>
    <row r="323" ht="15.75" customHeight="1">
      <c r="A323" s="1"/>
      <c r="B323" s="1"/>
      <c r="R323" s="2"/>
      <c r="S323" s="2"/>
      <c r="T323" s="2"/>
      <c r="U323" s="2"/>
    </row>
    <row r="324" ht="15.75" customHeight="1">
      <c r="A324" s="1"/>
      <c r="B324" s="1"/>
      <c r="R324" s="2"/>
      <c r="S324" s="2"/>
      <c r="T324" s="2"/>
      <c r="U324" s="2"/>
    </row>
    <row r="325" ht="15.75" customHeight="1">
      <c r="A325" s="1"/>
      <c r="B325" s="1"/>
      <c r="R325" s="2"/>
      <c r="S325" s="2"/>
      <c r="T325" s="2"/>
      <c r="U325" s="2"/>
    </row>
    <row r="326" ht="15.75" customHeight="1">
      <c r="A326" s="1"/>
      <c r="B326" s="1"/>
      <c r="R326" s="2"/>
      <c r="S326" s="2"/>
      <c r="T326" s="2"/>
      <c r="U326" s="2"/>
    </row>
    <row r="327" ht="15.75" customHeight="1">
      <c r="A327" s="1"/>
      <c r="B327" s="1"/>
      <c r="R327" s="2"/>
      <c r="S327" s="2"/>
      <c r="T327" s="2"/>
      <c r="U327" s="2"/>
    </row>
    <row r="328" ht="15.75" customHeight="1">
      <c r="A328" s="1"/>
      <c r="B328" s="1"/>
      <c r="R328" s="2"/>
      <c r="S328" s="2"/>
      <c r="T328" s="2"/>
      <c r="U328" s="2"/>
    </row>
    <row r="329" ht="15.75" customHeight="1">
      <c r="A329" s="1"/>
      <c r="B329" s="1"/>
      <c r="R329" s="2"/>
      <c r="S329" s="2"/>
      <c r="T329" s="2"/>
      <c r="U329" s="2"/>
    </row>
    <row r="330" ht="15.75" customHeight="1">
      <c r="A330" s="1"/>
      <c r="B330" s="1"/>
      <c r="R330" s="2"/>
      <c r="S330" s="2"/>
      <c r="T330" s="2"/>
      <c r="U330" s="2"/>
    </row>
    <row r="331" ht="15.75" customHeight="1">
      <c r="A331" s="1"/>
      <c r="B331" s="1"/>
      <c r="R331" s="2"/>
      <c r="S331" s="2"/>
      <c r="T331" s="2"/>
      <c r="U331" s="2"/>
    </row>
    <row r="332" ht="15.75" customHeight="1">
      <c r="A332" s="1"/>
      <c r="B332" s="1"/>
      <c r="R332" s="2"/>
      <c r="S332" s="2"/>
      <c r="T332" s="2"/>
      <c r="U332" s="2"/>
    </row>
    <row r="333" ht="15.75" customHeight="1">
      <c r="A333" s="1"/>
      <c r="B333" s="1"/>
      <c r="R333" s="2"/>
      <c r="S333" s="2"/>
      <c r="T333" s="2"/>
      <c r="U333" s="2"/>
    </row>
    <row r="334" ht="15.75" customHeight="1">
      <c r="A334" s="1"/>
      <c r="B334" s="1"/>
      <c r="R334" s="2"/>
      <c r="S334" s="2"/>
      <c r="T334" s="2"/>
      <c r="U334" s="2"/>
    </row>
    <row r="335" ht="15.75" customHeight="1">
      <c r="A335" s="1"/>
      <c r="B335" s="1"/>
      <c r="R335" s="2"/>
      <c r="S335" s="2"/>
      <c r="T335" s="2"/>
      <c r="U335" s="2"/>
    </row>
    <row r="336" ht="15.75" customHeight="1">
      <c r="A336" s="1"/>
      <c r="B336" s="1"/>
      <c r="R336" s="2"/>
      <c r="S336" s="2"/>
      <c r="T336" s="2"/>
      <c r="U336" s="2"/>
    </row>
    <row r="337" ht="15.75" customHeight="1">
      <c r="A337" s="1"/>
      <c r="B337" s="1"/>
      <c r="R337" s="2"/>
      <c r="S337" s="2"/>
      <c r="T337" s="2"/>
      <c r="U337" s="2"/>
    </row>
    <row r="338" ht="15.75" customHeight="1">
      <c r="A338" s="1"/>
      <c r="B338" s="1"/>
      <c r="R338" s="2"/>
      <c r="S338" s="2"/>
      <c r="T338" s="2"/>
      <c r="U338" s="2"/>
    </row>
    <row r="339" ht="15.75" customHeight="1">
      <c r="A339" s="1"/>
      <c r="B339" s="1"/>
      <c r="R339" s="2"/>
      <c r="S339" s="2"/>
      <c r="T339" s="2"/>
      <c r="U339" s="2"/>
    </row>
    <row r="340" ht="15.75" customHeight="1">
      <c r="A340" s="1"/>
      <c r="B340" s="1"/>
      <c r="R340" s="2"/>
      <c r="S340" s="2"/>
      <c r="T340" s="2"/>
      <c r="U340" s="2"/>
    </row>
    <row r="341" ht="15.75" customHeight="1">
      <c r="A341" s="1"/>
      <c r="B341" s="1"/>
      <c r="R341" s="2"/>
      <c r="S341" s="2"/>
      <c r="T341" s="2"/>
      <c r="U341" s="2"/>
    </row>
    <row r="342" ht="15.75" customHeight="1">
      <c r="A342" s="1"/>
      <c r="B342" s="1"/>
      <c r="R342" s="2"/>
      <c r="S342" s="2"/>
      <c r="T342" s="2"/>
      <c r="U342" s="2"/>
    </row>
    <row r="343" ht="15.75" customHeight="1">
      <c r="A343" s="1"/>
      <c r="B343" s="1"/>
      <c r="R343" s="2"/>
      <c r="S343" s="2"/>
      <c r="T343" s="2"/>
      <c r="U343" s="2"/>
    </row>
    <row r="344" ht="15.75" customHeight="1">
      <c r="A344" s="1"/>
      <c r="B344" s="1"/>
      <c r="R344" s="2"/>
      <c r="S344" s="2"/>
      <c r="T344" s="2"/>
      <c r="U344" s="2"/>
    </row>
    <row r="345" ht="15.75" customHeight="1">
      <c r="A345" s="1"/>
      <c r="B345" s="1"/>
      <c r="R345" s="2"/>
      <c r="S345" s="2"/>
      <c r="T345" s="2"/>
      <c r="U345" s="2"/>
    </row>
    <row r="346" ht="15.75" customHeight="1">
      <c r="A346" s="1"/>
      <c r="B346" s="1"/>
      <c r="R346" s="2"/>
      <c r="S346" s="2"/>
      <c r="T346" s="2"/>
      <c r="U346" s="2"/>
    </row>
    <row r="347" ht="15.75" customHeight="1">
      <c r="A347" s="1"/>
      <c r="B347" s="1"/>
      <c r="R347" s="2"/>
      <c r="S347" s="2"/>
      <c r="T347" s="2"/>
      <c r="U347" s="2"/>
    </row>
    <row r="348" ht="15.75" customHeight="1">
      <c r="A348" s="1"/>
      <c r="B348" s="1"/>
      <c r="R348" s="2"/>
      <c r="S348" s="2"/>
      <c r="T348" s="2"/>
      <c r="U348" s="2"/>
    </row>
    <row r="349" ht="15.75" customHeight="1">
      <c r="A349" s="1"/>
      <c r="B349" s="1"/>
      <c r="R349" s="2"/>
      <c r="S349" s="2"/>
      <c r="T349" s="2"/>
      <c r="U349" s="2"/>
    </row>
    <row r="350" ht="15.75" customHeight="1">
      <c r="A350" s="1"/>
      <c r="B350" s="1"/>
      <c r="R350" s="2"/>
      <c r="S350" s="2"/>
      <c r="T350" s="2"/>
      <c r="U350" s="2"/>
    </row>
    <row r="351" ht="15.75" customHeight="1">
      <c r="A351" s="1"/>
      <c r="B351" s="1"/>
      <c r="R351" s="2"/>
      <c r="S351" s="2"/>
      <c r="T351" s="2"/>
      <c r="U351" s="2"/>
    </row>
    <row r="352" ht="15.75" customHeight="1">
      <c r="A352" s="1"/>
      <c r="B352" s="1"/>
      <c r="R352" s="2"/>
      <c r="S352" s="2"/>
      <c r="T352" s="2"/>
      <c r="U352" s="2"/>
    </row>
    <row r="353" ht="15.75" customHeight="1">
      <c r="A353" s="1"/>
      <c r="B353" s="1"/>
      <c r="R353" s="2"/>
      <c r="S353" s="2"/>
      <c r="T353" s="2"/>
      <c r="U353" s="2"/>
    </row>
    <row r="354" ht="15.75" customHeight="1">
      <c r="A354" s="1"/>
      <c r="B354" s="1"/>
      <c r="R354" s="2"/>
      <c r="S354" s="2"/>
      <c r="T354" s="2"/>
      <c r="U354" s="2"/>
    </row>
    <row r="355" ht="15.75" customHeight="1">
      <c r="A355" s="1"/>
      <c r="B355" s="1"/>
      <c r="R355" s="2"/>
      <c r="S355" s="2"/>
      <c r="T355" s="2"/>
      <c r="U355" s="2"/>
    </row>
    <row r="356" ht="15.75" customHeight="1">
      <c r="A356" s="1"/>
      <c r="B356" s="1"/>
      <c r="R356" s="2"/>
      <c r="S356" s="2"/>
      <c r="T356" s="2"/>
      <c r="U356" s="2"/>
    </row>
    <row r="357" ht="15.75" customHeight="1">
      <c r="A357" s="1"/>
      <c r="B357" s="1"/>
      <c r="R357" s="2"/>
      <c r="S357" s="2"/>
      <c r="T357" s="2"/>
      <c r="U357" s="2"/>
    </row>
    <row r="358" ht="15.75" customHeight="1">
      <c r="A358" s="1"/>
      <c r="B358" s="1"/>
      <c r="R358" s="2"/>
      <c r="S358" s="2"/>
      <c r="T358" s="2"/>
      <c r="U358" s="2"/>
    </row>
    <row r="359" ht="15.75" customHeight="1">
      <c r="A359" s="1"/>
      <c r="B359" s="1"/>
      <c r="R359" s="2"/>
      <c r="S359" s="2"/>
      <c r="T359" s="2"/>
      <c r="U359" s="2"/>
    </row>
    <row r="360" ht="15.75" customHeight="1">
      <c r="A360" s="1"/>
      <c r="B360" s="1"/>
      <c r="R360" s="2"/>
      <c r="S360" s="2"/>
      <c r="T360" s="2"/>
      <c r="U360" s="2"/>
    </row>
    <row r="361" ht="15.75" customHeight="1">
      <c r="A361" s="1"/>
      <c r="B361" s="1"/>
      <c r="R361" s="2"/>
      <c r="S361" s="2"/>
      <c r="T361" s="2"/>
      <c r="U361" s="2"/>
    </row>
    <row r="362" ht="15.75" customHeight="1">
      <c r="A362" s="1"/>
      <c r="B362" s="1"/>
      <c r="R362" s="2"/>
      <c r="S362" s="2"/>
      <c r="T362" s="2"/>
      <c r="U362" s="2"/>
    </row>
    <row r="363" ht="15.75" customHeight="1">
      <c r="A363" s="1"/>
      <c r="B363" s="1"/>
      <c r="R363" s="2"/>
      <c r="S363" s="2"/>
      <c r="T363" s="2"/>
      <c r="U363" s="2"/>
    </row>
    <row r="364" ht="15.75" customHeight="1">
      <c r="A364" s="1"/>
      <c r="B364" s="1"/>
      <c r="R364" s="2"/>
      <c r="S364" s="2"/>
      <c r="T364" s="2"/>
      <c r="U364" s="2"/>
    </row>
    <row r="365" ht="15.75" customHeight="1">
      <c r="A365" s="1"/>
      <c r="B365" s="1"/>
      <c r="R365" s="2"/>
      <c r="S365" s="2"/>
      <c r="T365" s="2"/>
      <c r="U365" s="2"/>
    </row>
    <row r="366" ht="15.75" customHeight="1">
      <c r="A366" s="1"/>
      <c r="B366" s="1"/>
      <c r="R366" s="2"/>
      <c r="S366" s="2"/>
      <c r="T366" s="2"/>
      <c r="U366" s="2"/>
    </row>
    <row r="367" ht="15.75" customHeight="1">
      <c r="A367" s="1"/>
      <c r="B367" s="1"/>
      <c r="R367" s="2"/>
      <c r="S367" s="2"/>
      <c r="T367" s="2"/>
      <c r="U367" s="2"/>
    </row>
    <row r="368" ht="15.75" customHeight="1">
      <c r="A368" s="1"/>
      <c r="B368" s="1"/>
      <c r="R368" s="2"/>
      <c r="S368" s="2"/>
      <c r="T368" s="2"/>
      <c r="U368" s="2"/>
    </row>
    <row r="369" ht="15.75" customHeight="1">
      <c r="A369" s="1"/>
      <c r="B369" s="1"/>
      <c r="R369" s="2"/>
      <c r="S369" s="2"/>
      <c r="T369" s="2"/>
      <c r="U369" s="2"/>
    </row>
    <row r="370" ht="15.75" customHeight="1">
      <c r="A370" s="1"/>
      <c r="B370" s="1"/>
      <c r="R370" s="2"/>
      <c r="S370" s="2"/>
      <c r="T370" s="2"/>
      <c r="U370" s="2"/>
    </row>
    <row r="371" ht="15.75" customHeight="1">
      <c r="A371" s="1"/>
      <c r="B371" s="1"/>
      <c r="R371" s="2"/>
      <c r="S371" s="2"/>
      <c r="T371" s="2"/>
      <c r="U371" s="2"/>
    </row>
    <row r="372" ht="15.75" customHeight="1">
      <c r="A372" s="1"/>
      <c r="B372" s="1"/>
      <c r="R372" s="2"/>
      <c r="S372" s="2"/>
      <c r="T372" s="2"/>
      <c r="U372" s="2"/>
    </row>
    <row r="373" ht="15.75" customHeight="1">
      <c r="A373" s="1"/>
      <c r="B373" s="1"/>
      <c r="R373" s="2"/>
      <c r="S373" s="2"/>
      <c r="T373" s="2"/>
      <c r="U373" s="2"/>
    </row>
    <row r="374" ht="15.75" customHeight="1">
      <c r="A374" s="1"/>
      <c r="B374" s="1"/>
      <c r="R374" s="2"/>
      <c r="S374" s="2"/>
      <c r="T374" s="2"/>
      <c r="U374" s="2"/>
    </row>
    <row r="375" ht="15.75" customHeight="1">
      <c r="A375" s="1"/>
      <c r="B375" s="1"/>
      <c r="R375" s="2"/>
      <c r="S375" s="2"/>
      <c r="T375" s="2"/>
      <c r="U375" s="2"/>
    </row>
    <row r="376" ht="15.75" customHeight="1">
      <c r="A376" s="1"/>
      <c r="B376" s="1"/>
      <c r="R376" s="2"/>
      <c r="S376" s="2"/>
      <c r="T376" s="2"/>
      <c r="U376" s="2"/>
    </row>
    <row r="377" ht="15.75" customHeight="1">
      <c r="A377" s="1"/>
      <c r="B377" s="1"/>
      <c r="R377" s="2"/>
      <c r="S377" s="2"/>
      <c r="T377" s="2"/>
      <c r="U377" s="2"/>
    </row>
    <row r="378" ht="15.75" customHeight="1">
      <c r="A378" s="1"/>
      <c r="B378" s="1"/>
      <c r="R378" s="2"/>
      <c r="S378" s="2"/>
      <c r="T378" s="2"/>
      <c r="U378" s="2"/>
    </row>
    <row r="379" ht="15.75" customHeight="1">
      <c r="A379" s="1"/>
      <c r="B379" s="1"/>
      <c r="R379" s="2"/>
      <c r="S379" s="2"/>
      <c r="T379" s="2"/>
      <c r="U379" s="2"/>
    </row>
    <row r="380" ht="15.75" customHeight="1">
      <c r="A380" s="1"/>
      <c r="B380" s="1"/>
      <c r="R380" s="2"/>
      <c r="S380" s="2"/>
      <c r="T380" s="2"/>
      <c r="U380" s="2"/>
    </row>
    <row r="381" ht="15.75" customHeight="1">
      <c r="A381" s="1"/>
      <c r="B381" s="1"/>
      <c r="R381" s="2"/>
      <c r="S381" s="2"/>
      <c r="T381" s="2"/>
      <c r="U381" s="2"/>
    </row>
    <row r="382" ht="15.75" customHeight="1">
      <c r="A382" s="1"/>
      <c r="B382" s="1"/>
      <c r="R382" s="2"/>
      <c r="S382" s="2"/>
      <c r="T382" s="2"/>
      <c r="U382" s="2"/>
    </row>
    <row r="383" ht="15.75" customHeight="1">
      <c r="A383" s="1"/>
      <c r="B383" s="1"/>
      <c r="R383" s="2"/>
      <c r="S383" s="2"/>
      <c r="T383" s="2"/>
      <c r="U383" s="2"/>
    </row>
    <row r="384" ht="15.75" customHeight="1">
      <c r="A384" s="1"/>
      <c r="B384" s="1"/>
      <c r="R384" s="2"/>
      <c r="S384" s="2"/>
      <c r="T384" s="2"/>
      <c r="U384" s="2"/>
    </row>
    <row r="385" ht="15.75" customHeight="1">
      <c r="A385" s="1"/>
      <c r="B385" s="1"/>
      <c r="R385" s="2"/>
      <c r="S385" s="2"/>
      <c r="T385" s="2"/>
      <c r="U385" s="2"/>
    </row>
    <row r="386" ht="15.75" customHeight="1">
      <c r="A386" s="1"/>
      <c r="B386" s="1"/>
      <c r="R386" s="2"/>
      <c r="S386" s="2"/>
      <c r="T386" s="2"/>
      <c r="U386" s="2"/>
    </row>
    <row r="387" ht="15.75" customHeight="1">
      <c r="A387" s="1"/>
      <c r="B387" s="1"/>
      <c r="R387" s="2"/>
      <c r="S387" s="2"/>
      <c r="T387" s="2"/>
      <c r="U387" s="2"/>
    </row>
    <row r="388" ht="15.75" customHeight="1">
      <c r="A388" s="1"/>
      <c r="B388" s="1"/>
      <c r="R388" s="2"/>
      <c r="S388" s="2"/>
      <c r="T388" s="2"/>
      <c r="U388" s="2"/>
    </row>
    <row r="389" ht="15.75" customHeight="1">
      <c r="A389" s="1"/>
      <c r="B389" s="1"/>
      <c r="R389" s="2"/>
      <c r="S389" s="2"/>
      <c r="T389" s="2"/>
      <c r="U389" s="2"/>
    </row>
    <row r="390" ht="15.75" customHeight="1">
      <c r="A390" s="1"/>
      <c r="B390" s="1"/>
      <c r="R390" s="2"/>
      <c r="S390" s="2"/>
      <c r="T390" s="2"/>
      <c r="U390" s="2"/>
    </row>
    <row r="391" ht="15.75" customHeight="1">
      <c r="A391" s="1"/>
      <c r="B391" s="1"/>
      <c r="R391" s="2"/>
      <c r="S391" s="2"/>
      <c r="T391" s="2"/>
      <c r="U391" s="2"/>
    </row>
    <row r="392" ht="15.75" customHeight="1">
      <c r="A392" s="1"/>
      <c r="B392" s="1"/>
      <c r="R392" s="2"/>
      <c r="S392" s="2"/>
      <c r="T392" s="2"/>
      <c r="U392" s="2"/>
    </row>
    <row r="393" ht="15.75" customHeight="1">
      <c r="A393" s="1"/>
      <c r="B393" s="1"/>
      <c r="R393" s="2"/>
      <c r="S393" s="2"/>
      <c r="T393" s="2"/>
      <c r="U393" s="2"/>
    </row>
    <row r="394" ht="15.75" customHeight="1">
      <c r="A394" s="1"/>
      <c r="B394" s="1"/>
      <c r="R394" s="2"/>
      <c r="S394" s="2"/>
      <c r="T394" s="2"/>
      <c r="U394" s="2"/>
    </row>
    <row r="395" ht="15.75" customHeight="1">
      <c r="A395" s="1"/>
      <c r="B395" s="1"/>
      <c r="R395" s="2"/>
      <c r="S395" s="2"/>
      <c r="T395" s="2"/>
      <c r="U395" s="2"/>
    </row>
    <row r="396" ht="15.75" customHeight="1">
      <c r="A396" s="1"/>
      <c r="B396" s="1"/>
      <c r="R396" s="2"/>
      <c r="S396" s="2"/>
      <c r="T396" s="2"/>
      <c r="U396" s="2"/>
    </row>
    <row r="397" ht="15.75" customHeight="1">
      <c r="A397" s="1"/>
      <c r="B397" s="1"/>
      <c r="R397" s="2"/>
      <c r="S397" s="2"/>
      <c r="T397" s="2"/>
      <c r="U397" s="2"/>
    </row>
    <row r="398" ht="15.75" customHeight="1">
      <c r="A398" s="1"/>
      <c r="B398" s="1"/>
      <c r="R398" s="2"/>
      <c r="S398" s="2"/>
      <c r="T398" s="2"/>
      <c r="U398" s="2"/>
    </row>
    <row r="399" ht="15.75" customHeight="1">
      <c r="A399" s="1"/>
      <c r="B399" s="1"/>
      <c r="R399" s="2"/>
      <c r="S399" s="2"/>
      <c r="T399" s="2"/>
      <c r="U399" s="2"/>
    </row>
    <row r="400" ht="15.75" customHeight="1">
      <c r="A400" s="1"/>
      <c r="B400" s="1"/>
      <c r="R400" s="2"/>
      <c r="S400" s="2"/>
      <c r="T400" s="2"/>
      <c r="U400" s="2"/>
    </row>
    <row r="401" ht="15.75" customHeight="1">
      <c r="A401" s="1"/>
      <c r="B401" s="1"/>
      <c r="R401" s="2"/>
      <c r="S401" s="2"/>
      <c r="T401" s="2"/>
      <c r="U401" s="2"/>
    </row>
    <row r="402" ht="15.75" customHeight="1">
      <c r="A402" s="1"/>
      <c r="B402" s="1"/>
      <c r="R402" s="2"/>
      <c r="S402" s="2"/>
      <c r="T402" s="2"/>
      <c r="U402" s="2"/>
    </row>
    <row r="403" ht="15.75" customHeight="1">
      <c r="A403" s="1"/>
      <c r="B403" s="1"/>
      <c r="R403" s="2"/>
      <c r="S403" s="2"/>
      <c r="T403" s="2"/>
      <c r="U403" s="2"/>
    </row>
    <row r="404" ht="15.75" customHeight="1">
      <c r="A404" s="1"/>
      <c r="B404" s="1"/>
      <c r="R404" s="2"/>
      <c r="S404" s="2"/>
      <c r="T404" s="2"/>
      <c r="U404" s="2"/>
    </row>
    <row r="405" ht="15.75" customHeight="1">
      <c r="A405" s="1"/>
      <c r="B405" s="1"/>
      <c r="R405" s="2"/>
      <c r="S405" s="2"/>
      <c r="T405" s="2"/>
      <c r="U405" s="2"/>
    </row>
    <row r="406" ht="15.75" customHeight="1">
      <c r="A406" s="1"/>
      <c r="B406" s="1"/>
      <c r="R406" s="2"/>
      <c r="S406" s="2"/>
      <c r="T406" s="2"/>
      <c r="U406" s="2"/>
    </row>
    <row r="407" ht="15.75" customHeight="1">
      <c r="A407" s="1"/>
      <c r="B407" s="1"/>
      <c r="R407" s="2"/>
      <c r="S407" s="2"/>
      <c r="T407" s="2"/>
      <c r="U407" s="2"/>
    </row>
    <row r="408" ht="15.75" customHeight="1">
      <c r="A408" s="1"/>
      <c r="B408" s="1"/>
      <c r="R408" s="2"/>
      <c r="S408" s="2"/>
      <c r="T408" s="2"/>
      <c r="U408" s="2"/>
    </row>
    <row r="409" ht="15.75" customHeight="1">
      <c r="A409" s="1"/>
      <c r="B409" s="1"/>
      <c r="R409" s="2"/>
      <c r="S409" s="2"/>
      <c r="T409" s="2"/>
      <c r="U409" s="2"/>
    </row>
    <row r="410" ht="15.75" customHeight="1">
      <c r="A410" s="1"/>
      <c r="B410" s="1"/>
      <c r="R410" s="2"/>
      <c r="S410" s="2"/>
      <c r="T410" s="2"/>
      <c r="U410" s="2"/>
    </row>
    <row r="411" ht="15.75" customHeight="1">
      <c r="A411" s="1"/>
      <c r="B411" s="1"/>
      <c r="R411" s="2"/>
      <c r="S411" s="2"/>
      <c r="T411" s="2"/>
      <c r="U411" s="2"/>
    </row>
    <row r="412" ht="15.75" customHeight="1">
      <c r="A412" s="1"/>
      <c r="B412" s="1"/>
      <c r="R412" s="2"/>
      <c r="S412" s="2"/>
      <c r="T412" s="2"/>
      <c r="U412" s="2"/>
    </row>
    <row r="413" ht="15.75" customHeight="1">
      <c r="A413" s="1"/>
      <c r="B413" s="1"/>
      <c r="R413" s="2"/>
      <c r="S413" s="2"/>
      <c r="T413" s="2"/>
      <c r="U413" s="2"/>
    </row>
    <row r="414" ht="15.75" customHeight="1">
      <c r="A414" s="1"/>
      <c r="B414" s="1"/>
      <c r="R414" s="2"/>
      <c r="S414" s="2"/>
      <c r="T414" s="2"/>
      <c r="U414" s="2"/>
    </row>
    <row r="415" ht="15.75" customHeight="1">
      <c r="A415" s="1"/>
      <c r="B415" s="1"/>
      <c r="R415" s="2"/>
      <c r="S415" s="2"/>
      <c r="T415" s="2"/>
      <c r="U415" s="2"/>
    </row>
    <row r="416" ht="15.75" customHeight="1">
      <c r="A416" s="1"/>
      <c r="B416" s="1"/>
      <c r="R416" s="2"/>
      <c r="S416" s="2"/>
      <c r="T416" s="2"/>
      <c r="U416" s="2"/>
    </row>
    <row r="417" ht="15.75" customHeight="1">
      <c r="A417" s="1"/>
      <c r="B417" s="1"/>
      <c r="R417" s="2"/>
      <c r="S417" s="2"/>
      <c r="T417" s="2"/>
      <c r="U417" s="2"/>
    </row>
    <row r="418" ht="15.75" customHeight="1">
      <c r="A418" s="1"/>
      <c r="B418" s="1"/>
      <c r="R418" s="2"/>
      <c r="S418" s="2"/>
      <c r="T418" s="2"/>
      <c r="U418" s="2"/>
    </row>
    <row r="419" ht="15.75" customHeight="1">
      <c r="A419" s="1"/>
      <c r="B419" s="1"/>
      <c r="R419" s="2"/>
      <c r="S419" s="2"/>
      <c r="T419" s="2"/>
      <c r="U419" s="2"/>
    </row>
    <row r="420" ht="15.75" customHeight="1">
      <c r="A420" s="1"/>
      <c r="B420" s="1"/>
      <c r="R420" s="2"/>
      <c r="S420" s="2"/>
      <c r="T420" s="2"/>
      <c r="U420" s="2"/>
    </row>
    <row r="421" ht="15.75" customHeight="1">
      <c r="A421" s="1"/>
      <c r="B421" s="1"/>
      <c r="R421" s="2"/>
      <c r="S421" s="2"/>
      <c r="T421" s="2"/>
      <c r="U421" s="2"/>
    </row>
    <row r="422" ht="15.75" customHeight="1">
      <c r="A422" s="1"/>
      <c r="B422" s="1"/>
      <c r="R422" s="2"/>
      <c r="S422" s="2"/>
      <c r="T422" s="2"/>
      <c r="U422" s="2"/>
    </row>
    <row r="423" ht="15.75" customHeight="1">
      <c r="A423" s="1"/>
      <c r="B423" s="1"/>
      <c r="R423" s="2"/>
      <c r="S423" s="2"/>
      <c r="T423" s="2"/>
      <c r="U423" s="2"/>
    </row>
    <row r="424" ht="15.75" customHeight="1">
      <c r="A424" s="1"/>
      <c r="B424" s="1"/>
      <c r="R424" s="2"/>
      <c r="S424" s="2"/>
      <c r="T424" s="2"/>
      <c r="U424" s="2"/>
    </row>
    <row r="425" ht="15.75" customHeight="1">
      <c r="A425" s="1"/>
      <c r="B425" s="1"/>
      <c r="R425" s="2"/>
      <c r="S425" s="2"/>
      <c r="T425" s="2"/>
      <c r="U425" s="2"/>
    </row>
    <row r="426" ht="15.75" customHeight="1">
      <c r="A426" s="1"/>
      <c r="B426" s="1"/>
      <c r="R426" s="2"/>
      <c r="S426" s="2"/>
      <c r="T426" s="2"/>
      <c r="U426" s="2"/>
    </row>
    <row r="427" ht="15.75" customHeight="1">
      <c r="A427" s="1"/>
      <c r="B427" s="1"/>
      <c r="R427" s="2"/>
      <c r="S427" s="2"/>
      <c r="T427" s="2"/>
      <c r="U427" s="2"/>
    </row>
    <row r="428" ht="15.75" customHeight="1">
      <c r="A428" s="1"/>
      <c r="B428" s="1"/>
      <c r="R428" s="2"/>
      <c r="S428" s="2"/>
      <c r="T428" s="2"/>
      <c r="U428" s="2"/>
    </row>
    <row r="429" ht="15.75" customHeight="1">
      <c r="A429" s="1"/>
      <c r="B429" s="1"/>
      <c r="R429" s="2"/>
      <c r="S429" s="2"/>
      <c r="T429" s="2"/>
      <c r="U429" s="2"/>
    </row>
    <row r="430" ht="15.75" customHeight="1">
      <c r="A430" s="1"/>
      <c r="B430" s="1"/>
      <c r="R430" s="2"/>
      <c r="S430" s="2"/>
      <c r="T430" s="2"/>
      <c r="U430" s="2"/>
    </row>
    <row r="431" ht="15.75" customHeight="1">
      <c r="A431" s="1"/>
      <c r="B431" s="1"/>
      <c r="R431" s="2"/>
      <c r="S431" s="2"/>
      <c r="T431" s="2"/>
      <c r="U431" s="2"/>
    </row>
    <row r="432" ht="15.75" customHeight="1">
      <c r="A432" s="1"/>
      <c r="B432" s="1"/>
      <c r="R432" s="2"/>
      <c r="S432" s="2"/>
      <c r="T432" s="2"/>
      <c r="U432" s="2"/>
    </row>
    <row r="433" ht="15.75" customHeight="1">
      <c r="A433" s="1"/>
      <c r="B433" s="1"/>
      <c r="R433" s="2"/>
      <c r="S433" s="2"/>
      <c r="T433" s="2"/>
      <c r="U433" s="2"/>
    </row>
    <row r="434" ht="15.75" customHeight="1">
      <c r="A434" s="1"/>
      <c r="B434" s="1"/>
      <c r="R434" s="2"/>
      <c r="S434" s="2"/>
      <c r="T434" s="2"/>
      <c r="U434" s="2"/>
    </row>
    <row r="435" ht="15.75" customHeight="1">
      <c r="A435" s="1"/>
      <c r="B435" s="1"/>
      <c r="R435" s="2"/>
      <c r="S435" s="2"/>
      <c r="T435" s="2"/>
      <c r="U435" s="2"/>
    </row>
    <row r="436" ht="15.75" customHeight="1">
      <c r="A436" s="1"/>
      <c r="B436" s="1"/>
      <c r="R436" s="2"/>
      <c r="S436" s="2"/>
      <c r="T436" s="2"/>
      <c r="U436" s="2"/>
    </row>
    <row r="437" ht="15.75" customHeight="1">
      <c r="A437" s="1"/>
      <c r="B437" s="1"/>
      <c r="R437" s="2"/>
      <c r="S437" s="2"/>
      <c r="T437" s="2"/>
      <c r="U437" s="2"/>
    </row>
    <row r="438" ht="15.75" customHeight="1">
      <c r="A438" s="1"/>
      <c r="B438" s="1"/>
      <c r="R438" s="2"/>
      <c r="S438" s="2"/>
      <c r="T438" s="2"/>
      <c r="U438" s="2"/>
    </row>
    <row r="439" ht="15.75" customHeight="1">
      <c r="A439" s="1"/>
      <c r="B439" s="1"/>
      <c r="R439" s="2"/>
      <c r="S439" s="2"/>
      <c r="T439" s="2"/>
      <c r="U439" s="2"/>
    </row>
    <row r="440" ht="15.75" customHeight="1">
      <c r="A440" s="1"/>
      <c r="B440" s="1"/>
      <c r="R440" s="2"/>
      <c r="S440" s="2"/>
      <c r="T440" s="2"/>
      <c r="U440" s="2"/>
    </row>
    <row r="441" ht="15.75" customHeight="1">
      <c r="A441" s="1"/>
      <c r="B441" s="1"/>
      <c r="R441" s="2"/>
      <c r="S441" s="2"/>
      <c r="T441" s="2"/>
      <c r="U441" s="2"/>
    </row>
    <row r="442" ht="15.75" customHeight="1">
      <c r="A442" s="1"/>
      <c r="B442" s="1"/>
      <c r="R442" s="2"/>
      <c r="S442" s="2"/>
      <c r="T442" s="2"/>
      <c r="U442" s="2"/>
    </row>
    <row r="443" ht="15.75" customHeight="1">
      <c r="A443" s="1"/>
      <c r="B443" s="1"/>
      <c r="R443" s="2"/>
      <c r="S443" s="2"/>
      <c r="T443" s="2"/>
      <c r="U443" s="2"/>
    </row>
    <row r="444" ht="15.75" customHeight="1">
      <c r="A444" s="1"/>
      <c r="B444" s="1"/>
      <c r="R444" s="2"/>
      <c r="S444" s="2"/>
      <c r="T444" s="2"/>
      <c r="U444" s="2"/>
    </row>
    <row r="445" ht="15.75" customHeight="1">
      <c r="A445" s="1"/>
      <c r="B445" s="1"/>
      <c r="R445" s="2"/>
      <c r="S445" s="2"/>
      <c r="T445" s="2"/>
      <c r="U445" s="2"/>
    </row>
    <row r="446" ht="15.75" customHeight="1">
      <c r="A446" s="1"/>
      <c r="B446" s="1"/>
      <c r="R446" s="2"/>
      <c r="S446" s="2"/>
      <c r="T446" s="2"/>
      <c r="U446" s="2"/>
    </row>
    <row r="447" ht="15.75" customHeight="1">
      <c r="A447" s="1"/>
      <c r="B447" s="1"/>
      <c r="R447" s="2"/>
      <c r="S447" s="2"/>
      <c r="T447" s="2"/>
      <c r="U447" s="2"/>
    </row>
    <row r="448" ht="15.75" customHeight="1">
      <c r="A448" s="1"/>
      <c r="B448" s="1"/>
      <c r="R448" s="2"/>
      <c r="S448" s="2"/>
      <c r="T448" s="2"/>
      <c r="U448" s="2"/>
    </row>
    <row r="449" ht="15.75" customHeight="1">
      <c r="A449" s="1"/>
      <c r="B449" s="1"/>
      <c r="R449" s="2"/>
      <c r="S449" s="2"/>
      <c r="T449" s="2"/>
      <c r="U449" s="2"/>
    </row>
    <row r="450" ht="15.75" customHeight="1">
      <c r="A450" s="1"/>
      <c r="B450" s="1"/>
      <c r="R450" s="2"/>
      <c r="S450" s="2"/>
      <c r="T450" s="2"/>
      <c r="U450" s="2"/>
    </row>
    <row r="451" ht="15.75" customHeight="1">
      <c r="A451" s="1"/>
      <c r="B451" s="1"/>
      <c r="R451" s="2"/>
      <c r="S451" s="2"/>
      <c r="T451" s="2"/>
      <c r="U451" s="2"/>
    </row>
    <row r="452" ht="15.75" customHeight="1">
      <c r="A452" s="1"/>
      <c r="B452" s="1"/>
      <c r="R452" s="2"/>
      <c r="S452" s="2"/>
      <c r="T452" s="2"/>
      <c r="U452" s="2"/>
    </row>
    <row r="453" ht="15.75" customHeight="1">
      <c r="A453" s="1"/>
      <c r="B453" s="1"/>
      <c r="R453" s="2"/>
      <c r="S453" s="2"/>
      <c r="T453" s="2"/>
      <c r="U453" s="2"/>
    </row>
    <row r="454" ht="15.75" customHeight="1">
      <c r="A454" s="1"/>
      <c r="B454" s="1"/>
      <c r="R454" s="2"/>
      <c r="S454" s="2"/>
      <c r="T454" s="2"/>
      <c r="U454" s="2"/>
    </row>
    <row r="455" ht="15.75" customHeight="1">
      <c r="A455" s="1"/>
      <c r="B455" s="1"/>
      <c r="R455" s="2"/>
      <c r="S455" s="2"/>
      <c r="T455" s="2"/>
      <c r="U455" s="2"/>
    </row>
    <row r="456" ht="15.75" customHeight="1">
      <c r="A456" s="1"/>
      <c r="B456" s="1"/>
      <c r="R456" s="2"/>
      <c r="S456" s="2"/>
      <c r="T456" s="2"/>
      <c r="U456" s="2"/>
    </row>
    <row r="457" ht="15.75" customHeight="1">
      <c r="A457" s="1"/>
      <c r="B457" s="1"/>
      <c r="R457" s="2"/>
      <c r="S457" s="2"/>
      <c r="T457" s="2"/>
      <c r="U457" s="2"/>
    </row>
    <row r="458" ht="15.75" customHeight="1">
      <c r="A458" s="1"/>
      <c r="B458" s="1"/>
      <c r="R458" s="2"/>
      <c r="S458" s="2"/>
      <c r="T458" s="2"/>
      <c r="U458" s="2"/>
    </row>
    <row r="459" ht="15.75" customHeight="1">
      <c r="A459" s="1"/>
      <c r="B459" s="1"/>
      <c r="R459" s="2"/>
      <c r="S459" s="2"/>
      <c r="T459" s="2"/>
      <c r="U459" s="2"/>
    </row>
    <row r="460" ht="15.75" customHeight="1">
      <c r="A460" s="1"/>
      <c r="B460" s="1"/>
      <c r="R460" s="2"/>
      <c r="S460" s="2"/>
      <c r="T460" s="2"/>
      <c r="U460" s="2"/>
    </row>
    <row r="461" ht="15.75" customHeight="1">
      <c r="A461" s="1"/>
      <c r="B461" s="1"/>
      <c r="R461" s="2"/>
      <c r="S461" s="2"/>
      <c r="T461" s="2"/>
      <c r="U461" s="2"/>
    </row>
    <row r="462" ht="15.75" customHeight="1">
      <c r="A462" s="1"/>
      <c r="B462" s="1"/>
      <c r="R462" s="2"/>
      <c r="S462" s="2"/>
      <c r="T462" s="2"/>
      <c r="U462" s="2"/>
    </row>
    <row r="463" ht="15.75" customHeight="1">
      <c r="A463" s="1"/>
      <c r="B463" s="1"/>
      <c r="R463" s="2"/>
      <c r="S463" s="2"/>
      <c r="T463" s="2"/>
      <c r="U463" s="2"/>
    </row>
    <row r="464" ht="15.75" customHeight="1">
      <c r="A464" s="1"/>
      <c r="B464" s="1"/>
      <c r="R464" s="2"/>
      <c r="S464" s="2"/>
      <c r="T464" s="2"/>
      <c r="U464" s="2"/>
    </row>
    <row r="465" ht="15.75" customHeight="1">
      <c r="A465" s="1"/>
      <c r="B465" s="1"/>
      <c r="R465" s="2"/>
      <c r="S465" s="2"/>
      <c r="T465" s="2"/>
      <c r="U465" s="2"/>
    </row>
    <row r="466" ht="15.75" customHeight="1">
      <c r="A466" s="1"/>
      <c r="B466" s="1"/>
      <c r="R466" s="2"/>
      <c r="S466" s="2"/>
      <c r="T466" s="2"/>
      <c r="U466" s="2"/>
    </row>
    <row r="467" ht="15.75" customHeight="1">
      <c r="A467" s="1"/>
      <c r="B467" s="1"/>
      <c r="R467" s="2"/>
      <c r="S467" s="2"/>
      <c r="T467" s="2"/>
      <c r="U467" s="2"/>
    </row>
    <row r="468" ht="15.75" customHeight="1">
      <c r="A468" s="1"/>
      <c r="B468" s="1"/>
      <c r="R468" s="2"/>
      <c r="S468" s="2"/>
      <c r="T468" s="2"/>
      <c r="U468" s="2"/>
    </row>
    <row r="469" ht="15.75" customHeight="1">
      <c r="A469" s="1"/>
      <c r="B469" s="1"/>
      <c r="R469" s="2"/>
      <c r="S469" s="2"/>
      <c r="T469" s="2"/>
      <c r="U469" s="2"/>
    </row>
    <row r="470" ht="15.75" customHeight="1">
      <c r="A470" s="1"/>
      <c r="B470" s="1"/>
      <c r="R470" s="2"/>
      <c r="S470" s="2"/>
      <c r="T470" s="2"/>
      <c r="U470" s="2"/>
    </row>
    <row r="471" ht="15.75" customHeight="1">
      <c r="A471" s="1"/>
      <c r="B471" s="1"/>
      <c r="R471" s="2"/>
      <c r="S471" s="2"/>
      <c r="T471" s="2"/>
      <c r="U471" s="2"/>
    </row>
    <row r="472" ht="15.75" customHeight="1">
      <c r="A472" s="1"/>
      <c r="B472" s="1"/>
      <c r="R472" s="2"/>
      <c r="S472" s="2"/>
      <c r="T472" s="2"/>
      <c r="U472" s="2"/>
    </row>
    <row r="473" ht="15.75" customHeight="1">
      <c r="A473" s="1"/>
      <c r="B473" s="1"/>
      <c r="R473" s="2"/>
      <c r="S473" s="2"/>
      <c r="T473" s="2"/>
      <c r="U473" s="2"/>
    </row>
    <row r="474" ht="15.75" customHeight="1">
      <c r="A474" s="1"/>
      <c r="B474" s="1"/>
      <c r="R474" s="2"/>
      <c r="S474" s="2"/>
      <c r="T474" s="2"/>
      <c r="U474" s="2"/>
    </row>
    <row r="475" ht="15.75" customHeight="1">
      <c r="A475" s="1"/>
      <c r="B475" s="1"/>
      <c r="R475" s="2"/>
      <c r="S475" s="2"/>
      <c r="T475" s="2"/>
      <c r="U475" s="2"/>
    </row>
    <row r="476" ht="15.75" customHeight="1">
      <c r="A476" s="1"/>
      <c r="B476" s="1"/>
      <c r="R476" s="2"/>
      <c r="S476" s="2"/>
      <c r="T476" s="2"/>
      <c r="U476" s="2"/>
    </row>
    <row r="477" ht="15.75" customHeight="1">
      <c r="A477" s="1"/>
      <c r="B477" s="1"/>
      <c r="R477" s="2"/>
      <c r="S477" s="2"/>
      <c r="T477" s="2"/>
      <c r="U477" s="2"/>
    </row>
    <row r="478" ht="15.75" customHeight="1">
      <c r="A478" s="1"/>
      <c r="B478" s="1"/>
      <c r="R478" s="2"/>
      <c r="S478" s="2"/>
      <c r="T478" s="2"/>
      <c r="U478" s="2"/>
    </row>
    <row r="479" ht="15.75" customHeight="1">
      <c r="A479" s="1"/>
      <c r="B479" s="1"/>
      <c r="R479" s="2"/>
      <c r="S479" s="2"/>
      <c r="T479" s="2"/>
      <c r="U479" s="2"/>
    </row>
    <row r="480" ht="15.75" customHeight="1">
      <c r="A480" s="1"/>
      <c r="B480" s="1"/>
      <c r="R480" s="2"/>
      <c r="S480" s="2"/>
      <c r="T480" s="2"/>
      <c r="U480" s="2"/>
    </row>
    <row r="481" ht="15.75" customHeight="1">
      <c r="A481" s="1"/>
      <c r="B481" s="1"/>
      <c r="R481" s="2"/>
      <c r="S481" s="2"/>
      <c r="T481" s="2"/>
      <c r="U481" s="2"/>
    </row>
    <row r="482" ht="15.75" customHeight="1">
      <c r="A482" s="1"/>
      <c r="B482" s="1"/>
      <c r="R482" s="2"/>
      <c r="S482" s="2"/>
      <c r="T482" s="2"/>
      <c r="U482" s="2"/>
    </row>
    <row r="483" ht="15.75" customHeight="1">
      <c r="A483" s="1"/>
      <c r="B483" s="1"/>
      <c r="R483" s="2"/>
      <c r="S483" s="2"/>
      <c r="T483" s="2"/>
      <c r="U483" s="2"/>
    </row>
    <row r="484" ht="15.75" customHeight="1">
      <c r="A484" s="1"/>
      <c r="B484" s="1"/>
      <c r="R484" s="2"/>
      <c r="S484" s="2"/>
      <c r="T484" s="2"/>
      <c r="U484" s="2"/>
    </row>
    <row r="485" ht="15.75" customHeight="1">
      <c r="A485" s="1"/>
      <c r="B485" s="1"/>
      <c r="R485" s="2"/>
      <c r="S485" s="2"/>
      <c r="T485" s="2"/>
      <c r="U485" s="2"/>
    </row>
    <row r="486" ht="15.75" customHeight="1">
      <c r="A486" s="1"/>
      <c r="B486" s="1"/>
      <c r="R486" s="2"/>
      <c r="S486" s="2"/>
      <c r="T486" s="2"/>
      <c r="U486" s="2"/>
    </row>
    <row r="487" ht="15.75" customHeight="1">
      <c r="A487" s="1"/>
      <c r="B487" s="1"/>
      <c r="R487" s="2"/>
      <c r="S487" s="2"/>
      <c r="T487" s="2"/>
      <c r="U487" s="2"/>
    </row>
    <row r="488" ht="15.75" customHeight="1">
      <c r="A488" s="1"/>
      <c r="B488" s="1"/>
      <c r="R488" s="2"/>
      <c r="S488" s="2"/>
      <c r="T488" s="2"/>
      <c r="U488" s="2"/>
    </row>
    <row r="489" ht="15.75" customHeight="1">
      <c r="A489" s="1"/>
      <c r="B489" s="1"/>
      <c r="R489" s="2"/>
      <c r="S489" s="2"/>
      <c r="T489" s="2"/>
      <c r="U489" s="2"/>
    </row>
    <row r="490" ht="15.75" customHeight="1">
      <c r="A490" s="1"/>
      <c r="B490" s="1"/>
      <c r="R490" s="2"/>
      <c r="S490" s="2"/>
      <c r="T490" s="2"/>
      <c r="U490" s="2"/>
    </row>
    <row r="491" ht="15.75" customHeight="1">
      <c r="A491" s="1"/>
      <c r="B491" s="1"/>
      <c r="R491" s="2"/>
      <c r="S491" s="2"/>
      <c r="T491" s="2"/>
      <c r="U491" s="2"/>
    </row>
    <row r="492" ht="15.75" customHeight="1">
      <c r="A492" s="1"/>
      <c r="B492" s="1"/>
      <c r="R492" s="2"/>
      <c r="S492" s="2"/>
      <c r="T492" s="2"/>
      <c r="U492" s="2"/>
    </row>
    <row r="493" ht="15.75" customHeight="1">
      <c r="A493" s="1"/>
      <c r="B493" s="1"/>
      <c r="R493" s="2"/>
      <c r="S493" s="2"/>
      <c r="T493" s="2"/>
      <c r="U493" s="2"/>
    </row>
    <row r="494" ht="15.75" customHeight="1">
      <c r="A494" s="1"/>
      <c r="B494" s="1"/>
      <c r="R494" s="2"/>
      <c r="S494" s="2"/>
      <c r="T494" s="2"/>
      <c r="U494" s="2"/>
    </row>
    <row r="495" ht="15.75" customHeight="1">
      <c r="A495" s="1"/>
      <c r="B495" s="1"/>
      <c r="R495" s="2"/>
      <c r="S495" s="2"/>
      <c r="T495" s="2"/>
      <c r="U495" s="2"/>
    </row>
    <row r="496" ht="15.75" customHeight="1">
      <c r="A496" s="1"/>
      <c r="B496" s="1"/>
      <c r="R496" s="2"/>
      <c r="S496" s="2"/>
      <c r="T496" s="2"/>
      <c r="U496" s="2"/>
    </row>
    <row r="497" ht="15.75" customHeight="1">
      <c r="A497" s="1"/>
      <c r="B497" s="1"/>
      <c r="R497" s="2"/>
      <c r="S497" s="2"/>
      <c r="T497" s="2"/>
      <c r="U497" s="2"/>
    </row>
    <row r="498" ht="15.75" customHeight="1">
      <c r="A498" s="1"/>
      <c r="B498" s="1"/>
      <c r="R498" s="2"/>
      <c r="S498" s="2"/>
      <c r="T498" s="2"/>
      <c r="U498" s="2"/>
    </row>
    <row r="499" ht="15.75" customHeight="1">
      <c r="A499" s="1"/>
      <c r="B499" s="1"/>
      <c r="R499" s="2"/>
      <c r="S499" s="2"/>
      <c r="T499" s="2"/>
      <c r="U499" s="2"/>
    </row>
    <row r="500" ht="15.75" customHeight="1">
      <c r="A500" s="1"/>
      <c r="B500" s="1"/>
      <c r="R500" s="2"/>
      <c r="S500" s="2"/>
      <c r="T500" s="2"/>
      <c r="U500" s="2"/>
    </row>
    <row r="501" ht="15.75" customHeight="1">
      <c r="A501" s="1"/>
      <c r="B501" s="1"/>
      <c r="R501" s="2"/>
      <c r="S501" s="2"/>
      <c r="T501" s="2"/>
      <c r="U501" s="2"/>
    </row>
    <row r="502" ht="15.75" customHeight="1">
      <c r="A502" s="1"/>
      <c r="B502" s="1"/>
      <c r="R502" s="2"/>
      <c r="S502" s="2"/>
      <c r="T502" s="2"/>
      <c r="U502" s="2"/>
    </row>
    <row r="503" ht="15.75" customHeight="1">
      <c r="A503" s="1"/>
      <c r="B503" s="1"/>
      <c r="R503" s="2"/>
      <c r="S503" s="2"/>
      <c r="T503" s="2"/>
      <c r="U503" s="2"/>
    </row>
    <row r="504" ht="15.75" customHeight="1">
      <c r="A504" s="1"/>
      <c r="B504" s="1"/>
      <c r="R504" s="2"/>
      <c r="S504" s="2"/>
      <c r="T504" s="2"/>
      <c r="U504" s="2"/>
    </row>
    <row r="505" ht="15.75" customHeight="1">
      <c r="A505" s="1"/>
      <c r="B505" s="1"/>
      <c r="R505" s="2"/>
      <c r="S505" s="2"/>
      <c r="T505" s="2"/>
      <c r="U505" s="2"/>
    </row>
    <row r="506" ht="15.75" customHeight="1">
      <c r="A506" s="1"/>
      <c r="B506" s="1"/>
      <c r="R506" s="2"/>
      <c r="S506" s="2"/>
      <c r="T506" s="2"/>
      <c r="U506" s="2"/>
    </row>
    <row r="507" ht="15.75" customHeight="1">
      <c r="A507" s="1"/>
      <c r="B507" s="1"/>
      <c r="R507" s="2"/>
      <c r="S507" s="2"/>
      <c r="T507" s="2"/>
      <c r="U507" s="2"/>
    </row>
    <row r="508" ht="15.75" customHeight="1">
      <c r="A508" s="1"/>
      <c r="B508" s="1"/>
      <c r="R508" s="2"/>
      <c r="S508" s="2"/>
      <c r="T508" s="2"/>
      <c r="U508" s="2"/>
    </row>
    <row r="509" ht="15.75" customHeight="1">
      <c r="A509" s="1"/>
      <c r="B509" s="1"/>
      <c r="R509" s="2"/>
      <c r="S509" s="2"/>
      <c r="T509" s="2"/>
      <c r="U509" s="2"/>
    </row>
    <row r="510" ht="15.75" customHeight="1">
      <c r="A510" s="1"/>
      <c r="B510" s="1"/>
      <c r="R510" s="2"/>
      <c r="S510" s="2"/>
      <c r="T510" s="2"/>
      <c r="U510" s="2"/>
    </row>
    <row r="511" ht="15.75" customHeight="1">
      <c r="A511" s="1"/>
      <c r="B511" s="1"/>
      <c r="R511" s="2"/>
      <c r="S511" s="2"/>
      <c r="T511" s="2"/>
      <c r="U511" s="2"/>
    </row>
    <row r="512" ht="15.75" customHeight="1">
      <c r="A512" s="1"/>
      <c r="B512" s="1"/>
      <c r="R512" s="2"/>
      <c r="S512" s="2"/>
      <c r="T512" s="2"/>
      <c r="U512" s="2"/>
    </row>
    <row r="513" ht="15.75" customHeight="1">
      <c r="A513" s="1"/>
      <c r="B513" s="1"/>
      <c r="R513" s="2"/>
      <c r="S513" s="2"/>
      <c r="T513" s="2"/>
      <c r="U513" s="2"/>
    </row>
    <row r="514" ht="15.75" customHeight="1">
      <c r="A514" s="1"/>
      <c r="B514" s="1"/>
      <c r="R514" s="2"/>
      <c r="S514" s="2"/>
      <c r="T514" s="2"/>
      <c r="U514" s="2"/>
    </row>
    <row r="515" ht="15.75" customHeight="1">
      <c r="A515" s="1"/>
      <c r="B515" s="1"/>
      <c r="R515" s="2"/>
      <c r="S515" s="2"/>
      <c r="T515" s="2"/>
      <c r="U515" s="2"/>
    </row>
    <row r="516" ht="15.75" customHeight="1">
      <c r="A516" s="1"/>
      <c r="B516" s="1"/>
      <c r="R516" s="2"/>
      <c r="S516" s="2"/>
      <c r="T516" s="2"/>
      <c r="U516" s="2"/>
    </row>
    <row r="517" ht="15.75" customHeight="1">
      <c r="A517" s="1"/>
      <c r="B517" s="1"/>
      <c r="R517" s="2"/>
      <c r="S517" s="2"/>
      <c r="T517" s="2"/>
      <c r="U517" s="2"/>
    </row>
    <row r="518" ht="15.75" customHeight="1">
      <c r="A518" s="1"/>
      <c r="B518" s="1"/>
      <c r="R518" s="2"/>
      <c r="S518" s="2"/>
      <c r="T518" s="2"/>
      <c r="U518" s="2"/>
    </row>
    <row r="519" ht="15.75" customHeight="1">
      <c r="A519" s="1"/>
      <c r="B519" s="1"/>
      <c r="R519" s="2"/>
      <c r="S519" s="2"/>
      <c r="T519" s="2"/>
      <c r="U519" s="2"/>
    </row>
    <row r="520" ht="15.75" customHeight="1">
      <c r="A520" s="1"/>
      <c r="B520" s="1"/>
      <c r="R520" s="2"/>
      <c r="S520" s="2"/>
      <c r="T520" s="2"/>
      <c r="U520" s="2"/>
    </row>
    <row r="521" ht="15.75" customHeight="1">
      <c r="A521" s="1"/>
      <c r="B521" s="1"/>
      <c r="R521" s="2"/>
      <c r="S521" s="2"/>
      <c r="T521" s="2"/>
      <c r="U521" s="2"/>
    </row>
    <row r="522" ht="15.75" customHeight="1">
      <c r="A522" s="1"/>
      <c r="B522" s="1"/>
      <c r="R522" s="2"/>
      <c r="S522" s="2"/>
      <c r="T522" s="2"/>
      <c r="U522" s="2"/>
    </row>
    <row r="523" ht="15.75" customHeight="1">
      <c r="A523" s="1"/>
      <c r="B523" s="1"/>
      <c r="R523" s="2"/>
      <c r="S523" s="2"/>
      <c r="T523" s="2"/>
      <c r="U523" s="2"/>
    </row>
    <row r="524" ht="15.75" customHeight="1">
      <c r="A524" s="1"/>
      <c r="B524" s="1"/>
      <c r="R524" s="2"/>
      <c r="S524" s="2"/>
      <c r="T524" s="2"/>
      <c r="U524" s="2"/>
    </row>
    <row r="525" ht="15.75" customHeight="1">
      <c r="A525" s="1"/>
      <c r="B525" s="1"/>
      <c r="R525" s="2"/>
      <c r="S525" s="2"/>
      <c r="T525" s="2"/>
      <c r="U525" s="2"/>
    </row>
    <row r="526" ht="15.75" customHeight="1">
      <c r="A526" s="1"/>
      <c r="B526" s="1"/>
      <c r="R526" s="2"/>
      <c r="S526" s="2"/>
      <c r="T526" s="2"/>
      <c r="U526" s="2"/>
    </row>
    <row r="527" ht="15.75" customHeight="1">
      <c r="A527" s="1"/>
      <c r="B527" s="1"/>
      <c r="R527" s="2"/>
      <c r="S527" s="2"/>
      <c r="T527" s="2"/>
      <c r="U527" s="2"/>
    </row>
    <row r="528" ht="15.75" customHeight="1">
      <c r="A528" s="1"/>
      <c r="B528" s="1"/>
      <c r="R528" s="2"/>
      <c r="S528" s="2"/>
      <c r="T528" s="2"/>
      <c r="U528" s="2"/>
    </row>
    <row r="529" ht="15.75" customHeight="1">
      <c r="A529" s="1"/>
      <c r="B529" s="1"/>
      <c r="R529" s="2"/>
      <c r="S529" s="2"/>
      <c r="T529" s="2"/>
      <c r="U529" s="2"/>
    </row>
    <row r="530" ht="15.75" customHeight="1">
      <c r="A530" s="1"/>
      <c r="B530" s="1"/>
      <c r="R530" s="2"/>
      <c r="S530" s="2"/>
      <c r="T530" s="2"/>
      <c r="U530" s="2"/>
    </row>
    <row r="531" ht="15.75" customHeight="1">
      <c r="A531" s="1"/>
      <c r="B531" s="1"/>
      <c r="R531" s="2"/>
      <c r="S531" s="2"/>
      <c r="T531" s="2"/>
      <c r="U531" s="2"/>
    </row>
    <row r="532" ht="15.75" customHeight="1">
      <c r="A532" s="1"/>
      <c r="B532" s="1"/>
      <c r="R532" s="2"/>
      <c r="S532" s="2"/>
      <c r="T532" s="2"/>
      <c r="U532" s="2"/>
    </row>
    <row r="533" ht="15.75" customHeight="1">
      <c r="A533" s="1"/>
      <c r="B533" s="1"/>
      <c r="R533" s="2"/>
      <c r="S533" s="2"/>
      <c r="T533" s="2"/>
      <c r="U533" s="2"/>
    </row>
    <row r="534" ht="15.75" customHeight="1">
      <c r="A534" s="1"/>
      <c r="B534" s="1"/>
      <c r="R534" s="2"/>
      <c r="S534" s="2"/>
      <c r="T534" s="2"/>
      <c r="U534" s="2"/>
    </row>
    <row r="535" ht="15.75" customHeight="1">
      <c r="A535" s="1"/>
      <c r="B535" s="1"/>
      <c r="R535" s="2"/>
      <c r="S535" s="2"/>
      <c r="T535" s="2"/>
      <c r="U535" s="2"/>
    </row>
    <row r="536" ht="15.75" customHeight="1">
      <c r="A536" s="1"/>
      <c r="B536" s="1"/>
      <c r="R536" s="2"/>
      <c r="S536" s="2"/>
      <c r="T536" s="2"/>
      <c r="U536" s="2"/>
    </row>
    <row r="537" ht="15.75" customHeight="1">
      <c r="A537" s="1"/>
      <c r="B537" s="1"/>
      <c r="R537" s="2"/>
      <c r="S537" s="2"/>
      <c r="T537" s="2"/>
      <c r="U537" s="2"/>
    </row>
    <row r="538" ht="15.75" customHeight="1">
      <c r="A538" s="1"/>
      <c r="B538" s="1"/>
      <c r="R538" s="2"/>
      <c r="S538" s="2"/>
      <c r="T538" s="2"/>
      <c r="U538" s="2"/>
    </row>
    <row r="539" ht="15.75" customHeight="1">
      <c r="A539" s="1"/>
      <c r="B539" s="1"/>
      <c r="R539" s="2"/>
      <c r="S539" s="2"/>
      <c r="T539" s="2"/>
      <c r="U539" s="2"/>
    </row>
    <row r="540" ht="15.75" customHeight="1">
      <c r="A540" s="1"/>
      <c r="B540" s="1"/>
      <c r="R540" s="2"/>
      <c r="S540" s="2"/>
      <c r="T540" s="2"/>
      <c r="U540" s="2"/>
    </row>
    <row r="541" ht="15.75" customHeight="1">
      <c r="A541" s="1"/>
      <c r="B541" s="1"/>
      <c r="R541" s="2"/>
      <c r="S541" s="2"/>
      <c r="T541" s="2"/>
      <c r="U541" s="2"/>
    </row>
    <row r="542" ht="15.75" customHeight="1">
      <c r="A542" s="1"/>
      <c r="B542" s="1"/>
      <c r="R542" s="2"/>
      <c r="S542" s="2"/>
      <c r="T542" s="2"/>
      <c r="U542" s="2"/>
    </row>
    <row r="543" ht="15.75" customHeight="1">
      <c r="A543" s="1"/>
      <c r="B543" s="1"/>
      <c r="R543" s="2"/>
      <c r="S543" s="2"/>
      <c r="T543" s="2"/>
      <c r="U543" s="2"/>
    </row>
    <row r="544" ht="15.75" customHeight="1">
      <c r="A544" s="1"/>
      <c r="B544" s="1"/>
      <c r="R544" s="2"/>
      <c r="S544" s="2"/>
      <c r="T544" s="2"/>
      <c r="U544" s="2"/>
    </row>
    <row r="545" ht="15.75" customHeight="1">
      <c r="A545" s="1"/>
      <c r="B545" s="1"/>
      <c r="R545" s="2"/>
      <c r="S545" s="2"/>
      <c r="T545" s="2"/>
      <c r="U545" s="2"/>
    </row>
    <row r="546" ht="15.75" customHeight="1">
      <c r="A546" s="1"/>
      <c r="B546" s="1"/>
      <c r="R546" s="2"/>
      <c r="S546" s="2"/>
      <c r="T546" s="2"/>
      <c r="U546" s="2"/>
    </row>
    <row r="547" ht="15.75" customHeight="1">
      <c r="A547" s="1"/>
      <c r="B547" s="1"/>
      <c r="R547" s="2"/>
      <c r="S547" s="2"/>
      <c r="T547" s="2"/>
      <c r="U547" s="2"/>
    </row>
    <row r="548" ht="15.75" customHeight="1">
      <c r="A548" s="1"/>
      <c r="B548" s="1"/>
      <c r="R548" s="2"/>
      <c r="S548" s="2"/>
      <c r="T548" s="2"/>
      <c r="U548" s="2"/>
    </row>
    <row r="549" ht="15.75" customHeight="1">
      <c r="A549" s="1"/>
      <c r="B549" s="1"/>
      <c r="R549" s="2"/>
      <c r="S549" s="2"/>
      <c r="T549" s="2"/>
      <c r="U549" s="2"/>
    </row>
    <row r="550" ht="15.75" customHeight="1">
      <c r="A550" s="1"/>
      <c r="B550" s="1"/>
      <c r="R550" s="2"/>
      <c r="S550" s="2"/>
      <c r="T550" s="2"/>
      <c r="U550" s="2"/>
    </row>
    <row r="551" ht="15.75" customHeight="1">
      <c r="A551" s="1"/>
      <c r="B551" s="1"/>
      <c r="R551" s="2"/>
      <c r="S551" s="2"/>
      <c r="T551" s="2"/>
      <c r="U551" s="2"/>
    </row>
    <row r="552" ht="15.75" customHeight="1">
      <c r="A552" s="1"/>
      <c r="B552" s="1"/>
      <c r="R552" s="2"/>
      <c r="S552" s="2"/>
      <c r="T552" s="2"/>
      <c r="U552" s="2"/>
    </row>
    <row r="553" ht="15.75" customHeight="1">
      <c r="A553" s="1"/>
      <c r="B553" s="1"/>
      <c r="R553" s="2"/>
      <c r="S553" s="2"/>
      <c r="T553" s="2"/>
      <c r="U553" s="2"/>
    </row>
    <row r="554" ht="15.75" customHeight="1">
      <c r="A554" s="1"/>
      <c r="B554" s="1"/>
      <c r="R554" s="2"/>
      <c r="S554" s="2"/>
      <c r="T554" s="2"/>
      <c r="U554" s="2"/>
    </row>
    <row r="555" ht="15.75" customHeight="1">
      <c r="A555" s="1"/>
      <c r="B555" s="1"/>
      <c r="R555" s="2"/>
      <c r="S555" s="2"/>
      <c r="T555" s="2"/>
      <c r="U555" s="2"/>
    </row>
    <row r="556" ht="15.75" customHeight="1">
      <c r="A556" s="1"/>
      <c r="B556" s="1"/>
      <c r="R556" s="2"/>
      <c r="S556" s="2"/>
      <c r="T556" s="2"/>
      <c r="U556" s="2"/>
    </row>
    <row r="557" ht="15.75" customHeight="1">
      <c r="A557" s="1"/>
      <c r="B557" s="1"/>
      <c r="R557" s="2"/>
      <c r="S557" s="2"/>
      <c r="T557" s="2"/>
      <c r="U557" s="2"/>
    </row>
    <row r="558" ht="15.75" customHeight="1">
      <c r="A558" s="1"/>
      <c r="B558" s="1"/>
      <c r="R558" s="2"/>
      <c r="S558" s="2"/>
      <c r="T558" s="2"/>
      <c r="U558" s="2"/>
    </row>
    <row r="559" ht="15.75" customHeight="1">
      <c r="A559" s="1"/>
      <c r="B559" s="1"/>
      <c r="R559" s="2"/>
      <c r="S559" s="2"/>
      <c r="T559" s="2"/>
      <c r="U559" s="2"/>
    </row>
    <row r="560" ht="15.75" customHeight="1">
      <c r="A560" s="1"/>
      <c r="B560" s="1"/>
      <c r="R560" s="2"/>
      <c r="S560" s="2"/>
      <c r="T560" s="2"/>
      <c r="U560" s="2"/>
    </row>
    <row r="561" ht="15.75" customHeight="1">
      <c r="A561" s="1"/>
      <c r="B561" s="1"/>
      <c r="R561" s="2"/>
      <c r="S561" s="2"/>
      <c r="T561" s="2"/>
      <c r="U561" s="2"/>
    </row>
    <row r="562" ht="15.75" customHeight="1">
      <c r="A562" s="1"/>
      <c r="B562" s="1"/>
      <c r="R562" s="2"/>
      <c r="S562" s="2"/>
      <c r="T562" s="2"/>
      <c r="U562" s="2"/>
    </row>
    <row r="563" ht="15.75" customHeight="1">
      <c r="A563" s="1"/>
      <c r="B563" s="1"/>
      <c r="R563" s="2"/>
      <c r="S563" s="2"/>
      <c r="T563" s="2"/>
      <c r="U563" s="2"/>
    </row>
    <row r="564" ht="15.75" customHeight="1">
      <c r="A564" s="1"/>
      <c r="B564" s="1"/>
      <c r="R564" s="2"/>
      <c r="S564" s="2"/>
      <c r="T564" s="2"/>
      <c r="U564" s="2"/>
    </row>
    <row r="565" ht="15.75" customHeight="1">
      <c r="A565" s="1"/>
      <c r="B565" s="1"/>
      <c r="R565" s="2"/>
      <c r="S565" s="2"/>
      <c r="T565" s="2"/>
      <c r="U565" s="2"/>
    </row>
    <row r="566" ht="15.75" customHeight="1">
      <c r="A566" s="1"/>
      <c r="B566" s="1"/>
      <c r="R566" s="2"/>
      <c r="S566" s="2"/>
      <c r="T566" s="2"/>
      <c r="U566" s="2"/>
    </row>
    <row r="567" ht="15.75" customHeight="1">
      <c r="A567" s="1"/>
      <c r="B567" s="1"/>
      <c r="R567" s="2"/>
      <c r="S567" s="2"/>
      <c r="T567" s="2"/>
      <c r="U567" s="2"/>
    </row>
    <row r="568" ht="15.75" customHeight="1">
      <c r="A568" s="1"/>
      <c r="B568" s="1"/>
      <c r="R568" s="2"/>
      <c r="S568" s="2"/>
      <c r="T568" s="2"/>
      <c r="U568" s="2"/>
    </row>
    <row r="569" ht="15.75" customHeight="1">
      <c r="A569" s="1"/>
      <c r="B569" s="1"/>
      <c r="R569" s="2"/>
      <c r="S569" s="2"/>
      <c r="T569" s="2"/>
      <c r="U569" s="2"/>
    </row>
    <row r="570" ht="15.75" customHeight="1">
      <c r="A570" s="1"/>
      <c r="B570" s="1"/>
      <c r="R570" s="2"/>
      <c r="S570" s="2"/>
      <c r="T570" s="2"/>
      <c r="U570" s="2"/>
    </row>
    <row r="571" ht="15.75" customHeight="1">
      <c r="A571" s="1"/>
      <c r="B571" s="1"/>
      <c r="R571" s="2"/>
      <c r="S571" s="2"/>
      <c r="T571" s="2"/>
      <c r="U571" s="2"/>
    </row>
    <row r="572" ht="15.75" customHeight="1">
      <c r="A572" s="1"/>
      <c r="B572" s="1"/>
      <c r="R572" s="2"/>
      <c r="S572" s="2"/>
      <c r="T572" s="2"/>
      <c r="U572" s="2"/>
    </row>
    <row r="573" ht="15.75" customHeight="1">
      <c r="A573" s="1"/>
      <c r="B573" s="1"/>
      <c r="R573" s="2"/>
      <c r="S573" s="2"/>
      <c r="T573" s="2"/>
      <c r="U573" s="2"/>
    </row>
    <row r="574" ht="15.75" customHeight="1">
      <c r="A574" s="1"/>
      <c r="B574" s="1"/>
      <c r="R574" s="2"/>
      <c r="S574" s="2"/>
      <c r="T574" s="2"/>
      <c r="U574" s="2"/>
    </row>
    <row r="575" ht="15.75" customHeight="1">
      <c r="A575" s="1"/>
      <c r="B575" s="1"/>
      <c r="R575" s="2"/>
      <c r="S575" s="2"/>
      <c r="T575" s="2"/>
      <c r="U575" s="2"/>
    </row>
    <row r="576" ht="15.75" customHeight="1">
      <c r="A576" s="1"/>
      <c r="B576" s="1"/>
      <c r="R576" s="2"/>
      <c r="S576" s="2"/>
      <c r="T576" s="2"/>
      <c r="U576" s="2"/>
    </row>
    <row r="577" ht="15.75" customHeight="1">
      <c r="A577" s="1"/>
      <c r="B577" s="1"/>
      <c r="R577" s="2"/>
      <c r="S577" s="2"/>
      <c r="T577" s="2"/>
      <c r="U577" s="2"/>
    </row>
    <row r="578" ht="15.75" customHeight="1">
      <c r="A578" s="1"/>
      <c r="B578" s="1"/>
      <c r="R578" s="2"/>
      <c r="S578" s="2"/>
      <c r="T578" s="2"/>
      <c r="U578" s="2"/>
    </row>
    <row r="579" ht="15.75" customHeight="1">
      <c r="A579" s="1"/>
      <c r="B579" s="1"/>
      <c r="R579" s="2"/>
      <c r="S579" s="2"/>
      <c r="T579" s="2"/>
      <c r="U579" s="2"/>
    </row>
    <row r="580" ht="15.75" customHeight="1">
      <c r="A580" s="1"/>
      <c r="B580" s="1"/>
      <c r="R580" s="2"/>
      <c r="S580" s="2"/>
      <c r="T580" s="2"/>
      <c r="U580" s="2"/>
    </row>
    <row r="581" ht="15.75" customHeight="1">
      <c r="A581" s="1"/>
      <c r="B581" s="1"/>
      <c r="R581" s="2"/>
      <c r="S581" s="2"/>
      <c r="T581" s="2"/>
      <c r="U581" s="2"/>
    </row>
    <row r="582" ht="15.75" customHeight="1">
      <c r="A582" s="1"/>
      <c r="B582" s="1"/>
      <c r="R582" s="2"/>
      <c r="S582" s="2"/>
      <c r="T582" s="2"/>
      <c r="U582" s="2"/>
    </row>
    <row r="583" ht="15.75" customHeight="1">
      <c r="A583" s="1"/>
      <c r="B583" s="1"/>
      <c r="R583" s="2"/>
      <c r="S583" s="2"/>
      <c r="T583" s="2"/>
      <c r="U583" s="2"/>
    </row>
    <row r="584" ht="15.75" customHeight="1">
      <c r="A584" s="1"/>
      <c r="B584" s="1"/>
      <c r="R584" s="2"/>
      <c r="S584" s="2"/>
      <c r="T584" s="2"/>
      <c r="U584" s="2"/>
    </row>
    <row r="585" ht="15.75" customHeight="1">
      <c r="A585" s="1"/>
      <c r="B585" s="1"/>
      <c r="R585" s="2"/>
      <c r="S585" s="2"/>
      <c r="T585" s="2"/>
      <c r="U585" s="2"/>
    </row>
    <row r="586" ht="15.75" customHeight="1">
      <c r="A586" s="1"/>
      <c r="B586" s="1"/>
      <c r="R586" s="2"/>
      <c r="S586" s="2"/>
      <c r="T586" s="2"/>
      <c r="U586" s="2"/>
    </row>
    <row r="587" ht="15.75" customHeight="1">
      <c r="A587" s="1"/>
      <c r="B587" s="1"/>
      <c r="R587" s="2"/>
      <c r="S587" s="2"/>
      <c r="T587" s="2"/>
      <c r="U587" s="2"/>
    </row>
    <row r="588" ht="15.75" customHeight="1">
      <c r="A588" s="1"/>
      <c r="B588" s="1"/>
      <c r="R588" s="2"/>
      <c r="S588" s="2"/>
      <c r="T588" s="2"/>
      <c r="U588" s="2"/>
    </row>
    <row r="589" ht="15.75" customHeight="1">
      <c r="A589" s="1"/>
      <c r="B589" s="1"/>
      <c r="R589" s="2"/>
      <c r="S589" s="2"/>
      <c r="T589" s="2"/>
      <c r="U589" s="2"/>
    </row>
    <row r="590" ht="15.75" customHeight="1">
      <c r="A590" s="1"/>
      <c r="B590" s="1"/>
      <c r="R590" s="2"/>
      <c r="S590" s="2"/>
      <c r="T590" s="2"/>
      <c r="U590" s="2"/>
    </row>
    <row r="591" ht="15.75" customHeight="1">
      <c r="A591" s="1"/>
      <c r="B591" s="1"/>
      <c r="R591" s="2"/>
      <c r="S591" s="2"/>
      <c r="T591" s="2"/>
      <c r="U591" s="2"/>
    </row>
    <row r="592" ht="15.75" customHeight="1">
      <c r="A592" s="1"/>
      <c r="B592" s="1"/>
      <c r="R592" s="2"/>
      <c r="S592" s="2"/>
      <c r="T592" s="2"/>
      <c r="U592" s="2"/>
    </row>
    <row r="593" ht="15.75" customHeight="1">
      <c r="A593" s="1"/>
      <c r="B593" s="1"/>
      <c r="R593" s="2"/>
      <c r="S593" s="2"/>
      <c r="T593" s="2"/>
      <c r="U593" s="2"/>
    </row>
    <row r="594" ht="15.75" customHeight="1">
      <c r="A594" s="1"/>
      <c r="B594" s="1"/>
      <c r="R594" s="2"/>
      <c r="S594" s="2"/>
      <c r="T594" s="2"/>
      <c r="U594" s="2"/>
    </row>
    <row r="595" ht="15.75" customHeight="1">
      <c r="A595" s="1"/>
      <c r="B595" s="1"/>
      <c r="R595" s="2"/>
      <c r="S595" s="2"/>
      <c r="T595" s="2"/>
      <c r="U595" s="2"/>
    </row>
    <row r="596" ht="15.75" customHeight="1">
      <c r="A596" s="1"/>
      <c r="B596" s="1"/>
      <c r="R596" s="2"/>
      <c r="S596" s="2"/>
      <c r="T596" s="2"/>
      <c r="U596" s="2"/>
    </row>
    <row r="597" ht="15.75" customHeight="1">
      <c r="A597" s="1"/>
      <c r="B597" s="1"/>
      <c r="R597" s="2"/>
      <c r="S597" s="2"/>
      <c r="T597" s="2"/>
      <c r="U597" s="2"/>
    </row>
    <row r="598" ht="15.75" customHeight="1">
      <c r="A598" s="1"/>
      <c r="B598" s="1"/>
      <c r="R598" s="2"/>
      <c r="S598" s="2"/>
      <c r="T598" s="2"/>
      <c r="U598" s="2"/>
    </row>
    <row r="599" ht="15.75" customHeight="1">
      <c r="A599" s="1"/>
      <c r="B599" s="1"/>
      <c r="R599" s="2"/>
      <c r="S599" s="2"/>
      <c r="T599" s="2"/>
      <c r="U599" s="2"/>
    </row>
    <row r="600" ht="15.75" customHeight="1">
      <c r="A600" s="1"/>
      <c r="B600" s="1"/>
      <c r="R600" s="2"/>
      <c r="S600" s="2"/>
      <c r="T600" s="2"/>
      <c r="U600" s="2"/>
    </row>
    <row r="601" ht="15.75" customHeight="1">
      <c r="A601" s="1"/>
      <c r="B601" s="1"/>
      <c r="R601" s="2"/>
      <c r="S601" s="2"/>
      <c r="T601" s="2"/>
      <c r="U601" s="2"/>
    </row>
    <row r="602" ht="15.75" customHeight="1">
      <c r="A602" s="1"/>
      <c r="B602" s="1"/>
      <c r="R602" s="2"/>
      <c r="S602" s="2"/>
      <c r="T602" s="2"/>
      <c r="U602" s="2"/>
    </row>
    <row r="603" ht="15.75" customHeight="1">
      <c r="A603" s="1"/>
      <c r="B603" s="1"/>
      <c r="R603" s="2"/>
      <c r="S603" s="2"/>
      <c r="T603" s="2"/>
      <c r="U603" s="2"/>
    </row>
    <row r="604" ht="15.75" customHeight="1">
      <c r="A604" s="1"/>
      <c r="B604" s="1"/>
      <c r="R604" s="2"/>
      <c r="S604" s="2"/>
      <c r="T604" s="2"/>
      <c r="U604" s="2"/>
    </row>
    <row r="605" ht="15.75" customHeight="1">
      <c r="A605" s="1"/>
      <c r="B605" s="1"/>
      <c r="R605" s="2"/>
      <c r="S605" s="2"/>
      <c r="T605" s="2"/>
      <c r="U605" s="2"/>
    </row>
    <row r="606" ht="15.75" customHeight="1">
      <c r="A606" s="1"/>
      <c r="B606" s="1"/>
      <c r="R606" s="2"/>
      <c r="S606" s="2"/>
      <c r="T606" s="2"/>
      <c r="U606" s="2"/>
    </row>
    <row r="607" ht="15.75" customHeight="1">
      <c r="A607" s="1"/>
      <c r="B607" s="1"/>
      <c r="R607" s="2"/>
      <c r="S607" s="2"/>
      <c r="T607" s="2"/>
      <c r="U607" s="2"/>
    </row>
    <row r="608" ht="15.75" customHeight="1">
      <c r="A608" s="1"/>
      <c r="B608" s="1"/>
      <c r="R608" s="2"/>
      <c r="S608" s="2"/>
      <c r="T608" s="2"/>
      <c r="U608" s="2"/>
    </row>
    <row r="609" ht="15.75" customHeight="1">
      <c r="A609" s="1"/>
      <c r="B609" s="1"/>
      <c r="R609" s="2"/>
      <c r="S609" s="2"/>
      <c r="T609" s="2"/>
      <c r="U609" s="2"/>
    </row>
    <row r="610" ht="15.75" customHeight="1">
      <c r="A610" s="1"/>
      <c r="B610" s="1"/>
      <c r="R610" s="2"/>
      <c r="S610" s="2"/>
      <c r="T610" s="2"/>
      <c r="U610" s="2"/>
    </row>
    <row r="611" ht="15.75" customHeight="1">
      <c r="A611" s="1"/>
      <c r="B611" s="1"/>
      <c r="R611" s="2"/>
      <c r="S611" s="2"/>
      <c r="T611" s="2"/>
      <c r="U611" s="2"/>
    </row>
    <row r="612" ht="15.75" customHeight="1">
      <c r="A612" s="1"/>
      <c r="B612" s="1"/>
      <c r="R612" s="2"/>
      <c r="S612" s="2"/>
      <c r="T612" s="2"/>
      <c r="U612" s="2"/>
    </row>
    <row r="613" ht="15.75" customHeight="1">
      <c r="A613" s="1"/>
      <c r="B613" s="1"/>
      <c r="R613" s="2"/>
      <c r="S613" s="2"/>
      <c r="T613" s="2"/>
      <c r="U613" s="2"/>
    </row>
    <row r="614" ht="15.75" customHeight="1">
      <c r="A614" s="1"/>
      <c r="B614" s="1"/>
      <c r="R614" s="2"/>
      <c r="S614" s="2"/>
      <c r="T614" s="2"/>
      <c r="U614" s="2"/>
    </row>
    <row r="615" ht="15.75" customHeight="1">
      <c r="A615" s="1"/>
      <c r="B615" s="1"/>
      <c r="R615" s="2"/>
      <c r="S615" s="2"/>
      <c r="T615" s="2"/>
      <c r="U615" s="2"/>
    </row>
    <row r="616" ht="15.75" customHeight="1">
      <c r="A616" s="1"/>
      <c r="B616" s="1"/>
      <c r="R616" s="2"/>
      <c r="S616" s="2"/>
      <c r="T616" s="2"/>
      <c r="U616" s="2"/>
    </row>
    <row r="617" ht="15.75" customHeight="1">
      <c r="A617" s="1"/>
      <c r="B617" s="1"/>
      <c r="R617" s="2"/>
      <c r="S617" s="2"/>
      <c r="T617" s="2"/>
      <c r="U617" s="2"/>
    </row>
    <row r="618" ht="15.75" customHeight="1">
      <c r="A618" s="1"/>
      <c r="B618" s="1"/>
      <c r="R618" s="2"/>
      <c r="S618" s="2"/>
      <c r="T618" s="2"/>
      <c r="U618" s="2"/>
    </row>
    <row r="619" ht="15.75" customHeight="1">
      <c r="A619" s="1"/>
      <c r="B619" s="1"/>
      <c r="R619" s="2"/>
      <c r="S619" s="2"/>
      <c r="T619" s="2"/>
      <c r="U619" s="2"/>
    </row>
    <row r="620" ht="15.75" customHeight="1">
      <c r="A620" s="1"/>
      <c r="B620" s="1"/>
      <c r="R620" s="2"/>
      <c r="S620" s="2"/>
      <c r="T620" s="2"/>
      <c r="U620" s="2"/>
    </row>
    <row r="621" ht="15.75" customHeight="1">
      <c r="A621" s="1"/>
      <c r="B621" s="1"/>
      <c r="R621" s="2"/>
      <c r="S621" s="2"/>
      <c r="T621" s="2"/>
      <c r="U621" s="2"/>
    </row>
    <row r="622" ht="15.75" customHeight="1">
      <c r="A622" s="1"/>
      <c r="B622" s="1"/>
      <c r="R622" s="2"/>
      <c r="S622" s="2"/>
      <c r="T622" s="2"/>
      <c r="U622" s="2"/>
    </row>
    <row r="623" ht="15.75" customHeight="1">
      <c r="A623" s="1"/>
      <c r="B623" s="1"/>
      <c r="R623" s="2"/>
      <c r="S623" s="2"/>
      <c r="T623" s="2"/>
      <c r="U623" s="2"/>
    </row>
    <row r="624" ht="15.75" customHeight="1">
      <c r="A624" s="1"/>
      <c r="B624" s="1"/>
      <c r="R624" s="2"/>
      <c r="S624" s="2"/>
      <c r="T624" s="2"/>
      <c r="U624" s="2"/>
    </row>
    <row r="625" ht="15.75" customHeight="1">
      <c r="A625" s="1"/>
      <c r="B625" s="1"/>
      <c r="R625" s="2"/>
      <c r="S625" s="2"/>
      <c r="T625" s="2"/>
      <c r="U625" s="2"/>
    </row>
    <row r="626" ht="15.75" customHeight="1">
      <c r="A626" s="1"/>
      <c r="B626" s="1"/>
      <c r="R626" s="2"/>
      <c r="S626" s="2"/>
      <c r="T626" s="2"/>
      <c r="U626" s="2"/>
    </row>
    <row r="627" ht="15.75" customHeight="1">
      <c r="A627" s="1"/>
      <c r="B627" s="1"/>
      <c r="R627" s="2"/>
      <c r="S627" s="2"/>
      <c r="T627" s="2"/>
      <c r="U627" s="2"/>
    </row>
    <row r="628" ht="15.75" customHeight="1">
      <c r="A628" s="1"/>
      <c r="B628" s="1"/>
      <c r="R628" s="2"/>
      <c r="S628" s="2"/>
      <c r="T628" s="2"/>
      <c r="U628" s="2"/>
    </row>
    <row r="629" ht="15.75" customHeight="1">
      <c r="A629" s="1"/>
      <c r="B629" s="1"/>
      <c r="R629" s="2"/>
      <c r="S629" s="2"/>
      <c r="T629" s="2"/>
      <c r="U629" s="2"/>
    </row>
    <row r="630" ht="15.75" customHeight="1">
      <c r="A630" s="1"/>
      <c r="B630" s="1"/>
      <c r="R630" s="2"/>
      <c r="S630" s="2"/>
      <c r="T630" s="2"/>
      <c r="U630" s="2"/>
    </row>
    <row r="631" ht="15.75" customHeight="1">
      <c r="A631" s="1"/>
      <c r="B631" s="1"/>
      <c r="R631" s="2"/>
      <c r="S631" s="2"/>
      <c r="T631" s="2"/>
      <c r="U631" s="2"/>
    </row>
    <row r="632" ht="15.75" customHeight="1">
      <c r="A632" s="1"/>
      <c r="B632" s="1"/>
      <c r="R632" s="2"/>
      <c r="S632" s="2"/>
      <c r="T632" s="2"/>
      <c r="U632" s="2"/>
    </row>
    <row r="633" ht="15.75" customHeight="1">
      <c r="A633" s="1"/>
      <c r="B633" s="1"/>
      <c r="R633" s="2"/>
      <c r="S633" s="2"/>
      <c r="T633" s="2"/>
      <c r="U633" s="2"/>
    </row>
    <row r="634" ht="15.75" customHeight="1">
      <c r="A634" s="1"/>
      <c r="B634" s="1"/>
      <c r="R634" s="2"/>
      <c r="S634" s="2"/>
      <c r="T634" s="2"/>
      <c r="U634" s="2"/>
    </row>
    <row r="635" ht="15.75" customHeight="1">
      <c r="A635" s="1"/>
      <c r="B635" s="1"/>
      <c r="R635" s="2"/>
      <c r="S635" s="2"/>
      <c r="T635" s="2"/>
      <c r="U635" s="2"/>
    </row>
    <row r="636" ht="15.75" customHeight="1">
      <c r="A636" s="1"/>
      <c r="B636" s="1"/>
      <c r="R636" s="2"/>
      <c r="S636" s="2"/>
      <c r="T636" s="2"/>
      <c r="U636" s="2"/>
    </row>
    <row r="637" ht="15.75" customHeight="1">
      <c r="A637" s="1"/>
      <c r="B637" s="1"/>
      <c r="R637" s="2"/>
      <c r="S637" s="2"/>
      <c r="T637" s="2"/>
      <c r="U637" s="2"/>
    </row>
    <row r="638" ht="15.75" customHeight="1">
      <c r="A638" s="1"/>
      <c r="B638" s="1"/>
      <c r="R638" s="2"/>
      <c r="S638" s="2"/>
      <c r="T638" s="2"/>
      <c r="U638" s="2"/>
    </row>
    <row r="639" ht="15.75" customHeight="1">
      <c r="A639" s="1"/>
      <c r="B639" s="1"/>
      <c r="R639" s="2"/>
      <c r="S639" s="2"/>
      <c r="T639" s="2"/>
      <c r="U639" s="2"/>
    </row>
    <row r="640" ht="15.75" customHeight="1">
      <c r="A640" s="1"/>
      <c r="B640" s="1"/>
      <c r="R640" s="2"/>
      <c r="S640" s="2"/>
      <c r="T640" s="2"/>
      <c r="U640" s="2"/>
    </row>
    <row r="641" ht="15.75" customHeight="1">
      <c r="A641" s="1"/>
      <c r="B641" s="1"/>
      <c r="R641" s="2"/>
      <c r="S641" s="2"/>
      <c r="T641" s="2"/>
      <c r="U641" s="2"/>
    </row>
    <row r="642" ht="15.75" customHeight="1">
      <c r="A642" s="1"/>
      <c r="B642" s="1"/>
      <c r="R642" s="2"/>
      <c r="S642" s="2"/>
      <c r="T642" s="2"/>
      <c r="U642" s="2"/>
    </row>
    <row r="643" ht="15.75" customHeight="1">
      <c r="A643" s="1"/>
      <c r="B643" s="1"/>
      <c r="R643" s="2"/>
      <c r="S643" s="2"/>
      <c r="T643" s="2"/>
      <c r="U643" s="2"/>
    </row>
    <row r="644" ht="15.75" customHeight="1">
      <c r="A644" s="1"/>
      <c r="B644" s="1"/>
      <c r="R644" s="2"/>
      <c r="S644" s="2"/>
      <c r="T644" s="2"/>
      <c r="U644" s="2"/>
    </row>
    <row r="645" ht="15.75" customHeight="1">
      <c r="A645" s="1"/>
      <c r="B645" s="1"/>
      <c r="R645" s="2"/>
      <c r="S645" s="2"/>
      <c r="T645" s="2"/>
      <c r="U645" s="2"/>
    </row>
    <row r="646" ht="15.75" customHeight="1">
      <c r="A646" s="1"/>
      <c r="B646" s="1"/>
      <c r="R646" s="2"/>
      <c r="S646" s="2"/>
      <c r="T646" s="2"/>
      <c r="U646" s="2"/>
    </row>
    <row r="647" ht="15.75" customHeight="1">
      <c r="A647" s="1"/>
      <c r="B647" s="1"/>
      <c r="R647" s="2"/>
      <c r="S647" s="2"/>
      <c r="T647" s="2"/>
      <c r="U647" s="2"/>
    </row>
    <row r="648" ht="15.75" customHeight="1">
      <c r="A648" s="1"/>
      <c r="B648" s="1"/>
      <c r="R648" s="2"/>
      <c r="S648" s="2"/>
      <c r="T648" s="2"/>
      <c r="U648" s="2"/>
    </row>
    <row r="649" ht="15.75" customHeight="1">
      <c r="A649" s="1"/>
      <c r="B649" s="1"/>
      <c r="R649" s="2"/>
      <c r="S649" s="2"/>
      <c r="T649" s="2"/>
      <c r="U649" s="2"/>
    </row>
    <row r="650" ht="15.75" customHeight="1">
      <c r="A650" s="1"/>
      <c r="B650" s="1"/>
      <c r="R650" s="2"/>
      <c r="S650" s="2"/>
      <c r="T650" s="2"/>
      <c r="U650" s="2"/>
    </row>
    <row r="651" ht="15.75" customHeight="1">
      <c r="A651" s="1"/>
      <c r="B651" s="1"/>
      <c r="R651" s="2"/>
      <c r="S651" s="2"/>
      <c r="T651" s="2"/>
      <c r="U651" s="2"/>
    </row>
    <row r="652" ht="15.75" customHeight="1">
      <c r="A652" s="1"/>
      <c r="B652" s="1"/>
      <c r="R652" s="2"/>
      <c r="S652" s="2"/>
      <c r="T652" s="2"/>
      <c r="U652" s="2"/>
    </row>
    <row r="653" ht="15.75" customHeight="1">
      <c r="A653" s="1"/>
      <c r="B653" s="1"/>
      <c r="R653" s="2"/>
      <c r="S653" s="2"/>
      <c r="T653" s="2"/>
      <c r="U653" s="2"/>
    </row>
    <row r="654" ht="15.75" customHeight="1">
      <c r="A654" s="1"/>
      <c r="B654" s="1"/>
      <c r="R654" s="2"/>
      <c r="S654" s="2"/>
      <c r="T654" s="2"/>
      <c r="U654" s="2"/>
    </row>
    <row r="655" ht="15.75" customHeight="1">
      <c r="A655" s="1"/>
      <c r="B655" s="1"/>
      <c r="R655" s="2"/>
      <c r="S655" s="2"/>
      <c r="T655" s="2"/>
      <c r="U655" s="2"/>
    </row>
    <row r="656" ht="15.75" customHeight="1">
      <c r="A656" s="1"/>
      <c r="B656" s="1"/>
      <c r="R656" s="2"/>
      <c r="S656" s="2"/>
      <c r="T656" s="2"/>
      <c r="U656" s="2"/>
    </row>
    <row r="657" ht="15.75" customHeight="1">
      <c r="A657" s="1"/>
      <c r="B657" s="1"/>
      <c r="R657" s="2"/>
      <c r="S657" s="2"/>
      <c r="T657" s="2"/>
      <c r="U657" s="2"/>
    </row>
    <row r="658" ht="15.75" customHeight="1">
      <c r="A658" s="1"/>
      <c r="B658" s="1"/>
      <c r="R658" s="2"/>
      <c r="S658" s="2"/>
      <c r="T658" s="2"/>
      <c r="U658" s="2"/>
    </row>
    <row r="659" ht="15.75" customHeight="1">
      <c r="A659" s="1"/>
      <c r="B659" s="1"/>
      <c r="R659" s="2"/>
      <c r="S659" s="2"/>
      <c r="T659" s="2"/>
      <c r="U659" s="2"/>
    </row>
    <row r="660" ht="15.75" customHeight="1">
      <c r="A660" s="1"/>
      <c r="B660" s="1"/>
      <c r="R660" s="2"/>
      <c r="S660" s="2"/>
      <c r="T660" s="2"/>
      <c r="U660" s="2"/>
    </row>
    <row r="661" ht="15.75" customHeight="1">
      <c r="A661" s="1"/>
      <c r="B661" s="1"/>
      <c r="R661" s="2"/>
      <c r="S661" s="2"/>
      <c r="T661" s="2"/>
      <c r="U661" s="2"/>
    </row>
    <row r="662" ht="15.75" customHeight="1">
      <c r="A662" s="1"/>
      <c r="B662" s="1"/>
      <c r="R662" s="2"/>
      <c r="S662" s="2"/>
      <c r="T662" s="2"/>
      <c r="U662" s="2"/>
    </row>
    <row r="663" ht="15.75" customHeight="1">
      <c r="A663" s="1"/>
      <c r="B663" s="1"/>
      <c r="R663" s="2"/>
      <c r="S663" s="2"/>
      <c r="T663" s="2"/>
      <c r="U663" s="2"/>
    </row>
    <row r="664" ht="15.75" customHeight="1">
      <c r="A664" s="1"/>
      <c r="B664" s="1"/>
      <c r="R664" s="2"/>
      <c r="S664" s="2"/>
      <c r="T664" s="2"/>
      <c r="U664" s="2"/>
    </row>
    <row r="665" ht="15.75" customHeight="1">
      <c r="A665" s="1"/>
      <c r="B665" s="1"/>
      <c r="R665" s="2"/>
      <c r="S665" s="2"/>
      <c r="T665" s="2"/>
      <c r="U665" s="2"/>
    </row>
    <row r="666" ht="15.75" customHeight="1">
      <c r="A666" s="1"/>
      <c r="B666" s="1"/>
      <c r="R666" s="2"/>
      <c r="S666" s="2"/>
      <c r="T666" s="2"/>
      <c r="U666" s="2"/>
    </row>
    <row r="667" ht="15.75" customHeight="1">
      <c r="A667" s="1"/>
      <c r="B667" s="1"/>
      <c r="R667" s="2"/>
      <c r="S667" s="2"/>
      <c r="T667" s="2"/>
      <c r="U667" s="2"/>
    </row>
    <row r="668" ht="15.75" customHeight="1">
      <c r="A668" s="1"/>
      <c r="B668" s="1"/>
      <c r="R668" s="2"/>
      <c r="S668" s="2"/>
      <c r="T668" s="2"/>
      <c r="U668" s="2"/>
    </row>
    <row r="669" ht="15.75" customHeight="1">
      <c r="A669" s="1"/>
      <c r="B669" s="1"/>
      <c r="R669" s="2"/>
      <c r="S669" s="2"/>
      <c r="T669" s="2"/>
      <c r="U669" s="2"/>
    </row>
    <row r="670" ht="15.75" customHeight="1">
      <c r="A670" s="1"/>
      <c r="B670" s="1"/>
      <c r="R670" s="2"/>
      <c r="S670" s="2"/>
      <c r="T670" s="2"/>
      <c r="U670" s="2"/>
    </row>
    <row r="671" ht="15.75" customHeight="1">
      <c r="A671" s="1"/>
      <c r="B671" s="1"/>
      <c r="R671" s="2"/>
      <c r="S671" s="2"/>
      <c r="T671" s="2"/>
      <c r="U671" s="2"/>
    </row>
    <row r="672" ht="15.75" customHeight="1">
      <c r="A672" s="1"/>
      <c r="B672" s="1"/>
      <c r="R672" s="2"/>
      <c r="S672" s="2"/>
      <c r="T672" s="2"/>
      <c r="U672" s="2"/>
    </row>
    <row r="673" ht="15.75" customHeight="1">
      <c r="A673" s="1"/>
      <c r="B673" s="1"/>
      <c r="R673" s="2"/>
      <c r="S673" s="2"/>
      <c r="T673" s="2"/>
      <c r="U673" s="2"/>
    </row>
    <row r="674" ht="15.75" customHeight="1">
      <c r="A674" s="1"/>
      <c r="B674" s="1"/>
      <c r="R674" s="2"/>
      <c r="S674" s="2"/>
      <c r="T674" s="2"/>
      <c r="U674" s="2"/>
    </row>
    <row r="675" ht="15.75" customHeight="1">
      <c r="A675" s="1"/>
      <c r="B675" s="1"/>
      <c r="R675" s="2"/>
      <c r="S675" s="2"/>
      <c r="T675" s="2"/>
      <c r="U675" s="2"/>
    </row>
    <row r="676" ht="15.75" customHeight="1">
      <c r="A676" s="1"/>
      <c r="B676" s="1"/>
      <c r="R676" s="2"/>
      <c r="S676" s="2"/>
      <c r="T676" s="2"/>
      <c r="U676" s="2"/>
    </row>
    <row r="677" ht="15.75" customHeight="1">
      <c r="A677" s="1"/>
      <c r="B677" s="1"/>
      <c r="R677" s="2"/>
      <c r="S677" s="2"/>
      <c r="T677" s="2"/>
      <c r="U677" s="2"/>
    </row>
    <row r="678" ht="15.75" customHeight="1">
      <c r="A678" s="1"/>
      <c r="B678" s="1"/>
      <c r="R678" s="2"/>
      <c r="S678" s="2"/>
      <c r="T678" s="2"/>
      <c r="U678" s="2"/>
    </row>
    <row r="679" ht="15.75" customHeight="1">
      <c r="A679" s="1"/>
      <c r="B679" s="1"/>
      <c r="R679" s="2"/>
      <c r="S679" s="2"/>
      <c r="T679" s="2"/>
      <c r="U679" s="2"/>
    </row>
    <row r="680" ht="15.75" customHeight="1">
      <c r="A680" s="1"/>
      <c r="B680" s="1"/>
      <c r="R680" s="2"/>
      <c r="S680" s="2"/>
      <c r="T680" s="2"/>
      <c r="U680" s="2"/>
    </row>
    <row r="681" ht="15.75" customHeight="1">
      <c r="A681" s="1"/>
      <c r="B681" s="1"/>
      <c r="R681" s="2"/>
      <c r="S681" s="2"/>
      <c r="T681" s="2"/>
      <c r="U681" s="2"/>
    </row>
    <row r="682" ht="15.75" customHeight="1">
      <c r="A682" s="1"/>
      <c r="B682" s="1"/>
      <c r="R682" s="2"/>
      <c r="S682" s="2"/>
      <c r="T682" s="2"/>
      <c r="U682" s="2"/>
    </row>
    <row r="683" ht="15.75" customHeight="1">
      <c r="A683" s="1"/>
      <c r="B683" s="1"/>
      <c r="R683" s="2"/>
      <c r="S683" s="2"/>
      <c r="T683" s="2"/>
      <c r="U683" s="2"/>
    </row>
    <row r="684" ht="15.75" customHeight="1">
      <c r="A684" s="1"/>
      <c r="B684" s="1"/>
      <c r="R684" s="2"/>
      <c r="S684" s="2"/>
      <c r="T684" s="2"/>
      <c r="U684" s="2"/>
    </row>
    <row r="685" ht="15.75" customHeight="1">
      <c r="A685" s="1"/>
      <c r="B685" s="1"/>
      <c r="R685" s="2"/>
      <c r="S685" s="2"/>
      <c r="T685" s="2"/>
      <c r="U685" s="2"/>
    </row>
    <row r="686" ht="15.75" customHeight="1">
      <c r="A686" s="1"/>
      <c r="B686" s="1"/>
      <c r="R686" s="2"/>
      <c r="S686" s="2"/>
      <c r="T686" s="2"/>
      <c r="U686" s="2"/>
    </row>
    <row r="687" ht="15.75" customHeight="1">
      <c r="A687" s="1"/>
      <c r="B687" s="1"/>
      <c r="R687" s="2"/>
      <c r="S687" s="2"/>
      <c r="T687" s="2"/>
      <c r="U687" s="2"/>
    </row>
    <row r="688" ht="15.75" customHeight="1">
      <c r="A688" s="1"/>
      <c r="B688" s="1"/>
      <c r="R688" s="2"/>
      <c r="S688" s="2"/>
      <c r="T688" s="2"/>
      <c r="U688" s="2"/>
    </row>
    <row r="689" ht="15.75" customHeight="1">
      <c r="A689" s="1"/>
      <c r="B689" s="1"/>
      <c r="R689" s="2"/>
      <c r="S689" s="2"/>
      <c r="T689" s="2"/>
      <c r="U689" s="2"/>
    </row>
    <row r="690" ht="15.75" customHeight="1">
      <c r="A690" s="1"/>
      <c r="B690" s="1"/>
      <c r="R690" s="2"/>
      <c r="S690" s="2"/>
      <c r="T690" s="2"/>
      <c r="U690" s="2"/>
    </row>
    <row r="691" ht="15.75" customHeight="1">
      <c r="A691" s="1"/>
      <c r="B691" s="1"/>
      <c r="R691" s="2"/>
      <c r="S691" s="2"/>
      <c r="T691" s="2"/>
      <c r="U691" s="2"/>
    </row>
    <row r="692" ht="15.75" customHeight="1">
      <c r="A692" s="1"/>
      <c r="B692" s="1"/>
      <c r="R692" s="2"/>
      <c r="S692" s="2"/>
      <c r="T692" s="2"/>
      <c r="U692" s="2"/>
    </row>
    <row r="693" ht="15.75" customHeight="1">
      <c r="A693" s="1"/>
      <c r="B693" s="1"/>
      <c r="R693" s="2"/>
      <c r="S693" s="2"/>
      <c r="T693" s="2"/>
      <c r="U693" s="2"/>
    </row>
    <row r="694" ht="15.75" customHeight="1">
      <c r="A694" s="1"/>
      <c r="B694" s="1"/>
      <c r="R694" s="2"/>
      <c r="S694" s="2"/>
      <c r="T694" s="2"/>
      <c r="U694" s="2"/>
    </row>
    <row r="695" ht="15.75" customHeight="1">
      <c r="A695" s="1"/>
      <c r="B695" s="1"/>
      <c r="R695" s="2"/>
      <c r="S695" s="2"/>
      <c r="T695" s="2"/>
      <c r="U695" s="2"/>
    </row>
    <row r="696" ht="15.75" customHeight="1">
      <c r="A696" s="1"/>
      <c r="B696" s="1"/>
      <c r="R696" s="2"/>
      <c r="S696" s="2"/>
      <c r="T696" s="2"/>
      <c r="U696" s="2"/>
    </row>
    <row r="697" ht="15.75" customHeight="1">
      <c r="A697" s="1"/>
      <c r="B697" s="1"/>
      <c r="R697" s="2"/>
      <c r="S697" s="2"/>
      <c r="T697" s="2"/>
      <c r="U697" s="2"/>
    </row>
    <row r="698" ht="15.75" customHeight="1">
      <c r="A698" s="1"/>
      <c r="B698" s="1"/>
      <c r="R698" s="2"/>
      <c r="S698" s="2"/>
      <c r="T698" s="2"/>
      <c r="U698" s="2"/>
    </row>
    <row r="699" ht="15.75" customHeight="1">
      <c r="A699" s="1"/>
      <c r="B699" s="1"/>
      <c r="R699" s="2"/>
      <c r="S699" s="2"/>
      <c r="T699" s="2"/>
      <c r="U699" s="2"/>
    </row>
    <row r="700" ht="15.75" customHeight="1">
      <c r="A700" s="1"/>
      <c r="B700" s="1"/>
      <c r="R700" s="2"/>
      <c r="S700" s="2"/>
      <c r="T700" s="2"/>
      <c r="U700" s="2"/>
    </row>
    <row r="701" ht="15.75" customHeight="1">
      <c r="A701" s="1"/>
      <c r="B701" s="1"/>
      <c r="R701" s="2"/>
      <c r="S701" s="2"/>
      <c r="T701" s="2"/>
      <c r="U701" s="2"/>
    </row>
    <row r="702" ht="15.75" customHeight="1">
      <c r="A702" s="1"/>
      <c r="B702" s="1"/>
      <c r="R702" s="2"/>
      <c r="S702" s="2"/>
      <c r="T702" s="2"/>
      <c r="U702" s="2"/>
    </row>
    <row r="703" ht="15.75" customHeight="1">
      <c r="A703" s="1"/>
      <c r="B703" s="1"/>
      <c r="R703" s="2"/>
      <c r="S703" s="2"/>
      <c r="T703" s="2"/>
      <c r="U703" s="2"/>
    </row>
    <row r="704" ht="15.75" customHeight="1">
      <c r="A704" s="1"/>
      <c r="B704" s="1"/>
      <c r="R704" s="2"/>
      <c r="S704" s="2"/>
      <c r="T704" s="2"/>
      <c r="U704" s="2"/>
    </row>
    <row r="705" ht="15.75" customHeight="1">
      <c r="A705" s="1"/>
      <c r="B705" s="1"/>
      <c r="R705" s="2"/>
      <c r="S705" s="2"/>
      <c r="T705" s="2"/>
      <c r="U705" s="2"/>
    </row>
    <row r="706" ht="15.75" customHeight="1">
      <c r="A706" s="1"/>
      <c r="B706" s="1"/>
      <c r="R706" s="2"/>
      <c r="S706" s="2"/>
      <c r="T706" s="2"/>
      <c r="U706" s="2"/>
    </row>
    <row r="707" ht="15.75" customHeight="1">
      <c r="A707" s="1"/>
      <c r="B707" s="1"/>
      <c r="R707" s="2"/>
      <c r="S707" s="2"/>
      <c r="T707" s="2"/>
      <c r="U707" s="2"/>
    </row>
    <row r="708" ht="15.75" customHeight="1">
      <c r="A708" s="1"/>
      <c r="B708" s="1"/>
      <c r="R708" s="2"/>
      <c r="S708" s="2"/>
      <c r="T708" s="2"/>
      <c r="U708" s="2"/>
    </row>
    <row r="709" ht="15.75" customHeight="1">
      <c r="A709" s="1"/>
      <c r="B709" s="1"/>
      <c r="R709" s="2"/>
      <c r="S709" s="2"/>
      <c r="T709" s="2"/>
      <c r="U709" s="2"/>
    </row>
    <row r="710" ht="15.75" customHeight="1">
      <c r="A710" s="1"/>
      <c r="B710" s="1"/>
      <c r="R710" s="2"/>
      <c r="S710" s="2"/>
      <c r="T710" s="2"/>
      <c r="U710" s="2"/>
    </row>
    <row r="711" ht="15.75" customHeight="1">
      <c r="A711" s="1"/>
      <c r="B711" s="1"/>
      <c r="R711" s="2"/>
      <c r="S711" s="2"/>
      <c r="T711" s="2"/>
      <c r="U711" s="2"/>
    </row>
    <row r="712" ht="15.75" customHeight="1">
      <c r="A712" s="1"/>
      <c r="B712" s="1"/>
      <c r="R712" s="2"/>
      <c r="S712" s="2"/>
      <c r="T712" s="2"/>
      <c r="U712" s="2"/>
    </row>
    <row r="713" ht="15.75" customHeight="1">
      <c r="A713" s="1"/>
      <c r="B713" s="1"/>
      <c r="R713" s="2"/>
      <c r="S713" s="2"/>
      <c r="T713" s="2"/>
      <c r="U713" s="2"/>
    </row>
    <row r="714" ht="15.75" customHeight="1">
      <c r="A714" s="1"/>
      <c r="B714" s="1"/>
      <c r="R714" s="2"/>
      <c r="S714" s="2"/>
      <c r="T714" s="2"/>
      <c r="U714" s="2"/>
    </row>
    <row r="715" ht="15.75" customHeight="1">
      <c r="A715" s="1"/>
      <c r="B715" s="1"/>
      <c r="R715" s="2"/>
      <c r="S715" s="2"/>
      <c r="T715" s="2"/>
      <c r="U715" s="2"/>
    </row>
    <row r="716" ht="15.75" customHeight="1">
      <c r="A716" s="1"/>
      <c r="B716" s="1"/>
      <c r="R716" s="2"/>
      <c r="S716" s="2"/>
      <c r="T716" s="2"/>
      <c r="U716" s="2"/>
    </row>
    <row r="717" ht="15.75" customHeight="1">
      <c r="A717" s="1"/>
      <c r="B717" s="1"/>
      <c r="R717" s="2"/>
      <c r="S717" s="2"/>
      <c r="T717" s="2"/>
      <c r="U717" s="2"/>
    </row>
    <row r="718" ht="15.75" customHeight="1">
      <c r="A718" s="1"/>
      <c r="B718" s="1"/>
      <c r="R718" s="2"/>
      <c r="S718" s="2"/>
      <c r="T718" s="2"/>
      <c r="U718" s="2"/>
    </row>
    <row r="719" ht="15.75" customHeight="1">
      <c r="A719" s="1"/>
      <c r="B719" s="1"/>
      <c r="R719" s="2"/>
      <c r="S719" s="2"/>
      <c r="T719" s="2"/>
      <c r="U719" s="2"/>
    </row>
    <row r="720" ht="15.75" customHeight="1">
      <c r="A720" s="1"/>
      <c r="B720" s="1"/>
      <c r="R720" s="2"/>
      <c r="S720" s="2"/>
      <c r="T720" s="2"/>
      <c r="U720" s="2"/>
    </row>
    <row r="721" ht="15.75" customHeight="1">
      <c r="A721" s="1"/>
      <c r="B721" s="1"/>
      <c r="R721" s="2"/>
      <c r="S721" s="2"/>
      <c r="T721" s="2"/>
      <c r="U721" s="2"/>
    </row>
    <row r="722" ht="15.75" customHeight="1">
      <c r="A722" s="1"/>
      <c r="B722" s="1"/>
      <c r="R722" s="2"/>
      <c r="S722" s="2"/>
      <c r="T722" s="2"/>
      <c r="U722" s="2"/>
    </row>
    <row r="723" ht="15.75" customHeight="1">
      <c r="A723" s="1"/>
      <c r="B723" s="1"/>
      <c r="R723" s="2"/>
      <c r="S723" s="2"/>
      <c r="T723" s="2"/>
      <c r="U723" s="2"/>
    </row>
    <row r="724" ht="15.75" customHeight="1">
      <c r="A724" s="1"/>
      <c r="B724" s="1"/>
      <c r="R724" s="2"/>
      <c r="S724" s="2"/>
      <c r="T724" s="2"/>
      <c r="U724" s="2"/>
    </row>
    <row r="725" ht="15.75" customHeight="1">
      <c r="A725" s="1"/>
      <c r="B725" s="1"/>
      <c r="R725" s="2"/>
      <c r="S725" s="2"/>
      <c r="T725" s="2"/>
      <c r="U725" s="2"/>
    </row>
    <row r="726" ht="15.75" customHeight="1">
      <c r="A726" s="1"/>
      <c r="B726" s="1"/>
      <c r="R726" s="2"/>
      <c r="S726" s="2"/>
      <c r="T726" s="2"/>
      <c r="U726" s="2"/>
    </row>
    <row r="727" ht="15.75" customHeight="1">
      <c r="A727" s="1"/>
      <c r="B727" s="1"/>
      <c r="R727" s="2"/>
      <c r="S727" s="2"/>
      <c r="T727" s="2"/>
      <c r="U727" s="2"/>
    </row>
    <row r="728" ht="15.75" customHeight="1">
      <c r="A728" s="1"/>
      <c r="B728" s="1"/>
      <c r="R728" s="2"/>
      <c r="S728" s="2"/>
      <c r="T728" s="2"/>
      <c r="U728" s="2"/>
    </row>
    <row r="729" ht="15.75" customHeight="1">
      <c r="A729" s="1"/>
      <c r="B729" s="1"/>
      <c r="R729" s="2"/>
      <c r="S729" s="2"/>
      <c r="T729" s="2"/>
      <c r="U729" s="2"/>
    </row>
    <row r="730" ht="15.75" customHeight="1">
      <c r="A730" s="1"/>
      <c r="B730" s="1"/>
      <c r="R730" s="2"/>
      <c r="S730" s="2"/>
      <c r="T730" s="2"/>
      <c r="U730" s="2"/>
    </row>
    <row r="731" ht="15.75" customHeight="1">
      <c r="A731" s="1"/>
      <c r="B731" s="1"/>
      <c r="R731" s="2"/>
      <c r="S731" s="2"/>
      <c r="T731" s="2"/>
      <c r="U731" s="2"/>
    </row>
    <row r="732" ht="15.75" customHeight="1">
      <c r="A732" s="1"/>
      <c r="B732" s="1"/>
      <c r="R732" s="2"/>
      <c r="S732" s="2"/>
      <c r="T732" s="2"/>
      <c r="U732" s="2"/>
    </row>
    <row r="733" ht="15.75" customHeight="1">
      <c r="A733" s="1"/>
      <c r="B733" s="1"/>
      <c r="R733" s="2"/>
      <c r="S733" s="2"/>
      <c r="T733" s="2"/>
      <c r="U733" s="2"/>
    </row>
    <row r="734" ht="15.75" customHeight="1">
      <c r="A734" s="1"/>
      <c r="B734" s="1"/>
      <c r="R734" s="2"/>
      <c r="S734" s="2"/>
      <c r="T734" s="2"/>
      <c r="U734" s="2"/>
    </row>
    <row r="735" ht="15.75" customHeight="1">
      <c r="A735" s="1"/>
      <c r="B735" s="1"/>
      <c r="R735" s="2"/>
      <c r="S735" s="2"/>
      <c r="T735" s="2"/>
      <c r="U735" s="2"/>
    </row>
    <row r="736" ht="15.75" customHeight="1">
      <c r="A736" s="1"/>
      <c r="B736" s="1"/>
      <c r="R736" s="2"/>
      <c r="S736" s="2"/>
      <c r="T736" s="2"/>
      <c r="U736" s="2"/>
    </row>
    <row r="737" ht="15.75" customHeight="1">
      <c r="A737" s="1"/>
      <c r="B737" s="1"/>
      <c r="R737" s="2"/>
      <c r="S737" s="2"/>
      <c r="T737" s="2"/>
      <c r="U737" s="2"/>
    </row>
    <row r="738" ht="15.75" customHeight="1">
      <c r="A738" s="1"/>
      <c r="B738" s="1"/>
      <c r="R738" s="2"/>
      <c r="S738" s="2"/>
      <c r="T738" s="2"/>
      <c r="U738" s="2"/>
    </row>
    <row r="739" ht="15.75" customHeight="1">
      <c r="A739" s="1"/>
      <c r="B739" s="1"/>
      <c r="R739" s="2"/>
      <c r="S739" s="2"/>
      <c r="T739" s="2"/>
      <c r="U739" s="2"/>
    </row>
    <row r="740" ht="15.75" customHeight="1">
      <c r="A740" s="1"/>
      <c r="B740" s="1"/>
      <c r="R740" s="2"/>
      <c r="S740" s="2"/>
      <c r="T740" s="2"/>
      <c r="U740" s="2"/>
    </row>
    <row r="741" ht="15.75" customHeight="1">
      <c r="A741" s="1"/>
      <c r="B741" s="1"/>
      <c r="R741" s="2"/>
      <c r="S741" s="2"/>
      <c r="T741" s="2"/>
      <c r="U741" s="2"/>
    </row>
    <row r="742" ht="15.75" customHeight="1">
      <c r="A742" s="1"/>
      <c r="B742" s="1"/>
      <c r="R742" s="2"/>
      <c r="S742" s="2"/>
      <c r="T742" s="2"/>
      <c r="U742" s="2"/>
    </row>
    <row r="743" ht="15.75" customHeight="1">
      <c r="A743" s="1"/>
      <c r="B743" s="1"/>
      <c r="R743" s="2"/>
      <c r="S743" s="2"/>
      <c r="T743" s="2"/>
      <c r="U743" s="2"/>
    </row>
    <row r="744" ht="15.75" customHeight="1">
      <c r="A744" s="1"/>
      <c r="B744" s="1"/>
      <c r="R744" s="2"/>
      <c r="S744" s="2"/>
      <c r="T744" s="2"/>
      <c r="U744" s="2"/>
    </row>
    <row r="745" ht="15.75" customHeight="1">
      <c r="A745" s="1"/>
      <c r="B745" s="1"/>
      <c r="R745" s="2"/>
      <c r="S745" s="2"/>
      <c r="T745" s="2"/>
      <c r="U745" s="2"/>
    </row>
    <row r="746" ht="15.75" customHeight="1">
      <c r="A746" s="1"/>
      <c r="B746" s="1"/>
      <c r="R746" s="2"/>
      <c r="S746" s="2"/>
      <c r="T746" s="2"/>
      <c r="U746" s="2"/>
    </row>
    <row r="747" ht="15.75" customHeight="1">
      <c r="A747" s="1"/>
      <c r="B747" s="1"/>
      <c r="R747" s="2"/>
      <c r="S747" s="2"/>
      <c r="T747" s="2"/>
      <c r="U747" s="2"/>
    </row>
    <row r="748" ht="15.75" customHeight="1">
      <c r="A748" s="1"/>
      <c r="B748" s="1"/>
      <c r="R748" s="2"/>
      <c r="S748" s="2"/>
      <c r="T748" s="2"/>
      <c r="U748" s="2"/>
    </row>
    <row r="749" ht="15.75" customHeight="1">
      <c r="A749" s="1"/>
      <c r="B749" s="1"/>
      <c r="R749" s="2"/>
      <c r="S749" s="2"/>
      <c r="T749" s="2"/>
      <c r="U749" s="2"/>
    </row>
    <row r="750" ht="15.75" customHeight="1">
      <c r="A750" s="1"/>
      <c r="B750" s="1"/>
      <c r="R750" s="2"/>
      <c r="S750" s="2"/>
      <c r="T750" s="2"/>
      <c r="U750" s="2"/>
    </row>
    <row r="751" ht="15.75" customHeight="1">
      <c r="A751" s="1"/>
      <c r="B751" s="1"/>
      <c r="R751" s="2"/>
      <c r="S751" s="2"/>
      <c r="T751" s="2"/>
      <c r="U751" s="2"/>
    </row>
    <row r="752" ht="15.75" customHeight="1">
      <c r="A752" s="1"/>
      <c r="B752" s="1"/>
      <c r="R752" s="2"/>
      <c r="S752" s="2"/>
      <c r="T752" s="2"/>
      <c r="U752" s="2"/>
    </row>
    <row r="753" ht="15.75" customHeight="1">
      <c r="A753" s="1"/>
      <c r="B753" s="1"/>
      <c r="R753" s="2"/>
      <c r="S753" s="2"/>
      <c r="T753" s="2"/>
      <c r="U753" s="2"/>
    </row>
    <row r="754" ht="15.75" customHeight="1">
      <c r="A754" s="1"/>
      <c r="B754" s="1"/>
      <c r="R754" s="2"/>
      <c r="S754" s="2"/>
      <c r="T754" s="2"/>
      <c r="U754" s="2"/>
    </row>
    <row r="755" ht="15.75" customHeight="1">
      <c r="A755" s="1"/>
      <c r="B755" s="1"/>
      <c r="R755" s="2"/>
      <c r="S755" s="2"/>
      <c r="T755" s="2"/>
      <c r="U755" s="2"/>
    </row>
    <row r="756" ht="15.75" customHeight="1">
      <c r="A756" s="1"/>
      <c r="B756" s="1"/>
      <c r="R756" s="2"/>
      <c r="S756" s="2"/>
      <c r="T756" s="2"/>
      <c r="U756" s="2"/>
    </row>
    <row r="757" ht="15.75" customHeight="1">
      <c r="A757" s="1"/>
      <c r="B757" s="1"/>
      <c r="R757" s="2"/>
      <c r="S757" s="2"/>
      <c r="T757" s="2"/>
      <c r="U757" s="2"/>
    </row>
    <row r="758" ht="15.75" customHeight="1">
      <c r="A758" s="1"/>
      <c r="B758" s="1"/>
      <c r="R758" s="2"/>
      <c r="S758" s="2"/>
      <c r="T758" s="2"/>
      <c r="U758" s="2"/>
    </row>
    <row r="759" ht="15.75" customHeight="1">
      <c r="A759" s="1"/>
      <c r="B759" s="1"/>
      <c r="R759" s="2"/>
      <c r="S759" s="2"/>
      <c r="T759" s="2"/>
      <c r="U759" s="2"/>
    </row>
    <row r="760" ht="15.75" customHeight="1">
      <c r="A760" s="1"/>
      <c r="B760" s="1"/>
      <c r="R760" s="2"/>
      <c r="S760" s="2"/>
      <c r="T760" s="2"/>
      <c r="U760" s="2"/>
    </row>
    <row r="761" ht="15.75" customHeight="1">
      <c r="A761" s="1"/>
      <c r="B761" s="1"/>
      <c r="R761" s="2"/>
      <c r="S761" s="2"/>
      <c r="T761" s="2"/>
      <c r="U761" s="2"/>
    </row>
    <row r="762" ht="15.75" customHeight="1">
      <c r="A762" s="1"/>
      <c r="B762" s="1"/>
      <c r="R762" s="2"/>
      <c r="S762" s="2"/>
      <c r="T762" s="2"/>
      <c r="U762" s="2"/>
    </row>
    <row r="763" ht="15.75" customHeight="1">
      <c r="A763" s="1"/>
      <c r="B763" s="1"/>
      <c r="R763" s="2"/>
      <c r="S763" s="2"/>
      <c r="T763" s="2"/>
      <c r="U763" s="2"/>
    </row>
    <row r="764" ht="15.75" customHeight="1">
      <c r="A764" s="1"/>
      <c r="B764" s="1"/>
      <c r="R764" s="2"/>
      <c r="S764" s="2"/>
      <c r="T764" s="2"/>
      <c r="U764" s="2"/>
    </row>
    <row r="765" ht="15.75" customHeight="1">
      <c r="A765" s="1"/>
      <c r="B765" s="1"/>
      <c r="R765" s="2"/>
      <c r="S765" s="2"/>
      <c r="T765" s="2"/>
      <c r="U765" s="2"/>
    </row>
    <row r="766" ht="15.75" customHeight="1">
      <c r="A766" s="1"/>
      <c r="B766" s="1"/>
      <c r="R766" s="2"/>
      <c r="S766" s="2"/>
      <c r="T766" s="2"/>
      <c r="U766" s="2"/>
    </row>
    <row r="767" ht="15.75" customHeight="1">
      <c r="A767" s="1"/>
      <c r="B767" s="1"/>
      <c r="R767" s="2"/>
      <c r="S767" s="2"/>
      <c r="T767" s="2"/>
      <c r="U767" s="2"/>
    </row>
    <row r="768" ht="15.75" customHeight="1">
      <c r="A768" s="1"/>
      <c r="B768" s="1"/>
      <c r="R768" s="2"/>
      <c r="S768" s="2"/>
      <c r="T768" s="2"/>
      <c r="U768" s="2"/>
    </row>
    <row r="769" ht="15.75" customHeight="1">
      <c r="A769" s="1"/>
      <c r="B769" s="1"/>
      <c r="R769" s="2"/>
      <c r="S769" s="2"/>
      <c r="T769" s="2"/>
      <c r="U769" s="2"/>
    </row>
    <row r="770" ht="15.75" customHeight="1">
      <c r="A770" s="1"/>
      <c r="B770" s="1"/>
      <c r="R770" s="2"/>
      <c r="S770" s="2"/>
      <c r="T770" s="2"/>
      <c r="U770" s="2"/>
    </row>
    <row r="771" ht="15.75" customHeight="1">
      <c r="A771" s="1"/>
      <c r="B771" s="1"/>
      <c r="R771" s="2"/>
      <c r="S771" s="2"/>
      <c r="T771" s="2"/>
      <c r="U771" s="2"/>
    </row>
    <row r="772" ht="15.75" customHeight="1">
      <c r="A772" s="1"/>
      <c r="B772" s="1"/>
      <c r="R772" s="2"/>
      <c r="S772" s="2"/>
      <c r="T772" s="2"/>
      <c r="U772" s="2"/>
    </row>
    <row r="773" ht="15.75" customHeight="1">
      <c r="A773" s="1"/>
      <c r="B773" s="1"/>
      <c r="R773" s="2"/>
      <c r="S773" s="2"/>
      <c r="T773" s="2"/>
      <c r="U773" s="2"/>
    </row>
    <row r="774" ht="15.75" customHeight="1">
      <c r="A774" s="1"/>
      <c r="B774" s="1"/>
      <c r="R774" s="2"/>
      <c r="S774" s="2"/>
      <c r="T774" s="2"/>
      <c r="U774" s="2"/>
    </row>
    <row r="775" ht="15.75" customHeight="1">
      <c r="A775" s="1"/>
      <c r="B775" s="1"/>
      <c r="R775" s="2"/>
      <c r="S775" s="2"/>
      <c r="T775" s="2"/>
      <c r="U775" s="2"/>
    </row>
    <row r="776" ht="15.75" customHeight="1">
      <c r="A776" s="1"/>
      <c r="B776" s="1"/>
      <c r="R776" s="2"/>
      <c r="S776" s="2"/>
      <c r="T776" s="2"/>
      <c r="U776" s="2"/>
    </row>
    <row r="777" ht="15.75" customHeight="1">
      <c r="A777" s="1"/>
      <c r="B777" s="1"/>
      <c r="R777" s="2"/>
      <c r="S777" s="2"/>
      <c r="T777" s="2"/>
      <c r="U777" s="2"/>
    </row>
    <row r="778" ht="15.75" customHeight="1">
      <c r="A778" s="1"/>
      <c r="B778" s="1"/>
      <c r="R778" s="2"/>
      <c r="S778" s="2"/>
      <c r="T778" s="2"/>
      <c r="U778" s="2"/>
    </row>
    <row r="779" ht="15.75" customHeight="1">
      <c r="A779" s="1"/>
      <c r="B779" s="1"/>
      <c r="R779" s="2"/>
      <c r="S779" s="2"/>
      <c r="T779" s="2"/>
      <c r="U779" s="2"/>
    </row>
    <row r="780" ht="15.75" customHeight="1">
      <c r="A780" s="1"/>
      <c r="B780" s="1"/>
      <c r="R780" s="2"/>
      <c r="S780" s="2"/>
      <c r="T780" s="2"/>
      <c r="U780" s="2"/>
    </row>
    <row r="781" ht="15.75" customHeight="1">
      <c r="A781" s="1"/>
      <c r="B781" s="1"/>
      <c r="R781" s="2"/>
      <c r="S781" s="2"/>
      <c r="T781" s="2"/>
      <c r="U781" s="2"/>
    </row>
    <row r="782" ht="15.75" customHeight="1">
      <c r="A782" s="1"/>
      <c r="B782" s="1"/>
      <c r="R782" s="2"/>
      <c r="S782" s="2"/>
      <c r="T782" s="2"/>
      <c r="U782" s="2"/>
    </row>
    <row r="783" ht="15.75" customHeight="1">
      <c r="A783" s="1"/>
      <c r="B783" s="1"/>
      <c r="R783" s="2"/>
      <c r="S783" s="2"/>
      <c r="T783" s="2"/>
      <c r="U783" s="2"/>
    </row>
    <row r="784" ht="15.75" customHeight="1">
      <c r="A784" s="1"/>
      <c r="B784" s="1"/>
      <c r="R784" s="2"/>
      <c r="S784" s="2"/>
      <c r="T784" s="2"/>
      <c r="U784" s="2"/>
    </row>
    <row r="785" ht="15.75" customHeight="1">
      <c r="A785" s="1"/>
      <c r="B785" s="1"/>
      <c r="R785" s="2"/>
      <c r="S785" s="2"/>
      <c r="T785" s="2"/>
      <c r="U785" s="2"/>
    </row>
    <row r="786" ht="15.75" customHeight="1">
      <c r="A786" s="1"/>
      <c r="B786" s="1"/>
      <c r="R786" s="2"/>
      <c r="S786" s="2"/>
      <c r="T786" s="2"/>
      <c r="U786" s="2"/>
    </row>
    <row r="787" ht="15.75" customHeight="1">
      <c r="A787" s="1"/>
      <c r="B787" s="1"/>
      <c r="R787" s="2"/>
      <c r="S787" s="2"/>
      <c r="T787" s="2"/>
      <c r="U787" s="2"/>
    </row>
    <row r="788" ht="15.75" customHeight="1">
      <c r="A788" s="1"/>
      <c r="B788" s="1"/>
      <c r="R788" s="2"/>
      <c r="S788" s="2"/>
      <c r="T788" s="2"/>
      <c r="U788" s="2"/>
    </row>
    <row r="789" ht="15.75" customHeight="1">
      <c r="A789" s="1"/>
      <c r="B789" s="1"/>
      <c r="R789" s="2"/>
      <c r="S789" s="2"/>
      <c r="T789" s="2"/>
      <c r="U789" s="2"/>
    </row>
    <row r="790" ht="15.75" customHeight="1">
      <c r="A790" s="1"/>
      <c r="B790" s="1"/>
      <c r="R790" s="2"/>
      <c r="S790" s="2"/>
      <c r="T790" s="2"/>
      <c r="U790" s="2"/>
    </row>
    <row r="791" ht="15.75" customHeight="1">
      <c r="A791" s="1"/>
      <c r="B791" s="1"/>
      <c r="R791" s="2"/>
      <c r="S791" s="2"/>
      <c r="T791" s="2"/>
      <c r="U791" s="2"/>
    </row>
    <row r="792" ht="15.75" customHeight="1">
      <c r="A792" s="1"/>
      <c r="B792" s="1"/>
      <c r="R792" s="2"/>
      <c r="S792" s="2"/>
      <c r="T792" s="2"/>
      <c r="U792" s="2"/>
    </row>
    <row r="793" ht="15.75" customHeight="1">
      <c r="A793" s="1"/>
      <c r="B793" s="1"/>
      <c r="R793" s="2"/>
      <c r="S793" s="2"/>
      <c r="T793" s="2"/>
      <c r="U793" s="2"/>
    </row>
    <row r="794" ht="15.75" customHeight="1">
      <c r="A794" s="1"/>
      <c r="B794" s="1"/>
      <c r="R794" s="2"/>
      <c r="S794" s="2"/>
      <c r="T794" s="2"/>
      <c r="U794" s="2"/>
    </row>
    <row r="795" ht="15.75" customHeight="1">
      <c r="A795" s="1"/>
      <c r="B795" s="1"/>
      <c r="R795" s="2"/>
      <c r="S795" s="2"/>
      <c r="T795" s="2"/>
      <c r="U795" s="2"/>
    </row>
    <row r="796" ht="15.75" customHeight="1">
      <c r="A796" s="1"/>
      <c r="B796" s="1"/>
      <c r="R796" s="2"/>
      <c r="S796" s="2"/>
      <c r="T796" s="2"/>
      <c r="U796" s="2"/>
    </row>
    <row r="797" ht="15.75" customHeight="1">
      <c r="A797" s="1"/>
      <c r="B797" s="1"/>
      <c r="R797" s="2"/>
      <c r="S797" s="2"/>
      <c r="T797" s="2"/>
      <c r="U797" s="2"/>
    </row>
    <row r="798" ht="15.75" customHeight="1">
      <c r="A798" s="1"/>
      <c r="B798" s="1"/>
      <c r="R798" s="2"/>
      <c r="S798" s="2"/>
      <c r="T798" s="2"/>
      <c r="U798" s="2"/>
    </row>
    <row r="799" ht="15.75" customHeight="1">
      <c r="A799" s="1"/>
      <c r="B799" s="1"/>
      <c r="R799" s="2"/>
      <c r="S799" s="2"/>
      <c r="T799" s="2"/>
      <c r="U799" s="2"/>
    </row>
    <row r="800" ht="15.75" customHeight="1">
      <c r="A800" s="1"/>
      <c r="B800" s="1"/>
      <c r="R800" s="2"/>
      <c r="S800" s="2"/>
      <c r="T800" s="2"/>
      <c r="U800" s="2"/>
    </row>
    <row r="801" ht="15.75" customHeight="1">
      <c r="A801" s="1"/>
      <c r="B801" s="1"/>
      <c r="R801" s="2"/>
      <c r="S801" s="2"/>
      <c r="T801" s="2"/>
      <c r="U801" s="2"/>
    </row>
    <row r="802" ht="15.75" customHeight="1">
      <c r="A802" s="1"/>
      <c r="B802" s="1"/>
      <c r="R802" s="2"/>
      <c r="S802" s="2"/>
      <c r="T802" s="2"/>
      <c r="U802" s="2"/>
    </row>
    <row r="803" ht="15.75" customHeight="1">
      <c r="A803" s="1"/>
      <c r="B803" s="1"/>
      <c r="R803" s="2"/>
      <c r="S803" s="2"/>
      <c r="T803" s="2"/>
      <c r="U803" s="2"/>
    </row>
    <row r="804" ht="15.75" customHeight="1">
      <c r="A804" s="1"/>
      <c r="B804" s="1"/>
      <c r="R804" s="2"/>
      <c r="S804" s="2"/>
      <c r="T804" s="2"/>
      <c r="U804" s="2"/>
    </row>
    <row r="805" ht="15.75" customHeight="1">
      <c r="A805" s="1"/>
      <c r="B805" s="1"/>
      <c r="R805" s="2"/>
      <c r="S805" s="2"/>
      <c r="T805" s="2"/>
      <c r="U805" s="2"/>
    </row>
    <row r="806" ht="15.75" customHeight="1">
      <c r="A806" s="1"/>
      <c r="B806" s="1"/>
      <c r="R806" s="2"/>
      <c r="S806" s="2"/>
      <c r="T806" s="2"/>
      <c r="U806" s="2"/>
    </row>
    <row r="807" ht="15.75" customHeight="1">
      <c r="A807" s="1"/>
      <c r="B807" s="1"/>
      <c r="R807" s="2"/>
      <c r="S807" s="2"/>
      <c r="T807" s="2"/>
      <c r="U807" s="2"/>
    </row>
    <row r="808" ht="15.75" customHeight="1">
      <c r="A808" s="1"/>
      <c r="B808" s="1"/>
      <c r="R808" s="2"/>
      <c r="S808" s="2"/>
      <c r="T808" s="2"/>
      <c r="U808" s="2"/>
    </row>
    <row r="809" ht="15.75" customHeight="1">
      <c r="A809" s="1"/>
      <c r="B809" s="1"/>
      <c r="R809" s="2"/>
      <c r="S809" s="2"/>
      <c r="T809" s="2"/>
      <c r="U809" s="2"/>
    </row>
    <row r="810" ht="15.75" customHeight="1">
      <c r="A810" s="1"/>
      <c r="B810" s="1"/>
      <c r="R810" s="2"/>
      <c r="S810" s="2"/>
      <c r="T810" s="2"/>
      <c r="U810" s="2"/>
    </row>
    <row r="811" ht="15.75" customHeight="1">
      <c r="A811" s="1"/>
      <c r="B811" s="1"/>
      <c r="R811" s="2"/>
      <c r="S811" s="2"/>
      <c r="T811" s="2"/>
      <c r="U811" s="2"/>
    </row>
    <row r="812" ht="15.75" customHeight="1">
      <c r="A812" s="1"/>
      <c r="B812" s="1"/>
      <c r="R812" s="2"/>
      <c r="S812" s="2"/>
      <c r="T812" s="2"/>
      <c r="U812" s="2"/>
    </row>
    <row r="813" ht="15.75" customHeight="1">
      <c r="A813" s="1"/>
      <c r="B813" s="1"/>
      <c r="R813" s="2"/>
      <c r="S813" s="2"/>
      <c r="T813" s="2"/>
      <c r="U813" s="2"/>
    </row>
    <row r="814" ht="15.75" customHeight="1">
      <c r="A814" s="1"/>
      <c r="B814" s="1"/>
      <c r="R814" s="2"/>
      <c r="S814" s="2"/>
      <c r="T814" s="2"/>
      <c r="U814" s="2"/>
    </row>
    <row r="815" ht="15.75" customHeight="1">
      <c r="A815" s="1"/>
      <c r="B815" s="1"/>
      <c r="R815" s="2"/>
      <c r="S815" s="2"/>
      <c r="T815" s="2"/>
      <c r="U815" s="2"/>
    </row>
    <row r="816" ht="15.75" customHeight="1">
      <c r="A816" s="1"/>
      <c r="B816" s="1"/>
      <c r="R816" s="2"/>
      <c r="S816" s="2"/>
      <c r="T816" s="2"/>
      <c r="U816" s="2"/>
    </row>
    <row r="817" ht="15.75" customHeight="1">
      <c r="A817" s="1"/>
      <c r="B817" s="1"/>
      <c r="R817" s="2"/>
      <c r="S817" s="2"/>
      <c r="T817" s="2"/>
      <c r="U817" s="2"/>
    </row>
    <row r="818" ht="15.75" customHeight="1">
      <c r="A818" s="1"/>
      <c r="B818" s="1"/>
      <c r="R818" s="2"/>
      <c r="S818" s="2"/>
      <c r="T818" s="2"/>
      <c r="U818" s="2"/>
    </row>
    <row r="819" ht="15.75" customHeight="1">
      <c r="A819" s="1"/>
      <c r="B819" s="1"/>
      <c r="R819" s="2"/>
      <c r="S819" s="2"/>
      <c r="T819" s="2"/>
      <c r="U819" s="2"/>
    </row>
    <row r="820" ht="15.75" customHeight="1">
      <c r="A820" s="1"/>
      <c r="B820" s="1"/>
      <c r="R820" s="2"/>
      <c r="S820" s="2"/>
      <c r="T820" s="2"/>
      <c r="U820" s="2"/>
    </row>
    <row r="821" ht="15.75" customHeight="1">
      <c r="A821" s="1"/>
      <c r="B821" s="1"/>
      <c r="R821" s="2"/>
      <c r="S821" s="2"/>
      <c r="T821" s="2"/>
      <c r="U821" s="2"/>
    </row>
    <row r="822" ht="15.75" customHeight="1">
      <c r="A822" s="1"/>
      <c r="B822" s="1"/>
      <c r="R822" s="2"/>
      <c r="S822" s="2"/>
      <c r="T822" s="2"/>
      <c r="U822" s="2"/>
    </row>
    <row r="823" ht="15.75" customHeight="1">
      <c r="A823" s="1"/>
      <c r="B823" s="1"/>
      <c r="R823" s="2"/>
      <c r="S823" s="2"/>
      <c r="T823" s="2"/>
      <c r="U823" s="2"/>
    </row>
    <row r="824" ht="15.75" customHeight="1">
      <c r="A824" s="1"/>
      <c r="B824" s="1"/>
      <c r="R824" s="2"/>
      <c r="S824" s="2"/>
      <c r="T824" s="2"/>
      <c r="U824" s="2"/>
    </row>
    <row r="825" ht="15.75" customHeight="1">
      <c r="A825" s="1"/>
      <c r="B825" s="1"/>
      <c r="R825" s="2"/>
      <c r="S825" s="2"/>
      <c r="T825" s="2"/>
      <c r="U825" s="2"/>
    </row>
    <row r="826" ht="15.75" customHeight="1">
      <c r="A826" s="1"/>
      <c r="B826" s="1"/>
      <c r="R826" s="2"/>
      <c r="S826" s="2"/>
      <c r="T826" s="2"/>
      <c r="U826" s="2"/>
    </row>
    <row r="827" ht="15.75" customHeight="1">
      <c r="A827" s="1"/>
      <c r="B827" s="1"/>
      <c r="R827" s="2"/>
      <c r="S827" s="2"/>
      <c r="T827" s="2"/>
      <c r="U827" s="2"/>
    </row>
    <row r="828" ht="15.75" customHeight="1">
      <c r="A828" s="1"/>
      <c r="B828" s="1"/>
      <c r="R828" s="2"/>
      <c r="S828" s="2"/>
      <c r="T828" s="2"/>
      <c r="U828" s="2"/>
    </row>
    <row r="829" ht="15.75" customHeight="1">
      <c r="A829" s="1"/>
      <c r="B829" s="1"/>
      <c r="R829" s="2"/>
      <c r="S829" s="2"/>
      <c r="T829" s="2"/>
      <c r="U829" s="2"/>
    </row>
    <row r="830" ht="15.75" customHeight="1">
      <c r="A830" s="1"/>
      <c r="B830" s="1"/>
      <c r="R830" s="2"/>
      <c r="S830" s="2"/>
      <c r="T830" s="2"/>
      <c r="U830" s="2"/>
    </row>
    <row r="831" ht="15.75" customHeight="1">
      <c r="A831" s="1"/>
      <c r="B831" s="1"/>
      <c r="R831" s="2"/>
      <c r="S831" s="2"/>
      <c r="T831" s="2"/>
      <c r="U831" s="2"/>
    </row>
    <row r="832" ht="15.75" customHeight="1">
      <c r="A832" s="1"/>
      <c r="B832" s="1"/>
      <c r="R832" s="2"/>
      <c r="S832" s="2"/>
      <c r="T832" s="2"/>
      <c r="U832" s="2"/>
    </row>
    <row r="833" ht="15.75" customHeight="1">
      <c r="A833" s="1"/>
      <c r="B833" s="1"/>
      <c r="R833" s="2"/>
      <c r="S833" s="2"/>
      <c r="T833" s="2"/>
      <c r="U833" s="2"/>
    </row>
    <row r="834" ht="15.75" customHeight="1">
      <c r="A834" s="1"/>
      <c r="B834" s="1"/>
      <c r="R834" s="2"/>
      <c r="S834" s="2"/>
      <c r="T834" s="2"/>
      <c r="U834" s="2"/>
    </row>
    <row r="835" ht="15.75" customHeight="1">
      <c r="A835" s="1"/>
      <c r="B835" s="1"/>
      <c r="R835" s="2"/>
      <c r="S835" s="2"/>
      <c r="T835" s="2"/>
      <c r="U835" s="2"/>
    </row>
    <row r="836" ht="15.75" customHeight="1">
      <c r="A836" s="1"/>
      <c r="B836" s="1"/>
      <c r="R836" s="2"/>
      <c r="S836" s="2"/>
      <c r="T836" s="2"/>
      <c r="U836" s="2"/>
    </row>
    <row r="837" ht="15.75" customHeight="1">
      <c r="A837" s="1"/>
      <c r="B837" s="1"/>
      <c r="R837" s="2"/>
      <c r="S837" s="2"/>
      <c r="T837" s="2"/>
      <c r="U837" s="2"/>
    </row>
    <row r="838" ht="15.75" customHeight="1">
      <c r="A838" s="1"/>
      <c r="B838" s="1"/>
      <c r="R838" s="2"/>
      <c r="S838" s="2"/>
      <c r="T838" s="2"/>
      <c r="U838" s="2"/>
    </row>
    <row r="839" ht="15.75" customHeight="1">
      <c r="A839" s="1"/>
      <c r="B839" s="1"/>
      <c r="R839" s="2"/>
      <c r="S839" s="2"/>
      <c r="T839" s="2"/>
      <c r="U839" s="2"/>
    </row>
    <row r="840" ht="15.75" customHeight="1">
      <c r="A840" s="1"/>
      <c r="B840" s="1"/>
      <c r="R840" s="2"/>
      <c r="S840" s="2"/>
      <c r="T840" s="2"/>
      <c r="U840" s="2"/>
    </row>
    <row r="841" ht="15.75" customHeight="1">
      <c r="A841" s="1"/>
      <c r="B841" s="1"/>
      <c r="R841" s="2"/>
      <c r="S841" s="2"/>
      <c r="T841" s="2"/>
      <c r="U841" s="2"/>
    </row>
    <row r="842" ht="15.75" customHeight="1">
      <c r="A842" s="1"/>
      <c r="B842" s="1"/>
      <c r="R842" s="2"/>
      <c r="S842" s="2"/>
      <c r="T842" s="2"/>
      <c r="U842" s="2"/>
    </row>
    <row r="843" ht="15.75" customHeight="1">
      <c r="A843" s="1"/>
      <c r="B843" s="1"/>
      <c r="R843" s="2"/>
      <c r="S843" s="2"/>
      <c r="T843" s="2"/>
      <c r="U843" s="2"/>
    </row>
    <row r="844" ht="15.75" customHeight="1">
      <c r="A844" s="1"/>
      <c r="B844" s="1"/>
      <c r="R844" s="2"/>
      <c r="S844" s="2"/>
      <c r="T844" s="2"/>
      <c r="U844" s="2"/>
    </row>
    <row r="845" ht="15.75" customHeight="1">
      <c r="A845" s="1"/>
      <c r="B845" s="1"/>
      <c r="R845" s="2"/>
      <c r="S845" s="2"/>
      <c r="T845" s="2"/>
      <c r="U845" s="2"/>
    </row>
    <row r="846" ht="15.75" customHeight="1">
      <c r="A846" s="1"/>
      <c r="B846" s="1"/>
      <c r="R846" s="2"/>
      <c r="S846" s="2"/>
      <c r="T846" s="2"/>
      <c r="U846" s="2"/>
    </row>
    <row r="847" ht="15.75" customHeight="1">
      <c r="A847" s="1"/>
      <c r="B847" s="1"/>
      <c r="R847" s="2"/>
      <c r="S847" s="2"/>
      <c r="T847" s="2"/>
      <c r="U847" s="2"/>
    </row>
    <row r="848" ht="15.75" customHeight="1">
      <c r="A848" s="1"/>
      <c r="B848" s="1"/>
      <c r="R848" s="2"/>
      <c r="S848" s="2"/>
      <c r="T848" s="2"/>
      <c r="U848" s="2"/>
    </row>
    <row r="849" ht="15.75" customHeight="1">
      <c r="A849" s="1"/>
      <c r="B849" s="1"/>
      <c r="R849" s="2"/>
      <c r="S849" s="2"/>
      <c r="T849" s="2"/>
      <c r="U849" s="2"/>
    </row>
    <row r="850" ht="15.75" customHeight="1">
      <c r="A850" s="1"/>
      <c r="B850" s="1"/>
      <c r="R850" s="2"/>
      <c r="S850" s="2"/>
      <c r="T850" s="2"/>
      <c r="U850" s="2"/>
    </row>
    <row r="851" ht="15.75" customHeight="1">
      <c r="A851" s="1"/>
      <c r="B851" s="1"/>
      <c r="R851" s="2"/>
      <c r="S851" s="2"/>
      <c r="T851" s="2"/>
      <c r="U851" s="2"/>
    </row>
    <row r="852" ht="15.75" customHeight="1">
      <c r="A852" s="1"/>
      <c r="B852" s="1"/>
      <c r="R852" s="2"/>
      <c r="S852" s="2"/>
      <c r="T852" s="2"/>
      <c r="U852" s="2"/>
    </row>
    <row r="853" ht="15.75" customHeight="1">
      <c r="A853" s="1"/>
      <c r="B853" s="1"/>
      <c r="R853" s="2"/>
      <c r="S853" s="2"/>
      <c r="T853" s="2"/>
      <c r="U853" s="2"/>
    </row>
    <row r="854" ht="15.75" customHeight="1">
      <c r="A854" s="1"/>
      <c r="B854" s="1"/>
      <c r="R854" s="2"/>
      <c r="S854" s="2"/>
      <c r="T854" s="2"/>
      <c r="U854" s="2"/>
    </row>
    <row r="855" ht="15.75" customHeight="1">
      <c r="A855" s="1"/>
      <c r="B855" s="1"/>
      <c r="R855" s="2"/>
      <c r="S855" s="2"/>
      <c r="T855" s="2"/>
      <c r="U855" s="2"/>
    </row>
    <row r="856" ht="15.75" customHeight="1">
      <c r="A856" s="1"/>
      <c r="B856" s="1"/>
      <c r="R856" s="2"/>
      <c r="S856" s="2"/>
      <c r="T856" s="2"/>
      <c r="U856" s="2"/>
    </row>
    <row r="857" ht="15.75" customHeight="1">
      <c r="A857" s="1"/>
      <c r="B857" s="1"/>
      <c r="R857" s="2"/>
      <c r="S857" s="2"/>
      <c r="T857" s="2"/>
      <c r="U857" s="2"/>
    </row>
    <row r="858" ht="15.75" customHeight="1">
      <c r="A858" s="1"/>
      <c r="B858" s="1"/>
      <c r="R858" s="2"/>
      <c r="S858" s="2"/>
      <c r="T858" s="2"/>
      <c r="U858" s="2"/>
    </row>
    <row r="859" ht="15.75" customHeight="1">
      <c r="A859" s="1"/>
      <c r="B859" s="1"/>
      <c r="R859" s="2"/>
      <c r="S859" s="2"/>
      <c r="T859" s="2"/>
      <c r="U859" s="2"/>
    </row>
    <row r="860" ht="15.75" customHeight="1">
      <c r="A860" s="1"/>
      <c r="B860" s="1"/>
      <c r="R860" s="2"/>
      <c r="S860" s="2"/>
      <c r="T860" s="2"/>
      <c r="U860" s="2"/>
    </row>
    <row r="861" ht="15.75" customHeight="1">
      <c r="A861" s="1"/>
      <c r="B861" s="1"/>
      <c r="R861" s="2"/>
      <c r="S861" s="2"/>
      <c r="T861" s="2"/>
      <c r="U861" s="2"/>
    </row>
    <row r="862" ht="15.75" customHeight="1">
      <c r="A862" s="1"/>
      <c r="B862" s="1"/>
      <c r="R862" s="2"/>
      <c r="S862" s="2"/>
      <c r="T862" s="2"/>
      <c r="U862" s="2"/>
    </row>
    <row r="863" ht="15.75" customHeight="1">
      <c r="A863" s="1"/>
      <c r="B863" s="1"/>
      <c r="R863" s="2"/>
      <c r="S863" s="2"/>
      <c r="T863" s="2"/>
      <c r="U863" s="2"/>
    </row>
    <row r="864" ht="15.75" customHeight="1">
      <c r="A864" s="1"/>
      <c r="B864" s="1"/>
      <c r="R864" s="2"/>
      <c r="S864" s="2"/>
      <c r="T864" s="2"/>
      <c r="U864" s="2"/>
    </row>
    <row r="865" ht="15.75" customHeight="1">
      <c r="A865" s="1"/>
      <c r="B865" s="1"/>
      <c r="R865" s="2"/>
      <c r="S865" s="2"/>
      <c r="T865" s="2"/>
      <c r="U865" s="2"/>
    </row>
    <row r="866" ht="15.75" customHeight="1">
      <c r="A866" s="1"/>
      <c r="B866" s="1"/>
      <c r="R866" s="2"/>
      <c r="S866" s="2"/>
      <c r="T866" s="2"/>
      <c r="U866" s="2"/>
    </row>
    <row r="867" ht="15.75" customHeight="1">
      <c r="A867" s="1"/>
      <c r="B867" s="1"/>
      <c r="R867" s="2"/>
      <c r="S867" s="2"/>
      <c r="T867" s="2"/>
      <c r="U867" s="2"/>
    </row>
    <row r="868" ht="15.75" customHeight="1">
      <c r="A868" s="1"/>
      <c r="B868" s="1"/>
      <c r="R868" s="2"/>
      <c r="S868" s="2"/>
      <c r="T868" s="2"/>
      <c r="U868" s="2"/>
    </row>
    <row r="869" ht="15.75" customHeight="1">
      <c r="A869" s="1"/>
      <c r="B869" s="1"/>
      <c r="R869" s="2"/>
      <c r="S869" s="2"/>
      <c r="T869" s="2"/>
      <c r="U869" s="2"/>
    </row>
    <row r="870" ht="15.75" customHeight="1">
      <c r="A870" s="1"/>
      <c r="B870" s="1"/>
      <c r="R870" s="2"/>
      <c r="S870" s="2"/>
      <c r="T870" s="2"/>
      <c r="U870" s="2"/>
    </row>
    <row r="871" ht="15.75" customHeight="1">
      <c r="A871" s="1"/>
      <c r="B871" s="1"/>
      <c r="R871" s="2"/>
      <c r="S871" s="2"/>
      <c r="T871" s="2"/>
      <c r="U871" s="2"/>
    </row>
    <row r="872" ht="15.75" customHeight="1">
      <c r="A872" s="1"/>
      <c r="B872" s="1"/>
      <c r="R872" s="2"/>
      <c r="S872" s="2"/>
      <c r="T872" s="2"/>
      <c r="U872" s="2"/>
    </row>
    <row r="873" ht="15.75" customHeight="1">
      <c r="A873" s="1"/>
      <c r="B873" s="1"/>
      <c r="R873" s="2"/>
      <c r="S873" s="2"/>
      <c r="T873" s="2"/>
      <c r="U873" s="2"/>
    </row>
    <row r="874" ht="15.75" customHeight="1">
      <c r="A874" s="1"/>
      <c r="B874" s="1"/>
      <c r="R874" s="2"/>
      <c r="S874" s="2"/>
      <c r="T874" s="2"/>
      <c r="U874" s="2"/>
    </row>
    <row r="875" ht="15.75" customHeight="1">
      <c r="A875" s="1"/>
      <c r="B875" s="1"/>
      <c r="R875" s="2"/>
      <c r="S875" s="2"/>
      <c r="T875" s="2"/>
      <c r="U875" s="2"/>
    </row>
    <row r="876" ht="15.75" customHeight="1">
      <c r="A876" s="1"/>
      <c r="B876" s="1"/>
      <c r="R876" s="2"/>
      <c r="S876" s="2"/>
      <c r="T876" s="2"/>
      <c r="U876" s="2"/>
    </row>
    <row r="877" ht="15.75" customHeight="1">
      <c r="A877" s="1"/>
      <c r="B877" s="1"/>
      <c r="R877" s="2"/>
      <c r="S877" s="2"/>
      <c r="T877" s="2"/>
      <c r="U877" s="2"/>
    </row>
    <row r="878" ht="15.75" customHeight="1">
      <c r="A878" s="1"/>
      <c r="B878" s="1"/>
      <c r="R878" s="2"/>
      <c r="S878" s="2"/>
      <c r="T878" s="2"/>
      <c r="U878" s="2"/>
    </row>
    <row r="879" ht="15.75" customHeight="1">
      <c r="A879" s="1"/>
      <c r="B879" s="1"/>
      <c r="R879" s="2"/>
      <c r="S879" s="2"/>
      <c r="T879" s="2"/>
      <c r="U879" s="2"/>
    </row>
    <row r="880" ht="15.75" customHeight="1">
      <c r="A880" s="1"/>
      <c r="B880" s="1"/>
      <c r="R880" s="2"/>
      <c r="S880" s="2"/>
      <c r="T880" s="2"/>
      <c r="U880" s="2"/>
    </row>
    <row r="881" ht="15.75" customHeight="1">
      <c r="A881" s="1"/>
      <c r="B881" s="1"/>
      <c r="R881" s="2"/>
      <c r="S881" s="2"/>
      <c r="T881" s="2"/>
      <c r="U881" s="2"/>
    </row>
    <row r="882" ht="15.75" customHeight="1">
      <c r="A882" s="1"/>
      <c r="B882" s="1"/>
      <c r="R882" s="2"/>
      <c r="S882" s="2"/>
      <c r="T882" s="2"/>
      <c r="U882" s="2"/>
    </row>
    <row r="883" ht="15.75" customHeight="1">
      <c r="A883" s="1"/>
      <c r="B883" s="1"/>
      <c r="R883" s="2"/>
      <c r="S883" s="2"/>
      <c r="T883" s="2"/>
      <c r="U883" s="2"/>
    </row>
    <row r="884" ht="15.75" customHeight="1">
      <c r="A884" s="1"/>
      <c r="B884" s="1"/>
      <c r="R884" s="2"/>
      <c r="S884" s="2"/>
      <c r="T884" s="2"/>
      <c r="U884" s="2"/>
    </row>
    <row r="885" ht="15.75" customHeight="1">
      <c r="A885" s="1"/>
      <c r="B885" s="1"/>
      <c r="R885" s="2"/>
      <c r="S885" s="2"/>
      <c r="T885" s="2"/>
      <c r="U885" s="2"/>
    </row>
    <row r="886" ht="15.75" customHeight="1">
      <c r="A886" s="1"/>
      <c r="B886" s="1"/>
      <c r="R886" s="2"/>
      <c r="S886" s="2"/>
      <c r="T886" s="2"/>
      <c r="U886" s="2"/>
    </row>
    <row r="887" ht="15.75" customHeight="1">
      <c r="A887" s="1"/>
      <c r="B887" s="1"/>
      <c r="R887" s="2"/>
      <c r="S887" s="2"/>
      <c r="T887" s="2"/>
      <c r="U887" s="2"/>
    </row>
    <row r="888" ht="15.75" customHeight="1">
      <c r="A888" s="1"/>
      <c r="B888" s="1"/>
      <c r="R888" s="2"/>
      <c r="S888" s="2"/>
      <c r="T888" s="2"/>
      <c r="U888" s="2"/>
    </row>
    <row r="889" ht="15.75" customHeight="1">
      <c r="A889" s="1"/>
      <c r="B889" s="1"/>
      <c r="R889" s="2"/>
      <c r="S889" s="2"/>
      <c r="T889" s="2"/>
      <c r="U889" s="2"/>
    </row>
    <row r="890" ht="15.75" customHeight="1">
      <c r="A890" s="1"/>
      <c r="B890" s="1"/>
      <c r="R890" s="2"/>
      <c r="S890" s="2"/>
      <c r="T890" s="2"/>
      <c r="U890" s="2"/>
    </row>
    <row r="891" ht="15.75" customHeight="1">
      <c r="A891" s="1"/>
      <c r="B891" s="1"/>
      <c r="R891" s="2"/>
      <c r="S891" s="2"/>
      <c r="T891" s="2"/>
      <c r="U891" s="2"/>
    </row>
    <row r="892" ht="15.75" customHeight="1">
      <c r="A892" s="1"/>
      <c r="B892" s="1"/>
      <c r="R892" s="2"/>
      <c r="S892" s="2"/>
      <c r="T892" s="2"/>
      <c r="U892" s="2"/>
    </row>
    <row r="893" ht="15.75" customHeight="1">
      <c r="A893" s="1"/>
      <c r="B893" s="1"/>
      <c r="R893" s="2"/>
      <c r="S893" s="2"/>
      <c r="T893" s="2"/>
      <c r="U893" s="2"/>
    </row>
    <row r="894" ht="15.75" customHeight="1">
      <c r="A894" s="1"/>
      <c r="B894" s="1"/>
      <c r="R894" s="2"/>
      <c r="S894" s="2"/>
      <c r="T894" s="2"/>
      <c r="U894" s="2"/>
    </row>
    <row r="895" ht="15.75" customHeight="1">
      <c r="A895" s="1"/>
      <c r="B895" s="1"/>
      <c r="R895" s="2"/>
      <c r="S895" s="2"/>
      <c r="T895" s="2"/>
      <c r="U895" s="2"/>
    </row>
    <row r="896" ht="15.75" customHeight="1">
      <c r="A896" s="1"/>
      <c r="B896" s="1"/>
      <c r="R896" s="2"/>
      <c r="S896" s="2"/>
      <c r="T896" s="2"/>
      <c r="U896" s="2"/>
    </row>
    <row r="897" ht="15.75" customHeight="1">
      <c r="A897" s="1"/>
      <c r="B897" s="1"/>
      <c r="R897" s="2"/>
      <c r="S897" s="2"/>
      <c r="T897" s="2"/>
      <c r="U897" s="2"/>
    </row>
    <row r="898" ht="15.75" customHeight="1">
      <c r="A898" s="1"/>
      <c r="B898" s="1"/>
      <c r="R898" s="2"/>
      <c r="S898" s="2"/>
      <c r="T898" s="2"/>
      <c r="U898" s="2"/>
    </row>
    <row r="899" ht="15.75" customHeight="1">
      <c r="A899" s="1"/>
      <c r="B899" s="1"/>
      <c r="R899" s="2"/>
      <c r="S899" s="2"/>
      <c r="T899" s="2"/>
      <c r="U899" s="2"/>
    </row>
    <row r="900" ht="15.75" customHeight="1">
      <c r="A900" s="1"/>
      <c r="B900" s="1"/>
      <c r="R900" s="2"/>
      <c r="S900" s="2"/>
      <c r="T900" s="2"/>
      <c r="U900" s="2"/>
    </row>
    <row r="901" ht="15.75" customHeight="1">
      <c r="A901" s="1"/>
      <c r="B901" s="1"/>
      <c r="R901" s="2"/>
      <c r="S901" s="2"/>
      <c r="T901" s="2"/>
      <c r="U901" s="2"/>
    </row>
    <row r="902" ht="15.75" customHeight="1">
      <c r="A902" s="1"/>
      <c r="B902" s="1"/>
      <c r="R902" s="2"/>
      <c r="S902" s="2"/>
      <c r="T902" s="2"/>
      <c r="U902" s="2"/>
    </row>
    <row r="903" ht="15.75" customHeight="1">
      <c r="A903" s="1"/>
      <c r="B903" s="1"/>
      <c r="R903" s="2"/>
      <c r="S903" s="2"/>
      <c r="T903" s="2"/>
      <c r="U903" s="2"/>
    </row>
    <row r="904" ht="15.75" customHeight="1">
      <c r="A904" s="1"/>
      <c r="B904" s="1"/>
      <c r="R904" s="2"/>
      <c r="S904" s="2"/>
      <c r="T904" s="2"/>
      <c r="U904" s="2"/>
    </row>
    <row r="905" ht="15.75" customHeight="1">
      <c r="A905" s="1"/>
      <c r="B905" s="1"/>
      <c r="R905" s="2"/>
      <c r="S905" s="2"/>
      <c r="T905" s="2"/>
      <c r="U905" s="2"/>
    </row>
    <row r="906" ht="15.75" customHeight="1">
      <c r="A906" s="1"/>
      <c r="B906" s="1"/>
      <c r="R906" s="2"/>
      <c r="S906" s="2"/>
      <c r="T906" s="2"/>
      <c r="U906" s="2"/>
    </row>
    <row r="907" ht="15.75" customHeight="1">
      <c r="A907" s="1"/>
      <c r="B907" s="1"/>
      <c r="R907" s="2"/>
      <c r="S907" s="2"/>
      <c r="T907" s="2"/>
      <c r="U907" s="2"/>
    </row>
    <row r="908" ht="15.75" customHeight="1">
      <c r="A908" s="1"/>
      <c r="B908" s="1"/>
      <c r="R908" s="2"/>
      <c r="S908" s="2"/>
      <c r="T908" s="2"/>
      <c r="U908" s="2"/>
    </row>
    <row r="909" ht="15.75" customHeight="1">
      <c r="A909" s="1"/>
      <c r="B909" s="1"/>
      <c r="R909" s="2"/>
      <c r="S909" s="2"/>
      <c r="T909" s="2"/>
      <c r="U909" s="2"/>
    </row>
    <row r="910" ht="15.75" customHeight="1">
      <c r="A910" s="1"/>
      <c r="B910" s="1"/>
      <c r="R910" s="2"/>
      <c r="S910" s="2"/>
      <c r="T910" s="2"/>
      <c r="U910" s="2"/>
    </row>
    <row r="911" ht="15.75" customHeight="1">
      <c r="A911" s="1"/>
      <c r="B911" s="1"/>
      <c r="R911" s="2"/>
      <c r="S911" s="2"/>
      <c r="T911" s="2"/>
      <c r="U911" s="2"/>
    </row>
    <row r="912" ht="15.75" customHeight="1">
      <c r="A912" s="1"/>
      <c r="B912" s="1"/>
      <c r="R912" s="2"/>
      <c r="S912" s="2"/>
      <c r="T912" s="2"/>
      <c r="U912" s="2"/>
    </row>
    <row r="913" ht="15.75" customHeight="1">
      <c r="A913" s="1"/>
      <c r="B913" s="1"/>
      <c r="R913" s="2"/>
      <c r="S913" s="2"/>
      <c r="T913" s="2"/>
      <c r="U913" s="2"/>
    </row>
    <row r="914" ht="15.75" customHeight="1">
      <c r="A914" s="1"/>
      <c r="B914" s="1"/>
      <c r="R914" s="2"/>
      <c r="S914" s="2"/>
      <c r="T914" s="2"/>
      <c r="U914" s="2"/>
    </row>
    <row r="915" ht="15.75" customHeight="1">
      <c r="A915" s="1"/>
      <c r="B915" s="1"/>
      <c r="R915" s="2"/>
      <c r="S915" s="2"/>
      <c r="T915" s="2"/>
      <c r="U915" s="2"/>
    </row>
    <row r="916" ht="15.75" customHeight="1">
      <c r="A916" s="1"/>
      <c r="B916" s="1"/>
      <c r="R916" s="2"/>
      <c r="S916" s="2"/>
      <c r="T916" s="2"/>
      <c r="U916" s="2"/>
    </row>
    <row r="917" ht="15.75" customHeight="1">
      <c r="A917" s="1"/>
      <c r="B917" s="1"/>
      <c r="R917" s="2"/>
      <c r="S917" s="2"/>
      <c r="T917" s="2"/>
      <c r="U917" s="2"/>
    </row>
    <row r="918" ht="15.75" customHeight="1">
      <c r="A918" s="1"/>
      <c r="B918" s="1"/>
      <c r="R918" s="2"/>
      <c r="S918" s="2"/>
      <c r="T918" s="2"/>
      <c r="U918" s="2"/>
    </row>
    <row r="919" ht="15.75" customHeight="1">
      <c r="A919" s="1"/>
      <c r="B919" s="1"/>
      <c r="R919" s="2"/>
      <c r="S919" s="2"/>
      <c r="T919" s="2"/>
      <c r="U919" s="2"/>
    </row>
    <row r="920" ht="15.75" customHeight="1">
      <c r="A920" s="1"/>
      <c r="B920" s="1"/>
      <c r="R920" s="2"/>
      <c r="S920" s="2"/>
      <c r="T920" s="2"/>
      <c r="U920" s="2"/>
    </row>
    <row r="921" ht="15.75" customHeight="1">
      <c r="A921" s="1"/>
      <c r="B921" s="1"/>
      <c r="R921" s="2"/>
      <c r="S921" s="2"/>
      <c r="T921" s="2"/>
      <c r="U921" s="2"/>
    </row>
    <row r="922" ht="15.75" customHeight="1">
      <c r="A922" s="1"/>
      <c r="B922" s="1"/>
      <c r="R922" s="2"/>
      <c r="S922" s="2"/>
      <c r="T922" s="2"/>
      <c r="U922" s="2"/>
    </row>
    <row r="923" ht="15.75" customHeight="1">
      <c r="A923" s="1"/>
      <c r="B923" s="1"/>
      <c r="R923" s="2"/>
      <c r="S923" s="2"/>
      <c r="T923" s="2"/>
      <c r="U923" s="2"/>
    </row>
    <row r="924" ht="15.75" customHeight="1">
      <c r="A924" s="1"/>
      <c r="B924" s="1"/>
      <c r="R924" s="2"/>
      <c r="S924" s="2"/>
      <c r="T924" s="2"/>
      <c r="U924" s="2"/>
    </row>
    <row r="925" ht="15.75" customHeight="1">
      <c r="A925" s="1"/>
      <c r="B925" s="1"/>
      <c r="R925" s="2"/>
      <c r="S925" s="2"/>
      <c r="T925" s="2"/>
      <c r="U925" s="2"/>
    </row>
    <row r="926" ht="15.75" customHeight="1">
      <c r="A926" s="1"/>
      <c r="B926" s="1"/>
      <c r="R926" s="2"/>
      <c r="S926" s="2"/>
      <c r="T926" s="2"/>
      <c r="U926" s="2"/>
    </row>
    <row r="927" ht="15.75" customHeight="1">
      <c r="A927" s="1"/>
      <c r="B927" s="1"/>
      <c r="R927" s="2"/>
      <c r="S927" s="2"/>
      <c r="T927" s="2"/>
      <c r="U927" s="2"/>
    </row>
    <row r="928" ht="15.75" customHeight="1">
      <c r="A928" s="1"/>
      <c r="B928" s="1"/>
      <c r="R928" s="2"/>
      <c r="S928" s="2"/>
      <c r="T928" s="2"/>
      <c r="U928" s="2"/>
    </row>
    <row r="929" ht="15.75" customHeight="1">
      <c r="A929" s="1"/>
      <c r="B929" s="1"/>
      <c r="R929" s="2"/>
      <c r="S929" s="2"/>
      <c r="T929" s="2"/>
      <c r="U929" s="2"/>
    </row>
    <row r="930" ht="15.75" customHeight="1">
      <c r="A930" s="1"/>
      <c r="B930" s="1"/>
      <c r="R930" s="2"/>
      <c r="S930" s="2"/>
      <c r="T930" s="2"/>
      <c r="U930" s="2"/>
    </row>
    <row r="931" ht="15.75" customHeight="1">
      <c r="A931" s="1"/>
      <c r="B931" s="1"/>
      <c r="R931" s="2"/>
      <c r="S931" s="2"/>
      <c r="T931" s="2"/>
      <c r="U931" s="2"/>
    </row>
    <row r="932" ht="15.75" customHeight="1">
      <c r="A932" s="1"/>
      <c r="B932" s="1"/>
      <c r="R932" s="2"/>
      <c r="S932" s="2"/>
      <c r="T932" s="2"/>
      <c r="U932" s="2"/>
    </row>
    <row r="933" ht="15.75" customHeight="1">
      <c r="A933" s="1"/>
      <c r="B933" s="1"/>
      <c r="R933" s="2"/>
      <c r="S933" s="2"/>
      <c r="T933" s="2"/>
      <c r="U933" s="2"/>
    </row>
    <row r="934" ht="15.75" customHeight="1">
      <c r="A934" s="1"/>
      <c r="B934" s="1"/>
      <c r="R934" s="2"/>
      <c r="S934" s="2"/>
      <c r="T934" s="2"/>
      <c r="U934" s="2"/>
    </row>
    <row r="935" ht="15.75" customHeight="1">
      <c r="A935" s="1"/>
      <c r="B935" s="1"/>
      <c r="R935" s="2"/>
      <c r="S935" s="2"/>
      <c r="T935" s="2"/>
      <c r="U935" s="2"/>
    </row>
    <row r="936" ht="15.75" customHeight="1">
      <c r="A936" s="1"/>
      <c r="B936" s="1"/>
      <c r="R936" s="2"/>
      <c r="S936" s="2"/>
      <c r="T936" s="2"/>
      <c r="U936" s="2"/>
    </row>
    <row r="937" ht="15.75" customHeight="1">
      <c r="A937" s="1"/>
      <c r="B937" s="1"/>
      <c r="R937" s="2"/>
      <c r="S937" s="2"/>
      <c r="T937" s="2"/>
      <c r="U937" s="2"/>
    </row>
    <row r="938" ht="15.75" customHeight="1">
      <c r="A938" s="1"/>
      <c r="B938" s="1"/>
      <c r="R938" s="2"/>
      <c r="S938" s="2"/>
      <c r="T938" s="2"/>
      <c r="U938" s="2"/>
    </row>
    <row r="939" ht="15.75" customHeight="1">
      <c r="A939" s="1"/>
      <c r="B939" s="1"/>
      <c r="R939" s="2"/>
      <c r="S939" s="2"/>
      <c r="T939" s="2"/>
      <c r="U939" s="2"/>
    </row>
    <row r="940" ht="15.75" customHeight="1">
      <c r="A940" s="1"/>
      <c r="B940" s="1"/>
      <c r="R940" s="2"/>
      <c r="S940" s="2"/>
      <c r="T940" s="2"/>
      <c r="U940" s="2"/>
    </row>
    <row r="941" ht="15.75" customHeight="1">
      <c r="A941" s="1"/>
      <c r="B941" s="1"/>
      <c r="R941" s="2"/>
      <c r="S941" s="2"/>
      <c r="T941" s="2"/>
      <c r="U941" s="2"/>
    </row>
    <row r="942" ht="15.75" customHeight="1">
      <c r="A942" s="1"/>
      <c r="B942" s="1"/>
      <c r="R942" s="2"/>
      <c r="S942" s="2"/>
      <c r="T942" s="2"/>
      <c r="U942" s="2"/>
    </row>
    <row r="943" ht="15.75" customHeight="1">
      <c r="A943" s="1"/>
      <c r="B943" s="1"/>
      <c r="R943" s="2"/>
      <c r="S943" s="2"/>
      <c r="T943" s="2"/>
      <c r="U943" s="2"/>
    </row>
    <row r="944" ht="15.75" customHeight="1">
      <c r="A944" s="1"/>
      <c r="B944" s="1"/>
      <c r="R944" s="2"/>
      <c r="S944" s="2"/>
      <c r="T944" s="2"/>
      <c r="U944" s="2"/>
    </row>
    <row r="945" ht="15.75" customHeight="1">
      <c r="A945" s="1"/>
      <c r="B945" s="1"/>
      <c r="R945" s="2"/>
      <c r="S945" s="2"/>
      <c r="T945" s="2"/>
      <c r="U945" s="2"/>
    </row>
    <row r="946" ht="15.75" customHeight="1">
      <c r="A946" s="1"/>
      <c r="B946" s="1"/>
      <c r="R946" s="2"/>
      <c r="S946" s="2"/>
      <c r="T946" s="2"/>
      <c r="U946" s="2"/>
    </row>
    <row r="947" ht="15.75" customHeight="1">
      <c r="A947" s="1"/>
      <c r="B947" s="1"/>
      <c r="R947" s="2"/>
      <c r="S947" s="2"/>
      <c r="T947" s="2"/>
      <c r="U947" s="2"/>
    </row>
    <row r="948" ht="15.75" customHeight="1">
      <c r="A948" s="1"/>
      <c r="B948" s="1"/>
      <c r="R948" s="2"/>
      <c r="S948" s="2"/>
      <c r="T948" s="2"/>
      <c r="U948" s="2"/>
    </row>
    <row r="949" ht="15.75" customHeight="1">
      <c r="A949" s="1"/>
      <c r="B949" s="1"/>
      <c r="R949" s="2"/>
      <c r="S949" s="2"/>
      <c r="T949" s="2"/>
      <c r="U949" s="2"/>
    </row>
    <row r="950" ht="15.75" customHeight="1">
      <c r="A950" s="1"/>
      <c r="B950" s="1"/>
      <c r="R950" s="2"/>
      <c r="S950" s="2"/>
      <c r="T950" s="2"/>
      <c r="U950" s="2"/>
    </row>
    <row r="951" ht="15.75" customHeight="1">
      <c r="A951" s="1"/>
      <c r="B951" s="1"/>
      <c r="R951" s="2"/>
      <c r="S951" s="2"/>
      <c r="T951" s="2"/>
      <c r="U951" s="2"/>
    </row>
    <row r="952" ht="15.75" customHeight="1">
      <c r="A952" s="1"/>
      <c r="B952" s="1"/>
      <c r="R952" s="2"/>
      <c r="S952" s="2"/>
      <c r="T952" s="2"/>
      <c r="U952" s="2"/>
    </row>
    <row r="953" ht="15.75" customHeight="1">
      <c r="A953" s="1"/>
      <c r="B953" s="1"/>
      <c r="R953" s="2"/>
      <c r="S953" s="2"/>
      <c r="T953" s="2"/>
      <c r="U953" s="2"/>
    </row>
    <row r="954" ht="15.75" customHeight="1">
      <c r="A954" s="1"/>
      <c r="B954" s="1"/>
      <c r="R954" s="2"/>
      <c r="S954" s="2"/>
      <c r="T954" s="2"/>
      <c r="U954" s="2"/>
    </row>
    <row r="955" ht="15.75" customHeight="1">
      <c r="A955" s="1"/>
      <c r="B955" s="1"/>
      <c r="R955" s="2"/>
      <c r="S955" s="2"/>
      <c r="T955" s="2"/>
      <c r="U955" s="2"/>
    </row>
    <row r="956" ht="15.75" customHeight="1">
      <c r="A956" s="1"/>
      <c r="B956" s="1"/>
      <c r="R956" s="2"/>
      <c r="S956" s="2"/>
      <c r="T956" s="2"/>
      <c r="U956" s="2"/>
    </row>
    <row r="957" ht="15.75" customHeight="1">
      <c r="A957" s="1"/>
      <c r="B957" s="1"/>
      <c r="R957" s="2"/>
      <c r="S957" s="2"/>
      <c r="T957" s="2"/>
      <c r="U957" s="2"/>
    </row>
    <row r="958" ht="15.75" customHeight="1">
      <c r="A958" s="1"/>
      <c r="B958" s="1"/>
      <c r="R958" s="2"/>
      <c r="S958" s="2"/>
      <c r="T958" s="2"/>
      <c r="U958" s="2"/>
    </row>
    <row r="959" ht="15.75" customHeight="1">
      <c r="A959" s="1"/>
      <c r="B959" s="1"/>
      <c r="R959" s="2"/>
      <c r="S959" s="2"/>
      <c r="T959" s="2"/>
      <c r="U959" s="2"/>
    </row>
    <row r="960" ht="15.75" customHeight="1">
      <c r="A960" s="1"/>
      <c r="B960" s="1"/>
      <c r="R960" s="2"/>
      <c r="S960" s="2"/>
      <c r="T960" s="2"/>
      <c r="U960" s="2"/>
    </row>
    <row r="961" ht="15.75" customHeight="1">
      <c r="A961" s="1"/>
      <c r="B961" s="1"/>
      <c r="R961" s="2"/>
      <c r="S961" s="2"/>
      <c r="T961" s="2"/>
      <c r="U961" s="2"/>
    </row>
    <row r="962" ht="15.75" customHeight="1">
      <c r="A962" s="1"/>
      <c r="B962" s="1"/>
      <c r="R962" s="2"/>
      <c r="S962" s="2"/>
      <c r="T962" s="2"/>
      <c r="U962" s="2"/>
    </row>
    <row r="963" ht="15.75" customHeight="1">
      <c r="A963" s="1"/>
      <c r="B963" s="1"/>
      <c r="R963" s="2"/>
      <c r="S963" s="2"/>
      <c r="T963" s="2"/>
      <c r="U963" s="2"/>
    </row>
    <row r="964" ht="15.75" customHeight="1">
      <c r="A964" s="1"/>
      <c r="B964" s="1"/>
      <c r="R964" s="2"/>
      <c r="S964" s="2"/>
      <c r="T964" s="2"/>
      <c r="U964" s="2"/>
    </row>
    <row r="965" ht="15.75" customHeight="1">
      <c r="A965" s="1"/>
      <c r="B965" s="1"/>
      <c r="R965" s="2"/>
      <c r="S965" s="2"/>
      <c r="T965" s="2"/>
      <c r="U965" s="2"/>
    </row>
    <row r="966" ht="15.75" customHeight="1">
      <c r="A966" s="1"/>
      <c r="B966" s="1"/>
      <c r="R966" s="2"/>
      <c r="S966" s="2"/>
      <c r="T966" s="2"/>
      <c r="U966" s="2"/>
    </row>
    <row r="967" ht="15.75" customHeight="1">
      <c r="A967" s="1"/>
      <c r="B967" s="1"/>
      <c r="R967" s="2"/>
      <c r="S967" s="2"/>
      <c r="T967" s="2"/>
      <c r="U967" s="2"/>
    </row>
    <row r="968" ht="15.75" customHeight="1">
      <c r="A968" s="1"/>
      <c r="B968" s="1"/>
      <c r="R968" s="2"/>
      <c r="S968" s="2"/>
      <c r="T968" s="2"/>
      <c r="U968" s="2"/>
    </row>
    <row r="969" ht="15.75" customHeight="1">
      <c r="A969" s="1"/>
      <c r="B969" s="1"/>
      <c r="R969" s="2"/>
      <c r="S969" s="2"/>
      <c r="T969" s="2"/>
      <c r="U969" s="2"/>
    </row>
    <row r="970" ht="15.75" customHeight="1">
      <c r="A970" s="1"/>
      <c r="B970" s="1"/>
      <c r="R970" s="2"/>
      <c r="S970" s="2"/>
      <c r="T970" s="2"/>
      <c r="U970" s="2"/>
    </row>
    <row r="971" ht="15.75" customHeight="1">
      <c r="A971" s="1"/>
      <c r="B971" s="1"/>
      <c r="R971" s="2"/>
      <c r="S971" s="2"/>
      <c r="T971" s="2"/>
      <c r="U971" s="2"/>
    </row>
    <row r="972" ht="15.75" customHeight="1">
      <c r="A972" s="1"/>
      <c r="B972" s="1"/>
      <c r="R972" s="2"/>
      <c r="S972" s="2"/>
      <c r="T972" s="2"/>
      <c r="U972" s="2"/>
    </row>
    <row r="973" ht="15.75" customHeight="1">
      <c r="A973" s="1"/>
      <c r="B973" s="1"/>
      <c r="R973" s="2"/>
      <c r="S973" s="2"/>
      <c r="T973" s="2"/>
      <c r="U973" s="2"/>
    </row>
    <row r="974" ht="15.75" customHeight="1">
      <c r="A974" s="1"/>
      <c r="B974" s="1"/>
      <c r="R974" s="2"/>
      <c r="S974" s="2"/>
      <c r="T974" s="2"/>
      <c r="U974" s="2"/>
    </row>
    <row r="975" ht="15.75" customHeight="1">
      <c r="A975" s="1"/>
      <c r="B975" s="1"/>
      <c r="R975" s="2"/>
      <c r="S975" s="2"/>
      <c r="T975" s="2"/>
      <c r="U975" s="2"/>
    </row>
    <row r="976" ht="15.75" customHeight="1">
      <c r="A976" s="1"/>
      <c r="B976" s="1"/>
      <c r="R976" s="2"/>
      <c r="S976" s="2"/>
      <c r="T976" s="2"/>
      <c r="U976" s="2"/>
    </row>
    <row r="977" ht="15.75" customHeight="1">
      <c r="A977" s="1"/>
      <c r="B977" s="1"/>
      <c r="R977" s="2"/>
      <c r="S977" s="2"/>
      <c r="T977" s="2"/>
      <c r="U977" s="2"/>
    </row>
    <row r="978" ht="15.75" customHeight="1">
      <c r="A978" s="1"/>
      <c r="B978" s="1"/>
      <c r="R978" s="2"/>
      <c r="S978" s="2"/>
      <c r="T978" s="2"/>
      <c r="U978" s="2"/>
    </row>
    <row r="979" ht="15.75" customHeight="1">
      <c r="A979" s="1"/>
      <c r="B979" s="1"/>
      <c r="R979" s="2"/>
      <c r="S979" s="2"/>
      <c r="T979" s="2"/>
      <c r="U979" s="2"/>
    </row>
    <row r="980" ht="15.75" customHeight="1">
      <c r="A980" s="1"/>
      <c r="B980" s="1"/>
      <c r="R980" s="2"/>
      <c r="S980" s="2"/>
      <c r="T980" s="2"/>
      <c r="U980" s="2"/>
    </row>
    <row r="981" ht="15.75" customHeight="1">
      <c r="A981" s="1"/>
      <c r="B981" s="1"/>
      <c r="R981" s="2"/>
      <c r="S981" s="2"/>
      <c r="T981" s="2"/>
      <c r="U981" s="2"/>
    </row>
    <row r="982" ht="15.75" customHeight="1">
      <c r="A982" s="1"/>
      <c r="B982" s="1"/>
      <c r="R982" s="2"/>
      <c r="S982" s="2"/>
      <c r="T982" s="2"/>
      <c r="U982" s="2"/>
    </row>
    <row r="983" ht="15.75" customHeight="1">
      <c r="A983" s="1"/>
      <c r="B983" s="1"/>
      <c r="R983" s="2"/>
      <c r="S983" s="2"/>
      <c r="T983" s="2"/>
      <c r="U983" s="2"/>
    </row>
    <row r="984" ht="15.75" customHeight="1">
      <c r="A984" s="1"/>
      <c r="B984" s="1"/>
      <c r="R984" s="2"/>
      <c r="S984" s="2"/>
      <c r="T984" s="2"/>
      <c r="U984" s="2"/>
    </row>
    <row r="985" ht="15.75" customHeight="1">
      <c r="A985" s="1"/>
      <c r="B985" s="1"/>
      <c r="R985" s="2"/>
      <c r="S985" s="2"/>
      <c r="T985" s="2"/>
      <c r="U985" s="2"/>
    </row>
    <row r="986" ht="15.75" customHeight="1">
      <c r="A986" s="1"/>
      <c r="B986" s="1"/>
      <c r="R986" s="2"/>
      <c r="S986" s="2"/>
      <c r="T986" s="2"/>
      <c r="U986" s="2"/>
    </row>
    <row r="987" ht="15.75" customHeight="1">
      <c r="A987" s="1"/>
      <c r="B987" s="1"/>
      <c r="R987" s="2"/>
      <c r="S987" s="2"/>
      <c r="T987" s="2"/>
      <c r="U987" s="2"/>
    </row>
    <row r="988" ht="15.75" customHeight="1">
      <c r="A988" s="1"/>
      <c r="B988" s="1"/>
      <c r="R988" s="2"/>
      <c r="S988" s="2"/>
      <c r="T988" s="2"/>
      <c r="U988" s="2"/>
    </row>
    <row r="989" ht="15.75" customHeight="1">
      <c r="A989" s="1"/>
      <c r="B989" s="1"/>
      <c r="R989" s="2"/>
      <c r="S989" s="2"/>
      <c r="T989" s="2"/>
      <c r="U989" s="2"/>
    </row>
    <row r="990" ht="15.75" customHeight="1">
      <c r="A990" s="1"/>
      <c r="B990" s="1"/>
      <c r="R990" s="2"/>
      <c r="S990" s="2"/>
      <c r="T990" s="2"/>
      <c r="U990" s="2"/>
    </row>
    <row r="991" ht="15.75" customHeight="1">
      <c r="A991" s="1"/>
      <c r="B991" s="1"/>
      <c r="R991" s="2"/>
      <c r="S991" s="2"/>
      <c r="T991" s="2"/>
      <c r="U991" s="2"/>
    </row>
    <row r="992" ht="15.75" customHeight="1">
      <c r="A992" s="1"/>
      <c r="B992" s="1"/>
      <c r="R992" s="2"/>
      <c r="S992" s="2"/>
      <c r="T992" s="2"/>
      <c r="U992" s="2"/>
    </row>
    <row r="993" ht="15.75" customHeight="1">
      <c r="A993" s="1"/>
      <c r="B993" s="1"/>
      <c r="R993" s="2"/>
      <c r="S993" s="2"/>
      <c r="T993" s="2"/>
      <c r="U993" s="2"/>
    </row>
    <row r="994" ht="15.75" customHeight="1">
      <c r="A994" s="1"/>
      <c r="B994" s="1"/>
      <c r="R994" s="2"/>
      <c r="S994" s="2"/>
      <c r="T994" s="2"/>
      <c r="U994" s="2"/>
    </row>
    <row r="995" ht="15.75" customHeight="1">
      <c r="A995" s="1"/>
      <c r="B995" s="1"/>
      <c r="R995" s="2"/>
      <c r="S995" s="2"/>
      <c r="T995" s="2"/>
      <c r="U995" s="2"/>
    </row>
    <row r="996" ht="15.75" customHeight="1">
      <c r="A996" s="1"/>
      <c r="B996" s="1"/>
      <c r="R996" s="2"/>
      <c r="S996" s="2"/>
      <c r="T996" s="2"/>
      <c r="U996" s="2"/>
    </row>
    <row r="997" ht="15.75" customHeight="1">
      <c r="A997" s="1"/>
      <c r="B997" s="1"/>
      <c r="R997" s="2"/>
      <c r="S997" s="2"/>
      <c r="T997" s="2"/>
      <c r="U997" s="2"/>
    </row>
    <row r="998" ht="15.75" customHeight="1">
      <c r="A998" s="1"/>
      <c r="B998" s="1"/>
      <c r="R998" s="2"/>
      <c r="S998" s="2"/>
      <c r="T998" s="2"/>
      <c r="U998" s="2"/>
    </row>
    <row r="999" ht="15.75" customHeight="1">
      <c r="A999" s="1"/>
      <c r="B999" s="1"/>
      <c r="R999" s="2"/>
      <c r="S999" s="2"/>
      <c r="T999" s="2"/>
      <c r="U999" s="2"/>
    </row>
    <row r="1000" ht="15.75" customHeight="1">
      <c r="A1000" s="1"/>
      <c r="B1000" s="1"/>
      <c r="R1000" s="2"/>
      <c r="S1000" s="2"/>
      <c r="T1000" s="2"/>
      <c r="U1000" s="2"/>
    </row>
  </sheetData>
  <mergeCells count="1">
    <mergeCell ref="D2:F2"/>
  </mergeCells>
  <printOptions/>
  <pageMargins bottom="0.7480314960629921" footer="0.0" header="0.0" left="0.7086614173228347" right="0.7086614173228347" top="0.7480314960629921"/>
  <pageSetup scale="56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2026-06-10T16:07:36Z</dcterms:created>
  <dc:creator>HP</dc:creator>
</cp:coreProperties>
</file>