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ELI MARURI\Downloads\"/>
    </mc:Choice>
  </mc:AlternateContent>
  <xr:revisionPtr revIDLastSave="0" documentId="8_{BD6919FA-7F59-48A5-AFA5-9F7656F5D346}" xr6:coauthVersionLast="47" xr6:coauthVersionMax="47" xr10:uidLastSave="{00000000-0000-0000-0000-000000000000}"/>
  <bookViews>
    <workbookView xWindow="-120" yWindow="-120" windowWidth="20730" windowHeight="11040" xr2:uid="{06F9B270-CE8C-4520-82CD-D5F9E238DD8C}" activeTab="0"/>
  </bookViews>
  <sheets>
    <sheet name="Hoja1" sheetId="1" r:id="rId1"/>
    <sheet name="Cálculo Rendimiento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<sst xmlns="http://schemas.openxmlformats.org/spreadsheetml/2006/main">
  <si>
    <t xml:space="preserve">Número </t>
  </si>
  <si>
    <t>Unidad</t>
  </si>
  <si>
    <t>Dueño</t>
  </si>
  <si>
    <t>Marca</t>
  </si>
  <si>
    <t>Modelo</t>
  </si>
  <si>
    <t xml:space="preserve">Año </t>
  </si>
  <si>
    <t xml:space="preserve">No. Serie </t>
  </si>
  <si>
    <t>RETROEXCAVADORA</t>
  </si>
  <si>
    <t>TRITURADORA ROCA DURA SAN MIGUEL S.A. DE C.V.</t>
  </si>
  <si>
    <t>CASE</t>
  </si>
  <si>
    <t>580 N</t>
  </si>
  <si>
    <t>JJGN580NABC540211</t>
  </si>
  <si>
    <t>JHONDEREE</t>
  </si>
  <si>
    <t>310 K</t>
  </si>
  <si>
    <t>1T0231KXTEE258108</t>
  </si>
  <si>
    <t>JJGN58NHAC535026</t>
  </si>
  <si>
    <t xml:space="preserve">PAVIMENTADORA </t>
  </si>
  <si>
    <t>JDJ EQUIPO Y CONSTRUCCIONES S.A. DE C.V.</t>
  </si>
  <si>
    <t>VOGELE</t>
  </si>
  <si>
    <t>1800-3 i</t>
  </si>
  <si>
    <t>1800-2 SJ</t>
  </si>
  <si>
    <t>SJ 1800-3</t>
  </si>
  <si>
    <t>PERFILADORA</t>
  </si>
  <si>
    <t>RODATEC</t>
  </si>
  <si>
    <t>RX600-4-4008</t>
  </si>
  <si>
    <t>RX600E</t>
  </si>
  <si>
    <t>BARREDORA</t>
  </si>
  <si>
    <t>BROCE</t>
  </si>
  <si>
    <t>RJ350</t>
  </si>
  <si>
    <t>LAYMOR</t>
  </si>
  <si>
    <t>SM400</t>
  </si>
  <si>
    <t>SUPERIOR BROOM</t>
  </si>
  <si>
    <t>DT80J</t>
  </si>
  <si>
    <t>DOBLE RODILLO/VIBROCOMPACTADOR DE RODILLOS</t>
  </si>
  <si>
    <t>HAMM</t>
  </si>
  <si>
    <t>120HD VV</t>
  </si>
  <si>
    <t>H1840093</t>
  </si>
  <si>
    <t xml:space="preserve">140HD </t>
  </si>
  <si>
    <t>H1840234</t>
  </si>
  <si>
    <t>TANDEM DOBLE RODILLO / VIBROCOMPACTOR RODILLO</t>
  </si>
  <si>
    <t>CAT</t>
  </si>
  <si>
    <t>CB54</t>
  </si>
  <si>
    <t>CAT0CB54PJLM00895</t>
  </si>
  <si>
    <t>VIBROCOMPACTADOR</t>
  </si>
  <si>
    <t>CATERPILLAR</t>
  </si>
  <si>
    <t>CB66B</t>
  </si>
  <si>
    <t>CATCB66BVB6600136</t>
  </si>
  <si>
    <t>NEUMATICO / COMPACTADOR DE NEUMATICOS</t>
  </si>
  <si>
    <t>DINAPAC</t>
  </si>
  <si>
    <t>CP271</t>
  </si>
  <si>
    <t>NEUMATICO</t>
  </si>
  <si>
    <t>VOLVO</t>
  </si>
  <si>
    <t>PT-240R</t>
  </si>
  <si>
    <t>VCE0T240A0S325028</t>
  </si>
  <si>
    <t xml:space="preserve">COMPRESOR </t>
  </si>
  <si>
    <t>SULLIVAN PALATEK</t>
  </si>
  <si>
    <t>D2010</t>
  </si>
  <si>
    <t>PHD25B330551</t>
  </si>
  <si>
    <t>PHD25B330552</t>
  </si>
  <si>
    <t>420DN</t>
  </si>
  <si>
    <t>CAT0420DTFDP27091</t>
  </si>
  <si>
    <t>BROCE BROOM</t>
  </si>
  <si>
    <t>KR350</t>
  </si>
  <si>
    <t>310SK</t>
  </si>
  <si>
    <t>1T0310SKAEE262172</t>
  </si>
  <si>
    <t xml:space="preserve">DOBLE RODILLO  </t>
  </si>
  <si>
    <t>INGERSOLL RAND</t>
  </si>
  <si>
    <t>DD-108HF</t>
  </si>
  <si>
    <t>TRASFER BUGGI</t>
  </si>
  <si>
    <t>CB-2500B 538</t>
  </si>
  <si>
    <t>IMPACTO</t>
  </si>
  <si>
    <t>FORD</t>
  </si>
  <si>
    <t>1HTMMAAL2DH158631</t>
  </si>
  <si>
    <t>F800</t>
  </si>
  <si>
    <t>1FDNF80C7WVA19892</t>
  </si>
  <si>
    <t>PETROLIZADORA (IMPACTO 04)</t>
  </si>
  <si>
    <t>1FDNF80C2WVA22179</t>
  </si>
  <si>
    <t xml:space="preserve">PETROLIZADORA   </t>
  </si>
  <si>
    <t>INTERNATIONAL</t>
  </si>
  <si>
    <t>3HTMMAAR830567</t>
  </si>
  <si>
    <t>PIPA DE AGUA (IMPACTO 01)</t>
  </si>
  <si>
    <t>1FDYR80U0GVA15942</t>
  </si>
  <si>
    <t>DOBLE RODILLO</t>
  </si>
  <si>
    <t>RAD ROLLER</t>
  </si>
  <si>
    <t>FILY-325 PRO</t>
  </si>
  <si>
    <t>LD600JN2026012501</t>
  </si>
  <si>
    <t xml:space="preserve">Rendimiento Nuevo</t>
  </si>
  <si>
    <t xml:space="preserve">Unidad de Medida</t>
  </si>
  <si>
    <t xml:space="preserve">Edad (Años)</t>
  </si>
  <si>
    <t xml:space="preserve">Rendimiento Ajustado (2026)</t>
  </si>
  <si>
    <t xml:space="preserve">L/h</t>
  </si>
  <si>
    <t xml:space="preserve">km/L</t>
  </si>
  <si>
    <t xml:space="preserve">CÁLCULO DE RENDIMIENTOS AJUSTADOS POR DESGASTE Y TIEMPO</t>
  </si>
  <si>
    <t xml:space="preserve">Año Actual de Auditoría:</t>
  </si>
  <si>
    <t xml:space="preserve">Tasa de Desgaste Anual (T):</t>
  </si>
  <si>
    <t xml:space="preserve">Edad Promedio Default:</t>
  </si>
  <si>
    <t xml:space="preserve">EXPLICACIÓN DE FÓRMULAS</t>
  </si>
  <si>
    <t xml:space="preserve">1. Edad del Equipo (Años):</t>
  </si>
  <si>
    <t xml:space="preserve">Calculada como: [Año Auditoría] - [Año de Fabricación].</t>
  </si>
  <si>
    <t xml:space="preserve">Si el año es desconocido (nulo), se asume la Edad Promedio Default (10 años).</t>
  </si>
  <si>
    <t xml:space="preserve">2. Maquinaria Medida en Horas (L/h):</t>
  </si>
  <si>
    <t xml:space="preserve">A mayor edad, se incrementa el consumo de combustible por desgaste mecánico:</t>
  </si>
  <si>
    <t xml:space="preserve">Fórmula: [Rendimiento Nuevo] * (1 + (Edad * Tasa de Desgaste))</t>
  </si>
  <si>
    <t xml:space="preserve">3. Transporte y Soporte Medido en Kilómetros (km/L):</t>
  </si>
  <si>
    <t xml:space="preserve">A mayor edad, se reduce el rendimiento en distancia recorrida por litro:</t>
  </si>
  <si>
    <t xml:space="preserve">Fórmula: [Rendimiento Nuevo] / (1 + (Edad * Tasa de Desgaste))</t>
  </si>
  <si>
    <t xml:space="preserve">NOTA DE AUDITORÍA:</t>
  </si>
  <si>
    <t xml:space="preserve">El desgaste anual del 1.0% anual es el estándar industrial recomendado para maquinaria pesada.</t>
  </si>
  <si>
    <t xml:space="preserve">Este modelo ajusta automáticamente los baselines conforme la flota envejece, permitiendo</t>
  </si>
  <si>
    <t xml:space="preserve">identificar desvíos de combustible reales sin castigar a los equipos de mayor antigüedad.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</si>
</sst>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0.0%"/>
  </numFmts>
  <fonts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color theme="1"/>
      <sz val="11"/>
      <name val="Aptos Narrow"/>
    </font>
    <font>
      <b/>
      <color theme="1"/>
      <sz val="11"/>
      <name val="Aptos Narrow"/>
    </font>
    <font>
      <b/>
      <color theme="1"/>
      <sz val="11"/>
      <name val="Aptos Narrow"/>
    </font>
    <font>
      <b/>
      <color theme="1"/>
      <sz val="11"/>
      <name val="Aptos Narrow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/>
    <font>
      <name val="Segoe UI"/>
      <sz val="10"/>
    </font>
    <font>
      <name val="Segoe UI"/>
      <sz val="10"/>
    </font>
    <font>
      <name val="Segoe UI"/>
      <sz val="10"/>
    </font>
    <font>
      <name val="Segoe UI"/>
      <sz val="10"/>
    </font>
    <font>
      <b/>
      <sz val="16"/>
      <name val="Segoe UI"/>
      <color rgb="FFFFFF"/>
    </font>
    <font>
      <b/>
      <sz val="10"/>
      <name val="Segoe UI"/>
    </font>
    <font>
      <sz val="10"/>
      <name val="Segoe UI"/>
    </font>
    <font>
      <b/>
      <sz val="10"/>
      <name val="Segoe UI"/>
    </font>
    <font>
      <sz val="10"/>
      <name val="Segoe UI"/>
      <b/>
    </font>
    <font>
      <b/>
      <sz val="10"/>
      <name val="Segoe UI"/>
    </font>
    <font>
      <sz val="10"/>
      <name val="Segoe UI"/>
    </font>
    <font>
      <b/>
      <sz val="12"/>
      <name val="Segoe UI"/>
      <color rgb="1F4E78"/>
    </font>
    <font>
      <b/>
      <name val="Segoe UI"/>
    </font>
    <font>
      <name val="Segoe UI"/>
    </font>
    <font>
      <name val="Segoe UI"/>
    </font>
    <font>
      <b/>
      <name val="Segoe UI"/>
    </font>
    <font>
      <name val="Segoe UI"/>
    </font>
    <font>
      <i/>
      <b/>
      <name val="Segoe UI"/>
      <color rgb="C00000"/>
    </font>
    <font>
      <b/>
      <name val="Segoe UI"/>
    </font>
    <font>
      <name val="Segoe UI"/>
    </font>
    <font>
      <i/>
      <b/>
      <name val="Segoe UI"/>
      <color rgb="C00000"/>
    </font>
    <font>
      <b/>
      <name val="Segoe UI"/>
      <color rgb="1F4E78"/>
    </font>
    <font>
      <name val="Segoe UI"/>
    </font>
    <font>
      <name val="Segoe UI"/>
    </font>
    <font>
      <name val="Segoe UI"/>
    </font>
  </fonts>
  <fills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1F4E78"/>
      </patternFill>
    </fill>
    <fill>
      <patternFill patternType="solid">
        <fgColor rgb="F2F2F2"/>
      </patternFill>
    </fill>
    <fill/>
    <fill>
      <patternFill patternType="solid">
        <fgColor rgb="F2F2F2"/>
      </patternFill>
    </fill>
    <fill/>
    <fill>
      <patternFill patternType="solid">
        <fgColor rgb="F2F2F2"/>
      </patternFill>
    </fill>
    <fill/>
    <fill/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 style="thin">
        <color rgb="SYSTEM FOREGROUND"/>
      </left>
      <right style="thin">
        <color rgb="SYSTEM FOREGROUND"/>
      </right>
      <top style="thin">
        <color rgb="SYSTEM FOREGROUND"/>
      </top>
      <bottom style="thin">
        <color rgb="SYSTEM FOREGROUND"/>
      </bottom>
      <diagonal/>
    </border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  <border>
      <left/>
      <right/>
      <top/>
      <bottom style="medium">
        <color rgb="1F4E78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fontId="3" fillId="4" borderId="3" applyFont="1" applyFill="1" applyBorder="1">
      <alignment horizontal="center" vertical="center"/>
    </xf>
    <xf fontId="4" fillId="5" borderId="4" applyFont="1" applyFill="1" applyBorder="1">
      <alignment horizontal="center" vertical="center"/>
    </xf>
    <xf fontId="5" fillId="6" borderId="5" applyFont="1" applyFill="1" applyBorder="1">
      <alignment horizontal="center" vertical="center"/>
    </xf>
    <xf fontId="6" fillId="7" borderId="6" applyFont="1" applyFill="1" applyBorder="1">
      <alignment horizontal="center" vertical="center"/>
    </xf>
    <xf numFmtId="0" fontId="7" fillId="8" borderId="7" xfId="0" applyBorder="1" applyAlignment="1" applyFont="1" applyFill="1">
      <alignment horizontal="center" vertical="center" wrapText="1"/>
    </xf>
    <xf fontId="8" fillId="9" borderId="8" applyFont="1" applyFill="1" applyBorder="1" numFmtId="2">
      <alignment horizontal="center"/>
    </xf>
    <xf fontId="9" fillId="10" borderId="9" applyFont="1" applyFill="1" applyBorder="1">
      <alignment horizontal="center"/>
    </xf>
    <xf fontId="10" fillId="11" borderId="10" applyFont="1" applyFill="1" applyBorder="1" numFmtId="1">
      <alignment horizontal="center"/>
    </xf>
    <xf fontId="11" fillId="12" borderId="11" applyFont="1" applyFill="1" applyBorder="1" numFmtId="2">
      <alignment horizontal="center"/>
    </xf>
    <xf numFmtId="0" fontId="12" fillId="13" borderId="12" xfId="0" applyBorder="1" applyAlignment="1" applyFont="1" applyFill="1">
      <alignment horizontal="center" vertical="center" wrapText="1"/>
    </xf>
    <xf fontId="13" fillId="14" borderId="13" applyFont="1" applyFill="1" applyBorder="1" numFmtId="2">
      <alignment horizontal="center"/>
    </xf>
    <xf fontId="14" fillId="15" borderId="14" applyFont="1" applyFill="1" applyBorder="1">
      <alignment horizontal="center"/>
    </xf>
    <xf fontId="15" fillId="16" borderId="15" applyFont="1" applyFill="1" applyBorder="1" numFmtId="1">
      <alignment horizontal="center"/>
    </xf>
    <xf fontId="16" fillId="17" borderId="16" applyFont="1" applyFill="1" applyBorder="1" numFmtId="2">
      <alignment horizontal="center"/>
    </xf>
    <xf numFmtId="0" fontId="17" fillId="18" borderId="17" xfId="0" applyBorder="1" applyAlignment="1" applyFont="1" applyFill="1">
      <alignment horizontal="center" vertical="center" wrapText="1"/>
    </xf>
    <xf fontId="18" fillId="19" borderId="18" applyFont="1" applyFill="1" applyBorder="1" numFmtId="2">
      <alignment horizontal="center"/>
    </xf>
    <xf fontId="19" fillId="20" borderId="19" applyFont="1" applyFill="1" applyBorder="1">
      <alignment horizontal="center"/>
    </xf>
    <xf fontId="20" fillId="21" borderId="20" applyFont="1" applyFill="1" applyBorder="1" numFmtId="1">
      <alignment horizontal="center"/>
    </xf>
    <xf fontId="21" fillId="22" borderId="21" applyFont="1" applyFill="1" applyBorder="1" numFmtId="2">
      <alignment horizontal="center"/>
    </xf>
    <xf numFmtId="0" fontId="22" fillId="23" borderId="22" xfId="0" applyBorder="1" applyAlignment="1" applyFont="1" applyFill="1">
      <alignment horizontal="center" vertical="center" wrapText="1"/>
    </xf>
    <xf fontId="23" fillId="24" borderId="23" applyFont="1" applyFill="1" applyBorder="1" numFmtId="2">
      <alignment horizontal="center"/>
    </xf>
    <xf fontId="24" fillId="25" borderId="24" applyFont="1" applyFill="1" applyBorder="1">
      <alignment horizontal="center"/>
    </xf>
    <xf fontId="25" fillId="26" borderId="25" applyFont="1" applyFill="1" applyBorder="1" numFmtId="1">
      <alignment horizontal="center"/>
    </xf>
    <xf fontId="26" fillId="27" borderId="26" applyFont="1" applyFill="1" applyBorder="1" numFmtId="2">
      <alignment horizontal="center"/>
    </xf>
    <xf numFmtId="0" fontId="27" fillId="28" borderId="27" xfId="0" applyBorder="1" applyAlignment="1" applyFont="1" applyFill="1">
      <alignment horizontal="center" vertical="center" wrapText="1"/>
    </xf>
    <xf fontId="28" fillId="29" borderId="28" applyFont="1" applyFill="1" applyBorder="1" numFmtId="2">
      <alignment horizontal="center"/>
    </xf>
    <xf fontId="29" fillId="30" borderId="29" applyFont="1" applyFill="1" applyBorder="1">
      <alignment horizontal="center"/>
    </xf>
    <xf fontId="30" fillId="31" borderId="30" applyFont="1" applyFill="1" applyBorder="1" numFmtId="1">
      <alignment horizontal="center"/>
    </xf>
    <xf fontId="31" fillId="32" borderId="31" applyFont="1" applyFill="1" applyBorder="1" numFmtId="2">
      <alignment horizontal="center"/>
    </xf>
    <xf numFmtId="0" fontId="32" fillId="33" borderId="32" xfId="0" applyBorder="1" applyAlignment="1" applyFont="1" applyFill="1">
      <alignment horizontal="center" vertical="center" wrapText="1"/>
    </xf>
    <xf fontId="33" fillId="34" borderId="33" applyFont="1" applyFill="1" applyBorder="1" numFmtId="2">
      <alignment horizontal="center"/>
    </xf>
    <xf fontId="34" fillId="35" borderId="34" applyFont="1" applyFill="1" applyBorder="1">
      <alignment horizontal="center"/>
    </xf>
    <xf fontId="35" fillId="36" borderId="35" applyFont="1" applyFill="1" applyBorder="1" numFmtId="1">
      <alignment horizontal="center"/>
    </xf>
    <xf fontId="36" fillId="37" borderId="36" applyFont="1" applyFill="1" applyBorder="1" numFmtId="2">
      <alignment horizontal="center"/>
    </xf>
    <xf numFmtId="0" fontId="37" fillId="38" borderId="37" xfId="0" applyBorder="1" applyAlignment="1" applyFont="1" applyFill="1">
      <alignment horizontal="center" vertical="center" wrapText="1"/>
    </xf>
    <xf fontId="38" fillId="39" borderId="38" applyFont="1" applyFill="1" applyBorder="1" numFmtId="2">
      <alignment horizontal="center"/>
    </xf>
    <xf fontId="39" fillId="40" borderId="39" applyFont="1" applyFill="1" applyBorder="1">
      <alignment horizontal="center"/>
    </xf>
    <xf fontId="40" fillId="41" borderId="40" applyFont="1" applyFill="1" applyBorder="1" numFmtId="1">
      <alignment horizontal="center"/>
    </xf>
    <xf fontId="41" fillId="42" borderId="41" applyFont="1" applyFill="1" applyBorder="1" numFmtId="2">
      <alignment horizontal="center"/>
    </xf>
    <xf numFmtId="0" fontId="42" fillId="43" borderId="42" xfId="0" applyBorder="1" applyAlignment="1" applyFont="1" applyFill="1">
      <alignment horizontal="center" vertical="center" wrapText="1"/>
    </xf>
    <xf fontId="43" fillId="44" borderId="43" applyFont="1" applyFill="1" applyBorder="1" numFmtId="2">
      <alignment horizontal="center"/>
    </xf>
    <xf fontId="44" fillId="45" borderId="44" applyFont="1" applyFill="1" applyBorder="1">
      <alignment horizontal="center"/>
    </xf>
    <xf fontId="45" fillId="46" borderId="45" applyFont="1" applyFill="1" applyBorder="1" numFmtId="1">
      <alignment horizontal="center"/>
    </xf>
    <xf fontId="46" fillId="47" borderId="46" applyFont="1" applyFill="1" applyBorder="1" numFmtId="2">
      <alignment horizontal="center"/>
    </xf>
    <xf numFmtId="0" fontId="47" fillId="48" borderId="47" xfId="0" applyBorder="1" applyAlignment="1" applyFont="1" applyFill="1">
      <alignment horizontal="center" vertical="center" wrapText="1"/>
    </xf>
    <xf fontId="48" fillId="49" borderId="48" applyFont="1" applyFill="1" applyBorder="1" numFmtId="2">
      <alignment horizontal="center"/>
    </xf>
    <xf fontId="49" fillId="50" borderId="49" applyFont="1" applyFill="1" applyBorder="1">
      <alignment horizontal="center"/>
    </xf>
    <xf fontId="50" fillId="51" borderId="50" applyFont="1" applyFill="1" applyBorder="1" numFmtId="1">
      <alignment horizontal="center"/>
    </xf>
    <xf fontId="51" fillId="52" borderId="51" applyFont="1" applyFill="1" applyBorder="1" numFmtId="2">
      <alignment horizontal="center"/>
    </xf>
    <xf numFmtId="0" fontId="52" fillId="53" borderId="52" xfId="0" applyBorder="1" applyAlignment="1" applyFont="1" applyFill="1">
      <alignment horizontal="center" vertical="center" wrapText="1"/>
    </xf>
    <xf fontId="53" fillId="54" borderId="53" applyFont="1" applyFill="1" applyBorder="1" numFmtId="2">
      <alignment horizontal="center"/>
    </xf>
    <xf fontId="54" fillId="55" borderId="54" applyFont="1" applyFill="1" applyBorder="1">
      <alignment horizontal="center"/>
    </xf>
    <xf fontId="55" fillId="56" borderId="55" applyFont="1" applyFill="1" applyBorder="1" numFmtId="1">
      <alignment horizontal="center"/>
    </xf>
    <xf fontId="56" fillId="57" borderId="56" applyFont="1" applyFill="1" applyBorder="1" numFmtId="2">
      <alignment horizontal="center"/>
    </xf>
    <xf numFmtId="0" fontId="57" fillId="58" borderId="57" xfId="0" applyBorder="1" applyAlignment="1" applyFont="1" applyFill="1">
      <alignment horizontal="center" vertical="center" wrapText="1"/>
    </xf>
    <xf fontId="58" fillId="59" borderId="58" applyFont="1" applyFill="1" applyBorder="1" numFmtId="2">
      <alignment horizontal="center"/>
    </xf>
    <xf fontId="59" fillId="60" borderId="59" applyFont="1" applyFill="1" applyBorder="1">
      <alignment horizontal="center"/>
    </xf>
    <xf fontId="60" fillId="61" borderId="60" applyFont="1" applyFill="1" applyBorder="1" numFmtId="1">
      <alignment horizontal="center"/>
    </xf>
    <xf fontId="61" fillId="62" borderId="61" applyFont="1" applyFill="1" applyBorder="1" numFmtId="2">
      <alignment horizontal="center"/>
    </xf>
    <xf numFmtId="0" fontId="62" fillId="63" borderId="62" xfId="0" applyBorder="1" applyAlignment="1" applyFont="1" applyFill="1">
      <alignment horizontal="center" vertical="center" wrapText="1"/>
    </xf>
    <xf fontId="63" fillId="64" borderId="63" applyFont="1" applyFill="1" applyBorder="1" numFmtId="2">
      <alignment horizontal="center"/>
    </xf>
    <xf fontId="64" fillId="65" borderId="64" applyFont="1" applyFill="1" applyBorder="1">
      <alignment horizontal="center"/>
    </xf>
    <xf fontId="65" fillId="66" borderId="65" applyFont="1" applyFill="1" applyBorder="1" numFmtId="1">
      <alignment horizontal="center"/>
    </xf>
    <xf fontId="66" fillId="67" borderId="66" applyFont="1" applyFill="1" applyBorder="1" numFmtId="2">
      <alignment horizontal="center"/>
    </xf>
    <xf numFmtId="0" fontId="67" fillId="68" borderId="67" xfId="0" applyBorder="1" applyAlignment="1" applyFont="1" applyFill="1">
      <alignment horizontal="center" vertical="center" wrapText="1"/>
    </xf>
    <xf fontId="68" fillId="69" borderId="68" applyFont="1" applyFill="1" applyBorder="1" numFmtId="2">
      <alignment horizontal="center"/>
    </xf>
    <xf fontId="69" fillId="70" borderId="69" applyFont="1" applyFill="1" applyBorder="1">
      <alignment horizontal="center"/>
    </xf>
    <xf fontId="70" fillId="71" borderId="70" applyFont="1" applyFill="1" applyBorder="1" numFmtId="1">
      <alignment horizontal="center"/>
    </xf>
    <xf fontId="71" fillId="72" borderId="71" applyFont="1" applyFill="1" applyBorder="1" numFmtId="2">
      <alignment horizontal="center"/>
    </xf>
    <xf numFmtId="0" fontId="72" fillId="73" borderId="72" xfId="0" applyBorder="1" applyAlignment="1" applyFont="1" applyFill="1">
      <alignment horizontal="center" vertical="center" wrapText="1"/>
    </xf>
    <xf fontId="73" fillId="74" borderId="73" applyFont="1" applyFill="1" applyBorder="1" numFmtId="2">
      <alignment horizontal="center"/>
    </xf>
    <xf fontId="74" fillId="75" borderId="74" applyFont="1" applyFill="1" applyBorder="1">
      <alignment horizontal="center"/>
    </xf>
    <xf fontId="75" fillId="76" borderId="75" applyFont="1" applyFill="1" applyBorder="1" numFmtId="1">
      <alignment horizontal="center"/>
    </xf>
    <xf fontId="76" fillId="77" borderId="76" applyFont="1" applyFill="1" applyBorder="1" numFmtId="2">
      <alignment horizontal="center"/>
    </xf>
    <xf numFmtId="0" fontId="77" fillId="78" borderId="77" xfId="0" applyBorder="1" applyAlignment="1" applyFont="1" applyFill="1">
      <alignment horizontal="center" vertical="center" wrapText="1"/>
    </xf>
    <xf fontId="78" fillId="79" borderId="78" applyFont="1" applyFill="1" applyBorder="1" numFmtId="2">
      <alignment horizontal="center"/>
    </xf>
    <xf fontId="79" fillId="80" borderId="79" applyFont="1" applyFill="1" applyBorder="1">
      <alignment horizontal="center"/>
    </xf>
    <xf fontId="80" fillId="81" borderId="80" applyFont="1" applyFill="1" applyBorder="1" numFmtId="1">
      <alignment horizontal="center"/>
    </xf>
    <xf fontId="81" fillId="82" borderId="81" applyFont="1" applyFill="1" applyBorder="1" numFmtId="2">
      <alignment horizontal="center"/>
    </xf>
    <xf numFmtId="0" fontId="82" fillId="83" borderId="82" xfId="0" applyBorder="1" applyAlignment="1" applyFont="1" applyFill="1">
      <alignment horizontal="center" vertical="center" wrapText="1"/>
    </xf>
    <xf fontId="83" fillId="84" borderId="83" applyFont="1" applyFill="1" applyBorder="1" numFmtId="2">
      <alignment horizontal="center"/>
    </xf>
    <xf fontId="84" fillId="85" borderId="84" applyFont="1" applyFill="1" applyBorder="1">
      <alignment horizontal="center"/>
    </xf>
    <xf fontId="85" fillId="86" borderId="85" applyFont="1" applyFill="1" applyBorder="1" numFmtId="1">
      <alignment horizontal="center"/>
    </xf>
    <xf fontId="86" fillId="87" borderId="86" applyFont="1" applyFill="1" applyBorder="1" numFmtId="2">
      <alignment horizontal="center"/>
    </xf>
    <xf numFmtId="0" fontId="87" fillId="88" borderId="87" xfId="0" applyBorder="1" applyAlignment="1" applyFont="1" applyFill="1">
      <alignment horizontal="center" vertical="center" wrapText="1"/>
    </xf>
    <xf fontId="88" fillId="89" borderId="88" applyFont="1" applyFill="1" applyBorder="1" numFmtId="2">
      <alignment horizontal="center"/>
    </xf>
    <xf fontId="89" fillId="90" borderId="89" applyFont="1" applyFill="1" applyBorder="1">
      <alignment horizontal="center"/>
    </xf>
    <xf fontId="90" fillId="91" borderId="90" applyFont="1" applyFill="1" applyBorder="1" numFmtId="1">
      <alignment horizontal="center"/>
    </xf>
    <xf fontId="91" fillId="92" borderId="91" applyFont="1" applyFill="1" applyBorder="1" numFmtId="2">
      <alignment horizontal="center"/>
    </xf>
    <xf numFmtId="0" fontId="92" fillId="93" borderId="92" xfId="0" applyBorder="1" applyAlignment="1" applyFont="1" applyFill="1">
      <alignment horizontal="center" vertical="center" wrapText="1"/>
    </xf>
    <xf fontId="93" fillId="94" borderId="93" applyFont="1" applyFill="1" applyBorder="1" numFmtId="2">
      <alignment horizontal="center"/>
    </xf>
    <xf fontId="94" fillId="95" borderId="94" applyFont="1" applyFill="1" applyBorder="1">
      <alignment horizontal="center"/>
    </xf>
    <xf fontId="95" fillId="96" borderId="95" applyFont="1" applyFill="1" applyBorder="1" numFmtId="1">
      <alignment horizontal="center"/>
    </xf>
    <xf fontId="96" fillId="97" borderId="96" applyFont="1" applyFill="1" applyBorder="1" numFmtId="2">
      <alignment horizontal="center"/>
    </xf>
    <xf numFmtId="0" fontId="97" fillId="98" borderId="97" xfId="0" applyBorder="1" applyAlignment="1" applyFont="1" applyFill="1">
      <alignment horizontal="center" vertical="center" wrapText="1"/>
    </xf>
    <xf fontId="98" fillId="99" borderId="98" applyFont="1" applyFill="1" applyBorder="1" numFmtId="2">
      <alignment horizontal="center"/>
    </xf>
    <xf fontId="99" fillId="100" borderId="99" applyFont="1" applyFill="1" applyBorder="1">
      <alignment horizontal="center"/>
    </xf>
    <xf fontId="100" fillId="101" borderId="100" applyFont="1" applyFill="1" applyBorder="1" numFmtId="1">
      <alignment horizontal="center"/>
    </xf>
    <xf fontId="101" fillId="102" borderId="101" applyFont="1" applyFill="1" applyBorder="1" numFmtId="2">
      <alignment horizontal="center"/>
    </xf>
    <xf numFmtId="0" fontId="102" fillId="103" borderId="102" xfId="0" applyBorder="1" applyAlignment="1" applyFont="1" applyFill="1">
      <alignment horizontal="center" vertical="center" wrapText="1"/>
    </xf>
    <xf fontId="103" fillId="104" borderId="103" applyFont="1" applyFill="1" applyBorder="1" numFmtId="2">
      <alignment horizontal="center"/>
    </xf>
    <xf fontId="104" fillId="105" borderId="104" applyFont="1" applyFill="1" applyBorder="1">
      <alignment horizontal="center"/>
    </xf>
    <xf fontId="105" fillId="106" borderId="105" applyFont="1" applyFill="1" applyBorder="1" numFmtId="1">
      <alignment horizontal="center"/>
    </xf>
    <xf fontId="106" fillId="107" borderId="106" applyFont="1" applyFill="1" applyBorder="1" numFmtId="2">
      <alignment horizontal="center"/>
    </xf>
    <xf numFmtId="0" fontId="107" fillId="108" borderId="107" xfId="0" applyBorder="1" applyAlignment="1" applyFont="1" applyFill="1">
      <alignment horizontal="center" vertical="center" wrapText="1"/>
    </xf>
    <xf fontId="108" fillId="109" borderId="108" applyFont="1" applyFill="1" applyBorder="1" numFmtId="2">
      <alignment horizontal="center"/>
    </xf>
    <xf fontId="109" fillId="110" borderId="109" applyFont="1" applyFill="1" applyBorder="1">
      <alignment horizontal="center"/>
    </xf>
    <xf fontId="110" fillId="111" borderId="110" applyFont="1" applyFill="1" applyBorder="1" numFmtId="1">
      <alignment horizontal="center"/>
    </xf>
    <xf fontId="111" fillId="112" borderId="111" applyFont="1" applyFill="1" applyBorder="1" numFmtId="2">
      <alignment horizontal="center"/>
    </xf>
    <xf numFmtId="0" fontId="112" fillId="113" borderId="112" xfId="0" applyBorder="1" applyAlignment="1" applyFont="1" applyFill="1">
      <alignment horizontal="center" vertical="center" wrapText="1"/>
    </xf>
    <xf fontId="113" fillId="114" borderId="113" applyFont="1" applyFill="1" applyBorder="1" numFmtId="2">
      <alignment horizontal="center"/>
    </xf>
    <xf fontId="114" fillId="115" borderId="114" applyFont="1" applyFill="1" applyBorder="1">
      <alignment horizontal="center"/>
    </xf>
    <xf fontId="115" fillId="116" borderId="115" applyFont="1" applyFill="1" applyBorder="1" numFmtId="1">
      <alignment horizontal="center"/>
    </xf>
    <xf fontId="116" fillId="117" borderId="116" applyFont="1" applyFill="1" applyBorder="1" numFmtId="2">
      <alignment horizontal="center"/>
    </xf>
    <xf numFmtId="0" fontId="117" fillId="118" borderId="117" xfId="0" applyBorder="1" applyAlignment="1" applyFont="1" applyFill="1">
      <alignment horizontal="center" vertical="center" wrapText="1"/>
    </xf>
    <xf fontId="118" fillId="119" borderId="118" applyFont="1" applyFill="1" applyBorder="1" numFmtId="2">
      <alignment horizontal="center"/>
    </xf>
    <xf fontId="119" fillId="120" borderId="119" applyFont="1" applyFill="1" applyBorder="1">
      <alignment horizontal="center"/>
    </xf>
    <xf fontId="120" fillId="121" borderId="120" applyFont="1" applyFill="1" applyBorder="1" numFmtId="1">
      <alignment horizontal="center"/>
    </xf>
    <xf fontId="121" fillId="122" borderId="121" applyFont="1" applyFill="1" applyBorder="1" numFmtId="2">
      <alignment horizontal="center"/>
    </xf>
    <xf numFmtId="0" fontId="122" fillId="123" borderId="122" xfId="0" applyBorder="1" applyAlignment="1" applyFont="1" applyFill="1">
      <alignment horizontal="center" vertical="center" wrapText="1"/>
    </xf>
    <xf fontId="123" fillId="124" borderId="123" applyFont="1" applyFill="1" applyBorder="1" numFmtId="2">
      <alignment horizontal="center"/>
    </xf>
    <xf fontId="124" fillId="125" borderId="124" applyFont="1" applyFill="1" applyBorder="1">
      <alignment horizontal="center"/>
    </xf>
    <xf fontId="125" fillId="126" borderId="125" applyFont="1" applyFill="1" applyBorder="1" numFmtId="1">
      <alignment horizontal="center"/>
    </xf>
    <xf fontId="126" fillId="127" borderId="126" applyFont="1" applyFill="1" applyBorder="1" numFmtId="2">
      <alignment horizontal="center"/>
    </xf>
    <xf numFmtId="0" fontId="127" fillId="128" borderId="127" xfId="0" applyBorder="1" applyAlignment="1" applyFont="1" applyFill="1">
      <alignment horizontal="center" vertical="center" wrapText="1"/>
    </xf>
    <xf fontId="128" fillId="129" borderId="128" applyFont="1" applyFill="1" applyBorder="1" numFmtId="2">
      <alignment horizontal="center"/>
    </xf>
    <xf fontId="129" fillId="130" borderId="129" applyFont="1" applyFill="1" applyBorder="1">
      <alignment horizontal="center"/>
    </xf>
    <xf fontId="130" fillId="131" borderId="130" applyFont="1" applyFill="1" applyBorder="1" numFmtId="1">
      <alignment horizontal="center"/>
    </xf>
    <xf fontId="131" fillId="132" borderId="131" applyFont="1" applyFill="1" applyBorder="1" numFmtId="2">
      <alignment horizontal="center"/>
    </xf>
    <xf numFmtId="0" fontId="132" fillId="133" borderId="132" xfId="0" applyBorder="1" applyAlignment="1" applyFont="1" applyFill="1">
      <alignment horizontal="center" vertical="center" wrapText="1"/>
    </xf>
    <xf fontId="133" fillId="134" borderId="133" applyFont="1" applyFill="1" applyBorder="1" numFmtId="2">
      <alignment horizontal="center"/>
    </xf>
    <xf fontId="134" fillId="135" borderId="134" applyFont="1" applyFill="1" applyBorder="1">
      <alignment horizontal="center"/>
    </xf>
    <xf fontId="135" fillId="136" borderId="135" applyFont="1" applyFill="1" applyBorder="1" numFmtId="1">
      <alignment horizontal="center"/>
    </xf>
    <xf fontId="136" fillId="137" borderId="136" applyFont="1" applyFill="1" applyBorder="1" numFmtId="2">
      <alignment horizontal="center"/>
    </xf>
    <xf numFmtId="0" fontId="137" fillId="138" borderId="137" xfId="0" applyBorder="1" applyAlignment="1" applyFont="1" applyFill="1">
      <alignment horizontal="center" vertical="center" wrapText="1"/>
    </xf>
    <xf fontId="138" fillId="139" borderId="138" applyFont="1" applyFill="1" applyBorder="1" numFmtId="2">
      <alignment horizontal="center"/>
    </xf>
    <xf fontId="139" fillId="140" borderId="139" applyFont="1" applyFill="1" applyBorder="1">
      <alignment horizontal="center"/>
    </xf>
    <xf fontId="140" fillId="141" borderId="140" applyFont="1" applyFill="1" applyBorder="1" numFmtId="1">
      <alignment horizontal="center"/>
    </xf>
    <xf fontId="141" fillId="142" borderId="141" applyFont="1" applyFill="1" applyBorder="1" numFmtId="2">
      <alignment horizontal="center"/>
    </xf>
    <xf numFmtId="0" fontId="142" fillId="143" borderId="142" xfId="0" applyBorder="1" applyAlignment="1" applyFont="1" applyFill="1">
      <alignment horizontal="center" vertical="center" wrapText="1"/>
    </xf>
    <xf fontId="143" fillId="144" borderId="143" applyFont="1" applyFill="1" applyBorder="1" numFmtId="2">
      <alignment horizontal="center"/>
    </xf>
    <xf fontId="144" fillId="145" borderId="144" applyFont="1" applyFill="1" applyBorder="1">
      <alignment horizontal="center"/>
    </xf>
    <xf fontId="145" fillId="146" borderId="145" applyFont="1" applyFill="1" applyBorder="1" numFmtId="1">
      <alignment horizontal="center"/>
    </xf>
    <xf fontId="146" fillId="147" borderId="146" applyFont="1" applyFill="1" applyBorder="1" numFmtId="2">
      <alignment horizontal="center"/>
    </xf>
    <xf numFmtId="0" fontId="147" fillId="148" borderId="147" xfId="0" applyBorder="1" applyAlignment="1" applyFont="1" applyFill="1">
      <alignment horizontal="center" vertical="center" wrapText="1"/>
    </xf>
    <xf fontId="148" fillId="149" borderId="148" applyFont="1" applyFill="1" applyBorder="1" numFmtId="2">
      <alignment horizontal="center"/>
    </xf>
    <xf fontId="149" fillId="150" borderId="149" applyFont="1" applyFill="1" applyBorder="1">
      <alignment horizontal="center"/>
    </xf>
    <xf fontId="150" fillId="151" borderId="150" applyFont="1" applyFill="1" applyBorder="1" numFmtId="1">
      <alignment horizontal="center"/>
    </xf>
    <xf fontId="151" fillId="152" borderId="151" applyFont="1" applyFill="1" applyBorder="1" numFmtId="2">
      <alignment horizontal="center"/>
    </xf>
    <xf numFmtId="0" fontId="152" fillId="153" borderId="152" xfId="0" applyBorder="1" applyAlignment="1" applyFont="1" applyFill="1">
      <alignment horizontal="center" vertical="center" wrapText="1"/>
    </xf>
    <xf fontId="153" fillId="154" borderId="153" applyFont="1" applyFill="1" applyBorder="1" numFmtId="2">
      <alignment horizontal="center"/>
    </xf>
    <xf fontId="154" fillId="155" borderId="154" applyFont="1" applyFill="1" applyBorder="1">
      <alignment horizontal="center"/>
    </xf>
    <xf fontId="155" fillId="156" borderId="155" applyFont="1" applyFill="1" applyBorder="1" numFmtId="1">
      <alignment horizontal="center"/>
    </xf>
    <xf fontId="156" fillId="157" borderId="156" applyFont="1" applyFill="1" applyBorder="1" numFmtId="2">
      <alignment horizontal="center"/>
    </xf>
    <xf numFmtId="0" fontId="157" fillId="158" borderId="157" xfId="0" applyBorder="1" applyAlignment="1" applyFont="1" applyFill="1">
      <alignment horizontal="center" vertical="center" wrapText="1"/>
    </xf>
    <xf fontId="158" fillId="159" borderId="158" applyFont="1" applyFill="1" applyBorder="1" numFmtId="2">
      <alignment horizontal="center"/>
    </xf>
    <xf fontId="159" fillId="160" borderId="159" applyFont="1" applyFill="1" applyBorder="1">
      <alignment horizontal="center"/>
    </xf>
    <xf fontId="160" fillId="161" borderId="160" applyFont="1" applyFill="1" applyBorder="1" numFmtId="1">
      <alignment horizontal="center"/>
    </xf>
    <xf fontId="161" fillId="162" borderId="161" applyFont="1" applyFill="1" applyBorder="1" numFmtId="2">
      <alignment horizontal="center"/>
    </xf>
    <xf numFmtId="0" fontId="162" fillId="163" borderId="162" xfId="0" applyBorder="1" applyAlignment="1" applyFont="1" applyFill="1">
      <alignment horizontal="center" vertical="center" wrapText="1"/>
    </xf>
    <xf fontId="163" fillId="164" borderId="163" applyFont="1" applyFill="1" applyBorder="1" numFmtId="2">
      <alignment horizontal="center"/>
    </xf>
    <xf fontId="164" fillId="165" borderId="164" applyFont="1" applyFill="1" applyBorder="1">
      <alignment horizontal="center"/>
    </xf>
    <xf fontId="165" fillId="166" borderId="165" applyFont="1" applyFill="1" applyBorder="1" numFmtId="1">
      <alignment horizontal="center"/>
    </xf>
    <xf fontId="166" fillId="167" borderId="166" applyFont="1" applyFill="1" applyBorder="1" numFmtId="2">
      <alignment horizontal="center"/>
    </xf>
    <xf fontId="167" fillId="168" borderId="167" applyFont="1" applyFill="1" applyBorder="1">
      <alignment vertical="center" horizontal="center"/>
    </xf>
    <xf fontId="168" fillId="169" borderId="168" applyFont="1" applyFill="1" applyBorder="1"/>
    <xf fontId="169" fillId="170" borderId="169" applyFont="1" applyFill="1" applyBorder="1" numFmtId="1"/>
    <xf fontId="170" fillId="171" borderId="170" applyFont="1" applyFill="1" applyBorder="1"/>
    <xf fontId="171" fillId="172" borderId="171" applyFont="1" applyFill="1" applyBorder="1" numFmtId="164"/>
    <xf fontId="172" fillId="173" borderId="172" applyFont="1" applyFill="1" applyBorder="1"/>
    <xf fontId="173" fillId="174" borderId="173" applyFont="1" applyFill="1" applyBorder="1" numFmtId="1"/>
    <xf fontId="174" fillId="175" borderId="174" applyFont="1" applyFill="1" applyBorder="1"/>
    <xf fontId="175" fillId="176" borderId="175" applyFont="1" applyFill="1" applyBorder="1"/>
    <xf fontId="176" fillId="177" borderId="176" applyFont="1" applyFill="1" applyBorder="1"/>
    <xf fontId="177" fillId="178" borderId="177" applyFont="1" applyFill="1" applyBorder="1"/>
    <xf fontId="178" fillId="179" borderId="178" applyFont="1" applyFill="1" applyBorder="1"/>
    <xf fontId="179" fillId="180" borderId="179" applyFont="1" applyFill="1" applyBorder="1"/>
    <xf fontId="180" fillId="181" borderId="180" applyFont="1" applyFill="1" applyBorder="1"/>
    <xf fontId="181" fillId="182" borderId="181" applyFont="1" applyFill="1" applyBorder="1"/>
    <xf fontId="182" fillId="183" borderId="182" applyFont="1" applyFill="1" applyBorder="1"/>
    <xf fontId="183" fillId="184" borderId="183" applyFont="1" applyFill="1" applyBorder="1"/>
    <xf fontId="184" fillId="185" borderId="184" applyFont="1" applyFill="1" applyBorder="1"/>
    <xf fontId="185" fillId="186" borderId="185" applyFont="1" applyFill="1" applyBorder="1"/>
    <xf fontId="186" fillId="187" borderId="186" applyFont="1" applyFill="1" applyBorder="1"/>
    <xf fontId="187" fillId="188" borderId="187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EC920-5793-414C-9704-4AEAF292E452}">
  <sheetPr>
    <pageSetUpPr fitToPage="1"/>
  </sheetPr>
  <sheetViews>
    <sheetView tabSelected="1" workbookViewId="0">
      <selection activeCell="J8" sqref="J8"/>
    </sheetView>
  </sheetViews>
  <sheetFormatPr baseColWidth="10" defaultRowHeight="15" x14ac:dyDescent="0.25"/>
  <cols>
    <col min="1" max="1" width="11.42578125" style="3"/>
    <col min="2" max="2" width="21" style="3" customWidth="1"/>
    <col min="3" max="3" width="22.7109375" style="3" customWidth="1"/>
    <col min="4" max="4" width="20.85546875" style="3" customWidth="1"/>
    <col min="5" max="5" width="13.7109375" style="3" customWidth="1"/>
    <col min="6" max="6" width="11.42578125" style="3"/>
    <col min="7" max="7" width="27" style="3" customWidth="1"/>
    <col min="8" max="8" width="18" customWidth="1"/>
    <col min="9" max="9" width="18" customWidth="1"/>
    <col min="10" max="10" width="14" customWidth="1"/>
    <col min="11" max="11" width="28" customWidth="1"/>
  </cols>
  <sheetData>
    <row r="1" spans="1:7" x14ac:dyDescent="0.25">
      <c r="A1" t="s" s="5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t="s" s="6">
        <v>86</v>
      </c>
      <c r="I1" t="s" s="7">
        <v>87</v>
      </c>
      <c r="J1" t="s" s="8">
        <v>88</v>
      </c>
      <c r="K1" t="s" s="9">
        <v>89</v>
      </c>
    </row>
    <row r="2" spans="1:7" x14ac:dyDescent="0.25">
      <c r="A2" s="4"/>
      <c r="B2" s="4"/>
      <c r="C2" s="4"/>
      <c r="D2" s="4"/>
      <c r="E2" s="4"/>
      <c r="F2" s="4"/>
      <c r="G2" s="4"/>
    </row>
    <row r="3" spans="1:7" x14ac:dyDescent="0.25">
      <c r="A3" s="4"/>
      <c r="B3" s="4"/>
      <c r="C3" s="4"/>
      <c r="D3" s="4"/>
      <c r="E3" s="4"/>
      <c r="F3" s="4"/>
      <c r="G3" s="4"/>
    </row>
    <row r="4" spans="1:7" ht="45" x14ac:dyDescent="0.25">
      <c r="A4" s="10">
        <v>1</v>
      </c>
      <c r="B4" t="s" s="1">
        <v>7</v>
      </c>
      <c r="C4" t="s" s="1">
        <v>8</v>
      </c>
      <c r="D4" t="s" s="1">
        <v>9</v>
      </c>
      <c r="E4" t="s" s="1">
        <v>10</v>
      </c>
      <c r="F4" s="1">
        <v>2011</v>
      </c>
      <c r="G4" t="s" s="1">
        <v>11</v>
      </c>
      <c r="H4" s="11">
        <v>6.5</v>
      </c>
      <c r="I4" t="s" s="12">
        <v>90</v>
      </c>
      <c r="J4" s="13">
        <f>IF(OR(ISBLANK(F4), F4=""), 'Cálculo Rendimiento'!$B$5, 'Cálculo Rendimiento'!$B$3 - F4)</f>
      </c>
      <c r="K4" s="14">
        <f>IF(I4="km/L", H4 / (1 + (J4 * 'Cálculo Rendimiento'!$B$4)), H4 * (1 + (J4 * 'Cálculo Rendimiento'!$B$4)))</f>
      </c>
    </row>
    <row r="5" spans="1:7" x14ac:dyDescent="0.25">
      <c r="A5" s="15">
        <v>2</v>
      </c>
      <c r="B5" t="s" s="1">
        <v>7</v>
      </c>
      <c r="C5" s="1"/>
      <c r="D5" t="s" s="1">
        <v>12</v>
      </c>
      <c r="E5" t="s" s="1">
        <v>13</v>
      </c>
      <c r="F5" s="1">
        <v>2010</v>
      </c>
      <c r="G5" t="s" s="1">
        <v>14</v>
      </c>
      <c r="H5" s="16">
        <v>6.5</v>
      </c>
      <c r="I5" t="s" s="17">
        <v>90</v>
      </c>
      <c r="J5" s="18">
        <f>IF(OR(ISBLANK(F5), F5=""), 'Cálculo Rendimiento'!$B$5, 'Cálculo Rendimiento'!$B$3 - F5)</f>
      </c>
      <c r="K5" s="19">
        <f>IF(I5="km/L", H5 / (1 + (J5 * 'Cálculo Rendimiento'!$B$4)), H5 * (1 + (J5 * 'Cálculo Rendimiento'!$B$4)))</f>
      </c>
    </row>
    <row r="6" spans="1:7" ht="45" x14ac:dyDescent="0.25">
      <c r="A6" s="20">
        <v>3</v>
      </c>
      <c r="B6" t="s" s="2">
        <v>7</v>
      </c>
      <c r="C6" t="s" s="1">
        <v>8</v>
      </c>
      <c r="D6" t="s" s="2">
        <v>9</v>
      </c>
      <c r="E6" t="s" s="2">
        <v>10</v>
      </c>
      <c r="F6" s="2">
        <v>2010</v>
      </c>
      <c r="G6" t="s" s="2">
        <v>15</v>
      </c>
      <c r="H6" s="21">
        <v>6.5</v>
      </c>
      <c r="I6" t="s" s="22">
        <v>90</v>
      </c>
      <c r="J6" s="23">
        <f>IF(OR(ISBLANK(F6), F6=""), 'Cálculo Rendimiento'!$B$5, 'Cálculo Rendimiento'!$B$3 - F6)</f>
      </c>
      <c r="K6" s="24">
        <f>IF(I6="km/L", H6 / (1 + (J6 * 'Cálculo Rendimiento'!$B$4)), H6 * (1 + (J6 * 'Cálculo Rendimiento'!$B$4)))</f>
      </c>
    </row>
    <row r="7" spans="1:7" ht="45" x14ac:dyDescent="0.25">
      <c r="A7" s="25">
        <v>4</v>
      </c>
      <c r="B7" t="s" s="2">
        <v>16</v>
      </c>
      <c r="C7" t="s" s="1">
        <v>17</v>
      </c>
      <c r="D7" t="s" s="2">
        <v>18</v>
      </c>
      <c r="E7" t="s" s="2">
        <v>19</v>
      </c>
      <c r="F7" s="2">
        <v>2016</v>
      </c>
      <c r="G7" s="2">
        <v>14821687</v>
      </c>
      <c r="H7" s="26">
        <v>14.5</v>
      </c>
      <c r="I7" t="s" s="27">
        <v>90</v>
      </c>
      <c r="J7" s="28">
        <f>IF(OR(ISBLANK(F7), F7=""), 'Cálculo Rendimiento'!$B$5, 'Cálculo Rendimiento'!$B$3 - F7)</f>
      </c>
      <c r="K7" s="29">
        <f>IF(I7="km/L", H7 / (1 + (J7 * 'Cálculo Rendimiento'!$B$4)), H7 * (1 + (J7 * 'Cálculo Rendimiento'!$B$4)))</f>
      </c>
    </row>
    <row r="8" spans="1:7" ht="45" x14ac:dyDescent="0.25">
      <c r="A8" s="30">
        <v>5</v>
      </c>
      <c r="B8" t="s" s="2">
        <v>16</v>
      </c>
      <c r="C8" t="s" s="1">
        <v>8</v>
      </c>
      <c r="D8" t="s" s="2">
        <v>18</v>
      </c>
      <c r="E8" t="s" s="2">
        <v>20</v>
      </c>
      <c r="F8" s="2">
        <v>2009</v>
      </c>
      <c r="G8" s="2">
        <v>11821564</v>
      </c>
      <c r="H8" s="31">
        <v>14.5</v>
      </c>
      <c r="I8" t="s" s="32">
        <v>90</v>
      </c>
      <c r="J8" s="33">
        <f>IF(OR(ISBLANK(F8), F8=""), 'Cálculo Rendimiento'!$B$5, 'Cálculo Rendimiento'!$B$3 - F8)</f>
      </c>
      <c r="K8" s="34">
        <f>IF(I8="km/L", H8 / (1 + (J8 * 'Cálculo Rendimiento'!$B$4)), H8 * (1 + (J8 * 'Cálculo Rendimiento'!$B$4)))</f>
      </c>
    </row>
    <row r="9" spans="1:7" ht="45" x14ac:dyDescent="0.25">
      <c r="A9" s="35">
        <v>6</v>
      </c>
      <c r="B9" t="s" s="2">
        <v>16</v>
      </c>
      <c r="C9" t="s" s="1">
        <v>17</v>
      </c>
      <c r="D9" t="s" s="2">
        <v>18</v>
      </c>
      <c r="E9" t="s" s="2">
        <v>21</v>
      </c>
      <c r="F9" s="2">
        <v>2021</v>
      </c>
      <c r="G9" s="2">
        <v>14823977</v>
      </c>
      <c r="H9" s="36">
        <v>14.5</v>
      </c>
      <c r="I9" t="s" s="37">
        <v>90</v>
      </c>
      <c r="J9" s="38">
        <f>IF(OR(ISBLANK(F9), F9=""), 'Cálculo Rendimiento'!$B$5, 'Cálculo Rendimiento'!$B$3 - F9)</f>
      </c>
      <c r="K9" s="39">
        <f>IF(I9="km/L", H9 / (1 + (J9 * 'Cálculo Rendimiento'!$B$4)), H9 * (1 + (J9 * 'Cálculo Rendimiento'!$B$4)))</f>
      </c>
    </row>
    <row r="10" spans="1:7" ht="45" x14ac:dyDescent="0.25">
      <c r="A10" s="40">
        <v>7</v>
      </c>
      <c r="B10" t="s" s="2">
        <v>22</v>
      </c>
      <c r="C10" t="s" s="1">
        <v>17</v>
      </c>
      <c r="D10" t="s" s="2">
        <v>23</v>
      </c>
      <c r="E10" t="s" s="2">
        <v>24</v>
      </c>
      <c r="F10" s="2">
        <v>2015</v>
      </c>
      <c r="G10" s="2">
        <v>79816538</v>
      </c>
      <c r="H10" s="41">
        <v>65</v>
      </c>
      <c r="I10" t="s" s="42">
        <v>90</v>
      </c>
      <c r="J10" s="43">
        <f>IF(OR(ISBLANK(F10), F10=""), 'Cálculo Rendimiento'!$B$5, 'Cálculo Rendimiento'!$B$3 - F10)</f>
      </c>
      <c r="K10" s="44">
        <f>IF(I10="km/L", H10 / (1 + (J10 * 'Cálculo Rendimiento'!$B$4)), H10 * (1 + (J10 * 'Cálculo Rendimiento'!$B$4)))</f>
      </c>
    </row>
    <row r="11" spans="1:7" ht="33" customHeight="1" x14ac:dyDescent="0.25">
      <c r="A11" s="45">
        <v>8</v>
      </c>
      <c r="B11" t="s" s="2">
        <v>22</v>
      </c>
      <c r="C11" s="1"/>
      <c r="D11" t="s" s="2">
        <v>23</v>
      </c>
      <c r="E11" t="s" s="2">
        <v>25</v>
      </c>
      <c r="F11" s="2">
        <v>2013</v>
      </c>
      <c r="G11" s="2">
        <v>79549560</v>
      </c>
      <c r="H11" s="46">
        <v>65</v>
      </c>
      <c r="I11" t="s" s="47">
        <v>90</v>
      </c>
      <c r="J11" s="48">
        <f>IF(OR(ISBLANK(F11), F11=""), 'Cálculo Rendimiento'!$B$5, 'Cálculo Rendimiento'!$B$3 - F11)</f>
      </c>
      <c r="K11" s="49">
        <f>IF(I11="km/L", H11 / (1 + (J11 * 'Cálculo Rendimiento'!$B$4)), H11 * (1 + (J11 * 'Cálculo Rendimiento'!$B$4)))</f>
      </c>
    </row>
    <row r="12" spans="1:7" ht="45" x14ac:dyDescent="0.25">
      <c r="A12" s="50">
        <v>9</v>
      </c>
      <c r="B12" t="s" s="2">
        <v>26</v>
      </c>
      <c r="C12" t="s" s="1">
        <v>17</v>
      </c>
      <c r="D12" t="s" s="2">
        <v>27</v>
      </c>
      <c r="E12" t="s" s="2">
        <v>28</v>
      </c>
      <c r="F12" s="2">
        <v>2010</v>
      </c>
      <c r="G12" s="2">
        <v>89602</v>
      </c>
      <c r="H12" s="51">
        <v>7.5</v>
      </c>
      <c r="I12" t="s" s="52">
        <v>90</v>
      </c>
      <c r="J12" s="53">
        <f>IF(OR(ISBLANK(F12), F12=""), 'Cálculo Rendimiento'!$B$5, 'Cálculo Rendimiento'!$B$3 - F12)</f>
      </c>
      <c r="K12" s="54">
        <f>IF(I12="km/L", H12 / (1 + (J12 * 'Cálculo Rendimiento'!$B$4)), H12 * (1 + (J12 * 'Cálculo Rendimiento'!$B$4)))</f>
      </c>
    </row>
    <row r="13" spans="1:7" ht="45" x14ac:dyDescent="0.25">
      <c r="A13" s="55">
        <v>10</v>
      </c>
      <c r="B13" t="s" s="2">
        <v>26</v>
      </c>
      <c r="C13" t="s" s="1">
        <v>8</v>
      </c>
      <c r="D13" t="s" s="2">
        <v>29</v>
      </c>
      <c r="E13" t="s" s="2">
        <v>30</v>
      </c>
      <c r="F13" s="2">
        <v>2016</v>
      </c>
      <c r="G13" s="2">
        <v>36864</v>
      </c>
      <c r="H13" s="56">
        <v>7.5</v>
      </c>
      <c r="I13" t="s" s="57">
        <v>90</v>
      </c>
      <c r="J13" s="58">
        <f>IF(OR(ISBLANK(F13), F13=""), 'Cálculo Rendimiento'!$B$5, 'Cálculo Rendimiento'!$B$3 - F13)</f>
      </c>
      <c r="K13" s="59">
        <f>IF(I13="km/L", H13 / (1 + (J13 * 'Cálculo Rendimiento'!$B$4)), H13 * (1 + (J13 * 'Cálculo Rendimiento'!$B$4)))</f>
      </c>
    </row>
    <row r="14" spans="1:7" x14ac:dyDescent="0.25">
      <c r="A14" s="60">
        <v>11</v>
      </c>
      <c r="B14" t="s" s="2">
        <v>26</v>
      </c>
      <c r="C14" s="1"/>
      <c r="D14" t="s" s="2">
        <v>31</v>
      </c>
      <c r="E14" t="s" s="2">
        <v>32</v>
      </c>
      <c r="F14" s="1">
        <v>2015</v>
      </c>
      <c r="G14" s="1">
        <v>804108</v>
      </c>
      <c r="H14" s="61">
        <v>7.5</v>
      </c>
      <c r="I14" t="s" s="62">
        <v>90</v>
      </c>
      <c r="J14" s="63">
        <f>IF(OR(ISBLANK(F14), F14=""), 'Cálculo Rendimiento'!$B$5, 'Cálculo Rendimiento'!$B$3 - F14)</f>
      </c>
      <c r="K14" s="64">
        <f>IF(I14="km/L", H14 / (1 + (J14 * 'Cálculo Rendimiento'!$B$4)), H14 * (1 + (J14 * 'Cálculo Rendimiento'!$B$4)))</f>
      </c>
    </row>
    <row r="15" spans="1:7" ht="45" x14ac:dyDescent="0.25">
      <c r="A15" s="65">
        <v>12</v>
      </c>
      <c r="B15" t="s" s="2">
        <v>26</v>
      </c>
      <c r="C15" t="s" s="1">
        <v>17</v>
      </c>
      <c r="D15" t="s" s="2">
        <v>29</v>
      </c>
      <c r="E15" t="s" s="2">
        <v>30</v>
      </c>
      <c r="F15" s="2">
        <v>2017</v>
      </c>
      <c r="G15" s="2">
        <v>34091</v>
      </c>
      <c r="H15" s="66">
        <v>7.5</v>
      </c>
      <c r="I15" t="s" s="67">
        <v>90</v>
      </c>
      <c r="J15" s="68">
        <f>IF(OR(ISBLANK(F15), F15=""), 'Cálculo Rendimiento'!$B$5, 'Cálculo Rendimiento'!$B$3 - F15)</f>
      </c>
      <c r="K15" s="69">
        <f>IF(I15="km/L", H15 / (1 + (J15 * 'Cálculo Rendimiento'!$B$4)), H15 * (1 + (J15 * 'Cálculo Rendimiento'!$B$4)))</f>
      </c>
    </row>
    <row r="16" spans="1:7" ht="60" x14ac:dyDescent="0.25">
      <c r="A16" s="70">
        <v>13</v>
      </c>
      <c r="B16" t="s" s="1">
        <v>33</v>
      </c>
      <c r="C16" t="s" s="1">
        <v>8</v>
      </c>
      <c r="D16" t="s" s="2">
        <v>34</v>
      </c>
      <c r="E16" t="s" s="2">
        <v>35</v>
      </c>
      <c r="F16" s="2">
        <v>2010</v>
      </c>
      <c r="G16" t="s" s="2">
        <v>36</v>
      </c>
      <c r="H16" s="71">
        <v>12</v>
      </c>
      <c r="I16" t="s" s="72">
        <v>90</v>
      </c>
      <c r="J16" s="73">
        <f>IF(OR(ISBLANK(F16), F16=""), 'Cálculo Rendimiento'!$B$5, 'Cálculo Rendimiento'!$B$3 - F16)</f>
      </c>
      <c r="K16" s="74">
        <f>IF(I16="km/L", H16 / (1 + (J16 * 'Cálculo Rendimiento'!$B$4)), H16 * (1 + (J16 * 'Cálculo Rendimiento'!$B$4)))</f>
      </c>
    </row>
    <row r="17" spans="1:7" ht="60" x14ac:dyDescent="0.25">
      <c r="A17" s="75">
        <v>14</v>
      </c>
      <c r="B17" t="s" s="1">
        <v>33</v>
      </c>
      <c r="C17" t="s" s="1">
        <v>17</v>
      </c>
      <c r="D17" t="s" s="2">
        <v>34</v>
      </c>
      <c r="E17" t="s" s="2">
        <v>37</v>
      </c>
      <c r="F17" s="2">
        <v>2010</v>
      </c>
      <c r="G17" t="s" s="2">
        <v>38</v>
      </c>
      <c r="H17" s="76">
        <v>12</v>
      </c>
      <c r="I17" t="s" s="77">
        <v>90</v>
      </c>
      <c r="J17" s="78">
        <f>IF(OR(ISBLANK(F17), F17=""), 'Cálculo Rendimiento'!$B$5, 'Cálculo Rendimiento'!$B$3 - F17)</f>
      </c>
      <c r="K17" s="79">
        <f>IF(I17="km/L", H17 / (1 + (J17 * 'Cálculo Rendimiento'!$B$4)), H17 * (1 + (J17 * 'Cálculo Rendimiento'!$B$4)))</f>
      </c>
    </row>
    <row r="18" spans="1:7" ht="60" x14ac:dyDescent="0.25">
      <c r="A18" s="80">
        <v>15</v>
      </c>
      <c r="B18" t="s" s="1">
        <v>39</v>
      </c>
      <c r="C18" t="s" s="1">
        <v>8</v>
      </c>
      <c r="D18" t="s" s="2">
        <v>40</v>
      </c>
      <c r="E18" t="s" s="2">
        <v>41</v>
      </c>
      <c r="F18" s="2">
        <v>2014</v>
      </c>
      <c r="G18" t="s" s="2">
        <v>42</v>
      </c>
      <c r="H18" s="81">
        <v>12</v>
      </c>
      <c r="I18" t="s" s="82">
        <v>90</v>
      </c>
      <c r="J18" s="83">
        <f>IF(OR(ISBLANK(F18), F18=""), 'Cálculo Rendimiento'!$B$5, 'Cálculo Rendimiento'!$B$3 - F18)</f>
      </c>
      <c r="K18" s="84">
        <f>IF(I18="km/L", H18 / (1 + (J18 * 'Cálculo Rendimiento'!$B$4)), H18 * (1 + (J18 * 'Cálculo Rendimiento'!$B$4)))</f>
      </c>
    </row>
    <row r="19" spans="1:7" ht="45" x14ac:dyDescent="0.25">
      <c r="A19" s="85">
        <v>16</v>
      </c>
      <c r="B19" t="s" s="2">
        <v>43</v>
      </c>
      <c r="C19" t="s" s="1">
        <v>17</v>
      </c>
      <c r="D19" t="s" s="2">
        <v>44</v>
      </c>
      <c r="E19" t="s" s="2">
        <v>45</v>
      </c>
      <c r="F19" s="2">
        <v>2017</v>
      </c>
      <c r="G19" t="s" s="2">
        <v>46</v>
      </c>
      <c r="H19" s="86">
        <v>12</v>
      </c>
      <c r="I19" t="s" s="87">
        <v>90</v>
      </c>
      <c r="J19" s="88">
        <f>IF(OR(ISBLANK(F19), F19=""), 'Cálculo Rendimiento'!$B$5, 'Cálculo Rendimiento'!$B$3 - F19)</f>
      </c>
      <c r="K19" s="89">
        <f>IF(I19="km/L", H19 / (1 + (J19 * 'Cálculo Rendimiento'!$B$4)), H19 * (1 + (J19 * 'Cálculo Rendimiento'!$B$4)))</f>
      </c>
    </row>
    <row r="20" spans="1:7" ht="45" x14ac:dyDescent="0.25">
      <c r="A20" s="90">
        <v>17</v>
      </c>
      <c r="B20" t="s" s="1">
        <v>47</v>
      </c>
      <c r="C20" t="s" s="1">
        <v>8</v>
      </c>
      <c r="D20" t="s" s="2">
        <v>48</v>
      </c>
      <c r="E20" t="s" s="2">
        <v>49</v>
      </c>
      <c r="F20" s="2">
        <v>2010</v>
      </c>
      <c r="G20" s="2">
        <v>23620561</v>
      </c>
      <c r="H20" s="91">
        <v>9.5</v>
      </c>
      <c r="I20" t="s" s="92">
        <v>90</v>
      </c>
      <c r="J20" s="93">
        <f>IF(OR(ISBLANK(F20), F20=""), 'Cálculo Rendimiento'!$B$5, 'Cálculo Rendimiento'!$B$3 - F20)</f>
      </c>
      <c r="K20" s="94">
        <f>IF(I20="km/L", H20 / (1 + (J20 * 'Cálculo Rendimiento'!$B$4)), H20 * (1 + (J20 * 'Cálculo Rendimiento'!$B$4)))</f>
      </c>
    </row>
    <row r="21" spans="1:7" ht="45" x14ac:dyDescent="0.25">
      <c r="A21" s="95">
        <v>18</v>
      </c>
      <c r="B21" t="s" s="2">
        <v>50</v>
      </c>
      <c r="C21" t="s" s="1">
        <v>17</v>
      </c>
      <c r="D21" t="s" s="2">
        <v>51</v>
      </c>
      <c r="E21" t="s" s="2">
        <v>52</v>
      </c>
      <c r="F21" s="2">
        <v>2014</v>
      </c>
      <c r="G21" t="s" s="2">
        <v>53</v>
      </c>
      <c r="H21" s="96">
        <v>9.5</v>
      </c>
      <c r="I21" t="s" s="97">
        <v>90</v>
      </c>
      <c r="J21" s="98">
        <f>IF(OR(ISBLANK(F21), F21=""), 'Cálculo Rendimiento'!$B$5, 'Cálculo Rendimiento'!$B$3 - F21)</f>
      </c>
      <c r="K21" s="99">
        <f>IF(I21="km/L", H21 / (1 + (J21 * 'Cálculo Rendimiento'!$B$4)), H21 * (1 + (J21 * 'Cálculo Rendimiento'!$B$4)))</f>
      </c>
    </row>
    <row r="22" spans="1:7" x14ac:dyDescent="0.25">
      <c r="A22" s="100">
        <v>19</v>
      </c>
      <c r="B22" t="s" s="1">
        <v>54</v>
      </c>
      <c r="C22" s="1"/>
      <c r="D22" t="s" s="1">
        <v>55</v>
      </c>
      <c r="E22" t="s" s="1">
        <v>56</v>
      </c>
      <c r="F22" s="1">
        <v>2017</v>
      </c>
      <c r="G22" t="s" s="1">
        <v>57</v>
      </c>
      <c r="H22" s="101">
        <v>9</v>
      </c>
      <c r="I22" t="s" s="102">
        <v>90</v>
      </c>
      <c r="J22" s="103">
        <f>IF(OR(ISBLANK(F22), F22=""), 'Cálculo Rendimiento'!$B$5, 'Cálculo Rendimiento'!$B$3 - F22)</f>
      </c>
      <c r="K22" s="104">
        <f>IF(I22="km/L", H22 / (1 + (J22 * 'Cálculo Rendimiento'!$B$4)), H22 * (1 + (J22 * 'Cálculo Rendimiento'!$B$4)))</f>
      </c>
    </row>
    <row r="23" spans="1:7" x14ac:dyDescent="0.25">
      <c r="A23" s="105">
        <v>20</v>
      </c>
      <c r="B23" t="s" s="1">
        <v>54</v>
      </c>
      <c r="C23" s="1"/>
      <c r="D23" t="s" s="1">
        <v>55</v>
      </c>
      <c r="E23" t="s" s="1">
        <v>56</v>
      </c>
      <c r="F23" s="1">
        <v>2017</v>
      </c>
      <c r="G23" t="s" s="1">
        <v>58</v>
      </c>
      <c r="H23" s="106">
        <v>9</v>
      </c>
      <c r="I23" t="s" s="107">
        <v>90</v>
      </c>
      <c r="J23" s="108">
        <f>IF(OR(ISBLANK(F23), F23=""), 'Cálculo Rendimiento'!$B$5, 'Cálculo Rendimiento'!$B$3 - F23)</f>
      </c>
      <c r="K23" s="109">
        <f>IF(I23="km/L", H23 / (1 + (J23 * 'Cálculo Rendimiento'!$B$4)), H23 * (1 + (J23 * 'Cálculo Rendimiento'!$B$4)))</f>
      </c>
    </row>
    <row r="24" spans="1:7" x14ac:dyDescent="0.25">
      <c r="A24" s="110">
        <v>21</v>
      </c>
      <c r="B24" t="s" s="1">
        <v>7</v>
      </c>
      <c r="C24" s="1"/>
      <c r="D24" t="s" s="1">
        <v>9</v>
      </c>
      <c r="E24" t="s" s="1">
        <v>59</v>
      </c>
      <c r="F24" s="1"/>
      <c r="G24" t="s" s="1">
        <v>60</v>
      </c>
      <c r="H24" s="111">
        <v>6.5</v>
      </c>
      <c r="I24" t="s" s="112">
        <v>90</v>
      </c>
      <c r="J24" s="113">
        <f>IF(OR(ISBLANK(F24), F24=""), 'Cálculo Rendimiento'!$B$5, 'Cálculo Rendimiento'!$B$3 - F24)</f>
      </c>
      <c r="K24" s="114">
        <f>IF(I24="km/L", H24 / (1 + (J24 * 'Cálculo Rendimiento'!$B$4)), H24 * (1 + (J24 * 'Cálculo Rendimiento'!$B$4)))</f>
      </c>
    </row>
    <row r="25" spans="1:7" x14ac:dyDescent="0.25">
      <c r="A25" s="115">
        <v>22</v>
      </c>
      <c r="B25" t="s" s="1">
        <v>26</v>
      </c>
      <c r="C25" s="1"/>
      <c r="D25" t="s" s="1">
        <v>61</v>
      </c>
      <c r="E25" t="s" s="1">
        <v>62</v>
      </c>
      <c r="F25" s="1"/>
      <c r="G25" s="1">
        <v>407123</v>
      </c>
      <c r="H25" s="116">
        <v>7.5</v>
      </c>
      <c r="I25" t="s" s="117">
        <v>90</v>
      </c>
      <c r="J25" s="118">
        <f>IF(OR(ISBLANK(F25), F25=""), 'Cálculo Rendimiento'!$B$5, 'Cálculo Rendimiento'!$B$3 - F25)</f>
      </c>
      <c r="K25" s="119">
        <f>IF(I25="km/L", H25 / (1 + (J25 * 'Cálculo Rendimiento'!$B$4)), H25 * (1 + (J25 * 'Cálculo Rendimiento'!$B$4)))</f>
      </c>
    </row>
    <row r="26" spans="1:7" x14ac:dyDescent="0.25">
      <c r="A26" s="120">
        <v>23</v>
      </c>
      <c r="B26" t="s" s="1">
        <v>7</v>
      </c>
      <c r="C26" s="1"/>
      <c r="D26" t="s" s="1">
        <v>12</v>
      </c>
      <c r="E26" t="s" s="1">
        <v>63</v>
      </c>
      <c r="F26" s="1"/>
      <c r="G26" t="s" s="1">
        <v>64</v>
      </c>
      <c r="H26" s="121">
        <v>6.5</v>
      </c>
      <c r="I26" t="s" s="122">
        <v>90</v>
      </c>
      <c r="J26" s="123">
        <f>IF(OR(ISBLANK(F26), F26=""), 'Cálculo Rendimiento'!$B$5, 'Cálculo Rendimiento'!$B$3 - F26)</f>
      </c>
      <c r="K26" s="124">
        <f>IF(I26="km/L", H26 / (1 + (J26 * 'Cálculo Rendimiento'!$B$4)), H26 * (1 + (J26 * 'Cálculo Rendimiento'!$B$4)))</f>
      </c>
    </row>
    <row r="27" spans="1:7" x14ac:dyDescent="0.25">
      <c r="A27" s="125">
        <v>24</v>
      </c>
      <c r="B27" t="s" s="1">
        <v>26</v>
      </c>
      <c r="C27" s="1"/>
      <c r="D27" t="s" s="1">
        <v>61</v>
      </c>
      <c r="E27" t="s" s="1">
        <v>62</v>
      </c>
      <c r="F27" s="1"/>
      <c r="G27" s="1">
        <v>408531</v>
      </c>
      <c r="H27" s="126">
        <v>7.5</v>
      </c>
      <c r="I27" t="s" s="127">
        <v>90</v>
      </c>
      <c r="J27" s="128">
        <f>IF(OR(ISBLANK(F27), F27=""), 'Cálculo Rendimiento'!$B$5, 'Cálculo Rendimiento'!$B$3 - F27)</f>
      </c>
      <c r="K27" s="129">
        <f>IF(I27="km/L", H27 / (1 + (J27 * 'Cálculo Rendimiento'!$B$4)), H27 * (1 + (J27 * 'Cálculo Rendimiento'!$B$4)))</f>
      </c>
    </row>
    <row r="28" spans="1:7" x14ac:dyDescent="0.25">
      <c r="A28" s="130">
        <v>25</v>
      </c>
      <c r="B28" t="s" s="1">
        <v>65</v>
      </c>
      <c r="C28" s="1"/>
      <c r="D28" t="s" s="1">
        <v>66</v>
      </c>
      <c r="E28" t="s" s="1">
        <v>67</v>
      </c>
      <c r="F28" s="1"/>
      <c r="G28" s="1">
        <v>189989</v>
      </c>
      <c r="H28" s="131">
        <v>12</v>
      </c>
      <c r="I28" t="s" s="132">
        <v>90</v>
      </c>
      <c r="J28" s="133">
        <f>IF(OR(ISBLANK(F28), F28=""), 'Cálculo Rendimiento'!$B$5, 'Cálculo Rendimiento'!$B$3 - F28)</f>
      </c>
      <c r="K28" s="134">
        <f>IF(I28="km/L", H28 / (1 + (J28 * 'Cálculo Rendimiento'!$B$4)), H28 * (1 + (J28 * 'Cálculo Rendimiento'!$B$4)))</f>
      </c>
    </row>
    <row r="29" spans="1:7" x14ac:dyDescent="0.25">
      <c r="A29" s="135">
        <v>26</v>
      </c>
      <c r="B29" t="s" s="1">
        <v>68</v>
      </c>
      <c r="C29" s="1"/>
      <c r="D29" t="s" s="1">
        <v>23</v>
      </c>
      <c r="E29" s="1"/>
      <c r="F29" s="1"/>
      <c r="G29" t="s" s="1">
        <v>69</v>
      </c>
      <c r="H29" s="136">
        <v>30</v>
      </c>
      <c r="I29" t="s" s="137">
        <v>90</v>
      </c>
      <c r="J29" s="138">
        <f>IF(OR(ISBLANK(F29), F29=""), 'Cálculo Rendimiento'!$B$5, 'Cálculo Rendimiento'!$B$3 - F29)</f>
      </c>
      <c r="K29" s="139">
        <f>IF(I29="km/L", H29 / (1 + (J29 * 'Cálculo Rendimiento'!$B$4)), H29 * (1 + (J29 * 'Cálculo Rendimiento'!$B$4)))</f>
      </c>
    </row>
    <row r="30" spans="1:7" ht="45" x14ac:dyDescent="0.25">
      <c r="A30" s="140">
        <v>27</v>
      </c>
      <c r="B30" t="s" s="1">
        <v>70</v>
      </c>
      <c r="C30" t="s" s="1">
        <v>17</v>
      </c>
      <c r="D30" t="s" s="1">
        <v>71</v>
      </c>
      <c r="E30" s="1">
        <v>4300</v>
      </c>
      <c r="F30" s="1">
        <v>2013</v>
      </c>
      <c r="G30" t="s" s="1">
        <v>72</v>
      </c>
      <c r="H30" s="141">
        <v>3.5</v>
      </c>
      <c r="I30" t="s" s="142">
        <v>91</v>
      </c>
      <c r="J30" s="143">
        <f>IF(OR(ISBLANK(F30), F30=""), 'Cálculo Rendimiento'!$B$5, 'Cálculo Rendimiento'!$B$3 - F30)</f>
      </c>
      <c r="K30" s="144">
        <f>IF(I30="km/L", H30 / (1 + (J30 * 'Cálculo Rendimiento'!$B$4)), H30 * (1 + (J30 * 'Cálculo Rendimiento'!$B$4)))</f>
      </c>
    </row>
    <row r="31" spans="1:7" ht="45" x14ac:dyDescent="0.25">
      <c r="A31" s="145">
        <v>28</v>
      </c>
      <c r="B31" t="s" s="1">
        <v>70</v>
      </c>
      <c r="C31" t="s" s="1">
        <v>17</v>
      </c>
      <c r="D31" t="s" s="1">
        <v>71</v>
      </c>
      <c r="E31" t="s" s="1">
        <v>73</v>
      </c>
      <c r="F31" s="1">
        <v>1998</v>
      </c>
      <c r="G31" t="s" s="1">
        <v>74</v>
      </c>
      <c r="H31" s="146">
        <v>3.5</v>
      </c>
      <c r="I31" t="s" s="147">
        <v>91</v>
      </c>
      <c r="J31" s="148">
        <f>IF(OR(ISBLANK(F31), F31=""), 'Cálculo Rendimiento'!$B$5, 'Cálculo Rendimiento'!$B$3 - F31)</f>
      </c>
      <c r="K31" s="149">
        <f>IF(I31="km/L", H31 / (1 + (J31 * 'Cálculo Rendimiento'!$B$4)), H31 * (1 + (J31 * 'Cálculo Rendimiento'!$B$4)))</f>
      </c>
    </row>
    <row r="32" spans="1:7" ht="45" x14ac:dyDescent="0.25">
      <c r="A32" s="150">
        <v>29</v>
      </c>
      <c r="B32" t="s" s="1">
        <v>75</v>
      </c>
      <c r="C32" t="s" s="1">
        <v>17</v>
      </c>
      <c r="D32" t="s" s="1">
        <v>71</v>
      </c>
      <c r="E32" t="s" s="1">
        <v>73</v>
      </c>
      <c r="F32" s="1">
        <v>1998</v>
      </c>
      <c r="G32" t="s" s="1">
        <v>76</v>
      </c>
      <c r="H32" s="151">
        <v>10</v>
      </c>
      <c r="I32" t="s" s="152">
        <v>90</v>
      </c>
      <c r="J32" s="153">
        <f>IF(OR(ISBLANK(F32), F32=""), 'Cálculo Rendimiento'!$B$5, 'Cálculo Rendimiento'!$B$3 - F32)</f>
      </c>
      <c r="K32" s="154">
        <f>IF(I32="km/L", H32 / (1 + (J32 * 'Cálculo Rendimiento'!$B$4)), H32 * (1 + (J32 * 'Cálculo Rendimiento'!$B$4)))</f>
      </c>
    </row>
    <row r="33" spans="1:7" x14ac:dyDescent="0.25">
      <c r="A33" s="155">
        <v>30</v>
      </c>
      <c r="B33" t="s" s="1">
        <v>77</v>
      </c>
      <c r="C33" s="1"/>
      <c r="D33" t="s" s="1">
        <v>78</v>
      </c>
      <c r="E33" s="1"/>
      <c r="F33" s="1">
        <v>2003</v>
      </c>
      <c r="G33" t="s" s="1">
        <v>79</v>
      </c>
      <c r="H33" s="156">
        <v>10</v>
      </c>
      <c r="I33" t="s" s="157">
        <v>90</v>
      </c>
      <c r="J33" s="158">
        <f>IF(OR(ISBLANK(F33), F33=""), 'Cálculo Rendimiento'!$B$5, 'Cálculo Rendimiento'!$B$3 - F33)</f>
      </c>
      <c r="K33" s="159">
        <f>IF(I33="km/L", H33 / (1 + (J33 * 'Cálculo Rendimiento'!$B$4)), H33 * (1 + (J33 * 'Cálculo Rendimiento'!$B$4)))</f>
      </c>
    </row>
    <row r="34" spans="1:7" ht="45" x14ac:dyDescent="0.25">
      <c r="A34" s="160">
        <v>31</v>
      </c>
      <c r="B34" t="s" s="1">
        <v>80</v>
      </c>
      <c r="C34" t="s" s="1">
        <v>17</v>
      </c>
      <c r="D34" t="s" s="1">
        <v>71</v>
      </c>
      <c r="E34" s="1"/>
      <c r="F34" s="1"/>
      <c r="G34" t="s" s="1">
        <v>81</v>
      </c>
      <c r="H34" s="161">
        <v>3.5</v>
      </c>
      <c r="I34" t="s" s="162">
        <v>91</v>
      </c>
      <c r="J34" s="163">
        <f>IF(OR(ISBLANK(F34), F34=""), 'Cálculo Rendimiento'!$B$5, 'Cálculo Rendimiento'!$B$3 - F34)</f>
      </c>
      <c r="K34" s="164">
        <f>IF(I34="km/L", H34 / (1 + (J34 * 'Cálculo Rendimiento'!$B$4)), H34 * (1 + (J34 * 'Cálculo Rendimiento'!$B$4)))</f>
      </c>
    </row>
    <row r="35" spans="1:7" x14ac:dyDescent="0.25">
      <c r="A35" s="165">
        <v>32</v>
      </c>
      <c r="B35" t="s" s="1">
        <v>82</v>
      </c>
      <c r="C35" s="1"/>
      <c r="D35" t="s" s="1">
        <v>83</v>
      </c>
      <c r="E35" t="s" s="1">
        <v>84</v>
      </c>
      <c r="F35" s="1"/>
      <c r="G35" t="s" s="1">
        <v>85</v>
      </c>
      <c r="H35" s="166">
        <v>12</v>
      </c>
      <c r="I35" t="s" s="167">
        <v>90</v>
      </c>
      <c r="J35" s="168">
        <f>IF(OR(ISBLANK(F35), F35=""), 'Cálculo Rendimiento'!$B$5, 'Cálculo Rendimiento'!$B$3 - F35)</f>
      </c>
      <c r="K35" s="169">
        <f>IF(I35="km/L", H35 / (1 + (J35 * 'Cálculo Rendimiento'!$B$4)), H35 * (1 + (J35 * 'Cálculo Rendimiento'!$B$4)))</f>
      </c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</sheetData>
  <mergeCells count="7">
    <mergeCell ref="G1:G3"/>
    <mergeCell ref="A1:A3"/>
    <mergeCell ref="B1:B3"/>
    <mergeCell ref="C1:C3"/>
    <mergeCell ref="D1:D3"/>
    <mergeCell ref="E1:E3"/>
    <mergeCell ref="F1:F3"/>
  </mergeCells>
  <pageMargins left="0.7" right="0.7" top="0.75" bottom="0.75" header="0.3" footer="0.3"/>
  <pageSetup scale="95" fitToHeight="0" orientation="landscape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 showGridLines="1"/>
  </sheetViews>
  <cols>
    <col min="1" max="1" width="38" customWidth="1"/>
    <col min="2" max="2" width="18" customWidth="1"/>
    <col min="3" max="3" width="18" customWidth="1"/>
  </cols>
  <sheetData>
    <row r="1" ht="40" customHeight="1">
      <c r="A1" t="s" s="170">
        <v>92</v>
      </c>
      <c r="C1"/>
    </row>
    <row r="3">
      <c r="A3" t="s" s="171">
        <v>93</v>
      </c>
      <c r="B3" s="172">
        <v>2026</v>
      </c>
    </row>
    <row r="4">
      <c r="A4" t="s" s="173">
        <v>94</v>
      </c>
      <c r="B4" s="174">
        <v>0.01</v>
      </c>
    </row>
    <row r="5">
      <c r="A5" t="s" s="175">
        <v>95</v>
      </c>
      <c r="B5" s="176">
        <v>10</v>
      </c>
    </row>
    <row r="7">
      <c r="A7" t="s" s="177">
        <v>96</v>
      </c>
      <c r="C7"/>
    </row>
    <row r="9">
      <c r="A9" t="s" s="178">
        <v>97</v>
      </c>
    </row>
    <row r="10">
      <c r="A10" t="s" s="179">
        <v>98</v>
      </c>
    </row>
    <row r="11">
      <c r="A11" t="s" s="180">
        <v>99</v>
      </c>
    </row>
    <row r="13">
      <c r="A13" t="s" s="181">
        <v>100</v>
      </c>
    </row>
    <row r="14">
      <c r="A14" t="s" s="182">
        <v>101</v>
      </c>
    </row>
    <row r="15">
      <c r="A15" t="s" s="183">
        <v>102</v>
      </c>
    </row>
    <row r="17">
      <c r="A17" t="s" s="184">
        <v>103</v>
      </c>
    </row>
    <row r="18">
      <c r="A18" t="s" s="185">
        <v>104</v>
      </c>
    </row>
    <row r="19">
      <c r="A19" t="s" s="186">
        <v>105</v>
      </c>
    </row>
    <row r="21">
      <c r="A21" t="s" s="187">
        <v>106</v>
      </c>
    </row>
    <row r="22">
      <c r="A22" t="s" s="188">
        <v>107</v>
      </c>
    </row>
    <row r="23">
      <c r="A23" t="s" s="189">
        <v>108</v>
      </c>
    </row>
    <row r="24">
      <c r="A24" t="s" s="190">
        <v>109</v>
      </c>
    </row>
  </sheetData>
  <mergeCells>
    <mergeCell ref="A1:C1"/>
    <mergeCell ref="A7:C7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TRUJANO 03</dc:creator>
  <cp:lastModifiedBy>GRUPO TRUJANO 03</cp:lastModifiedBy>
  <cp:lastPrinted>2026-06-18T20:06:44Z</cp:lastPrinted>
  <dcterms:created xsi:type="dcterms:W3CDTF">2026-06-15T20:34:11Z</dcterms:created>
  <dcterms:modified xsi:type="dcterms:W3CDTF">2026-06-18T20:07:07Z</dcterms:modified>
</cp:coreProperties>
</file>