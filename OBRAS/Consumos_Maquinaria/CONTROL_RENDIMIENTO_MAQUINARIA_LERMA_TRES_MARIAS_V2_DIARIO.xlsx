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y Rendimiento" sheetId="1" state="visible" r:id="rId1"/>
    <sheet name="Semana 24" sheetId="2" state="visible" r:id="rId2"/>
    <sheet name="Semana 25" sheetId="3" state="visible" r:id="rId3"/>
    <sheet name="Semana 26" sheetId="4" state="visible" r:id="rId4"/>
    <sheet name="Semana 27" sheetId="5" state="visible" r:id="rId5"/>
    <sheet name="Semana 28" sheetId="6" state="visible" r:id="rId6"/>
    <sheet name="Semana 29" sheetId="7" state="visible" r:id="rId7"/>
    <sheet name="Semana 30" sheetId="8" state="visible" r:id="rId8"/>
    <sheet name="Semana 31" sheetId="9" state="visible" r:id="rId9"/>
    <sheet name="Semana 32" sheetId="10" state="visible" r:id="rId10"/>
    <sheet name="Semana 37" sheetId="11" state="visible" r:id="rId11"/>
    <sheet name="Resumen Ejecutiv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1"/>
    </font>
    <font>
      <name val="Calibri"/>
      <sz val="8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4D75"/>
      </patternFill>
    </fill>
    <fill>
      <patternFill patternType="solid">
        <fgColor rgb="00DCE6F1"/>
      </patternFill>
    </fill>
    <fill>
      <patternFill patternType="solid">
        <fgColor rgb="00F2F5F9"/>
      </patternFill>
    </fill>
    <fill>
      <patternFill patternType="solid">
        <fgColor rgb="00D9E1F2"/>
      </patternFill>
    </fill>
    <fill>
      <patternFill patternType="solid">
        <fgColor rgb="003A608F"/>
      </patternFill>
    </fill>
    <fill>
      <patternFill patternType="solid">
        <fgColor rgb="004A709F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2" fontId="5" fillId="5" borderId="2" applyAlignment="1" pivotButton="0" quotePrefix="0" xfId="0">
      <alignment horizontal="right" vertical="center"/>
    </xf>
    <xf numFmtId="0" fontId="3" fillId="6" borderId="3" applyAlignment="1" pivotButton="0" quotePrefix="0" xfId="0">
      <alignment horizontal="right" vertical="center"/>
    </xf>
    <xf numFmtId="0" fontId="0" fillId="6" borderId="3" pivotButton="0" quotePrefix="0" xfId="0"/>
    <xf numFmtId="4" fontId="3" fillId="6" borderId="3" applyAlignment="1" pivotButton="0" quotePrefix="0" xfId="0">
      <alignment horizontal="right" vertical="center"/>
    </xf>
    <xf numFmtId="164" fontId="3" fillId="6" borderId="3" applyAlignment="1" pivotButton="0" quotePrefix="0" xfId="0">
      <alignment horizontal="right" vertical="center"/>
    </xf>
    <xf numFmtId="2" fontId="3" fillId="6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center" vertical="center" wrapText="1"/>
    </xf>
    <xf numFmtId="3" fontId="3" fillId="4" borderId="0" applyAlignment="1" pivotButton="0" quotePrefix="0" xfId="0">
      <alignment horizontal="center" vertical="center" wrapText="1"/>
    </xf>
    <xf numFmtId="4" fontId="3" fillId="4" borderId="0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2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4" fontId="7" fillId="5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1" t="inlineStr">
        <is>
          <t>CONTROL SEMANAL DE RENDIMIENTO DE MAQUINARIA — ACUMULADO HISTÓRICO</t>
        </is>
      </c>
    </row>
    <row r="2" ht="20" customHeight="1">
      <c r="A2" s="2" t="inlineStr">
        <is>
          <t>OBRA: LERMA - TRES MARÍAS | CONSOLIDADO OPERATIVO (SEMANAS 24 A 37)</t>
        </is>
      </c>
    </row>
    <row r="8" ht="26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Diésel Acumulado (L)</t>
        </is>
      </c>
      <c r="G8" s="3" t="inlineStr">
        <is>
          <t>Fresado m³ Total</t>
        </is>
      </c>
      <c r="H8" s="3" t="inlineStr">
        <is>
          <t>Carpeta Ton Total</t>
        </is>
      </c>
      <c r="I8" s="3" t="inlineStr">
        <is>
          <t>Rend Prom (L/Ton)</t>
        </is>
      </c>
      <c r="J8" s="3" t="inlineStr">
        <is>
          <t>Rend Prom (L/m³)</t>
        </is>
      </c>
      <c r="K8" s="3" t="inlineStr">
        <is>
          <t>Horas Est Totales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7">
        <f>'Semana 24'!I9+'Semana 25'!I9+'Semana 26'!I9+'Semana 27'!I9+'Semana 28'!I9+'Semana 29'!I9+'Semana 30'!I9+'Semana 31'!I9+'Semana 32'!I9+'Semana 37'!I9</f>
        <v/>
      </c>
      <c r="G9" s="8">
        <f>'Semana 24'!G9+'Semana 25'!G9+'Semana 26'!G9+'Semana 27'!G9+'Semana 28'!G9+'Semana 29'!G9+'Semana 30'!G9+'Semana 31'!G9+'Semana 32'!G9+'Semana 37'!G9</f>
        <v/>
      </c>
      <c r="H9" s="8">
        <f>'Semana 24'!H9+'Semana 25'!H9+'Semana 26'!H9+'Semana 27'!H9+'Semana 28'!H9+'Semana 29'!H9+'Semana 30'!H9+'Semana 31'!H9+'Semana 32'!H9+'Semana 37'!H9</f>
        <v/>
      </c>
      <c r="I9" s="9">
        <f>IF(H9&gt;0, F9/H9, 0)</f>
        <v/>
      </c>
      <c r="J9" s="9">
        <f>IF(G9&gt;0, F9/G9, 0)</f>
        <v/>
      </c>
      <c r="K9" s="10">
        <f>IF(67.2&gt;0, F9/67.2, 0)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'Semana 24'!I10+'Semana 25'!I10+'Semana 26'!I10+'Semana 27'!I10+'Semana 28'!I10+'Semana 29'!I10+'Semana 30'!I10+'Semana 31'!I10+'Semana 32'!I10+'Semana 37'!I10</f>
        <v/>
      </c>
      <c r="G10" s="15">
        <f>'Semana 24'!G10+'Semana 25'!G10+'Semana 26'!G10+'Semana 27'!G10+'Semana 28'!G10+'Semana 29'!G10+'Semana 30'!G10+'Semana 31'!G10+'Semana 32'!G10+'Semana 37'!G10</f>
        <v/>
      </c>
      <c r="H10" s="15">
        <f>'Semana 24'!H10+'Semana 25'!H10+'Semana 26'!H10+'Semana 27'!H10+'Semana 28'!H10+'Semana 29'!H10+'Semana 30'!H10+'Semana 31'!H10+'Semana 32'!H10+'Semana 37'!H10</f>
        <v/>
      </c>
      <c r="I10" s="16">
        <f>IF(H10&gt;0, F10/H10, 0)</f>
        <v/>
      </c>
      <c r="J10" s="16">
        <f>IF(G10&gt;0, F10/G10, 0)</f>
        <v/>
      </c>
      <c r="K10" s="17">
        <f>IF(16.24&gt;0, F10/16.24, 0)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7">
        <f>'Semana 24'!I11+'Semana 25'!I11+'Semana 26'!I11+'Semana 27'!I11+'Semana 28'!I11+'Semana 29'!I11+'Semana 30'!I11+'Semana 31'!I11+'Semana 32'!I11+'Semana 37'!I11</f>
        <v/>
      </c>
      <c r="G11" s="8">
        <f>'Semana 24'!G11+'Semana 25'!G11+'Semana 26'!G11+'Semana 27'!G11+'Semana 28'!G11+'Semana 29'!G11+'Semana 30'!G11+'Semana 31'!G11+'Semana 32'!G11+'Semana 37'!G11</f>
        <v/>
      </c>
      <c r="H11" s="8">
        <f>'Semana 24'!H11+'Semana 25'!H11+'Semana 26'!H11+'Semana 27'!H11+'Semana 28'!H11+'Semana 29'!H11+'Semana 30'!H11+'Semana 31'!H11+'Semana 32'!H11+'Semana 37'!H11</f>
        <v/>
      </c>
      <c r="I11" s="9">
        <f>IF(H11&gt;0, F11/H11, 0)</f>
        <v/>
      </c>
      <c r="J11" s="9">
        <f>IF(G11&gt;0, F11/G11, 0)</f>
        <v/>
      </c>
      <c r="K11" s="10">
        <f>IF(14.3&gt;0, F11/14.3, 0)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4">
        <f>'Semana 24'!I12+'Semana 25'!I12+'Semana 26'!I12+'Semana 27'!I12+'Semana 28'!I12+'Semana 29'!I12+'Semana 30'!I12+'Semana 31'!I12+'Semana 32'!I12+'Semana 37'!I12</f>
        <v/>
      </c>
      <c r="G12" s="15">
        <f>'Semana 24'!G12+'Semana 25'!G12+'Semana 26'!G12+'Semana 27'!G12+'Semana 28'!G12+'Semana 29'!G12+'Semana 30'!G12+'Semana 31'!G12+'Semana 32'!G12+'Semana 37'!G12</f>
        <v/>
      </c>
      <c r="H12" s="15">
        <f>'Semana 24'!H12+'Semana 25'!H12+'Semana 26'!H12+'Semana 27'!H12+'Semana 28'!H12+'Semana 29'!H12+'Semana 30'!H12+'Semana 31'!H12+'Semana 32'!H12+'Semana 37'!H12</f>
        <v/>
      </c>
      <c r="I12" s="16">
        <f>IF(H12&gt;0, F12/H12, 0)</f>
        <v/>
      </c>
      <c r="J12" s="16">
        <f>IF(G12&gt;0, F12/G12, 0)</f>
        <v/>
      </c>
      <c r="K12" s="17">
        <f>IF(14.3&gt;0, F12/14.3, 0)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7">
        <f>'Semana 24'!I13+'Semana 25'!I13+'Semana 26'!I13+'Semana 27'!I13+'Semana 28'!I13+'Semana 29'!I13+'Semana 30'!I13+'Semana 31'!I13+'Semana 32'!I13+'Semana 37'!I13</f>
        <v/>
      </c>
      <c r="G13" s="8">
        <f>'Semana 24'!G13+'Semana 25'!G13+'Semana 26'!G13+'Semana 27'!G13+'Semana 28'!G13+'Semana 29'!G13+'Semana 30'!G13+'Semana 31'!G13+'Semana 32'!G13+'Semana 37'!G13</f>
        <v/>
      </c>
      <c r="H13" s="8">
        <f>'Semana 24'!H13+'Semana 25'!H13+'Semana 26'!H13+'Semana 27'!H13+'Semana 28'!H13+'Semana 29'!H13+'Semana 30'!H13+'Semana 31'!H13+'Semana 32'!H13+'Semana 37'!H13</f>
        <v/>
      </c>
      <c r="I13" s="9">
        <f>IF(H13&gt;0, F13/H13, 0)</f>
        <v/>
      </c>
      <c r="J13" s="9">
        <f>IF(G13&gt;0, F13/G13, 0)</f>
        <v/>
      </c>
      <c r="K13" s="10">
        <f>IF(11.44&gt;0, F13/11.44, 0)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'Semana 24'!I14+'Semana 25'!I14+'Semana 26'!I14+'Semana 27'!I14+'Semana 28'!I14+'Semana 29'!I14+'Semana 30'!I14+'Semana 31'!I14+'Semana 32'!I14+'Semana 37'!I14</f>
        <v/>
      </c>
      <c r="G14" s="15">
        <f>'Semana 24'!G14+'Semana 25'!G14+'Semana 26'!G14+'Semana 27'!G14+'Semana 28'!G14+'Semana 29'!G14+'Semana 30'!G14+'Semana 31'!G14+'Semana 32'!G14+'Semana 37'!G14</f>
        <v/>
      </c>
      <c r="H14" s="15">
        <f>'Semana 24'!H14+'Semana 25'!H14+'Semana 26'!H14+'Semana 27'!H14+'Semana 28'!H14+'Semana 29'!H14+'Semana 30'!H14+'Semana 31'!H14+'Semana 32'!H14+'Semana 37'!H14</f>
        <v/>
      </c>
      <c r="I14" s="16">
        <f>IF(H14&gt;0, F14/H14, 0)</f>
        <v/>
      </c>
      <c r="J14" s="16">
        <f>IF(G14&gt;0, F14/G14, 0)</f>
        <v/>
      </c>
      <c r="K14" s="17">
        <f>IF(10.96&gt;0, F14/10.96, 0)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7">
        <f>'Semana 24'!I15+'Semana 25'!I15+'Semana 26'!I15+'Semana 27'!I15+'Semana 28'!I15+'Semana 29'!I15+'Semana 30'!I15+'Semana 31'!I15+'Semana 32'!I15+'Semana 37'!I15</f>
        <v/>
      </c>
      <c r="G15" s="8">
        <f>'Semana 24'!G15+'Semana 25'!G15+'Semana 26'!G15+'Semana 27'!G15+'Semana 28'!G15+'Semana 29'!G15+'Semana 30'!G15+'Semana 31'!G15+'Semana 32'!G15+'Semana 37'!G15</f>
        <v/>
      </c>
      <c r="H15" s="8">
        <f>'Semana 24'!H15+'Semana 25'!H15+'Semana 26'!H15+'Semana 27'!H15+'Semana 28'!H15+'Semana 29'!H15+'Semana 30'!H15+'Semana 31'!H15+'Semana 32'!H15+'Semana 37'!H15</f>
        <v/>
      </c>
      <c r="I15" s="9">
        <f>IF(H15&gt;0, F15/H15, 0)</f>
        <v/>
      </c>
      <c r="J15" s="9">
        <f>IF(G15&gt;0, F15/G15, 0)</f>
        <v/>
      </c>
      <c r="K15" s="10">
        <f>IF(8.94&gt;0, F15/8.94, 0)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4">
        <f>'Semana 24'!I16+'Semana 25'!I16+'Semana 26'!I16+'Semana 27'!I16+'Semana 28'!I16+'Semana 29'!I16+'Semana 30'!I16+'Semana 31'!I16+'Semana 32'!I16+'Semana 37'!I16</f>
        <v/>
      </c>
      <c r="G16" s="15">
        <f>'Semana 24'!G16+'Semana 25'!G16+'Semana 26'!G16+'Semana 27'!G16+'Semana 28'!G16+'Semana 29'!G16+'Semana 30'!G16+'Semana 31'!G16+'Semana 32'!G16+'Semana 37'!G16</f>
        <v/>
      </c>
      <c r="H16" s="15">
        <f>'Semana 24'!H16+'Semana 25'!H16+'Semana 26'!H16+'Semana 27'!H16+'Semana 28'!H16+'Semana 29'!H16+'Semana 30'!H16+'Semana 31'!H16+'Semana 32'!H16+'Semana 37'!H16</f>
        <v/>
      </c>
      <c r="I16" s="16">
        <f>IF(H16&gt;0, F16/H16, 0)</f>
        <v/>
      </c>
      <c r="J16" s="16">
        <f>IF(G16&gt;0, F16/G16, 0)</f>
        <v/>
      </c>
      <c r="K16" s="17">
        <f>IF(8.94&gt;0, F16/8.94, 0)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7">
        <f>'Semana 24'!I17+'Semana 25'!I17+'Semana 26'!I17+'Semana 27'!I17+'Semana 28'!I17+'Semana 29'!I17+'Semana 30'!I17+'Semana 31'!I17+'Semana 32'!I17+'Semana 37'!I17</f>
        <v/>
      </c>
      <c r="G17" s="8">
        <f>'Semana 24'!G17+'Semana 25'!G17+'Semana 26'!G17+'Semana 27'!G17+'Semana 28'!G17+'Semana 29'!G17+'Semana 30'!G17+'Semana 31'!G17+'Semana 32'!G17+'Semana 37'!G17</f>
        <v/>
      </c>
      <c r="H17" s="8">
        <f>'Semana 24'!H17+'Semana 25'!H17+'Semana 26'!H17+'Semana 27'!H17+'Semana 28'!H17+'Semana 29'!H17+'Semana 30'!H17+'Semana 31'!H17+'Semana 32'!H17+'Semana 37'!H17</f>
        <v/>
      </c>
      <c r="I17" s="9">
        <f>IF(H17&gt;0, F17/H17, 0)</f>
        <v/>
      </c>
      <c r="J17" s="9">
        <f>IF(G17&gt;0, F17/G17, 0)</f>
        <v/>
      </c>
      <c r="K17" s="10">
        <f>IF(7.44&gt;0, F17/7.44, 0)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4">
        <f>'Semana 24'!I18+'Semana 25'!I18+'Semana 26'!I18+'Semana 27'!I18+'Semana 28'!I18+'Semana 29'!I18+'Semana 30'!I18+'Semana 31'!I18+'Semana 32'!I18+'Semana 37'!I18</f>
        <v/>
      </c>
      <c r="G18" s="15">
        <f>'Semana 24'!G18+'Semana 25'!G18+'Semana 26'!G18+'Semana 27'!G18+'Semana 28'!G18+'Semana 29'!G18+'Semana 30'!G18+'Semana 31'!G18+'Semana 32'!G18+'Semana 37'!G18</f>
        <v/>
      </c>
      <c r="H18" s="15">
        <f>'Semana 24'!H18+'Semana 25'!H18+'Semana 26'!H18+'Semana 27'!H18+'Semana 28'!H18+'Semana 29'!H18+'Semana 30'!H18+'Semana 31'!H18+'Semana 32'!H18+'Semana 37'!H18</f>
        <v/>
      </c>
      <c r="I18" s="16">
        <f>IF(H18&gt;0, F18/H18, 0)</f>
        <v/>
      </c>
      <c r="J18" s="16">
        <f>IF(G18&gt;0, F18/G18, 0)</f>
        <v/>
      </c>
      <c r="K18" s="17">
        <f>IF(12.76&gt;0, F18/12.76, 0)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7">
        <f>'Semana 24'!I19+'Semana 25'!I19+'Semana 26'!I19+'Semana 27'!I19+'Semana 28'!I19+'Semana 29'!I19+'Semana 30'!I19+'Semana 31'!I19+'Semana 32'!I19+'Semana 37'!I19</f>
        <v/>
      </c>
      <c r="G19" s="8">
        <f>'Semana 24'!G19+'Semana 25'!G19+'Semana 26'!G19+'Semana 27'!G19+'Semana 28'!G19+'Semana 29'!G19+'Semana 30'!G19+'Semana 31'!G19+'Semana 32'!G19+'Semana 37'!G19</f>
        <v/>
      </c>
      <c r="H19" s="8">
        <f>'Semana 24'!H19+'Semana 25'!H19+'Semana 26'!H19+'Semana 27'!H19+'Semana 28'!H19+'Semana 29'!H19+'Semana 30'!H19+'Semana 31'!H19+'Semana 32'!H19+'Semana 37'!H19</f>
        <v/>
      </c>
      <c r="I19" s="9">
        <f>IF(H19&gt;0, F19/H19, 0)</f>
        <v/>
      </c>
      <c r="J19" s="9">
        <f>IF(G19&gt;0, F19/G19, 0)</f>
        <v/>
      </c>
      <c r="K19" s="10">
        <f>IF(9.97&gt;0, F19/9.97, 0)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4">
        <f>'Semana 24'!I20+'Semana 25'!I20+'Semana 26'!I20+'Semana 27'!I20+'Semana 28'!I20+'Semana 29'!I20+'Semana 30'!I20+'Semana 31'!I20+'Semana 32'!I20+'Semana 37'!I20</f>
        <v/>
      </c>
      <c r="G20" s="15">
        <f>'Semana 24'!G20+'Semana 25'!G20+'Semana 26'!G20+'Semana 27'!G20+'Semana 28'!G20+'Semana 29'!G20+'Semana 30'!G20+'Semana 31'!G20+'Semana 32'!G20+'Semana 37'!G20</f>
        <v/>
      </c>
      <c r="H20" s="15">
        <f>'Semana 24'!H20+'Semana 25'!H20+'Semana 26'!H20+'Semana 27'!H20+'Semana 28'!H20+'Semana 29'!H20+'Semana 30'!H20+'Semana 31'!H20+'Semana 32'!H20+'Semana 37'!H20</f>
        <v/>
      </c>
      <c r="I20" s="16">
        <f>IF(H20&gt;0, F20/H20, 0)</f>
        <v/>
      </c>
      <c r="J20" s="16">
        <f>IF(G20&gt;0, F20/G20, 0)</f>
        <v/>
      </c>
      <c r="K20" s="17">
        <f>IF(3.03&gt;0, F20/3.03, 0)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7">
        <f>'Semana 24'!I21+'Semana 25'!I21+'Semana 26'!I21+'Semana 27'!I21+'Semana 28'!I21+'Semana 29'!I21+'Semana 30'!I21+'Semana 31'!I21+'Semana 32'!I21+'Semana 37'!I21</f>
        <v/>
      </c>
      <c r="G21" s="8">
        <f>'Semana 24'!G21+'Semana 25'!G21+'Semana 26'!G21+'Semana 27'!G21+'Semana 28'!G21+'Semana 29'!G21+'Semana 30'!G21+'Semana 31'!G21+'Semana 32'!G21+'Semana 37'!G21</f>
        <v/>
      </c>
      <c r="H21" s="8">
        <f>'Semana 24'!H21+'Semana 25'!H21+'Semana 26'!H21+'Semana 27'!H21+'Semana 28'!H21+'Semana 29'!H21+'Semana 30'!H21+'Semana 31'!H21+'Semana 32'!H21+'Semana 37'!H21</f>
        <v/>
      </c>
      <c r="I21" s="9">
        <f>IF(H21&gt;0, F21/H21, 0)</f>
        <v/>
      </c>
      <c r="J21" s="9">
        <f>IF(G21&gt;0, F21/G21, 0)</f>
        <v/>
      </c>
      <c r="K21" s="10">
        <f>IF(8.5&gt;0, F21/8.5, 0)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4">
        <f>'Semana 24'!I22+'Semana 25'!I22+'Semana 26'!I22+'Semana 27'!I22+'Semana 28'!I22+'Semana 29'!I22+'Semana 30'!I22+'Semana 31'!I22+'Semana 32'!I22+'Semana 37'!I22</f>
        <v/>
      </c>
      <c r="G22" s="15">
        <f>'Semana 24'!G22+'Semana 25'!G22+'Semana 26'!G22+'Semana 27'!G22+'Semana 28'!G22+'Semana 29'!G22+'Semana 30'!G22+'Semana 31'!G22+'Semana 32'!G22+'Semana 37'!G22</f>
        <v/>
      </c>
      <c r="H22" s="15">
        <f>'Semana 24'!H22+'Semana 25'!H22+'Semana 26'!H22+'Semana 27'!H22+'Semana 28'!H22+'Semana 29'!H22+'Semana 30'!H22+'Semana 31'!H22+'Semana 32'!H22+'Semana 37'!H22</f>
        <v/>
      </c>
      <c r="I22" s="16">
        <f>IF(H22&gt;0, F22/H22, 0)</f>
        <v/>
      </c>
      <c r="J22" s="16">
        <f>IF(G22&gt;0, F22/G22, 0)</f>
        <v/>
      </c>
      <c r="K22" s="17">
        <f>IF(2.41&gt;0, F22/2.41, 0)</f>
        <v/>
      </c>
    </row>
    <row r="23" ht="22" customHeight="1">
      <c r="A23" s="18" t="inlineStr">
        <is>
          <t>TOTAL ACUMULADO HISTÓRICO (OBRA LERMA - TRES MARÍAS)</t>
        </is>
      </c>
      <c r="B23" s="19" t="n"/>
      <c r="C23" s="19" t="n"/>
      <c r="D23" s="19" t="n"/>
      <c r="E23" s="19" t="n"/>
      <c r="F23" s="20">
        <f>SUM(F9:F22)</f>
        <v/>
      </c>
      <c r="G23" s="20">
        <f>SUM(G9:G22)</f>
        <v/>
      </c>
      <c r="H23" s="20">
        <f>SUM(H9:H22)</f>
        <v/>
      </c>
      <c r="I23" s="21">
        <f>IF(H23&gt;0, F23/H23, 0)</f>
        <v/>
      </c>
      <c r="J23" s="21">
        <f>IF(G23&gt;0, F23/G23, 0)</f>
        <v/>
      </c>
      <c r="K23" s="22">
        <f>SUM(K9:K22)</f>
        <v/>
      </c>
    </row>
  </sheetData>
  <mergeCells count="3">
    <mergeCell ref="A2:K2"/>
    <mergeCell ref="A1:K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24)</t>
        </is>
      </c>
    </row>
    <row r="2" ht="20" customHeight="1">
      <c r="A2" s="2" t="inlineStr">
        <is>
          <t>OBRA: LERMA - TRES MARÍAS | PERIODO: 08/Jun/2026 - 13/Jun/2026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24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97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185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50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90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40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70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70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60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80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50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80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25)</t>
        </is>
      </c>
    </row>
    <row r="2" ht="20" customHeight="1">
      <c r="A2" s="2" t="inlineStr">
        <is>
          <t>OBRA: LERMA - TRES MARÍAS | PERIODO: 15/Jun/2026 - 20/Jun/2026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25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350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73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165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160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24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50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30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52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43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55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80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60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40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100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50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80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25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26)</t>
        </is>
      </c>
    </row>
    <row r="2" ht="20" customHeight="1">
      <c r="A2" s="2" t="inlineStr">
        <is>
          <t>OBRA: LERMA - TRES MARÍAS | PERIODO: 22/Jun/2026 - 27/Jun/2026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26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140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162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177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50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100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50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50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50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40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62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41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88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50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90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129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27)</t>
        </is>
      </c>
    </row>
    <row r="2" ht="20" customHeight="1">
      <c r="A2" s="2" t="inlineStr">
        <is>
          <t>OBRA: LERMA - TRES MARÍAS | PERIODO: 29/Jun/2026 - 04/Jul/2026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27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400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250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178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100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50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34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38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50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40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30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30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50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59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60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94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60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29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50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28)</t>
        </is>
      </c>
    </row>
    <row r="2" ht="20" customHeight="1">
      <c r="A2" s="2" t="inlineStr">
        <is>
          <t>OBRA: LERMA - TRES MARÍAS | PERIODO: 06/Jul/2026 - 11/Jul/2026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28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350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27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90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48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33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30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50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50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50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27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60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30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29)</t>
        </is>
      </c>
    </row>
    <row r="2" ht="20" customHeight="1">
      <c r="A2" s="2" t="inlineStr">
        <is>
          <t>OBRA: LERMA - TRES MARÍAS | PERIODO: 13/Jul/2026 - 18/Jul/2026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29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239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1500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290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390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490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200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100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215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115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75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75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50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140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69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20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40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59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28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20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100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130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23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120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200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139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35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105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85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70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113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100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120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30)</t>
        </is>
      </c>
    </row>
    <row r="2" ht="20" customHeight="1">
      <c r="A2" s="2" t="inlineStr">
        <is>
          <t>OBRA: LERMA - TRES MARÍAS | PERIODO: 20/Jul/2026 - 25/Jul/2026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30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259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140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25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30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25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30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32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31)</t>
        </is>
      </c>
    </row>
    <row r="2" ht="20" customHeight="1">
      <c r="A2" s="2" t="inlineStr">
        <is>
          <t>OBRA: LERMA - TRES MARÍAS | PERIODO: 27/Jul/2026 - 01/Ago/2026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31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400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255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120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150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150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100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100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50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50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25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50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75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50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50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77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60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60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50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30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10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70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30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50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25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32)</t>
        </is>
      </c>
    </row>
    <row r="2" ht="20" customHeight="1">
      <c r="A2" s="2" t="inlineStr">
        <is>
          <t>OBRA: LERMA - TRES MARÍAS | PERIODO: 03/Ago/2026 - 08/Ago/2026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32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450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100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150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114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77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23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0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50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93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90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90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40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70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0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8" customWidth="1" min="3" max="3"/>
    <col width="28" customWidth="1" min="4" max="4"/>
    <col width="3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CONTROL SEMANAL DE RENDIMIENTO DE MAQUINARIA (SEMANA 37)</t>
        </is>
      </c>
    </row>
    <row r="2" ht="20" customHeight="1">
      <c r="A2" s="2" t="inlineStr">
        <is>
          <t>OBRA: LERMA - TRES MARÍAS | PERIODO: 07/Sep/2026 - 12/Sep/2026</t>
        </is>
      </c>
    </row>
    <row r="4">
      <c r="D4" s="23" t="inlineStr">
        <is>
          <t>PESO VOLUMÉTRICO ASFALTO:</t>
        </is>
      </c>
      <c r="E4" s="24" t="n">
        <v>1.742</v>
      </c>
    </row>
    <row r="5">
      <c r="B5" s="23" t="inlineStr">
        <is>
          <t>VIAJES FRESADO:</t>
        </is>
      </c>
      <c r="C5" s="25" t="n">
        <v>0</v>
      </c>
      <c r="D5" s="23" t="inlineStr">
        <is>
          <t>VOLUMEN FRESADO (m³):</t>
        </is>
      </c>
      <c r="E5" s="26" t="n">
        <v>0</v>
      </c>
    </row>
    <row r="6">
      <c r="B6" s="23" t="inlineStr">
        <is>
          <t>VIAJES CARPETA:</t>
        </is>
      </c>
      <c r="C6" s="25" t="n">
        <v>0</v>
      </c>
      <c r="D6" s="23" t="inlineStr">
        <is>
          <t>VOLUMEN CARPETA (m³):</t>
        </is>
      </c>
      <c r="E6" s="26" t="n">
        <v>0</v>
      </c>
      <c r="F6" s="23" t="inlineStr">
        <is>
          <t>TONELADAS CARPETA:</t>
        </is>
      </c>
      <c r="G6" s="26">
        <f>E6*$E$4</f>
        <v/>
      </c>
    </row>
    <row r="8" ht="28" customHeight="1">
      <c r="A8" s="3" t="inlineStr">
        <is>
          <t>No.</t>
        </is>
      </c>
      <c r="B8" s="3" t="inlineStr">
        <is>
          <t>Económico</t>
        </is>
      </c>
      <c r="C8" s="3" t="inlineStr">
        <is>
          <t>Descripción de Maquinaria</t>
        </is>
      </c>
      <c r="D8" s="3" t="inlineStr">
        <is>
          <t>Operador Asignado</t>
        </is>
      </c>
      <c r="E8" s="3" t="inlineStr">
        <is>
          <t>Concepto de Trabajo</t>
        </is>
      </c>
      <c r="F8" s="3" t="inlineStr">
        <is>
          <t>Unidad Medida</t>
        </is>
      </c>
      <c r="G8" s="3" t="inlineStr">
        <is>
          <t>Volumen m³</t>
        </is>
      </c>
      <c r="H8" s="3" t="inlineStr">
        <is>
          <t>Volumen Ton</t>
        </is>
      </c>
      <c r="I8" s="3" t="inlineStr">
        <is>
          <t>Diésel Surtido (L)</t>
        </is>
      </c>
      <c r="J8" s="3" t="inlineStr">
        <is>
          <t>Rendimiento Real (L/Ton)</t>
        </is>
      </c>
      <c r="K8" s="3" t="inlineStr">
        <is>
          <t>Rendimiento Real (L/m³)</t>
        </is>
      </c>
      <c r="L8" s="3" t="inlineStr">
        <is>
          <t>Rendimiento Base (L/h)</t>
        </is>
      </c>
      <c r="M8" s="3" t="inlineStr">
        <is>
          <t>Horas Estimadas (h)</t>
        </is>
      </c>
      <c r="N8" s="3" t="inlineStr">
        <is>
          <t>Estatus Operativo</t>
        </is>
      </c>
    </row>
    <row r="9" ht="20" customHeight="1">
      <c r="A9" s="4" t="n">
        <v>1</v>
      </c>
      <c r="B9" s="5" t="inlineStr">
        <is>
          <t>PR-01</t>
        </is>
      </c>
      <c r="C9" s="6" t="inlineStr">
        <is>
          <t>PERFILADORA RODATEC RX600-4-4008 / RX600E</t>
        </is>
      </c>
      <c r="D9" s="6" t="inlineStr">
        <is>
          <t>JAVIER PAREDES CORTE</t>
        </is>
      </c>
      <c r="E9" s="6" t="inlineStr">
        <is>
          <t>Fresado de Pavimento</t>
        </is>
      </c>
      <c r="F9" s="4" t="inlineStr">
        <is>
          <t>m³</t>
        </is>
      </c>
      <c r="G9" s="8">
        <f>E5</f>
        <v/>
      </c>
      <c r="H9" s="8" t="n">
        <v>0</v>
      </c>
      <c r="I9" s="7">
        <f>AD28</f>
        <v/>
      </c>
      <c r="J9" s="9" t="n">
        <v>0</v>
      </c>
      <c r="K9" s="9">
        <f>IF(G9&gt;0, I9/G9, 0)</f>
        <v/>
      </c>
      <c r="L9" s="10" t="n">
        <v>67.2</v>
      </c>
      <c r="M9" s="10">
        <f>IF(L9&gt;0, I9/L9, 0)</f>
        <v/>
      </c>
      <c r="N9" s="5">
        <f>IF(I9=0, "SIN CONSUMO (Inactiva)", IF(AND(G9&gt;0, K9&lt;=1.3*3.2), "DENTRO DE RENDIMIENTO BASE", IF(G9&gt;0, "EXCEDE RENDIMIENTO BASE", "OPERACIÓN SIN VOLUMEN")))</f>
        <v/>
      </c>
    </row>
    <row r="10" ht="20" customHeight="1">
      <c r="A10" s="11" t="n">
        <v>2</v>
      </c>
      <c r="B10" s="12" t="inlineStr">
        <is>
          <t>VG-03</t>
        </is>
      </c>
      <c r="C10" s="13" t="inlineStr">
        <is>
          <t>PAVIMENTADORA VÖGELE SJ 1800-3 /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1" t="inlineStr">
        <is>
          <t>Ton</t>
        </is>
      </c>
      <c r="G10" s="15" t="n">
        <v>0</v>
      </c>
      <c r="H10" s="15">
        <f>G6</f>
        <v/>
      </c>
      <c r="I10" s="14">
        <f>AD29</f>
        <v/>
      </c>
      <c r="J10" s="16">
        <f>IF(H10&gt;0, I10/H10, 0)</f>
        <v/>
      </c>
      <c r="K10" s="16">
        <f>IF($E$6&gt;0, I10/$E$6, 0)</f>
        <v/>
      </c>
      <c r="L10" s="17" t="n">
        <v>16.24</v>
      </c>
      <c r="M10" s="17">
        <f>IF(L10&gt;0, I10/L10, 0)</f>
        <v/>
      </c>
      <c r="N10" s="12">
        <f>IF(I10=0, "SIN CONSUMO (Inactiva)", IF(AND(H10&gt;0, J10&lt;=1.2*0.35), "DENTRO DE RENDIMIENTO BASE", IF(H10&gt;0, "EXCEDE RENDIMIENTO BASE", "OPERACIÓN SIN VOLUMEN")))</f>
        <v/>
      </c>
    </row>
    <row r="11" ht="20" customHeight="1">
      <c r="A11" s="4" t="n">
        <v>3</v>
      </c>
      <c r="B11" s="5" t="inlineStr">
        <is>
          <t>TD-01</t>
        </is>
      </c>
      <c r="C11" s="6" t="inlineStr">
        <is>
          <t>COMPACTADOR TÁNDEM CATERPILLAR CB54</t>
        </is>
      </c>
      <c r="D11" s="6" t="inlineStr">
        <is>
          <t>JOEL ALBERTO RIVERA RIVAS</t>
        </is>
      </c>
      <c r="E11" s="6" t="inlineStr">
        <is>
          <t>Compactación Tándem Primaria</t>
        </is>
      </c>
      <c r="F11" s="4" t="inlineStr">
        <is>
          <t>Ton</t>
        </is>
      </c>
      <c r="G11" s="8" t="n">
        <v>0</v>
      </c>
      <c r="H11" s="8">
        <f>G6</f>
        <v/>
      </c>
      <c r="I11" s="7">
        <f>AD30</f>
        <v/>
      </c>
      <c r="J11" s="9">
        <f>IF(H11&gt;0, I11/H11, 0)</f>
        <v/>
      </c>
      <c r="K11" s="9">
        <f>IF($E$6&gt;0, I11/$E$6, 0)</f>
        <v/>
      </c>
      <c r="L11" s="10" t="n">
        <v>14.3</v>
      </c>
      <c r="M11" s="10">
        <f>IF(L11&gt;0, I11/L11, 0)</f>
        <v/>
      </c>
      <c r="N11" s="5">
        <f>IF(I11=0, "SIN CONSUMO (Inactiva)", IF(AND(H11&gt;0, J11&lt;=1.2*0.3), "DENTRO DE RENDIMIENTO BASE", IF(H11&gt;0, "EXCEDE RENDIMIENTO BASE", "OPERACIÓN SIN VOLUMEN")))</f>
        <v/>
      </c>
    </row>
    <row r="12" ht="20" customHeight="1">
      <c r="A12" s="11" t="n">
        <v>4</v>
      </c>
      <c r="B12" s="12" t="inlineStr">
        <is>
          <t>VC-01</t>
        </is>
      </c>
      <c r="C12" s="13" t="inlineStr">
        <is>
          <t>VIBROCOMPACTADOR CATERPILLAR CB66B</t>
        </is>
      </c>
      <c r="D12" s="13" t="inlineStr">
        <is>
          <t>ALEXIS RENDON DOMINGUEZ</t>
        </is>
      </c>
      <c r="E12" s="13" t="inlineStr">
        <is>
          <t>Compactación Tándem Pesada / Acabado</t>
        </is>
      </c>
      <c r="F12" s="11" t="inlineStr">
        <is>
          <t>Ton</t>
        </is>
      </c>
      <c r="G12" s="15" t="n">
        <v>0</v>
      </c>
      <c r="H12" s="15">
        <f>G6</f>
        <v/>
      </c>
      <c r="I12" s="14">
        <f>AD31</f>
        <v/>
      </c>
      <c r="J12" s="16">
        <f>IF(H12&gt;0, I12/H12, 0)</f>
        <v/>
      </c>
      <c r="K12" s="16">
        <f>IF($E$6&gt;0, I12/$E$6, 0)</f>
        <v/>
      </c>
      <c r="L12" s="17" t="n">
        <v>14.3</v>
      </c>
      <c r="M12" s="17">
        <f>IF(L12&gt;0, I12/L12, 0)</f>
        <v/>
      </c>
      <c r="N12" s="12">
        <f>IF(I12=0, "SIN CONSUMO (Inactiva)", IF(AND(H12&gt;0, J12&lt;=1.2*0.3), "DENTRO DE RENDIMIENTO BASE", IF(H12&gt;0, "EXCEDE RENDIMIENTO BASE", "OPERACIÓN SIN VOLUMEN")))</f>
        <v/>
      </c>
    </row>
    <row r="13" ht="20" customHeight="1">
      <c r="A13" s="4" t="n">
        <v>5</v>
      </c>
      <c r="B13" s="5" t="inlineStr">
        <is>
          <t>NM-02</t>
        </is>
      </c>
      <c r="C13" s="6" t="inlineStr">
        <is>
          <t>COMPACTADOR NEUMÁTICO VOLVO PT-240R</t>
        </is>
      </c>
      <c r="D13" s="6" t="inlineStr">
        <is>
          <t>JOSE CARLOS ROMERO TELLEZ</t>
        </is>
      </c>
      <c r="E13" s="6" t="inlineStr">
        <is>
          <t>Compactación Neumática / Sellado</t>
        </is>
      </c>
      <c r="F13" s="4" t="inlineStr">
        <is>
          <t>Ton</t>
        </is>
      </c>
      <c r="G13" s="8" t="n">
        <v>0</v>
      </c>
      <c r="H13" s="8">
        <f>G6</f>
        <v/>
      </c>
      <c r="I13" s="7">
        <f>AD32</f>
        <v/>
      </c>
      <c r="J13" s="9">
        <f>IF(H13&gt;0, I13/H13, 0)</f>
        <v/>
      </c>
      <c r="K13" s="9">
        <f>IF($E$6&gt;0, I13/$E$6, 0)</f>
        <v/>
      </c>
      <c r="L13" s="10" t="n">
        <v>11.44</v>
      </c>
      <c r="M13" s="10">
        <f>IF(L13&gt;0, I13/L13, 0)</f>
        <v/>
      </c>
      <c r="N13" s="5">
        <f>IF(I13=0, "SIN CONSUMO (Inactiva)", IF(AND(H13&gt;0, J13&lt;=1.2*0.25), "DENTRO DE RENDIMIENTO BASE", IF(H13&gt;0, "EXCEDE RENDIMIENTO BASE", "OPERACIÓN SIN VOLUMEN")))</f>
        <v/>
      </c>
    </row>
    <row r="14" ht="20" customHeight="1">
      <c r="A14" s="11" t="n">
        <v>6</v>
      </c>
      <c r="B14" s="12" t="inlineStr">
        <is>
          <t>NM-08</t>
        </is>
      </c>
      <c r="C14" s="13" t="inlineStr">
        <is>
          <t>COMPACTADOR NEUMÁTICO PF-300B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1" t="inlineStr">
        <is>
          <t>Ton</t>
        </is>
      </c>
      <c r="G14" s="15" t="n">
        <v>0</v>
      </c>
      <c r="H14" s="15">
        <f>G6</f>
        <v/>
      </c>
      <c r="I14" s="14">
        <f>AD33</f>
        <v/>
      </c>
      <c r="J14" s="16">
        <f>IF(H14&gt;0, I14/H14, 0)</f>
        <v/>
      </c>
      <c r="K14" s="16">
        <f>IF($E$6&gt;0, I14/$E$6, 0)</f>
        <v/>
      </c>
      <c r="L14" s="17" t="n">
        <v>10.96</v>
      </c>
      <c r="M14" s="17">
        <f>IF(L14&gt;0, I14/L14, 0)</f>
        <v/>
      </c>
      <c r="N14" s="12">
        <f>IF(I14=0, "SIN CONSUMO (Inactiva)", IF(AND(H14&gt;0, J14&lt;=1.2*0.24), "DENTRO DE RENDIMIENTO BASE", IF(H14&gt;0, "EXCEDE RENDIMIENTO BASE", "OPERACIÓN SIN VOLUMEN")))</f>
        <v/>
      </c>
    </row>
    <row r="15" ht="20" customHeight="1">
      <c r="A15" s="4" t="n">
        <v>7</v>
      </c>
      <c r="B15" s="5" t="inlineStr">
        <is>
          <t>BR-02</t>
        </is>
      </c>
      <c r="C15" s="6" t="inlineStr">
        <is>
          <t>BARREDORA INDUSTRIAL LAYMOR SM400</t>
        </is>
      </c>
      <c r="D15" s="6" t="inlineStr">
        <is>
          <t>EDGAR ROSALES MARTINEZ</t>
        </is>
      </c>
      <c r="E15" s="6" t="inlineStr">
        <is>
          <t>Limpieza y Barrido Previo</t>
        </is>
      </c>
      <c r="F15" s="4" t="inlineStr">
        <is>
          <t>m²</t>
        </is>
      </c>
      <c r="G15" s="8" t="n">
        <v>0</v>
      </c>
      <c r="H15" s="8">
        <f>G6</f>
        <v/>
      </c>
      <c r="I15" s="7">
        <f>AD34</f>
        <v/>
      </c>
      <c r="J15" s="9">
        <f>IF(H15&gt;0, I15/H15, 0)</f>
        <v/>
      </c>
      <c r="K15" s="9" t="n">
        <v>0</v>
      </c>
      <c r="L15" s="10" t="n">
        <v>8.94</v>
      </c>
      <c r="M15" s="10">
        <f>IF(L15&gt;0, I15/L15, 0)</f>
        <v/>
      </c>
      <c r="N15" s="5">
        <f>IF(I15=0, "SIN CONSUMO (Inactiva)", IF(AND(H15&gt;0, J15&lt;=1.2*0.05), "DENTRO DE RENDIMIENTO BASE", IF(H15&gt;0, "EXCEDE RENDIMIENTO BASE", "OPERACIÓN SIN VOLUMEN")))</f>
        <v/>
      </c>
    </row>
    <row r="16" ht="20" customHeight="1">
      <c r="A16" s="11" t="n">
        <v>8</v>
      </c>
      <c r="B16" s="12" t="inlineStr">
        <is>
          <t>BR-05</t>
        </is>
      </c>
      <c r="C16" s="13" t="inlineStr">
        <is>
          <t>BARREDORA BROCE BROOM KR350 / RJ350</t>
        </is>
      </c>
      <c r="D16" s="13" t="inlineStr">
        <is>
          <t>CUADRILLA DE BARRIDO</t>
        </is>
      </c>
      <c r="E16" s="13" t="inlineStr">
        <is>
          <t>Barrido de Calzada y Apoyo</t>
        </is>
      </c>
      <c r="F16" s="11" t="inlineStr">
        <is>
          <t>m²</t>
        </is>
      </c>
      <c r="G16" s="15" t="n">
        <v>0</v>
      </c>
      <c r="H16" s="15">
        <f>G6</f>
        <v/>
      </c>
      <c r="I16" s="14">
        <f>AD35</f>
        <v/>
      </c>
      <c r="J16" s="16">
        <f>IF(H16&gt;0, I16/H16, 0)</f>
        <v/>
      </c>
      <c r="K16" s="16" t="n">
        <v>0</v>
      </c>
      <c r="L16" s="17" t="n">
        <v>8.94</v>
      </c>
      <c r="M16" s="17">
        <f>IF(L16&gt;0, I16/L16, 0)</f>
        <v/>
      </c>
      <c r="N16" s="12">
        <f>IF(I16=0, "SIN CONSUMO (Inactiva)", IF(AND(H16&gt;0, J16&lt;=1.2*0.05), "DENTRO DE RENDIMIENTO BASE", IF(H16&gt;0, "EXCEDE RENDIMIENTO BASE", "OPERACIÓN SIN VOLUMEN")))</f>
        <v/>
      </c>
    </row>
    <row r="17" ht="20" customHeight="1">
      <c r="A17" s="4" t="n">
        <v>9</v>
      </c>
      <c r="B17" s="5" t="inlineStr">
        <is>
          <t>RT-02</t>
        </is>
      </c>
      <c r="C17" s="6" t="inlineStr">
        <is>
          <t>RETROEXCAVADORA JOHN DEERE 310K / CASE 580N</t>
        </is>
      </c>
      <c r="D17" s="6" t="inlineStr">
        <is>
          <t>ADOLFO NAVA LOPEZ</t>
        </is>
      </c>
      <c r="E17" s="6" t="inlineStr">
        <is>
          <t>Carga Fresado y Derrumbes</t>
        </is>
      </c>
      <c r="F17" s="4" t="inlineStr">
        <is>
          <t>m³</t>
        </is>
      </c>
      <c r="G17" s="8" t="n">
        <v>0</v>
      </c>
      <c r="H17" s="8">
        <f>G6</f>
        <v/>
      </c>
      <c r="I17" s="7">
        <f>AD36</f>
        <v/>
      </c>
      <c r="J17" s="9">
        <f>IF(H17&gt;0, I17/H17, 0)</f>
        <v/>
      </c>
      <c r="K17" s="9" t="n">
        <v>0</v>
      </c>
      <c r="L17" s="10" t="n">
        <v>7.44</v>
      </c>
      <c r="M17" s="10">
        <f>IF(L17&gt;0, I17/L17, 0)</f>
        <v/>
      </c>
      <c r="N17" s="5">
        <f>IF(I17=0, "SIN CONSUMO (Inactiva)", IF(AND(H17&gt;0, J17&lt;=1.2*0.15), "DENTRO DE RENDIMIENTO BASE", IF(H17&gt;0, "EXCEDE RENDIMIENTO BASE", "OPERACIÓN SIN VOLUMEN")))</f>
        <v/>
      </c>
    </row>
    <row r="18" ht="20" customHeight="1">
      <c r="A18" s="11" t="n">
        <v>10</v>
      </c>
      <c r="B18" s="12" t="inlineStr">
        <is>
          <t>PT-01</t>
        </is>
      </c>
      <c r="C18" s="13" t="inlineStr">
        <is>
          <t>PETROLIZADORA FORD F800 (IMPACTO 04)</t>
        </is>
      </c>
      <c r="D18" s="13" t="inlineStr">
        <is>
          <t>ELTHON EDUARDO MARTINEZ GOMORA</t>
        </is>
      </c>
      <c r="E18" s="13" t="inlineStr">
        <is>
          <t>Riego de Liga / Emulsión Asfáltica</t>
        </is>
      </c>
      <c r="F18" s="11" t="inlineStr">
        <is>
          <t>L-Emul</t>
        </is>
      </c>
      <c r="G18" s="15" t="n">
        <v>0</v>
      </c>
      <c r="H18" s="15">
        <f>G6</f>
        <v/>
      </c>
      <c r="I18" s="14">
        <f>AD37</f>
        <v/>
      </c>
      <c r="J18" s="16">
        <f>IF(H18&gt;0, I18/H18, 0)</f>
        <v/>
      </c>
      <c r="K18" s="16" t="n">
        <v>0</v>
      </c>
      <c r="L18" s="17" t="n">
        <v>12.76</v>
      </c>
      <c r="M18" s="17">
        <f>IF(L18&gt;0, I18/L18, 0)</f>
        <v/>
      </c>
      <c r="N18" s="12">
        <f>IF(I18=0, "SIN CONSUMO (Inactiva)", IF(AND(H18&gt;0, J18&lt;=1.2*0.12), "DENTRO DE RENDIMIENTO BASE", IF(H18&gt;0, "EXCEDE RENDIMIENTO BASE", "OPERACIÓN SIN VOLUMEN")))</f>
        <v/>
      </c>
    </row>
    <row r="19" ht="20" customHeight="1">
      <c r="A19" s="4" t="n">
        <v>11</v>
      </c>
      <c r="B19" s="5" t="inlineStr">
        <is>
          <t>CPR-01</t>
        </is>
      </c>
      <c r="C19" s="6" t="inlineStr">
        <is>
          <t>COMPRESOR SULLIVAN PALATEK D2010</t>
        </is>
      </c>
      <c r="D19" s="6" t="inlineStr">
        <is>
          <t>CUADRILLA DE SOPLETEADO</t>
        </is>
      </c>
      <c r="E19" s="6" t="inlineStr">
        <is>
          <t>Sopleteado de Superficie y Juntas</t>
        </is>
      </c>
      <c r="F19" s="4" t="inlineStr">
        <is>
          <t>Horas</t>
        </is>
      </c>
      <c r="G19" s="8" t="n">
        <v>0</v>
      </c>
      <c r="H19" s="8">
        <f>G6</f>
        <v/>
      </c>
      <c r="I19" s="7">
        <f>AD38</f>
        <v/>
      </c>
      <c r="J19" s="9">
        <f>IF(H19&gt;0, I19/H19, 0)</f>
        <v/>
      </c>
      <c r="K19" s="9" t="n">
        <v>0</v>
      </c>
      <c r="L19" s="10" t="n">
        <v>9.970000000000001</v>
      </c>
      <c r="M19" s="10">
        <f>IF(L19&gt;0, I19/L19, 0)</f>
        <v/>
      </c>
      <c r="N19" s="5">
        <f>IF(I19=0, "SIN CONSUMO (Inactiva)", IF(AND(H19&gt;0, J19&lt;=1.2*0.08), "DENTRO DE RENDIMIENTO BASE", IF(H19&gt;0, "EXCEDE RENDIMIENTO BASE", "OPERACIÓN SIN VOLUMEN")))</f>
        <v/>
      </c>
    </row>
    <row r="20" ht="20" customHeight="1">
      <c r="A20" s="11" t="n">
        <v>12</v>
      </c>
      <c r="B20" s="12" t="inlineStr">
        <is>
          <t>PP-01</t>
        </is>
      </c>
      <c r="C20" s="13" t="inlineStr">
        <is>
          <t>PIPA DE AGUA (IMPACTO 01) FORD</t>
        </is>
      </c>
      <c r="D20" s="13" t="inlineStr">
        <is>
          <t>ALAN ALEXIS GUTIERREZ FLORES</t>
        </is>
      </c>
      <c r="E20" s="13" t="inlineStr">
        <is>
          <t>Enfriamiento Rodillos / Riego</t>
        </is>
      </c>
      <c r="F20" s="11" t="inlineStr">
        <is>
          <t>m³-Agua</t>
        </is>
      </c>
      <c r="G20" s="15" t="n">
        <v>0</v>
      </c>
      <c r="H20" s="15">
        <f>G6</f>
        <v/>
      </c>
      <c r="I20" s="14">
        <f>AD39</f>
        <v/>
      </c>
      <c r="J20" s="16">
        <f>IF(H20&gt;0, I20/H20, 0)</f>
        <v/>
      </c>
      <c r="K20" s="16" t="n">
        <v>0</v>
      </c>
      <c r="L20" s="17" t="n">
        <v>3.03</v>
      </c>
      <c r="M20" s="17">
        <f>IF(L20&gt;0, I20/L20, 0)</f>
        <v/>
      </c>
      <c r="N20" s="12">
        <f>IF(I20=0, "SIN CONSUMO (Inactiva)", IF(AND(H20&gt;0, J20&lt;=1.2*0.06), "DENTRO DE RENDIMIENTO BASE", IF(H20&gt;0, "EXCEDE RENDIMIENTO BASE", "OPERACIÓN SIN VOLUMEN")))</f>
        <v/>
      </c>
    </row>
    <row r="21" ht="20" customHeight="1">
      <c r="A21" s="4" t="n">
        <v>13</v>
      </c>
      <c r="B21" s="5" t="inlineStr">
        <is>
          <t>CI-02</t>
        </is>
      </c>
      <c r="C21" s="6" t="inlineStr">
        <is>
          <t>CAMIÓN DE IMPACTO FORD 4300 (ATENUADOR TMA)</t>
        </is>
      </c>
      <c r="D21" s="6" t="inlineStr">
        <is>
          <t>CUADRILLA DE SEGURIDAD VIAL</t>
        </is>
      </c>
      <c r="E21" s="6" t="inlineStr">
        <is>
          <t>Protección Vial / Atenuador Móvil</t>
        </is>
      </c>
      <c r="F21" s="4" t="inlineStr">
        <is>
          <t>Horas</t>
        </is>
      </c>
      <c r="G21" s="8" t="n">
        <v>0</v>
      </c>
      <c r="H21" s="8">
        <f>G6</f>
        <v/>
      </c>
      <c r="I21" s="7">
        <f>AD40</f>
        <v/>
      </c>
      <c r="J21" s="9">
        <f>IF(H21&gt;0, I21/H21, 0)</f>
        <v/>
      </c>
      <c r="K21" s="9" t="n">
        <v>0</v>
      </c>
      <c r="L21" s="10" t="n">
        <v>8.5</v>
      </c>
      <c r="M21" s="10">
        <f>IF(L21&gt;0, I21/L21, 0)</f>
        <v/>
      </c>
      <c r="N21" s="5">
        <f>IF(I21=0, "SIN CONSUMO (Inactiva)", IF(AND(H21&gt;0, J21&lt;=1.2*0.1), "DENTRO DE RENDIMIENTO BASE", IF(H21&gt;0, "EXCEDE RENDIMIENTO BASE", "OPERACIÓN SIN VOLUMEN")))</f>
        <v/>
      </c>
    </row>
    <row r="22" ht="20" customHeight="1">
      <c r="A22" s="11" t="n">
        <v>14</v>
      </c>
      <c r="B22" s="12" t="inlineStr">
        <is>
          <t>TL-01</t>
        </is>
      </c>
      <c r="C22" s="13" t="inlineStr">
        <is>
          <t>TORRE DE LUCES MAXILIGHT / APOYO NOCTURNO</t>
        </is>
      </c>
      <c r="D22" s="13" t="inlineStr">
        <is>
          <t>CUADRILLA NOCTURNA</t>
        </is>
      </c>
      <c r="E22" s="13" t="inlineStr">
        <is>
          <t>Iluminación Nocturna / Cuadrilla</t>
        </is>
      </c>
      <c r="F22" s="11" t="inlineStr">
        <is>
          <t>Horas</t>
        </is>
      </c>
      <c r="G22" s="15" t="n">
        <v>0</v>
      </c>
      <c r="H22" s="15">
        <f>G6</f>
        <v/>
      </c>
      <c r="I22" s="14">
        <f>AD41</f>
        <v/>
      </c>
      <c r="J22" s="16">
        <f>IF(H22&gt;0, I22/H22, 0)</f>
        <v/>
      </c>
      <c r="K22" s="16" t="n">
        <v>0</v>
      </c>
      <c r="L22" s="17" t="n">
        <v>2.41</v>
      </c>
      <c r="M22" s="17">
        <f>IF(L22&gt;0, I22/L22, 0)</f>
        <v/>
      </c>
      <c r="N22" s="12">
        <f>IF(I22=0, "SIN CONSUMO (Inactiva)", IF(AND(H22&gt;0, J22&lt;=1.2*0.04), "DENTRO DE RENDIMIENTO BASE", IF(H22&gt;0, "EXCEDE RENDIMIENTO BASE", "OPERACIÓN SIN VOLUMEN")))</f>
        <v/>
      </c>
    </row>
    <row r="23" ht="22" customHeight="1">
      <c r="A23" s="18" t="inlineStr">
        <is>
          <t>TOTAL SEMANAL (OBRA LERMA - TRES MARÍAS)</t>
        </is>
      </c>
      <c r="B23" s="19" t="n"/>
      <c r="C23" s="19" t="n"/>
      <c r="D23" s="19" t="n"/>
      <c r="E23" s="19" t="n"/>
      <c r="F23" s="19" t="inlineStr"/>
      <c r="G23" s="20">
        <f>SUM(G9:G22)</f>
        <v/>
      </c>
      <c r="H23" s="20">
        <f>SUM(H9:H22)</f>
        <v/>
      </c>
      <c r="I23" s="20">
        <f>SUM(I9:I22)</f>
        <v/>
      </c>
      <c r="J23" s="21">
        <f>IF(H23&gt;0, I23/H23, 0)</f>
        <v/>
      </c>
      <c r="K23" s="21">
        <f>IF(G23&gt;0, I23/G23, 0)</f>
        <v/>
      </c>
      <c r="L23" s="19" t="inlineStr"/>
      <c r="M23" s="22">
        <f>SUM(M9:M22)</f>
        <v/>
      </c>
      <c r="N23" s="27" t="inlineStr">
        <is>
          <t>CONSOLIDADO SEMANAL</t>
        </is>
      </c>
    </row>
    <row r="25" ht="24" customHeight="1">
      <c r="A25" s="28" t="inlineStr">
        <is>
          <t>DESGLOSE DIARIO DE COMBUSTIBLE, VOLUMEN, TONELAJE Y RENDIMIENTO — SEMANA 37</t>
        </is>
      </c>
    </row>
    <row r="26" ht="20" customHeight="1">
      <c r="A26" s="3" t="inlineStr">
        <is>
          <t>DATOS DEL EQUIPO</t>
        </is>
      </c>
      <c r="B26" s="29" t="n"/>
      <c r="C26" s="29" t="n"/>
      <c r="D26" s="29" t="n"/>
      <c r="E26" s="29" t="n"/>
      <c r="F26" s="30" t="inlineStr">
        <is>
          <t>LUNES</t>
        </is>
      </c>
      <c r="G26" s="31" t="n"/>
      <c r="H26" s="31" t="n"/>
      <c r="I26" s="31" t="n"/>
      <c r="J26" s="30" t="inlineStr">
        <is>
          <t>MARTES</t>
        </is>
      </c>
      <c r="K26" s="31" t="n"/>
      <c r="L26" s="31" t="n"/>
      <c r="M26" s="31" t="n"/>
      <c r="N26" s="30" t="inlineStr">
        <is>
          <t>MIÉRCOLES</t>
        </is>
      </c>
      <c r="O26" s="31" t="n"/>
      <c r="P26" s="31" t="n"/>
      <c r="Q26" s="31" t="n"/>
      <c r="R26" s="30" t="inlineStr">
        <is>
          <t>JUEVES</t>
        </is>
      </c>
      <c r="S26" s="31" t="n"/>
      <c r="T26" s="31" t="n"/>
      <c r="U26" s="31" t="n"/>
      <c r="V26" s="30" t="inlineStr">
        <is>
          <t>VIERNES</t>
        </is>
      </c>
      <c r="W26" s="31" t="n"/>
      <c r="X26" s="31" t="n"/>
      <c r="Y26" s="31" t="n"/>
      <c r="Z26" s="30" t="inlineStr">
        <is>
          <t>SÁBADO</t>
        </is>
      </c>
      <c r="AA26" s="31" t="n"/>
      <c r="AB26" s="31" t="n"/>
      <c r="AC26" s="31" t="n"/>
      <c r="AD26" s="32" t="inlineStr">
        <is>
          <t>TOTAL SEMANAL</t>
        </is>
      </c>
      <c r="AE26" s="33" t="n"/>
      <c r="AF26" s="33" t="n"/>
      <c r="AG26" s="33" t="n"/>
    </row>
    <row r="27" ht="22" customHeight="1">
      <c r="A27" s="34" t="inlineStr">
        <is>
          <t>No.</t>
        </is>
      </c>
      <c r="B27" s="34" t="inlineStr">
        <is>
          <t>Económico</t>
        </is>
      </c>
      <c r="C27" s="34" t="inlineStr">
        <is>
          <t>Descripción de Maquinaria</t>
        </is>
      </c>
      <c r="D27" s="34" t="inlineStr">
        <is>
          <t>Operador Asignado</t>
        </is>
      </c>
      <c r="E27" s="34" t="inlineStr">
        <is>
          <t>Concepto de Trabajo</t>
        </is>
      </c>
      <c r="F27" s="34" t="inlineStr">
        <is>
          <t>Litros</t>
        </is>
      </c>
      <c r="G27" s="34" t="inlineStr">
        <is>
          <t>Vol m³</t>
        </is>
      </c>
      <c r="H27" s="34" t="inlineStr">
        <is>
          <t>Horas Est</t>
        </is>
      </c>
      <c r="I27" s="34" t="inlineStr">
        <is>
          <t>Rend L/m³</t>
        </is>
      </c>
      <c r="J27" s="34" t="inlineStr">
        <is>
          <t>Litros</t>
        </is>
      </c>
      <c r="K27" s="34" t="inlineStr">
        <is>
          <t>Vol m³</t>
        </is>
      </c>
      <c r="L27" s="34" t="inlineStr">
        <is>
          <t>Horas Est</t>
        </is>
      </c>
      <c r="M27" s="34" t="inlineStr">
        <is>
          <t>Rend L/m³</t>
        </is>
      </c>
      <c r="N27" s="34" t="inlineStr">
        <is>
          <t>Litros</t>
        </is>
      </c>
      <c r="O27" s="34" t="inlineStr">
        <is>
          <t>Vol m³</t>
        </is>
      </c>
      <c r="P27" s="34" t="inlineStr">
        <is>
          <t>Horas Est</t>
        </is>
      </c>
      <c r="Q27" s="34" t="inlineStr">
        <is>
          <t>Rend L/m³</t>
        </is>
      </c>
      <c r="R27" s="34" t="inlineStr">
        <is>
          <t>Litros</t>
        </is>
      </c>
      <c r="S27" s="34" t="inlineStr">
        <is>
          <t>Vol m³</t>
        </is>
      </c>
      <c r="T27" s="34" t="inlineStr">
        <is>
          <t>Horas Est</t>
        </is>
      </c>
      <c r="U27" s="34" t="inlineStr">
        <is>
          <t>Rend L/m³</t>
        </is>
      </c>
      <c r="V27" s="34" t="inlineStr">
        <is>
          <t>Litros</t>
        </is>
      </c>
      <c r="W27" s="34" t="inlineStr">
        <is>
          <t>Vol m³</t>
        </is>
      </c>
      <c r="X27" s="34" t="inlineStr">
        <is>
          <t>Horas Est</t>
        </is>
      </c>
      <c r="Y27" s="34" t="inlineStr">
        <is>
          <t>Rend L/m³</t>
        </is>
      </c>
      <c r="Z27" s="34" t="inlineStr">
        <is>
          <t>Litros</t>
        </is>
      </c>
      <c r="AA27" s="34" t="inlineStr">
        <is>
          <t>Vol m³</t>
        </is>
      </c>
      <c r="AB27" s="34" t="inlineStr">
        <is>
          <t>Horas Est</t>
        </is>
      </c>
      <c r="AC27" s="34" t="inlineStr">
        <is>
          <t>Rend L/m³</t>
        </is>
      </c>
      <c r="AD27" s="34" t="inlineStr">
        <is>
          <t>Diésel Surtido (L)</t>
        </is>
      </c>
      <c r="AE27" s="34" t="inlineStr">
        <is>
          <t>Vol m³ Total</t>
        </is>
      </c>
      <c r="AF27" s="34" t="inlineStr">
        <is>
          <t>Horas Est Total</t>
        </is>
      </c>
      <c r="AG27" s="34" t="inlineStr">
        <is>
          <t>Rend Prom (L/m³)</t>
        </is>
      </c>
    </row>
    <row r="28" ht="19" customHeight="1">
      <c r="A28" s="35" t="n">
        <v>1</v>
      </c>
      <c r="B28" s="35" t="inlineStr">
        <is>
          <t>PR-01</t>
        </is>
      </c>
      <c r="C28" s="36" t="inlineStr">
        <is>
          <t>PERFILADORA RODATEC RX600-4-4008 / RX600E</t>
        </is>
      </c>
      <c r="D28" s="36" t="inlineStr">
        <is>
          <t>JAVIER PAREDES CORTE</t>
        </is>
      </c>
      <c r="E28" s="36" t="inlineStr">
        <is>
          <t>Fresado de Pavimento</t>
        </is>
      </c>
      <c r="F28" s="37" t="n">
        <v>200</v>
      </c>
      <c r="G28" s="37" t="n">
        <v>0</v>
      </c>
      <c r="H28" s="38">
        <f>IF(L9&gt;0, F28/L9, 0)</f>
        <v/>
      </c>
      <c r="I28" s="39">
        <f>IF(G28&gt;0, F28/G28, 0)</f>
        <v/>
      </c>
      <c r="J28" s="37" t="n">
        <v>0</v>
      </c>
      <c r="K28" s="37" t="n">
        <v>0</v>
      </c>
      <c r="L28" s="38">
        <f>IF(L9&gt;0, J28/L9, 0)</f>
        <v/>
      </c>
      <c r="M28" s="39">
        <f>IF(K28&gt;0, J28/K28, 0)</f>
        <v/>
      </c>
      <c r="N28" s="37" t="n">
        <v>275</v>
      </c>
      <c r="O28" s="37" t="n">
        <v>0</v>
      </c>
      <c r="P28" s="38">
        <f>IF(L9&gt;0, N28/L9, 0)</f>
        <v/>
      </c>
      <c r="Q28" s="39">
        <f>IF(O28&gt;0, N28/O28, 0)</f>
        <v/>
      </c>
      <c r="R28" s="37" t="n">
        <v>0</v>
      </c>
      <c r="S28" s="37" t="n">
        <v>0</v>
      </c>
      <c r="T28" s="38">
        <f>IF(L9&gt;0, R28/L9, 0)</f>
        <v/>
      </c>
      <c r="U28" s="39">
        <f>IF(S28&gt;0, R28/S28, 0)</f>
        <v/>
      </c>
      <c r="V28" s="37" t="n">
        <v>0</v>
      </c>
      <c r="W28" s="37" t="n">
        <v>0</v>
      </c>
      <c r="X28" s="38">
        <f>IF(L9&gt;0, V28/L9, 0)</f>
        <v/>
      </c>
      <c r="Y28" s="39">
        <f>IF(W28&gt;0, V28/W28, 0)</f>
        <v/>
      </c>
      <c r="Z28" s="37" t="n">
        <v>0</v>
      </c>
      <c r="AA28" s="37" t="n">
        <v>0</v>
      </c>
      <c r="AB28" s="38">
        <f>IF(L9&gt;0, Z28/L9, 0)</f>
        <v/>
      </c>
      <c r="AC28" s="39">
        <f>IF(AA28&gt;0, Z28/AA28, 0)</f>
        <v/>
      </c>
      <c r="AD28" s="40">
        <f>F28+J28+N28+R28+V28+Z28</f>
        <v/>
      </c>
      <c r="AE28" s="40">
        <f>G28+K28+O28+S28+W28+AA28</f>
        <v/>
      </c>
      <c r="AF28" s="41">
        <f>H28+L28+P28+T28+X28+AB28</f>
        <v/>
      </c>
      <c r="AG28" s="42">
        <f>IF(AE28&gt;0, AD28/AE28, 0)</f>
        <v/>
      </c>
    </row>
    <row r="29" ht="19" customHeight="1">
      <c r="A29" s="43" t="n">
        <v>2</v>
      </c>
      <c r="B29" s="43" t="inlineStr">
        <is>
          <t>VG-03</t>
        </is>
      </c>
      <c r="C29" s="44" t="inlineStr">
        <is>
          <t>PAVIMENTADORA VÖGELE SJ 1800-3 / 1800-3i</t>
        </is>
      </c>
      <c r="D29" s="44" t="inlineStr">
        <is>
          <t>ERWIN CUTEÑO HERNANDEZ</t>
        </is>
      </c>
      <c r="E29" s="44" t="inlineStr">
        <is>
          <t>Tendido de Mezcla Asfáltica</t>
        </is>
      </c>
      <c r="F29" s="45" t="n">
        <v>70</v>
      </c>
      <c r="G29" s="45" t="n">
        <v>0</v>
      </c>
      <c r="H29" s="46">
        <f>IF(L10&gt;0, F29/L10, 0)</f>
        <v/>
      </c>
      <c r="I29" s="47">
        <f>IF(G29&gt;0, F29/G29, 0)</f>
        <v/>
      </c>
      <c r="J29" s="45" t="n">
        <v>0</v>
      </c>
      <c r="K29" s="45" t="n">
        <v>0</v>
      </c>
      <c r="L29" s="46">
        <f>IF(L10&gt;0, J29/L10, 0)</f>
        <v/>
      </c>
      <c r="M29" s="47">
        <f>IF(K29&gt;0, J29/K29, 0)</f>
        <v/>
      </c>
      <c r="N29" s="45" t="n">
        <v>275</v>
      </c>
      <c r="O29" s="45" t="n">
        <v>0</v>
      </c>
      <c r="P29" s="46">
        <f>IF(L10&gt;0, N29/L10, 0)</f>
        <v/>
      </c>
      <c r="Q29" s="47">
        <f>IF(O29&gt;0, N29/O29, 0)</f>
        <v/>
      </c>
      <c r="R29" s="45" t="n">
        <v>0</v>
      </c>
      <c r="S29" s="45" t="n">
        <v>0</v>
      </c>
      <c r="T29" s="46">
        <f>IF(L10&gt;0, R29/L10, 0)</f>
        <v/>
      </c>
      <c r="U29" s="47">
        <f>IF(S29&gt;0, R29/S29, 0)</f>
        <v/>
      </c>
      <c r="V29" s="45" t="n">
        <v>0</v>
      </c>
      <c r="W29" s="45" t="n">
        <v>0</v>
      </c>
      <c r="X29" s="46">
        <f>IF(L10&gt;0, V29/L10, 0)</f>
        <v/>
      </c>
      <c r="Y29" s="47">
        <f>IF(W29&gt;0, V29/W29, 0)</f>
        <v/>
      </c>
      <c r="Z29" s="45" t="n">
        <v>0</v>
      </c>
      <c r="AA29" s="45" t="n">
        <v>0</v>
      </c>
      <c r="AB29" s="46">
        <f>IF(L10&gt;0, Z29/L10, 0)</f>
        <v/>
      </c>
      <c r="AC29" s="47">
        <f>IF(AA29&gt;0, Z29/AA29, 0)</f>
        <v/>
      </c>
      <c r="AD29" s="40">
        <f>F29+J29+N29+R29+V29+Z29</f>
        <v/>
      </c>
      <c r="AE29" s="40">
        <f>G29+K29+O29+S29+W29+AA29</f>
        <v/>
      </c>
      <c r="AF29" s="41">
        <f>H29+L29+P29+T29+X29+AB29</f>
        <v/>
      </c>
      <c r="AG29" s="42">
        <f>IF(AE29&gt;0, AD29/AE29, 0)</f>
        <v/>
      </c>
    </row>
    <row r="30" ht="19" customHeight="1">
      <c r="A30" s="35" t="n">
        <v>3</v>
      </c>
      <c r="B30" s="35" t="inlineStr">
        <is>
          <t>TD-01</t>
    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 r="E30" s="36" t="inlineStr">
        <is>
          <t>Compactación Tándem Primaria</t>
        </is>
      </c>
      <c r="F30" s="37" t="n">
        <v>50</v>
      </c>
      <c r="G30" s="37" t="n">
        <v>0</v>
      </c>
      <c r="H30" s="38">
        <f>IF(L11&gt;0, F30/L11, 0)</f>
        <v/>
      </c>
      <c r="I30" s="39">
        <f>IF(G30&gt;0, F30/G30, 0)</f>
        <v/>
      </c>
      <c r="J30" s="37" t="n">
        <v>0</v>
      </c>
      <c r="K30" s="37" t="n">
        <v>0</v>
      </c>
      <c r="L30" s="38">
        <f>IF(L11&gt;0, J30/L11, 0)</f>
        <v/>
      </c>
      <c r="M30" s="39">
        <f>IF(K30&gt;0, J30/K30, 0)</f>
        <v/>
      </c>
      <c r="N30" s="37" t="n">
        <v>0</v>
      </c>
      <c r="O30" s="37" t="n">
        <v>0</v>
      </c>
      <c r="P30" s="38">
        <f>IF(L11&gt;0, N30/L11, 0)</f>
        <v/>
      </c>
      <c r="Q30" s="39">
        <f>IF(O30&gt;0, N30/O30, 0)</f>
        <v/>
      </c>
      <c r="R30" s="37" t="n">
        <v>0</v>
      </c>
      <c r="S30" s="37" t="n">
        <v>0</v>
      </c>
      <c r="T30" s="38">
        <f>IF(L11&gt;0, R30/L11, 0)</f>
        <v/>
      </c>
      <c r="U30" s="39">
        <f>IF(S30&gt;0, R30/S30, 0)</f>
        <v/>
      </c>
      <c r="V30" s="37" t="n">
        <v>0</v>
      </c>
      <c r="W30" s="37" t="n">
        <v>0</v>
      </c>
      <c r="X30" s="38">
        <f>IF(L11&gt;0, V30/L11, 0)</f>
        <v/>
      </c>
      <c r="Y30" s="39">
        <f>IF(W30&gt;0, V30/W30, 0)</f>
        <v/>
      </c>
      <c r="Z30" s="37" t="n">
        <v>0</v>
      </c>
      <c r="AA30" s="37" t="n">
        <v>0</v>
      </c>
      <c r="AB30" s="38">
        <f>IF(L11&gt;0, Z30/L11, 0)</f>
        <v/>
      </c>
      <c r="AC30" s="39">
        <f>IF(AA30&gt;0, Z30/AA30, 0)</f>
        <v/>
      </c>
      <c r="AD30" s="40">
        <f>F30+J30+N30+R30+V30+Z30</f>
        <v/>
      </c>
      <c r="AE30" s="40">
        <f>G30+K30+O30+S30+W30+AA30</f>
        <v/>
      </c>
      <c r="AF30" s="41">
        <f>H30+L30+P30+T30+X30+AB30</f>
        <v/>
      </c>
      <c r="AG30" s="42">
        <f>IF(AE30&gt;0, AD30/AE30, 0)</f>
        <v/>
      </c>
    </row>
    <row r="31" ht="19" customHeight="1">
      <c r="A31" s="43" t="n">
        <v>4</v>
      </c>
      <c r="B31" s="43" t="inlineStr">
        <is>
          <t>VC-01</t>
        </is>
      </c>
      <c r="C31" s="44" t="inlineStr">
        <is>
          <t>VIBROCOMPACTADOR CATERPILLAR CB66B</t>
        </is>
      </c>
      <c r="D31" s="44" t="inlineStr">
        <is>
          <t>ALEXIS RENDON DOMINGUEZ</t>
        </is>
      </c>
      <c r="E31" s="44" t="inlineStr">
        <is>
          <t>Compactación Tándem Pesada / Acabado</t>
        </is>
      </c>
      <c r="F31" s="45" t="n">
        <v>0</v>
      </c>
      <c r="G31" s="45" t="n">
        <v>0</v>
      </c>
      <c r="H31" s="46">
        <f>IF(L12&gt;0, F31/L12, 0)</f>
        <v/>
      </c>
      <c r="I31" s="47">
        <f>IF(G31&gt;0, F31/G31, 0)</f>
        <v/>
      </c>
      <c r="J31" s="45" t="n">
        <v>0</v>
      </c>
      <c r="K31" s="45" t="n">
        <v>0</v>
      </c>
      <c r="L31" s="46">
        <f>IF(L12&gt;0, J31/L12, 0)</f>
        <v/>
      </c>
      <c r="M31" s="47">
        <f>IF(K31&gt;0, J31/K31, 0)</f>
        <v/>
      </c>
      <c r="N31" s="45" t="n">
        <v>100</v>
      </c>
      <c r="O31" s="45" t="n">
        <v>0</v>
      </c>
      <c r="P31" s="46">
        <f>IF(L12&gt;0, N31/L12, 0)</f>
        <v/>
      </c>
      <c r="Q31" s="47">
        <f>IF(O31&gt;0, N31/O31, 0)</f>
        <v/>
      </c>
      <c r="R31" s="45" t="n">
        <v>0</v>
      </c>
      <c r="S31" s="45" t="n">
        <v>0</v>
      </c>
      <c r="T31" s="46">
        <f>IF(L12&gt;0, R31/L12, 0)</f>
        <v/>
      </c>
      <c r="U31" s="47">
        <f>IF(S31&gt;0, R31/S31, 0)</f>
        <v/>
      </c>
      <c r="V31" s="45" t="n">
        <v>0</v>
      </c>
      <c r="W31" s="45" t="n">
        <v>0</v>
      </c>
      <c r="X31" s="46">
        <f>IF(L12&gt;0, V31/L12, 0)</f>
        <v/>
      </c>
      <c r="Y31" s="47">
        <f>IF(W31&gt;0, V31/W31, 0)</f>
        <v/>
      </c>
      <c r="Z31" s="45" t="n">
        <v>0</v>
      </c>
      <c r="AA31" s="45" t="n">
        <v>0</v>
      </c>
      <c r="AB31" s="46">
        <f>IF(L12&gt;0, Z31/L12, 0)</f>
        <v/>
      </c>
      <c r="AC31" s="47">
        <f>IF(AA31&gt;0, Z31/AA31, 0)</f>
        <v/>
      </c>
      <c r="AD31" s="40">
        <f>F31+J31+N31+R31+V31+Z31</f>
        <v/>
      </c>
      <c r="AE31" s="40">
        <f>G31+K31+O31+S31+W31+AA31</f>
        <v/>
      </c>
      <c r="AF31" s="41">
        <f>H31+L31+P31+T31+X31+AB31</f>
        <v/>
      </c>
      <c r="AG31" s="42">
        <f>IF(AE31&gt;0, AD31/AE31, 0)</f>
        <v/>
      </c>
    </row>
    <row r="32" ht="19" customHeight="1">
      <c r="A32" s="35" t="n">
        <v>5</v>
      </c>
      <c r="B32" s="35" t="inlineStr">
        <is>
          <t>NM-02</t>
        </is>
      </c>
      <c r="C32" s="36" t="inlineStr">
        <is>
          <t>COMPACTADOR NEUMÁTICO VOLVO PT-240R</t>
        </is>
      </c>
      <c r="D32" s="36" t="inlineStr">
        <is>
          <t>JOSE CARLOS ROMERO TELLEZ</t>
        </is>
      </c>
      <c r="E32" s="36" t="inlineStr">
        <is>
          <t>Compactación Neumática / Sellado</t>
        </is>
      </c>
      <c r="F32" s="37" t="n">
        <v>0</v>
      </c>
      <c r="G32" s="37" t="n">
        <v>0</v>
      </c>
      <c r="H32" s="38">
        <f>IF(L13&gt;0, F32/L13, 0)</f>
        <v/>
      </c>
      <c r="I32" s="39">
        <f>IF(G32&gt;0, F32/G32, 0)</f>
        <v/>
      </c>
      <c r="J32" s="37" t="n">
        <v>0</v>
      </c>
      <c r="K32" s="37" t="n">
        <v>0</v>
      </c>
      <c r="L32" s="38">
        <f>IF(L13&gt;0, J32/L13, 0)</f>
        <v/>
      </c>
      <c r="M32" s="39">
        <f>IF(K32&gt;0, J32/K32, 0)</f>
        <v/>
      </c>
      <c r="N32" s="37" t="n">
        <v>0</v>
      </c>
      <c r="O32" s="37" t="n">
        <v>0</v>
      </c>
      <c r="P32" s="38">
        <f>IF(L13&gt;0, N32/L13, 0)</f>
        <v/>
      </c>
      <c r="Q32" s="39">
        <f>IF(O32&gt;0, N32/O32, 0)</f>
        <v/>
      </c>
      <c r="R32" s="37" t="n">
        <v>0</v>
      </c>
      <c r="S32" s="37" t="n">
        <v>0</v>
      </c>
      <c r="T32" s="38">
        <f>IF(L13&gt;0, R32/L13, 0)</f>
        <v/>
      </c>
      <c r="U32" s="39">
        <f>IF(S32&gt;0, R32/S32, 0)</f>
        <v/>
      </c>
      <c r="V32" s="37" t="n">
        <v>0</v>
      </c>
      <c r="W32" s="37" t="n">
        <v>0</v>
      </c>
      <c r="X32" s="38">
        <f>IF(L13&gt;0, V32/L13, 0)</f>
        <v/>
      </c>
      <c r="Y32" s="39">
        <f>IF(W32&gt;0, V32/W32, 0)</f>
        <v/>
      </c>
      <c r="Z32" s="37" t="n">
        <v>0</v>
      </c>
      <c r="AA32" s="37" t="n">
        <v>0</v>
      </c>
      <c r="AB32" s="38">
        <f>IF(L13&gt;0, Z32/L13, 0)</f>
        <v/>
      </c>
      <c r="AC32" s="39">
        <f>IF(AA32&gt;0, Z32/AA32, 0)</f>
        <v/>
      </c>
      <c r="AD32" s="40">
        <f>F32+J32+N32+R32+V32+Z32</f>
        <v/>
      </c>
      <c r="AE32" s="40">
        <f>G32+K32+O32+S32+W32+AA32</f>
        <v/>
      </c>
      <c r="AF32" s="41">
        <f>H32+L32+P32+T32+X32+AB32</f>
        <v/>
      </c>
      <c r="AG32" s="42">
        <f>IF(AE32&gt;0, AD32/AE32, 0)</f>
        <v/>
      </c>
    </row>
    <row r="33" ht="19" customHeight="1">
      <c r="A33" s="43" t="n">
        <v>6</v>
      </c>
      <c r="B33" s="43" t="inlineStr">
        <is>
          <t>NM-08</t>
        </is>
      </c>
      <c r="C33" s="44" t="inlineStr">
        <is>
          <t>COMPACTADOR NEUMÁTICO PF-300B</t>
        </is>
      </c>
      <c r="D33" s="44" t="inlineStr">
        <is>
          <t>NOLVIN DE JESUS PEREZ GOMEZ</t>
        </is>
      </c>
      <c r="E33" s="44" t="inlineStr">
        <is>
          <t>Compactación Neumática / Acabado</t>
        </is>
      </c>
      <c r="F33" s="45" t="n">
        <v>30</v>
      </c>
      <c r="G33" s="45" t="n">
        <v>0</v>
      </c>
      <c r="H33" s="46">
        <f>IF(L14&gt;0, F33/L14, 0)</f>
        <v/>
      </c>
      <c r="I33" s="47">
        <f>IF(G33&gt;0, F33/G33, 0)</f>
        <v/>
      </c>
      <c r="J33" s="45" t="n">
        <v>0</v>
      </c>
      <c r="K33" s="45" t="n">
        <v>0</v>
      </c>
      <c r="L33" s="46">
        <f>IF(L14&gt;0, J33/L14, 0)</f>
        <v/>
      </c>
      <c r="M33" s="47">
        <f>IF(K33&gt;0, J33/K33, 0)</f>
        <v/>
      </c>
      <c r="N33" s="45" t="n">
        <v>75</v>
      </c>
      <c r="O33" s="45" t="n">
        <v>0</v>
      </c>
      <c r="P33" s="46">
        <f>IF(L14&gt;0, N33/L14, 0)</f>
        <v/>
      </c>
      <c r="Q33" s="47">
        <f>IF(O33&gt;0, N33/O33, 0)</f>
        <v/>
      </c>
      <c r="R33" s="45" t="n">
        <v>0</v>
      </c>
      <c r="S33" s="45" t="n">
        <v>0</v>
      </c>
      <c r="T33" s="46">
        <f>IF(L14&gt;0, R33/L14, 0)</f>
        <v/>
      </c>
      <c r="U33" s="47">
        <f>IF(S33&gt;0, R33/S33, 0)</f>
        <v/>
      </c>
      <c r="V33" s="45" t="n">
        <v>0</v>
      </c>
      <c r="W33" s="45" t="n">
        <v>0</v>
      </c>
      <c r="X33" s="46">
        <f>IF(L14&gt;0, V33/L14, 0)</f>
        <v/>
      </c>
      <c r="Y33" s="47">
        <f>IF(W33&gt;0, V33/W33, 0)</f>
        <v/>
      </c>
      <c r="Z33" s="45" t="n">
        <v>0</v>
      </c>
      <c r="AA33" s="45" t="n">
        <v>0</v>
      </c>
      <c r="AB33" s="46">
        <f>IF(L14&gt;0, Z33/L14, 0)</f>
        <v/>
      </c>
      <c r="AC33" s="47">
        <f>IF(AA33&gt;0, Z33/AA33, 0)</f>
        <v/>
      </c>
      <c r="AD33" s="40">
        <f>F33+J33+N33+R33+V33+Z33</f>
        <v/>
      </c>
      <c r="AE33" s="40">
        <f>G33+K33+O33+S33+W33+AA33</f>
        <v/>
      </c>
      <c r="AF33" s="41">
        <f>H33+L33+P33+T33+X33+AB33</f>
        <v/>
      </c>
      <c r="AG33" s="42">
        <f>IF(AE33&gt;0, AD33/AE33, 0)</f>
        <v/>
      </c>
    </row>
    <row r="34" ht="19" customHeight="1">
      <c r="A34" s="35" t="n">
        <v>7</v>
      </c>
      <c r="B34" s="35" t="inlineStr">
        <is>
          <t>BR-02</t>
        </is>
      </c>
      <c r="C34" s="36" t="inlineStr">
        <is>
          <t>BARREDORA INDUSTRIAL LAYMOR SM400</t>
        </is>
      </c>
      <c r="D34" s="36" t="inlineStr">
        <is>
          <t>EDGAR ROSALES MARTINEZ</t>
        </is>
      </c>
      <c r="E34" s="36" t="inlineStr">
        <is>
          <t>Limpieza y Barrido Previo</t>
        </is>
      </c>
      <c r="F34" s="37" t="n">
        <v>0</v>
      </c>
      <c r="G34" s="37" t="n">
        <v>0</v>
      </c>
      <c r="H34" s="38">
        <f>IF(L15&gt;0, F34/L15, 0)</f>
        <v/>
      </c>
      <c r="I34" s="39">
        <f>IF(G34&gt;0, F34/G34, 0)</f>
        <v/>
      </c>
      <c r="J34" s="37" t="n">
        <v>0</v>
      </c>
      <c r="K34" s="37" t="n">
        <v>0</v>
      </c>
      <c r="L34" s="38">
        <f>IF(L15&gt;0, J34/L15, 0)</f>
        <v/>
      </c>
      <c r="M34" s="39">
        <f>IF(K34&gt;0, J34/K34, 0)</f>
        <v/>
      </c>
      <c r="N34" s="37" t="n">
        <v>50</v>
      </c>
      <c r="O34" s="37" t="n">
        <v>0</v>
      </c>
      <c r="P34" s="38">
        <f>IF(L15&gt;0, N34/L15, 0)</f>
        <v/>
      </c>
      <c r="Q34" s="39">
        <f>IF(O34&gt;0, N34/O34, 0)</f>
        <v/>
      </c>
      <c r="R34" s="37" t="n">
        <v>0</v>
      </c>
      <c r="S34" s="37" t="n">
        <v>0</v>
      </c>
      <c r="T34" s="38">
        <f>IF(L15&gt;0, R34/L15, 0)</f>
        <v/>
      </c>
      <c r="U34" s="39">
        <f>IF(S34&gt;0, R34/S34, 0)</f>
        <v/>
      </c>
      <c r="V34" s="37" t="n">
        <v>0</v>
      </c>
      <c r="W34" s="37" t="n">
        <v>0</v>
      </c>
      <c r="X34" s="38">
        <f>IF(L15&gt;0, V34/L15, 0)</f>
        <v/>
      </c>
      <c r="Y34" s="39">
        <f>IF(W34&gt;0, V34/W34, 0)</f>
        <v/>
      </c>
      <c r="Z34" s="37" t="n">
        <v>0</v>
      </c>
      <c r="AA34" s="37" t="n">
        <v>0</v>
      </c>
      <c r="AB34" s="38">
        <f>IF(L15&gt;0, Z34/L15, 0)</f>
        <v/>
      </c>
      <c r="AC34" s="39">
        <f>IF(AA34&gt;0, Z34/AA34, 0)</f>
        <v/>
      </c>
      <c r="AD34" s="40">
        <f>F34+J34+N34+R34+V34+Z34</f>
        <v/>
      </c>
      <c r="AE34" s="40">
        <f>G34+K34+O34+S34+W34+AA34</f>
        <v/>
      </c>
      <c r="AF34" s="41">
        <f>H34+L34+P34+T34+X34+AB34</f>
        <v/>
      </c>
      <c r="AG34" s="42">
        <f>IF(AE34&gt;0, AD34/AE34, 0)</f>
        <v/>
      </c>
    </row>
    <row r="35" ht="19" customHeight="1">
      <c r="A35" s="43" t="n">
        <v>8</v>
      </c>
      <c r="B35" s="43" t="inlineStr">
        <is>
          <t>BR-05</t>
        </is>
      </c>
      <c r="C35" s="44" t="inlineStr">
        <is>
          <t>BARREDORA BROCE BROOM KR350 / RJ350</t>
        </is>
      </c>
      <c r="D35" s="44" t="inlineStr">
        <is>
          <t>CUADRILLA DE BARRIDO</t>
        </is>
      </c>
      <c r="E35" s="44" t="inlineStr">
        <is>
          <t>Barrido de Calzada y Apoyo</t>
        </is>
      </c>
      <c r="F35" s="45" t="n">
        <v>0</v>
      </c>
      <c r="G35" s="45" t="n">
        <v>0</v>
      </c>
      <c r="H35" s="46">
        <f>IF(L16&gt;0, F35/L16, 0)</f>
        <v/>
      </c>
      <c r="I35" s="47">
        <f>IF(G35&gt;0, F35/G35, 0)</f>
        <v/>
      </c>
      <c r="J35" s="45" t="n">
        <v>0</v>
      </c>
      <c r="K35" s="45" t="n">
        <v>0</v>
      </c>
      <c r="L35" s="46">
        <f>IF(L16&gt;0, J35/L16, 0)</f>
        <v/>
      </c>
      <c r="M35" s="47">
        <f>IF(K35&gt;0, J35/K35, 0)</f>
        <v/>
      </c>
      <c r="N35" s="45" t="n">
        <v>0</v>
      </c>
      <c r="O35" s="45" t="n">
        <v>0</v>
      </c>
      <c r="P35" s="46">
        <f>IF(L16&gt;0, N35/L16, 0)</f>
        <v/>
      </c>
      <c r="Q35" s="47">
        <f>IF(O35&gt;0, N35/O35, 0)</f>
        <v/>
      </c>
      <c r="R35" s="45" t="n">
        <v>0</v>
      </c>
      <c r="S35" s="45" t="n">
        <v>0</v>
      </c>
      <c r="T35" s="46">
        <f>IF(L16&gt;0, R35/L16, 0)</f>
        <v/>
      </c>
      <c r="U35" s="47">
        <f>IF(S35&gt;0, R35/S35, 0)</f>
        <v/>
      </c>
      <c r="V35" s="45" t="n">
        <v>0</v>
      </c>
      <c r="W35" s="45" t="n">
        <v>0</v>
      </c>
      <c r="X35" s="46">
        <f>IF(L16&gt;0, V35/L16, 0)</f>
        <v/>
      </c>
      <c r="Y35" s="47">
        <f>IF(W35&gt;0, V35/W35, 0)</f>
        <v/>
      </c>
      <c r="Z35" s="45" t="n">
        <v>0</v>
      </c>
      <c r="AA35" s="45" t="n">
        <v>0</v>
      </c>
      <c r="AB35" s="46">
        <f>IF(L16&gt;0, Z35/L16, 0)</f>
        <v/>
      </c>
      <c r="AC35" s="47">
        <f>IF(AA35&gt;0, Z35/AA35, 0)</f>
        <v/>
      </c>
      <c r="AD35" s="40">
        <f>F35+J35+N35+R35+V35+Z35</f>
        <v/>
      </c>
      <c r="AE35" s="40">
        <f>G35+K35+O35+S35+W35+AA35</f>
        <v/>
      </c>
      <c r="AF35" s="41">
        <f>H35+L35+P35+T35+X35+AB35</f>
        <v/>
      </c>
      <c r="AG35" s="42">
        <f>IF(AE35&gt;0, AD35/AE35, 0)</f>
        <v/>
      </c>
    </row>
    <row r="36" ht="19" customHeight="1">
      <c r="A36" s="35" t="n">
        <v>9</v>
      </c>
      <c r="B36" s="35" t="inlineStr">
        <is>
          <t>RT-02</t>
        </is>
      </c>
      <c r="C36" s="36" t="inlineStr">
        <is>
          <t>RETROEXCAVADORA JOHN DEERE 310K / CASE 580N</t>
        </is>
      </c>
      <c r="D36" s="36" t="inlineStr">
        <is>
          <t>ADOLFO NAVA LOPEZ</t>
        </is>
      </c>
      <c r="E36" s="36" t="inlineStr">
        <is>
          <t>Carga Fresado y Derrumbes</t>
        </is>
      </c>
      <c r="F36" s="37" t="n">
        <v>50</v>
      </c>
      <c r="G36" s="37" t="n">
        <v>0</v>
      </c>
      <c r="H36" s="38">
        <f>IF(L17&gt;0, F36/L17, 0)</f>
        <v/>
      </c>
      <c r="I36" s="39">
        <f>IF(G36&gt;0, F36/G36, 0)</f>
        <v/>
      </c>
      <c r="J36" s="37" t="n">
        <v>0</v>
      </c>
      <c r="K36" s="37" t="n">
        <v>0</v>
      </c>
      <c r="L36" s="38">
        <f>IF(L17&gt;0, J36/L17, 0)</f>
        <v/>
      </c>
      <c r="M36" s="39">
        <f>IF(K36&gt;0, J36/K36, 0)</f>
        <v/>
      </c>
      <c r="N36" s="37" t="n">
        <v>100</v>
      </c>
      <c r="O36" s="37" t="n">
        <v>0</v>
      </c>
      <c r="P36" s="38">
        <f>IF(L17&gt;0, N36/L17, 0)</f>
        <v/>
      </c>
      <c r="Q36" s="39">
        <f>IF(O36&gt;0, N36/O36, 0)</f>
        <v/>
      </c>
      <c r="R36" s="37" t="n">
        <v>0</v>
      </c>
      <c r="S36" s="37" t="n">
        <v>0</v>
      </c>
      <c r="T36" s="38">
        <f>IF(L17&gt;0, R36/L17, 0)</f>
        <v/>
      </c>
      <c r="U36" s="39">
        <f>IF(S36&gt;0, R36/S36, 0)</f>
        <v/>
      </c>
      <c r="V36" s="37" t="n">
        <v>0</v>
      </c>
      <c r="W36" s="37" t="n">
        <v>0</v>
      </c>
      <c r="X36" s="38">
        <f>IF(L17&gt;0, V36/L17, 0)</f>
        <v/>
      </c>
      <c r="Y36" s="39">
        <f>IF(W36&gt;0, V36/W36, 0)</f>
        <v/>
      </c>
      <c r="Z36" s="37" t="n">
        <v>0</v>
      </c>
      <c r="AA36" s="37" t="n">
        <v>0</v>
      </c>
      <c r="AB36" s="38">
        <f>IF(L17&gt;0, Z36/L17, 0)</f>
        <v/>
      </c>
      <c r="AC36" s="39">
        <f>IF(AA36&gt;0, Z36/AA36, 0)</f>
        <v/>
      </c>
      <c r="AD36" s="40">
        <f>F36+J36+N36+R36+V36+Z36</f>
        <v/>
      </c>
      <c r="AE36" s="40">
        <f>G36+K36+O36+S36+W36+AA36</f>
        <v/>
      </c>
      <c r="AF36" s="41">
        <f>H36+L36+P36+T36+X36+AB36</f>
        <v/>
      </c>
      <c r="AG36" s="42">
        <f>IF(AE36&gt;0, AD36/AE36, 0)</f>
        <v/>
      </c>
    </row>
    <row r="37" ht="19" customHeight="1">
      <c r="A37" s="43" t="n">
        <v>10</v>
      </c>
      <c r="B37" s="43" t="inlineStr">
        <is>
          <t>PT-01</t>
        </is>
      </c>
      <c r="C37" s="44" t="inlineStr">
        <is>
          <t>PETROLIZADORA FORD F800 (IMPACTO 04)</t>
        </is>
      </c>
      <c r="D37" s="44" t="inlineStr">
        <is>
          <t>ELTHON EDUARDO MARTINEZ GOMORA</t>
        </is>
      </c>
      <c r="E37" s="44" t="inlineStr">
        <is>
          <t>Riego de Liga / Emulsión Asfáltica</t>
        </is>
      </c>
      <c r="F37" s="45" t="n">
        <v>0</v>
      </c>
      <c r="G37" s="45" t="n">
        <v>0</v>
      </c>
      <c r="H37" s="46">
        <f>IF(L18&gt;0, F37/L18, 0)</f>
        <v/>
      </c>
      <c r="I37" s="47">
        <f>IF(G37&gt;0, F37/G37, 0)</f>
        <v/>
      </c>
      <c r="J37" s="45" t="n">
        <v>0</v>
      </c>
      <c r="K37" s="45" t="n">
        <v>0</v>
      </c>
      <c r="L37" s="46">
        <f>IF(L18&gt;0, J37/L18, 0)</f>
        <v/>
      </c>
      <c r="M37" s="47">
        <f>IF(K37&gt;0, J37/K37, 0)</f>
        <v/>
      </c>
      <c r="N37" s="45" t="n">
        <v>50</v>
      </c>
      <c r="O37" s="45" t="n">
        <v>0</v>
      </c>
      <c r="P37" s="46">
        <f>IF(L18&gt;0, N37/L18, 0)</f>
        <v/>
      </c>
      <c r="Q37" s="47">
        <f>IF(O37&gt;0, N37/O37, 0)</f>
        <v/>
      </c>
      <c r="R37" s="45" t="n">
        <v>0</v>
      </c>
      <c r="S37" s="45" t="n">
        <v>0</v>
      </c>
      <c r="T37" s="46">
        <f>IF(L18&gt;0, R37/L18, 0)</f>
        <v/>
      </c>
      <c r="U37" s="47">
        <f>IF(S37&gt;0, R37/S37, 0)</f>
        <v/>
      </c>
      <c r="V37" s="45" t="n">
        <v>0</v>
      </c>
      <c r="W37" s="45" t="n">
        <v>0</v>
      </c>
      <c r="X37" s="46">
        <f>IF(L18&gt;0, V37/L18, 0)</f>
        <v/>
      </c>
      <c r="Y37" s="47">
        <f>IF(W37&gt;0, V37/W37, 0)</f>
        <v/>
      </c>
      <c r="Z37" s="45" t="n">
        <v>0</v>
      </c>
      <c r="AA37" s="45" t="n">
        <v>0</v>
      </c>
      <c r="AB37" s="46">
        <f>IF(L18&gt;0, Z37/L18, 0)</f>
        <v/>
      </c>
      <c r="AC37" s="47">
        <f>IF(AA37&gt;0, Z37/AA37, 0)</f>
        <v/>
      </c>
      <c r="AD37" s="40">
        <f>F37+J37+N37+R37+V37+Z37</f>
        <v/>
      </c>
      <c r="AE37" s="40">
        <f>G37+K37+O37+S37+W37+AA37</f>
        <v/>
      </c>
      <c r="AF37" s="41">
        <f>H37+L37+P37+T37+X37+AB37</f>
        <v/>
      </c>
      <c r="AG37" s="42">
        <f>IF(AE37&gt;0, AD37/AE37, 0)</f>
        <v/>
      </c>
    </row>
    <row r="38" ht="19" customHeight="1">
      <c r="A38" s="35" t="n">
        <v>11</v>
      </c>
      <c r="B38" s="35" t="inlineStr">
        <is>
          <t>CPR-01</t>
        </is>
      </c>
      <c r="C38" s="36" t="inlineStr">
        <is>
          <t>COMPRESOR SULLIVAN PALATEK D2010</t>
        </is>
      </c>
      <c r="D38" s="36" t="inlineStr">
        <is>
          <t>CUADRILLA DE SOPLETEADO</t>
        </is>
      </c>
      <c r="E38" s="36" t="inlineStr">
        <is>
          <t>Sopleteado de Superficie y Juntas</t>
        </is>
      </c>
      <c r="F38" s="37" t="n">
        <v>0</v>
      </c>
      <c r="G38" s="37" t="n">
        <v>0</v>
      </c>
      <c r="H38" s="38">
        <f>IF(L19&gt;0, F38/L19, 0)</f>
        <v/>
      </c>
      <c r="I38" s="39">
        <f>IF(G38&gt;0, F38/G38, 0)</f>
        <v/>
      </c>
      <c r="J38" s="37" t="n">
        <v>0</v>
      </c>
      <c r="K38" s="37" t="n">
        <v>0</v>
      </c>
      <c r="L38" s="38">
        <f>IF(L19&gt;0, J38/L19, 0)</f>
        <v/>
      </c>
      <c r="M38" s="39">
        <f>IF(K38&gt;0, J38/K38, 0)</f>
        <v/>
      </c>
      <c r="N38" s="37" t="n">
        <v>0</v>
      </c>
      <c r="O38" s="37" t="n">
        <v>0</v>
      </c>
      <c r="P38" s="38">
        <f>IF(L19&gt;0, N38/L19, 0)</f>
        <v/>
      </c>
      <c r="Q38" s="39">
        <f>IF(O38&gt;0, N38/O38, 0)</f>
        <v/>
      </c>
      <c r="R38" s="37" t="n">
        <v>0</v>
      </c>
      <c r="S38" s="37" t="n">
        <v>0</v>
      </c>
      <c r="T38" s="38">
        <f>IF(L19&gt;0, R38/L19, 0)</f>
        <v/>
      </c>
      <c r="U38" s="39">
        <f>IF(S38&gt;0, R38/S38, 0)</f>
        <v/>
      </c>
      <c r="V38" s="37" t="n">
        <v>0</v>
      </c>
      <c r="W38" s="37" t="n">
        <v>0</v>
      </c>
      <c r="X38" s="38">
        <f>IF(L19&gt;0, V38/L19, 0)</f>
        <v/>
      </c>
      <c r="Y38" s="39">
        <f>IF(W38&gt;0, V38/W38, 0)</f>
        <v/>
      </c>
      <c r="Z38" s="37" t="n">
        <v>0</v>
      </c>
      <c r="AA38" s="37" t="n">
        <v>0</v>
      </c>
      <c r="AB38" s="38">
        <f>IF(L19&gt;0, Z38/L19, 0)</f>
        <v/>
      </c>
      <c r="AC38" s="39">
        <f>IF(AA38&gt;0, Z38/AA38, 0)</f>
        <v/>
      </c>
      <c r="AD38" s="40">
        <f>F38+J38+N38+R38+V38+Z38</f>
        <v/>
      </c>
      <c r="AE38" s="40">
        <f>G38+K38+O38+S38+W38+AA38</f>
        <v/>
      </c>
      <c r="AF38" s="41">
        <f>H38+L38+P38+T38+X38+AB38</f>
        <v/>
      </c>
      <c r="AG38" s="42">
        <f>IF(AE38&gt;0, AD38/AE38, 0)</f>
        <v/>
      </c>
    </row>
    <row r="39" ht="19" customHeight="1">
      <c r="A39" s="43" t="n">
        <v>12</v>
      </c>
      <c r="B39" s="43" t="inlineStr">
        <is>
          <t>PP-01</t>
        </is>
      </c>
      <c r="C39" s="44" t="inlineStr">
        <is>
          <t>PIPA DE AGUA (IMPACTO 01) FORD</t>
        </is>
      </c>
      <c r="D39" s="44" t="inlineStr">
        <is>
          <t>ALAN ALEXIS GUTIERREZ FLORES</t>
        </is>
      </c>
      <c r="E39" s="44" t="inlineStr">
        <is>
          <t>Enfriamiento Rodillos / Riego</t>
        </is>
      </c>
      <c r="F39" s="45" t="n">
        <v>50</v>
      </c>
      <c r="G39" s="45" t="n">
        <v>0</v>
      </c>
      <c r="H39" s="46">
        <f>IF(L20&gt;0, F39/L20, 0)</f>
        <v/>
      </c>
      <c r="I39" s="47">
        <f>IF(G39&gt;0, F39/G39, 0)</f>
        <v/>
      </c>
      <c r="J39" s="45" t="n">
        <v>0</v>
      </c>
      <c r="K39" s="45" t="n">
        <v>0</v>
      </c>
      <c r="L39" s="46">
        <f>IF(L20&gt;0, J39/L20, 0)</f>
        <v/>
      </c>
      <c r="M39" s="47">
        <f>IF(K39&gt;0, J39/K39, 0)</f>
        <v/>
      </c>
      <c r="N39" s="45" t="n">
        <v>50</v>
      </c>
      <c r="O39" s="45" t="n">
        <v>0</v>
      </c>
      <c r="P39" s="46">
        <f>IF(L20&gt;0, N39/L20, 0)</f>
        <v/>
      </c>
      <c r="Q39" s="47">
        <f>IF(O39&gt;0, N39/O39, 0)</f>
        <v/>
      </c>
      <c r="R39" s="45" t="n">
        <v>0</v>
      </c>
      <c r="S39" s="45" t="n">
        <v>0</v>
      </c>
      <c r="T39" s="46">
        <f>IF(L20&gt;0, R39/L20, 0)</f>
        <v/>
      </c>
      <c r="U39" s="47">
        <f>IF(S39&gt;0, R39/S39, 0)</f>
        <v/>
      </c>
      <c r="V39" s="45" t="n">
        <v>0</v>
      </c>
      <c r="W39" s="45" t="n">
        <v>0</v>
      </c>
      <c r="X39" s="46">
        <f>IF(L20&gt;0, V39/L20, 0)</f>
        <v/>
      </c>
      <c r="Y39" s="47">
        <f>IF(W39&gt;0, V39/W39, 0)</f>
        <v/>
      </c>
      <c r="Z39" s="45" t="n">
        <v>0</v>
      </c>
      <c r="AA39" s="45" t="n">
        <v>0</v>
      </c>
      <c r="AB39" s="46">
        <f>IF(L20&gt;0, Z39/L20, 0)</f>
        <v/>
      </c>
      <c r="AC39" s="47">
        <f>IF(AA39&gt;0, Z39/AA39, 0)</f>
        <v/>
      </c>
      <c r="AD39" s="40">
        <f>F39+J39+N39+R39+V39+Z39</f>
        <v/>
      </c>
      <c r="AE39" s="40">
        <f>G39+K39+O39+S39+W39+AA39</f>
        <v/>
      </c>
      <c r="AF39" s="41">
        <f>H39+L39+P39+T39+X39+AB39</f>
        <v/>
      </c>
      <c r="AG39" s="42">
        <f>IF(AE39&gt;0, AD39/AE39, 0)</f>
        <v/>
      </c>
    </row>
    <row r="40" ht="19" customHeight="1">
      <c r="A40" s="35" t="n">
        <v>13</v>
      </c>
      <c r="B40" s="35" t="inlineStr">
        <is>
          <t>CI-02</t>
        </is>
      </c>
      <c r="C40" s="36" t="inlineStr">
        <is>
          <t>CAMIÓN DE IMPACTO FORD 4300 (ATENUADOR TMA)</t>
        </is>
      </c>
      <c r="D40" s="36" t="inlineStr">
        <is>
          <t>CUADRILLA DE SEGURIDAD VIAL</t>
        </is>
      </c>
      <c r="E40" s="36" t="inlineStr">
        <is>
          <t>Protección Vial / Atenuador Móvil</t>
        </is>
      </c>
      <c r="F40" s="37" t="n">
        <v>0</v>
      </c>
      <c r="G40" s="37" t="n">
        <v>0</v>
      </c>
      <c r="H40" s="38">
        <f>IF(L21&gt;0, F40/L21, 0)</f>
        <v/>
      </c>
      <c r="I40" s="39">
        <f>IF(G40&gt;0, F40/G40, 0)</f>
        <v/>
      </c>
      <c r="J40" s="37" t="n">
        <v>0</v>
      </c>
      <c r="K40" s="37" t="n">
        <v>0</v>
      </c>
      <c r="L40" s="38">
        <f>IF(L21&gt;0, J40/L21, 0)</f>
        <v/>
      </c>
      <c r="M40" s="39">
        <f>IF(K40&gt;0, J40/K40, 0)</f>
        <v/>
      </c>
      <c r="N40" s="37" t="n">
        <v>0</v>
      </c>
      <c r="O40" s="37" t="n">
        <v>0</v>
      </c>
      <c r="P40" s="38">
        <f>IF(L21&gt;0, N40/L21, 0)</f>
        <v/>
      </c>
      <c r="Q40" s="39">
        <f>IF(O40&gt;0, N40/O40, 0)</f>
        <v/>
      </c>
      <c r="R40" s="37" t="n">
        <v>0</v>
      </c>
      <c r="S40" s="37" t="n">
        <v>0</v>
      </c>
      <c r="T40" s="38">
        <f>IF(L21&gt;0, R40/L21, 0)</f>
        <v/>
      </c>
      <c r="U40" s="39">
        <f>IF(S40&gt;0, R40/S40, 0)</f>
        <v/>
      </c>
      <c r="V40" s="37" t="n">
        <v>0</v>
      </c>
      <c r="W40" s="37" t="n">
        <v>0</v>
      </c>
      <c r="X40" s="38">
        <f>IF(L21&gt;0, V40/L21, 0)</f>
        <v/>
      </c>
      <c r="Y40" s="39">
        <f>IF(W40&gt;0, V40/W40, 0)</f>
        <v/>
      </c>
      <c r="Z40" s="37" t="n">
        <v>0</v>
      </c>
      <c r="AA40" s="37" t="n">
        <v>0</v>
      </c>
      <c r="AB40" s="38">
        <f>IF(L21&gt;0, Z40/L21, 0)</f>
        <v/>
      </c>
      <c r="AC40" s="39">
        <f>IF(AA40&gt;0, Z40/AA40, 0)</f>
        <v/>
      </c>
      <c r="AD40" s="40">
        <f>F40+J40+N40+R40+V40+Z40</f>
        <v/>
      </c>
      <c r="AE40" s="40">
        <f>G40+K40+O40+S40+W40+AA40</f>
        <v/>
      </c>
      <c r="AF40" s="41">
        <f>H40+L40+P40+T40+X40+AB40</f>
        <v/>
      </c>
      <c r="AG40" s="42">
        <f>IF(AE40&gt;0, AD40/AE40, 0)</f>
        <v/>
      </c>
    </row>
    <row r="41" ht="19" customHeight="1">
      <c r="A41" s="43" t="n">
        <v>14</v>
      </c>
      <c r="B41" s="43" t="inlineStr">
        <is>
          <t>TL-01</t>
        </is>
      </c>
      <c r="C41" s="44" t="inlineStr">
        <is>
          <t>TORRE DE LUCES MAXILIGHT / APOYO NOCTURNO</t>
        </is>
      </c>
      <c r="D41" s="44" t="inlineStr">
        <is>
          <t>CUADRILLA NOCTURNA</t>
        </is>
      </c>
      <c r="E41" s="44" t="inlineStr">
        <is>
          <t>Iluminación Nocturna / Cuadrilla</t>
        </is>
      </c>
      <c r="F41" s="45" t="n">
        <v>15</v>
      </c>
      <c r="G41" s="45" t="n">
        <v>0</v>
      </c>
      <c r="H41" s="46">
        <f>IF(L22&gt;0, F41/L22, 0)</f>
        <v/>
      </c>
      <c r="I41" s="47">
        <f>IF(G41&gt;0, F41/G41, 0)</f>
        <v/>
      </c>
      <c r="J41" s="45" t="n">
        <v>0</v>
      </c>
      <c r="K41" s="45" t="n">
        <v>0</v>
      </c>
      <c r="L41" s="46">
        <f>IF(L22&gt;0, J41/L22, 0)</f>
        <v/>
      </c>
      <c r="M41" s="47">
        <f>IF(K41&gt;0, J41/K41, 0)</f>
        <v/>
      </c>
      <c r="N41" s="45" t="n">
        <v>10</v>
      </c>
      <c r="O41" s="45" t="n">
        <v>0</v>
      </c>
      <c r="P41" s="46">
        <f>IF(L22&gt;0, N41/L22, 0)</f>
        <v/>
      </c>
      <c r="Q41" s="47">
        <f>IF(O41&gt;0, N41/O41, 0)</f>
        <v/>
      </c>
      <c r="R41" s="45" t="n">
        <v>0</v>
      </c>
      <c r="S41" s="45" t="n">
        <v>0</v>
      </c>
      <c r="T41" s="46">
        <f>IF(L22&gt;0, R41/L22, 0)</f>
        <v/>
      </c>
      <c r="U41" s="47">
        <f>IF(S41&gt;0, R41/S41, 0)</f>
        <v/>
      </c>
      <c r="V41" s="45" t="n">
        <v>0</v>
      </c>
      <c r="W41" s="45" t="n">
        <v>0</v>
      </c>
      <c r="X41" s="46">
        <f>IF(L22&gt;0, V41/L22, 0)</f>
        <v/>
      </c>
      <c r="Y41" s="47">
        <f>IF(W41&gt;0, V41/W41, 0)</f>
        <v/>
      </c>
      <c r="Z41" s="45" t="n">
        <v>0</v>
      </c>
      <c r="AA41" s="45" t="n">
        <v>0</v>
      </c>
      <c r="AB41" s="46">
        <f>IF(L22&gt;0, Z41/L22, 0)</f>
        <v/>
      </c>
      <c r="AC41" s="47">
        <f>IF(AA41&gt;0, Z41/AA41, 0)</f>
        <v/>
      </c>
      <c r="AD41" s="40">
        <f>F41+J41+N41+R41+V41+Z41</f>
        <v/>
      </c>
      <c r="AE41" s="40">
        <f>G41+K41+O41+S41+W41+AA41</f>
        <v/>
      </c>
      <c r="AF41" s="41">
        <f>H41+L41+P41+T41+X41+AB41</f>
        <v/>
      </c>
      <c r="AG41" s="42">
        <f>IF(AE41&gt;0, AD41/AE41, 0)</f>
        <v/>
      </c>
    </row>
    <row r="42" ht="22" customHeight="1">
      <c r="A42" s="18" t="inlineStr">
        <is>
          <t>TOTAL DIARIO CONSOLIDADO (OBRA LERMA - TRES MARÍAS)</t>
        </is>
      </c>
      <c r="B42" s="19" t="n"/>
      <c r="C42" s="19" t="n"/>
      <c r="D42" s="19" t="n"/>
      <c r="E42" s="19" t="n"/>
      <c r="F42" s="20">
        <f>SUM(F28:F41)</f>
        <v/>
      </c>
      <c r="G42" s="20">
        <f>SUM(G28:G41)</f>
        <v/>
      </c>
      <c r="H42" s="22">
        <f>SUM(H28:H41)</f>
        <v/>
      </c>
      <c r="I42" s="21">
        <f>IF(G42&gt;0, F42/G42, 0)</f>
        <v/>
      </c>
      <c r="J42" s="20">
        <f>SUM(J28:J41)</f>
        <v/>
      </c>
      <c r="K42" s="20">
        <f>SUM(K28:K41)</f>
        <v/>
      </c>
      <c r="L42" s="22">
        <f>SUM(L28:L41)</f>
        <v/>
      </c>
      <c r="M42" s="21">
        <f>IF(K42&gt;0, J42/K42, 0)</f>
        <v/>
      </c>
      <c r="N42" s="20">
        <f>SUM(N28:N41)</f>
        <v/>
      </c>
      <c r="O42" s="20">
        <f>SUM(O28:O41)</f>
        <v/>
      </c>
      <c r="P42" s="22">
        <f>SUM(P28:P41)</f>
        <v/>
      </c>
      <c r="Q42" s="21">
        <f>IF(O42&gt;0, N42/O42, 0)</f>
        <v/>
      </c>
      <c r="R42" s="20">
        <f>SUM(R28:R41)</f>
        <v/>
      </c>
      <c r="S42" s="20">
        <f>SUM(S28:S41)</f>
        <v/>
      </c>
      <c r="T42" s="22">
        <f>SUM(T28:T41)</f>
        <v/>
      </c>
      <c r="U42" s="21">
        <f>IF(S42&gt;0, R42/S42, 0)</f>
        <v/>
      </c>
      <c r="V42" s="20">
        <f>SUM(V28:V41)</f>
        <v/>
      </c>
      <c r="W42" s="20">
        <f>SUM(W28:W41)</f>
        <v/>
      </c>
      <c r="X42" s="22">
        <f>SUM(X28:X41)</f>
        <v/>
      </c>
      <c r="Y42" s="21">
        <f>IF(W42&gt;0, V42/W42, 0)</f>
        <v/>
      </c>
      <c r="Z42" s="20">
        <f>SUM(Z28:Z41)</f>
        <v/>
      </c>
      <c r="AA42" s="20">
        <f>SUM(AA28:AA41)</f>
        <v/>
      </c>
      <c r="AB42" s="22">
        <f>SUM(AB28:AB41)</f>
        <v/>
      </c>
      <c r="AC42" s="21">
        <f>IF(AA42&gt;0, Z42/AA42, 0)</f>
        <v/>
      </c>
      <c r="AD42" s="20">
        <f>SUM(AD28:AD41)</f>
        <v/>
      </c>
      <c r="AE42" s="20">
        <f>SUM(AE28:AE41)</f>
        <v/>
      </c>
      <c r="AF42" s="22">
        <f>SUM(AF28:AF41)</f>
        <v/>
      </c>
      <c r="AG42" s="21">
        <f>IF(AE42&gt;0, AD42/AE42, 0)</f>
        <v/>
      </c>
    </row>
  </sheetData>
  <mergeCells count="13">
    <mergeCell ref="F26:I26"/>
    <mergeCell ref="V26:Y26"/>
    <mergeCell ref="A26:E26"/>
    <mergeCell ref="Z26:AC26"/>
    <mergeCell ref="AD26:AG26"/>
    <mergeCell ref="J26:M26"/>
    <mergeCell ref="N26:Q26"/>
    <mergeCell ref="A42:E42"/>
    <mergeCell ref="A2:N2"/>
    <mergeCell ref="R26:U26"/>
    <mergeCell ref="A25:AG25"/>
    <mergeCell ref="A23:E2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RESUMEN EJECUTIVO — CONTROL SEMANAL DE RENDIMIENTO DE MAQUINARIA</t>
        </is>
      </c>
    </row>
    <row r="2" ht="20" customHeight="1">
      <c r="A2" s="2" t="inlineStr">
        <is>
          <t>OBRA: LERMA - TRES MARÍAS | MATRIZ DE CONSUMOS POR EQUIPO Y SEMANA</t>
        </is>
      </c>
    </row>
    <row r="6" ht="26" customHeight="1">
      <c r="A6" s="3" t="inlineStr">
        <is>
          <t>No.</t>
        </is>
      </c>
      <c r="B6" s="3" t="inlineStr">
        <is>
          <t>Económico</t>
        </is>
      </c>
      <c r="C6" s="3" t="inlineStr">
        <is>
          <t>Descripción de Maquinaria</t>
        </is>
      </c>
      <c r="D6" s="3" t="inlineStr">
        <is>
          <t>Sem 24</t>
        </is>
      </c>
      <c r="E6" s="3" t="inlineStr">
        <is>
          <t>Sem 25</t>
        </is>
      </c>
      <c r="F6" s="3" t="inlineStr">
        <is>
          <t>Sem 26</t>
        </is>
      </c>
      <c r="G6" s="3" t="inlineStr">
        <is>
          <t>Sem 27</t>
        </is>
      </c>
      <c r="H6" s="3" t="inlineStr">
        <is>
          <t>Sem 28</t>
        </is>
      </c>
      <c r="I6" s="3" t="inlineStr">
        <is>
          <t>Sem 29</t>
        </is>
      </c>
      <c r="J6" s="3" t="inlineStr">
        <is>
          <t>Sem 30</t>
        </is>
      </c>
      <c r="K6" s="3" t="inlineStr">
        <is>
          <t>Sem 31</t>
        </is>
      </c>
      <c r="L6" s="3" t="inlineStr">
        <is>
          <t>Sem 32</t>
        </is>
      </c>
      <c r="M6" s="3" t="inlineStr">
        <is>
          <t>Sem 37</t>
        </is>
      </c>
      <c r="N6" s="3" t="inlineStr">
        <is>
          <t>Total Diésel (L)</t>
        </is>
      </c>
    </row>
    <row r="7" ht="20" customHeight="1">
      <c r="A7" s="4" t="n">
        <v>1</v>
      </c>
      <c r="B7" s="5" t="inlineStr">
        <is>
          <t>PR-01</t>
        </is>
      </c>
      <c r="C7" s="6" t="inlineStr">
        <is>
          <t>PERFILADORA RODATEC RX600-4-4008 / RX600E</t>
        </is>
      </c>
      <c r="D7" s="8">
        <f>'Semana 24'!I9</f>
        <v/>
      </c>
      <c r="E7" s="8">
        <f>'Semana 25'!I9</f>
        <v/>
      </c>
      <c r="F7" s="8">
        <f>'Semana 26'!I9</f>
        <v/>
      </c>
      <c r="G7" s="8">
        <f>'Semana 27'!I9</f>
        <v/>
      </c>
      <c r="H7" s="8">
        <f>'Semana 28'!I9</f>
        <v/>
      </c>
      <c r="I7" s="8">
        <f>'Semana 29'!I9</f>
        <v/>
      </c>
      <c r="J7" s="8">
        <f>'Semana 30'!I9</f>
        <v/>
      </c>
      <c r="K7" s="8">
        <f>'Semana 31'!I9</f>
        <v/>
      </c>
      <c r="L7" s="8">
        <f>'Semana 32'!I9</f>
        <v/>
      </c>
      <c r="M7" s="8">
        <f>'Semana 37'!I9</f>
        <v/>
      </c>
      <c r="N7" s="40">
        <f>SUM(D7:M7)</f>
        <v/>
      </c>
    </row>
    <row r="8" ht="20" customHeight="1">
      <c r="A8" s="11" t="n">
        <v>2</v>
      </c>
      <c r="B8" s="12" t="inlineStr">
        <is>
          <t>VG-03</t>
        </is>
      </c>
      <c r="C8" s="13" t="inlineStr">
        <is>
          <t>PAVIMENTADORA VÖGELE SJ 1800-3 / 1800-3i</t>
        </is>
      </c>
      <c r="D8" s="15">
        <f>'Semana 24'!I10</f>
        <v/>
      </c>
      <c r="E8" s="15">
        <f>'Semana 25'!I10</f>
        <v/>
      </c>
      <c r="F8" s="15">
        <f>'Semana 26'!I10</f>
        <v/>
      </c>
      <c r="G8" s="15">
        <f>'Semana 27'!I10</f>
        <v/>
      </c>
      <c r="H8" s="15">
        <f>'Semana 28'!I10</f>
        <v/>
      </c>
      <c r="I8" s="15">
        <f>'Semana 29'!I10</f>
        <v/>
      </c>
      <c r="J8" s="15">
        <f>'Semana 30'!I10</f>
        <v/>
      </c>
      <c r="K8" s="15">
        <f>'Semana 31'!I10</f>
        <v/>
      </c>
      <c r="L8" s="15">
        <f>'Semana 32'!I10</f>
        <v/>
      </c>
      <c r="M8" s="15">
        <f>'Semana 37'!I10</f>
        <v/>
      </c>
      <c r="N8" s="40">
        <f>SUM(D8:M8)</f>
        <v/>
      </c>
    </row>
    <row r="9" ht="20" customHeight="1">
      <c r="A9" s="4" t="n">
        <v>3</v>
      </c>
      <c r="B9" s="5" t="inlineStr">
        <is>
          <t>TD-01</t>
        </is>
      </c>
      <c r="C9" s="6" t="inlineStr">
        <is>
          <t>COMPACTADOR TÁNDEM CATERPILLAR CB54</t>
        </is>
      </c>
      <c r="D9" s="8">
        <f>'Semana 24'!I11</f>
        <v/>
      </c>
      <c r="E9" s="8">
        <f>'Semana 25'!I11</f>
        <v/>
      </c>
      <c r="F9" s="8">
        <f>'Semana 26'!I11</f>
        <v/>
      </c>
      <c r="G9" s="8">
        <f>'Semana 27'!I11</f>
        <v/>
      </c>
      <c r="H9" s="8">
        <f>'Semana 28'!I11</f>
        <v/>
      </c>
      <c r="I9" s="8">
        <f>'Semana 29'!I11</f>
        <v/>
      </c>
      <c r="J9" s="8">
        <f>'Semana 30'!I11</f>
        <v/>
      </c>
      <c r="K9" s="8">
        <f>'Semana 31'!I11</f>
        <v/>
      </c>
      <c r="L9" s="8">
        <f>'Semana 32'!I11</f>
        <v/>
      </c>
      <c r="M9" s="8">
        <f>'Semana 37'!I11</f>
        <v/>
      </c>
      <c r="N9" s="40">
        <f>SUM(D9:M9)</f>
        <v/>
      </c>
    </row>
    <row r="10" ht="20" customHeight="1">
      <c r="A10" s="11" t="n">
        <v>4</v>
      </c>
      <c r="B10" s="12" t="inlineStr">
        <is>
          <t>VC-01</t>
        </is>
      </c>
      <c r="C10" s="13" t="inlineStr">
        <is>
          <t>VIBROCOMPACTADOR CATERPILLAR CB66B</t>
        </is>
      </c>
      <c r="D10" s="15">
        <f>'Semana 24'!I12</f>
        <v/>
      </c>
      <c r="E10" s="15">
        <f>'Semana 25'!I12</f>
        <v/>
      </c>
      <c r="F10" s="15">
        <f>'Semana 26'!I12</f>
        <v/>
      </c>
      <c r="G10" s="15">
        <f>'Semana 27'!I12</f>
        <v/>
      </c>
      <c r="H10" s="15">
        <f>'Semana 28'!I12</f>
        <v/>
      </c>
      <c r="I10" s="15">
        <f>'Semana 29'!I12</f>
        <v/>
      </c>
      <c r="J10" s="15">
        <f>'Semana 30'!I12</f>
        <v/>
      </c>
      <c r="K10" s="15">
        <f>'Semana 31'!I12</f>
        <v/>
      </c>
      <c r="L10" s="15">
        <f>'Semana 32'!I12</f>
        <v/>
      </c>
      <c r="M10" s="15">
        <f>'Semana 37'!I12</f>
        <v/>
      </c>
      <c r="N10" s="40">
        <f>SUM(D10:M10)</f>
        <v/>
      </c>
    </row>
    <row r="11" ht="20" customHeight="1">
      <c r="A11" s="4" t="n">
        <v>5</v>
      </c>
      <c r="B11" s="5" t="inlineStr">
        <is>
          <t>NM-02</t>
        </is>
      </c>
      <c r="C11" s="6" t="inlineStr">
        <is>
          <t>COMPACTADOR NEUMÁTICO VOLVO PT-240R</t>
        </is>
      </c>
      <c r="D11" s="8">
        <f>'Semana 24'!I13</f>
        <v/>
      </c>
      <c r="E11" s="8">
        <f>'Semana 25'!I13</f>
        <v/>
      </c>
      <c r="F11" s="8">
        <f>'Semana 26'!I13</f>
        <v/>
      </c>
      <c r="G11" s="8">
        <f>'Semana 27'!I13</f>
        <v/>
      </c>
      <c r="H11" s="8">
        <f>'Semana 28'!I13</f>
        <v/>
      </c>
      <c r="I11" s="8">
        <f>'Semana 29'!I13</f>
        <v/>
      </c>
      <c r="J11" s="8">
        <f>'Semana 30'!I13</f>
        <v/>
      </c>
      <c r="K11" s="8">
        <f>'Semana 31'!I13</f>
        <v/>
      </c>
      <c r="L11" s="8">
        <f>'Semana 32'!I13</f>
        <v/>
      </c>
      <c r="M11" s="8">
        <f>'Semana 37'!I13</f>
        <v/>
      </c>
      <c r="N11" s="40">
        <f>SUM(D11:M11)</f>
        <v/>
      </c>
    </row>
    <row r="12" ht="20" customHeight="1">
      <c r="A12" s="11" t="n">
        <v>6</v>
      </c>
      <c r="B12" s="12" t="inlineStr">
        <is>
          <t>NM-08</t>
        </is>
      </c>
      <c r="C12" s="13" t="inlineStr">
        <is>
          <t>COMPACTADOR NEUMÁTICO PF-300B</t>
        </is>
      </c>
      <c r="D12" s="15">
        <f>'Semana 24'!I14</f>
        <v/>
      </c>
      <c r="E12" s="15">
        <f>'Semana 25'!I14</f>
        <v/>
      </c>
      <c r="F12" s="15">
        <f>'Semana 26'!I14</f>
        <v/>
      </c>
      <c r="G12" s="15">
        <f>'Semana 27'!I14</f>
        <v/>
      </c>
      <c r="H12" s="15">
        <f>'Semana 28'!I14</f>
        <v/>
      </c>
      <c r="I12" s="15">
        <f>'Semana 29'!I14</f>
        <v/>
      </c>
      <c r="J12" s="15">
        <f>'Semana 30'!I14</f>
        <v/>
      </c>
      <c r="K12" s="15">
        <f>'Semana 31'!I14</f>
        <v/>
      </c>
      <c r="L12" s="15">
        <f>'Semana 32'!I14</f>
        <v/>
      </c>
      <c r="M12" s="15">
        <f>'Semana 37'!I14</f>
        <v/>
      </c>
      <c r="N12" s="40">
        <f>SUM(D12:M12)</f>
        <v/>
      </c>
    </row>
    <row r="13" ht="20" customHeight="1">
      <c r="A13" s="4" t="n">
        <v>7</v>
      </c>
      <c r="B13" s="5" t="inlineStr">
        <is>
          <t>BR-02</t>
        </is>
      </c>
      <c r="C13" s="6" t="inlineStr">
        <is>
          <t>BARREDORA INDUSTRIAL LAYMOR SM400</t>
        </is>
      </c>
      <c r="D13" s="8">
        <f>'Semana 24'!I15</f>
        <v/>
      </c>
      <c r="E13" s="8">
        <f>'Semana 25'!I15</f>
        <v/>
      </c>
      <c r="F13" s="8">
        <f>'Semana 26'!I15</f>
        <v/>
      </c>
      <c r="G13" s="8">
        <f>'Semana 27'!I15</f>
        <v/>
      </c>
      <c r="H13" s="8">
        <f>'Semana 28'!I15</f>
        <v/>
      </c>
      <c r="I13" s="8">
        <f>'Semana 29'!I15</f>
        <v/>
      </c>
      <c r="J13" s="8">
        <f>'Semana 30'!I15</f>
        <v/>
      </c>
      <c r="K13" s="8">
        <f>'Semana 31'!I15</f>
        <v/>
      </c>
      <c r="L13" s="8">
        <f>'Semana 32'!I15</f>
        <v/>
      </c>
      <c r="M13" s="8">
        <f>'Semana 37'!I15</f>
        <v/>
      </c>
      <c r="N13" s="40">
        <f>SUM(D13:M13)</f>
        <v/>
      </c>
    </row>
    <row r="14" ht="20" customHeight="1">
      <c r="A14" s="11" t="n">
        <v>8</v>
      </c>
      <c r="B14" s="12" t="inlineStr">
        <is>
          <t>BR-05</t>
        </is>
      </c>
      <c r="C14" s="13" t="inlineStr">
        <is>
          <t>BARREDORA BROCE BROOM KR350 / RJ350</t>
        </is>
      </c>
      <c r="D14" s="15">
        <f>'Semana 24'!I16</f>
        <v/>
      </c>
      <c r="E14" s="15">
        <f>'Semana 25'!I16</f>
        <v/>
      </c>
      <c r="F14" s="15">
        <f>'Semana 26'!I16</f>
        <v/>
      </c>
      <c r="G14" s="15">
        <f>'Semana 27'!I16</f>
        <v/>
      </c>
      <c r="H14" s="15">
        <f>'Semana 28'!I16</f>
        <v/>
      </c>
      <c r="I14" s="15">
        <f>'Semana 29'!I16</f>
        <v/>
      </c>
      <c r="J14" s="15">
        <f>'Semana 30'!I16</f>
        <v/>
      </c>
      <c r="K14" s="15">
        <f>'Semana 31'!I16</f>
        <v/>
      </c>
      <c r="L14" s="15">
        <f>'Semana 32'!I16</f>
        <v/>
      </c>
      <c r="M14" s="15">
        <f>'Semana 37'!I16</f>
        <v/>
      </c>
      <c r="N14" s="40">
        <f>SUM(D14:M14)</f>
        <v/>
      </c>
    </row>
    <row r="15" ht="20" customHeight="1">
      <c r="A15" s="4" t="n">
        <v>9</v>
      </c>
      <c r="B15" s="5" t="inlineStr">
        <is>
          <t>RT-02</t>
        </is>
      </c>
      <c r="C15" s="6" t="inlineStr">
        <is>
          <t>RETROEXCAVADORA JOHN DEERE 310K / CASE 580N</t>
        </is>
      </c>
      <c r="D15" s="8">
        <f>'Semana 24'!I17</f>
        <v/>
      </c>
      <c r="E15" s="8">
        <f>'Semana 25'!I17</f>
        <v/>
      </c>
      <c r="F15" s="8">
        <f>'Semana 26'!I17</f>
        <v/>
      </c>
      <c r="G15" s="8">
        <f>'Semana 27'!I17</f>
        <v/>
      </c>
      <c r="H15" s="8">
        <f>'Semana 28'!I17</f>
        <v/>
      </c>
      <c r="I15" s="8">
        <f>'Semana 29'!I17</f>
        <v/>
      </c>
      <c r="J15" s="8">
        <f>'Semana 30'!I17</f>
        <v/>
      </c>
      <c r="K15" s="8">
        <f>'Semana 31'!I17</f>
        <v/>
      </c>
      <c r="L15" s="8">
        <f>'Semana 32'!I17</f>
        <v/>
      </c>
      <c r="M15" s="8">
        <f>'Semana 37'!I17</f>
        <v/>
      </c>
      <c r="N15" s="40">
        <f>SUM(D15:M15)</f>
        <v/>
      </c>
    </row>
    <row r="16" ht="20" customHeight="1">
      <c r="A16" s="11" t="n">
        <v>10</v>
      </c>
      <c r="B16" s="12" t="inlineStr">
        <is>
          <t>PT-01</t>
        </is>
      </c>
      <c r="C16" s="13" t="inlineStr">
        <is>
          <t>PETROLIZADORA FORD F800 (IMPACTO 04)</t>
        </is>
      </c>
      <c r="D16" s="15">
        <f>'Semana 24'!I18</f>
        <v/>
      </c>
      <c r="E16" s="15">
        <f>'Semana 25'!I18</f>
        <v/>
      </c>
      <c r="F16" s="15">
        <f>'Semana 26'!I18</f>
        <v/>
      </c>
      <c r="G16" s="15">
        <f>'Semana 27'!I18</f>
        <v/>
      </c>
      <c r="H16" s="15">
        <f>'Semana 28'!I18</f>
        <v/>
      </c>
      <c r="I16" s="15">
        <f>'Semana 29'!I18</f>
        <v/>
      </c>
      <c r="J16" s="15">
        <f>'Semana 30'!I18</f>
        <v/>
      </c>
      <c r="K16" s="15">
        <f>'Semana 31'!I18</f>
        <v/>
      </c>
      <c r="L16" s="15">
        <f>'Semana 32'!I18</f>
        <v/>
      </c>
      <c r="M16" s="15">
        <f>'Semana 37'!I18</f>
        <v/>
      </c>
      <c r="N16" s="40">
        <f>SUM(D16:M16)</f>
        <v/>
      </c>
    </row>
    <row r="17" ht="20" customHeight="1">
      <c r="A17" s="4" t="n">
        <v>11</v>
      </c>
      <c r="B17" s="5" t="inlineStr">
        <is>
          <t>CPR-01</t>
        </is>
      </c>
      <c r="C17" s="6" t="inlineStr">
        <is>
          <t>COMPRESOR SULLIVAN PALATEK D2010</t>
        </is>
      </c>
      <c r="D17" s="8">
        <f>'Semana 24'!I19</f>
        <v/>
      </c>
      <c r="E17" s="8">
        <f>'Semana 25'!I19</f>
        <v/>
      </c>
      <c r="F17" s="8">
        <f>'Semana 26'!I19</f>
        <v/>
      </c>
      <c r="G17" s="8">
        <f>'Semana 27'!I19</f>
        <v/>
      </c>
      <c r="H17" s="8">
        <f>'Semana 28'!I19</f>
        <v/>
      </c>
      <c r="I17" s="8">
        <f>'Semana 29'!I19</f>
        <v/>
      </c>
      <c r="J17" s="8">
        <f>'Semana 30'!I19</f>
        <v/>
      </c>
      <c r="K17" s="8">
        <f>'Semana 31'!I19</f>
        <v/>
      </c>
      <c r="L17" s="8">
        <f>'Semana 32'!I19</f>
        <v/>
      </c>
      <c r="M17" s="8">
        <f>'Semana 37'!I19</f>
        <v/>
      </c>
      <c r="N17" s="40">
        <f>SUM(D17:M17)</f>
        <v/>
      </c>
    </row>
    <row r="18" ht="20" customHeight="1">
      <c r="A18" s="11" t="n">
        <v>12</v>
      </c>
      <c r="B18" s="12" t="inlineStr">
        <is>
          <t>PP-01</t>
        </is>
      </c>
      <c r="C18" s="13" t="inlineStr">
        <is>
          <t>PIPA DE AGUA (IMPACTO 01) FORD</t>
        </is>
      </c>
      <c r="D18" s="15">
        <f>'Semana 24'!I20</f>
        <v/>
      </c>
      <c r="E18" s="15">
        <f>'Semana 25'!I20</f>
        <v/>
      </c>
      <c r="F18" s="15">
        <f>'Semana 26'!I20</f>
        <v/>
      </c>
      <c r="G18" s="15">
        <f>'Semana 27'!I20</f>
        <v/>
      </c>
      <c r="H18" s="15">
        <f>'Semana 28'!I20</f>
        <v/>
      </c>
      <c r="I18" s="15">
        <f>'Semana 29'!I20</f>
        <v/>
      </c>
      <c r="J18" s="15">
        <f>'Semana 30'!I20</f>
        <v/>
      </c>
      <c r="K18" s="15">
        <f>'Semana 31'!I20</f>
        <v/>
      </c>
      <c r="L18" s="15">
        <f>'Semana 32'!I20</f>
        <v/>
      </c>
      <c r="M18" s="15">
        <f>'Semana 37'!I20</f>
        <v/>
      </c>
      <c r="N18" s="40">
        <f>SUM(D18:M18)</f>
        <v/>
      </c>
    </row>
    <row r="19" ht="20" customHeight="1">
      <c r="A19" s="4" t="n">
        <v>13</v>
      </c>
      <c r="B19" s="5" t="inlineStr">
        <is>
          <t>CI-02</t>
        </is>
      </c>
      <c r="C19" s="6" t="inlineStr">
        <is>
          <t>CAMIÓN DE IMPACTO FORD 4300 (ATENUADOR TMA)</t>
        </is>
      </c>
      <c r="D19" s="8">
        <f>'Semana 24'!I21</f>
        <v/>
      </c>
      <c r="E19" s="8">
        <f>'Semana 25'!I21</f>
        <v/>
      </c>
      <c r="F19" s="8">
        <f>'Semana 26'!I21</f>
        <v/>
      </c>
      <c r="G19" s="8">
        <f>'Semana 27'!I21</f>
        <v/>
      </c>
      <c r="H19" s="8">
        <f>'Semana 28'!I21</f>
        <v/>
      </c>
      <c r="I19" s="8">
        <f>'Semana 29'!I21</f>
        <v/>
      </c>
      <c r="J19" s="8">
        <f>'Semana 30'!I21</f>
        <v/>
      </c>
      <c r="K19" s="8">
        <f>'Semana 31'!I21</f>
        <v/>
      </c>
      <c r="L19" s="8">
        <f>'Semana 32'!I21</f>
        <v/>
      </c>
      <c r="M19" s="8">
        <f>'Semana 37'!I21</f>
        <v/>
      </c>
      <c r="N19" s="40">
        <f>SUM(D19:M19)</f>
        <v/>
      </c>
    </row>
    <row r="20" ht="20" customHeight="1">
      <c r="A20" s="11" t="n">
        <v>14</v>
      </c>
      <c r="B20" s="12" t="inlineStr">
        <is>
          <t>TL-01</t>
        </is>
      </c>
      <c r="C20" s="13" t="inlineStr">
        <is>
          <t>TORRE DE LUCES MAXILIGHT / APOYO NOCTURNO</t>
        </is>
      </c>
      <c r="D20" s="15">
        <f>'Semana 24'!I22</f>
        <v/>
      </c>
      <c r="E20" s="15">
        <f>'Semana 25'!I22</f>
        <v/>
      </c>
      <c r="F20" s="15">
        <f>'Semana 26'!I22</f>
        <v/>
      </c>
      <c r="G20" s="15">
        <f>'Semana 27'!I22</f>
        <v/>
      </c>
      <c r="H20" s="15">
        <f>'Semana 28'!I22</f>
        <v/>
      </c>
      <c r="I20" s="15">
        <f>'Semana 29'!I22</f>
        <v/>
      </c>
      <c r="J20" s="15">
        <f>'Semana 30'!I22</f>
        <v/>
      </c>
      <c r="K20" s="15">
        <f>'Semana 31'!I22</f>
        <v/>
      </c>
      <c r="L20" s="15">
        <f>'Semana 32'!I22</f>
        <v/>
      </c>
      <c r="M20" s="15">
        <f>'Semana 37'!I22</f>
        <v/>
      </c>
      <c r="N20" s="40">
        <f>SUM(D20:M20)</f>
        <v/>
      </c>
    </row>
    <row r="21" ht="22" customHeight="1">
      <c r="A21" s="18" t="inlineStr">
        <is>
          <t>TOTAL DIÉSEL SEMANAL (L)</t>
        </is>
      </c>
      <c r="B21" s="19" t="n"/>
      <c r="C21" s="19" t="n"/>
      <c r="D21" s="20">
        <f>SUM(D7:D20)</f>
        <v/>
      </c>
      <c r="E21" s="20">
        <f>SUM(E7:E20)</f>
        <v/>
      </c>
      <c r="F21" s="20">
        <f>SUM(F7:F20)</f>
        <v/>
      </c>
      <c r="G21" s="20">
        <f>SUM(G7:G20)</f>
        <v/>
      </c>
      <c r="H21" s="20">
        <f>SUM(H7:H20)</f>
        <v/>
      </c>
      <c r="I21" s="20">
        <f>SUM(I7:I20)</f>
        <v/>
      </c>
      <c r="J21" s="20">
        <f>SUM(J7:J20)</f>
        <v/>
      </c>
      <c r="K21" s="20">
        <f>SUM(K7:K20)</f>
        <v/>
      </c>
      <c r="L21" s="20">
        <f>SUM(L7:L20)</f>
        <v/>
      </c>
      <c r="M21" s="20">
        <f>SUM(M7:M20)</f>
        <v/>
      </c>
      <c r="N21" s="20">
        <f>SUM(N7:N20)</f>
        <v/>
      </c>
    </row>
    <row r="24" ht="24" customHeight="1">
      <c r="A24" s="28" t="inlineStr">
        <is>
          <t>RESUMEN OPERATIVO POR SEMANA (OBRA LERMA - TRES MARÍAS)</t>
        </is>
      </c>
    </row>
    <row r="25" ht="24" customHeight="1">
      <c r="A25" s="3" t="inlineStr">
        <is>
          <t>Semana</t>
        </is>
      </c>
      <c r="B25" s="3" t="inlineStr">
        <is>
          <t>Periodo</t>
        </is>
      </c>
      <c r="C25" s="3" t="inlineStr">
        <is>
          <t>Diésel Surtido (L)</t>
        </is>
      </c>
      <c r="D25" s="3" t="inlineStr">
        <is>
          <t>Fresado m³</t>
        </is>
      </c>
      <c r="E25" s="3" t="inlineStr">
        <is>
          <t>Carpeta Ton</t>
        </is>
      </c>
      <c r="F25" s="3" t="inlineStr">
        <is>
          <t>Horas Est Totales</t>
        </is>
      </c>
      <c r="G25" s="3" t="inlineStr">
        <is>
          <t>Rend Prom (L/m³)</t>
        </is>
      </c>
      <c r="H25" s="3" t="inlineStr">
        <is>
          <t>Rend Prom (L/Ton)</t>
        </is>
      </c>
      <c r="I25" s="3" t="inlineStr">
        <is>
          <t>Estatus General</t>
        </is>
      </c>
    </row>
    <row r="26" ht="20" customHeight="1">
      <c r="A26" s="5" t="inlineStr">
        <is>
          <t>Semana 24</t>
        </is>
      </c>
      <c r="B26" s="4" t="inlineStr">
        <is>
          <t>08/Jun/2026 - 13/Jun/2026</t>
        </is>
      </c>
      <c r="C26" s="7">
        <f>'Semana 24'!I23</f>
        <v/>
      </c>
      <c r="D26" s="8">
        <f>'Semana 24'!G23</f>
        <v/>
      </c>
      <c r="E26" s="8">
        <f>'Semana 24'!H23</f>
        <v/>
      </c>
      <c r="F26" s="10">
        <f>'Semana 24'!M23</f>
        <v/>
      </c>
      <c r="G26" s="9">
        <f>IF(D26&gt;0, C26/D26, 0)</f>
        <v/>
      </c>
      <c r="H26" s="9">
        <f>IF(E26&gt;0, C26/E26, 0)</f>
        <v/>
      </c>
      <c r="I26" s="5">
        <f>IF(C26=0, "SIN CONSUMO", IF(D26+E26&gt;0, "CON OPERACIÓN Y VOLUMEN", "DIÉSEL REGISTRADO (PENDIENTE VOLUMEN)"))</f>
        <v/>
      </c>
    </row>
    <row r="27" ht="20" customHeight="1">
      <c r="A27" s="12" t="inlineStr">
        <is>
          <t>Semana 25</t>
        </is>
      </c>
      <c r="B27" s="11" t="inlineStr">
        <is>
          <t>15/Jun/2026 - 20/Jun/2026</t>
        </is>
      </c>
      <c r="C27" s="14">
        <f>'Semana 25'!I23</f>
        <v/>
      </c>
      <c r="D27" s="15">
        <f>'Semana 25'!G23</f>
        <v/>
      </c>
      <c r="E27" s="15">
        <f>'Semana 25'!H23</f>
        <v/>
      </c>
      <c r="F27" s="17">
        <f>'Semana 25'!M23</f>
        <v/>
      </c>
      <c r="G27" s="16">
        <f>IF(D27&gt;0, C27/D27, 0)</f>
        <v/>
      </c>
      <c r="H27" s="16">
        <f>IF(E27&gt;0, C27/E27, 0)</f>
        <v/>
      </c>
      <c r="I27" s="12">
        <f>IF(C27=0, "SIN CONSUMO", IF(D27+E27&gt;0, "CON OPERACIÓN Y VOLUMEN", "DIÉSEL REGISTRADO (PENDIENTE VOLUMEN)"))</f>
        <v/>
      </c>
    </row>
    <row r="28" ht="20" customHeight="1">
      <c r="A28" s="5" t="inlineStr">
        <is>
          <t>Semana 26</t>
        </is>
      </c>
      <c r="B28" s="4" t="inlineStr">
        <is>
          <t>22/Jun/2026 - 27/Jun/2026</t>
        </is>
      </c>
      <c r="C28" s="7">
        <f>'Semana 26'!I23</f>
        <v/>
      </c>
      <c r="D28" s="8">
        <f>'Semana 26'!G23</f>
        <v/>
      </c>
      <c r="E28" s="8">
        <f>'Semana 26'!H23</f>
        <v/>
      </c>
      <c r="F28" s="10">
        <f>'Semana 26'!M23</f>
        <v/>
      </c>
      <c r="G28" s="9">
        <f>IF(D28&gt;0, C28/D28, 0)</f>
        <v/>
      </c>
      <c r="H28" s="9">
        <f>IF(E28&gt;0, C28/E28, 0)</f>
        <v/>
      </c>
      <c r="I28" s="5">
        <f>IF(C28=0, "SIN CONSUMO", IF(D28+E28&gt;0, "CON OPERACIÓN Y VOLUMEN", "DIÉSEL REGISTRADO (PENDIENTE VOLUMEN)"))</f>
        <v/>
      </c>
    </row>
    <row r="29" ht="20" customHeight="1">
      <c r="A29" s="12" t="inlineStr">
        <is>
          <t>Semana 27</t>
        </is>
      </c>
      <c r="B29" s="11" t="inlineStr">
        <is>
          <t>29/Jun/2026 - 04/Jul/2026</t>
        </is>
      </c>
      <c r="C29" s="14">
        <f>'Semana 27'!I23</f>
        <v/>
      </c>
      <c r="D29" s="15">
        <f>'Semana 27'!G23</f>
        <v/>
      </c>
      <c r="E29" s="15">
        <f>'Semana 27'!H23</f>
        <v/>
      </c>
      <c r="F29" s="17">
        <f>'Semana 27'!M23</f>
        <v/>
      </c>
      <c r="G29" s="16">
        <f>IF(D29&gt;0, C29/D29, 0)</f>
        <v/>
      </c>
      <c r="H29" s="16">
        <f>IF(E29&gt;0, C29/E29, 0)</f>
        <v/>
      </c>
      <c r="I29" s="12">
        <f>IF(C29=0, "SIN CONSUMO", IF(D29+E29&gt;0, "CON OPERACIÓN Y VOLUMEN", "DIÉSEL REGISTRADO (PENDIENTE VOLUMEN)"))</f>
        <v/>
      </c>
    </row>
    <row r="30" ht="20" customHeight="1">
      <c r="A30" s="5" t="inlineStr">
        <is>
          <t>Semana 28</t>
        </is>
      </c>
      <c r="B30" s="4" t="inlineStr">
        <is>
          <t>06/Jul/2026 - 11/Jul/2026</t>
        </is>
      </c>
      <c r="C30" s="7">
        <f>'Semana 28'!I23</f>
        <v/>
      </c>
      <c r="D30" s="8">
        <f>'Semana 28'!G23</f>
        <v/>
      </c>
      <c r="E30" s="8">
        <f>'Semana 28'!H23</f>
        <v/>
      </c>
      <c r="F30" s="10">
        <f>'Semana 28'!M23</f>
        <v/>
      </c>
      <c r="G30" s="9">
        <f>IF(D30&gt;0, C30/D30, 0)</f>
        <v/>
      </c>
      <c r="H30" s="9">
        <f>IF(E30&gt;0, C30/E30, 0)</f>
        <v/>
      </c>
      <c r="I30" s="5">
        <f>IF(C30=0, "SIN CONSUMO", IF(D30+E30&gt;0, "CON OPERACIÓN Y VOLUMEN", "DIÉSEL REGISTRADO (PENDIENTE VOLUMEN)"))</f>
        <v/>
      </c>
    </row>
    <row r="31" ht="20" customHeight="1">
      <c r="A31" s="12" t="inlineStr">
        <is>
          <t>Semana 29</t>
        </is>
      </c>
      <c r="B31" s="11" t="inlineStr">
        <is>
          <t>13/Jul/2026 - 18/Jul/2026</t>
        </is>
      </c>
      <c r="C31" s="14">
        <f>'Semana 29'!I23</f>
        <v/>
      </c>
      <c r="D31" s="15">
        <f>'Semana 29'!G23</f>
        <v/>
      </c>
      <c r="E31" s="15">
        <f>'Semana 29'!H23</f>
        <v/>
      </c>
      <c r="F31" s="17">
        <f>'Semana 29'!M23</f>
        <v/>
      </c>
      <c r="G31" s="16">
        <f>IF(D31&gt;0, C31/D31, 0)</f>
        <v/>
      </c>
      <c r="H31" s="16">
        <f>IF(E31&gt;0, C31/E31, 0)</f>
        <v/>
      </c>
      <c r="I31" s="12">
        <f>IF(C31=0, "SIN CONSUMO", IF(D31+E31&gt;0, "CON OPERACIÓN Y VOLUMEN", "DIÉSEL REGISTRADO (PENDIENTE VOLUMEN)"))</f>
        <v/>
      </c>
    </row>
    <row r="32" ht="20" customHeight="1">
      <c r="A32" s="5" t="inlineStr">
        <is>
          <t>Semana 30</t>
        </is>
      </c>
      <c r="B32" s="4" t="inlineStr">
        <is>
          <t>20/Jul/2026 - 25/Jul/2026</t>
        </is>
      </c>
      <c r="C32" s="7">
        <f>'Semana 30'!I23</f>
        <v/>
      </c>
      <c r="D32" s="8">
        <f>'Semana 30'!G23</f>
        <v/>
      </c>
      <c r="E32" s="8">
        <f>'Semana 30'!H23</f>
        <v/>
      </c>
      <c r="F32" s="10">
        <f>'Semana 30'!M23</f>
        <v/>
      </c>
      <c r="G32" s="9">
        <f>IF(D32&gt;0, C32/D32, 0)</f>
        <v/>
      </c>
      <c r="H32" s="9">
        <f>IF(E32&gt;0, C32/E32, 0)</f>
        <v/>
      </c>
      <c r="I32" s="5">
        <f>IF(C32=0, "SIN CONSUMO", IF(D32+E32&gt;0, "CON OPERACIÓN Y VOLUMEN", "DIÉSEL REGISTRADO (PENDIENTE VOLUMEN)"))</f>
        <v/>
      </c>
    </row>
    <row r="33" ht="20" customHeight="1">
      <c r="A33" s="12" t="inlineStr">
        <is>
          <t>Semana 31</t>
        </is>
      </c>
      <c r="B33" s="11" t="inlineStr">
        <is>
          <t>27/Jul/2026 - 01/Ago/2026</t>
        </is>
      </c>
      <c r="C33" s="14">
        <f>'Semana 31'!I23</f>
        <v/>
      </c>
      <c r="D33" s="15">
        <f>'Semana 31'!G23</f>
        <v/>
      </c>
      <c r="E33" s="15">
        <f>'Semana 31'!H23</f>
        <v/>
      </c>
      <c r="F33" s="17">
        <f>'Semana 31'!M23</f>
        <v/>
      </c>
      <c r="G33" s="16">
        <f>IF(D33&gt;0, C33/D33, 0)</f>
        <v/>
      </c>
      <c r="H33" s="16">
        <f>IF(E33&gt;0, C33/E33, 0)</f>
        <v/>
      </c>
      <c r="I33" s="12">
        <f>IF(C33=0, "SIN CONSUMO", IF(D33+E33&gt;0, "CON OPERACIÓN Y VOLUMEN", "DIÉSEL REGISTRADO (PENDIENTE VOLUMEN)"))</f>
        <v/>
      </c>
    </row>
    <row r="34" ht="20" customHeight="1">
      <c r="A34" s="5" t="inlineStr">
        <is>
          <t>Semana 32</t>
        </is>
      </c>
      <c r="B34" s="4" t="inlineStr">
        <is>
          <t>03/Ago/2026 - 08/Ago/2026</t>
        </is>
      </c>
      <c r="C34" s="7">
        <f>'Semana 32'!I23</f>
        <v/>
      </c>
      <c r="D34" s="8">
        <f>'Semana 32'!G23</f>
        <v/>
      </c>
      <c r="E34" s="8">
        <f>'Semana 32'!H23</f>
        <v/>
      </c>
      <c r="F34" s="10">
        <f>'Semana 32'!M23</f>
        <v/>
      </c>
      <c r="G34" s="9">
        <f>IF(D34&gt;0, C34/D34, 0)</f>
        <v/>
      </c>
      <c r="H34" s="9">
        <f>IF(E34&gt;0, C34/E34, 0)</f>
        <v/>
      </c>
      <c r="I34" s="5">
        <f>IF(C34=0, "SIN CONSUMO", IF(D34+E34&gt;0, "CON OPERACIÓN Y VOLUMEN", "DIÉSEL REGISTRADO (PENDIENTE VOLUMEN)"))</f>
        <v/>
      </c>
    </row>
    <row r="35" ht="20" customHeight="1">
      <c r="A35" s="12" t="inlineStr">
        <is>
          <t>Semana 37</t>
        </is>
      </c>
      <c r="B35" s="11" t="inlineStr">
        <is>
          <t>07/Sep/2026 - 12/Sep/2026</t>
        </is>
      </c>
      <c r="C35" s="14">
        <f>'Semana 37'!I23</f>
        <v/>
      </c>
      <c r="D35" s="15">
        <f>'Semana 37'!G23</f>
        <v/>
      </c>
      <c r="E35" s="15">
        <f>'Semana 37'!H23</f>
        <v/>
      </c>
      <c r="F35" s="17">
        <f>'Semana 37'!M23</f>
        <v/>
      </c>
      <c r="G35" s="16">
        <f>IF(D35&gt;0, C35/D35, 0)</f>
        <v/>
      </c>
      <c r="H35" s="16">
        <f>IF(E35&gt;0, C35/E35, 0)</f>
        <v/>
      </c>
      <c r="I35" s="12">
        <f>IF(C35=0, "SIN CONSUMO", IF(D35+E35&gt;0, "CON OPERACIÓN Y VOLUMEN", "DIÉSEL REGISTRADO (PENDIENTE VOLUMEN)"))</f>
        <v/>
      </c>
    </row>
    <row r="36" ht="22" customHeight="1">
      <c r="A36" s="18" t="inlineStr">
        <is>
          <t>TOTAL CONSOLIDADO ACUMULADO</t>
        </is>
      </c>
      <c r="B36" s="19" t="n"/>
      <c r="C36" s="20">
        <f>SUM(C26:C35)</f>
        <v/>
      </c>
      <c r="D36" s="20">
        <f>SUM(D26:D35)</f>
        <v/>
      </c>
      <c r="E36" s="20">
        <f>SUM(E26:E35)</f>
        <v/>
      </c>
      <c r="F36" s="22">
        <f>SUM(F26:F35)</f>
        <v/>
      </c>
      <c r="G36" s="21">
        <f>IF(D36&gt;0, C36/D36, 0)</f>
        <v/>
      </c>
      <c r="H36" s="21">
        <f>IF(E36&gt;0, C36/E36, 0)</f>
        <v/>
      </c>
      <c r="I36" s="27" t="inlineStr">
        <is>
          <t>CIERRE DE OBRA</t>
        </is>
      </c>
    </row>
  </sheetData>
  <mergeCells count="5">
    <mergeCell ref="A2:N2"/>
    <mergeCell ref="A36:B36"/>
    <mergeCell ref="A21:C21"/>
    <mergeCell ref="A24:I2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2026-09-18T21:33:41Z</dcterms:created>
  <dcterms:modified xsi:type="dcterms:W3CDTF">2026-09-18T21:33:41Z</dcterms:modified>
</cp:coreProperties>
</file>