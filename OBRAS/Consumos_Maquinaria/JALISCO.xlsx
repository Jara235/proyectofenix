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esktop\"/>
    </mc:Choice>
  </mc:AlternateContent>
  <xr:revisionPtr revIDLastSave="0" documentId="8_{4C95C7E9-CFFD-4B29-BBDF-0620FF2BE337}" xr6:coauthVersionLast="47" xr6:coauthVersionMax="47" xr10:uidLastSave="{00000000-0000-0000-0000-000000000000}"/>
  <bookViews>
    <workbookView xWindow="-108" yWindow="-108" windowWidth="23256" windowHeight="12456" activeTab="1" xr2:uid="{334F9C52-73A4-4311-9498-70AE213E29D3}"/>
  </bookViews>
  <sheets>
    <sheet name="BD_JALISCO" sheetId="2" r:id="rId1"/>
    <sheet name="Hoja1" sheetId="1" r:id="rId2"/>
  </sheets>
  <externalReferences>
    <externalReference r:id="rId3"/>
    <externalReference r:id="rId4"/>
  </externalReferences>
  <definedNames>
    <definedName name="_xlnm._FilterDatabase" hidden="1">[2]Base_Datos!$A$1:$K$666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999" i="2" l="1"/>
  <c r="O1998" i="2"/>
  <c r="O1997" i="2"/>
  <c r="O1996" i="2"/>
  <c r="O1995" i="2"/>
  <c r="O1994" i="2"/>
  <c r="O1993" i="2"/>
  <c r="O1992" i="2"/>
  <c r="O1991" i="2"/>
  <c r="O1990" i="2"/>
  <c r="O1989" i="2"/>
  <c r="O1988" i="2"/>
  <c r="O1987" i="2"/>
  <c r="O1986" i="2"/>
  <c r="O1985" i="2"/>
  <c r="O1984" i="2"/>
  <c r="O1983" i="2"/>
  <c r="O1982" i="2"/>
  <c r="O1981" i="2"/>
  <c r="O1980" i="2"/>
  <c r="O1979" i="2"/>
  <c r="O1978" i="2"/>
  <c r="O1977" i="2"/>
  <c r="O1976" i="2"/>
  <c r="O1975" i="2"/>
  <c r="O1974" i="2"/>
  <c r="O1973" i="2"/>
  <c r="O1972" i="2"/>
  <c r="O1971" i="2"/>
  <c r="O1970" i="2"/>
  <c r="O1969" i="2"/>
  <c r="O1968" i="2"/>
  <c r="O1967" i="2"/>
  <c r="O1966" i="2"/>
  <c r="O1965" i="2"/>
  <c r="O1964" i="2"/>
  <c r="O1963" i="2"/>
  <c r="O1962" i="2"/>
  <c r="O1961" i="2"/>
  <c r="O1960" i="2"/>
  <c r="O1959" i="2"/>
  <c r="O1958" i="2"/>
  <c r="O1957" i="2"/>
  <c r="O1956" i="2"/>
  <c r="O1955" i="2"/>
  <c r="O1954" i="2"/>
  <c r="O1953" i="2"/>
  <c r="O1952" i="2"/>
  <c r="O1951" i="2"/>
  <c r="O1950" i="2"/>
  <c r="O1949" i="2"/>
  <c r="O1948" i="2"/>
  <c r="O1947" i="2"/>
  <c r="O1946" i="2"/>
  <c r="O1945" i="2"/>
  <c r="O1944" i="2"/>
  <c r="O1943" i="2"/>
  <c r="O1942" i="2"/>
  <c r="O1941" i="2"/>
  <c r="O1940" i="2"/>
  <c r="O1939" i="2"/>
  <c r="O1938" i="2"/>
  <c r="O1937" i="2"/>
  <c r="O1936" i="2"/>
  <c r="O1935" i="2"/>
  <c r="O1934" i="2"/>
  <c r="O1933" i="2"/>
  <c r="O1932" i="2"/>
  <c r="O1931" i="2"/>
  <c r="O1930" i="2"/>
  <c r="O1929" i="2"/>
  <c r="O1928" i="2"/>
  <c r="O1927" i="2"/>
  <c r="O1926" i="2"/>
  <c r="O1925" i="2"/>
  <c r="O1924" i="2"/>
  <c r="O1923" i="2"/>
  <c r="O1922" i="2"/>
  <c r="O1921" i="2"/>
  <c r="O1920" i="2"/>
  <c r="O1919" i="2"/>
  <c r="O1918" i="2"/>
  <c r="O1917" i="2"/>
  <c r="O1916" i="2"/>
  <c r="O1915" i="2"/>
  <c r="O1914" i="2"/>
  <c r="O1913" i="2"/>
  <c r="O1912" i="2"/>
  <c r="O1911" i="2"/>
  <c r="O1910" i="2"/>
  <c r="O1909" i="2"/>
  <c r="O1908" i="2"/>
  <c r="O1907" i="2"/>
  <c r="O1906" i="2"/>
  <c r="O1905" i="2"/>
  <c r="O1904" i="2"/>
  <c r="O1903" i="2"/>
  <c r="O1902" i="2"/>
  <c r="O1901" i="2"/>
  <c r="O1900" i="2"/>
  <c r="O1899" i="2"/>
  <c r="O1898" i="2"/>
  <c r="O1897" i="2"/>
  <c r="O1896" i="2"/>
  <c r="O1895" i="2"/>
  <c r="O1894" i="2"/>
  <c r="O1893" i="2"/>
  <c r="O1892" i="2"/>
  <c r="O1891" i="2"/>
  <c r="O1890" i="2"/>
  <c r="O1889" i="2"/>
  <c r="O1888" i="2"/>
  <c r="O1887" i="2"/>
  <c r="O1886" i="2"/>
  <c r="O1885" i="2"/>
  <c r="O1884" i="2"/>
  <c r="O1883" i="2"/>
  <c r="O1882" i="2"/>
  <c r="O1881" i="2"/>
  <c r="O1880" i="2"/>
  <c r="O1879" i="2"/>
  <c r="O1878" i="2"/>
  <c r="O1877" i="2"/>
  <c r="O1876" i="2"/>
  <c r="O1875" i="2"/>
  <c r="O1874" i="2"/>
  <c r="O1873" i="2"/>
  <c r="O1872" i="2"/>
  <c r="O1871" i="2"/>
  <c r="O1870" i="2"/>
  <c r="O1869" i="2"/>
  <c r="O1868" i="2"/>
  <c r="O1867" i="2"/>
  <c r="O1866" i="2"/>
  <c r="O1865" i="2"/>
  <c r="O1864" i="2"/>
  <c r="O1863" i="2"/>
  <c r="O1862" i="2"/>
  <c r="O1861" i="2"/>
  <c r="O1860" i="2"/>
  <c r="O1859" i="2"/>
  <c r="O1858" i="2"/>
  <c r="O1857" i="2"/>
  <c r="O1856" i="2"/>
  <c r="O1855" i="2"/>
  <c r="O1854" i="2"/>
  <c r="O1853" i="2"/>
  <c r="O1852" i="2"/>
  <c r="O1851" i="2"/>
  <c r="O1850" i="2"/>
  <c r="O1849" i="2"/>
  <c r="O1848" i="2"/>
  <c r="O1847" i="2"/>
  <c r="O1846" i="2"/>
  <c r="O1845" i="2"/>
  <c r="O1844" i="2"/>
  <c r="O1843" i="2"/>
  <c r="O1842" i="2"/>
  <c r="O1841" i="2"/>
  <c r="O1840" i="2"/>
  <c r="O1839" i="2"/>
  <c r="O1838" i="2"/>
  <c r="O1837" i="2"/>
  <c r="O1836" i="2"/>
  <c r="O1835" i="2"/>
  <c r="O1834" i="2"/>
  <c r="O1833" i="2"/>
  <c r="O1832" i="2"/>
  <c r="O1831" i="2"/>
  <c r="O1830" i="2"/>
  <c r="O1829" i="2"/>
  <c r="O1828" i="2"/>
  <c r="O1827" i="2"/>
  <c r="O1826" i="2"/>
  <c r="O1825" i="2"/>
  <c r="O1824" i="2"/>
  <c r="O1823" i="2"/>
  <c r="O1822" i="2"/>
  <c r="O1821" i="2"/>
  <c r="O1820" i="2"/>
  <c r="O1819" i="2"/>
  <c r="O1818" i="2"/>
  <c r="O1817" i="2"/>
  <c r="O1816" i="2"/>
  <c r="O1815" i="2"/>
  <c r="O1814" i="2"/>
  <c r="O1813" i="2"/>
  <c r="O1812" i="2"/>
  <c r="O1811" i="2"/>
  <c r="O1810" i="2"/>
  <c r="O1809" i="2"/>
  <c r="O1808" i="2"/>
  <c r="O1807" i="2"/>
  <c r="O1806" i="2"/>
  <c r="O1805" i="2"/>
  <c r="O1804" i="2"/>
  <c r="O1803" i="2"/>
  <c r="O1802" i="2"/>
  <c r="O1801" i="2"/>
  <c r="O1800" i="2"/>
  <c r="O1799" i="2"/>
  <c r="O1798" i="2"/>
  <c r="O1797" i="2"/>
  <c r="O1796" i="2"/>
  <c r="O1795" i="2"/>
  <c r="O1794" i="2"/>
  <c r="O1793" i="2"/>
  <c r="O1792" i="2"/>
  <c r="O1791" i="2"/>
  <c r="O1790" i="2"/>
  <c r="O1789" i="2"/>
  <c r="O1788" i="2"/>
  <c r="O1787" i="2"/>
  <c r="O1786" i="2"/>
  <c r="O1785" i="2"/>
  <c r="O1784" i="2"/>
  <c r="O1783" i="2"/>
  <c r="O1782" i="2"/>
  <c r="O1781" i="2"/>
  <c r="O1780" i="2"/>
  <c r="O1779" i="2"/>
  <c r="O1778" i="2"/>
  <c r="O1777" i="2"/>
  <c r="O1776" i="2"/>
  <c r="O1775" i="2"/>
  <c r="O1774" i="2"/>
  <c r="O1773" i="2"/>
  <c r="O1772" i="2"/>
  <c r="O1771" i="2"/>
  <c r="O1770" i="2"/>
  <c r="O1769" i="2"/>
  <c r="O1768" i="2"/>
  <c r="O1767" i="2"/>
  <c r="O1766" i="2"/>
  <c r="O1765" i="2"/>
  <c r="O1764" i="2"/>
  <c r="O1763" i="2"/>
  <c r="O1762" i="2"/>
  <c r="O1761" i="2"/>
  <c r="O1760" i="2"/>
  <c r="O1759" i="2"/>
  <c r="O1758" i="2"/>
  <c r="O1757" i="2"/>
  <c r="O1756" i="2"/>
  <c r="O1755" i="2"/>
  <c r="O1754" i="2"/>
  <c r="O1753" i="2"/>
  <c r="O1752" i="2"/>
  <c r="O1751" i="2"/>
  <c r="O1750" i="2"/>
  <c r="O1749" i="2"/>
  <c r="O1748" i="2"/>
  <c r="O1747" i="2"/>
  <c r="O1746" i="2"/>
  <c r="O1745" i="2"/>
  <c r="O1744" i="2"/>
  <c r="O1743" i="2"/>
  <c r="O1742" i="2"/>
  <c r="O1741" i="2"/>
  <c r="O1740" i="2"/>
  <c r="O1739" i="2"/>
  <c r="O1738" i="2"/>
  <c r="O1737" i="2"/>
  <c r="O1736" i="2"/>
  <c r="O1735" i="2"/>
  <c r="O1734" i="2"/>
  <c r="O1733" i="2"/>
  <c r="O1732" i="2"/>
  <c r="O1731" i="2"/>
  <c r="O1730" i="2"/>
  <c r="O1729" i="2"/>
  <c r="O1728" i="2"/>
  <c r="O1727" i="2"/>
  <c r="O1726" i="2"/>
  <c r="O1725" i="2"/>
  <c r="O1724" i="2"/>
  <c r="O1723" i="2"/>
  <c r="O1722" i="2"/>
  <c r="O1721" i="2"/>
  <c r="O1720" i="2"/>
  <c r="O1719" i="2"/>
  <c r="O1718" i="2"/>
  <c r="O1717" i="2"/>
  <c r="O1716" i="2"/>
  <c r="O1715" i="2"/>
  <c r="O1714" i="2"/>
  <c r="O1713" i="2"/>
  <c r="O1712" i="2"/>
  <c r="O1711" i="2"/>
  <c r="O1710" i="2"/>
  <c r="O1709" i="2"/>
  <c r="O1708" i="2"/>
  <c r="O1707" i="2"/>
  <c r="O1706" i="2"/>
  <c r="O1705" i="2"/>
  <c r="O1704" i="2"/>
  <c r="O1703" i="2"/>
  <c r="O1702" i="2"/>
  <c r="O1701" i="2"/>
  <c r="O1700" i="2"/>
  <c r="O1699" i="2"/>
  <c r="O1698" i="2"/>
  <c r="O1697" i="2"/>
  <c r="O1696" i="2"/>
  <c r="O1695" i="2"/>
  <c r="O1694" i="2"/>
  <c r="O1693" i="2"/>
  <c r="O1692" i="2"/>
  <c r="O1691" i="2"/>
  <c r="O1690" i="2"/>
  <c r="O1689" i="2"/>
  <c r="O1688" i="2"/>
  <c r="O1687" i="2"/>
  <c r="O1686" i="2"/>
  <c r="O1685" i="2"/>
  <c r="O1684" i="2"/>
  <c r="O1683" i="2"/>
  <c r="O1682" i="2"/>
  <c r="O1681" i="2"/>
  <c r="O1680" i="2"/>
  <c r="O1679" i="2"/>
  <c r="O1678" i="2"/>
  <c r="O1677" i="2"/>
  <c r="O1676" i="2"/>
  <c r="O1675" i="2"/>
  <c r="O1674" i="2"/>
  <c r="O1673" i="2"/>
  <c r="O1672" i="2"/>
  <c r="O1671" i="2"/>
  <c r="O1670" i="2"/>
  <c r="O1669" i="2"/>
  <c r="O1668" i="2"/>
  <c r="O1667" i="2"/>
  <c r="O1666" i="2"/>
  <c r="O1665" i="2"/>
  <c r="O1664" i="2"/>
  <c r="O1663" i="2"/>
  <c r="O1662" i="2"/>
  <c r="O1661" i="2"/>
  <c r="O1660" i="2"/>
  <c r="O1659" i="2"/>
  <c r="O1658" i="2"/>
  <c r="O1657" i="2"/>
  <c r="O1656" i="2"/>
  <c r="O1655" i="2"/>
  <c r="O1654" i="2"/>
  <c r="O1653" i="2"/>
  <c r="O1652" i="2"/>
  <c r="O1651" i="2"/>
  <c r="O1650" i="2"/>
  <c r="O1649" i="2"/>
  <c r="O1648" i="2"/>
  <c r="O1647" i="2"/>
  <c r="O1646" i="2"/>
  <c r="O1645" i="2"/>
  <c r="O1644" i="2"/>
  <c r="O1643" i="2"/>
  <c r="O1642" i="2"/>
  <c r="O1641" i="2"/>
  <c r="O1640" i="2"/>
  <c r="O1639" i="2"/>
  <c r="O1638" i="2"/>
  <c r="O1637" i="2"/>
  <c r="O1636" i="2"/>
  <c r="O1635" i="2"/>
  <c r="O1634" i="2"/>
  <c r="O1633" i="2"/>
  <c r="O1632" i="2"/>
  <c r="O1631" i="2"/>
  <c r="O1630" i="2"/>
  <c r="O1629" i="2"/>
  <c r="O1628" i="2"/>
  <c r="O1627" i="2"/>
  <c r="O1626" i="2"/>
  <c r="O1625" i="2"/>
  <c r="O1624" i="2"/>
  <c r="O1623" i="2"/>
  <c r="O1622" i="2"/>
  <c r="O1621" i="2"/>
  <c r="O1620" i="2"/>
  <c r="O1619" i="2"/>
  <c r="O1618" i="2"/>
  <c r="O1617" i="2"/>
  <c r="O1616" i="2"/>
  <c r="O1615" i="2"/>
  <c r="O1614" i="2"/>
  <c r="O1613" i="2"/>
  <c r="O1612" i="2"/>
  <c r="O1611" i="2"/>
  <c r="O1610" i="2"/>
  <c r="O1609" i="2"/>
  <c r="O1608" i="2"/>
  <c r="O1607" i="2"/>
  <c r="O1606" i="2"/>
  <c r="O1605" i="2"/>
  <c r="O1604" i="2"/>
  <c r="O1603" i="2"/>
  <c r="O1602" i="2"/>
  <c r="O1601" i="2"/>
  <c r="O1600" i="2"/>
  <c r="O1599" i="2"/>
  <c r="O1598" i="2"/>
  <c r="O1597" i="2"/>
  <c r="O1596" i="2"/>
  <c r="O1595" i="2"/>
  <c r="O1594" i="2"/>
  <c r="O1593" i="2"/>
  <c r="O1592" i="2"/>
  <c r="O1591" i="2"/>
  <c r="O1590" i="2"/>
  <c r="O1589" i="2"/>
  <c r="O1588" i="2"/>
  <c r="O1587" i="2"/>
  <c r="O1586" i="2"/>
  <c r="O1585" i="2"/>
  <c r="O1584" i="2"/>
  <c r="O1583" i="2"/>
  <c r="O1582" i="2"/>
  <c r="O1581" i="2"/>
  <c r="O1580" i="2"/>
  <c r="O1579" i="2"/>
  <c r="O1578" i="2"/>
  <c r="O1577" i="2"/>
  <c r="O1576" i="2"/>
  <c r="O1575" i="2"/>
  <c r="O1574" i="2"/>
  <c r="O1573" i="2"/>
  <c r="O1572" i="2"/>
  <c r="O1571" i="2"/>
  <c r="O1570" i="2"/>
  <c r="O1569" i="2"/>
  <c r="O1568" i="2"/>
  <c r="O1567" i="2"/>
  <c r="O1566" i="2"/>
  <c r="O1565" i="2"/>
  <c r="O1564" i="2"/>
  <c r="O1563" i="2"/>
  <c r="O1562" i="2"/>
  <c r="O1561" i="2"/>
  <c r="O1560" i="2"/>
  <c r="O1559" i="2"/>
  <c r="O1558" i="2"/>
  <c r="O1557" i="2"/>
  <c r="O1556" i="2"/>
  <c r="O1555" i="2"/>
  <c r="O1554" i="2"/>
  <c r="O1553" i="2"/>
  <c r="O1552" i="2"/>
  <c r="O1551" i="2"/>
  <c r="O1550" i="2"/>
  <c r="O1549" i="2"/>
  <c r="O1548" i="2"/>
  <c r="O1547" i="2"/>
  <c r="O1546" i="2"/>
  <c r="O1545" i="2"/>
  <c r="O1544" i="2"/>
  <c r="O1543" i="2"/>
  <c r="O1542" i="2"/>
  <c r="O1541" i="2"/>
  <c r="O1540" i="2"/>
  <c r="O1539" i="2"/>
  <c r="O1538" i="2"/>
  <c r="O1537" i="2"/>
  <c r="O1536" i="2"/>
  <c r="O1535" i="2"/>
  <c r="O1534" i="2"/>
  <c r="O1533" i="2"/>
  <c r="O1532" i="2"/>
  <c r="O1531" i="2"/>
  <c r="O1530" i="2"/>
  <c r="O1529" i="2"/>
  <c r="O1528" i="2"/>
  <c r="O1527" i="2"/>
  <c r="O1526" i="2"/>
  <c r="O1525" i="2"/>
  <c r="O1524" i="2"/>
  <c r="O1523" i="2"/>
  <c r="O1522" i="2"/>
  <c r="O1521" i="2"/>
  <c r="O1520" i="2"/>
  <c r="O1519" i="2"/>
  <c r="O1518" i="2"/>
  <c r="O1517" i="2"/>
  <c r="O1516" i="2"/>
  <c r="O1515" i="2"/>
  <c r="O1514" i="2"/>
  <c r="O1513" i="2"/>
  <c r="O1512" i="2"/>
  <c r="O1511" i="2"/>
  <c r="O1510" i="2"/>
  <c r="O1509" i="2"/>
  <c r="O1508" i="2"/>
  <c r="O1507" i="2"/>
  <c r="O1506" i="2"/>
  <c r="O1505" i="2"/>
  <c r="O1504" i="2"/>
  <c r="O1503" i="2"/>
  <c r="O1502" i="2"/>
  <c r="O1501" i="2"/>
  <c r="O1500" i="2"/>
  <c r="O1499" i="2"/>
  <c r="O1498" i="2"/>
  <c r="O1497" i="2"/>
  <c r="O1496" i="2"/>
  <c r="O1495" i="2"/>
  <c r="O1494" i="2"/>
  <c r="O1493" i="2"/>
  <c r="O1492" i="2"/>
  <c r="O1491" i="2"/>
  <c r="O1490" i="2"/>
  <c r="O1489" i="2"/>
  <c r="O1488" i="2"/>
  <c r="O1487" i="2"/>
  <c r="O1486" i="2"/>
  <c r="O1485" i="2"/>
  <c r="O1484" i="2"/>
  <c r="O1483" i="2"/>
  <c r="O1482" i="2"/>
  <c r="O1481" i="2"/>
  <c r="O1480" i="2"/>
  <c r="O1479" i="2"/>
  <c r="O1478" i="2"/>
  <c r="O1477" i="2"/>
  <c r="O1476" i="2"/>
  <c r="O1475" i="2"/>
  <c r="O1474" i="2"/>
  <c r="O1473" i="2"/>
  <c r="O1472" i="2"/>
  <c r="O1471" i="2"/>
  <c r="O1470" i="2"/>
  <c r="O1469" i="2"/>
  <c r="O1468" i="2"/>
  <c r="O1467" i="2"/>
  <c r="O1466" i="2"/>
  <c r="O1465" i="2"/>
  <c r="O1464" i="2"/>
  <c r="O1463" i="2"/>
  <c r="O1462" i="2"/>
  <c r="O1461" i="2"/>
  <c r="O1460" i="2"/>
  <c r="O1459" i="2"/>
  <c r="O1458" i="2"/>
  <c r="O1457" i="2"/>
  <c r="O1456" i="2"/>
  <c r="O1455" i="2"/>
  <c r="O1454" i="2"/>
  <c r="O1453" i="2"/>
  <c r="O1452" i="2"/>
  <c r="O1451" i="2"/>
  <c r="O1450" i="2"/>
  <c r="O1449" i="2"/>
  <c r="O1448" i="2"/>
  <c r="O1447" i="2"/>
  <c r="O1446" i="2"/>
  <c r="O1445" i="2"/>
  <c r="O1444" i="2"/>
  <c r="O1443" i="2"/>
  <c r="O1442" i="2"/>
  <c r="O1441" i="2"/>
  <c r="O1440" i="2"/>
  <c r="O1439" i="2"/>
  <c r="O1438" i="2"/>
  <c r="O1437" i="2"/>
  <c r="O1436" i="2"/>
  <c r="O1435" i="2"/>
  <c r="O1434" i="2"/>
  <c r="O1433" i="2"/>
  <c r="O1432" i="2"/>
  <c r="O1431" i="2"/>
  <c r="O1430" i="2"/>
  <c r="O1429" i="2"/>
  <c r="O1428" i="2"/>
  <c r="O1427" i="2"/>
  <c r="O1426" i="2"/>
  <c r="O1425" i="2"/>
  <c r="O1424" i="2"/>
  <c r="O1423" i="2"/>
  <c r="O1422" i="2"/>
  <c r="O1421" i="2"/>
  <c r="O1420" i="2"/>
  <c r="O1419" i="2"/>
  <c r="O1418" i="2"/>
  <c r="O1417" i="2"/>
  <c r="O1416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N503" i="2"/>
  <c r="M503" i="2"/>
  <c r="F503" i="2"/>
  <c r="B503" i="2"/>
  <c r="O502" i="2"/>
  <c r="M502" i="2"/>
  <c r="N502" i="2" s="1"/>
  <c r="F502" i="2"/>
  <c r="B502" i="2"/>
  <c r="O501" i="2"/>
  <c r="N501" i="2"/>
  <c r="M501" i="2"/>
  <c r="F501" i="2"/>
  <c r="B501" i="2"/>
  <c r="O500" i="2"/>
  <c r="M500" i="2"/>
  <c r="N500" i="2" s="1"/>
  <c r="F500" i="2"/>
  <c r="B500" i="2"/>
  <c r="O499" i="2"/>
  <c r="M499" i="2"/>
  <c r="N499" i="2" s="1"/>
  <c r="F499" i="2"/>
  <c r="B499" i="2"/>
  <c r="O498" i="2"/>
  <c r="M498" i="2"/>
  <c r="N498" i="2" s="1"/>
  <c r="F498" i="2"/>
  <c r="B498" i="2"/>
  <c r="O497" i="2"/>
  <c r="N497" i="2"/>
  <c r="M497" i="2"/>
  <c r="F497" i="2"/>
  <c r="B497" i="2"/>
  <c r="O496" i="2"/>
  <c r="M496" i="2"/>
  <c r="N496" i="2" s="1"/>
  <c r="F496" i="2"/>
  <c r="B496" i="2"/>
  <c r="O495" i="2"/>
  <c r="N495" i="2"/>
  <c r="M495" i="2"/>
  <c r="F495" i="2"/>
  <c r="B495" i="2"/>
  <c r="O494" i="2"/>
  <c r="M494" i="2"/>
  <c r="N494" i="2" s="1"/>
  <c r="F494" i="2"/>
  <c r="B494" i="2"/>
  <c r="O493" i="2"/>
  <c r="N493" i="2"/>
  <c r="M493" i="2"/>
  <c r="F493" i="2"/>
  <c r="B493" i="2"/>
  <c r="O492" i="2"/>
  <c r="M492" i="2"/>
  <c r="N492" i="2" s="1"/>
  <c r="F492" i="2"/>
  <c r="B492" i="2"/>
  <c r="O491" i="2"/>
  <c r="M491" i="2"/>
  <c r="N491" i="2" s="1"/>
  <c r="F491" i="2"/>
  <c r="B491" i="2"/>
  <c r="O490" i="2"/>
  <c r="M490" i="2"/>
  <c r="N490" i="2" s="1"/>
  <c r="F490" i="2"/>
  <c r="B490" i="2"/>
  <c r="O489" i="2"/>
  <c r="N489" i="2"/>
  <c r="M489" i="2"/>
  <c r="F489" i="2"/>
  <c r="B489" i="2"/>
  <c r="O488" i="2"/>
  <c r="M488" i="2"/>
  <c r="N488" i="2" s="1"/>
  <c r="F488" i="2"/>
  <c r="B488" i="2"/>
  <c r="O487" i="2"/>
  <c r="N487" i="2"/>
  <c r="M487" i="2"/>
  <c r="F487" i="2"/>
  <c r="B487" i="2"/>
  <c r="O486" i="2"/>
  <c r="M486" i="2"/>
  <c r="N486" i="2" s="1"/>
  <c r="F486" i="2"/>
  <c r="B486" i="2"/>
  <c r="O485" i="2"/>
  <c r="N485" i="2"/>
  <c r="M485" i="2"/>
  <c r="F485" i="2"/>
  <c r="B485" i="2"/>
  <c r="O484" i="2"/>
  <c r="M484" i="2"/>
  <c r="N484" i="2" s="1"/>
  <c r="F484" i="2"/>
  <c r="B484" i="2"/>
  <c r="O483" i="2"/>
  <c r="M483" i="2"/>
  <c r="N483" i="2" s="1"/>
  <c r="F483" i="2"/>
  <c r="B483" i="2"/>
  <c r="O482" i="2"/>
  <c r="M482" i="2"/>
  <c r="N482" i="2" s="1"/>
  <c r="F482" i="2"/>
  <c r="B482" i="2"/>
  <c r="O481" i="2"/>
  <c r="N481" i="2"/>
  <c r="M481" i="2"/>
  <c r="F481" i="2"/>
  <c r="B481" i="2"/>
  <c r="O480" i="2"/>
  <c r="M480" i="2"/>
  <c r="N480" i="2" s="1"/>
  <c r="F480" i="2"/>
  <c r="B480" i="2"/>
  <c r="O479" i="2"/>
  <c r="N479" i="2"/>
  <c r="M479" i="2"/>
  <c r="F479" i="2"/>
  <c r="B479" i="2"/>
  <c r="O478" i="2"/>
  <c r="M478" i="2"/>
  <c r="N478" i="2" s="1"/>
  <c r="F478" i="2"/>
  <c r="B478" i="2"/>
  <c r="O477" i="2"/>
  <c r="N477" i="2"/>
  <c r="M477" i="2"/>
  <c r="F477" i="2"/>
  <c r="B477" i="2"/>
  <c r="O476" i="2"/>
  <c r="M476" i="2"/>
  <c r="N476" i="2" s="1"/>
  <c r="F476" i="2"/>
  <c r="B476" i="2"/>
  <c r="O475" i="2"/>
  <c r="M475" i="2"/>
  <c r="N475" i="2" s="1"/>
  <c r="F475" i="2"/>
  <c r="B475" i="2"/>
  <c r="O474" i="2"/>
  <c r="M474" i="2"/>
  <c r="N474" i="2" s="1"/>
  <c r="F474" i="2"/>
  <c r="B474" i="2"/>
  <c r="O473" i="2"/>
  <c r="N473" i="2"/>
  <c r="M473" i="2"/>
  <c r="F473" i="2"/>
  <c r="B473" i="2"/>
  <c r="O472" i="2"/>
  <c r="M472" i="2"/>
  <c r="N472" i="2" s="1"/>
  <c r="F472" i="2"/>
  <c r="B472" i="2"/>
  <c r="O471" i="2"/>
  <c r="N471" i="2"/>
  <c r="M471" i="2"/>
  <c r="F471" i="2"/>
  <c r="B471" i="2"/>
  <c r="O470" i="2"/>
  <c r="M470" i="2"/>
  <c r="N470" i="2" s="1"/>
  <c r="F470" i="2"/>
  <c r="B470" i="2"/>
  <c r="O469" i="2"/>
  <c r="N469" i="2"/>
  <c r="M469" i="2"/>
  <c r="F469" i="2"/>
  <c r="B469" i="2"/>
  <c r="O468" i="2"/>
  <c r="M468" i="2"/>
  <c r="N468" i="2" s="1"/>
  <c r="F468" i="2"/>
  <c r="B468" i="2"/>
  <c r="O467" i="2"/>
  <c r="M467" i="2"/>
  <c r="N467" i="2" s="1"/>
  <c r="F467" i="2"/>
  <c r="B467" i="2"/>
  <c r="O466" i="2"/>
  <c r="M466" i="2"/>
  <c r="N466" i="2" s="1"/>
  <c r="F466" i="2"/>
  <c r="B466" i="2"/>
  <c r="O465" i="2"/>
  <c r="N465" i="2"/>
  <c r="M465" i="2"/>
  <c r="F465" i="2"/>
  <c r="B465" i="2"/>
  <c r="O464" i="2"/>
  <c r="M464" i="2"/>
  <c r="N464" i="2" s="1"/>
  <c r="F464" i="2"/>
  <c r="B464" i="2"/>
  <c r="O463" i="2"/>
  <c r="N463" i="2"/>
  <c r="M463" i="2"/>
  <c r="F463" i="2"/>
  <c r="B463" i="2"/>
  <c r="O462" i="2"/>
  <c r="M462" i="2"/>
  <c r="N462" i="2" s="1"/>
  <c r="F462" i="2"/>
  <c r="B462" i="2"/>
  <c r="O461" i="2"/>
  <c r="N461" i="2"/>
  <c r="M461" i="2"/>
  <c r="F461" i="2"/>
  <c r="B461" i="2"/>
  <c r="O460" i="2"/>
  <c r="M460" i="2"/>
  <c r="N460" i="2" s="1"/>
  <c r="F460" i="2"/>
  <c r="B460" i="2"/>
  <c r="O459" i="2"/>
  <c r="M459" i="2"/>
  <c r="N459" i="2" s="1"/>
  <c r="F459" i="2"/>
  <c r="B459" i="2"/>
  <c r="O458" i="2"/>
  <c r="M458" i="2"/>
  <c r="N458" i="2" s="1"/>
  <c r="F458" i="2"/>
  <c r="B458" i="2"/>
  <c r="O457" i="2"/>
  <c r="N457" i="2"/>
  <c r="M457" i="2"/>
  <c r="F457" i="2"/>
  <c r="B457" i="2"/>
  <c r="O456" i="2"/>
  <c r="N456" i="2"/>
  <c r="M456" i="2"/>
  <c r="F456" i="2"/>
  <c r="B456" i="2"/>
  <c r="O455" i="2"/>
  <c r="N455" i="2"/>
  <c r="M455" i="2"/>
  <c r="F455" i="2"/>
  <c r="B455" i="2"/>
  <c r="O454" i="2"/>
  <c r="N454" i="2"/>
  <c r="M454" i="2"/>
  <c r="F454" i="2"/>
  <c r="B454" i="2"/>
  <c r="O453" i="2"/>
  <c r="N453" i="2"/>
  <c r="M453" i="2"/>
  <c r="F453" i="2"/>
  <c r="B453" i="2"/>
  <c r="O452" i="2"/>
  <c r="M452" i="2"/>
  <c r="N452" i="2" s="1"/>
  <c r="F452" i="2"/>
  <c r="B452" i="2"/>
  <c r="O451" i="2"/>
  <c r="M451" i="2"/>
  <c r="N451" i="2" s="1"/>
  <c r="F451" i="2"/>
  <c r="B451" i="2"/>
  <c r="O450" i="2"/>
  <c r="M450" i="2"/>
  <c r="N450" i="2" s="1"/>
  <c r="F450" i="2"/>
  <c r="B450" i="2"/>
  <c r="O449" i="2"/>
  <c r="N449" i="2"/>
  <c r="M449" i="2"/>
  <c r="F449" i="2"/>
  <c r="B449" i="2"/>
  <c r="O448" i="2"/>
  <c r="N448" i="2"/>
  <c r="M448" i="2"/>
  <c r="F448" i="2"/>
  <c r="B448" i="2"/>
  <c r="O447" i="2"/>
  <c r="N447" i="2"/>
  <c r="M447" i="2"/>
  <c r="F447" i="2"/>
  <c r="B447" i="2"/>
  <c r="O446" i="2"/>
  <c r="M446" i="2"/>
  <c r="N446" i="2" s="1"/>
  <c r="F446" i="2"/>
  <c r="B446" i="2"/>
  <c r="O445" i="2"/>
  <c r="N445" i="2"/>
  <c r="M445" i="2"/>
  <c r="F445" i="2"/>
  <c r="B445" i="2"/>
  <c r="O444" i="2"/>
  <c r="M444" i="2"/>
  <c r="N444" i="2" s="1"/>
  <c r="F444" i="2"/>
  <c r="B444" i="2"/>
  <c r="O443" i="2"/>
  <c r="M443" i="2"/>
  <c r="N443" i="2" s="1"/>
  <c r="F443" i="2"/>
  <c r="B443" i="2"/>
  <c r="O442" i="2"/>
  <c r="M442" i="2"/>
  <c r="N442" i="2" s="1"/>
  <c r="F442" i="2"/>
  <c r="B442" i="2"/>
  <c r="O441" i="2"/>
  <c r="N441" i="2"/>
  <c r="M441" i="2"/>
  <c r="F441" i="2"/>
  <c r="B441" i="2"/>
  <c r="O440" i="2"/>
  <c r="M440" i="2"/>
  <c r="N440" i="2" s="1"/>
  <c r="F440" i="2"/>
  <c r="B440" i="2"/>
  <c r="O439" i="2"/>
  <c r="N439" i="2"/>
  <c r="M439" i="2"/>
  <c r="F439" i="2"/>
  <c r="B439" i="2"/>
  <c r="O438" i="2"/>
  <c r="M438" i="2"/>
  <c r="N438" i="2" s="1"/>
  <c r="F438" i="2"/>
  <c r="B438" i="2"/>
  <c r="O437" i="2"/>
  <c r="N437" i="2"/>
  <c r="M437" i="2"/>
  <c r="F437" i="2"/>
  <c r="B437" i="2"/>
  <c r="O436" i="2"/>
  <c r="M436" i="2"/>
  <c r="N436" i="2" s="1"/>
  <c r="F436" i="2"/>
  <c r="B436" i="2"/>
  <c r="O435" i="2"/>
  <c r="M435" i="2"/>
  <c r="N435" i="2" s="1"/>
  <c r="F435" i="2"/>
  <c r="B435" i="2"/>
  <c r="O434" i="2"/>
  <c r="M434" i="2"/>
  <c r="N434" i="2" s="1"/>
  <c r="F434" i="2"/>
  <c r="B434" i="2"/>
  <c r="O433" i="2"/>
  <c r="N433" i="2"/>
  <c r="M433" i="2"/>
  <c r="F433" i="2"/>
  <c r="B433" i="2"/>
  <c r="O432" i="2"/>
  <c r="M432" i="2"/>
  <c r="N432" i="2" s="1"/>
  <c r="F432" i="2"/>
  <c r="B432" i="2"/>
  <c r="O431" i="2"/>
  <c r="N431" i="2"/>
  <c r="M431" i="2"/>
  <c r="F431" i="2"/>
  <c r="B431" i="2"/>
  <c r="O430" i="2"/>
  <c r="M430" i="2"/>
  <c r="N430" i="2" s="1"/>
  <c r="F430" i="2"/>
  <c r="B430" i="2"/>
  <c r="O429" i="2"/>
  <c r="N429" i="2"/>
  <c r="M429" i="2"/>
  <c r="F429" i="2"/>
  <c r="B429" i="2"/>
  <c r="O428" i="2"/>
  <c r="M428" i="2"/>
  <c r="N428" i="2" s="1"/>
  <c r="F428" i="2"/>
  <c r="B428" i="2"/>
  <c r="O427" i="2"/>
  <c r="M427" i="2"/>
  <c r="N427" i="2" s="1"/>
  <c r="F427" i="2"/>
  <c r="B427" i="2"/>
  <c r="O426" i="2"/>
  <c r="M426" i="2"/>
  <c r="N426" i="2" s="1"/>
  <c r="F426" i="2"/>
  <c r="B426" i="2"/>
  <c r="O425" i="2"/>
  <c r="N425" i="2"/>
  <c r="M425" i="2"/>
  <c r="F425" i="2"/>
  <c r="B425" i="2"/>
  <c r="O424" i="2"/>
  <c r="N424" i="2"/>
  <c r="M424" i="2"/>
  <c r="F424" i="2"/>
  <c r="B424" i="2"/>
  <c r="O423" i="2"/>
  <c r="N423" i="2"/>
  <c r="M423" i="2"/>
  <c r="F423" i="2"/>
  <c r="B423" i="2"/>
  <c r="O422" i="2"/>
  <c r="N422" i="2"/>
  <c r="M422" i="2"/>
  <c r="F422" i="2"/>
  <c r="B422" i="2"/>
  <c r="O421" i="2"/>
  <c r="N421" i="2"/>
  <c r="M421" i="2"/>
  <c r="F421" i="2"/>
  <c r="B421" i="2"/>
  <c r="O420" i="2"/>
  <c r="M420" i="2"/>
  <c r="N420" i="2" s="1"/>
  <c r="F420" i="2"/>
  <c r="B420" i="2"/>
  <c r="O419" i="2"/>
  <c r="M419" i="2"/>
  <c r="N419" i="2" s="1"/>
  <c r="F419" i="2"/>
  <c r="B419" i="2"/>
  <c r="O418" i="2"/>
  <c r="M418" i="2"/>
  <c r="N418" i="2" s="1"/>
  <c r="F418" i="2"/>
  <c r="B418" i="2"/>
  <c r="O417" i="2"/>
  <c r="N417" i="2"/>
  <c r="M417" i="2"/>
  <c r="F417" i="2"/>
  <c r="B417" i="2"/>
  <c r="O416" i="2"/>
  <c r="M416" i="2"/>
  <c r="N416" i="2" s="1"/>
  <c r="F416" i="2"/>
  <c r="B416" i="2"/>
  <c r="O415" i="2"/>
  <c r="N415" i="2"/>
  <c r="M415" i="2"/>
  <c r="F415" i="2"/>
  <c r="B415" i="2"/>
  <c r="O414" i="2"/>
  <c r="N414" i="2"/>
  <c r="M414" i="2"/>
  <c r="F414" i="2"/>
  <c r="B414" i="2"/>
  <c r="O413" i="2"/>
  <c r="N413" i="2"/>
  <c r="M413" i="2"/>
  <c r="F413" i="2"/>
  <c r="B413" i="2"/>
  <c r="O412" i="2"/>
  <c r="M412" i="2"/>
  <c r="N412" i="2" s="1"/>
  <c r="F412" i="2"/>
  <c r="B412" i="2"/>
  <c r="O411" i="2"/>
  <c r="M411" i="2"/>
  <c r="N411" i="2" s="1"/>
  <c r="F411" i="2"/>
  <c r="B411" i="2"/>
  <c r="O410" i="2"/>
  <c r="M410" i="2"/>
  <c r="N410" i="2" s="1"/>
  <c r="F410" i="2"/>
  <c r="B410" i="2"/>
  <c r="O409" i="2"/>
  <c r="N409" i="2"/>
  <c r="M409" i="2"/>
  <c r="F409" i="2"/>
  <c r="B409" i="2"/>
  <c r="O408" i="2"/>
  <c r="M408" i="2"/>
  <c r="N408" i="2" s="1"/>
  <c r="F408" i="2"/>
  <c r="B408" i="2"/>
  <c r="O407" i="2"/>
  <c r="N407" i="2"/>
  <c r="M407" i="2"/>
  <c r="F407" i="2"/>
  <c r="B407" i="2"/>
  <c r="O406" i="2"/>
  <c r="N406" i="2"/>
  <c r="M406" i="2"/>
  <c r="F406" i="2"/>
  <c r="B406" i="2"/>
  <c r="O405" i="2"/>
  <c r="N405" i="2"/>
  <c r="M405" i="2"/>
  <c r="F405" i="2"/>
  <c r="B405" i="2"/>
  <c r="O404" i="2"/>
  <c r="M404" i="2"/>
  <c r="N404" i="2" s="1"/>
  <c r="F404" i="2"/>
  <c r="B404" i="2"/>
  <c r="O403" i="2"/>
  <c r="M403" i="2"/>
  <c r="N403" i="2" s="1"/>
  <c r="F403" i="2"/>
  <c r="B403" i="2"/>
  <c r="O402" i="2"/>
  <c r="M402" i="2"/>
  <c r="N402" i="2" s="1"/>
  <c r="F402" i="2"/>
  <c r="B402" i="2"/>
  <c r="O401" i="2"/>
  <c r="N401" i="2"/>
  <c r="M401" i="2"/>
  <c r="F401" i="2"/>
  <c r="B401" i="2"/>
  <c r="O400" i="2"/>
  <c r="N400" i="2"/>
  <c r="M400" i="2"/>
  <c r="F400" i="2"/>
  <c r="B400" i="2"/>
  <c r="O399" i="2"/>
  <c r="N399" i="2"/>
  <c r="M399" i="2"/>
  <c r="F399" i="2"/>
  <c r="B399" i="2"/>
  <c r="O398" i="2"/>
  <c r="N398" i="2"/>
  <c r="M398" i="2"/>
  <c r="F398" i="2"/>
  <c r="B398" i="2"/>
  <c r="O397" i="2"/>
  <c r="N397" i="2"/>
  <c r="M397" i="2"/>
  <c r="F397" i="2"/>
  <c r="B397" i="2"/>
  <c r="O396" i="2"/>
  <c r="M396" i="2"/>
  <c r="N396" i="2" s="1"/>
  <c r="F396" i="2"/>
  <c r="B396" i="2"/>
  <c r="O395" i="2"/>
  <c r="M395" i="2"/>
  <c r="N395" i="2" s="1"/>
  <c r="F395" i="2"/>
  <c r="B395" i="2"/>
  <c r="O394" i="2"/>
  <c r="M394" i="2"/>
  <c r="N394" i="2" s="1"/>
  <c r="F394" i="2"/>
  <c r="B394" i="2"/>
  <c r="O393" i="2"/>
  <c r="N393" i="2"/>
  <c r="M393" i="2"/>
  <c r="F393" i="2"/>
  <c r="B393" i="2"/>
  <c r="O392" i="2"/>
  <c r="M392" i="2"/>
  <c r="N392" i="2" s="1"/>
  <c r="F392" i="2"/>
  <c r="B392" i="2"/>
  <c r="O391" i="2"/>
  <c r="N391" i="2"/>
  <c r="M391" i="2"/>
  <c r="F391" i="2"/>
  <c r="B391" i="2"/>
  <c r="O390" i="2"/>
  <c r="M390" i="2"/>
  <c r="N390" i="2" s="1"/>
  <c r="F390" i="2"/>
  <c r="B390" i="2"/>
  <c r="O389" i="2"/>
  <c r="N389" i="2"/>
  <c r="M389" i="2"/>
  <c r="F389" i="2"/>
  <c r="B389" i="2"/>
  <c r="O388" i="2"/>
  <c r="M388" i="2"/>
  <c r="N388" i="2" s="1"/>
  <c r="F388" i="2"/>
  <c r="B388" i="2"/>
  <c r="O387" i="2"/>
  <c r="M387" i="2"/>
  <c r="N387" i="2" s="1"/>
  <c r="F387" i="2"/>
  <c r="B387" i="2"/>
  <c r="O386" i="2"/>
  <c r="M386" i="2"/>
  <c r="N386" i="2" s="1"/>
  <c r="F386" i="2"/>
  <c r="B386" i="2"/>
  <c r="O385" i="2"/>
  <c r="N385" i="2"/>
  <c r="M385" i="2"/>
  <c r="F385" i="2"/>
  <c r="B385" i="2"/>
  <c r="O384" i="2"/>
  <c r="M384" i="2"/>
  <c r="N384" i="2" s="1"/>
  <c r="F384" i="2"/>
  <c r="B384" i="2"/>
  <c r="O383" i="2"/>
  <c r="N383" i="2"/>
  <c r="M383" i="2"/>
  <c r="F383" i="2"/>
  <c r="B383" i="2"/>
  <c r="O382" i="2"/>
  <c r="N382" i="2"/>
  <c r="M382" i="2"/>
  <c r="F382" i="2"/>
  <c r="B382" i="2"/>
  <c r="O381" i="2"/>
  <c r="N381" i="2"/>
  <c r="M381" i="2"/>
  <c r="F381" i="2"/>
  <c r="B381" i="2"/>
  <c r="O380" i="2"/>
  <c r="M380" i="2"/>
  <c r="N380" i="2" s="1"/>
  <c r="F380" i="2"/>
  <c r="B380" i="2"/>
  <c r="O379" i="2"/>
  <c r="M379" i="2"/>
  <c r="N379" i="2" s="1"/>
  <c r="F379" i="2"/>
  <c r="B379" i="2"/>
  <c r="O378" i="2"/>
  <c r="M378" i="2"/>
  <c r="N378" i="2" s="1"/>
  <c r="F378" i="2"/>
  <c r="B378" i="2"/>
  <c r="O377" i="2"/>
  <c r="N377" i="2"/>
  <c r="M377" i="2"/>
  <c r="F377" i="2"/>
  <c r="B377" i="2"/>
  <c r="O376" i="2"/>
  <c r="M376" i="2"/>
  <c r="N376" i="2" s="1"/>
  <c r="F376" i="2"/>
  <c r="B376" i="2"/>
  <c r="O375" i="2"/>
  <c r="N375" i="2"/>
  <c r="M375" i="2"/>
  <c r="F375" i="2"/>
  <c r="B375" i="2"/>
  <c r="O374" i="2"/>
  <c r="M374" i="2"/>
  <c r="N374" i="2" s="1"/>
  <c r="F374" i="2"/>
  <c r="B374" i="2"/>
  <c r="O373" i="2"/>
  <c r="N373" i="2"/>
  <c r="M373" i="2"/>
  <c r="F373" i="2"/>
  <c r="B373" i="2"/>
  <c r="O372" i="2"/>
  <c r="M372" i="2"/>
  <c r="N372" i="2" s="1"/>
  <c r="F372" i="2"/>
  <c r="B372" i="2"/>
  <c r="O371" i="2"/>
  <c r="M371" i="2"/>
  <c r="N371" i="2" s="1"/>
  <c r="F371" i="2"/>
  <c r="B371" i="2"/>
  <c r="O370" i="2"/>
  <c r="M370" i="2"/>
  <c r="N370" i="2" s="1"/>
  <c r="F370" i="2"/>
  <c r="B370" i="2"/>
  <c r="O369" i="2"/>
  <c r="N369" i="2"/>
  <c r="M369" i="2"/>
  <c r="F369" i="2"/>
  <c r="B369" i="2"/>
  <c r="O368" i="2"/>
  <c r="N368" i="2"/>
  <c r="M368" i="2"/>
  <c r="F368" i="2"/>
  <c r="B368" i="2"/>
  <c r="O367" i="2"/>
  <c r="N367" i="2"/>
  <c r="M367" i="2"/>
  <c r="F367" i="2"/>
  <c r="B367" i="2"/>
  <c r="O366" i="2"/>
  <c r="N366" i="2"/>
  <c r="M366" i="2"/>
  <c r="F366" i="2"/>
  <c r="B366" i="2"/>
  <c r="O365" i="2"/>
  <c r="N365" i="2"/>
  <c r="M365" i="2"/>
  <c r="F365" i="2"/>
  <c r="B365" i="2"/>
  <c r="O364" i="2"/>
  <c r="M364" i="2"/>
  <c r="N364" i="2" s="1"/>
  <c r="F364" i="2"/>
  <c r="B364" i="2"/>
  <c r="O363" i="2"/>
  <c r="M363" i="2"/>
  <c r="N363" i="2" s="1"/>
  <c r="F363" i="2"/>
  <c r="B363" i="2"/>
  <c r="O362" i="2"/>
  <c r="M362" i="2"/>
  <c r="N362" i="2" s="1"/>
  <c r="F362" i="2"/>
  <c r="B362" i="2"/>
  <c r="O361" i="2"/>
  <c r="N361" i="2"/>
  <c r="M361" i="2"/>
  <c r="F361" i="2"/>
  <c r="B361" i="2"/>
  <c r="O360" i="2"/>
  <c r="N360" i="2"/>
  <c r="M360" i="2"/>
  <c r="F360" i="2"/>
  <c r="B360" i="2"/>
  <c r="O359" i="2"/>
  <c r="N359" i="2"/>
  <c r="M359" i="2"/>
  <c r="F359" i="2"/>
  <c r="B359" i="2"/>
  <c r="O358" i="2"/>
  <c r="M358" i="2"/>
  <c r="N358" i="2" s="1"/>
  <c r="F358" i="2"/>
  <c r="B358" i="2"/>
  <c r="O357" i="2"/>
  <c r="N357" i="2"/>
  <c r="M357" i="2"/>
  <c r="F357" i="2"/>
  <c r="B357" i="2"/>
  <c r="O356" i="2"/>
  <c r="M356" i="2"/>
  <c r="N356" i="2" s="1"/>
  <c r="F356" i="2"/>
  <c r="B356" i="2"/>
  <c r="O355" i="2"/>
  <c r="M355" i="2"/>
  <c r="N355" i="2" s="1"/>
  <c r="F355" i="2"/>
  <c r="B355" i="2"/>
  <c r="O354" i="2"/>
  <c r="M354" i="2"/>
  <c r="N354" i="2" s="1"/>
  <c r="F354" i="2"/>
  <c r="B354" i="2"/>
  <c r="O353" i="2"/>
  <c r="N353" i="2"/>
  <c r="M353" i="2"/>
  <c r="F353" i="2"/>
  <c r="B353" i="2"/>
  <c r="O352" i="2"/>
  <c r="M352" i="2"/>
  <c r="N352" i="2" s="1"/>
  <c r="F352" i="2"/>
  <c r="B352" i="2"/>
  <c r="O351" i="2"/>
  <c r="N351" i="2"/>
  <c r="M351" i="2"/>
  <c r="F351" i="2"/>
  <c r="B351" i="2"/>
  <c r="O350" i="2"/>
  <c r="M350" i="2"/>
  <c r="N350" i="2" s="1"/>
  <c r="F350" i="2"/>
  <c r="B350" i="2"/>
  <c r="O349" i="2"/>
  <c r="N349" i="2"/>
  <c r="M349" i="2"/>
  <c r="F349" i="2"/>
  <c r="B349" i="2"/>
  <c r="O348" i="2"/>
  <c r="M348" i="2"/>
  <c r="N348" i="2" s="1"/>
  <c r="F348" i="2"/>
  <c r="B348" i="2"/>
  <c r="O347" i="2"/>
  <c r="M347" i="2"/>
  <c r="N347" i="2" s="1"/>
  <c r="F347" i="2"/>
  <c r="B347" i="2"/>
  <c r="O346" i="2"/>
  <c r="M346" i="2"/>
  <c r="N346" i="2" s="1"/>
  <c r="F346" i="2"/>
  <c r="B346" i="2"/>
  <c r="O345" i="2"/>
  <c r="N345" i="2"/>
  <c r="M345" i="2"/>
  <c r="F345" i="2"/>
  <c r="B345" i="2"/>
  <c r="O344" i="2"/>
  <c r="M344" i="2"/>
  <c r="N344" i="2" s="1"/>
  <c r="F344" i="2"/>
  <c r="B344" i="2"/>
  <c r="O343" i="2"/>
  <c r="N343" i="2"/>
  <c r="M343" i="2"/>
  <c r="F343" i="2"/>
  <c r="B343" i="2"/>
  <c r="O342" i="2"/>
  <c r="M342" i="2"/>
  <c r="N342" i="2" s="1"/>
  <c r="F342" i="2"/>
  <c r="B342" i="2"/>
  <c r="O341" i="2"/>
  <c r="N341" i="2"/>
  <c r="M341" i="2"/>
  <c r="F341" i="2"/>
  <c r="B341" i="2"/>
  <c r="O340" i="2"/>
  <c r="M340" i="2"/>
  <c r="N340" i="2" s="1"/>
  <c r="F340" i="2"/>
  <c r="B340" i="2"/>
  <c r="O339" i="2"/>
  <c r="M339" i="2"/>
  <c r="N339" i="2" s="1"/>
  <c r="F339" i="2"/>
  <c r="B339" i="2"/>
  <c r="O338" i="2"/>
  <c r="M338" i="2"/>
  <c r="N338" i="2" s="1"/>
  <c r="F338" i="2"/>
  <c r="B338" i="2"/>
  <c r="O337" i="2"/>
  <c r="N337" i="2"/>
  <c r="M337" i="2"/>
  <c r="F337" i="2"/>
  <c r="B337" i="2"/>
  <c r="O336" i="2"/>
  <c r="N336" i="2"/>
  <c r="M336" i="2"/>
  <c r="F336" i="2"/>
  <c r="B336" i="2"/>
  <c r="O335" i="2"/>
  <c r="N335" i="2"/>
  <c r="M335" i="2"/>
  <c r="F335" i="2"/>
  <c r="B335" i="2"/>
  <c r="O334" i="2"/>
  <c r="N334" i="2"/>
  <c r="M334" i="2"/>
  <c r="F334" i="2"/>
  <c r="B334" i="2"/>
  <c r="O333" i="2"/>
  <c r="N333" i="2"/>
  <c r="M333" i="2"/>
  <c r="F333" i="2"/>
  <c r="B333" i="2"/>
  <c r="O332" i="2"/>
  <c r="M332" i="2"/>
  <c r="N332" i="2" s="1"/>
  <c r="F332" i="2"/>
  <c r="B332" i="2"/>
  <c r="O331" i="2"/>
  <c r="M331" i="2"/>
  <c r="N331" i="2" s="1"/>
  <c r="F331" i="2"/>
  <c r="B331" i="2"/>
  <c r="O330" i="2"/>
  <c r="M330" i="2"/>
  <c r="N330" i="2" s="1"/>
  <c r="F330" i="2"/>
  <c r="B330" i="2"/>
  <c r="O329" i="2"/>
  <c r="N329" i="2"/>
  <c r="M329" i="2"/>
  <c r="F329" i="2"/>
  <c r="B329" i="2"/>
  <c r="O328" i="2"/>
  <c r="M328" i="2"/>
  <c r="N328" i="2" s="1"/>
  <c r="F328" i="2"/>
  <c r="B328" i="2"/>
  <c r="O327" i="2"/>
  <c r="N327" i="2"/>
  <c r="M327" i="2"/>
  <c r="F327" i="2"/>
  <c r="B327" i="2"/>
  <c r="O326" i="2"/>
  <c r="M326" i="2"/>
  <c r="N326" i="2" s="1"/>
  <c r="F326" i="2"/>
  <c r="B326" i="2"/>
  <c r="O325" i="2"/>
  <c r="N325" i="2"/>
  <c r="M325" i="2"/>
  <c r="F325" i="2"/>
  <c r="B325" i="2"/>
  <c r="O324" i="2"/>
  <c r="M324" i="2"/>
  <c r="N324" i="2" s="1"/>
  <c r="F324" i="2"/>
  <c r="B324" i="2"/>
  <c r="O323" i="2"/>
  <c r="M323" i="2"/>
  <c r="N323" i="2" s="1"/>
  <c r="F323" i="2"/>
  <c r="B323" i="2"/>
  <c r="O322" i="2"/>
  <c r="M322" i="2"/>
  <c r="N322" i="2" s="1"/>
  <c r="F322" i="2"/>
  <c r="B322" i="2"/>
  <c r="O321" i="2"/>
  <c r="N321" i="2"/>
  <c r="M321" i="2"/>
  <c r="F321" i="2"/>
  <c r="B321" i="2"/>
  <c r="O320" i="2"/>
  <c r="N320" i="2"/>
  <c r="M320" i="2"/>
  <c r="F320" i="2"/>
  <c r="B320" i="2"/>
  <c r="O319" i="2"/>
  <c r="N319" i="2"/>
  <c r="M319" i="2"/>
  <c r="F319" i="2"/>
  <c r="B319" i="2"/>
  <c r="O318" i="2"/>
  <c r="M318" i="2"/>
  <c r="N318" i="2" s="1"/>
  <c r="F318" i="2"/>
  <c r="B318" i="2"/>
  <c r="O317" i="2"/>
  <c r="N317" i="2"/>
  <c r="M317" i="2"/>
  <c r="F317" i="2"/>
  <c r="B317" i="2"/>
  <c r="O316" i="2"/>
  <c r="M316" i="2"/>
  <c r="N316" i="2" s="1"/>
  <c r="F316" i="2"/>
  <c r="B316" i="2"/>
  <c r="O315" i="2"/>
  <c r="M315" i="2"/>
  <c r="N315" i="2" s="1"/>
  <c r="F315" i="2"/>
  <c r="B315" i="2"/>
  <c r="O314" i="2"/>
  <c r="M314" i="2"/>
  <c r="N314" i="2" s="1"/>
  <c r="F314" i="2"/>
  <c r="B314" i="2"/>
  <c r="O313" i="2"/>
  <c r="N313" i="2"/>
  <c r="M313" i="2"/>
  <c r="F313" i="2"/>
  <c r="B313" i="2"/>
  <c r="O312" i="2"/>
  <c r="N312" i="2"/>
  <c r="M312" i="2"/>
  <c r="F312" i="2"/>
  <c r="B312" i="2"/>
  <c r="O311" i="2"/>
  <c r="N311" i="2"/>
  <c r="M311" i="2"/>
  <c r="F311" i="2"/>
  <c r="B311" i="2"/>
  <c r="O310" i="2"/>
  <c r="N310" i="2"/>
  <c r="M310" i="2"/>
  <c r="F310" i="2"/>
  <c r="B310" i="2"/>
  <c r="O309" i="2"/>
  <c r="N309" i="2"/>
  <c r="M309" i="2"/>
  <c r="F309" i="2"/>
  <c r="B309" i="2"/>
  <c r="O308" i="2"/>
  <c r="M308" i="2"/>
  <c r="N308" i="2" s="1"/>
  <c r="F308" i="2"/>
  <c r="B308" i="2"/>
  <c r="O307" i="2"/>
  <c r="M307" i="2"/>
  <c r="N307" i="2" s="1"/>
  <c r="F307" i="2"/>
  <c r="B307" i="2"/>
  <c r="O306" i="2"/>
  <c r="M306" i="2"/>
  <c r="N306" i="2" s="1"/>
  <c r="F306" i="2"/>
  <c r="B306" i="2"/>
  <c r="O305" i="2"/>
  <c r="N305" i="2"/>
  <c r="M305" i="2"/>
  <c r="F305" i="2"/>
  <c r="B305" i="2"/>
  <c r="O304" i="2"/>
  <c r="N304" i="2"/>
  <c r="M304" i="2"/>
  <c r="F304" i="2"/>
  <c r="B304" i="2"/>
  <c r="O303" i="2"/>
  <c r="N303" i="2"/>
  <c r="M303" i="2"/>
  <c r="F303" i="2"/>
  <c r="B303" i="2"/>
  <c r="O302" i="2"/>
  <c r="M302" i="2"/>
  <c r="N302" i="2" s="1"/>
  <c r="F302" i="2"/>
  <c r="B302" i="2"/>
  <c r="O301" i="2"/>
  <c r="N301" i="2"/>
  <c r="M301" i="2"/>
  <c r="F301" i="2"/>
  <c r="B301" i="2"/>
  <c r="O300" i="2"/>
  <c r="M300" i="2"/>
  <c r="N300" i="2" s="1"/>
  <c r="F300" i="2"/>
  <c r="B300" i="2"/>
  <c r="O299" i="2"/>
  <c r="M299" i="2"/>
  <c r="N299" i="2" s="1"/>
  <c r="F299" i="2"/>
  <c r="B299" i="2"/>
  <c r="O298" i="2"/>
  <c r="M298" i="2"/>
  <c r="N298" i="2" s="1"/>
  <c r="F298" i="2"/>
  <c r="B298" i="2"/>
  <c r="O297" i="2"/>
  <c r="N297" i="2"/>
  <c r="M297" i="2"/>
  <c r="F297" i="2"/>
  <c r="B297" i="2"/>
  <c r="O296" i="2"/>
  <c r="N296" i="2"/>
  <c r="M296" i="2"/>
  <c r="F296" i="2"/>
  <c r="B296" i="2"/>
  <c r="O295" i="2"/>
  <c r="N295" i="2"/>
  <c r="M295" i="2"/>
  <c r="F295" i="2"/>
  <c r="B295" i="2"/>
  <c r="O294" i="2"/>
  <c r="N294" i="2"/>
  <c r="M294" i="2"/>
  <c r="F294" i="2"/>
  <c r="B294" i="2"/>
  <c r="O293" i="2"/>
  <c r="N293" i="2"/>
  <c r="M293" i="2"/>
  <c r="F293" i="2"/>
  <c r="B293" i="2"/>
  <c r="O292" i="2"/>
  <c r="M292" i="2"/>
  <c r="N292" i="2" s="1"/>
  <c r="F292" i="2"/>
  <c r="B292" i="2"/>
  <c r="O291" i="2"/>
  <c r="M291" i="2"/>
  <c r="N291" i="2" s="1"/>
  <c r="F291" i="2"/>
  <c r="B291" i="2"/>
  <c r="O290" i="2"/>
  <c r="M290" i="2"/>
  <c r="N290" i="2" s="1"/>
  <c r="F290" i="2"/>
  <c r="B290" i="2"/>
  <c r="O289" i="2"/>
  <c r="N289" i="2"/>
  <c r="M289" i="2"/>
  <c r="F289" i="2"/>
  <c r="B289" i="2"/>
  <c r="O288" i="2"/>
  <c r="N288" i="2"/>
  <c r="M288" i="2"/>
  <c r="F288" i="2"/>
  <c r="B288" i="2"/>
  <c r="O287" i="2"/>
  <c r="N287" i="2"/>
  <c r="M287" i="2"/>
  <c r="F287" i="2"/>
  <c r="B287" i="2"/>
  <c r="O286" i="2"/>
  <c r="M286" i="2"/>
  <c r="N286" i="2" s="1"/>
  <c r="F286" i="2"/>
  <c r="B286" i="2"/>
  <c r="O285" i="2"/>
  <c r="N285" i="2"/>
  <c r="M285" i="2"/>
  <c r="F285" i="2"/>
  <c r="B285" i="2"/>
  <c r="O284" i="2"/>
  <c r="M284" i="2"/>
  <c r="N284" i="2" s="1"/>
  <c r="F284" i="2"/>
  <c r="B284" i="2"/>
  <c r="O283" i="2"/>
  <c r="M283" i="2"/>
  <c r="N283" i="2" s="1"/>
  <c r="F283" i="2"/>
  <c r="B283" i="2"/>
  <c r="O282" i="2"/>
  <c r="M282" i="2"/>
  <c r="N282" i="2" s="1"/>
  <c r="F282" i="2"/>
  <c r="B282" i="2"/>
  <c r="O281" i="2"/>
  <c r="N281" i="2"/>
  <c r="M281" i="2"/>
  <c r="F281" i="2"/>
  <c r="B281" i="2"/>
  <c r="O280" i="2"/>
  <c r="N280" i="2"/>
  <c r="M280" i="2"/>
  <c r="F280" i="2"/>
  <c r="B280" i="2"/>
  <c r="O279" i="2"/>
  <c r="N279" i="2"/>
  <c r="M279" i="2"/>
  <c r="F279" i="2"/>
  <c r="B279" i="2"/>
  <c r="O278" i="2"/>
  <c r="N278" i="2"/>
  <c r="M278" i="2"/>
  <c r="F278" i="2"/>
  <c r="B278" i="2"/>
  <c r="O277" i="2"/>
  <c r="N277" i="2"/>
  <c r="M277" i="2"/>
  <c r="F277" i="2"/>
  <c r="B277" i="2"/>
  <c r="O276" i="2"/>
  <c r="M276" i="2"/>
  <c r="N276" i="2" s="1"/>
  <c r="F276" i="2"/>
  <c r="B276" i="2"/>
  <c r="O275" i="2"/>
  <c r="M275" i="2"/>
  <c r="N275" i="2" s="1"/>
  <c r="F275" i="2"/>
  <c r="B275" i="2"/>
  <c r="O274" i="2"/>
  <c r="M274" i="2"/>
  <c r="N274" i="2" s="1"/>
  <c r="F274" i="2"/>
  <c r="B274" i="2"/>
  <c r="O273" i="2"/>
  <c r="N273" i="2"/>
  <c r="M273" i="2"/>
  <c r="F273" i="2"/>
  <c r="B273" i="2"/>
  <c r="O272" i="2"/>
  <c r="N272" i="2"/>
  <c r="M272" i="2"/>
  <c r="F272" i="2"/>
  <c r="B272" i="2"/>
  <c r="O271" i="2"/>
  <c r="N271" i="2"/>
  <c r="M271" i="2"/>
  <c r="F271" i="2"/>
  <c r="B271" i="2"/>
  <c r="O270" i="2"/>
  <c r="M270" i="2"/>
  <c r="N270" i="2" s="1"/>
  <c r="F270" i="2"/>
  <c r="B270" i="2"/>
  <c r="O269" i="2"/>
  <c r="N269" i="2"/>
  <c r="M269" i="2"/>
  <c r="F269" i="2"/>
  <c r="B269" i="2"/>
  <c r="O268" i="2"/>
  <c r="N268" i="2"/>
  <c r="M268" i="2"/>
  <c r="F268" i="2"/>
  <c r="B268" i="2"/>
  <c r="O267" i="2"/>
  <c r="M267" i="2"/>
  <c r="N267" i="2" s="1"/>
  <c r="F267" i="2"/>
  <c r="B267" i="2"/>
  <c r="O266" i="2"/>
  <c r="M266" i="2"/>
  <c r="N266" i="2" s="1"/>
  <c r="F266" i="2"/>
  <c r="B266" i="2"/>
  <c r="O265" i="2"/>
  <c r="N265" i="2"/>
  <c r="M265" i="2"/>
  <c r="F265" i="2"/>
  <c r="B265" i="2"/>
  <c r="O264" i="2"/>
  <c r="N264" i="2"/>
  <c r="M264" i="2"/>
  <c r="F264" i="2"/>
  <c r="B264" i="2"/>
  <c r="O263" i="2"/>
  <c r="N263" i="2"/>
  <c r="M263" i="2"/>
  <c r="F263" i="2"/>
  <c r="B263" i="2"/>
  <c r="O262" i="2"/>
  <c r="N262" i="2"/>
  <c r="M262" i="2"/>
  <c r="F262" i="2"/>
  <c r="B262" i="2"/>
  <c r="O261" i="2"/>
  <c r="N261" i="2"/>
  <c r="M261" i="2"/>
  <c r="F261" i="2"/>
  <c r="B261" i="2"/>
  <c r="O260" i="2"/>
  <c r="N260" i="2"/>
  <c r="M260" i="2"/>
  <c r="F260" i="2"/>
  <c r="B260" i="2"/>
  <c r="O259" i="2"/>
  <c r="M259" i="2"/>
  <c r="N259" i="2" s="1"/>
  <c r="F259" i="2"/>
  <c r="B259" i="2"/>
  <c r="O258" i="2"/>
  <c r="M258" i="2"/>
  <c r="N258" i="2" s="1"/>
  <c r="F258" i="2"/>
  <c r="B258" i="2"/>
  <c r="O257" i="2"/>
  <c r="N257" i="2"/>
  <c r="M257" i="2"/>
  <c r="F257" i="2"/>
  <c r="B257" i="2"/>
  <c r="O256" i="2"/>
  <c r="N256" i="2"/>
  <c r="M256" i="2"/>
  <c r="F256" i="2"/>
  <c r="B256" i="2"/>
  <c r="O255" i="2"/>
  <c r="N255" i="2"/>
  <c r="M255" i="2"/>
  <c r="F255" i="2"/>
  <c r="B255" i="2"/>
  <c r="O254" i="2"/>
  <c r="M254" i="2"/>
  <c r="N254" i="2" s="1"/>
  <c r="F254" i="2"/>
  <c r="B254" i="2"/>
  <c r="O253" i="2"/>
  <c r="N253" i="2"/>
  <c r="M253" i="2"/>
  <c r="F253" i="2"/>
  <c r="B253" i="2"/>
  <c r="O252" i="2"/>
  <c r="N252" i="2"/>
  <c r="M252" i="2"/>
  <c r="F252" i="2"/>
  <c r="B252" i="2"/>
  <c r="O251" i="2"/>
  <c r="M251" i="2"/>
  <c r="N251" i="2" s="1"/>
  <c r="F251" i="2"/>
  <c r="B251" i="2"/>
  <c r="O250" i="2"/>
  <c r="M250" i="2"/>
  <c r="N250" i="2" s="1"/>
  <c r="F250" i="2"/>
  <c r="B250" i="2"/>
  <c r="O249" i="2"/>
  <c r="N249" i="2"/>
  <c r="M249" i="2"/>
  <c r="F249" i="2"/>
  <c r="B249" i="2"/>
  <c r="O248" i="2"/>
  <c r="N248" i="2"/>
  <c r="M248" i="2"/>
  <c r="F248" i="2"/>
  <c r="B248" i="2"/>
  <c r="O247" i="2"/>
  <c r="N247" i="2"/>
  <c r="M247" i="2"/>
  <c r="F247" i="2"/>
  <c r="B247" i="2"/>
  <c r="O246" i="2"/>
  <c r="M246" i="2"/>
  <c r="N246" i="2" s="1"/>
  <c r="F246" i="2"/>
  <c r="B246" i="2"/>
  <c r="O245" i="2"/>
  <c r="N245" i="2"/>
  <c r="M245" i="2"/>
  <c r="F245" i="2"/>
  <c r="B245" i="2"/>
  <c r="O244" i="2"/>
  <c r="N244" i="2"/>
  <c r="M244" i="2"/>
  <c r="F244" i="2"/>
  <c r="B244" i="2"/>
  <c r="O243" i="2"/>
  <c r="M243" i="2"/>
  <c r="N243" i="2" s="1"/>
  <c r="F243" i="2"/>
  <c r="B243" i="2"/>
  <c r="O242" i="2"/>
  <c r="M242" i="2"/>
  <c r="N242" i="2" s="1"/>
  <c r="F242" i="2"/>
  <c r="B242" i="2"/>
  <c r="O241" i="2"/>
  <c r="N241" i="2"/>
  <c r="M241" i="2"/>
  <c r="F241" i="2"/>
  <c r="B241" i="2"/>
  <c r="O240" i="2"/>
  <c r="N240" i="2"/>
  <c r="M240" i="2"/>
  <c r="F240" i="2"/>
  <c r="B240" i="2"/>
  <c r="O239" i="2"/>
  <c r="N239" i="2"/>
  <c r="M239" i="2"/>
  <c r="F239" i="2"/>
  <c r="B239" i="2"/>
  <c r="O238" i="2"/>
  <c r="M238" i="2"/>
  <c r="N238" i="2" s="1"/>
  <c r="F238" i="2"/>
  <c r="B238" i="2"/>
  <c r="O237" i="2"/>
  <c r="N237" i="2"/>
  <c r="M237" i="2"/>
  <c r="F237" i="2"/>
  <c r="B237" i="2"/>
  <c r="O236" i="2"/>
  <c r="N236" i="2"/>
  <c r="M236" i="2"/>
  <c r="F236" i="2"/>
  <c r="B236" i="2"/>
  <c r="O235" i="2"/>
  <c r="M235" i="2"/>
  <c r="N235" i="2" s="1"/>
  <c r="F235" i="2"/>
  <c r="B235" i="2"/>
  <c r="O234" i="2"/>
  <c r="M234" i="2"/>
  <c r="N234" i="2" s="1"/>
  <c r="F234" i="2"/>
  <c r="B234" i="2"/>
  <c r="O233" i="2"/>
  <c r="N233" i="2"/>
  <c r="M233" i="2"/>
  <c r="F233" i="2"/>
  <c r="B233" i="2"/>
  <c r="O232" i="2"/>
  <c r="N232" i="2"/>
  <c r="M232" i="2"/>
  <c r="F232" i="2"/>
  <c r="B232" i="2"/>
  <c r="O231" i="2"/>
  <c r="M231" i="2"/>
  <c r="N231" i="2" s="1"/>
  <c r="F231" i="2"/>
  <c r="B231" i="2"/>
  <c r="O230" i="2"/>
  <c r="M230" i="2"/>
  <c r="N230" i="2" s="1"/>
  <c r="F230" i="2"/>
  <c r="B230" i="2"/>
  <c r="O229" i="2"/>
  <c r="N229" i="2"/>
  <c r="M229" i="2"/>
  <c r="F229" i="2"/>
  <c r="B229" i="2"/>
  <c r="O228" i="2"/>
  <c r="M228" i="2"/>
  <c r="N228" i="2" s="1"/>
  <c r="F228" i="2"/>
  <c r="B228" i="2"/>
  <c r="O227" i="2"/>
  <c r="M227" i="2"/>
  <c r="N227" i="2" s="1"/>
  <c r="F227" i="2"/>
  <c r="B227" i="2"/>
  <c r="O226" i="2"/>
  <c r="M226" i="2"/>
  <c r="N226" i="2" s="1"/>
  <c r="F226" i="2"/>
  <c r="B226" i="2"/>
  <c r="O225" i="2"/>
  <c r="N225" i="2"/>
  <c r="M225" i="2"/>
  <c r="F225" i="2"/>
  <c r="B225" i="2"/>
  <c r="O224" i="2"/>
  <c r="N224" i="2"/>
  <c r="M224" i="2"/>
  <c r="F224" i="2"/>
  <c r="B224" i="2"/>
  <c r="O223" i="2"/>
  <c r="N223" i="2"/>
  <c r="M223" i="2"/>
  <c r="F223" i="2"/>
  <c r="B223" i="2"/>
  <c r="O222" i="2"/>
  <c r="M222" i="2"/>
  <c r="N222" i="2" s="1"/>
  <c r="F222" i="2"/>
  <c r="B222" i="2"/>
  <c r="O221" i="2"/>
  <c r="N221" i="2"/>
  <c r="M221" i="2"/>
  <c r="F221" i="2"/>
  <c r="B221" i="2"/>
  <c r="O220" i="2"/>
  <c r="M220" i="2"/>
  <c r="N220" i="2" s="1"/>
  <c r="F220" i="2"/>
  <c r="B220" i="2"/>
  <c r="O219" i="2"/>
  <c r="M219" i="2"/>
  <c r="N219" i="2" s="1"/>
  <c r="F219" i="2"/>
  <c r="B219" i="2"/>
  <c r="O218" i="2"/>
  <c r="M218" i="2"/>
  <c r="N218" i="2" s="1"/>
  <c r="F218" i="2"/>
  <c r="B218" i="2"/>
  <c r="O217" i="2"/>
  <c r="N217" i="2"/>
  <c r="M217" i="2"/>
  <c r="F217" i="2"/>
  <c r="B217" i="2"/>
  <c r="O216" i="2"/>
  <c r="N216" i="2"/>
  <c r="M216" i="2"/>
  <c r="F216" i="2"/>
  <c r="B216" i="2"/>
  <c r="O215" i="2"/>
  <c r="N215" i="2"/>
  <c r="M215" i="2"/>
  <c r="F215" i="2"/>
  <c r="B215" i="2"/>
  <c r="O214" i="2"/>
  <c r="N214" i="2"/>
  <c r="M214" i="2"/>
  <c r="F214" i="2"/>
  <c r="B214" i="2"/>
  <c r="O213" i="2"/>
  <c r="N213" i="2"/>
  <c r="M213" i="2"/>
  <c r="F213" i="2"/>
  <c r="B213" i="2"/>
  <c r="O212" i="2"/>
  <c r="M212" i="2"/>
  <c r="N212" i="2" s="1"/>
  <c r="F212" i="2"/>
  <c r="B212" i="2"/>
  <c r="O211" i="2"/>
  <c r="M211" i="2"/>
  <c r="N211" i="2" s="1"/>
  <c r="F211" i="2"/>
  <c r="B211" i="2"/>
  <c r="O210" i="2"/>
  <c r="M210" i="2"/>
  <c r="N210" i="2" s="1"/>
  <c r="F210" i="2"/>
  <c r="B210" i="2"/>
  <c r="O209" i="2"/>
  <c r="N209" i="2"/>
  <c r="M209" i="2"/>
  <c r="F209" i="2"/>
  <c r="B209" i="2"/>
  <c r="O208" i="2"/>
  <c r="N208" i="2"/>
  <c r="M208" i="2"/>
  <c r="F208" i="2"/>
  <c r="B208" i="2"/>
  <c r="O207" i="2"/>
  <c r="N207" i="2"/>
  <c r="M207" i="2"/>
  <c r="F207" i="2"/>
  <c r="B207" i="2"/>
  <c r="O206" i="2"/>
  <c r="M206" i="2"/>
  <c r="N206" i="2" s="1"/>
  <c r="F206" i="2"/>
  <c r="B206" i="2"/>
  <c r="O205" i="2"/>
  <c r="K205" i="2"/>
  <c r="F205" i="2"/>
  <c r="B205" i="2"/>
  <c r="O204" i="2"/>
  <c r="K204" i="2"/>
  <c r="F204" i="2"/>
  <c r="B204" i="2"/>
  <c r="O203" i="2"/>
  <c r="K203" i="2"/>
  <c r="F203" i="2"/>
  <c r="B203" i="2"/>
  <c r="O202" i="2"/>
  <c r="K202" i="2"/>
  <c r="F202" i="2"/>
  <c r="B202" i="2"/>
  <c r="O201" i="2"/>
  <c r="K201" i="2"/>
  <c r="F201" i="2"/>
  <c r="B201" i="2"/>
  <c r="O200" i="2"/>
  <c r="K200" i="2"/>
  <c r="F200" i="2"/>
  <c r="B200" i="2"/>
  <c r="O199" i="2"/>
  <c r="K199" i="2"/>
  <c r="F199" i="2"/>
  <c r="B199" i="2"/>
  <c r="O198" i="2"/>
  <c r="K198" i="2"/>
  <c r="F198" i="2"/>
  <c r="B198" i="2"/>
  <c r="O197" i="2"/>
  <c r="K197" i="2"/>
  <c r="F197" i="2"/>
  <c r="B197" i="2"/>
  <c r="O196" i="2"/>
  <c r="K196" i="2"/>
  <c r="F196" i="2"/>
  <c r="B196" i="2"/>
  <c r="O195" i="2"/>
  <c r="K195" i="2"/>
  <c r="F195" i="2"/>
  <c r="B195" i="2"/>
  <c r="O194" i="2"/>
  <c r="K194" i="2"/>
  <c r="F194" i="2"/>
  <c r="B194" i="2"/>
  <c r="O193" i="2"/>
  <c r="K193" i="2"/>
  <c r="F193" i="2"/>
  <c r="B193" i="2"/>
  <c r="O192" i="2"/>
  <c r="K192" i="2"/>
  <c r="F192" i="2"/>
  <c r="B192" i="2"/>
  <c r="O191" i="2"/>
  <c r="K191" i="2"/>
  <c r="F191" i="2"/>
  <c r="B191" i="2"/>
  <c r="O190" i="2"/>
  <c r="K190" i="2"/>
  <c r="F190" i="2"/>
  <c r="B190" i="2"/>
  <c r="O189" i="2"/>
  <c r="K189" i="2"/>
  <c r="F189" i="2"/>
  <c r="B189" i="2"/>
  <c r="O188" i="2"/>
  <c r="K188" i="2"/>
  <c r="F188" i="2"/>
  <c r="B188" i="2"/>
  <c r="O187" i="2"/>
  <c r="K187" i="2"/>
  <c r="F187" i="2"/>
  <c r="B187" i="2"/>
  <c r="O186" i="2"/>
  <c r="K186" i="2"/>
  <c r="F186" i="2"/>
  <c r="B186" i="2"/>
  <c r="O185" i="2"/>
  <c r="K185" i="2"/>
  <c r="F185" i="2"/>
  <c r="B185" i="2"/>
  <c r="O184" i="2"/>
  <c r="K184" i="2"/>
  <c r="F184" i="2"/>
  <c r="B184" i="2"/>
  <c r="O183" i="2"/>
  <c r="K183" i="2"/>
  <c r="F183" i="2"/>
  <c r="B183" i="2"/>
  <c r="O182" i="2"/>
  <c r="K182" i="2"/>
  <c r="F182" i="2"/>
  <c r="B182" i="2"/>
  <c r="O181" i="2"/>
  <c r="K181" i="2"/>
  <c r="F181" i="2"/>
  <c r="B181" i="2"/>
  <c r="O180" i="2"/>
  <c r="K180" i="2"/>
  <c r="F180" i="2"/>
  <c r="B180" i="2"/>
  <c r="O179" i="2"/>
  <c r="K179" i="2"/>
  <c r="F179" i="2"/>
  <c r="B179" i="2"/>
  <c r="O178" i="2"/>
  <c r="K178" i="2"/>
  <c r="F178" i="2"/>
  <c r="B178" i="2"/>
  <c r="O177" i="2"/>
  <c r="K177" i="2"/>
  <c r="F177" i="2"/>
  <c r="B177" i="2"/>
  <c r="O176" i="2"/>
  <c r="K176" i="2"/>
  <c r="F176" i="2"/>
  <c r="B176" i="2"/>
  <c r="O175" i="2"/>
  <c r="K175" i="2"/>
  <c r="F175" i="2"/>
  <c r="B175" i="2"/>
  <c r="O174" i="2"/>
  <c r="K174" i="2"/>
  <c r="F174" i="2"/>
  <c r="B174" i="2"/>
  <c r="O173" i="2"/>
  <c r="K173" i="2"/>
  <c r="F173" i="2"/>
  <c r="B173" i="2"/>
  <c r="O172" i="2"/>
  <c r="K172" i="2"/>
  <c r="F172" i="2"/>
  <c r="B172" i="2"/>
  <c r="O171" i="2"/>
  <c r="K171" i="2"/>
  <c r="F171" i="2"/>
  <c r="B171" i="2"/>
  <c r="O170" i="2"/>
  <c r="K170" i="2"/>
  <c r="F170" i="2"/>
  <c r="B170" i="2"/>
  <c r="O169" i="2"/>
  <c r="K169" i="2"/>
  <c r="F169" i="2"/>
  <c r="B169" i="2"/>
  <c r="O168" i="2"/>
  <c r="K168" i="2"/>
  <c r="F168" i="2"/>
  <c r="B168" i="2"/>
  <c r="O167" i="2"/>
  <c r="K167" i="2"/>
  <c r="F167" i="2"/>
  <c r="B167" i="2"/>
  <c r="O166" i="2"/>
  <c r="K166" i="2"/>
  <c r="F166" i="2"/>
  <c r="B166" i="2"/>
  <c r="O165" i="2"/>
  <c r="K165" i="2"/>
  <c r="F165" i="2"/>
  <c r="B165" i="2"/>
  <c r="O164" i="2"/>
  <c r="K164" i="2"/>
  <c r="F164" i="2"/>
  <c r="B164" i="2"/>
  <c r="O163" i="2"/>
  <c r="K163" i="2"/>
  <c r="F163" i="2"/>
  <c r="B163" i="2"/>
  <c r="O162" i="2"/>
  <c r="K162" i="2"/>
  <c r="F162" i="2"/>
  <c r="B162" i="2"/>
  <c r="O161" i="2"/>
  <c r="K161" i="2"/>
  <c r="F161" i="2"/>
  <c r="B161" i="2"/>
  <c r="O160" i="2"/>
  <c r="K160" i="2"/>
  <c r="F160" i="2"/>
  <c r="B160" i="2"/>
  <c r="O159" i="2"/>
  <c r="K159" i="2"/>
  <c r="F159" i="2"/>
  <c r="B159" i="2"/>
  <c r="O158" i="2"/>
  <c r="K158" i="2"/>
  <c r="F158" i="2"/>
  <c r="B158" i="2"/>
  <c r="O157" i="2"/>
  <c r="K157" i="2"/>
  <c r="F157" i="2"/>
  <c r="B157" i="2"/>
  <c r="O156" i="2"/>
  <c r="K156" i="2"/>
  <c r="F156" i="2"/>
  <c r="B156" i="2"/>
  <c r="O155" i="2"/>
  <c r="K155" i="2"/>
  <c r="F155" i="2"/>
  <c r="B155" i="2"/>
  <c r="O154" i="2"/>
  <c r="K154" i="2"/>
  <c r="F154" i="2"/>
  <c r="B154" i="2"/>
  <c r="O153" i="2"/>
  <c r="K153" i="2"/>
  <c r="F153" i="2"/>
  <c r="B153" i="2"/>
  <c r="O152" i="2"/>
  <c r="K152" i="2"/>
  <c r="F152" i="2"/>
  <c r="B152" i="2"/>
  <c r="O151" i="2"/>
  <c r="K151" i="2"/>
  <c r="F151" i="2"/>
  <c r="B151" i="2"/>
  <c r="O150" i="2"/>
  <c r="K150" i="2"/>
  <c r="F150" i="2"/>
  <c r="B150" i="2"/>
  <c r="O149" i="2"/>
  <c r="K149" i="2"/>
  <c r="F149" i="2"/>
  <c r="B149" i="2"/>
  <c r="O148" i="2"/>
  <c r="K148" i="2"/>
  <c r="F148" i="2"/>
  <c r="B148" i="2"/>
  <c r="O147" i="2"/>
  <c r="K147" i="2"/>
  <c r="F147" i="2"/>
  <c r="B147" i="2"/>
  <c r="O146" i="2"/>
  <c r="K146" i="2"/>
  <c r="F146" i="2"/>
  <c r="B146" i="2"/>
  <c r="O145" i="2"/>
  <c r="K145" i="2"/>
  <c r="F145" i="2"/>
  <c r="B145" i="2"/>
  <c r="O144" i="2"/>
  <c r="K144" i="2"/>
  <c r="F144" i="2"/>
  <c r="B144" i="2"/>
  <c r="O143" i="2"/>
  <c r="K143" i="2"/>
  <c r="F143" i="2"/>
  <c r="B143" i="2"/>
  <c r="O142" i="2"/>
  <c r="K142" i="2"/>
  <c r="F142" i="2"/>
  <c r="B142" i="2"/>
  <c r="O141" i="2"/>
  <c r="K141" i="2"/>
  <c r="F141" i="2"/>
  <c r="B141" i="2"/>
  <c r="O140" i="2"/>
  <c r="K140" i="2"/>
  <c r="F140" i="2"/>
  <c r="B140" i="2"/>
  <c r="O139" i="2"/>
  <c r="K139" i="2"/>
  <c r="F139" i="2"/>
  <c r="B139" i="2"/>
  <c r="O138" i="2"/>
  <c r="K138" i="2"/>
  <c r="F138" i="2"/>
  <c r="B138" i="2"/>
  <c r="O137" i="2"/>
  <c r="K137" i="2"/>
  <c r="F137" i="2"/>
  <c r="B137" i="2"/>
  <c r="O136" i="2"/>
  <c r="K136" i="2"/>
  <c r="F136" i="2"/>
  <c r="B136" i="2"/>
  <c r="O135" i="2"/>
  <c r="K135" i="2"/>
  <c r="F135" i="2"/>
  <c r="B135" i="2"/>
  <c r="O134" i="2"/>
  <c r="K134" i="2"/>
  <c r="F134" i="2"/>
  <c r="B134" i="2"/>
  <c r="O133" i="2"/>
  <c r="K133" i="2"/>
  <c r="F133" i="2"/>
  <c r="B133" i="2"/>
  <c r="O132" i="2"/>
  <c r="K132" i="2"/>
  <c r="F132" i="2"/>
  <c r="B132" i="2"/>
  <c r="O131" i="2"/>
  <c r="K131" i="2"/>
  <c r="F131" i="2"/>
  <c r="B131" i="2"/>
  <c r="O130" i="2"/>
  <c r="K130" i="2"/>
  <c r="F130" i="2"/>
  <c r="B130" i="2"/>
  <c r="O129" i="2"/>
  <c r="K129" i="2"/>
  <c r="F129" i="2"/>
  <c r="B129" i="2"/>
  <c r="O128" i="2"/>
  <c r="K128" i="2"/>
  <c r="F128" i="2"/>
  <c r="B128" i="2"/>
  <c r="O127" i="2"/>
  <c r="K127" i="2"/>
  <c r="F127" i="2"/>
  <c r="B127" i="2"/>
  <c r="O126" i="2"/>
  <c r="K126" i="2"/>
  <c r="F126" i="2"/>
  <c r="B126" i="2"/>
  <c r="O125" i="2"/>
  <c r="K125" i="2"/>
  <c r="F125" i="2"/>
  <c r="B125" i="2"/>
  <c r="O124" i="2"/>
  <c r="K124" i="2"/>
  <c r="F124" i="2"/>
  <c r="B124" i="2"/>
  <c r="O123" i="2"/>
  <c r="K123" i="2"/>
  <c r="F123" i="2"/>
  <c r="B123" i="2"/>
  <c r="O122" i="2"/>
  <c r="K122" i="2"/>
  <c r="F122" i="2"/>
  <c r="B122" i="2"/>
  <c r="O121" i="2"/>
  <c r="K121" i="2"/>
  <c r="F121" i="2"/>
  <c r="B121" i="2"/>
  <c r="O120" i="2"/>
  <c r="K120" i="2"/>
  <c r="F120" i="2"/>
  <c r="B120" i="2"/>
  <c r="O119" i="2"/>
  <c r="K119" i="2"/>
  <c r="F119" i="2"/>
  <c r="B119" i="2"/>
  <c r="O118" i="2"/>
  <c r="K118" i="2"/>
  <c r="F118" i="2"/>
  <c r="B118" i="2"/>
  <c r="O117" i="2"/>
  <c r="K117" i="2"/>
  <c r="F117" i="2"/>
  <c r="B117" i="2"/>
  <c r="O116" i="2"/>
  <c r="K116" i="2"/>
  <c r="F116" i="2"/>
  <c r="B116" i="2"/>
  <c r="O115" i="2"/>
  <c r="K115" i="2"/>
  <c r="F115" i="2"/>
  <c r="B115" i="2"/>
  <c r="O114" i="2"/>
  <c r="K114" i="2"/>
  <c r="F114" i="2"/>
  <c r="B114" i="2"/>
  <c r="O113" i="2"/>
  <c r="K113" i="2"/>
  <c r="F113" i="2"/>
  <c r="B113" i="2"/>
  <c r="O112" i="2"/>
  <c r="K112" i="2"/>
  <c r="F112" i="2"/>
  <c r="B112" i="2"/>
  <c r="O111" i="2"/>
  <c r="K111" i="2"/>
  <c r="F111" i="2"/>
  <c r="B111" i="2"/>
  <c r="O110" i="2"/>
  <c r="K110" i="2"/>
  <c r="F110" i="2"/>
  <c r="B110" i="2"/>
  <c r="O109" i="2"/>
  <c r="K109" i="2"/>
  <c r="F109" i="2"/>
  <c r="B109" i="2"/>
  <c r="O108" i="2"/>
  <c r="K108" i="2"/>
  <c r="F108" i="2"/>
  <c r="B108" i="2"/>
  <c r="O107" i="2"/>
  <c r="K107" i="2"/>
  <c r="F107" i="2"/>
  <c r="B107" i="2"/>
  <c r="O106" i="2"/>
  <c r="K106" i="2"/>
  <c r="F106" i="2"/>
  <c r="B106" i="2"/>
  <c r="O105" i="2"/>
  <c r="K105" i="2"/>
  <c r="F105" i="2"/>
  <c r="B105" i="2"/>
  <c r="O104" i="2"/>
  <c r="K104" i="2"/>
  <c r="F104" i="2"/>
  <c r="B104" i="2"/>
  <c r="O103" i="2"/>
  <c r="K103" i="2"/>
  <c r="F103" i="2"/>
  <c r="B103" i="2"/>
  <c r="O102" i="2"/>
  <c r="K102" i="2"/>
  <c r="F102" i="2"/>
  <c r="B102" i="2"/>
  <c r="O101" i="2"/>
  <c r="K101" i="2"/>
  <c r="F101" i="2"/>
  <c r="B101" i="2"/>
  <c r="O100" i="2"/>
  <c r="K100" i="2"/>
  <c r="F100" i="2"/>
  <c r="B100" i="2"/>
  <c r="O99" i="2"/>
  <c r="K99" i="2"/>
  <c r="F99" i="2"/>
  <c r="B99" i="2"/>
  <c r="O98" i="2"/>
  <c r="K98" i="2"/>
  <c r="F98" i="2"/>
  <c r="B98" i="2"/>
  <c r="O97" i="2"/>
  <c r="K97" i="2"/>
  <c r="F97" i="2"/>
  <c r="B97" i="2"/>
  <c r="O96" i="2"/>
  <c r="K96" i="2"/>
  <c r="F96" i="2"/>
  <c r="B96" i="2"/>
  <c r="O95" i="2"/>
  <c r="K95" i="2"/>
  <c r="F95" i="2"/>
  <c r="B95" i="2"/>
  <c r="O94" i="2"/>
  <c r="K94" i="2"/>
  <c r="F94" i="2"/>
  <c r="B94" i="2"/>
  <c r="O93" i="2"/>
  <c r="K93" i="2"/>
  <c r="F93" i="2"/>
  <c r="B93" i="2"/>
  <c r="O92" i="2"/>
  <c r="K92" i="2"/>
  <c r="F92" i="2"/>
  <c r="B92" i="2"/>
  <c r="O91" i="2"/>
  <c r="K91" i="2"/>
  <c r="F91" i="2"/>
  <c r="B91" i="2"/>
  <c r="O90" i="2"/>
  <c r="K90" i="2"/>
  <c r="F90" i="2"/>
  <c r="B90" i="2"/>
  <c r="O89" i="2"/>
  <c r="K89" i="2"/>
  <c r="F89" i="2"/>
  <c r="B89" i="2"/>
  <c r="O88" i="2"/>
  <c r="K88" i="2"/>
  <c r="F88" i="2"/>
  <c r="B88" i="2"/>
  <c r="O87" i="2"/>
  <c r="K87" i="2"/>
  <c r="F87" i="2"/>
  <c r="B87" i="2"/>
  <c r="O86" i="2"/>
  <c r="K86" i="2"/>
  <c r="F86" i="2"/>
  <c r="B86" i="2"/>
  <c r="O85" i="2"/>
  <c r="K85" i="2"/>
  <c r="F85" i="2"/>
  <c r="B85" i="2"/>
  <c r="O84" i="2"/>
  <c r="K84" i="2"/>
  <c r="F84" i="2"/>
  <c r="B84" i="2"/>
  <c r="O83" i="2"/>
  <c r="K83" i="2"/>
  <c r="F83" i="2"/>
  <c r="B83" i="2"/>
  <c r="O82" i="2"/>
  <c r="K82" i="2"/>
  <c r="F82" i="2"/>
  <c r="B82" i="2"/>
  <c r="O81" i="2"/>
  <c r="K81" i="2"/>
  <c r="F81" i="2"/>
  <c r="B81" i="2"/>
  <c r="O80" i="2"/>
  <c r="K80" i="2"/>
  <c r="F80" i="2"/>
  <c r="B80" i="2"/>
  <c r="O79" i="2"/>
  <c r="K79" i="2"/>
  <c r="F79" i="2"/>
  <c r="B79" i="2"/>
  <c r="O78" i="2"/>
  <c r="K78" i="2"/>
  <c r="F78" i="2"/>
  <c r="B78" i="2"/>
  <c r="O77" i="2"/>
  <c r="K77" i="2"/>
  <c r="F77" i="2"/>
  <c r="B77" i="2"/>
  <c r="O76" i="2"/>
  <c r="K76" i="2"/>
  <c r="F76" i="2"/>
  <c r="B76" i="2"/>
  <c r="O75" i="2"/>
  <c r="K75" i="2"/>
  <c r="F75" i="2"/>
  <c r="B75" i="2"/>
  <c r="O74" i="2"/>
  <c r="K74" i="2"/>
  <c r="F74" i="2"/>
  <c r="B74" i="2"/>
  <c r="O73" i="2"/>
  <c r="K73" i="2"/>
  <c r="F73" i="2"/>
  <c r="B73" i="2"/>
  <c r="O72" i="2"/>
  <c r="K72" i="2"/>
  <c r="F72" i="2"/>
  <c r="O71" i="2"/>
  <c r="K71" i="2"/>
  <c r="F71" i="2"/>
  <c r="B71" i="2"/>
  <c r="O70" i="2"/>
  <c r="K70" i="2"/>
  <c r="F70" i="2"/>
  <c r="B70" i="2"/>
  <c r="O69" i="2"/>
  <c r="K69" i="2"/>
  <c r="F69" i="2"/>
  <c r="B69" i="2"/>
  <c r="O68" i="2"/>
  <c r="K68" i="2"/>
  <c r="F68" i="2"/>
  <c r="B68" i="2"/>
  <c r="O67" i="2"/>
  <c r="K67" i="2"/>
  <c r="F67" i="2"/>
  <c r="B67" i="2"/>
  <c r="O66" i="2"/>
  <c r="K66" i="2"/>
  <c r="F66" i="2"/>
  <c r="B66" i="2"/>
  <c r="O65" i="2"/>
  <c r="K65" i="2"/>
  <c r="F65" i="2"/>
  <c r="B65" i="2"/>
  <c r="O64" i="2"/>
  <c r="K64" i="2"/>
  <c r="I64" i="2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F64" i="2"/>
  <c r="B64" i="2"/>
  <c r="O63" i="2"/>
  <c r="F63" i="2"/>
  <c r="B63" i="2"/>
  <c r="O62" i="2"/>
  <c r="K62" i="2"/>
  <c r="I62" i="2"/>
  <c r="F62" i="2"/>
  <c r="B62" i="2"/>
  <c r="O61" i="2"/>
  <c r="K61" i="2"/>
  <c r="I61" i="2"/>
  <c r="O60" i="2"/>
  <c r="K60" i="2"/>
  <c r="I60" i="2"/>
  <c r="F60" i="2"/>
  <c r="B60" i="2"/>
  <c r="O59" i="2"/>
  <c r="K59" i="2"/>
  <c r="I59" i="2"/>
  <c r="F59" i="2"/>
  <c r="B59" i="2"/>
  <c r="O58" i="2"/>
  <c r="K58" i="2"/>
  <c r="I58" i="2"/>
  <c r="F58" i="2"/>
  <c r="B58" i="2"/>
  <c r="O57" i="2"/>
  <c r="K57" i="2"/>
  <c r="I57" i="2"/>
  <c r="F57" i="2"/>
  <c r="B57" i="2"/>
  <c r="O56" i="2"/>
  <c r="K56" i="2"/>
  <c r="F56" i="2"/>
  <c r="B56" i="2"/>
  <c r="O55" i="2"/>
  <c r="K55" i="2"/>
  <c r="F55" i="2"/>
  <c r="B55" i="2"/>
  <c r="O54" i="2"/>
  <c r="K54" i="2"/>
  <c r="F54" i="2"/>
  <c r="B54" i="2"/>
  <c r="O53" i="2"/>
  <c r="K53" i="2"/>
  <c r="F53" i="2"/>
  <c r="B53" i="2"/>
  <c r="O52" i="2"/>
  <c r="K52" i="2"/>
  <c r="F52" i="2"/>
  <c r="B52" i="2"/>
  <c r="O51" i="2"/>
  <c r="K51" i="2"/>
  <c r="F51" i="2"/>
  <c r="B51" i="2"/>
  <c r="O50" i="2"/>
  <c r="K50" i="2"/>
  <c r="F50" i="2"/>
  <c r="B50" i="2"/>
  <c r="O49" i="2"/>
  <c r="K49" i="2"/>
  <c r="I49" i="2"/>
  <c r="I50" i="2" s="1"/>
  <c r="I51" i="2" s="1"/>
  <c r="I52" i="2" s="1"/>
  <c r="I53" i="2" s="1"/>
  <c r="I54" i="2" s="1"/>
  <c r="I55" i="2" s="1"/>
  <c r="F49" i="2"/>
  <c r="B49" i="2"/>
  <c r="O48" i="2"/>
  <c r="K48" i="2"/>
  <c r="F48" i="2"/>
  <c r="B48" i="2"/>
  <c r="O47" i="2"/>
  <c r="K47" i="2"/>
  <c r="F47" i="2"/>
  <c r="B47" i="2"/>
  <c r="O46" i="2"/>
  <c r="K46" i="2"/>
  <c r="F46" i="2"/>
  <c r="B46" i="2"/>
  <c r="O45" i="2"/>
  <c r="M45" i="2"/>
  <c r="K45" i="2"/>
  <c r="L45" i="2" s="1"/>
  <c r="F45" i="2"/>
  <c r="B45" i="2"/>
  <c r="O44" i="2"/>
  <c r="N44" i="2"/>
  <c r="B44" i="2"/>
  <c r="O43" i="2"/>
  <c r="K43" i="2"/>
  <c r="F43" i="2"/>
  <c r="B43" i="2"/>
  <c r="O42" i="2"/>
  <c r="K42" i="2"/>
  <c r="F42" i="2"/>
  <c r="B42" i="2"/>
  <c r="O41" i="2"/>
  <c r="K41" i="2"/>
  <c r="F41" i="2"/>
  <c r="B41" i="2"/>
  <c r="T40" i="2"/>
  <c r="O40" i="2"/>
  <c r="K40" i="2"/>
  <c r="F40" i="2"/>
  <c r="B40" i="2"/>
  <c r="O39" i="2"/>
  <c r="K39" i="2"/>
  <c r="F39" i="2"/>
  <c r="B39" i="2"/>
  <c r="O38" i="2"/>
  <c r="K38" i="2"/>
  <c r="F38" i="2"/>
  <c r="B38" i="2"/>
  <c r="O37" i="2"/>
  <c r="K37" i="2"/>
  <c r="F37" i="2"/>
  <c r="B37" i="2"/>
  <c r="O36" i="2"/>
  <c r="K36" i="2"/>
  <c r="F36" i="2"/>
  <c r="B36" i="2"/>
  <c r="O35" i="2"/>
  <c r="K35" i="2"/>
  <c r="F35" i="2"/>
  <c r="B35" i="2"/>
  <c r="O34" i="2"/>
  <c r="K34" i="2"/>
  <c r="F34" i="2"/>
  <c r="B34" i="2"/>
  <c r="O33" i="2"/>
  <c r="K33" i="2"/>
  <c r="F33" i="2"/>
  <c r="B33" i="2"/>
  <c r="O32" i="2"/>
  <c r="K32" i="2"/>
  <c r="F32" i="2"/>
  <c r="B32" i="2"/>
  <c r="O31" i="2"/>
  <c r="K31" i="2"/>
  <c r="F31" i="2"/>
  <c r="B31" i="2"/>
  <c r="O30" i="2"/>
  <c r="K30" i="2"/>
  <c r="F30" i="2"/>
  <c r="B30" i="2"/>
  <c r="O29" i="2"/>
  <c r="K29" i="2"/>
  <c r="F29" i="2"/>
  <c r="B29" i="2"/>
  <c r="O28" i="2"/>
  <c r="K28" i="2"/>
  <c r="F28" i="2"/>
  <c r="B28" i="2"/>
  <c r="O27" i="2"/>
  <c r="K27" i="2"/>
  <c r="F27" i="2"/>
  <c r="B27" i="2"/>
  <c r="O26" i="2"/>
  <c r="K26" i="2"/>
  <c r="F26" i="2"/>
  <c r="B26" i="2"/>
  <c r="O25" i="2"/>
  <c r="K25" i="2"/>
  <c r="F25" i="2"/>
  <c r="B25" i="2"/>
  <c r="O24" i="2"/>
  <c r="K24" i="2"/>
  <c r="F24" i="2"/>
  <c r="B24" i="2"/>
  <c r="O23" i="2"/>
  <c r="K23" i="2"/>
  <c r="F23" i="2"/>
  <c r="B23" i="2"/>
  <c r="O22" i="2"/>
  <c r="K22" i="2"/>
  <c r="F22" i="2"/>
  <c r="B22" i="2"/>
  <c r="O21" i="2"/>
  <c r="K21" i="2"/>
  <c r="F21" i="2"/>
  <c r="B21" i="2"/>
  <c r="O20" i="2"/>
  <c r="K20" i="2"/>
  <c r="F20" i="2"/>
  <c r="B20" i="2"/>
  <c r="O19" i="2"/>
  <c r="K19" i="2"/>
  <c r="F19" i="2"/>
  <c r="B19" i="2"/>
  <c r="O18" i="2"/>
  <c r="K18" i="2"/>
  <c r="F18" i="2"/>
  <c r="B18" i="2"/>
  <c r="O17" i="2"/>
  <c r="K17" i="2"/>
  <c r="F17" i="2"/>
  <c r="B17" i="2"/>
  <c r="O16" i="2"/>
  <c r="K16" i="2"/>
  <c r="F16" i="2"/>
  <c r="B16" i="2"/>
  <c r="O15" i="2"/>
  <c r="K15" i="2"/>
  <c r="F15" i="2"/>
  <c r="B15" i="2"/>
  <c r="O14" i="2"/>
  <c r="K14" i="2"/>
  <c r="F14" i="2"/>
  <c r="B14" i="2"/>
  <c r="O13" i="2"/>
  <c r="K13" i="2"/>
  <c r="F13" i="2"/>
  <c r="B13" i="2"/>
  <c r="O12" i="2"/>
  <c r="K12" i="2"/>
  <c r="F12" i="2"/>
  <c r="B12" i="2"/>
  <c r="O11" i="2"/>
  <c r="K11" i="2"/>
  <c r="F11" i="2"/>
  <c r="B11" i="2"/>
  <c r="O10" i="2"/>
  <c r="K10" i="2"/>
  <c r="F10" i="2"/>
  <c r="B10" i="2"/>
  <c r="O9" i="2"/>
  <c r="K9" i="2"/>
  <c r="F9" i="2"/>
  <c r="B9" i="2"/>
  <c r="O8" i="2"/>
  <c r="K8" i="2"/>
  <c r="F8" i="2"/>
  <c r="B8" i="2"/>
  <c r="O7" i="2"/>
  <c r="K7" i="2"/>
  <c r="F7" i="2"/>
  <c r="B7" i="2"/>
  <c r="O6" i="2"/>
  <c r="K6" i="2"/>
  <c r="F6" i="2"/>
  <c r="B6" i="2"/>
  <c r="O5" i="2"/>
  <c r="K5" i="2"/>
  <c r="I5" i="2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7" i="2" s="1"/>
  <c r="F5" i="2"/>
  <c r="B5" i="2"/>
  <c r="O4" i="2"/>
  <c r="K4" i="2"/>
  <c r="I4" i="2"/>
  <c r="F4" i="2"/>
  <c r="B4" i="2"/>
  <c r="O3" i="2"/>
  <c r="L3" i="2"/>
  <c r="N3" i="2" s="1"/>
  <c r="L4" i="2" s="1"/>
  <c r="N4" i="2" s="1"/>
  <c r="L5" i="2" s="1"/>
  <c r="N5" i="2" s="1"/>
  <c r="L6" i="2" s="1"/>
  <c r="N6" i="2" s="1"/>
  <c r="L7" i="2" s="1"/>
  <c r="N7" i="2" s="1"/>
  <c r="L8" i="2" s="1"/>
  <c r="N8" i="2" s="1"/>
  <c r="L9" i="2" s="1"/>
  <c r="N9" i="2" s="1"/>
  <c r="L10" i="2" s="1"/>
  <c r="N10" i="2" s="1"/>
  <c r="L11" i="2" s="1"/>
  <c r="N11" i="2" s="1"/>
  <c r="L12" i="2" s="1"/>
  <c r="N12" i="2" s="1"/>
  <c r="L13" i="2" s="1"/>
  <c r="N13" i="2" s="1"/>
  <c r="L14" i="2" s="1"/>
  <c r="N14" i="2" s="1"/>
  <c r="L15" i="2" s="1"/>
  <c r="N15" i="2" s="1"/>
  <c r="L16" i="2" s="1"/>
  <c r="N16" i="2" s="1"/>
  <c r="L17" i="2" s="1"/>
  <c r="N17" i="2" s="1"/>
  <c r="L18" i="2" s="1"/>
  <c r="N18" i="2" s="1"/>
  <c r="L19" i="2" s="1"/>
  <c r="N19" i="2" s="1"/>
  <c r="L20" i="2" s="1"/>
  <c r="N20" i="2" s="1"/>
  <c r="L21" i="2" s="1"/>
  <c r="N21" i="2" s="1"/>
  <c r="L22" i="2" s="1"/>
  <c r="N22" i="2" s="1"/>
  <c r="L23" i="2" s="1"/>
  <c r="N23" i="2" s="1"/>
  <c r="L24" i="2" s="1"/>
  <c r="N24" i="2" s="1"/>
  <c r="L25" i="2" s="1"/>
  <c r="N25" i="2" s="1"/>
  <c r="L26" i="2" s="1"/>
  <c r="N26" i="2" s="1"/>
  <c r="L27" i="2" s="1"/>
  <c r="N27" i="2" s="1"/>
  <c r="L28" i="2" s="1"/>
  <c r="N28" i="2" s="1"/>
  <c r="L29" i="2" s="1"/>
  <c r="N29" i="2" s="1"/>
  <c r="L30" i="2" s="1"/>
  <c r="N30" i="2" s="1"/>
  <c r="L31" i="2" s="1"/>
  <c r="N31" i="2" s="1"/>
  <c r="L32" i="2" s="1"/>
  <c r="N32" i="2" s="1"/>
  <c r="L33" i="2" s="1"/>
  <c r="N33" i="2" s="1"/>
  <c r="L34" i="2" s="1"/>
  <c r="N34" i="2" s="1"/>
  <c r="L35" i="2" s="1"/>
  <c r="N35" i="2" s="1"/>
  <c r="L36" i="2" s="1"/>
  <c r="N36" i="2" s="1"/>
  <c r="L37" i="2" s="1"/>
  <c r="N37" i="2" s="1"/>
  <c r="L38" i="2" s="1"/>
  <c r="N38" i="2" s="1"/>
  <c r="L39" i="2" s="1"/>
  <c r="N39" i="2" s="1"/>
  <c r="L40" i="2" s="1"/>
  <c r="N40" i="2" s="1"/>
  <c r="L41" i="2" s="1"/>
  <c r="N41" i="2" s="1"/>
  <c r="L42" i="2" s="1"/>
  <c r="N42" i="2" s="1"/>
  <c r="L43" i="2" s="1"/>
  <c r="N43" i="2" s="1"/>
  <c r="K3" i="2"/>
  <c r="I3" i="2"/>
  <c r="F3" i="2"/>
  <c r="B3" i="2"/>
  <c r="O2" i="2"/>
  <c r="N2" i="2"/>
  <c r="K2" i="2"/>
  <c r="F2" i="2"/>
  <c r="B2" i="2"/>
  <c r="L46" i="2" l="1"/>
  <c r="N45" i="2"/>
  <c r="M46" i="2" l="1"/>
  <c r="L47" i="2" s="1"/>
  <c r="N46" i="2"/>
  <c r="M47" i="2" l="1"/>
  <c r="L48" i="2" s="1"/>
  <c r="N47" i="2"/>
  <c r="M48" i="2" l="1"/>
  <c r="L49" i="2" s="1"/>
  <c r="M49" i="2" l="1"/>
  <c r="L50" i="2" s="1"/>
  <c r="N48" i="2"/>
  <c r="M50" i="2" l="1"/>
  <c r="L51" i="2" s="1"/>
  <c r="N49" i="2"/>
  <c r="M51" i="2" l="1"/>
  <c r="L52" i="2" s="1"/>
  <c r="N50" i="2"/>
  <c r="M52" i="2" l="1"/>
  <c r="L53" i="2" s="1"/>
  <c r="N51" i="2"/>
  <c r="M53" i="2" l="1"/>
  <c r="L54" i="2" s="1"/>
  <c r="N52" i="2"/>
  <c r="M54" i="2" l="1"/>
  <c r="L55" i="2" s="1"/>
  <c r="N53" i="2"/>
  <c r="N55" i="2" l="1"/>
  <c r="M55" i="2"/>
  <c r="L56" i="2" s="1"/>
  <c r="N54" i="2"/>
  <c r="M56" i="2" l="1"/>
  <c r="L57" i="2" s="1"/>
  <c r="M57" i="2" l="1"/>
  <c r="L58" i="2" s="1"/>
  <c r="N56" i="2"/>
  <c r="M58" i="2" l="1"/>
  <c r="L59" i="2" s="1"/>
  <c r="N57" i="2"/>
  <c r="M59" i="2" l="1"/>
  <c r="L60" i="2" s="1"/>
  <c r="N58" i="2"/>
  <c r="M60" i="2" l="1"/>
  <c r="L61" i="2" s="1"/>
  <c r="N59" i="2"/>
  <c r="M61" i="2" l="1"/>
  <c r="L62" i="2" s="1"/>
  <c r="N61" i="2"/>
  <c r="N60" i="2"/>
  <c r="M62" i="2" l="1"/>
  <c r="L63" i="2" s="1"/>
  <c r="N62" i="2"/>
  <c r="M63" i="2" l="1"/>
  <c r="L64" i="2" s="1"/>
  <c r="N63" i="2" l="1"/>
  <c r="M64" i="2"/>
  <c r="L65" i="2" s="1"/>
  <c r="M65" i="2" l="1"/>
  <c r="L66" i="2" s="1"/>
  <c r="N64" i="2"/>
  <c r="M66" i="2" l="1"/>
  <c r="L67" i="2" s="1"/>
  <c r="N65" i="2"/>
  <c r="M67" i="2" l="1"/>
  <c r="L68" i="2" s="1"/>
  <c r="N67" i="2"/>
  <c r="N66" i="2"/>
  <c r="M68" i="2" l="1"/>
  <c r="L69" i="2" s="1"/>
  <c r="M69" i="2" l="1"/>
  <c r="L70" i="2" s="1"/>
  <c r="N69" i="2"/>
  <c r="N68" i="2"/>
  <c r="N70" i="2" l="1"/>
  <c r="M70" i="2"/>
  <c r="L71" i="2" s="1"/>
  <c r="M71" i="2" l="1"/>
  <c r="L72" i="2" s="1"/>
  <c r="M72" i="2" l="1"/>
  <c r="L73" i="2" s="1"/>
  <c r="N71" i="2"/>
  <c r="M73" i="2" l="1"/>
  <c r="L74" i="2" s="1"/>
  <c r="N72" i="2"/>
  <c r="M74" i="2" l="1"/>
  <c r="L75" i="2" s="1"/>
  <c r="N73" i="2"/>
  <c r="M75" i="2" l="1"/>
  <c r="L76" i="2" s="1"/>
  <c r="N74" i="2"/>
  <c r="M76" i="2" l="1"/>
  <c r="L77" i="2" s="1"/>
  <c r="N75" i="2"/>
  <c r="M77" i="2" l="1"/>
  <c r="L78" i="2" s="1"/>
  <c r="N77" i="2"/>
  <c r="N76" i="2"/>
  <c r="M78" i="2" l="1"/>
  <c r="L79" i="2" s="1"/>
  <c r="M79" i="2" l="1"/>
  <c r="L80" i="2" s="1"/>
  <c r="N78" i="2"/>
  <c r="M80" i="2" l="1"/>
  <c r="L81" i="2" s="1"/>
  <c r="N79" i="2"/>
  <c r="M81" i="2" l="1"/>
  <c r="L82" i="2" s="1"/>
  <c r="N81" i="2"/>
  <c r="N80" i="2"/>
  <c r="M82" i="2" l="1"/>
  <c r="L83" i="2" s="1"/>
  <c r="N82" i="2"/>
  <c r="M83" i="2" l="1"/>
  <c r="L84" i="2" s="1"/>
  <c r="N83" i="2"/>
  <c r="M84" i="2" l="1"/>
  <c r="L85" i="2" s="1"/>
  <c r="N84" i="2"/>
  <c r="M85" i="2" l="1"/>
  <c r="L86" i="2" s="1"/>
  <c r="N85" i="2"/>
  <c r="M86" i="2" l="1"/>
  <c r="L87" i="2" s="1"/>
  <c r="N86" i="2" l="1"/>
  <c r="M87" i="2"/>
  <c r="L88" i="2" s="1"/>
  <c r="N87" i="2"/>
  <c r="M88" i="2" l="1"/>
  <c r="L89" i="2" s="1"/>
  <c r="N88" i="2"/>
  <c r="M89" i="2" l="1"/>
  <c r="L90" i="2" s="1"/>
  <c r="N89" i="2"/>
  <c r="M90" i="2" l="1"/>
  <c r="L91" i="2" s="1"/>
  <c r="N90" i="2"/>
  <c r="M91" i="2" l="1"/>
  <c r="L92" i="2" s="1"/>
  <c r="N91" i="2"/>
  <c r="M92" i="2" l="1"/>
  <c r="L93" i="2" s="1"/>
  <c r="N92" i="2"/>
  <c r="M93" i="2" l="1"/>
  <c r="L94" i="2" s="1"/>
  <c r="N93" i="2"/>
  <c r="M94" i="2" l="1"/>
  <c r="L95" i="2" s="1"/>
  <c r="N94" i="2"/>
  <c r="M95" i="2" l="1"/>
  <c r="L96" i="2" s="1"/>
  <c r="N95" i="2"/>
  <c r="M96" i="2" l="1"/>
  <c r="L97" i="2" s="1"/>
  <c r="N96" i="2"/>
  <c r="M97" i="2" l="1"/>
  <c r="L98" i="2" s="1"/>
  <c r="N97" i="2"/>
  <c r="M98" i="2" l="1"/>
  <c r="L99" i="2" s="1"/>
  <c r="N98" i="2"/>
  <c r="M99" i="2" l="1"/>
  <c r="L100" i="2" s="1"/>
  <c r="N99" i="2"/>
  <c r="M100" i="2" l="1"/>
  <c r="L101" i="2" s="1"/>
  <c r="N100" i="2"/>
  <c r="M101" i="2" l="1"/>
  <c r="L102" i="2" s="1"/>
  <c r="N101" i="2"/>
  <c r="M102" i="2" l="1"/>
  <c r="L103" i="2" s="1"/>
  <c r="N102" i="2"/>
  <c r="M103" i="2" l="1"/>
  <c r="L104" i="2" s="1"/>
  <c r="N103" i="2"/>
  <c r="M104" i="2" l="1"/>
  <c r="L105" i="2" s="1"/>
  <c r="N104" i="2"/>
  <c r="M105" i="2" l="1"/>
  <c r="L106" i="2" s="1"/>
  <c r="N105" i="2" l="1"/>
  <c r="M106" i="2"/>
  <c r="L107" i="2" s="1"/>
  <c r="M107" i="2" l="1"/>
  <c r="L108" i="2" s="1"/>
  <c r="N107" i="2"/>
  <c r="N106" i="2"/>
  <c r="M108" i="2" l="1"/>
  <c r="L109" i="2" s="1"/>
  <c r="N108" i="2"/>
  <c r="M109" i="2" l="1"/>
  <c r="L110" i="2" s="1"/>
  <c r="N109" i="2"/>
  <c r="M110" i="2" l="1"/>
  <c r="L111" i="2" s="1"/>
  <c r="N110" i="2"/>
  <c r="M111" i="2" l="1"/>
  <c r="L112" i="2" s="1"/>
  <c r="N111" i="2"/>
  <c r="M112" i="2" l="1"/>
  <c r="L113" i="2" s="1"/>
  <c r="N112" i="2"/>
  <c r="M113" i="2" l="1"/>
  <c r="L114" i="2" s="1"/>
  <c r="N113" i="2"/>
  <c r="M114" i="2" l="1"/>
  <c r="L115" i="2" s="1"/>
  <c r="N114" i="2"/>
  <c r="M115" i="2" l="1"/>
  <c r="L116" i="2" s="1"/>
  <c r="N115" i="2"/>
  <c r="M116" i="2" l="1"/>
  <c r="L117" i="2" s="1"/>
  <c r="N116" i="2"/>
  <c r="M117" i="2" l="1"/>
  <c r="L118" i="2" s="1"/>
  <c r="N117" i="2"/>
  <c r="M118" i="2" l="1"/>
  <c r="L119" i="2" s="1"/>
  <c r="N118" i="2"/>
  <c r="M119" i="2" l="1"/>
  <c r="L120" i="2" s="1"/>
  <c r="N119" i="2"/>
  <c r="M120" i="2" l="1"/>
  <c r="L121" i="2" s="1"/>
  <c r="N120" i="2"/>
  <c r="M121" i="2" l="1"/>
  <c r="L122" i="2" s="1"/>
  <c r="N121" i="2"/>
  <c r="M122" i="2" l="1"/>
  <c r="L123" i="2" s="1"/>
  <c r="N122" i="2"/>
  <c r="M123" i="2" l="1"/>
  <c r="L124" i="2" s="1"/>
  <c r="N123" i="2"/>
  <c r="M124" i="2" l="1"/>
  <c r="L125" i="2" s="1"/>
  <c r="N124" i="2"/>
  <c r="M125" i="2" l="1"/>
  <c r="L126" i="2" s="1"/>
  <c r="N125" i="2"/>
  <c r="M126" i="2" l="1"/>
  <c r="L127" i="2" s="1"/>
  <c r="N126" i="2"/>
  <c r="M127" i="2" l="1"/>
  <c r="L128" i="2" s="1"/>
  <c r="N127" i="2"/>
  <c r="M128" i="2" l="1"/>
  <c r="L129" i="2" s="1"/>
  <c r="N128" i="2"/>
  <c r="M129" i="2" l="1"/>
  <c r="L130" i="2" s="1"/>
  <c r="M130" i="2" l="1"/>
  <c r="L131" i="2" s="1"/>
  <c r="N130" i="2"/>
  <c r="N129" i="2"/>
  <c r="M131" i="2" l="1"/>
  <c r="L132" i="2" s="1"/>
  <c r="N131" i="2" l="1"/>
  <c r="M132" i="2"/>
  <c r="L133" i="2" s="1"/>
  <c r="M133" i="2" l="1"/>
  <c r="L134" i="2" s="1"/>
  <c r="N132" i="2"/>
  <c r="N133" i="2" l="1"/>
  <c r="M134" i="2"/>
  <c r="L135" i="2" s="1"/>
  <c r="N134" i="2"/>
  <c r="M135" i="2" l="1"/>
  <c r="L136" i="2" s="1"/>
  <c r="N135" i="2"/>
  <c r="M136" i="2" l="1"/>
  <c r="L137" i="2" s="1"/>
  <c r="N136" i="2" l="1"/>
  <c r="M137" i="2"/>
  <c r="L138" i="2" s="1"/>
  <c r="N137" i="2"/>
  <c r="M138" i="2" l="1"/>
  <c r="L139" i="2" s="1"/>
  <c r="N138" i="2"/>
  <c r="M139" i="2" l="1"/>
  <c r="L140" i="2" s="1"/>
  <c r="M140" i="2" l="1"/>
  <c r="L141" i="2" s="1"/>
  <c r="N140" i="2"/>
  <c r="N139" i="2"/>
  <c r="M141" i="2" l="1"/>
  <c r="L142" i="2" s="1"/>
  <c r="N141" i="2"/>
  <c r="M142" i="2" l="1"/>
  <c r="L143" i="2" s="1"/>
  <c r="N142" i="2"/>
  <c r="M143" i="2" l="1"/>
  <c r="L144" i="2" s="1"/>
  <c r="N143" i="2"/>
  <c r="M144" i="2" l="1"/>
  <c r="L145" i="2" s="1"/>
  <c r="N144" i="2"/>
  <c r="M145" i="2" l="1"/>
  <c r="L146" i="2" s="1"/>
  <c r="N145" i="2"/>
  <c r="M146" i="2" l="1"/>
  <c r="L147" i="2" s="1"/>
  <c r="N146" i="2"/>
  <c r="M147" i="2" l="1"/>
  <c r="L148" i="2" s="1"/>
  <c r="N147" i="2"/>
  <c r="M148" i="2" l="1"/>
  <c r="L149" i="2" s="1"/>
  <c r="N148" i="2"/>
  <c r="M149" i="2" l="1"/>
  <c r="L150" i="2" s="1"/>
  <c r="N149" i="2"/>
  <c r="M150" i="2" l="1"/>
  <c r="L151" i="2" s="1"/>
  <c r="N150" i="2"/>
  <c r="M151" i="2" l="1"/>
  <c r="L152" i="2" s="1"/>
  <c r="N151" i="2"/>
  <c r="M152" i="2" l="1"/>
  <c r="L153" i="2" s="1"/>
  <c r="N152" i="2"/>
  <c r="M153" i="2" l="1"/>
  <c r="L154" i="2" s="1"/>
  <c r="N153" i="2"/>
  <c r="M154" i="2" l="1"/>
  <c r="L155" i="2" s="1"/>
  <c r="N154" i="2"/>
  <c r="M155" i="2" l="1"/>
  <c r="L156" i="2" s="1"/>
  <c r="N155" i="2"/>
  <c r="M156" i="2" l="1"/>
  <c r="L157" i="2" s="1"/>
  <c r="N156" i="2"/>
  <c r="M157" i="2" l="1"/>
  <c r="L158" i="2" s="1"/>
  <c r="N157" i="2"/>
  <c r="M158" i="2" l="1"/>
  <c r="L159" i="2" s="1"/>
  <c r="M159" i="2" l="1"/>
  <c r="L160" i="2" s="1"/>
  <c r="N159" i="2"/>
  <c r="N158" i="2"/>
  <c r="M160" i="2" l="1"/>
  <c r="L161" i="2" s="1"/>
  <c r="N160" i="2"/>
  <c r="M161" i="2" l="1"/>
  <c r="L162" i="2" s="1"/>
  <c r="N161" i="2"/>
  <c r="M162" i="2" l="1"/>
  <c r="L163" i="2" s="1"/>
  <c r="N162" i="2"/>
  <c r="M163" i="2" l="1"/>
  <c r="L164" i="2" s="1"/>
  <c r="N163" i="2"/>
  <c r="M164" i="2" l="1"/>
  <c r="L165" i="2" s="1"/>
  <c r="N164" i="2"/>
  <c r="M165" i="2" l="1"/>
  <c r="L166" i="2" s="1"/>
  <c r="N165" i="2"/>
  <c r="M166" i="2" l="1"/>
  <c r="L167" i="2" s="1"/>
  <c r="N166" i="2"/>
  <c r="M167" i="2" l="1"/>
  <c r="L168" i="2" s="1"/>
  <c r="N167" i="2"/>
  <c r="M168" i="2" l="1"/>
  <c r="L169" i="2" s="1"/>
  <c r="N168" i="2"/>
  <c r="M169" i="2" l="1"/>
  <c r="L170" i="2" s="1"/>
  <c r="N169" i="2"/>
  <c r="M170" i="2" l="1"/>
  <c r="L171" i="2" s="1"/>
  <c r="N170" i="2"/>
  <c r="M171" i="2" l="1"/>
  <c r="L172" i="2" s="1"/>
  <c r="N171" i="2"/>
  <c r="M172" i="2" l="1"/>
  <c r="L173" i="2" s="1"/>
  <c r="N172" i="2"/>
  <c r="M173" i="2" l="1"/>
  <c r="L174" i="2" s="1"/>
  <c r="N173" i="2"/>
  <c r="M174" i="2" l="1"/>
  <c r="L175" i="2" s="1"/>
  <c r="N174" i="2"/>
  <c r="M175" i="2" l="1"/>
  <c r="L176" i="2" s="1"/>
  <c r="N175" i="2"/>
  <c r="M176" i="2" l="1"/>
  <c r="L177" i="2" s="1"/>
  <c r="N176" i="2"/>
  <c r="M177" i="2" l="1"/>
  <c r="L178" i="2" s="1"/>
  <c r="N177" i="2"/>
  <c r="M178" i="2" l="1"/>
  <c r="L179" i="2" s="1"/>
  <c r="N178" i="2"/>
  <c r="M179" i="2" l="1"/>
  <c r="L180" i="2" s="1"/>
  <c r="N179" i="2"/>
  <c r="M180" i="2" l="1"/>
  <c r="L181" i="2" s="1"/>
  <c r="N180" i="2"/>
  <c r="M181" i="2" l="1"/>
  <c r="L182" i="2" s="1"/>
  <c r="N181" i="2"/>
  <c r="M182" i="2" l="1"/>
  <c r="L183" i="2" s="1"/>
  <c r="N182" i="2"/>
  <c r="M183" i="2" l="1"/>
  <c r="L184" i="2" s="1"/>
  <c r="N183" i="2"/>
  <c r="M184" i="2" l="1"/>
  <c r="L185" i="2" s="1"/>
  <c r="N184" i="2"/>
  <c r="M185" i="2" l="1"/>
  <c r="L186" i="2" s="1"/>
  <c r="N185" i="2"/>
  <c r="M186" i="2" l="1"/>
  <c r="L187" i="2" s="1"/>
  <c r="N186" i="2"/>
  <c r="M187" i="2" l="1"/>
  <c r="L188" i="2" s="1"/>
  <c r="N187" i="2"/>
  <c r="M188" i="2" l="1"/>
  <c r="L189" i="2" s="1"/>
  <c r="N188" i="2"/>
  <c r="M189" i="2" l="1"/>
  <c r="L190" i="2" s="1"/>
  <c r="N189" i="2"/>
  <c r="M190" i="2" l="1"/>
  <c r="L191" i="2" s="1"/>
  <c r="N190" i="2"/>
  <c r="M191" i="2" l="1"/>
  <c r="L192" i="2" s="1"/>
  <c r="N191" i="2"/>
  <c r="M192" i="2" l="1"/>
  <c r="L193" i="2" s="1"/>
  <c r="N192" i="2"/>
  <c r="M193" i="2" l="1"/>
  <c r="L194" i="2" s="1"/>
  <c r="N193" i="2"/>
  <c r="M194" i="2" l="1"/>
  <c r="L195" i="2" s="1"/>
  <c r="N194" i="2"/>
  <c r="M195" i="2" l="1"/>
  <c r="L196" i="2" s="1"/>
  <c r="N195" i="2"/>
  <c r="M196" i="2" l="1"/>
  <c r="L197" i="2" s="1"/>
  <c r="N196" i="2"/>
  <c r="M197" i="2" l="1"/>
  <c r="L198" i="2" s="1"/>
  <c r="N197" i="2"/>
  <c r="M198" i="2" l="1"/>
  <c r="L199" i="2" s="1"/>
  <c r="N198" i="2"/>
  <c r="M199" i="2" l="1"/>
  <c r="L200" i="2" s="1"/>
  <c r="N199" i="2"/>
  <c r="M200" i="2" l="1"/>
  <c r="L201" i="2" s="1"/>
  <c r="N200" i="2"/>
  <c r="M201" i="2" l="1"/>
  <c r="L202" i="2" s="1"/>
  <c r="N201" i="2"/>
  <c r="M202" i="2" l="1"/>
  <c r="L203" i="2" s="1"/>
  <c r="N202" i="2"/>
  <c r="M203" i="2" l="1"/>
  <c r="L204" i="2" s="1"/>
  <c r="N203" i="2"/>
  <c r="M204" i="2" l="1"/>
  <c r="L205" i="2" s="1"/>
  <c r="N204" i="2"/>
  <c r="M205" i="2" l="1"/>
  <c r="N205" i="2"/>
</calcChain>
</file>

<file path=xl/sharedStrings.xml><?xml version="1.0" encoding="utf-8"?>
<sst xmlns="http://schemas.openxmlformats.org/spreadsheetml/2006/main" count="239" uniqueCount="39">
  <si>
    <t>Fecha</t>
  </si>
  <si>
    <t>Semana</t>
  </si>
  <si>
    <t>Movimiento</t>
  </si>
  <si>
    <t>Origen/Obra</t>
  </si>
  <si>
    <t>Equipo</t>
  </si>
  <si>
    <t>Económico</t>
  </si>
  <si>
    <t>Entrada (L)</t>
  </si>
  <si>
    <t>Salida (L)</t>
  </si>
  <si>
    <t>Existencia Teórica</t>
  </si>
  <si>
    <t>Costo/L</t>
  </si>
  <si>
    <t>Importe</t>
  </si>
  <si>
    <t>Saldo inicial(vales)</t>
  </si>
  <si>
    <t>Columna1</t>
  </si>
  <si>
    <t>Saldo final(vales)</t>
  </si>
  <si>
    <t>Semana (Helper)</t>
  </si>
  <si>
    <t>Gasolina</t>
  </si>
  <si>
    <t>Firma/Validación</t>
  </si>
  <si>
    <t>Observaciones</t>
  </si>
  <si>
    <t>saldo inicial</t>
  </si>
  <si>
    <t>Ajuste</t>
  </si>
  <si>
    <t>Total inicial</t>
  </si>
  <si>
    <t>suma de Cargo</t>
  </si>
  <si>
    <t>Toatal final</t>
  </si>
  <si>
    <t>Salida</t>
  </si>
  <si>
    <t>Jalisco</t>
  </si>
  <si>
    <t>Motoconformadora Rentada</t>
  </si>
  <si>
    <t>Motoconformadora</t>
  </si>
  <si>
    <t>Retroexcavadora</t>
  </si>
  <si>
    <t>Vibro Compactador</t>
  </si>
  <si>
    <t>Pipa</t>
  </si>
  <si>
    <t>Excavadora</t>
  </si>
  <si>
    <t>EXCAVADORA</t>
  </si>
  <si>
    <t>RETROEXCAVADORA CASE 580 N</t>
  </si>
  <si>
    <t>TRACTOR</t>
  </si>
  <si>
    <t>MOTOCONFORMADORA RENTADA</t>
  </si>
  <si>
    <t>Entrada</t>
  </si>
  <si>
    <t>MONTOCONFORMADORA</t>
  </si>
  <si>
    <t>RETROEXCAVADORA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</si>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</sst>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4" fontId="1" fillId="0" borderId="0" xfId="1" applyNumberFormat="1"/>
    <xf numFmtId="2" fontId="1" fillId="0" borderId="0" xfId="1" applyNumberFormat="1"/>
    <xf numFmtId="164" fontId="1" fillId="0" borderId="0" xfId="1" applyNumberFormat="1"/>
  </cellXfs>
  <cellStyles count="2">
    <cellStyle name="Normal" xfId="0" builtinId="0"/>
    <cellStyle name="Normal 2" xfId="1" xr:uid="{153312AA-CD66-4753-A39E-ECD36411F3CE}"/>
  </cellStyles>
  <dxfs count="13"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2" formatCode="0.00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12</xdr:col>
      <xdr:colOff>488546</xdr:colOff>
      <xdr:row>15</xdr:row>
      <xdr:rowOff>106879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2F7FFE-1C28-A9A6-BFD7-1651DFE47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8640"/>
          <a:ext cx="9998306" cy="23014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\Desktop\Proyecto%20fenix\GC-COMB-3.1_Excel_Maestro_Control_Combustible_Grupo_Trujano%20ultimo(1).xlsx" TargetMode="External"/><Relationship Id="rId1" Type="http://schemas.openxmlformats.org/officeDocument/2006/relationships/externalLinkPath" Target="Proyecto%20fenix/GC-COMB-3.1_Excel_Maestro_Control_Combustible_Grupo_Trujano%20ultimo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e_Dat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onciliacion_Auditoria"/>
      <sheetName val="Captura_Pegaso"/>
      <sheetName val="Captura_Obra"/>
      <sheetName val="Captura_Marimba_M01"/>
      <sheetName val="Solicitudes"/>
      <sheetName val="Captura_Horas"/>
      <sheetName val="Catalogos"/>
      <sheetName val="Maquinaria_Inventario"/>
      <sheetName val="Captura_Facturas_Mobil"/>
      <sheetName val="Dashboard_Ejecutivo"/>
      <sheetName val="Estados_Cuenta_Mobil"/>
      <sheetName val="Captura_Gasolina"/>
      <sheetName val="Resumen_Ejecutiv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V4" t="str">
            <v>RETROEXCAVADORA CASE 580 N</v>
          </cell>
          <cell r="W4" t="str">
            <v>RT-03</v>
          </cell>
        </row>
        <row r="5">
          <cell r="V5" t="str">
            <v>PAVIMENTADORA  VOGELE 1800-3 i</v>
          </cell>
          <cell r="W5" t="str">
            <v>VG-01</v>
          </cell>
        </row>
        <row r="6">
          <cell r="V6" t="str">
            <v>PAVIMENTADORA  VOGELE 1800-2 SJ</v>
          </cell>
          <cell r="W6" t="str">
            <v>VG-02</v>
          </cell>
        </row>
        <row r="7">
          <cell r="V7" t="str">
            <v>PAVIMENTADORA  VOGELE SJ 1800-3</v>
          </cell>
          <cell r="W7" t="str">
            <v>VG-03</v>
          </cell>
        </row>
        <row r="8">
          <cell r="V8" t="str">
            <v>PERFILADORA RODATEC RX600-4-4008</v>
          </cell>
          <cell r="W8" t="str">
            <v>PR-01</v>
          </cell>
        </row>
        <row r="9">
          <cell r="V9" t="str">
            <v>PERFILADORA RODATEC RX600E</v>
          </cell>
          <cell r="W9" t="str">
            <v>PR-02</v>
          </cell>
        </row>
        <row r="10">
          <cell r="V10" t="str">
            <v>BARREDORA BROCE RJ350</v>
          </cell>
          <cell r="W10" t="str">
            <v>BR-01</v>
          </cell>
        </row>
        <row r="11">
          <cell r="V11" t="str">
            <v>BARREDORA LAYMOR SM400</v>
          </cell>
          <cell r="W11" t="str">
            <v>BR-02</v>
          </cell>
        </row>
        <row r="12">
          <cell r="V12" t="str">
            <v>BARREDORA SUPERIOR BROOM DT80J</v>
          </cell>
          <cell r="W12" t="str">
            <v>BR-03</v>
          </cell>
        </row>
        <row r="13">
          <cell r="V13" t="str">
            <v>BARREDORA LAYMOR SM400</v>
          </cell>
          <cell r="W13" t="str">
            <v>BR-04</v>
          </cell>
        </row>
        <row r="14">
          <cell r="V14" t="str">
            <v>DOBLE RODILLO/VIBROCOMPACTADOR DE RODILLOS HAMM 120HD VV</v>
          </cell>
          <cell r="W14" t="str">
            <v>DR-01</v>
          </cell>
        </row>
        <row r="15">
          <cell r="V15" t="str">
            <v>DOBLE RODILLO/VIBROCOMPACTADOR DE RODILLOS HAMM 140HD</v>
          </cell>
          <cell r="W15" t="str">
            <v>DR-02</v>
          </cell>
        </row>
        <row r="16">
          <cell r="V16" t="str">
            <v>TANDEM DOBLE RODILLO / VIBROCOMPACTOR RODILLO CAT CB54</v>
          </cell>
          <cell r="W16" t="str">
            <v>TD-01</v>
          </cell>
        </row>
        <row r="17">
          <cell r="V17" t="str">
            <v>VIBROCOMPACTADOR CATERPILLAR CB66B</v>
          </cell>
          <cell r="W17" t="str">
            <v>VC-01</v>
          </cell>
        </row>
        <row r="18">
          <cell r="V18" t="str">
            <v>NEUMATICO / COMPACTADOR DE NEUMATICOS DINAPAC CP271</v>
          </cell>
          <cell r="W18" t="str">
            <v>NM-01</v>
          </cell>
        </row>
        <row r="19">
          <cell r="V19" t="str">
            <v>NEUMATICO VOLVO PT-240R</v>
          </cell>
          <cell r="W19" t="str">
            <v>NM-02</v>
          </cell>
        </row>
        <row r="20">
          <cell r="V20" t="str">
            <v>COMPRESOR  SULLIVAN PALATEK D2010</v>
          </cell>
          <cell r="W20" t="str">
            <v>CPR-01</v>
          </cell>
        </row>
        <row r="21">
          <cell r="V21" t="str">
            <v>COMPRESOR  SULLIVAN PALATEK D2010</v>
          </cell>
          <cell r="W21" t="str">
            <v>CPR-02</v>
          </cell>
        </row>
        <row r="22">
          <cell r="V22" t="str">
            <v>RETROEXCAVADORA CASE 420DN</v>
          </cell>
          <cell r="W22" t="str">
            <v>RT-04</v>
          </cell>
        </row>
        <row r="23">
          <cell r="V23" t="str">
            <v>BARREDORA BROCE BROOM KR350</v>
          </cell>
          <cell r="W23" t="str">
            <v>BR-05</v>
          </cell>
        </row>
        <row r="24">
          <cell r="V24" t="str">
            <v>RETROEXCAVADORA JHONDEREE 310SK</v>
          </cell>
          <cell r="W24" t="str">
            <v>RT-05</v>
          </cell>
        </row>
        <row r="25">
          <cell r="V25" t="str">
            <v>BARREDORA BROCE BROOM KR350</v>
          </cell>
          <cell r="W25" t="str">
            <v>BR-06</v>
          </cell>
        </row>
        <row r="26">
          <cell r="V26" t="str">
            <v>DOBLE RODILLO   INGERSOLL RAND DD-108HF</v>
          </cell>
          <cell r="W26" t="str">
            <v>DR-03</v>
          </cell>
        </row>
        <row r="27">
          <cell r="V27" t="str">
            <v>TRASFER BUGGI RODATEC</v>
          </cell>
          <cell r="W27" t="str">
            <v>BG-01</v>
          </cell>
        </row>
        <row r="28">
          <cell r="V28" t="str">
            <v>IMPACTO FORD 4300</v>
          </cell>
          <cell r="W28" t="str">
            <v>CI-01</v>
          </cell>
        </row>
        <row r="29">
          <cell r="V29" t="str">
            <v>IMPACTO FORD F800</v>
          </cell>
          <cell r="W29" t="str">
            <v>CI-02</v>
          </cell>
        </row>
        <row r="30">
          <cell r="V30" t="str">
            <v>PETROLIZADORA (IMPACTO 04) FORD F800</v>
          </cell>
          <cell r="W30" t="str">
            <v>PT-01</v>
          </cell>
        </row>
        <row r="31">
          <cell r="V31" t="str">
            <v>PETROLIZADORA    INTERNATIONAL</v>
          </cell>
          <cell r="W31" t="str">
            <v>PT-02</v>
          </cell>
        </row>
        <row r="32">
          <cell r="V32" t="str">
            <v>PIPA DE AGUA (IMPACTO 01) FORD</v>
          </cell>
          <cell r="W32" t="str">
            <v>PP-01</v>
          </cell>
        </row>
        <row r="33">
          <cell r="V33" t="str">
            <v>DOBLE RODILLO RAD ROLLER FILY-325 PRO</v>
          </cell>
          <cell r="W33" t="str">
            <v>DR-04</v>
          </cell>
        </row>
        <row r="34">
          <cell r="V34" t="str">
            <v>PERFILADORA WIRGENT-W200i</v>
          </cell>
          <cell r="W34" t="str">
            <v>S/N (WIRGENT)</v>
          </cell>
        </row>
        <row r="35">
          <cell r="V35" t="str">
            <v>COMPRESOR INGERSOLL RAND IR185</v>
          </cell>
          <cell r="W35" t="str">
            <v>S/N (IR185)</v>
          </cell>
        </row>
        <row r="36">
          <cell r="V36" t="str">
            <v>BIDONES</v>
          </cell>
          <cell r="W36" t="str">
            <v>BD-01</v>
          </cell>
        </row>
        <row r="37">
          <cell r="V37" t="str">
            <v>OTRO</v>
          </cell>
          <cell r="W37" t="str">
            <v>OT-01</v>
          </cell>
        </row>
        <row r="38">
          <cell r="V38" t="str">
            <v>MARIMBA</v>
          </cell>
          <cell r="W38" t="str">
            <v>MB-01</v>
          </cell>
        </row>
        <row r="39">
          <cell r="V39" t="str">
            <v>GENERADOR</v>
          </cell>
          <cell r="W39" t="str">
            <v>GR-01</v>
          </cell>
        </row>
        <row r="40">
          <cell r="V40" t="str">
            <v>CRIBA ROJA</v>
          </cell>
          <cell r="W40" t="str">
            <v>CR-01</v>
          </cell>
        </row>
        <row r="41">
          <cell r="V41" t="str">
            <v>TANDEM CAT</v>
          </cell>
          <cell r="W41" t="str">
            <v>TC-01</v>
          </cell>
        </row>
        <row r="42">
          <cell r="V42" t="str">
            <v>MOTOCONFORMADORA RENTADA</v>
          </cell>
          <cell r="W42" t="str">
            <v>MGR-01</v>
          </cell>
        </row>
        <row r="43">
          <cell r="V43" t="str">
            <v>VIBRO COMPACTADOR</v>
          </cell>
          <cell r="W43" t="str">
            <v>VC-01</v>
          </cell>
        </row>
        <row r="44">
          <cell r="V44" t="str">
            <v>PAYLODER</v>
          </cell>
          <cell r="W44" t="str">
            <v>PL-01</v>
          </cell>
        </row>
        <row r="45">
          <cell r="V45" t="str">
            <v>LIMPIEZA</v>
          </cell>
          <cell r="W45" t="str">
            <v>LP-01</v>
          </cell>
        </row>
        <row r="46">
          <cell r="V46" t="str">
            <v>RASTRILLADOR</v>
          </cell>
          <cell r="W46" t="str">
            <v>RS-01</v>
          </cell>
        </row>
        <row r="47">
          <cell r="V47" t="str">
            <v>MAXILIGHT</v>
          </cell>
          <cell r="W47" t="str">
            <v>MX-01</v>
          </cell>
        </row>
        <row r="48">
          <cell r="V48" t="str">
            <v>HOMBRE A BORDO</v>
          </cell>
          <cell r="W48" t="str">
            <v>HB-01</v>
          </cell>
        </row>
        <row r="49">
          <cell r="V49" t="str">
            <v>EXCAVADORA</v>
          </cell>
          <cell r="W49" t="str">
            <v>EX-01</v>
          </cell>
        </row>
        <row r="50">
          <cell r="V50" t="str">
            <v>CALDERA TECNO</v>
          </cell>
          <cell r="W50" t="str">
            <v>CT-01</v>
          </cell>
        </row>
        <row r="51">
          <cell r="V51" t="str">
            <v>CALDERA TRIASO</v>
          </cell>
          <cell r="W51" t="str">
            <v>CTR-01</v>
          </cell>
        </row>
        <row r="52">
          <cell r="V52" t="str">
            <v>TRACTOR</v>
          </cell>
          <cell r="W52" t="str">
            <v>TR-01</v>
          </cell>
        </row>
        <row r="53">
          <cell r="V53" t="str">
            <v>GENERADOR AMMANN</v>
          </cell>
          <cell r="W53" t="str">
            <v>GA-01</v>
          </cell>
        </row>
        <row r="54">
          <cell r="V54" t="str">
            <v>AUTOTANQUE(QUEMADOR)</v>
          </cell>
          <cell r="W54" t="str">
            <v>ATQ-01</v>
          </cell>
        </row>
        <row r="55">
          <cell r="V55" t="str">
            <v>NEUMATICO VOLVO PT-125R</v>
          </cell>
          <cell r="W55" t="str">
            <v>NV-02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_Dato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EBB91-93B9-45E0-A2F7-5AFCBBE82957}" name="TablaMarimba6" displayName="TablaMarimba6" ref="A1:W503">
  <autoFilter ref="A1:W503" xr:uid="{00000000-000C-0000-FFFF-FFFF01000000}"/>
  <tableColumns count="23">
    <tableColumn id="1" xr3:uid="{EE286FBE-E7C6-416D-A06A-0BA29AA0419C}" name="Fecha"/>
    <tableColumn id="23" xr3:uid="{9C7152B4-EC34-4A2F-92CB-C74CFE34420D}" name="Semana" dataDxfId="12" dataCellStyle="Normal 2">
      <calculatedColumnFormula>IF(A2="","", "Semana "&amp;WEEKNUM(A2,2))</calculatedColumnFormula>
    </tableColumn>
    <tableColumn id="2" xr3:uid="{848F91E3-A3BC-4A05-9EC6-B248FD34F690}" name="Movimiento"/>
    <tableColumn id="3" xr3:uid="{5D39FFC2-44DB-4941-BEC4-3FD06157E7B4}" name="Origen/Obra"/>
    <tableColumn id="4" xr3:uid="{D6D99134-04A6-40EC-859E-EB537107AE3F}" name="Equipo"/>
    <tableColumn id="5" xr3:uid="{9320ED25-15CD-4C01-877C-578142182DB2}" name="Económico" dataDxfId="11">
      <calculatedColumnFormula>VLOOKUP(TablaMarimba6[[#This Row],[Equipo]],[1]Catalogos!$V$4:$W$55,2,FALSE)</calculatedColumnFormula>
    </tableColumn>
    <tableColumn id="6" xr3:uid="{054C5B6E-15BE-4146-9573-5F22F1EB8653}" name="Entrada (L)"/>
    <tableColumn id="7" xr3:uid="{0F5EE2B6-A8F6-42BA-9EE3-A005212E3E66}" name="Salida (L)" dataDxfId="10"/>
    <tableColumn id="8" xr3:uid="{47D132DB-DCC3-443C-A178-E33F212F3393}" name="Existencia Teórica"/>
    <tableColumn id="9" xr3:uid="{B13B36AE-73CE-4335-9572-B3245312F47B}" name="Costo/L"/>
    <tableColumn id="10" xr3:uid="{3BB4AF22-CC13-40BA-8B83-900D834A1022}" name="Importe"/>
    <tableColumn id="13" xr3:uid="{CE3668E4-33B0-4EED-91DE-FF9CD579AE36}" name="Saldo inicial(vales)" dataDxfId="9"/>
    <tableColumn id="22" xr3:uid="{55EF9ED9-81C2-4B9A-A1F1-F8B1FB833315}" name="Columna1" dataDxfId="8" dataCellStyle="Normal 2"/>
    <tableColumn id="14" xr3:uid="{2F041FFA-2F37-4B5A-86E1-1F0F7151488A}" name="Saldo final(vales)" dataDxfId="7">
      <calculatedColumnFormula>TablaMarimba6[[#This Row],[Saldo inicial(vales)]]+TablaMarimba6[[#This Row],[Columna1]]</calculatedColumnFormula>
    </tableColumn>
    <tableColumn id="15" xr3:uid="{A2102FE2-F96E-4856-BF48-7A811826B656}" name="Semana (Helper)" dataDxfId="6">
      <calculatedColumnFormula>IF(A2="","", WEEKNUM(A2, 2))</calculatedColumnFormula>
    </tableColumn>
    <tableColumn id="16" xr3:uid="{76E14EC5-800A-4276-A8E1-A85C59E82EC9}" name="Gasolina" dataDxfId="5"/>
    <tableColumn id="11" xr3:uid="{AB4195EA-87E4-4CB3-AE8D-A9C1014294F4}" name="Firma/Validación"/>
    <tableColumn id="12" xr3:uid="{33395285-FB60-4664-B51C-A751363225A9}" name="Observaciones"/>
    <tableColumn id="17" xr3:uid="{FD991CA8-D0BC-4B0A-B0FE-0DEEA2AAFF3D}" name="saldo inicial" dataDxfId="4"/>
    <tableColumn id="18" xr3:uid="{C636E3A3-D6F1-485C-A915-3367CD79498F}" name="Ajuste" dataDxfId="3"/>
    <tableColumn id="19" xr3:uid="{2D791C85-6D7C-4B4E-A9E0-3F8BA53D5CF2}" name="Total inicial" dataDxfId="2"/>
    <tableColumn id="20" xr3:uid="{4FF7427A-0E11-4363-837E-FB9537B7A953}" name="suma de Cargo" dataDxfId="1"/>
    <tableColumn id="21" xr3:uid="{68A4CBE1-57EE-4332-B864-07A59C3E4AF4}" name="Toatal fi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827A-679A-45F7-ADCD-EC0B03D3611F}">
  <dimension ref="A1:W1999"/>
  <sheetViews>
    <sheetView zoomScale="81" workbookViewId="0">
      <selection activeCell="A74" sqref="A74"/>
    </sheetView>
  </sheetViews>
  <sheetFormatPr baseColWidth="10" defaultColWidth="9.77734375" defaultRowHeight="13.8"/>
  <cols>
    <col min="1" max="2" width="14.44140625" style="2" customWidth="1"/>
    <col min="3" max="3" width="20" style="2" customWidth="1"/>
    <col min="4" max="5" width="24.44140625" style="2" customWidth="1"/>
    <col min="6" max="6" width="15.5546875" style="2" customWidth="1"/>
    <col min="7" max="8" width="13.33203125" style="2" customWidth="1"/>
    <col min="9" max="9" width="17.77734375" style="2" customWidth="1"/>
    <col min="10" max="10" width="13.33203125" style="2" customWidth="1"/>
    <col min="11" max="14" width="15.5546875" style="2" customWidth="1"/>
    <col min="15" max="15" width="15.5546875" style="2" hidden="1" customWidth="1"/>
    <col min="16" max="16" width="15.5546875" style="2" customWidth="1"/>
    <col min="17" max="17" width="20" style="2" customWidth="1"/>
    <col min="18" max="18" width="33.33203125" style="2" customWidth="1"/>
    <col min="19" max="19" width="13.21875" style="2" bestFit="1" customWidth="1"/>
    <col min="20" max="16384" width="9.77734375" style="2"/>
  </cols>
  <sheetData>
    <row r="1" spans="1:23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>
        <v>46168</v>
      </c>
      <c r="B2" s="3" t="str">
        <f t="shared" ref="B2:B65" si="0">IF(A2="","", "Semana "&amp;WEEKNUM(A2,2))</f>
        <v>Semana 22</v>
      </c>
      <c r="C2" s="2" t="s">
        <v>23</v>
      </c>
      <c r="D2" s="2" t="s">
        <v>24</v>
      </c>
      <c r="E2" s="2" t="s">
        <v>25</v>
      </c>
      <c r="F2" s="2" t="str">
        <f>VLOOKUP(TablaMarimba6[[#This Row],[Equipo]],[1]Catalogos!$V$4:$W$55,2,FALSE)</f>
        <v>MGR-01</v>
      </c>
      <c r="G2" s="4"/>
      <c r="H2" s="5">
        <v>89</v>
      </c>
      <c r="I2" s="4">
        <v>0</v>
      </c>
      <c r="J2" s="6">
        <v>27</v>
      </c>
      <c r="K2" s="6">
        <f>(TablaMarimba6[[#This Row],[Salida (L)]]*TablaMarimba6[[#This Row],[Costo/L]])</f>
        <v>2403</v>
      </c>
      <c r="L2" s="6">
        <v>21600</v>
      </c>
      <c r="M2" s="6"/>
      <c r="N2" s="6">
        <f>TablaMarimba6[[#This Row],[Saldo inicial(vales)]]+TablaMarimba6[[#This Row],[Columna1]]</f>
        <v>21600</v>
      </c>
      <c r="O2" s="6">
        <f t="shared" ref="O2:O43" si="1">IF(A2="","", WEEKNUM(A2, 2))</f>
        <v>22</v>
      </c>
      <c r="P2" s="6"/>
      <c r="S2" s="6"/>
      <c r="T2" s="6"/>
      <c r="U2" s="6"/>
      <c r="V2" s="6"/>
      <c r="W2" s="6"/>
    </row>
    <row r="3" spans="1:23">
      <c r="A3" s="3">
        <v>46169</v>
      </c>
      <c r="B3" s="3" t="str">
        <f t="shared" si="0"/>
        <v>Semana 22</v>
      </c>
      <c r="C3" s="2" t="s">
        <v>23</v>
      </c>
      <c r="D3" s="2" t="s">
        <v>24</v>
      </c>
      <c r="E3" s="2" t="s">
        <v>25</v>
      </c>
      <c r="F3" s="2" t="str">
        <f>VLOOKUP(TablaMarimba6[[#This Row],[Equipo]],[1]Catalogos!$V$4:$W$55,2,FALSE)</f>
        <v>MGR-01</v>
      </c>
      <c r="G3" s="4"/>
      <c r="H3" s="5">
        <v>89</v>
      </c>
      <c r="I3" s="4">
        <f t="shared" ref="I3:I31" si="2">IF(ROW()=5,G2-H2,I2+G2-H2)</f>
        <v>-89</v>
      </c>
      <c r="J3" s="6">
        <v>27</v>
      </c>
      <c r="K3" s="6">
        <f>(TablaMarimba6[[#This Row],[Salida (L)]]*TablaMarimba6[[#This Row],[Costo/L]])</f>
        <v>2403</v>
      </c>
      <c r="L3" s="6">
        <f t="shared" ref="L3:L19" si="3">N2+O2</f>
        <v>21622</v>
      </c>
      <c r="M3" s="6"/>
      <c r="N3" s="6">
        <f>TablaMarimba6[[#This Row],[Saldo inicial(vales)]]+TablaMarimba6[[#This Row],[Columna1]]</f>
        <v>21622</v>
      </c>
      <c r="O3" s="6">
        <f t="shared" si="1"/>
        <v>22</v>
      </c>
      <c r="P3" s="6"/>
      <c r="S3" s="6"/>
      <c r="T3" s="6"/>
      <c r="U3" s="6"/>
      <c r="V3" s="6"/>
      <c r="W3" s="6"/>
    </row>
    <row r="4" spans="1:23">
      <c r="A4" s="3">
        <v>46171</v>
      </c>
      <c r="B4" s="3" t="str">
        <f t="shared" si="0"/>
        <v>Semana 22</v>
      </c>
      <c r="C4" s="2" t="s">
        <v>23</v>
      </c>
      <c r="D4" s="2" t="s">
        <v>24</v>
      </c>
      <c r="E4" s="2" t="s">
        <v>25</v>
      </c>
      <c r="F4" s="2" t="str">
        <f>VLOOKUP(TablaMarimba6[[#This Row],[Equipo]],[1]Catalogos!$V$4:$W$55,2,FALSE)</f>
        <v>MGR-01</v>
      </c>
      <c r="G4" s="4"/>
      <c r="H4" s="5">
        <v>99</v>
      </c>
      <c r="I4" s="4">
        <f t="shared" si="2"/>
        <v>-178</v>
      </c>
      <c r="J4" s="6">
        <v>27</v>
      </c>
      <c r="K4" s="6">
        <f>(TablaMarimba6[[#This Row],[Salida (L)]]*TablaMarimba6[[#This Row],[Costo/L]])</f>
        <v>2673</v>
      </c>
      <c r="L4" s="6">
        <f t="shared" si="3"/>
        <v>21644</v>
      </c>
      <c r="M4" s="6"/>
      <c r="N4" s="6">
        <f>TablaMarimba6[[#This Row],[Saldo inicial(vales)]]+TablaMarimba6[[#This Row],[Columna1]]</f>
        <v>21644</v>
      </c>
      <c r="O4" s="6">
        <f t="shared" si="1"/>
        <v>22</v>
      </c>
      <c r="P4" s="6"/>
      <c r="S4" s="6"/>
      <c r="T4" s="6"/>
      <c r="U4" s="6"/>
      <c r="V4" s="6"/>
      <c r="W4" s="6"/>
    </row>
    <row r="5" spans="1:23">
      <c r="A5" s="3">
        <v>46171</v>
      </c>
      <c r="B5" s="3" t="str">
        <f t="shared" si="0"/>
        <v>Semana 22</v>
      </c>
      <c r="C5" s="2" t="s">
        <v>23</v>
      </c>
      <c r="D5" s="2" t="s">
        <v>24</v>
      </c>
      <c r="E5" s="2" t="s">
        <v>26</v>
      </c>
      <c r="F5" s="2" t="e">
        <f>VLOOKUP(TablaMarimba6[[#This Row],[Equipo]],[1]Catalogos!$V$4:$W$55,2,FALSE)</f>
        <v>#N/A</v>
      </c>
      <c r="G5" s="4"/>
      <c r="H5" s="5">
        <v>99</v>
      </c>
      <c r="I5" s="4">
        <f t="shared" si="2"/>
        <v>-99</v>
      </c>
      <c r="J5" s="6">
        <v>27</v>
      </c>
      <c r="K5" s="6">
        <f>(TablaMarimba6[[#This Row],[Salida (L)]]*TablaMarimba6[[#This Row],[Costo/L]])</f>
        <v>2673</v>
      </c>
      <c r="L5" s="6">
        <f t="shared" si="3"/>
        <v>21666</v>
      </c>
      <c r="M5" s="6"/>
      <c r="N5" s="6">
        <f>TablaMarimba6[[#This Row],[Saldo inicial(vales)]]+TablaMarimba6[[#This Row],[Columna1]]</f>
        <v>21666</v>
      </c>
      <c r="O5" s="6">
        <f t="shared" si="1"/>
        <v>22</v>
      </c>
      <c r="P5" s="6"/>
      <c r="S5" s="6"/>
      <c r="T5" s="6"/>
      <c r="U5" s="6"/>
      <c r="V5" s="6"/>
      <c r="W5" s="6"/>
    </row>
    <row r="6" spans="1:23">
      <c r="A6" s="3">
        <v>46172</v>
      </c>
      <c r="B6" s="3" t="str">
        <f t="shared" si="0"/>
        <v>Semana 22</v>
      </c>
      <c r="C6" s="2" t="s">
        <v>23</v>
      </c>
      <c r="D6" s="2" t="s">
        <v>24</v>
      </c>
      <c r="E6" s="2" t="s">
        <v>25</v>
      </c>
      <c r="F6" s="2" t="str">
        <f>VLOOKUP(TablaMarimba6[[#This Row],[Equipo]],[1]Catalogos!$V$4:$W$55,2,FALSE)</f>
        <v>MGR-01</v>
      </c>
      <c r="G6" s="4"/>
      <c r="H6" s="5">
        <v>90</v>
      </c>
      <c r="I6" s="4">
        <f t="shared" si="2"/>
        <v>-198</v>
      </c>
      <c r="J6" s="6">
        <v>27</v>
      </c>
      <c r="K6" s="6">
        <f>(TablaMarimba6[[#This Row],[Salida (L)]]*TablaMarimba6[[#This Row],[Costo/L]])</f>
        <v>2430</v>
      </c>
      <c r="L6" s="6">
        <f t="shared" si="3"/>
        <v>21688</v>
      </c>
      <c r="M6" s="6"/>
      <c r="N6" s="6">
        <f>TablaMarimba6[[#This Row],[Saldo inicial(vales)]]+TablaMarimba6[[#This Row],[Columna1]]</f>
        <v>21688</v>
      </c>
      <c r="O6" s="6">
        <f t="shared" si="1"/>
        <v>22</v>
      </c>
      <c r="P6" s="6"/>
      <c r="S6" s="6"/>
      <c r="T6" s="6"/>
      <c r="U6" s="6"/>
      <c r="V6" s="6"/>
      <c r="W6" s="6"/>
    </row>
    <row r="7" spans="1:23">
      <c r="A7" s="3">
        <v>46172</v>
      </c>
      <c r="B7" s="3" t="str">
        <f t="shared" si="0"/>
        <v>Semana 22</v>
      </c>
      <c r="C7" s="2" t="s">
        <v>23</v>
      </c>
      <c r="D7" s="2" t="s">
        <v>24</v>
      </c>
      <c r="E7" s="2" t="s">
        <v>26</v>
      </c>
      <c r="F7" s="2" t="e">
        <f>VLOOKUP(TablaMarimba6[[#This Row],[Equipo]],[1]Catalogos!$V$4:$W$55,2,FALSE)</f>
        <v>#N/A</v>
      </c>
      <c r="G7" s="4"/>
      <c r="H7" s="5">
        <v>90</v>
      </c>
      <c r="I7" s="4">
        <f t="shared" si="2"/>
        <v>-288</v>
      </c>
      <c r="J7" s="6">
        <v>27</v>
      </c>
      <c r="K7" s="6">
        <f>(TablaMarimba6[[#This Row],[Salida (L)]]*TablaMarimba6[[#This Row],[Costo/L]])</f>
        <v>2430</v>
      </c>
      <c r="L7" s="6">
        <f t="shared" si="3"/>
        <v>21710</v>
      </c>
      <c r="M7" s="6"/>
      <c r="N7" s="6">
        <f>TablaMarimba6[[#This Row],[Saldo inicial(vales)]]+TablaMarimba6[[#This Row],[Columna1]]</f>
        <v>21710</v>
      </c>
      <c r="O7" s="6">
        <f t="shared" si="1"/>
        <v>22</v>
      </c>
      <c r="P7" s="6"/>
      <c r="S7" s="6"/>
      <c r="T7" s="6"/>
      <c r="U7" s="6"/>
      <c r="V7" s="6"/>
      <c r="W7" s="6"/>
    </row>
    <row r="8" spans="1:23">
      <c r="A8" s="3">
        <v>46174</v>
      </c>
      <c r="B8" s="3" t="str">
        <f t="shared" si="0"/>
        <v>Semana 23</v>
      </c>
      <c r="C8" s="2" t="s">
        <v>23</v>
      </c>
      <c r="D8" s="2" t="s">
        <v>24</v>
      </c>
      <c r="E8" s="2" t="s">
        <v>27</v>
      </c>
      <c r="F8" s="2" t="e">
        <f>VLOOKUP(TablaMarimba6[[#This Row],[Equipo]],[1]Catalogos!$V$4:$W$55,2,FALSE)</f>
        <v>#N/A</v>
      </c>
      <c r="G8" s="4"/>
      <c r="H8" s="5">
        <v>50</v>
      </c>
      <c r="I8" s="4">
        <f t="shared" si="2"/>
        <v>-378</v>
      </c>
      <c r="J8" s="6">
        <v>27</v>
      </c>
      <c r="K8" s="6">
        <f>(TablaMarimba6[[#This Row],[Salida (L)]]*TablaMarimba6[[#This Row],[Costo/L]])</f>
        <v>1350</v>
      </c>
      <c r="L8" s="6">
        <f t="shared" si="3"/>
        <v>21732</v>
      </c>
      <c r="M8" s="6"/>
      <c r="N8" s="6">
        <f>TablaMarimba6[[#This Row],[Saldo inicial(vales)]]+TablaMarimba6[[#This Row],[Columna1]]</f>
        <v>21732</v>
      </c>
      <c r="O8" s="6">
        <f t="shared" si="1"/>
        <v>23</v>
      </c>
      <c r="P8" s="6"/>
      <c r="S8" s="6"/>
      <c r="T8" s="6"/>
      <c r="U8" s="6"/>
      <c r="V8" s="6"/>
      <c r="W8" s="6"/>
    </row>
    <row r="9" spans="1:23">
      <c r="A9" s="3">
        <v>46175</v>
      </c>
      <c r="B9" s="3" t="str">
        <f t="shared" si="0"/>
        <v>Semana 23</v>
      </c>
      <c r="C9" s="2" t="s">
        <v>23</v>
      </c>
      <c r="D9" s="2" t="s">
        <v>24</v>
      </c>
      <c r="E9" s="2" t="s">
        <v>25</v>
      </c>
      <c r="F9" s="2" t="str">
        <f>VLOOKUP(TablaMarimba6[[#This Row],[Equipo]],[1]Catalogos!$V$4:$W$55,2,FALSE)</f>
        <v>MGR-01</v>
      </c>
      <c r="G9" s="4"/>
      <c r="H9" s="5">
        <v>74</v>
      </c>
      <c r="I9" s="4">
        <f t="shared" si="2"/>
        <v>-428</v>
      </c>
      <c r="J9" s="6">
        <v>27</v>
      </c>
      <c r="K9" s="6">
        <f>(TablaMarimba6[[#This Row],[Salida (L)]]*TablaMarimba6[[#This Row],[Costo/L]])</f>
        <v>1998</v>
      </c>
      <c r="L9" s="6">
        <f t="shared" si="3"/>
        <v>21755</v>
      </c>
      <c r="M9" s="6"/>
      <c r="N9" s="6">
        <f>TablaMarimba6[[#This Row],[Saldo inicial(vales)]]+TablaMarimba6[[#This Row],[Columna1]]</f>
        <v>21755</v>
      </c>
      <c r="O9" s="6">
        <f t="shared" si="1"/>
        <v>23</v>
      </c>
      <c r="P9" s="6"/>
      <c r="S9" s="6"/>
      <c r="T9" s="6"/>
      <c r="U9" s="6"/>
      <c r="V9" s="6"/>
      <c r="W9" s="6"/>
    </row>
    <row r="10" spans="1:23">
      <c r="A10" s="3">
        <v>46175</v>
      </c>
      <c r="B10" s="3" t="str">
        <f t="shared" si="0"/>
        <v>Semana 23</v>
      </c>
      <c r="C10" s="2" t="s">
        <v>23</v>
      </c>
      <c r="D10" s="2" t="s">
        <v>24</v>
      </c>
      <c r="E10" s="2" t="s">
        <v>26</v>
      </c>
      <c r="F10" s="2" t="e">
        <f>VLOOKUP(TablaMarimba6[[#This Row],[Equipo]],[1]Catalogos!$V$4:$W$55,2,FALSE)</f>
        <v>#N/A</v>
      </c>
      <c r="G10" s="4"/>
      <c r="H10" s="5">
        <v>80</v>
      </c>
      <c r="I10" s="4">
        <f t="shared" si="2"/>
        <v>-502</v>
      </c>
      <c r="J10" s="6">
        <v>27</v>
      </c>
      <c r="K10" s="6">
        <f>(TablaMarimba6[[#This Row],[Salida (L)]]*TablaMarimba6[[#This Row],[Costo/L]])</f>
        <v>2160</v>
      </c>
      <c r="L10" s="6">
        <f t="shared" si="3"/>
        <v>21778</v>
      </c>
      <c r="M10" s="6"/>
      <c r="N10" s="6">
        <f>TablaMarimba6[[#This Row],[Saldo inicial(vales)]]+TablaMarimba6[[#This Row],[Columna1]]</f>
        <v>21778</v>
      </c>
      <c r="O10" s="6">
        <f t="shared" si="1"/>
        <v>23</v>
      </c>
      <c r="P10" s="6"/>
      <c r="S10" s="6"/>
      <c r="T10" s="6"/>
      <c r="U10" s="6"/>
      <c r="V10" s="6"/>
      <c r="W10" s="6"/>
    </row>
    <row r="11" spans="1:23">
      <c r="A11" s="3">
        <v>46175</v>
      </c>
      <c r="B11" s="3" t="str">
        <f t="shared" si="0"/>
        <v>Semana 23</v>
      </c>
      <c r="C11" s="2" t="s">
        <v>23</v>
      </c>
      <c r="D11" s="2" t="s">
        <v>24</v>
      </c>
      <c r="E11" s="2" t="s">
        <v>28</v>
      </c>
      <c r="F11" s="2" t="str">
        <f>VLOOKUP(TablaMarimba6[[#This Row],[Equipo]],[1]Catalogos!$V$4:$W$55,2,FALSE)</f>
        <v>VC-01</v>
      </c>
      <c r="G11" s="4"/>
      <c r="H11" s="5">
        <v>40</v>
      </c>
      <c r="I11" s="4">
        <f t="shared" si="2"/>
        <v>-582</v>
      </c>
      <c r="J11" s="6">
        <v>27</v>
      </c>
      <c r="K11" s="6">
        <f>(TablaMarimba6[[#This Row],[Salida (L)]]*TablaMarimba6[[#This Row],[Costo/L]])</f>
        <v>1080</v>
      </c>
      <c r="L11" s="6">
        <f t="shared" si="3"/>
        <v>21801</v>
      </c>
      <c r="M11" s="6"/>
      <c r="N11" s="6">
        <f>TablaMarimba6[[#This Row],[Saldo inicial(vales)]]+TablaMarimba6[[#This Row],[Columna1]]</f>
        <v>21801</v>
      </c>
      <c r="O11" s="6">
        <f t="shared" si="1"/>
        <v>23</v>
      </c>
      <c r="P11" s="6"/>
      <c r="S11" s="6"/>
      <c r="T11" s="6"/>
      <c r="U11" s="6"/>
      <c r="V11" s="6"/>
      <c r="W11" s="6"/>
    </row>
    <row r="12" spans="1:23">
      <c r="A12" s="3">
        <v>46177</v>
      </c>
      <c r="B12" s="3" t="str">
        <f t="shared" si="0"/>
        <v>Semana 23</v>
      </c>
      <c r="C12" s="2" t="s">
        <v>23</v>
      </c>
      <c r="D12" s="2" t="s">
        <v>24</v>
      </c>
      <c r="E12" s="2" t="s">
        <v>25</v>
      </c>
      <c r="F12" s="2" t="str">
        <f>VLOOKUP(TablaMarimba6[[#This Row],[Equipo]],[1]Catalogos!$V$4:$W$55,2,FALSE)</f>
        <v>MGR-01</v>
      </c>
      <c r="G12" s="4"/>
      <c r="H12" s="5">
        <v>70</v>
      </c>
      <c r="I12" s="4">
        <f t="shared" si="2"/>
        <v>-622</v>
      </c>
      <c r="J12" s="6">
        <v>27</v>
      </c>
      <c r="K12" s="6">
        <f>(TablaMarimba6[[#This Row],[Salida (L)]]*TablaMarimba6[[#This Row],[Costo/L]])</f>
        <v>1890</v>
      </c>
      <c r="L12" s="6">
        <f t="shared" si="3"/>
        <v>21824</v>
      </c>
      <c r="M12" s="6"/>
      <c r="N12" s="6">
        <f>TablaMarimba6[[#This Row],[Saldo inicial(vales)]]+TablaMarimba6[[#This Row],[Columna1]]</f>
        <v>21824</v>
      </c>
      <c r="O12" s="6">
        <f t="shared" si="1"/>
        <v>23</v>
      </c>
      <c r="P12" s="6"/>
      <c r="S12" s="6"/>
      <c r="T12" s="6"/>
      <c r="U12" s="6"/>
      <c r="V12" s="6"/>
      <c r="W12" s="6"/>
    </row>
    <row r="13" spans="1:23">
      <c r="A13" s="3">
        <v>46177</v>
      </c>
      <c r="B13" s="3" t="str">
        <f t="shared" si="0"/>
        <v>Semana 23</v>
      </c>
      <c r="C13" s="2" t="s">
        <v>23</v>
      </c>
      <c r="D13" s="2" t="s">
        <v>24</v>
      </c>
      <c r="E13" s="2" t="s">
        <v>29</v>
      </c>
      <c r="F13" s="2" t="e">
        <f>VLOOKUP(TablaMarimba6[[#This Row],[Equipo]],[1]Catalogos!$V$4:$W$55,2,FALSE)</f>
        <v>#N/A</v>
      </c>
      <c r="G13" s="4"/>
      <c r="H13" s="5">
        <v>100</v>
      </c>
      <c r="I13" s="4">
        <f t="shared" si="2"/>
        <v>-692</v>
      </c>
      <c r="J13" s="6">
        <v>27</v>
      </c>
      <c r="K13" s="6">
        <f>(TablaMarimba6[[#This Row],[Salida (L)]]*TablaMarimba6[[#This Row],[Costo/L]])</f>
        <v>2700</v>
      </c>
      <c r="L13" s="6">
        <f t="shared" si="3"/>
        <v>21847</v>
      </c>
      <c r="M13" s="6"/>
      <c r="N13" s="6">
        <f>TablaMarimba6[[#This Row],[Saldo inicial(vales)]]+TablaMarimba6[[#This Row],[Columna1]]</f>
        <v>21847</v>
      </c>
      <c r="O13" s="6">
        <f t="shared" si="1"/>
        <v>23</v>
      </c>
      <c r="P13" s="6"/>
      <c r="S13" s="6"/>
      <c r="T13" s="6"/>
      <c r="U13" s="6"/>
      <c r="V13" s="6"/>
      <c r="W13" s="6"/>
    </row>
    <row r="14" spans="1:23">
      <c r="A14" s="3">
        <v>46178</v>
      </c>
      <c r="B14" s="3" t="str">
        <f t="shared" si="0"/>
        <v>Semana 23</v>
      </c>
      <c r="C14" s="2" t="s">
        <v>23</v>
      </c>
      <c r="D14" s="2" t="s">
        <v>24</v>
      </c>
      <c r="E14" s="2" t="s">
        <v>25</v>
      </c>
      <c r="F14" s="2" t="str">
        <f>VLOOKUP(TablaMarimba6[[#This Row],[Equipo]],[1]Catalogos!$V$4:$W$55,2,FALSE)</f>
        <v>MGR-01</v>
      </c>
      <c r="G14" s="4"/>
      <c r="H14" s="5">
        <v>60</v>
      </c>
      <c r="I14" s="4">
        <f t="shared" si="2"/>
        <v>-792</v>
      </c>
      <c r="J14" s="6">
        <v>27</v>
      </c>
      <c r="K14" s="6">
        <f>(TablaMarimba6[[#This Row],[Salida (L)]]*TablaMarimba6[[#This Row],[Costo/L]])</f>
        <v>1620</v>
      </c>
      <c r="L14" s="6">
        <f t="shared" si="3"/>
        <v>21870</v>
      </c>
      <c r="M14" s="6"/>
      <c r="N14" s="6">
        <f>TablaMarimba6[[#This Row],[Saldo inicial(vales)]]+TablaMarimba6[[#This Row],[Columna1]]</f>
        <v>21870</v>
      </c>
      <c r="O14" s="6">
        <f t="shared" si="1"/>
        <v>23</v>
      </c>
      <c r="P14" s="6"/>
      <c r="S14" s="6"/>
      <c r="T14" s="6"/>
      <c r="U14" s="6"/>
      <c r="V14" s="6"/>
      <c r="W14" s="6"/>
    </row>
    <row r="15" spans="1:23">
      <c r="A15" s="3">
        <v>46178</v>
      </c>
      <c r="B15" s="3" t="str">
        <f t="shared" si="0"/>
        <v>Semana 23</v>
      </c>
      <c r="C15" s="2" t="s">
        <v>23</v>
      </c>
      <c r="D15" s="2" t="s">
        <v>24</v>
      </c>
      <c r="E15" s="2" t="s">
        <v>26</v>
      </c>
      <c r="F15" s="2" t="e">
        <f>VLOOKUP(TablaMarimba6[[#This Row],[Equipo]],[1]Catalogos!$V$4:$W$55,2,FALSE)</f>
        <v>#N/A</v>
      </c>
      <c r="G15" s="4"/>
      <c r="H15" s="5">
        <v>70</v>
      </c>
      <c r="I15" s="4">
        <f t="shared" si="2"/>
        <v>-852</v>
      </c>
      <c r="J15" s="6">
        <v>27</v>
      </c>
      <c r="K15" s="6">
        <f>(TablaMarimba6[[#This Row],[Salida (L)]]*TablaMarimba6[[#This Row],[Costo/L]])</f>
        <v>1890</v>
      </c>
      <c r="L15" s="6">
        <f t="shared" si="3"/>
        <v>21893</v>
      </c>
      <c r="M15" s="6"/>
      <c r="N15" s="6">
        <f>TablaMarimba6[[#This Row],[Saldo inicial(vales)]]+TablaMarimba6[[#This Row],[Columna1]]</f>
        <v>21893</v>
      </c>
      <c r="O15" s="6">
        <f t="shared" si="1"/>
        <v>23</v>
      </c>
      <c r="P15" s="6"/>
      <c r="S15" s="6"/>
      <c r="T15" s="6"/>
      <c r="U15" s="6"/>
      <c r="V15" s="6"/>
      <c r="W15" s="6"/>
    </row>
    <row r="16" spans="1:23">
      <c r="A16" s="3">
        <v>46178</v>
      </c>
      <c r="B16" s="3" t="str">
        <f t="shared" si="0"/>
        <v>Semana 23</v>
      </c>
      <c r="C16" s="2" t="s">
        <v>23</v>
      </c>
      <c r="D16" s="2" t="s">
        <v>24</v>
      </c>
      <c r="E16" s="2" t="s">
        <v>28</v>
      </c>
      <c r="F16" s="2" t="str">
        <f>VLOOKUP(TablaMarimba6[[#This Row],[Equipo]],[1]Catalogos!$V$4:$W$55,2,FALSE)</f>
        <v>VC-01</v>
      </c>
      <c r="G16" s="4"/>
      <c r="H16" s="5">
        <v>40</v>
      </c>
      <c r="I16" s="4">
        <f t="shared" si="2"/>
        <v>-922</v>
      </c>
      <c r="J16" s="6">
        <v>27</v>
      </c>
      <c r="K16" s="6">
        <f>(TablaMarimba6[[#This Row],[Salida (L)]]*TablaMarimba6[[#This Row],[Costo/L]])</f>
        <v>1080</v>
      </c>
      <c r="L16" s="6">
        <f t="shared" si="3"/>
        <v>21916</v>
      </c>
      <c r="M16" s="6"/>
      <c r="N16" s="6">
        <f>TablaMarimba6[[#This Row],[Saldo inicial(vales)]]+TablaMarimba6[[#This Row],[Columna1]]</f>
        <v>21916</v>
      </c>
      <c r="O16" s="6">
        <f t="shared" si="1"/>
        <v>23</v>
      </c>
      <c r="P16" s="6"/>
      <c r="S16" s="6"/>
      <c r="T16" s="6"/>
      <c r="U16" s="6"/>
      <c r="V16" s="6"/>
      <c r="W16" s="6"/>
    </row>
    <row r="17" spans="1:23">
      <c r="A17" s="3">
        <v>46179</v>
      </c>
      <c r="B17" s="3" t="str">
        <f t="shared" si="0"/>
        <v>Semana 23</v>
      </c>
      <c r="C17" s="2" t="s">
        <v>23</v>
      </c>
      <c r="D17" s="2" t="s">
        <v>24</v>
      </c>
      <c r="E17" s="2" t="s">
        <v>25</v>
      </c>
      <c r="F17" s="2" t="str">
        <f>VLOOKUP(TablaMarimba6[[#This Row],[Equipo]],[1]Catalogos!$V$4:$W$55,2,FALSE)</f>
        <v>MGR-01</v>
      </c>
      <c r="G17" s="4"/>
      <c r="H17" s="5">
        <v>100</v>
      </c>
      <c r="I17" s="4">
        <f t="shared" si="2"/>
        <v>-962</v>
      </c>
      <c r="J17" s="6">
        <v>27</v>
      </c>
      <c r="K17" s="6">
        <f>(TablaMarimba6[[#This Row],[Salida (L)]]*TablaMarimba6[[#This Row],[Costo/L]])</f>
        <v>2700</v>
      </c>
      <c r="L17" s="6">
        <f t="shared" si="3"/>
        <v>21939</v>
      </c>
      <c r="M17" s="6"/>
      <c r="N17" s="6">
        <f>TablaMarimba6[[#This Row],[Saldo inicial(vales)]]+TablaMarimba6[[#This Row],[Columna1]]</f>
        <v>21939</v>
      </c>
      <c r="O17" s="6">
        <f t="shared" si="1"/>
        <v>23</v>
      </c>
      <c r="P17" s="6"/>
      <c r="S17" s="6"/>
      <c r="T17" s="6"/>
      <c r="U17" s="6"/>
      <c r="V17" s="6"/>
      <c r="W17" s="6"/>
    </row>
    <row r="18" spans="1:23">
      <c r="A18" s="3">
        <v>46179</v>
      </c>
      <c r="B18" s="3" t="str">
        <f t="shared" si="0"/>
        <v>Semana 23</v>
      </c>
      <c r="C18" s="2" t="s">
        <v>23</v>
      </c>
      <c r="D18" s="2" t="s">
        <v>24</v>
      </c>
      <c r="E18" s="2" t="s">
        <v>26</v>
      </c>
      <c r="F18" s="2" t="e">
        <f>VLOOKUP(TablaMarimba6[[#This Row],[Equipo]],[1]Catalogos!$V$4:$W$55,2,FALSE)</f>
        <v>#N/A</v>
      </c>
      <c r="G18" s="4"/>
      <c r="H18" s="5">
        <v>100</v>
      </c>
      <c r="I18" s="4">
        <f t="shared" si="2"/>
        <v>-1062</v>
      </c>
      <c r="J18" s="6">
        <v>27</v>
      </c>
      <c r="K18" s="6">
        <f>(TablaMarimba6[[#This Row],[Salida (L)]]*TablaMarimba6[[#This Row],[Costo/L]])</f>
        <v>2700</v>
      </c>
      <c r="L18" s="6">
        <f t="shared" si="3"/>
        <v>21962</v>
      </c>
      <c r="M18" s="6"/>
      <c r="N18" s="6">
        <f>TablaMarimba6[[#This Row],[Saldo inicial(vales)]]+TablaMarimba6[[#This Row],[Columna1]]</f>
        <v>21962</v>
      </c>
      <c r="O18" s="6">
        <f t="shared" si="1"/>
        <v>23</v>
      </c>
      <c r="P18" s="6"/>
      <c r="S18" s="6"/>
      <c r="T18" s="6"/>
      <c r="U18" s="6"/>
      <c r="V18" s="6"/>
      <c r="W18" s="6"/>
    </row>
    <row r="19" spans="1:23">
      <c r="A19" s="3">
        <v>46179</v>
      </c>
      <c r="B19" s="3" t="str">
        <f t="shared" si="0"/>
        <v>Semana 23</v>
      </c>
      <c r="C19" s="2" t="s">
        <v>23</v>
      </c>
      <c r="D19" s="2" t="s">
        <v>24</v>
      </c>
      <c r="E19" s="2" t="s">
        <v>27</v>
      </c>
      <c r="F19" s="2" t="e">
        <f>VLOOKUP(TablaMarimba6[[#This Row],[Equipo]],[1]Catalogos!$V$4:$W$55,2,FALSE)</f>
        <v>#N/A</v>
      </c>
      <c r="G19" s="4"/>
      <c r="H19" s="5">
        <v>40</v>
      </c>
      <c r="I19" s="4">
        <f t="shared" si="2"/>
        <v>-1162</v>
      </c>
      <c r="J19" s="6">
        <v>27</v>
      </c>
      <c r="K19" s="6">
        <f>(TablaMarimba6[[#This Row],[Salida (L)]]*TablaMarimba6[[#This Row],[Costo/L]])</f>
        <v>1080</v>
      </c>
      <c r="L19" s="6">
        <f t="shared" si="3"/>
        <v>21985</v>
      </c>
      <c r="M19" s="6"/>
      <c r="N19" s="6">
        <f>TablaMarimba6[[#This Row],[Saldo inicial(vales)]]+TablaMarimba6[[#This Row],[Columna1]]</f>
        <v>21985</v>
      </c>
      <c r="O19" s="6">
        <f t="shared" si="1"/>
        <v>23</v>
      </c>
      <c r="P19" s="6">
        <v>3000</v>
      </c>
      <c r="S19" s="6"/>
      <c r="T19" s="6"/>
      <c r="U19" s="6"/>
      <c r="V19" s="6"/>
      <c r="W19" s="6"/>
    </row>
    <row r="20" spans="1:23">
      <c r="A20" s="3">
        <v>46181</v>
      </c>
      <c r="B20" s="3" t="str">
        <f t="shared" si="0"/>
        <v>Semana 24</v>
      </c>
      <c r="C20" s="2" t="s">
        <v>23</v>
      </c>
      <c r="D20" s="2" t="s">
        <v>24</v>
      </c>
      <c r="E20" s="2" t="s">
        <v>25</v>
      </c>
      <c r="F20" s="2" t="str">
        <f>VLOOKUP(TablaMarimba6[[#This Row],[Equipo]],[1]Catalogos!$V$4:$W$55,2,FALSE)</f>
        <v>MGR-01</v>
      </c>
      <c r="G20" s="4"/>
      <c r="H20" s="5">
        <v>70</v>
      </c>
      <c r="I20" s="4">
        <f t="shared" si="2"/>
        <v>-1202</v>
      </c>
      <c r="J20" s="6">
        <v>27</v>
      </c>
      <c r="K20" s="6">
        <f>(TablaMarimba6[[#This Row],[Salida (L)]]*TablaMarimba6[[#This Row],[Costo/L]])</f>
        <v>1890</v>
      </c>
      <c r="L20" s="6">
        <f t="shared" ref="L20:L43" si="4">N19+O19-P19</f>
        <v>19008</v>
      </c>
      <c r="M20" s="6"/>
      <c r="N20" s="6">
        <f>TablaMarimba6[[#This Row],[Saldo inicial(vales)]]+TablaMarimba6[[#This Row],[Columna1]]</f>
        <v>19008</v>
      </c>
      <c r="O20" s="6">
        <f t="shared" si="1"/>
        <v>24</v>
      </c>
      <c r="P20" s="6"/>
      <c r="S20" s="6"/>
      <c r="T20" s="6"/>
      <c r="U20" s="6"/>
      <c r="V20" s="6"/>
      <c r="W20" s="6"/>
    </row>
    <row r="21" spans="1:23">
      <c r="A21" s="3">
        <v>46181</v>
      </c>
      <c r="B21" s="3" t="str">
        <f t="shared" si="0"/>
        <v>Semana 24</v>
      </c>
      <c r="C21" s="2" t="s">
        <v>23</v>
      </c>
      <c r="D21" s="2" t="s">
        <v>24</v>
      </c>
      <c r="E21" s="2" t="s">
        <v>28</v>
      </c>
      <c r="F21" s="2" t="str">
        <f>VLOOKUP(TablaMarimba6[[#This Row],[Equipo]],[1]Catalogos!$V$4:$W$55,2,FALSE)</f>
        <v>VC-01</v>
      </c>
      <c r="G21" s="4"/>
      <c r="H21" s="5">
        <v>40</v>
      </c>
      <c r="I21" s="4">
        <f t="shared" si="2"/>
        <v>-1272</v>
      </c>
      <c r="J21" s="6">
        <v>27</v>
      </c>
      <c r="K21" s="6">
        <f>(TablaMarimba6[[#This Row],[Salida (L)]]*TablaMarimba6[[#This Row],[Costo/L]])</f>
        <v>1080</v>
      </c>
      <c r="L21" s="6">
        <f t="shared" si="4"/>
        <v>19032</v>
      </c>
      <c r="M21" s="6"/>
      <c r="N21" s="6">
        <f>TablaMarimba6[[#This Row],[Saldo inicial(vales)]]+TablaMarimba6[[#This Row],[Columna1]]</f>
        <v>19032</v>
      </c>
      <c r="O21" s="6">
        <f t="shared" si="1"/>
        <v>24</v>
      </c>
      <c r="P21" s="6"/>
      <c r="S21" s="6"/>
      <c r="T21" s="6"/>
      <c r="U21" s="6"/>
      <c r="V21" s="6"/>
      <c r="W21" s="6"/>
    </row>
    <row r="22" spans="1:23">
      <c r="A22" s="3">
        <v>46184</v>
      </c>
      <c r="B22" s="3" t="str">
        <f t="shared" si="0"/>
        <v>Semana 24</v>
      </c>
      <c r="C22" s="2" t="s">
        <v>23</v>
      </c>
      <c r="D22" s="2" t="s">
        <v>24</v>
      </c>
      <c r="E22" s="2" t="s">
        <v>30</v>
      </c>
      <c r="F22" s="2" t="str">
        <f>VLOOKUP(TablaMarimba6[[#This Row],[Equipo]],[1]Catalogos!$V$4:$W$55,2,FALSE)</f>
        <v>EX-01</v>
      </c>
      <c r="G22" s="4"/>
      <c r="H22" s="5">
        <v>70</v>
      </c>
      <c r="I22" s="4">
        <f t="shared" si="2"/>
        <v>-1312</v>
      </c>
      <c r="J22" s="6">
        <v>27</v>
      </c>
      <c r="K22" s="6">
        <f>(TablaMarimba6[[#This Row],[Salida (L)]]*TablaMarimba6[[#This Row],[Costo/L]])</f>
        <v>1890</v>
      </c>
      <c r="L22" s="6">
        <f t="shared" si="4"/>
        <v>19056</v>
      </c>
      <c r="M22" s="6"/>
      <c r="N22" s="6">
        <f>TablaMarimba6[[#This Row],[Saldo inicial(vales)]]+TablaMarimba6[[#This Row],[Columna1]]</f>
        <v>19056</v>
      </c>
      <c r="O22" s="6">
        <f t="shared" si="1"/>
        <v>24</v>
      </c>
      <c r="P22" s="6">
        <v>1556</v>
      </c>
      <c r="S22" s="6"/>
      <c r="T22" s="6"/>
      <c r="U22" s="6"/>
      <c r="V22" s="6"/>
      <c r="W22" s="6"/>
    </row>
    <row r="23" spans="1:23">
      <c r="A23" s="3">
        <v>46188</v>
      </c>
      <c r="B23" s="3" t="str">
        <f t="shared" si="0"/>
        <v>Semana 25</v>
      </c>
      <c r="C23" s="2" t="s">
        <v>23</v>
      </c>
      <c r="D23" s="2" t="s">
        <v>24</v>
      </c>
      <c r="E23" s="2" t="s">
        <v>30</v>
      </c>
      <c r="F23" s="2" t="str">
        <f>VLOOKUP(TablaMarimba6[[#This Row],[Equipo]],[1]Catalogos!$V$4:$W$55,2,FALSE)</f>
        <v>EX-01</v>
      </c>
      <c r="G23" s="4"/>
      <c r="H23" s="5">
        <v>100</v>
      </c>
      <c r="I23" s="4">
        <f t="shared" si="2"/>
        <v>-1382</v>
      </c>
      <c r="J23" s="6">
        <v>27</v>
      </c>
      <c r="K23" s="6">
        <f>(TablaMarimba6[[#This Row],[Salida (L)]]*TablaMarimba6[[#This Row],[Costo/L]])</f>
        <v>2700</v>
      </c>
      <c r="L23" s="6">
        <f t="shared" si="4"/>
        <v>17524</v>
      </c>
      <c r="M23" s="6"/>
      <c r="N23" s="6">
        <f>TablaMarimba6[[#This Row],[Saldo inicial(vales)]]+TablaMarimba6[[#This Row],[Columna1]]</f>
        <v>17524</v>
      </c>
      <c r="O23" s="6">
        <f t="shared" si="1"/>
        <v>25</v>
      </c>
      <c r="P23" s="6"/>
      <c r="S23" s="6"/>
      <c r="T23" s="6"/>
      <c r="U23" s="6"/>
      <c r="V23" s="6"/>
      <c r="W23" s="6"/>
    </row>
    <row r="24" spans="1:23">
      <c r="A24" s="3">
        <v>46189</v>
      </c>
      <c r="B24" s="3" t="str">
        <f t="shared" si="0"/>
        <v>Semana 25</v>
      </c>
      <c r="C24" s="2" t="s">
        <v>23</v>
      </c>
      <c r="D24" s="2" t="s">
        <v>24</v>
      </c>
      <c r="E24" s="2" t="s">
        <v>25</v>
      </c>
      <c r="F24" s="2" t="str">
        <f>VLOOKUP(TablaMarimba6[[#This Row],[Equipo]],[1]Catalogos!$V$4:$W$55,2,FALSE)</f>
        <v>MGR-01</v>
      </c>
      <c r="G24" s="4"/>
      <c r="H24" s="5">
        <v>90</v>
      </c>
      <c r="I24" s="4">
        <f t="shared" si="2"/>
        <v>-1482</v>
      </c>
      <c r="J24" s="6">
        <v>27</v>
      </c>
      <c r="K24" s="6">
        <f>(TablaMarimba6[[#This Row],[Salida (L)]]*TablaMarimba6[[#This Row],[Costo/L]])</f>
        <v>2430</v>
      </c>
      <c r="L24" s="6">
        <f t="shared" si="4"/>
        <v>17549</v>
      </c>
      <c r="M24" s="6"/>
      <c r="N24" s="6">
        <f>TablaMarimba6[[#This Row],[Saldo inicial(vales)]]+TablaMarimba6[[#This Row],[Columna1]]</f>
        <v>17549</v>
      </c>
      <c r="O24" s="6">
        <f t="shared" si="1"/>
        <v>25</v>
      </c>
      <c r="P24" s="6"/>
      <c r="S24" s="6"/>
      <c r="T24" s="6"/>
      <c r="U24" s="6"/>
      <c r="V24" s="6"/>
      <c r="W24" s="6"/>
    </row>
    <row r="25" spans="1:23">
      <c r="A25" s="3">
        <v>46189</v>
      </c>
      <c r="B25" s="3" t="str">
        <f t="shared" si="0"/>
        <v>Semana 25</v>
      </c>
      <c r="C25" s="2" t="s">
        <v>23</v>
      </c>
      <c r="D25" s="2" t="s">
        <v>24</v>
      </c>
      <c r="E25" s="2" t="s">
        <v>30</v>
      </c>
      <c r="F25" s="2" t="str">
        <f>VLOOKUP(TablaMarimba6[[#This Row],[Equipo]],[1]Catalogos!$V$4:$W$55,2,FALSE)</f>
        <v>EX-01</v>
      </c>
      <c r="G25" s="4"/>
      <c r="H25" s="5">
        <v>140</v>
      </c>
      <c r="I25" s="4">
        <f t="shared" si="2"/>
        <v>-1572</v>
      </c>
      <c r="J25" s="6">
        <v>27</v>
      </c>
      <c r="K25" s="6">
        <f>(TablaMarimba6[[#This Row],[Salida (L)]]*TablaMarimba6[[#This Row],[Costo/L]])</f>
        <v>3780</v>
      </c>
      <c r="L25" s="6">
        <f t="shared" si="4"/>
        <v>17574</v>
      </c>
      <c r="M25" s="6"/>
      <c r="N25" s="6">
        <f>TablaMarimba6[[#This Row],[Saldo inicial(vales)]]+TablaMarimba6[[#This Row],[Columna1]]</f>
        <v>17574</v>
      </c>
      <c r="O25" s="6">
        <f t="shared" si="1"/>
        <v>25</v>
      </c>
      <c r="P25" s="6"/>
      <c r="S25" s="6"/>
      <c r="T25" s="6"/>
      <c r="U25" s="6"/>
      <c r="V25" s="6"/>
      <c r="W25" s="6"/>
    </row>
    <row r="26" spans="1:23">
      <c r="A26" s="3">
        <v>46190</v>
      </c>
      <c r="B26" s="3" t="str">
        <f t="shared" si="0"/>
        <v>Semana 25</v>
      </c>
      <c r="C26" s="2" t="s">
        <v>23</v>
      </c>
      <c r="D26" s="2" t="s">
        <v>24</v>
      </c>
      <c r="E26" s="2" t="s">
        <v>28</v>
      </c>
      <c r="F26" s="2" t="str">
        <f>VLOOKUP(TablaMarimba6[[#This Row],[Equipo]],[1]Catalogos!$V$4:$W$55,2,FALSE)</f>
        <v>VC-01</v>
      </c>
      <c r="G26" s="4"/>
      <c r="H26" s="5">
        <v>50</v>
      </c>
      <c r="I26" s="4">
        <f t="shared" si="2"/>
        <v>-1712</v>
      </c>
      <c r="J26" s="6">
        <v>27</v>
      </c>
      <c r="K26" s="6">
        <f>(TablaMarimba6[[#This Row],[Salida (L)]]*TablaMarimba6[[#This Row],[Costo/L]])</f>
        <v>1350</v>
      </c>
      <c r="L26" s="6">
        <f t="shared" si="4"/>
        <v>17599</v>
      </c>
      <c r="M26" s="6"/>
      <c r="N26" s="6">
        <f>TablaMarimba6[[#This Row],[Saldo inicial(vales)]]+TablaMarimba6[[#This Row],[Columna1]]</f>
        <v>17599</v>
      </c>
      <c r="O26" s="6">
        <f t="shared" si="1"/>
        <v>25</v>
      </c>
      <c r="P26" s="6"/>
      <c r="S26" s="6"/>
      <c r="T26" s="6"/>
      <c r="U26" s="6"/>
      <c r="V26" s="6"/>
      <c r="W26" s="6"/>
    </row>
    <row r="27" spans="1:23">
      <c r="A27" s="3">
        <v>46190</v>
      </c>
      <c r="B27" s="3" t="str">
        <f t="shared" si="0"/>
        <v>Semana 25</v>
      </c>
      <c r="C27" s="2" t="s">
        <v>23</v>
      </c>
      <c r="D27" s="2" t="s">
        <v>24</v>
      </c>
      <c r="E27" s="2" t="s">
        <v>30</v>
      </c>
      <c r="F27" s="2" t="str">
        <f>VLOOKUP(TablaMarimba6[[#This Row],[Equipo]],[1]Catalogos!$V$4:$W$55,2,FALSE)</f>
        <v>EX-01</v>
      </c>
      <c r="G27" s="4"/>
      <c r="H27" s="5">
        <v>100</v>
      </c>
      <c r="I27" s="4">
        <f t="shared" si="2"/>
        <v>-1762</v>
      </c>
      <c r="J27" s="6">
        <v>27</v>
      </c>
      <c r="K27" s="6">
        <f>(TablaMarimba6[[#This Row],[Salida (L)]]*TablaMarimba6[[#This Row],[Costo/L]])</f>
        <v>2700</v>
      </c>
      <c r="L27" s="6">
        <f t="shared" si="4"/>
        <v>17624</v>
      </c>
      <c r="M27" s="6"/>
      <c r="N27" s="6">
        <f>TablaMarimba6[[#This Row],[Saldo inicial(vales)]]+TablaMarimba6[[#This Row],[Columna1]]</f>
        <v>17624</v>
      </c>
      <c r="O27" s="6">
        <f t="shared" si="1"/>
        <v>25</v>
      </c>
      <c r="P27" s="6"/>
      <c r="S27" s="6"/>
      <c r="T27" s="6"/>
      <c r="U27" s="6"/>
      <c r="V27" s="6"/>
      <c r="W27" s="6"/>
    </row>
    <row r="28" spans="1:23">
      <c r="A28" s="3">
        <v>46191</v>
      </c>
      <c r="B28" s="3" t="str">
        <f t="shared" si="0"/>
        <v>Semana 25</v>
      </c>
      <c r="C28" s="2" t="s">
        <v>23</v>
      </c>
      <c r="D28" s="2" t="s">
        <v>24</v>
      </c>
      <c r="E28" s="2" t="s">
        <v>26</v>
      </c>
      <c r="F28" s="2" t="e">
        <f>VLOOKUP(TablaMarimba6[[#This Row],[Equipo]],[1]Catalogos!$V$4:$W$55,2,FALSE)</f>
        <v>#N/A</v>
      </c>
      <c r="G28" s="4"/>
      <c r="H28" s="5">
        <v>70</v>
      </c>
      <c r="I28" s="4">
        <f t="shared" si="2"/>
        <v>-1862</v>
      </c>
      <c r="J28" s="6">
        <v>27</v>
      </c>
      <c r="K28" s="6">
        <f>(TablaMarimba6[[#This Row],[Salida (L)]]*TablaMarimba6[[#This Row],[Costo/L]])</f>
        <v>1890</v>
      </c>
      <c r="L28" s="6">
        <f t="shared" si="4"/>
        <v>17649</v>
      </c>
      <c r="M28" s="6"/>
      <c r="N28" s="6">
        <f>TablaMarimba6[[#This Row],[Saldo inicial(vales)]]+TablaMarimba6[[#This Row],[Columna1]]</f>
        <v>17649</v>
      </c>
      <c r="O28" s="6">
        <f t="shared" si="1"/>
        <v>25</v>
      </c>
      <c r="P28" s="6"/>
      <c r="S28" s="6"/>
      <c r="T28" s="6"/>
      <c r="U28" s="6"/>
      <c r="V28" s="6"/>
      <c r="W28" s="6"/>
    </row>
    <row r="29" spans="1:23">
      <c r="A29" s="3">
        <v>46191</v>
      </c>
      <c r="B29" s="3" t="str">
        <f t="shared" si="0"/>
        <v>Semana 25</v>
      </c>
      <c r="C29" s="2" t="s">
        <v>23</v>
      </c>
      <c r="D29" s="2" t="s">
        <v>24</v>
      </c>
      <c r="E29" s="2" t="s">
        <v>27</v>
      </c>
      <c r="F29" s="2" t="e">
        <f>VLOOKUP(TablaMarimba6[[#This Row],[Equipo]],[1]Catalogos!$V$4:$W$55,2,FALSE)</f>
        <v>#N/A</v>
      </c>
      <c r="G29" s="4"/>
      <c r="H29" s="5">
        <v>40</v>
      </c>
      <c r="I29" s="4">
        <f t="shared" si="2"/>
        <v>-1932</v>
      </c>
      <c r="J29" s="6">
        <v>27</v>
      </c>
      <c r="K29" s="6">
        <f>(TablaMarimba6[[#This Row],[Salida (L)]]*TablaMarimba6[[#This Row],[Costo/L]])</f>
        <v>1080</v>
      </c>
      <c r="L29" s="6">
        <f t="shared" si="4"/>
        <v>17674</v>
      </c>
      <c r="M29" s="6"/>
      <c r="N29" s="6">
        <f>TablaMarimba6[[#This Row],[Saldo inicial(vales)]]+TablaMarimba6[[#This Row],[Columna1]]</f>
        <v>17674</v>
      </c>
      <c r="O29" s="6">
        <f t="shared" si="1"/>
        <v>25</v>
      </c>
      <c r="P29" s="6"/>
      <c r="S29" s="6"/>
      <c r="T29" s="6"/>
      <c r="U29" s="6"/>
      <c r="V29" s="6"/>
      <c r="W29" s="6"/>
    </row>
    <row r="30" spans="1:23">
      <c r="A30" s="3">
        <v>46191</v>
      </c>
      <c r="B30" s="3" t="str">
        <f t="shared" si="0"/>
        <v>Semana 25</v>
      </c>
      <c r="C30" s="2" t="s">
        <v>23</v>
      </c>
      <c r="D30" s="2" t="s">
        <v>24</v>
      </c>
      <c r="E30" s="2" t="s">
        <v>30</v>
      </c>
      <c r="F30" s="2" t="str">
        <f>VLOOKUP(TablaMarimba6[[#This Row],[Equipo]],[1]Catalogos!$V$4:$W$55,2,FALSE)</f>
        <v>EX-01</v>
      </c>
      <c r="G30" s="4"/>
      <c r="H30" s="5">
        <v>100</v>
      </c>
      <c r="I30" s="4">
        <f t="shared" si="2"/>
        <v>-1972</v>
      </c>
      <c r="J30" s="6">
        <v>27</v>
      </c>
      <c r="K30" s="6">
        <f>(TablaMarimba6[[#This Row],[Salida (L)]]*TablaMarimba6[[#This Row],[Costo/L]])</f>
        <v>2700</v>
      </c>
      <c r="L30" s="6">
        <f t="shared" si="4"/>
        <v>17699</v>
      </c>
      <c r="M30" s="6"/>
      <c r="N30" s="6">
        <f>TablaMarimba6[[#This Row],[Saldo inicial(vales)]]+TablaMarimba6[[#This Row],[Columna1]]</f>
        <v>17699</v>
      </c>
      <c r="O30" s="6">
        <f t="shared" si="1"/>
        <v>25</v>
      </c>
      <c r="P30" s="6">
        <v>3700</v>
      </c>
      <c r="S30" s="6"/>
      <c r="T30" s="6"/>
      <c r="U30" s="6"/>
      <c r="V30" s="6"/>
      <c r="W30" s="6"/>
    </row>
    <row r="31" spans="1:23">
      <c r="A31" s="3">
        <v>46192</v>
      </c>
      <c r="B31" s="3" t="str">
        <f t="shared" si="0"/>
        <v>Semana 25</v>
      </c>
      <c r="C31" s="2" t="s">
        <v>23</v>
      </c>
      <c r="D31" s="2" t="s">
        <v>24</v>
      </c>
      <c r="E31" s="2" t="s">
        <v>31</v>
      </c>
      <c r="F31" s="2" t="str">
        <f>VLOOKUP(TablaMarimba6[[#This Row],[Equipo]],[1]Catalogos!$V$4:$W$55,2,FALSE)</f>
        <v>EX-01</v>
      </c>
      <c r="H31" s="5">
        <v>150</v>
      </c>
      <c r="I31" s="4">
        <f t="shared" si="2"/>
        <v>-2072</v>
      </c>
      <c r="J31" s="6">
        <v>27</v>
      </c>
      <c r="K31" s="6">
        <f>(TablaMarimba6[[#This Row],[Salida (L)]]*TablaMarimba6[[#This Row],[Costo/L]])</f>
        <v>4050</v>
      </c>
      <c r="L31" s="6">
        <f t="shared" si="4"/>
        <v>14024</v>
      </c>
      <c r="M31" s="6"/>
      <c r="N31" s="6">
        <f>TablaMarimba6[[#This Row],[Saldo inicial(vales)]]+TablaMarimba6[[#This Row],[Columna1]]</f>
        <v>14024</v>
      </c>
      <c r="O31" s="6">
        <f t="shared" si="1"/>
        <v>25</v>
      </c>
      <c r="P31" s="6"/>
      <c r="S31" s="6"/>
      <c r="T31" s="6"/>
      <c r="U31" s="6"/>
      <c r="V31" s="6"/>
      <c r="W31" s="6"/>
    </row>
    <row r="32" spans="1:23">
      <c r="A32" s="3">
        <v>46193</v>
      </c>
      <c r="B32" s="3" t="str">
        <f t="shared" si="0"/>
        <v>Semana 25</v>
      </c>
      <c r="C32" s="2" t="s">
        <v>23</v>
      </c>
      <c r="D32" s="2" t="s">
        <v>24</v>
      </c>
      <c r="E32" s="2" t="s">
        <v>31</v>
      </c>
      <c r="F32" s="2" t="str">
        <f>VLOOKUP(TablaMarimba6[[#This Row],[Equipo]],[1]Catalogos!$V$4:$W$55,2,FALSE)</f>
        <v>EX-01</v>
      </c>
      <c r="G32" s="4"/>
      <c r="H32" s="5">
        <v>90</v>
      </c>
      <c r="I32" s="4">
        <f t="shared" ref="I32:I43" si="5">IF(ROW()=5,G32-H32,I31+G32-H32)</f>
        <v>-2162</v>
      </c>
      <c r="J32" s="6">
        <v>27</v>
      </c>
      <c r="K32" s="6">
        <f>(TablaMarimba6[[#This Row],[Salida (L)]]*TablaMarimba6[[#This Row],[Costo/L]])</f>
        <v>2430</v>
      </c>
      <c r="L32" s="6">
        <f t="shared" si="4"/>
        <v>14049</v>
      </c>
      <c r="M32" s="6"/>
      <c r="N32" s="6">
        <f>TablaMarimba6[[#This Row],[Saldo inicial(vales)]]+TablaMarimba6[[#This Row],[Columna1]]</f>
        <v>14049</v>
      </c>
      <c r="O32" s="6">
        <f t="shared" si="1"/>
        <v>25</v>
      </c>
      <c r="P32" s="6"/>
      <c r="S32" s="6"/>
      <c r="T32" s="6"/>
      <c r="U32" s="6"/>
      <c r="V32" s="6"/>
      <c r="W32" s="6"/>
    </row>
    <row r="33" spans="1:23">
      <c r="A33" s="3">
        <v>46195</v>
      </c>
      <c r="B33" s="3" t="str">
        <f t="shared" si="0"/>
        <v>Semana 26</v>
      </c>
      <c r="C33" s="2" t="s">
        <v>23</v>
      </c>
      <c r="D33" s="2" t="s">
        <v>24</v>
      </c>
      <c r="E33" s="2" t="s">
        <v>32</v>
      </c>
      <c r="F33" s="2" t="str">
        <f>VLOOKUP(TablaMarimba6[[#This Row],[Equipo]],[1]Catalogos!$V$4:$W$55,2,FALSE)</f>
        <v>RT-03</v>
      </c>
      <c r="G33" s="4"/>
      <c r="H33" s="5">
        <v>20</v>
      </c>
      <c r="I33" s="4">
        <f t="shared" si="5"/>
        <v>-2182</v>
      </c>
      <c r="J33" s="6">
        <v>27</v>
      </c>
      <c r="K33" s="6">
        <f>(TablaMarimba6[[#This Row],[Salida (L)]]*TablaMarimba6[[#This Row],[Costo/L]])</f>
        <v>540</v>
      </c>
      <c r="L33" s="6">
        <f t="shared" si="4"/>
        <v>14074</v>
      </c>
      <c r="M33" s="6"/>
      <c r="N33" s="6">
        <f>TablaMarimba6[[#This Row],[Saldo inicial(vales)]]+TablaMarimba6[[#This Row],[Columna1]]</f>
        <v>14074</v>
      </c>
      <c r="O33" s="6">
        <f t="shared" si="1"/>
        <v>26</v>
      </c>
      <c r="P33" s="6"/>
      <c r="S33" s="6"/>
      <c r="T33" s="6"/>
      <c r="U33" s="6"/>
      <c r="V33" s="6"/>
      <c r="W33" s="6"/>
    </row>
    <row r="34" spans="1:23">
      <c r="A34" s="3">
        <v>46195</v>
      </c>
      <c r="B34" s="3" t="str">
        <f t="shared" si="0"/>
        <v>Semana 26</v>
      </c>
      <c r="C34" s="2" t="s">
        <v>23</v>
      </c>
      <c r="D34" s="2" t="s">
        <v>24</v>
      </c>
      <c r="E34" s="2" t="s">
        <v>31</v>
      </c>
      <c r="F34" s="2" t="str">
        <f>VLOOKUP(TablaMarimba6[[#This Row],[Equipo]],[1]Catalogos!$V$4:$W$55,2,FALSE)</f>
        <v>EX-01</v>
      </c>
      <c r="G34" s="4"/>
      <c r="H34" s="5">
        <v>140</v>
      </c>
      <c r="I34" s="4">
        <f t="shared" si="5"/>
        <v>-2322</v>
      </c>
      <c r="J34" s="6">
        <v>27</v>
      </c>
      <c r="K34" s="6">
        <f>(TablaMarimba6[[#This Row],[Salida (L)]]*TablaMarimba6[[#This Row],[Costo/L]])</f>
        <v>3780</v>
      </c>
      <c r="L34" s="6">
        <f t="shared" si="4"/>
        <v>14100</v>
      </c>
      <c r="M34" s="6"/>
      <c r="N34" s="6">
        <f>TablaMarimba6[[#This Row],[Saldo inicial(vales)]]+TablaMarimba6[[#This Row],[Columna1]]</f>
        <v>14100</v>
      </c>
      <c r="O34" s="6">
        <f t="shared" si="1"/>
        <v>26</v>
      </c>
      <c r="P34" s="6"/>
      <c r="S34" s="6"/>
      <c r="T34" s="6"/>
      <c r="U34" s="6"/>
      <c r="V34" s="6"/>
      <c r="W34" s="6"/>
    </row>
    <row r="35" spans="1:23">
      <c r="A35" s="3">
        <v>46195</v>
      </c>
      <c r="B35" s="3" t="str">
        <f t="shared" si="0"/>
        <v>Semana 26</v>
      </c>
      <c r="C35" s="2" t="s">
        <v>23</v>
      </c>
      <c r="D35" s="2" t="s">
        <v>24</v>
      </c>
      <c r="E35" s="2" t="s">
        <v>33</v>
      </c>
      <c r="F35" s="2" t="str">
        <f>VLOOKUP(TablaMarimba6[[#This Row],[Equipo]],[1]Catalogos!$V$4:$W$55,2,FALSE)</f>
        <v>TR-01</v>
      </c>
      <c r="G35" s="4"/>
      <c r="H35" s="5">
        <v>100.74</v>
      </c>
      <c r="I35" s="4">
        <f t="shared" si="5"/>
        <v>-2422.7399999999998</v>
      </c>
      <c r="J35" s="6">
        <v>27</v>
      </c>
      <c r="K35" s="6">
        <f>(TablaMarimba6[[#This Row],[Salida (L)]]*TablaMarimba6[[#This Row],[Costo/L]])</f>
        <v>2719.98</v>
      </c>
      <c r="L35" s="6">
        <f t="shared" si="4"/>
        <v>14126</v>
      </c>
      <c r="M35" s="6"/>
      <c r="N35" s="6">
        <f>TablaMarimba6[[#This Row],[Saldo inicial(vales)]]+TablaMarimba6[[#This Row],[Columna1]]</f>
        <v>14126</v>
      </c>
      <c r="O35" s="6">
        <f t="shared" si="1"/>
        <v>26</v>
      </c>
      <c r="P35" s="6"/>
      <c r="S35" s="6"/>
      <c r="T35" s="6"/>
      <c r="U35" s="6"/>
      <c r="V35" s="6"/>
      <c r="W35" s="6"/>
    </row>
    <row r="36" spans="1:23">
      <c r="A36" s="3">
        <v>46196</v>
      </c>
      <c r="B36" s="3" t="str">
        <f t="shared" si="0"/>
        <v>Semana 26</v>
      </c>
      <c r="C36" s="2" t="s">
        <v>23</v>
      </c>
      <c r="D36" s="2" t="s">
        <v>24</v>
      </c>
      <c r="E36" s="2" t="s">
        <v>31</v>
      </c>
      <c r="F36" s="2" t="str">
        <f>VLOOKUP(TablaMarimba6[[#This Row],[Equipo]],[1]Catalogos!$V$4:$W$55,2,FALSE)</f>
        <v>EX-01</v>
      </c>
      <c r="G36" s="4"/>
      <c r="H36" s="5">
        <v>140</v>
      </c>
      <c r="I36" s="4">
        <f t="shared" si="5"/>
        <v>-2562.7399999999998</v>
      </c>
      <c r="J36" s="6">
        <v>27</v>
      </c>
      <c r="K36" s="6">
        <f>(TablaMarimba6[[#This Row],[Salida (L)]]*TablaMarimba6[[#This Row],[Costo/L]])</f>
        <v>3780</v>
      </c>
      <c r="L36" s="6">
        <f t="shared" si="4"/>
        <v>14152</v>
      </c>
      <c r="M36" s="6"/>
      <c r="N36" s="6">
        <f>TablaMarimba6[[#This Row],[Saldo inicial(vales)]]+TablaMarimba6[[#This Row],[Columna1]]</f>
        <v>14152</v>
      </c>
      <c r="O36" s="6">
        <f t="shared" si="1"/>
        <v>26</v>
      </c>
      <c r="P36" s="6"/>
      <c r="S36" s="6"/>
      <c r="T36" s="6"/>
      <c r="U36" s="6"/>
      <c r="V36" s="6"/>
      <c r="W36" s="6"/>
    </row>
    <row r="37" spans="1:23">
      <c r="A37" s="3">
        <v>46196</v>
      </c>
      <c r="B37" s="3" t="str">
        <f t="shared" si="0"/>
        <v>Semana 26</v>
      </c>
      <c r="C37" s="2" t="s">
        <v>23</v>
      </c>
      <c r="D37" s="2" t="s">
        <v>24</v>
      </c>
      <c r="E37" s="2" t="s">
        <v>33</v>
      </c>
      <c r="F37" s="2" t="str">
        <f>VLOOKUP(TablaMarimba6[[#This Row],[Equipo]],[1]Catalogos!$V$4:$W$55,2,FALSE)</f>
        <v>TR-01</v>
      </c>
      <c r="G37" s="4"/>
      <c r="H37" s="5">
        <v>119.26</v>
      </c>
      <c r="I37" s="4">
        <f t="shared" si="5"/>
        <v>-2682</v>
      </c>
      <c r="J37" s="6">
        <v>27</v>
      </c>
      <c r="K37" s="6">
        <f>(TablaMarimba6[[#This Row],[Salida (L)]]*TablaMarimba6[[#This Row],[Costo/L]])</f>
        <v>3220.02</v>
      </c>
      <c r="L37" s="6">
        <f t="shared" si="4"/>
        <v>14178</v>
      </c>
      <c r="M37" s="6"/>
      <c r="N37" s="6">
        <f>TablaMarimba6[[#This Row],[Saldo inicial(vales)]]+TablaMarimba6[[#This Row],[Columna1]]</f>
        <v>14178</v>
      </c>
      <c r="O37" s="6">
        <f t="shared" si="1"/>
        <v>26</v>
      </c>
      <c r="P37" s="6"/>
      <c r="S37" s="6"/>
      <c r="T37" s="6"/>
      <c r="U37" s="6"/>
      <c r="V37" s="6"/>
      <c r="W37" s="6"/>
    </row>
    <row r="38" spans="1:23">
      <c r="A38" s="3">
        <v>46197</v>
      </c>
      <c r="B38" s="3" t="str">
        <f t="shared" si="0"/>
        <v>Semana 26</v>
      </c>
      <c r="C38" s="2" t="s">
        <v>23</v>
      </c>
      <c r="D38" s="2" t="s">
        <v>24</v>
      </c>
      <c r="E38" s="2" t="s">
        <v>34</v>
      </c>
      <c r="F38" s="2" t="str">
        <f>VLOOKUP(TablaMarimba6[[#This Row],[Equipo]],[1]Catalogos!$V$4:$W$55,2,FALSE)</f>
        <v>MGR-01</v>
      </c>
      <c r="G38" s="4"/>
      <c r="H38" s="5">
        <v>200</v>
      </c>
      <c r="I38" s="4">
        <f t="shared" si="5"/>
        <v>-2882</v>
      </c>
      <c r="J38" s="6">
        <v>27</v>
      </c>
      <c r="K38" s="6">
        <f>(TablaMarimba6[[#This Row],[Salida (L)]]*TablaMarimba6[[#This Row],[Costo/L]])</f>
        <v>5400</v>
      </c>
      <c r="L38" s="6">
        <f t="shared" si="4"/>
        <v>14204</v>
      </c>
      <c r="M38" s="6"/>
      <c r="N38" s="6">
        <f>TablaMarimba6[[#This Row],[Saldo inicial(vales)]]+TablaMarimba6[[#This Row],[Columna1]]</f>
        <v>14204</v>
      </c>
      <c r="O38" s="6">
        <f t="shared" si="1"/>
        <v>26</v>
      </c>
      <c r="P38" s="6"/>
      <c r="S38" s="6"/>
      <c r="T38" s="6"/>
      <c r="U38" s="6"/>
      <c r="V38" s="6"/>
      <c r="W38" s="6"/>
    </row>
    <row r="39" spans="1:23">
      <c r="A39" s="3">
        <v>46197</v>
      </c>
      <c r="B39" s="3" t="str">
        <f t="shared" si="0"/>
        <v>Semana 26</v>
      </c>
      <c r="C39" s="2" t="s">
        <v>23</v>
      </c>
      <c r="D39" s="2" t="s">
        <v>24</v>
      </c>
      <c r="E39" s="2" t="s">
        <v>34</v>
      </c>
      <c r="F39" s="2" t="str">
        <f>VLOOKUP(TablaMarimba6[[#This Row],[Equipo]],[1]Catalogos!$V$4:$W$55,2,FALSE)</f>
        <v>MGR-01</v>
      </c>
      <c r="G39" s="4"/>
      <c r="H39" s="5">
        <v>50</v>
      </c>
      <c r="I39" s="4">
        <f t="shared" si="5"/>
        <v>-2932</v>
      </c>
      <c r="J39" s="6">
        <v>27</v>
      </c>
      <c r="K39" s="6">
        <f>(TablaMarimba6[[#This Row],[Salida (L)]]*TablaMarimba6[[#This Row],[Costo/L]])</f>
        <v>1350</v>
      </c>
      <c r="L39" s="6">
        <f t="shared" si="4"/>
        <v>14230</v>
      </c>
      <c r="M39" s="6"/>
      <c r="N39" s="6">
        <f>TablaMarimba6[[#This Row],[Saldo inicial(vales)]]+TablaMarimba6[[#This Row],[Columna1]]</f>
        <v>14230</v>
      </c>
      <c r="O39" s="6">
        <f t="shared" si="1"/>
        <v>26</v>
      </c>
      <c r="P39" s="6"/>
      <c r="S39" s="6"/>
      <c r="T39" s="6"/>
      <c r="U39" s="6"/>
      <c r="V39" s="6"/>
      <c r="W39" s="6"/>
    </row>
    <row r="40" spans="1:23">
      <c r="A40" s="3">
        <v>46197</v>
      </c>
      <c r="B40" s="3" t="str">
        <f t="shared" si="0"/>
        <v>Semana 26</v>
      </c>
      <c r="C40" s="2" t="s">
        <v>23</v>
      </c>
      <c r="D40" s="2" t="s">
        <v>24</v>
      </c>
      <c r="E40" s="2" t="s">
        <v>31</v>
      </c>
      <c r="F40" s="2" t="str">
        <f>VLOOKUP(TablaMarimba6[[#This Row],[Equipo]],[1]Catalogos!$V$4:$W$55,2,FALSE)</f>
        <v>EX-01</v>
      </c>
      <c r="G40" s="4"/>
      <c r="H40" s="5">
        <v>200</v>
      </c>
      <c r="I40" s="4">
        <f t="shared" si="5"/>
        <v>-3132</v>
      </c>
      <c r="J40" s="6">
        <v>27</v>
      </c>
      <c r="K40" s="6">
        <f>(TablaMarimba6[[#This Row],[Salida (L)]]*TablaMarimba6[[#This Row],[Costo/L]])</f>
        <v>5400</v>
      </c>
      <c r="L40" s="6">
        <f t="shared" si="4"/>
        <v>14256</v>
      </c>
      <c r="M40" s="6"/>
      <c r="N40" s="6">
        <f>TablaMarimba6[[#This Row],[Saldo inicial(vales)]]+TablaMarimba6[[#This Row],[Columna1]]</f>
        <v>14256</v>
      </c>
      <c r="O40" s="6">
        <f t="shared" si="1"/>
        <v>26</v>
      </c>
      <c r="P40" s="6"/>
      <c r="S40" s="6"/>
      <c r="T40" s="6">
        <f>SUM(H2:H48)</f>
        <v>4415.7340000000004</v>
      </c>
      <c r="U40" s="6"/>
      <c r="V40" s="6"/>
      <c r="W40" s="6"/>
    </row>
    <row r="41" spans="1:23">
      <c r="A41" s="3">
        <v>46197</v>
      </c>
      <c r="B41" s="3" t="str">
        <f t="shared" si="0"/>
        <v>Semana 26</v>
      </c>
      <c r="C41" s="2" t="s">
        <v>23</v>
      </c>
      <c r="D41" s="2" t="s">
        <v>24</v>
      </c>
      <c r="E41" s="2" t="s">
        <v>33</v>
      </c>
      <c r="F41" s="2" t="str">
        <f>VLOOKUP(TablaMarimba6[[#This Row],[Equipo]],[1]Catalogos!$V$4:$W$55,2,FALSE)</f>
        <v>TR-01</v>
      </c>
      <c r="G41" s="4"/>
      <c r="H41" s="5">
        <v>100</v>
      </c>
      <c r="I41" s="4">
        <f t="shared" si="5"/>
        <v>-3232</v>
      </c>
      <c r="J41" s="6">
        <v>27</v>
      </c>
      <c r="K41" s="6">
        <f>(TablaMarimba6[[#This Row],[Salida (L)]]*TablaMarimba6[[#This Row],[Costo/L]])</f>
        <v>2700</v>
      </c>
      <c r="L41" s="6">
        <f t="shared" si="4"/>
        <v>14282</v>
      </c>
      <c r="M41" s="6"/>
      <c r="N41" s="6">
        <f>TablaMarimba6[[#This Row],[Saldo inicial(vales)]]+TablaMarimba6[[#This Row],[Columna1]]</f>
        <v>14282</v>
      </c>
      <c r="O41" s="6">
        <f t="shared" si="1"/>
        <v>26</v>
      </c>
      <c r="P41" s="6"/>
      <c r="S41" s="6"/>
      <c r="T41" s="6"/>
      <c r="U41" s="6"/>
      <c r="V41" s="6"/>
      <c r="W41" s="6"/>
    </row>
    <row r="42" spans="1:23">
      <c r="A42" s="3">
        <v>46199</v>
      </c>
      <c r="B42" s="3" t="str">
        <f t="shared" si="0"/>
        <v>Semana 26</v>
      </c>
      <c r="C42" s="2" t="s">
        <v>23</v>
      </c>
      <c r="D42" s="2" t="s">
        <v>24</v>
      </c>
      <c r="E42" s="2" t="s">
        <v>31</v>
      </c>
      <c r="F42" s="2" t="str">
        <f>VLOOKUP(TablaMarimba6[[#This Row],[Equipo]],[1]Catalogos!$V$4:$W$55,2,FALSE)</f>
        <v>EX-01</v>
      </c>
      <c r="G42" s="4"/>
      <c r="H42" s="5">
        <v>160</v>
      </c>
      <c r="I42" s="4">
        <f t="shared" si="5"/>
        <v>-3392</v>
      </c>
      <c r="J42" s="6">
        <v>27</v>
      </c>
      <c r="K42" s="6">
        <f>(TablaMarimba6[[#This Row],[Salida (L)]]*TablaMarimba6[[#This Row],[Costo/L]])</f>
        <v>4320</v>
      </c>
      <c r="L42" s="6">
        <f t="shared" si="4"/>
        <v>14308</v>
      </c>
      <c r="M42" s="6"/>
      <c r="N42" s="6">
        <f>TablaMarimba6[[#This Row],[Saldo inicial(vales)]]+TablaMarimba6[[#This Row],[Columna1]]</f>
        <v>14308</v>
      </c>
      <c r="O42" s="6">
        <f t="shared" si="1"/>
        <v>26</v>
      </c>
      <c r="P42" s="6"/>
      <c r="S42" s="6"/>
      <c r="T42" s="6"/>
      <c r="U42" s="6"/>
      <c r="V42" s="6"/>
      <c r="W42" s="6"/>
    </row>
    <row r="43" spans="1:23">
      <c r="A43" s="3">
        <v>46200</v>
      </c>
      <c r="B43" s="3" t="str">
        <f t="shared" si="0"/>
        <v>Semana 26</v>
      </c>
      <c r="C43" s="2" t="s">
        <v>23</v>
      </c>
      <c r="D43" s="2" t="s">
        <v>24</v>
      </c>
      <c r="E43" s="2" t="s">
        <v>31</v>
      </c>
      <c r="F43" s="2" t="str">
        <f>VLOOKUP(TablaMarimba6[[#This Row],[Equipo]],[1]Catalogos!$V$4:$W$55,2,FALSE)</f>
        <v>EX-01</v>
      </c>
      <c r="G43" s="4"/>
      <c r="H43" s="5">
        <v>108</v>
      </c>
      <c r="I43" s="4">
        <f t="shared" si="5"/>
        <v>-3500</v>
      </c>
      <c r="J43" s="6">
        <v>27</v>
      </c>
      <c r="K43" s="6">
        <f>(TablaMarimba6[[#This Row],[Salida (L)]]*TablaMarimba6[[#This Row],[Costo/L]])</f>
        <v>2916</v>
      </c>
      <c r="L43" s="6">
        <f t="shared" si="4"/>
        <v>14334</v>
      </c>
      <c r="M43" s="6"/>
      <c r="N43" s="6">
        <f>TablaMarimba6[[#This Row],[Saldo inicial(vales)]]+TablaMarimba6[[#This Row],[Columna1]]</f>
        <v>14334</v>
      </c>
      <c r="O43" s="6">
        <f t="shared" si="1"/>
        <v>26</v>
      </c>
      <c r="P43" s="6"/>
      <c r="S43" s="6"/>
      <c r="T43" s="6"/>
      <c r="U43" s="6"/>
      <c r="V43" s="6"/>
      <c r="W43" s="6"/>
    </row>
    <row r="44" spans="1:23">
      <c r="A44" s="3">
        <v>46202</v>
      </c>
      <c r="B44" s="3" t="str">
        <f t="shared" si="0"/>
        <v>Semana 27</v>
      </c>
      <c r="C44" s="2" t="s">
        <v>35</v>
      </c>
      <c r="D44" s="2" t="s">
        <v>24</v>
      </c>
      <c r="H44" s="5"/>
      <c r="L44" s="6">
        <v>1877</v>
      </c>
      <c r="M44" s="6">
        <v>135893</v>
      </c>
      <c r="N44" s="6">
        <f>TablaMarimba6[[#This Row],[Saldo inicial(vales)]]+TablaMarimba6[[#This Row],[Columna1]]</f>
        <v>137770</v>
      </c>
      <c r="O44" s="6">
        <f>IF(A47="","", WEEKNUM(A47, 2))</f>
        <v>27</v>
      </c>
      <c r="P44" s="6"/>
      <c r="S44" s="6"/>
      <c r="T44" s="6"/>
      <c r="U44" s="6"/>
      <c r="V44" s="6"/>
      <c r="W44" s="6"/>
    </row>
    <row r="45" spans="1:23">
      <c r="A45" s="3">
        <v>46202</v>
      </c>
      <c r="B45" s="3" t="str">
        <f t="shared" si="0"/>
        <v>Semana 27</v>
      </c>
      <c r="C45" s="2" t="s">
        <v>23</v>
      </c>
      <c r="D45" s="2" t="s">
        <v>24</v>
      </c>
      <c r="E45" s="2" t="s">
        <v>15</v>
      </c>
      <c r="F45" s="2" t="e">
        <f>VLOOKUP(TablaMarimba6[[#This Row],[Equipo]],[1]Catalogos!$V$4:$W$55,2,FALSE)</f>
        <v>#N/A</v>
      </c>
      <c r="H45" s="5">
        <v>50.061999999999998</v>
      </c>
      <c r="J45" s="2">
        <v>23.97</v>
      </c>
      <c r="K45" s="2">
        <f>TablaMarimba6[[#This Row],[Salida (L)]]*TablaMarimba6[[#This Row],[Costo/L]]</f>
        <v>1199.98614</v>
      </c>
      <c r="L45" s="6">
        <f>M44-TablaMarimba6[[#This Row],[Importe]]</f>
        <v>134693.01386000001</v>
      </c>
      <c r="M45" s="6">
        <f>TablaMarimba6[[#This Row],[Saldo inicial(vales)]]</f>
        <v>134693.01386000001</v>
      </c>
      <c r="N45" s="6">
        <f>TablaMarimba6[[#This Row],[Saldo inicial(vales)]]+TablaMarimba6[[#This Row],[Columna1]]</f>
        <v>269386.02772000001</v>
      </c>
      <c r="O45" s="6">
        <f>IF(A45="","", WEEKNUM(A45, 2))</f>
        <v>27</v>
      </c>
      <c r="P45" s="6"/>
      <c r="S45" s="6"/>
      <c r="T45" s="6"/>
      <c r="U45" s="6"/>
      <c r="V45" s="6"/>
      <c r="W45" s="6"/>
    </row>
    <row r="46" spans="1:23">
      <c r="A46" s="3">
        <v>46202</v>
      </c>
      <c r="B46" s="3" t="str">
        <f t="shared" si="0"/>
        <v>Semana 27</v>
      </c>
      <c r="C46" s="2" t="s">
        <v>23</v>
      </c>
      <c r="D46" s="2" t="s">
        <v>24</v>
      </c>
      <c r="E46" s="2" t="s">
        <v>15</v>
      </c>
      <c r="F46" s="2" t="e">
        <f>VLOOKUP(TablaMarimba6[[#This Row],[Equipo]],[1]Catalogos!$V$4:$W$55,2,FALSE)</f>
        <v>#N/A</v>
      </c>
      <c r="H46" s="5">
        <v>137.672</v>
      </c>
      <c r="J46" s="2">
        <v>23.97</v>
      </c>
      <c r="K46" s="2">
        <f>TablaMarimba6[[#This Row],[Salida (L)]]*TablaMarimba6[[#This Row],[Costo/L]]</f>
        <v>3299.99784</v>
      </c>
      <c r="L46" s="6">
        <f>M45-TablaMarimba6[[#This Row],[Importe]]</f>
        <v>131393.01602000001</v>
      </c>
      <c r="M46" s="6">
        <f>TablaMarimba6[[#This Row],[Saldo inicial(vales)]]</f>
        <v>131393.01602000001</v>
      </c>
      <c r="N46" s="6">
        <f>TablaMarimba6[[#This Row],[Saldo inicial(vales)]]+TablaMarimba6[[#This Row],[Columna1]]</f>
        <v>262786.03204000002</v>
      </c>
      <c r="O46" s="6">
        <f>IF(A46="","", WEEKNUM(A46, 2))</f>
        <v>27</v>
      </c>
      <c r="P46" s="6"/>
      <c r="S46" s="6"/>
      <c r="T46" s="6"/>
      <c r="U46" s="6"/>
      <c r="V46" s="6"/>
      <c r="W46" s="6"/>
    </row>
    <row r="47" spans="1:23">
      <c r="A47" s="3">
        <v>46203</v>
      </c>
      <c r="B47" s="3" t="str">
        <f t="shared" si="0"/>
        <v>Semana 27</v>
      </c>
      <c r="C47" s="2" t="s">
        <v>23</v>
      </c>
      <c r="D47" s="2" t="s">
        <v>24</v>
      </c>
      <c r="E47" s="2" t="s">
        <v>30</v>
      </c>
      <c r="F47" s="2" t="str">
        <f>VLOOKUP(TablaMarimba6[[#This Row],[Equipo]],[1]Catalogos!$V$4:$W$55,2,FALSE)</f>
        <v>EX-01</v>
      </c>
      <c r="G47" s="4"/>
      <c r="H47" s="5">
        <v>200</v>
      </c>
      <c r="I47" s="4">
        <f>IF(ROW()=5,G47-H47,I43+G47-H47)</f>
        <v>-3700</v>
      </c>
      <c r="J47" s="6">
        <v>27</v>
      </c>
      <c r="K47" s="6">
        <f>(TablaMarimba6[[#This Row],[Salida (L)]]*TablaMarimba6[[#This Row],[Costo/L]])</f>
        <v>5400</v>
      </c>
      <c r="L47" s="6">
        <f>M46-TablaMarimba6[[#This Row],[Importe]]</f>
        <v>125993.01602000001</v>
      </c>
      <c r="M47" s="6">
        <f>TablaMarimba6[[#This Row],[Saldo inicial(vales)]]</f>
        <v>125993.01602000001</v>
      </c>
      <c r="N47" s="6">
        <f>TablaMarimba6[[#This Row],[Saldo inicial(vales)]]+TablaMarimba6[[#This Row],[Columna1]]</f>
        <v>251986.03204000002</v>
      </c>
      <c r="O47" s="6">
        <f t="shared" ref="O47:O59" si="6">IF(A48="","", WEEKNUM(A48, 2))</f>
        <v>27</v>
      </c>
      <c r="P47" s="6"/>
      <c r="S47" s="6"/>
      <c r="T47" s="6"/>
      <c r="U47" s="6"/>
      <c r="V47" s="6"/>
      <c r="W47" s="6"/>
    </row>
    <row r="48" spans="1:23">
      <c r="A48" s="3">
        <v>46203</v>
      </c>
      <c r="B48" s="3" t="str">
        <f t="shared" si="0"/>
        <v>Semana 27</v>
      </c>
      <c r="C48" s="2" t="s">
        <v>23</v>
      </c>
      <c r="D48" s="2" t="s">
        <v>24</v>
      </c>
      <c r="E48" s="2" t="s">
        <v>33</v>
      </c>
      <c r="F48" s="2" t="str">
        <f>VLOOKUP(TablaMarimba6[[#This Row],[Equipo]],[1]Catalogos!$V$4:$W$55,2,FALSE)</f>
        <v>TR-01</v>
      </c>
      <c r="G48" s="4"/>
      <c r="H48" s="5">
        <v>200</v>
      </c>
      <c r="I48" s="4">
        <v>0</v>
      </c>
      <c r="J48" s="6">
        <v>27</v>
      </c>
      <c r="K48" s="6">
        <f>(TablaMarimba6[[#This Row],[Salida (L)]]*TablaMarimba6[[#This Row],[Costo/L]])</f>
        <v>5400</v>
      </c>
      <c r="L48" s="6">
        <f>M47-TablaMarimba6[[#This Row],[Importe]]</f>
        <v>120593.01602000001</v>
      </c>
      <c r="M48" s="6">
        <f>TablaMarimba6[[#This Row],[Saldo inicial(vales)]]</f>
        <v>120593.01602000001</v>
      </c>
      <c r="N48" s="6">
        <f>TablaMarimba6[[#This Row],[Saldo inicial(vales)]]+TablaMarimba6[[#This Row],[Columna1]]</f>
        <v>241186.03204000002</v>
      </c>
      <c r="O48" s="6">
        <f t="shared" si="6"/>
        <v>27</v>
      </c>
      <c r="P48" s="6"/>
      <c r="S48" s="6">
        <v>1877</v>
      </c>
      <c r="T48" s="6">
        <v>73497</v>
      </c>
      <c r="U48" s="6">
        <v>137771</v>
      </c>
      <c r="V48" s="6">
        <v>55890</v>
      </c>
      <c r="W48" s="6">
        <v>76181</v>
      </c>
    </row>
    <row r="49" spans="1:23">
      <c r="A49" s="3">
        <v>46205</v>
      </c>
      <c r="B49" s="3" t="str">
        <f t="shared" si="0"/>
        <v>Semana 27</v>
      </c>
      <c r="C49" s="2" t="s">
        <v>23</v>
      </c>
      <c r="D49" s="2" t="s">
        <v>24</v>
      </c>
      <c r="E49" s="2" t="s">
        <v>36</v>
      </c>
      <c r="F49" s="2" t="e">
        <f>VLOOKUP(TablaMarimba6[[#This Row],[Equipo]],[1]Catalogos!$V$4:$W$55,2,FALSE)</f>
        <v>#N/A</v>
      </c>
      <c r="G49" s="4"/>
      <c r="H49" s="5">
        <v>200</v>
      </c>
      <c r="I49" s="4">
        <f t="shared" ref="I49:I55" si="7">IF(ROW()=5,G49-H49,I48+G49-H49)</f>
        <v>-200</v>
      </c>
      <c r="J49" s="6">
        <v>27</v>
      </c>
      <c r="K49" s="6">
        <f>TablaMarimba6[[#This Row],[Salida (L)]]*TablaMarimba6[[#This Row],[Costo/L]]</f>
        <v>5400</v>
      </c>
      <c r="L49" s="6">
        <f>M48-TablaMarimba6[[#This Row],[Importe]]</f>
        <v>115193.01602000001</v>
      </c>
      <c r="M49" s="6">
        <f>TablaMarimba6[[#This Row],[Saldo inicial(vales)]]</f>
        <v>115193.01602000001</v>
      </c>
      <c r="N49" s="6">
        <f>TablaMarimba6[[#This Row],[Saldo inicial(vales)]]+TablaMarimba6[[#This Row],[Columna1]]</f>
        <v>230386.03204000002</v>
      </c>
      <c r="O49" s="6">
        <f t="shared" si="6"/>
        <v>27</v>
      </c>
      <c r="P49" s="6"/>
      <c r="S49" s="6"/>
      <c r="T49" s="6">
        <v>62396</v>
      </c>
      <c r="U49" s="6"/>
      <c r="V49" s="6">
        <v>5700</v>
      </c>
      <c r="W49" s="6"/>
    </row>
    <row r="50" spans="1:23">
      <c r="A50" s="3">
        <v>46205</v>
      </c>
      <c r="B50" s="3" t="str">
        <f t="shared" si="0"/>
        <v>Semana 27</v>
      </c>
      <c r="C50" s="2" t="s">
        <v>23</v>
      </c>
      <c r="D50" s="2" t="s">
        <v>24</v>
      </c>
      <c r="E50" s="2" t="s">
        <v>37</v>
      </c>
      <c r="F50" s="2" t="e">
        <f>VLOOKUP(TablaMarimba6[[#This Row],[Equipo]],[1]Catalogos!$V$4:$W$55,2,FALSE)</f>
        <v>#N/A</v>
      </c>
      <c r="G50" s="4"/>
      <c r="H50" s="5">
        <v>30</v>
      </c>
      <c r="I50" s="4">
        <f t="shared" si="7"/>
        <v>-230</v>
      </c>
      <c r="J50" s="6">
        <v>27</v>
      </c>
      <c r="K50" s="6">
        <f>TablaMarimba6[[#This Row],[Salida (L)]]*TablaMarimba6[[#This Row],[Costo/L]]</f>
        <v>810</v>
      </c>
      <c r="L50" s="6">
        <f>M49-TablaMarimba6[[#This Row],[Importe]]</f>
        <v>114383.01602000001</v>
      </c>
      <c r="M50" s="6">
        <f>TablaMarimba6[[#This Row],[Saldo inicial(vales)]]</f>
        <v>114383.01602000001</v>
      </c>
      <c r="N50" s="6">
        <f>TablaMarimba6[[#This Row],[Saldo inicial(vales)]]+TablaMarimba6[[#This Row],[Columna1]]</f>
        <v>228766.03204000002</v>
      </c>
      <c r="O50" s="6">
        <f t="shared" si="6"/>
        <v>27</v>
      </c>
      <c r="P50" s="6"/>
      <c r="S50" s="6"/>
      <c r="T50" s="6"/>
      <c r="U50" s="6"/>
      <c r="V50" s="6"/>
      <c r="W50" s="6"/>
    </row>
    <row r="51" spans="1:23">
      <c r="A51" s="3">
        <v>46205</v>
      </c>
      <c r="B51" s="3" t="str">
        <f t="shared" si="0"/>
        <v>Semana 27</v>
      </c>
      <c r="C51" s="2" t="s">
        <v>23</v>
      </c>
      <c r="D51" s="2" t="s">
        <v>24</v>
      </c>
      <c r="E51" s="2" t="s">
        <v>28</v>
      </c>
      <c r="F51" s="2" t="str">
        <f>VLOOKUP(TablaMarimba6[[#This Row],[Equipo]],[1]Catalogos!$V$4:$W$55,2,FALSE)</f>
        <v>VC-01</v>
      </c>
      <c r="G51" s="4"/>
      <c r="H51" s="5">
        <v>40</v>
      </c>
      <c r="I51" s="4">
        <f t="shared" si="7"/>
        <v>-270</v>
      </c>
      <c r="J51" s="6">
        <v>27</v>
      </c>
      <c r="K51" s="6">
        <f>TablaMarimba6[[#This Row],[Salida (L)]]*TablaMarimba6[[#This Row],[Costo/L]]</f>
        <v>1080</v>
      </c>
      <c r="L51" s="6">
        <f>M50-TablaMarimba6[[#This Row],[Importe]]</f>
        <v>113303.01602000001</v>
      </c>
      <c r="M51" s="6">
        <f>TablaMarimba6[[#This Row],[Saldo inicial(vales)]]</f>
        <v>113303.01602000001</v>
      </c>
      <c r="N51" s="6">
        <f>TablaMarimba6[[#This Row],[Saldo inicial(vales)]]+TablaMarimba6[[#This Row],[Columna1]]</f>
        <v>226606.03204000002</v>
      </c>
      <c r="O51" s="6">
        <f t="shared" si="6"/>
        <v>27</v>
      </c>
      <c r="P51" s="6"/>
      <c r="S51" s="6"/>
      <c r="T51" s="6"/>
      <c r="U51" s="6"/>
      <c r="V51" s="6"/>
      <c r="W51" s="6"/>
    </row>
    <row r="52" spans="1:23">
      <c r="A52" s="3">
        <v>46205</v>
      </c>
      <c r="B52" s="3" t="str">
        <f t="shared" si="0"/>
        <v>Semana 27</v>
      </c>
      <c r="C52" s="2" t="s">
        <v>23</v>
      </c>
      <c r="D52" s="2" t="s">
        <v>24</v>
      </c>
      <c r="E52" s="2" t="s">
        <v>30</v>
      </c>
      <c r="F52" s="2" t="str">
        <f>VLOOKUP(TablaMarimba6[[#This Row],[Equipo]],[1]Catalogos!$V$4:$W$55,2,FALSE)</f>
        <v>EX-01</v>
      </c>
      <c r="G52" s="4"/>
      <c r="H52" s="5">
        <v>200</v>
      </c>
      <c r="I52" s="4">
        <f t="shared" si="7"/>
        <v>-470</v>
      </c>
      <c r="J52" s="6">
        <v>27</v>
      </c>
      <c r="K52" s="6">
        <f>TablaMarimba6[[#This Row],[Salida (L)]]*TablaMarimba6[[#This Row],[Costo/L]]</f>
        <v>5400</v>
      </c>
      <c r="L52" s="6">
        <f>M51-TablaMarimba6[[#This Row],[Importe]]</f>
        <v>107903.01602000001</v>
      </c>
      <c r="M52" s="6">
        <f>TablaMarimba6[[#This Row],[Saldo inicial(vales)]]</f>
        <v>107903.01602000001</v>
      </c>
      <c r="N52" s="6">
        <f>TablaMarimba6[[#This Row],[Saldo inicial(vales)]]+TablaMarimba6[[#This Row],[Columna1]]</f>
        <v>215806.03204000002</v>
      </c>
      <c r="O52" s="6">
        <f t="shared" si="6"/>
        <v>27</v>
      </c>
      <c r="P52" s="6"/>
      <c r="S52" s="6"/>
      <c r="T52" s="6"/>
      <c r="U52" s="6"/>
      <c r="V52" s="6"/>
      <c r="W52" s="6"/>
    </row>
    <row r="53" spans="1:23">
      <c r="A53" s="3">
        <v>46205</v>
      </c>
      <c r="B53" s="3" t="str">
        <f t="shared" si="0"/>
        <v>Semana 27</v>
      </c>
      <c r="C53" s="2" t="s">
        <v>23</v>
      </c>
      <c r="D53" s="2" t="s">
        <v>24</v>
      </c>
      <c r="E53" s="2" t="s">
        <v>33</v>
      </c>
      <c r="F53" s="2" t="str">
        <f>VLOOKUP(TablaMarimba6[[#This Row],[Equipo]],[1]Catalogos!$V$4:$W$55,2,FALSE)</f>
        <v>TR-01</v>
      </c>
      <c r="G53" s="4"/>
      <c r="H53" s="5">
        <v>200</v>
      </c>
      <c r="I53" s="4">
        <f t="shared" si="7"/>
        <v>-670</v>
      </c>
      <c r="J53" s="6">
        <v>27</v>
      </c>
      <c r="K53" s="6">
        <f>TablaMarimba6[[#This Row],[Salida (L)]]*TablaMarimba6[[#This Row],[Costo/L]]</f>
        <v>5400</v>
      </c>
      <c r="L53" s="6">
        <f>M52-TablaMarimba6[[#This Row],[Importe]]</f>
        <v>102503.01602000001</v>
      </c>
      <c r="M53" s="6">
        <f>TablaMarimba6[[#This Row],[Saldo inicial(vales)]]</f>
        <v>102503.01602000001</v>
      </c>
      <c r="N53" s="6">
        <f>TablaMarimba6[[#This Row],[Saldo inicial(vales)]]+TablaMarimba6[[#This Row],[Columna1]]</f>
        <v>205006.03204000002</v>
      </c>
      <c r="O53" s="6">
        <f t="shared" si="6"/>
        <v>27</v>
      </c>
      <c r="P53" s="6"/>
      <c r="S53" s="6"/>
      <c r="T53" s="6"/>
      <c r="U53" s="6"/>
      <c r="V53" s="6"/>
      <c r="W53" s="6"/>
    </row>
    <row r="54" spans="1:23">
      <c r="A54" s="3">
        <v>46206</v>
      </c>
      <c r="B54" s="3" t="str">
        <f t="shared" si="0"/>
        <v>Semana 27</v>
      </c>
      <c r="C54" s="2" t="s">
        <v>23</v>
      </c>
      <c r="D54" s="2" t="s">
        <v>24</v>
      </c>
      <c r="E54" s="2" t="s">
        <v>30</v>
      </c>
      <c r="F54" s="2" t="str">
        <f>VLOOKUP(TablaMarimba6[[#This Row],[Equipo]],[1]Catalogos!$V$4:$W$55,2,FALSE)</f>
        <v>EX-01</v>
      </c>
      <c r="G54" s="4"/>
      <c r="H54" s="5">
        <v>161</v>
      </c>
      <c r="I54" s="4">
        <f t="shared" si="7"/>
        <v>-831</v>
      </c>
      <c r="J54" s="6">
        <v>27</v>
      </c>
      <c r="K54" s="6">
        <f>TablaMarimba6[[#This Row],[Salida (L)]]*TablaMarimba6[[#This Row],[Costo/L]]</f>
        <v>4347</v>
      </c>
      <c r="L54" s="6">
        <f>M53-TablaMarimba6[[#This Row],[Importe]]</f>
        <v>98156.01602000001</v>
      </c>
      <c r="M54" s="6">
        <f>TablaMarimba6[[#This Row],[Saldo inicial(vales)]]</f>
        <v>98156.01602000001</v>
      </c>
      <c r="N54" s="6">
        <f>TablaMarimba6[[#This Row],[Saldo inicial(vales)]]+TablaMarimba6[[#This Row],[Columna1]]</f>
        <v>196312.03204000002</v>
      </c>
      <c r="O54" s="6">
        <f t="shared" si="6"/>
        <v>27</v>
      </c>
      <c r="P54" s="6"/>
      <c r="S54" s="6"/>
      <c r="T54" s="6"/>
      <c r="U54" s="6"/>
      <c r="V54" s="6"/>
      <c r="W54" s="6"/>
    </row>
    <row r="55" spans="1:23">
      <c r="A55" s="3">
        <v>46206</v>
      </c>
      <c r="B55" s="3" t="str">
        <f t="shared" si="0"/>
        <v>Semana 27</v>
      </c>
      <c r="C55" s="2" t="s">
        <v>23</v>
      </c>
      <c r="D55" s="2" t="s">
        <v>24</v>
      </c>
      <c r="E55" s="2" t="s">
        <v>33</v>
      </c>
      <c r="F55" s="2" t="str">
        <f>VLOOKUP(TablaMarimba6[[#This Row],[Equipo]],[1]Catalogos!$V$4:$W$55,2,FALSE)</f>
        <v>TR-01</v>
      </c>
      <c r="G55" s="4"/>
      <c r="H55" s="5">
        <v>135</v>
      </c>
      <c r="I55" s="4">
        <f t="shared" si="7"/>
        <v>-966</v>
      </c>
      <c r="J55" s="6">
        <v>27</v>
      </c>
      <c r="K55" s="6">
        <f>TablaMarimba6[[#This Row],[Salida (L)]]*TablaMarimba6[[#This Row],[Costo/L]]</f>
        <v>3645</v>
      </c>
      <c r="L55" s="6">
        <f>M54-TablaMarimba6[[#This Row],[Importe]]</f>
        <v>94511.01602000001</v>
      </c>
      <c r="M55" s="6">
        <f>TablaMarimba6[[#This Row],[Saldo inicial(vales)]]</f>
        <v>94511.01602000001</v>
      </c>
      <c r="N55" s="6">
        <f>TablaMarimba6[[#This Row],[Saldo inicial(vales)]]+TablaMarimba6[[#This Row],[Columna1]]</f>
        <v>189022.03204000002</v>
      </c>
      <c r="O55" s="6">
        <f t="shared" si="6"/>
        <v>27</v>
      </c>
      <c r="P55" s="6"/>
      <c r="S55" s="6"/>
      <c r="T55" s="6"/>
      <c r="U55" s="6"/>
      <c r="V55" s="6"/>
      <c r="W55" s="6"/>
    </row>
    <row r="56" spans="1:23">
      <c r="A56" s="3">
        <v>46206</v>
      </c>
      <c r="B56" s="3" t="str">
        <f t="shared" si="0"/>
        <v>Semana 27</v>
      </c>
      <c r="C56" s="2" t="s">
        <v>23</v>
      </c>
      <c r="D56" s="2" t="s">
        <v>24</v>
      </c>
      <c r="E56" s="2" t="s">
        <v>30</v>
      </c>
      <c r="F56" s="2" t="str">
        <f>VLOOKUP(TablaMarimba6[[#This Row],[Equipo]],[1]Catalogos!$V$4:$W$55,2,FALSE)</f>
        <v>EX-01</v>
      </c>
      <c r="G56" s="4"/>
      <c r="H56" s="5">
        <v>250</v>
      </c>
      <c r="I56" s="4">
        <v>500</v>
      </c>
      <c r="J56" s="6">
        <v>27</v>
      </c>
      <c r="K56" s="6">
        <f>TablaMarimba6[[#This Row],[Salida (L)]]*TablaMarimba6[[#This Row],[Costo/L]]</f>
        <v>6750</v>
      </c>
      <c r="L56" s="6">
        <f>M55-TablaMarimba6[[#This Row],[Importe]]</f>
        <v>87761.01602000001</v>
      </c>
      <c r="M56" s="6">
        <f>TablaMarimba6[[#This Row],[Saldo inicial(vales)]]</f>
        <v>87761.01602000001</v>
      </c>
      <c r="N56" s="6">
        <f>TablaMarimba6[[#This Row],[Saldo inicial(vales)]]+TablaMarimba6[[#This Row],[Columna1]]</f>
        <v>175522.03204000002</v>
      </c>
      <c r="O56" s="6">
        <f t="shared" si="6"/>
        <v>27</v>
      </c>
      <c r="P56" s="6"/>
      <c r="S56" s="6"/>
      <c r="T56" s="6"/>
      <c r="U56" s="6"/>
      <c r="V56" s="6"/>
      <c r="W56" s="6"/>
    </row>
    <row r="57" spans="1:23">
      <c r="A57" s="3">
        <v>46207</v>
      </c>
      <c r="B57" s="3" t="str">
        <f t="shared" si="0"/>
        <v>Semana 27</v>
      </c>
      <c r="C57" s="2" t="s">
        <v>23</v>
      </c>
      <c r="D57" s="2" t="s">
        <v>24</v>
      </c>
      <c r="E57" s="2" t="s">
        <v>36</v>
      </c>
      <c r="F57" s="2" t="e">
        <f>VLOOKUP(TablaMarimba6[[#This Row],[Equipo]],[1]Catalogos!$V$4:$W$55,2,FALSE)</f>
        <v>#N/A</v>
      </c>
      <c r="G57" s="4"/>
      <c r="H57" s="5">
        <v>100</v>
      </c>
      <c r="I57" s="4">
        <f>IF(ROW()=5,G57-H57,I56+G57-H57)</f>
        <v>400</v>
      </c>
      <c r="J57" s="6">
        <v>27</v>
      </c>
      <c r="K57" s="6">
        <f>TablaMarimba6[[#This Row],[Salida (L)]]*TablaMarimba6[[#This Row],[Costo/L]]</f>
        <v>2700</v>
      </c>
      <c r="L57" s="6">
        <f>M56-TablaMarimba6[[#This Row],[Importe]]</f>
        <v>85061.01602000001</v>
      </c>
      <c r="M57" s="6">
        <f>TablaMarimba6[[#This Row],[Saldo inicial(vales)]]</f>
        <v>85061.01602000001</v>
      </c>
      <c r="N57" s="6">
        <f>TablaMarimba6[[#This Row],[Saldo inicial(vales)]]+TablaMarimba6[[#This Row],[Columna1]]</f>
        <v>170122.03204000002</v>
      </c>
      <c r="O57" s="6">
        <f t="shared" si="6"/>
        <v>27</v>
      </c>
      <c r="P57" s="6"/>
      <c r="S57" s="6"/>
      <c r="T57" s="6"/>
      <c r="U57" s="6"/>
      <c r="V57" s="6"/>
      <c r="W57" s="6"/>
    </row>
    <row r="58" spans="1:23">
      <c r="A58" s="3">
        <v>46207</v>
      </c>
      <c r="B58" s="3" t="str">
        <f t="shared" si="0"/>
        <v>Semana 27</v>
      </c>
      <c r="C58" s="2" t="s">
        <v>23</v>
      </c>
      <c r="D58" s="2" t="s">
        <v>24</v>
      </c>
      <c r="E58" s="2" t="s">
        <v>28</v>
      </c>
      <c r="F58" s="2" t="str">
        <f>VLOOKUP(TablaMarimba6[[#This Row],[Equipo]],[1]Catalogos!$V$4:$W$55,2,FALSE)</f>
        <v>VC-01</v>
      </c>
      <c r="G58" s="4"/>
      <c r="H58" s="5">
        <v>60</v>
      </c>
      <c r="I58" s="4">
        <f>IF(ROW()=5,G58-H58,I57+G58-H58)</f>
        <v>340</v>
      </c>
      <c r="J58" s="6">
        <v>27</v>
      </c>
      <c r="K58" s="6">
        <f>TablaMarimba6[[#This Row],[Salida (L)]]*TablaMarimba6[[#This Row],[Costo/L]]</f>
        <v>1620</v>
      </c>
      <c r="L58" s="6">
        <f>M57-TablaMarimba6[[#This Row],[Importe]]</f>
        <v>83441.01602000001</v>
      </c>
      <c r="M58" s="6">
        <f>TablaMarimba6[[#This Row],[Saldo inicial(vales)]]</f>
        <v>83441.01602000001</v>
      </c>
      <c r="N58" s="6">
        <f>TablaMarimba6[[#This Row],[Saldo inicial(vales)]]+TablaMarimba6[[#This Row],[Columna1]]</f>
        <v>166882.03204000002</v>
      </c>
      <c r="O58" s="6">
        <f t="shared" si="6"/>
        <v>27</v>
      </c>
      <c r="P58" s="6"/>
      <c r="S58" s="6"/>
      <c r="T58" s="6"/>
      <c r="U58" s="6"/>
      <c r="V58" s="6"/>
      <c r="W58" s="6"/>
    </row>
    <row r="59" spans="1:23">
      <c r="A59" s="3">
        <v>46207</v>
      </c>
      <c r="B59" s="3" t="str">
        <f t="shared" si="0"/>
        <v>Semana 27</v>
      </c>
      <c r="C59" s="2" t="s">
        <v>23</v>
      </c>
      <c r="D59" s="2" t="s">
        <v>24</v>
      </c>
      <c r="E59" s="2" t="s">
        <v>30</v>
      </c>
      <c r="F59" s="2" t="str">
        <f>VLOOKUP(TablaMarimba6[[#This Row],[Equipo]],[1]Catalogos!$V$4:$W$55,2,FALSE)</f>
        <v>EX-01</v>
      </c>
      <c r="G59" s="4"/>
      <c r="H59" s="5">
        <v>144</v>
      </c>
      <c r="I59" s="4">
        <f>IF(ROW()=5,G59-H59,I58+G59-H59)</f>
        <v>196</v>
      </c>
      <c r="J59" s="6">
        <v>27</v>
      </c>
      <c r="K59" s="6">
        <f>TablaMarimba6[[#This Row],[Salida (L)]]*TablaMarimba6[[#This Row],[Costo/L]]</f>
        <v>3888</v>
      </c>
      <c r="L59" s="6">
        <f>M58-TablaMarimba6[[#This Row],[Importe]]</f>
        <v>79553.01602000001</v>
      </c>
      <c r="M59" s="6">
        <f>TablaMarimba6[[#This Row],[Saldo inicial(vales)]]</f>
        <v>79553.01602000001</v>
      </c>
      <c r="N59" s="6">
        <f>TablaMarimba6[[#This Row],[Saldo inicial(vales)]]+TablaMarimba6[[#This Row],[Columna1]]</f>
        <v>159106.03204000002</v>
      </c>
      <c r="O59" s="6">
        <f t="shared" si="6"/>
        <v>27</v>
      </c>
      <c r="P59" s="6"/>
      <c r="S59" s="6"/>
      <c r="T59" s="6"/>
      <c r="U59" s="6"/>
      <c r="V59" s="6"/>
      <c r="W59" s="6"/>
    </row>
    <row r="60" spans="1:23">
      <c r="A60" s="3">
        <v>46207</v>
      </c>
      <c r="B60" s="3" t="str">
        <f t="shared" si="0"/>
        <v>Semana 27</v>
      </c>
      <c r="C60" s="2" t="s">
        <v>23</v>
      </c>
      <c r="D60" s="2" t="s">
        <v>24</v>
      </c>
      <c r="E60" s="2" t="s">
        <v>33</v>
      </c>
      <c r="F60" s="2" t="str">
        <f>VLOOKUP(TablaMarimba6[[#This Row],[Equipo]],[1]Catalogos!$V$4:$W$55,2,FALSE)</f>
        <v>TR-01</v>
      </c>
      <c r="G60" s="4"/>
      <c r="H60" s="5">
        <v>150</v>
      </c>
      <c r="I60" s="4">
        <f>IF(ROW()=5,G60-H60,I59+G60-H60)</f>
        <v>46</v>
      </c>
      <c r="J60" s="6">
        <v>27</v>
      </c>
      <c r="K60" s="6">
        <f>TablaMarimba6[[#This Row],[Salida (L)]]*TablaMarimba6[[#This Row],[Costo/L]]</f>
        <v>4050</v>
      </c>
      <c r="L60" s="6">
        <f>M59-TablaMarimba6[[#This Row],[Importe]]</f>
        <v>75503.01602000001</v>
      </c>
      <c r="M60" s="6">
        <f>TablaMarimba6[[#This Row],[Saldo inicial(vales)]]</f>
        <v>75503.01602000001</v>
      </c>
      <c r="N60" s="6">
        <f>TablaMarimba6[[#This Row],[Saldo inicial(vales)]]+TablaMarimba6[[#This Row],[Columna1]]</f>
        <v>151006.03204000002</v>
      </c>
      <c r="O60" s="6" t="e">
        <f>IF(#REF!="","", WEEKNUM(#REF!, 2))</f>
        <v>#REF!</v>
      </c>
      <c r="P60" s="6"/>
      <c r="S60" s="6"/>
      <c r="T60" s="6"/>
      <c r="U60" s="6"/>
      <c r="V60" s="6"/>
      <c r="W60" s="6"/>
    </row>
    <row r="61" spans="1:23">
      <c r="A61" s="3">
        <v>46209</v>
      </c>
      <c r="B61" s="3"/>
      <c r="C61" s="2" t="s">
        <v>23</v>
      </c>
      <c r="D61" s="2" t="s">
        <v>24</v>
      </c>
      <c r="E61" s="2" t="s">
        <v>30</v>
      </c>
      <c r="G61" s="4"/>
      <c r="H61" s="5">
        <v>210</v>
      </c>
      <c r="I61" s="4" t="e">
        <f>IF(ROW()=5,G61-H61,#REF!+G61-H61)</f>
        <v>#REF!</v>
      </c>
      <c r="J61" s="6">
        <v>28.3</v>
      </c>
      <c r="K61" s="6">
        <f>TablaMarimba6[[#This Row],[Salida (L)]]*TablaMarimba6[[#This Row],[Costo/L]]</f>
        <v>5943</v>
      </c>
      <c r="L61" s="6">
        <f>M60-TablaMarimba6[[#This Row],[Importe]]</f>
        <v>69560.01602000001</v>
      </c>
      <c r="M61" s="6">
        <f>TablaMarimba6[[#This Row],[Saldo inicial(vales)]]</f>
        <v>69560.01602000001</v>
      </c>
      <c r="N61" s="6">
        <f>TablaMarimba6[[#This Row],[Saldo inicial(vales)]]+TablaMarimba6[[#This Row],[Columna1]]</f>
        <v>139120.03204000002</v>
      </c>
      <c r="O61" s="6">
        <f t="shared" ref="O61:O124" si="8">IF(A61="","", WEEKNUM(A61, 2))</f>
        <v>28</v>
      </c>
      <c r="P61" s="6"/>
      <c r="S61" s="6"/>
      <c r="T61" s="6"/>
      <c r="U61" s="6"/>
      <c r="V61" s="6"/>
      <c r="W61" s="6"/>
    </row>
    <row r="62" spans="1:23">
      <c r="A62" s="3">
        <v>46209</v>
      </c>
      <c r="B62" s="3" t="str">
        <f t="shared" si="0"/>
        <v>Semana 28</v>
      </c>
      <c r="C62" s="2" t="s">
        <v>23</v>
      </c>
      <c r="D62" s="2" t="s">
        <v>24</v>
      </c>
      <c r="E62" s="2" t="s">
        <v>33</v>
      </c>
      <c r="F62" s="2" t="str">
        <f>VLOOKUP(TablaMarimba6[[#This Row],[Equipo]],[1]Catalogos!$V$4:$W$55,2,FALSE)</f>
        <v>TR-01</v>
      </c>
      <c r="G62" s="4"/>
      <c r="H62" s="5">
        <v>290</v>
      </c>
      <c r="I62" s="4" t="e">
        <f>IF(ROW()=5,G62-H62,I61+G62-H62)</f>
        <v>#REF!</v>
      </c>
      <c r="J62" s="6">
        <v>28.3</v>
      </c>
      <c r="K62" s="6">
        <f>TablaMarimba6[[#This Row],[Salida (L)]]*TablaMarimba6[[#This Row],[Costo/L]]</f>
        <v>8207</v>
      </c>
      <c r="L62" s="6">
        <f>M61-TablaMarimba6[[#This Row],[Importe]]</f>
        <v>61353.01602000001</v>
      </c>
      <c r="M62" s="6">
        <f>TablaMarimba6[[#This Row],[Saldo inicial(vales)]]</f>
        <v>61353.01602000001</v>
      </c>
      <c r="N62" s="6">
        <f>TablaMarimba6[[#This Row],[Saldo inicial(vales)]]+TablaMarimba6[[#This Row],[Columna1]]</f>
        <v>122706.03204000002</v>
      </c>
      <c r="O62" s="6">
        <f t="shared" si="8"/>
        <v>28</v>
      </c>
      <c r="P62" s="6"/>
      <c r="S62" s="6"/>
      <c r="T62" s="6"/>
      <c r="U62" s="6"/>
      <c r="V62" s="6"/>
      <c r="W62" s="6"/>
    </row>
    <row r="63" spans="1:23">
      <c r="A63" s="3">
        <v>46209</v>
      </c>
      <c r="B63" s="3" t="str">
        <f t="shared" si="0"/>
        <v>Semana 28</v>
      </c>
      <c r="C63" s="2" t="s">
        <v>23</v>
      </c>
      <c r="D63" s="2" t="s">
        <v>24</v>
      </c>
      <c r="E63" s="2" t="s">
        <v>36</v>
      </c>
      <c r="F63" s="2" t="e">
        <f>VLOOKUP(TablaMarimba6[[#This Row],[Equipo]],[1]Catalogos!$V$4:$W$55,2,FALSE)</f>
        <v>#N/A</v>
      </c>
      <c r="G63" s="4"/>
      <c r="H63" s="5">
        <v>200</v>
      </c>
      <c r="I63" s="4">
        <v>520</v>
      </c>
      <c r="J63" s="6"/>
      <c r="K63" s="6"/>
      <c r="L63" s="6">
        <f>M62-TablaMarimba6[[#This Row],[Importe]]</f>
        <v>61353.01602000001</v>
      </c>
      <c r="M63" s="6">
        <f>TablaMarimba6[[#This Row],[Saldo inicial(vales)]]</f>
        <v>61353.01602000001</v>
      </c>
      <c r="N63" s="6">
        <f>TablaMarimba6[[#This Row],[Saldo inicial(vales)]]+TablaMarimba6[[#This Row],[Columna1]]</f>
        <v>122706.03204000002</v>
      </c>
      <c r="O63" s="6">
        <f t="shared" si="8"/>
        <v>28</v>
      </c>
      <c r="P63" s="6"/>
      <c r="S63" s="6"/>
      <c r="T63" s="6"/>
      <c r="U63" s="6"/>
      <c r="V63" s="6"/>
      <c r="W63" s="6"/>
    </row>
    <row r="64" spans="1:23">
      <c r="A64" s="3">
        <v>46209</v>
      </c>
      <c r="B64" s="3" t="str">
        <f t="shared" si="0"/>
        <v>Semana 28</v>
      </c>
      <c r="C64" s="2" t="s">
        <v>23</v>
      </c>
      <c r="D64" s="2" t="s">
        <v>24</v>
      </c>
      <c r="E64" s="2" t="s">
        <v>28</v>
      </c>
      <c r="F64" s="2" t="str">
        <f>VLOOKUP(TablaMarimba6[[#This Row],[Equipo]],[1]Catalogos!$V$4:$W$55,2,FALSE)</f>
        <v>VC-01</v>
      </c>
      <c r="G64" s="4"/>
      <c r="H64" s="5">
        <v>100</v>
      </c>
      <c r="I64" s="4">
        <f t="shared" ref="I64:I127" si="9">IF(ROW()=5,G64-H64,I63+G64-H64)</f>
        <v>420</v>
      </c>
      <c r="J64" s="6">
        <v>28.3</v>
      </c>
      <c r="K64" s="6">
        <f t="shared" ref="K64:K69" si="10">IFERROR((G64+H64)*J64,0)</f>
        <v>2830</v>
      </c>
      <c r="L64" s="6">
        <f>M63-TablaMarimba6[[#This Row],[Importe]]</f>
        <v>58523.01602000001</v>
      </c>
      <c r="M64" s="6">
        <f>TablaMarimba6[[#This Row],[Saldo inicial(vales)]]</f>
        <v>58523.01602000001</v>
      </c>
      <c r="N64" s="6">
        <f>TablaMarimba6[[#This Row],[Saldo inicial(vales)]]+TablaMarimba6[[#This Row],[Columna1]]</f>
        <v>117046.03204000002</v>
      </c>
      <c r="O64" s="6">
        <f t="shared" si="8"/>
        <v>28</v>
      </c>
      <c r="P64" s="6"/>
      <c r="S64" s="6"/>
      <c r="T64" s="6"/>
      <c r="U64" s="6"/>
      <c r="V64" s="6"/>
      <c r="W64" s="6"/>
    </row>
    <row r="65" spans="1:23">
      <c r="A65" s="3">
        <v>46210</v>
      </c>
      <c r="B65" s="3" t="str">
        <f t="shared" si="0"/>
        <v>Semana 28</v>
      </c>
      <c r="C65" s="2" t="s">
        <v>23</v>
      </c>
      <c r="D65" s="2" t="s">
        <v>24</v>
      </c>
      <c r="E65" s="2" t="s">
        <v>30</v>
      </c>
      <c r="F65" s="2" t="str">
        <f>VLOOKUP(TablaMarimba6[[#This Row],[Equipo]],[1]Catalogos!$V$4:$W$55,2,FALSE)</f>
        <v>EX-01</v>
      </c>
      <c r="G65" s="4"/>
      <c r="H65" s="5">
        <v>100</v>
      </c>
      <c r="I65" s="4">
        <f t="shared" si="9"/>
        <v>320</v>
      </c>
      <c r="J65" s="6">
        <v>28.3</v>
      </c>
      <c r="K65" s="6">
        <f t="shared" si="10"/>
        <v>2830</v>
      </c>
      <c r="L65" s="6">
        <f>M64-TablaMarimba6[[#This Row],[Importe]]</f>
        <v>55693.01602000001</v>
      </c>
      <c r="M65" s="6">
        <f>TablaMarimba6[[#This Row],[Saldo inicial(vales)]]</f>
        <v>55693.01602000001</v>
      </c>
      <c r="N65" s="6">
        <f>TablaMarimba6[[#This Row],[Saldo inicial(vales)]]+TablaMarimba6[[#This Row],[Columna1]]</f>
        <v>111386.03204000002</v>
      </c>
      <c r="O65" s="6">
        <f t="shared" si="8"/>
        <v>28</v>
      </c>
      <c r="P65" s="6"/>
      <c r="S65" s="6"/>
      <c r="T65" s="6"/>
      <c r="U65" s="6"/>
      <c r="V65" s="6"/>
      <c r="W65" s="6"/>
    </row>
    <row r="66" spans="1:23">
      <c r="A66" s="3">
        <v>46210</v>
      </c>
      <c r="B66" s="3" t="str">
        <f t="shared" ref="B66:B129" si="11">IF(A66="","", "Semana "&amp;WEEKNUM(A66,2))</f>
        <v>Semana 28</v>
      </c>
      <c r="C66" s="2" t="s">
        <v>23</v>
      </c>
      <c r="D66" s="2" t="s">
        <v>24</v>
      </c>
      <c r="E66" s="2" t="s">
        <v>33</v>
      </c>
      <c r="F66" s="2" t="str">
        <f>VLOOKUP(TablaMarimba6[[#This Row],[Equipo]],[1]Catalogos!$V$4:$W$55,2,FALSE)</f>
        <v>TR-01</v>
      </c>
      <c r="G66" s="4"/>
      <c r="H66" s="5">
        <v>100</v>
      </c>
      <c r="I66" s="4">
        <f t="shared" si="9"/>
        <v>220</v>
      </c>
      <c r="J66" s="6">
        <v>28.3</v>
      </c>
      <c r="K66" s="6">
        <f t="shared" si="10"/>
        <v>2830</v>
      </c>
      <c r="L66" s="6">
        <f>M65-TablaMarimba6[[#This Row],[Importe]]</f>
        <v>52863.01602000001</v>
      </c>
      <c r="M66" s="6">
        <f>TablaMarimba6[[#This Row],[Saldo inicial(vales)]]</f>
        <v>52863.01602000001</v>
      </c>
      <c r="N66" s="6">
        <f>TablaMarimba6[[#This Row],[Saldo inicial(vales)]]+TablaMarimba6[[#This Row],[Columna1]]</f>
        <v>105726.03204000002</v>
      </c>
      <c r="O66" s="6">
        <f t="shared" si="8"/>
        <v>28</v>
      </c>
      <c r="P66" s="6"/>
      <c r="S66" s="6"/>
      <c r="T66" s="6"/>
      <c r="U66" s="6"/>
      <c r="V66" s="6"/>
      <c r="W66" s="6"/>
    </row>
    <row r="67" spans="1:23">
      <c r="A67" s="3">
        <v>46211</v>
      </c>
      <c r="B67" s="3" t="str">
        <f t="shared" si="11"/>
        <v>Semana 28</v>
      </c>
      <c r="C67" s="2" t="s">
        <v>23</v>
      </c>
      <c r="D67" s="2" t="s">
        <v>24</v>
      </c>
      <c r="E67" s="2" t="s">
        <v>30</v>
      </c>
      <c r="F67" s="2" t="str">
        <f>VLOOKUP(TablaMarimba6[[#This Row],[Equipo]],[1]Catalogos!$V$4:$W$55,2,FALSE)</f>
        <v>EX-01</v>
      </c>
      <c r="G67" s="4"/>
      <c r="H67" s="5">
        <v>250</v>
      </c>
      <c r="I67" s="4">
        <f t="shared" si="9"/>
        <v>-30</v>
      </c>
      <c r="J67" s="6">
        <v>28.3</v>
      </c>
      <c r="K67" s="6">
        <f t="shared" si="10"/>
        <v>7075</v>
      </c>
      <c r="L67" s="6">
        <f>M66-TablaMarimba6[[#This Row],[Importe]]</f>
        <v>45788.01602000001</v>
      </c>
      <c r="M67" s="6">
        <f>TablaMarimba6[[#This Row],[Saldo inicial(vales)]]</f>
        <v>45788.01602000001</v>
      </c>
      <c r="N67" s="6">
        <f>TablaMarimba6[[#This Row],[Saldo inicial(vales)]]+TablaMarimba6[[#This Row],[Columna1]]</f>
        <v>91576.03204000002</v>
      </c>
      <c r="O67" s="6">
        <f t="shared" si="8"/>
        <v>28</v>
      </c>
      <c r="P67" s="6"/>
      <c r="S67" s="6"/>
      <c r="T67" s="6"/>
      <c r="U67" s="6"/>
      <c r="V67" s="6"/>
      <c r="W67" s="6"/>
    </row>
    <row r="68" spans="1:23">
      <c r="A68" s="3">
        <v>46211</v>
      </c>
      <c r="B68" s="3" t="str">
        <f t="shared" si="11"/>
        <v>Semana 28</v>
      </c>
      <c r="C68" s="2" t="s">
        <v>23</v>
      </c>
      <c r="D68" s="2" t="s">
        <v>24</v>
      </c>
      <c r="E68" s="2" t="s">
        <v>28</v>
      </c>
      <c r="F68" s="2" t="str">
        <f>VLOOKUP(TablaMarimba6[[#This Row],[Equipo]],[1]Catalogos!$V$4:$W$55,2,FALSE)</f>
        <v>VC-01</v>
      </c>
      <c r="G68" s="4"/>
      <c r="H68" s="5">
        <v>100</v>
      </c>
      <c r="I68" s="4">
        <f t="shared" si="9"/>
        <v>-130</v>
      </c>
      <c r="J68" s="6">
        <v>28.3</v>
      </c>
      <c r="K68" s="6">
        <f t="shared" si="10"/>
        <v>2830</v>
      </c>
      <c r="L68" s="6">
        <f>M67-TablaMarimba6[[#This Row],[Importe]]</f>
        <v>42958.01602000001</v>
      </c>
      <c r="M68" s="6">
        <f>TablaMarimba6[[#This Row],[Saldo inicial(vales)]]</f>
        <v>42958.01602000001</v>
      </c>
      <c r="N68" s="6">
        <f>TablaMarimba6[[#This Row],[Saldo inicial(vales)]]+TablaMarimba6[[#This Row],[Columna1]]</f>
        <v>85916.03204000002</v>
      </c>
      <c r="O68" s="6">
        <f t="shared" si="8"/>
        <v>28</v>
      </c>
      <c r="P68" s="6"/>
      <c r="S68" s="6"/>
      <c r="T68" s="6"/>
      <c r="U68" s="6"/>
      <c r="V68" s="6"/>
      <c r="W68" s="6"/>
    </row>
    <row r="69" spans="1:23">
      <c r="A69" s="3">
        <v>46211</v>
      </c>
      <c r="B69" s="3" t="str">
        <f t="shared" si="11"/>
        <v>Semana 28</v>
      </c>
      <c r="C69" s="2" t="s">
        <v>23</v>
      </c>
      <c r="D69" s="2" t="s">
        <v>24</v>
      </c>
      <c r="E69" s="2" t="s">
        <v>37</v>
      </c>
      <c r="F69" s="2" t="e">
        <f>VLOOKUP(TablaMarimba6[[#This Row],[Equipo]],[1]Catalogos!$V$4:$W$55,2,FALSE)</f>
        <v>#N/A</v>
      </c>
      <c r="G69" s="4"/>
      <c r="H69" s="5">
        <v>50</v>
      </c>
      <c r="I69" s="4">
        <f t="shared" si="9"/>
        <v>-180</v>
      </c>
      <c r="J69" s="6">
        <v>28.3</v>
      </c>
      <c r="K69" s="6">
        <f t="shared" si="10"/>
        <v>1415</v>
      </c>
      <c r="L69" s="6">
        <f>M68-TablaMarimba6[[#This Row],[Importe]]</f>
        <v>41543.01602000001</v>
      </c>
      <c r="M69" s="6">
        <f>TablaMarimba6[[#This Row],[Saldo inicial(vales)]]</f>
        <v>41543.01602000001</v>
      </c>
      <c r="N69" s="6">
        <f>TablaMarimba6[[#This Row],[Saldo inicial(vales)]]+TablaMarimba6[[#This Row],[Columna1]]</f>
        <v>83086.03204000002</v>
      </c>
      <c r="O69" s="6">
        <f t="shared" si="8"/>
        <v>28</v>
      </c>
      <c r="P69" s="6"/>
      <c r="S69" s="6"/>
      <c r="T69" s="6"/>
      <c r="U69" s="6"/>
      <c r="V69" s="6"/>
      <c r="W69" s="6"/>
    </row>
    <row r="70" spans="1:23">
      <c r="A70" s="3">
        <v>46212</v>
      </c>
      <c r="B70" s="3" t="str">
        <f t="shared" si="11"/>
        <v>Semana 28</v>
      </c>
      <c r="C70" s="2" t="s">
        <v>23</v>
      </c>
      <c r="D70" s="2" t="s">
        <v>24</v>
      </c>
      <c r="E70" s="2" t="s">
        <v>30</v>
      </c>
      <c r="F70" s="2" t="str">
        <f>VLOOKUP(TablaMarimba6[[#This Row],[Equipo]],[1]Catalogos!$V$4:$W$55,2,FALSE)</f>
        <v>EX-01</v>
      </c>
      <c r="H70" s="5">
        <v>250</v>
      </c>
      <c r="I70" s="4">
        <f t="shared" si="9"/>
        <v>-430</v>
      </c>
      <c r="J70" s="6">
        <v>28.3</v>
      </c>
      <c r="K70" s="6">
        <f>IFERROR((G71+H71)*J70,0)</f>
        <v>4245</v>
      </c>
      <c r="L70" s="6">
        <f>M69-TablaMarimba6[[#This Row],[Importe]]</f>
        <v>37298.01602000001</v>
      </c>
      <c r="M70" s="6">
        <f>TablaMarimba6[[#This Row],[Saldo inicial(vales)]]</f>
        <v>37298.01602000001</v>
      </c>
      <c r="N70" s="6">
        <f>TablaMarimba6[[#This Row],[Saldo inicial(vales)]]+TablaMarimba6[[#This Row],[Columna1]]</f>
        <v>74596.03204000002</v>
      </c>
      <c r="O70" s="6">
        <f t="shared" si="8"/>
        <v>28</v>
      </c>
      <c r="P70" s="6"/>
      <c r="S70" s="6"/>
      <c r="T70" s="6"/>
      <c r="U70" s="6"/>
      <c r="V70" s="6"/>
      <c r="W70" s="6"/>
    </row>
    <row r="71" spans="1:23">
      <c r="A71" s="3">
        <v>46212</v>
      </c>
      <c r="B71" s="3" t="str">
        <f t="shared" si="11"/>
        <v>Semana 28</v>
      </c>
      <c r="C71" s="2" t="s">
        <v>23</v>
      </c>
      <c r="D71" s="2" t="s">
        <v>24</v>
      </c>
      <c r="E71" s="2" t="s">
        <v>36</v>
      </c>
      <c r="F71" s="2" t="e">
        <f>VLOOKUP(TablaMarimba6[[#This Row],[Equipo]],[1]Catalogos!$V$4:$W$55,2,FALSE)</f>
        <v>#N/A</v>
      </c>
      <c r="G71" s="4"/>
      <c r="H71" s="5">
        <v>150</v>
      </c>
      <c r="I71" s="4">
        <f t="shared" si="9"/>
        <v>-580</v>
      </c>
      <c r="J71" s="6">
        <v>28.3</v>
      </c>
      <c r="K71" s="6">
        <f>IFERROR((G72+H72)*J71,0)</f>
        <v>5660</v>
      </c>
      <c r="L71" s="6">
        <f>M70-TablaMarimba6[[#This Row],[Importe]]</f>
        <v>31638.01602000001</v>
      </c>
      <c r="M71" s="6">
        <f>TablaMarimba6[[#This Row],[Saldo inicial(vales)]]</f>
        <v>31638.01602000001</v>
      </c>
      <c r="N71" s="6">
        <f>TablaMarimba6[[#This Row],[Saldo inicial(vales)]]+TablaMarimba6[[#This Row],[Columna1]]</f>
        <v>63276.03204000002</v>
      </c>
      <c r="O71" s="6">
        <f t="shared" si="8"/>
        <v>28</v>
      </c>
      <c r="P71" s="6"/>
      <c r="S71" s="6"/>
      <c r="T71" s="6"/>
      <c r="U71" s="6"/>
      <c r="V71" s="6"/>
      <c r="W71" s="6"/>
    </row>
    <row r="72" spans="1:23">
      <c r="A72" s="3">
        <v>46212</v>
      </c>
      <c r="B72" s="3" t="s">
        <v>38</v>
      </c>
      <c r="C72" s="2" t="s">
        <v>23</v>
      </c>
      <c r="D72" s="2" t="s">
        <v>24</v>
      </c>
      <c r="E72" s="2" t="s">
        <v>30</v>
      </c>
      <c r="F72" s="2" t="str">
        <f>VLOOKUP(TablaMarimba6[[#This Row],[Equipo]],[1]Catalogos!$V$4:$W$55,2,FALSE)</f>
        <v>EX-01</v>
      </c>
      <c r="G72" s="4"/>
      <c r="H72" s="5">
        <v>200</v>
      </c>
      <c r="I72" s="4">
        <f t="shared" si="9"/>
        <v>-780</v>
      </c>
      <c r="J72" s="6">
        <v>28.3</v>
      </c>
      <c r="K72" s="6">
        <f>IFERROR((G73+H73)*J72,0)</f>
        <v>3396</v>
      </c>
      <c r="L72" s="6">
        <f>M71-TablaMarimba6[[#This Row],[Importe]]</f>
        <v>28242.01602000001</v>
      </c>
      <c r="M72" s="6">
        <f>TablaMarimba6[[#This Row],[Saldo inicial(vales)]]</f>
        <v>28242.01602000001</v>
      </c>
      <c r="N72" s="6">
        <f>TablaMarimba6[[#This Row],[Saldo inicial(vales)]]+TablaMarimba6[[#This Row],[Columna1]]</f>
        <v>56484.03204000002</v>
      </c>
      <c r="O72" s="6">
        <f t="shared" si="8"/>
        <v>28</v>
      </c>
      <c r="P72" s="6"/>
      <c r="S72" s="6"/>
      <c r="T72" s="6"/>
      <c r="U72" s="6"/>
      <c r="V72" s="6"/>
      <c r="W72" s="6"/>
    </row>
    <row r="73" spans="1:23">
      <c r="A73" s="3">
        <v>46212</v>
      </c>
      <c r="B73" s="3" t="str">
        <f t="shared" si="11"/>
        <v>Semana 28</v>
      </c>
      <c r="C73" s="2" t="s">
        <v>23</v>
      </c>
      <c r="D73" s="2" t="s">
        <v>24</v>
      </c>
      <c r="E73" s="2" t="s">
        <v>33</v>
      </c>
      <c r="F73" s="2" t="str">
        <f>VLOOKUP(TablaMarimba6[[#This Row],[Equipo]],[1]Catalogos!$V$4:$W$55,2,FALSE)</f>
        <v>TR-01</v>
      </c>
      <c r="G73" s="4"/>
      <c r="H73" s="5">
        <v>120</v>
      </c>
      <c r="I73" s="4">
        <f t="shared" si="9"/>
        <v>-900</v>
      </c>
      <c r="J73" s="6">
        <v>28.3</v>
      </c>
      <c r="K73" s="6">
        <f>IFERROR((G74+H74)*J73,0)</f>
        <v>0</v>
      </c>
      <c r="L73" s="6">
        <f>M72-TablaMarimba6[[#This Row],[Importe]]</f>
        <v>28242.01602000001</v>
      </c>
      <c r="M73" s="6">
        <f>TablaMarimba6[[#This Row],[Saldo inicial(vales)]]</f>
        <v>28242.01602000001</v>
      </c>
      <c r="N73" s="6">
        <f>TablaMarimba6[[#This Row],[Saldo inicial(vales)]]+TablaMarimba6[[#This Row],[Columna1]]</f>
        <v>56484.03204000002</v>
      </c>
      <c r="O73" s="6">
        <f t="shared" si="8"/>
        <v>28</v>
      </c>
      <c r="P73" s="6"/>
      <c r="S73" s="6"/>
      <c r="T73" s="6"/>
      <c r="U73" s="6"/>
      <c r="V73" s="6"/>
      <c r="W73" s="6"/>
    </row>
    <row r="74" spans="1:23">
      <c r="A74" s="3"/>
      <c r="B74" s="3" t="str">
        <f t="shared" si="11"/>
        <v/>
      </c>
      <c r="F74" s="2" t="e">
        <f>VLOOKUP(TablaMarimba6[[#This Row],[Equipo]],[1]Catalogos!$V$4:$W$55,2,FALSE)</f>
        <v>#N/A</v>
      </c>
      <c r="G74" s="4"/>
      <c r="H74" s="5"/>
      <c r="I74" s="4">
        <f t="shared" si="9"/>
        <v>-900</v>
      </c>
      <c r="J74" s="6">
        <v>28.3</v>
      </c>
      <c r="K74" s="6">
        <f>IFERROR((#REF!+#REF!)*J74,0)</f>
        <v>0</v>
      </c>
      <c r="L74" s="6">
        <f>M73-TablaMarimba6[[#This Row],[Importe]]</f>
        <v>28242.01602000001</v>
      </c>
      <c r="M74" s="6">
        <f>TablaMarimba6[[#This Row],[Saldo inicial(vales)]]</f>
        <v>28242.01602000001</v>
      </c>
      <c r="N74" s="6">
        <f>TablaMarimba6[[#This Row],[Saldo inicial(vales)]]+TablaMarimba6[[#This Row],[Columna1]]</f>
        <v>56484.03204000002</v>
      </c>
      <c r="O74" s="6" t="str">
        <f t="shared" si="8"/>
        <v/>
      </c>
      <c r="P74" s="6"/>
      <c r="S74" s="6"/>
      <c r="T74" s="6"/>
      <c r="U74" s="6"/>
      <c r="V74" s="6"/>
      <c r="W74" s="6"/>
    </row>
    <row r="75" spans="1:23">
      <c r="A75" s="3"/>
      <c r="B75" s="3" t="str">
        <f t="shared" si="11"/>
        <v/>
      </c>
      <c r="F75" s="2" t="e">
        <f>VLOOKUP(TablaMarimba6[[#This Row],[Equipo]],[1]Catalogos!$V$4:$W$55,2,FALSE)</f>
        <v>#N/A</v>
      </c>
      <c r="G75" s="4"/>
      <c r="H75" s="5"/>
      <c r="I75" s="4">
        <f t="shared" si="9"/>
        <v>-900</v>
      </c>
      <c r="J75" s="6">
        <v>28.3</v>
      </c>
      <c r="K75" s="6">
        <f t="shared" ref="K75:K138" si="12">IFERROR((G75+H75)*J75,0)</f>
        <v>0</v>
      </c>
      <c r="L75" s="6">
        <f>M74-TablaMarimba6[[#This Row],[Importe]]</f>
        <v>28242.01602000001</v>
      </c>
      <c r="M75" s="6">
        <f>TablaMarimba6[[#This Row],[Saldo inicial(vales)]]</f>
        <v>28242.01602000001</v>
      </c>
      <c r="N75" s="6">
        <f>TablaMarimba6[[#This Row],[Saldo inicial(vales)]]+TablaMarimba6[[#This Row],[Columna1]]</f>
        <v>56484.03204000002</v>
      </c>
      <c r="O75" s="6" t="str">
        <f t="shared" si="8"/>
        <v/>
      </c>
      <c r="P75" s="6"/>
      <c r="S75" s="6"/>
      <c r="T75" s="6"/>
      <c r="U75" s="6"/>
      <c r="V75" s="6"/>
      <c r="W75" s="6"/>
    </row>
    <row r="76" spans="1:23">
      <c r="A76" s="3"/>
      <c r="B76" s="3" t="str">
        <f t="shared" si="11"/>
        <v/>
      </c>
      <c r="F76" s="2" t="e">
        <f>VLOOKUP(TablaMarimba6[[#This Row],[Equipo]],[1]Catalogos!$V$4:$W$55,2,FALSE)</f>
        <v>#N/A</v>
      </c>
      <c r="G76" s="4"/>
      <c r="H76" s="5"/>
      <c r="I76" s="4">
        <f t="shared" si="9"/>
        <v>-900</v>
      </c>
      <c r="J76" s="6">
        <v>28.3</v>
      </c>
      <c r="K76" s="6">
        <f t="shared" si="12"/>
        <v>0</v>
      </c>
      <c r="L76" s="6">
        <f>M75-TablaMarimba6[[#This Row],[Importe]]</f>
        <v>28242.01602000001</v>
      </c>
      <c r="M76" s="6">
        <f>TablaMarimba6[[#This Row],[Saldo inicial(vales)]]</f>
        <v>28242.01602000001</v>
      </c>
      <c r="N76" s="6">
        <f>TablaMarimba6[[#This Row],[Saldo inicial(vales)]]+TablaMarimba6[[#This Row],[Columna1]]</f>
        <v>56484.03204000002</v>
      </c>
      <c r="O76" s="6" t="str">
        <f t="shared" si="8"/>
        <v/>
      </c>
      <c r="P76" s="6"/>
      <c r="S76" s="6"/>
      <c r="T76" s="6"/>
      <c r="U76" s="6"/>
      <c r="V76" s="6"/>
      <c r="W76" s="6"/>
    </row>
    <row r="77" spans="1:23">
      <c r="A77" s="3"/>
      <c r="B77" s="3" t="str">
        <f t="shared" si="11"/>
        <v/>
      </c>
      <c r="F77" s="2" t="e">
        <f>VLOOKUP(TablaMarimba6[[#This Row],[Equipo]],[1]Catalogos!$V$4:$W$55,2,FALSE)</f>
        <v>#N/A</v>
      </c>
      <c r="G77" s="4"/>
      <c r="H77" s="5"/>
      <c r="I77" s="4">
        <f t="shared" si="9"/>
        <v>-900</v>
      </c>
      <c r="J77" s="6">
        <v>28.3</v>
      </c>
      <c r="K77" s="6">
        <f t="shared" si="12"/>
        <v>0</v>
      </c>
      <c r="L77" s="6">
        <f>M76-TablaMarimba6[[#This Row],[Importe]]</f>
        <v>28242.01602000001</v>
      </c>
      <c r="M77" s="6">
        <f>TablaMarimba6[[#This Row],[Saldo inicial(vales)]]</f>
        <v>28242.01602000001</v>
      </c>
      <c r="N77" s="6">
        <f>TablaMarimba6[[#This Row],[Saldo inicial(vales)]]+TablaMarimba6[[#This Row],[Columna1]]</f>
        <v>56484.03204000002</v>
      </c>
      <c r="O77" s="6" t="str">
        <f t="shared" si="8"/>
        <v/>
      </c>
      <c r="P77" s="6"/>
      <c r="S77" s="6"/>
      <c r="T77" s="6"/>
      <c r="U77" s="6"/>
      <c r="V77" s="6"/>
      <c r="W77" s="6"/>
    </row>
    <row r="78" spans="1:23">
      <c r="A78" s="3"/>
      <c r="B78" s="3" t="str">
        <f t="shared" si="11"/>
        <v/>
      </c>
      <c r="F78" s="2" t="e">
        <f>VLOOKUP(TablaMarimba6[[#This Row],[Equipo]],[1]Catalogos!$V$4:$W$55,2,FALSE)</f>
        <v>#N/A</v>
      </c>
      <c r="G78" s="4"/>
      <c r="H78" s="5"/>
      <c r="I78" s="4">
        <f t="shared" si="9"/>
        <v>-900</v>
      </c>
      <c r="J78" s="6">
        <v>28.3</v>
      </c>
      <c r="K78" s="6">
        <f t="shared" si="12"/>
        <v>0</v>
      </c>
      <c r="L78" s="6">
        <f>M77-TablaMarimba6[[#This Row],[Importe]]</f>
        <v>28242.01602000001</v>
      </c>
      <c r="M78" s="6">
        <f>TablaMarimba6[[#This Row],[Saldo inicial(vales)]]</f>
        <v>28242.01602000001</v>
      </c>
      <c r="N78" s="6">
        <f>TablaMarimba6[[#This Row],[Saldo inicial(vales)]]+TablaMarimba6[[#This Row],[Columna1]]</f>
        <v>56484.03204000002</v>
      </c>
      <c r="O78" s="6" t="str">
        <f t="shared" si="8"/>
        <v/>
      </c>
      <c r="P78" s="6"/>
      <c r="S78" s="6"/>
      <c r="T78" s="6"/>
      <c r="U78" s="6"/>
      <c r="V78" s="6"/>
      <c r="W78" s="6"/>
    </row>
    <row r="79" spans="1:23">
      <c r="A79" s="3"/>
      <c r="B79" s="3" t="str">
        <f t="shared" si="11"/>
        <v/>
      </c>
      <c r="F79" s="2" t="e">
        <f>VLOOKUP(TablaMarimba6[[#This Row],[Equipo]],[1]Catalogos!$V$4:$W$55,2,FALSE)</f>
        <v>#N/A</v>
      </c>
      <c r="G79" s="4"/>
      <c r="H79" s="5"/>
      <c r="I79" s="4">
        <f t="shared" si="9"/>
        <v>-900</v>
      </c>
      <c r="J79" s="6">
        <v>28.3</v>
      </c>
      <c r="K79" s="6">
        <f t="shared" si="12"/>
        <v>0</v>
      </c>
      <c r="L79" s="6">
        <f>M78-TablaMarimba6[[#This Row],[Importe]]</f>
        <v>28242.01602000001</v>
      </c>
      <c r="M79" s="6">
        <f>TablaMarimba6[[#This Row],[Saldo inicial(vales)]]</f>
        <v>28242.01602000001</v>
      </c>
      <c r="N79" s="6">
        <f>TablaMarimba6[[#This Row],[Saldo inicial(vales)]]+TablaMarimba6[[#This Row],[Columna1]]</f>
        <v>56484.03204000002</v>
      </c>
      <c r="O79" s="6" t="str">
        <f t="shared" si="8"/>
        <v/>
      </c>
      <c r="P79" s="6"/>
      <c r="S79" s="6"/>
      <c r="T79" s="6"/>
      <c r="U79" s="6"/>
      <c r="V79" s="6"/>
      <c r="W79" s="6"/>
    </row>
    <row r="80" spans="1:23">
      <c r="A80" s="3"/>
      <c r="B80" s="3" t="str">
        <f t="shared" si="11"/>
        <v/>
      </c>
      <c r="F80" s="2" t="e">
        <f>VLOOKUP(TablaMarimba6[[#This Row],[Equipo]],[1]Catalogos!$V$4:$W$55,2,FALSE)</f>
        <v>#N/A</v>
      </c>
      <c r="G80" s="4"/>
      <c r="H80" s="5"/>
      <c r="I80" s="4">
        <f t="shared" si="9"/>
        <v>-900</v>
      </c>
      <c r="J80" s="6">
        <v>28.3</v>
      </c>
      <c r="K80" s="6">
        <f t="shared" si="12"/>
        <v>0</v>
      </c>
      <c r="L80" s="6">
        <f>M79-TablaMarimba6[[#This Row],[Importe]]</f>
        <v>28242.01602000001</v>
      </c>
      <c r="M80" s="6">
        <f>TablaMarimba6[[#This Row],[Saldo inicial(vales)]]</f>
        <v>28242.01602000001</v>
      </c>
      <c r="N80" s="6">
        <f>TablaMarimba6[[#This Row],[Saldo inicial(vales)]]+TablaMarimba6[[#This Row],[Columna1]]</f>
        <v>56484.03204000002</v>
      </c>
      <c r="O80" s="6" t="str">
        <f t="shared" si="8"/>
        <v/>
      </c>
      <c r="P80" s="6"/>
      <c r="S80" s="6"/>
      <c r="T80" s="6"/>
      <c r="U80" s="6"/>
      <c r="V80" s="6"/>
      <c r="W80" s="6"/>
    </row>
    <row r="81" spans="1:23">
      <c r="A81" s="3"/>
      <c r="B81" s="3" t="str">
        <f t="shared" si="11"/>
        <v/>
      </c>
      <c r="F81" s="2" t="e">
        <f>VLOOKUP(TablaMarimba6[[#This Row],[Equipo]],[1]Catalogos!$V$4:$W$55,2,FALSE)</f>
        <v>#N/A</v>
      </c>
      <c r="G81" s="4"/>
      <c r="H81" s="5"/>
      <c r="I81" s="4">
        <f t="shared" si="9"/>
        <v>-900</v>
      </c>
      <c r="J81" s="6">
        <v>28.3</v>
      </c>
      <c r="K81" s="6">
        <f t="shared" si="12"/>
        <v>0</v>
      </c>
      <c r="L81" s="6">
        <f>M80-TablaMarimba6[[#This Row],[Importe]]</f>
        <v>28242.01602000001</v>
      </c>
      <c r="M81" s="6">
        <f>TablaMarimba6[[#This Row],[Saldo inicial(vales)]]</f>
        <v>28242.01602000001</v>
      </c>
      <c r="N81" s="6">
        <f>TablaMarimba6[[#This Row],[Saldo inicial(vales)]]+TablaMarimba6[[#This Row],[Columna1]]</f>
        <v>56484.03204000002</v>
      </c>
      <c r="O81" s="6" t="str">
        <f t="shared" si="8"/>
        <v/>
      </c>
      <c r="P81" s="6"/>
      <c r="S81" s="6"/>
      <c r="T81" s="6"/>
      <c r="U81" s="6"/>
      <c r="V81" s="6"/>
      <c r="W81" s="6"/>
    </row>
    <row r="82" spans="1:23">
      <c r="A82" s="3"/>
      <c r="B82" s="3" t="str">
        <f t="shared" si="11"/>
        <v/>
      </c>
      <c r="F82" s="2" t="e">
        <f>VLOOKUP(TablaMarimba6[[#This Row],[Equipo]],[1]Catalogos!$V$4:$W$55,2,FALSE)</f>
        <v>#N/A</v>
      </c>
      <c r="G82" s="4"/>
      <c r="H82" s="5"/>
      <c r="I82" s="4">
        <f t="shared" si="9"/>
        <v>-900</v>
      </c>
      <c r="J82" s="6">
        <v>28.3</v>
      </c>
      <c r="K82" s="6">
        <f t="shared" si="12"/>
        <v>0</v>
      </c>
      <c r="L82" s="6">
        <f>M81-TablaMarimba6[[#This Row],[Importe]]</f>
        <v>28242.01602000001</v>
      </c>
      <c r="M82" s="6">
        <f>TablaMarimba6[[#This Row],[Saldo inicial(vales)]]</f>
        <v>28242.01602000001</v>
      </c>
      <c r="N82" s="6">
        <f>TablaMarimba6[[#This Row],[Saldo inicial(vales)]]+TablaMarimba6[[#This Row],[Columna1]]</f>
        <v>56484.03204000002</v>
      </c>
      <c r="O82" s="6" t="str">
        <f t="shared" si="8"/>
        <v/>
      </c>
      <c r="P82" s="6"/>
      <c r="S82" s="6"/>
      <c r="T82" s="6"/>
      <c r="U82" s="6"/>
      <c r="V82" s="6"/>
      <c r="W82" s="6"/>
    </row>
    <row r="83" spans="1:23">
      <c r="A83" s="3"/>
      <c r="B83" s="3" t="str">
        <f t="shared" si="11"/>
        <v/>
      </c>
      <c r="F83" s="2" t="e">
        <f>VLOOKUP(TablaMarimba6[[#This Row],[Equipo]],[1]Catalogos!$V$4:$W$55,2,FALSE)</f>
        <v>#N/A</v>
      </c>
      <c r="G83" s="4"/>
      <c r="H83" s="5"/>
      <c r="I83" s="4">
        <f t="shared" si="9"/>
        <v>-900</v>
      </c>
      <c r="J83" s="6">
        <v>28.3</v>
      </c>
      <c r="K83" s="6">
        <f t="shared" si="12"/>
        <v>0</v>
      </c>
      <c r="L83" s="6">
        <f>M82-TablaMarimba6[[#This Row],[Importe]]</f>
        <v>28242.01602000001</v>
      </c>
      <c r="M83" s="6">
        <f>TablaMarimba6[[#This Row],[Saldo inicial(vales)]]</f>
        <v>28242.01602000001</v>
      </c>
      <c r="N83" s="6">
        <f>TablaMarimba6[[#This Row],[Saldo inicial(vales)]]+TablaMarimba6[[#This Row],[Columna1]]</f>
        <v>56484.03204000002</v>
      </c>
      <c r="O83" s="6" t="str">
        <f t="shared" si="8"/>
        <v/>
      </c>
      <c r="P83" s="6"/>
      <c r="S83" s="6"/>
      <c r="T83" s="6"/>
      <c r="U83" s="6"/>
      <c r="V83" s="6"/>
      <c r="W83" s="6"/>
    </row>
    <row r="84" spans="1:23">
      <c r="A84" s="3"/>
      <c r="B84" s="3" t="str">
        <f t="shared" si="11"/>
        <v/>
      </c>
      <c r="F84" s="2" t="e">
        <f>VLOOKUP(TablaMarimba6[[#This Row],[Equipo]],[1]Catalogos!$V$4:$W$55,2,FALSE)</f>
        <v>#N/A</v>
      </c>
      <c r="G84" s="4"/>
      <c r="H84" s="5"/>
      <c r="I84" s="4">
        <f t="shared" si="9"/>
        <v>-900</v>
      </c>
      <c r="J84" s="6">
        <v>28.3</v>
      </c>
      <c r="K84" s="6">
        <f t="shared" si="12"/>
        <v>0</v>
      </c>
      <c r="L84" s="6">
        <f>M83-TablaMarimba6[[#This Row],[Importe]]</f>
        <v>28242.01602000001</v>
      </c>
      <c r="M84" s="6">
        <f>TablaMarimba6[[#This Row],[Saldo inicial(vales)]]</f>
        <v>28242.01602000001</v>
      </c>
      <c r="N84" s="6">
        <f>TablaMarimba6[[#This Row],[Saldo inicial(vales)]]+TablaMarimba6[[#This Row],[Columna1]]</f>
        <v>56484.03204000002</v>
      </c>
      <c r="O84" s="6" t="str">
        <f t="shared" si="8"/>
        <v/>
      </c>
      <c r="P84" s="6"/>
      <c r="S84" s="6"/>
      <c r="T84" s="6"/>
      <c r="U84" s="6"/>
      <c r="V84" s="6"/>
      <c r="W84" s="6"/>
    </row>
    <row r="85" spans="1:23">
      <c r="A85" s="3"/>
      <c r="B85" s="3" t="str">
        <f t="shared" si="11"/>
        <v/>
      </c>
      <c r="F85" s="2" t="e">
        <f>VLOOKUP(TablaMarimba6[[#This Row],[Equipo]],[1]Catalogos!$V$4:$W$55,2,FALSE)</f>
        <v>#N/A</v>
      </c>
      <c r="G85" s="4"/>
      <c r="H85" s="5"/>
      <c r="I85" s="4">
        <f t="shared" si="9"/>
        <v>-900</v>
      </c>
      <c r="J85" s="6">
        <v>28.3</v>
      </c>
      <c r="K85" s="6">
        <f t="shared" si="12"/>
        <v>0</v>
      </c>
      <c r="L85" s="6">
        <f>M84-TablaMarimba6[[#This Row],[Importe]]</f>
        <v>28242.01602000001</v>
      </c>
      <c r="M85" s="6">
        <f>TablaMarimba6[[#This Row],[Saldo inicial(vales)]]</f>
        <v>28242.01602000001</v>
      </c>
      <c r="N85" s="6">
        <f>TablaMarimba6[[#This Row],[Saldo inicial(vales)]]+TablaMarimba6[[#This Row],[Columna1]]</f>
        <v>56484.03204000002</v>
      </c>
      <c r="O85" s="6" t="str">
        <f t="shared" si="8"/>
        <v/>
      </c>
      <c r="P85" s="6"/>
      <c r="S85" s="6"/>
      <c r="T85" s="6"/>
      <c r="U85" s="6"/>
      <c r="V85" s="6"/>
      <c r="W85" s="6"/>
    </row>
    <row r="86" spans="1:23">
      <c r="A86" s="3"/>
      <c r="B86" s="3" t="str">
        <f t="shared" si="11"/>
        <v/>
      </c>
      <c r="F86" s="2" t="e">
        <f>VLOOKUP(TablaMarimba6[[#This Row],[Equipo]],[1]Catalogos!$V$4:$W$55,2,FALSE)</f>
        <v>#N/A</v>
      </c>
      <c r="G86" s="4"/>
      <c r="H86" s="5"/>
      <c r="I86" s="4">
        <f t="shared" si="9"/>
        <v>-900</v>
      </c>
      <c r="J86" s="6">
        <v>28.3</v>
      </c>
      <c r="K86" s="6">
        <f t="shared" si="12"/>
        <v>0</v>
      </c>
      <c r="L86" s="6">
        <f>M85-TablaMarimba6[[#This Row],[Importe]]</f>
        <v>28242.01602000001</v>
      </c>
      <c r="M86" s="6">
        <f>TablaMarimba6[[#This Row],[Saldo inicial(vales)]]</f>
        <v>28242.01602000001</v>
      </c>
      <c r="N86" s="6">
        <f>TablaMarimba6[[#This Row],[Saldo inicial(vales)]]+TablaMarimba6[[#This Row],[Columna1]]</f>
        <v>56484.03204000002</v>
      </c>
      <c r="O86" s="6" t="str">
        <f t="shared" si="8"/>
        <v/>
      </c>
      <c r="P86" s="6"/>
      <c r="S86" s="6"/>
      <c r="T86" s="6"/>
      <c r="U86" s="6"/>
      <c r="V86" s="6"/>
      <c r="W86" s="6"/>
    </row>
    <row r="87" spans="1:23">
      <c r="A87" s="3"/>
      <c r="B87" s="3" t="str">
        <f t="shared" si="11"/>
        <v/>
      </c>
      <c r="F87" s="2" t="e">
        <f>VLOOKUP(TablaMarimba6[[#This Row],[Equipo]],[1]Catalogos!$V$4:$W$55,2,FALSE)</f>
        <v>#N/A</v>
      </c>
      <c r="G87" s="4"/>
      <c r="H87" s="5"/>
      <c r="I87" s="4">
        <f t="shared" si="9"/>
        <v>-900</v>
      </c>
      <c r="J87" s="6">
        <v>28.3</v>
      </c>
      <c r="K87" s="6">
        <f t="shared" si="12"/>
        <v>0</v>
      </c>
      <c r="L87" s="6">
        <f>M86-TablaMarimba6[[#This Row],[Importe]]</f>
        <v>28242.01602000001</v>
      </c>
      <c r="M87" s="6">
        <f>TablaMarimba6[[#This Row],[Saldo inicial(vales)]]</f>
        <v>28242.01602000001</v>
      </c>
      <c r="N87" s="6">
        <f>TablaMarimba6[[#This Row],[Saldo inicial(vales)]]+TablaMarimba6[[#This Row],[Columna1]]</f>
        <v>56484.03204000002</v>
      </c>
      <c r="O87" s="6" t="str">
        <f t="shared" si="8"/>
        <v/>
      </c>
      <c r="P87" s="6"/>
      <c r="S87" s="6"/>
      <c r="T87" s="6"/>
      <c r="U87" s="6"/>
      <c r="V87" s="6"/>
      <c r="W87" s="6"/>
    </row>
    <row r="88" spans="1:23">
      <c r="A88" s="3"/>
      <c r="B88" s="3" t="str">
        <f t="shared" si="11"/>
        <v/>
      </c>
      <c r="F88" s="2" t="e">
        <f>VLOOKUP(TablaMarimba6[[#This Row],[Equipo]],[1]Catalogos!$V$4:$W$55,2,FALSE)</f>
        <v>#N/A</v>
      </c>
      <c r="G88" s="4"/>
      <c r="H88" s="5"/>
      <c r="I88" s="4">
        <f t="shared" si="9"/>
        <v>-900</v>
      </c>
      <c r="J88" s="6">
        <v>28.3</v>
      </c>
      <c r="K88" s="6">
        <f t="shared" si="12"/>
        <v>0</v>
      </c>
      <c r="L88" s="6">
        <f>M87-TablaMarimba6[[#This Row],[Importe]]</f>
        <v>28242.01602000001</v>
      </c>
      <c r="M88" s="6">
        <f>TablaMarimba6[[#This Row],[Saldo inicial(vales)]]</f>
        <v>28242.01602000001</v>
      </c>
      <c r="N88" s="6">
        <f>TablaMarimba6[[#This Row],[Saldo inicial(vales)]]+TablaMarimba6[[#This Row],[Columna1]]</f>
        <v>56484.03204000002</v>
      </c>
      <c r="O88" s="6" t="str">
        <f t="shared" si="8"/>
        <v/>
      </c>
      <c r="P88" s="6"/>
      <c r="S88" s="6"/>
      <c r="T88" s="6"/>
      <c r="U88" s="6"/>
      <c r="V88" s="6"/>
      <c r="W88" s="6"/>
    </row>
    <row r="89" spans="1:23">
      <c r="A89" s="3"/>
      <c r="B89" s="3" t="str">
        <f t="shared" si="11"/>
        <v/>
      </c>
      <c r="F89" s="2" t="e">
        <f>VLOOKUP(TablaMarimba6[[#This Row],[Equipo]],[1]Catalogos!$V$4:$W$55,2,FALSE)</f>
        <v>#N/A</v>
      </c>
      <c r="G89" s="4"/>
      <c r="H89" s="5"/>
      <c r="I89" s="4">
        <f t="shared" si="9"/>
        <v>-900</v>
      </c>
      <c r="J89" s="6">
        <v>28.3</v>
      </c>
      <c r="K89" s="6">
        <f t="shared" si="12"/>
        <v>0</v>
      </c>
      <c r="L89" s="6">
        <f>M88-TablaMarimba6[[#This Row],[Importe]]</f>
        <v>28242.01602000001</v>
      </c>
      <c r="M89" s="6">
        <f>TablaMarimba6[[#This Row],[Saldo inicial(vales)]]</f>
        <v>28242.01602000001</v>
      </c>
      <c r="N89" s="6">
        <f>TablaMarimba6[[#This Row],[Saldo inicial(vales)]]+TablaMarimba6[[#This Row],[Columna1]]</f>
        <v>56484.03204000002</v>
      </c>
      <c r="O89" s="6" t="str">
        <f t="shared" si="8"/>
        <v/>
      </c>
      <c r="P89" s="6"/>
      <c r="S89" s="6"/>
      <c r="T89" s="6"/>
      <c r="U89" s="6"/>
      <c r="V89" s="6"/>
      <c r="W89" s="6"/>
    </row>
    <row r="90" spans="1:23">
      <c r="A90" s="3"/>
      <c r="B90" s="3" t="str">
        <f t="shared" si="11"/>
        <v/>
      </c>
      <c r="F90" s="2" t="e">
        <f>VLOOKUP(TablaMarimba6[[#This Row],[Equipo]],[1]Catalogos!$V$4:$W$55,2,FALSE)</f>
        <v>#N/A</v>
      </c>
      <c r="G90" s="4"/>
      <c r="H90" s="5"/>
      <c r="I90" s="4">
        <f t="shared" si="9"/>
        <v>-900</v>
      </c>
      <c r="J90" s="6">
        <v>28.3</v>
      </c>
      <c r="K90" s="6">
        <f t="shared" si="12"/>
        <v>0</v>
      </c>
      <c r="L90" s="6">
        <f>M89-TablaMarimba6[[#This Row],[Importe]]</f>
        <v>28242.01602000001</v>
      </c>
      <c r="M90" s="6">
        <f>TablaMarimba6[[#This Row],[Saldo inicial(vales)]]</f>
        <v>28242.01602000001</v>
      </c>
      <c r="N90" s="6">
        <f>TablaMarimba6[[#This Row],[Saldo inicial(vales)]]+TablaMarimba6[[#This Row],[Columna1]]</f>
        <v>56484.03204000002</v>
      </c>
      <c r="O90" s="6" t="str">
        <f t="shared" si="8"/>
        <v/>
      </c>
      <c r="P90" s="6"/>
      <c r="S90" s="6"/>
      <c r="T90" s="6"/>
      <c r="U90" s="6"/>
      <c r="V90" s="6"/>
      <c r="W90" s="6"/>
    </row>
    <row r="91" spans="1:23">
      <c r="A91" s="3"/>
      <c r="B91" s="3" t="str">
        <f t="shared" si="11"/>
        <v/>
      </c>
      <c r="F91" s="2" t="e">
        <f>VLOOKUP(TablaMarimba6[[#This Row],[Equipo]],[1]Catalogos!$V$4:$W$55,2,FALSE)</f>
        <v>#N/A</v>
      </c>
      <c r="G91" s="4"/>
      <c r="H91" s="5"/>
      <c r="I91" s="4">
        <f t="shared" si="9"/>
        <v>-900</v>
      </c>
      <c r="J91" s="6">
        <v>28.3</v>
      </c>
      <c r="K91" s="6">
        <f t="shared" si="12"/>
        <v>0</v>
      </c>
      <c r="L91" s="6">
        <f>M90-TablaMarimba6[[#This Row],[Importe]]</f>
        <v>28242.01602000001</v>
      </c>
      <c r="M91" s="6">
        <f>TablaMarimba6[[#This Row],[Saldo inicial(vales)]]</f>
        <v>28242.01602000001</v>
      </c>
      <c r="N91" s="6">
        <f>TablaMarimba6[[#This Row],[Saldo inicial(vales)]]+TablaMarimba6[[#This Row],[Columna1]]</f>
        <v>56484.03204000002</v>
      </c>
      <c r="O91" s="6" t="str">
        <f t="shared" si="8"/>
        <v/>
      </c>
      <c r="P91" s="6"/>
      <c r="S91" s="6"/>
      <c r="T91" s="6"/>
      <c r="U91" s="6"/>
      <c r="V91" s="6"/>
      <c r="W91" s="6"/>
    </row>
    <row r="92" spans="1:23">
      <c r="A92" s="3"/>
      <c r="B92" s="3" t="str">
        <f t="shared" si="11"/>
        <v/>
      </c>
      <c r="F92" s="2" t="e">
        <f>VLOOKUP(TablaMarimba6[[#This Row],[Equipo]],[1]Catalogos!$V$4:$W$55,2,FALSE)</f>
        <v>#N/A</v>
      </c>
      <c r="G92" s="4"/>
      <c r="H92" s="5"/>
      <c r="I92" s="4">
        <f t="shared" si="9"/>
        <v>-900</v>
      </c>
      <c r="J92" s="6">
        <v>28.3</v>
      </c>
      <c r="K92" s="6">
        <f t="shared" si="12"/>
        <v>0</v>
      </c>
      <c r="L92" s="6">
        <f>M91-TablaMarimba6[[#This Row],[Importe]]</f>
        <v>28242.01602000001</v>
      </c>
      <c r="M92" s="6">
        <f>TablaMarimba6[[#This Row],[Saldo inicial(vales)]]</f>
        <v>28242.01602000001</v>
      </c>
      <c r="N92" s="6">
        <f>TablaMarimba6[[#This Row],[Saldo inicial(vales)]]+TablaMarimba6[[#This Row],[Columna1]]</f>
        <v>56484.03204000002</v>
      </c>
      <c r="O92" s="6" t="str">
        <f t="shared" si="8"/>
        <v/>
      </c>
      <c r="P92" s="6"/>
      <c r="S92" s="6"/>
      <c r="T92" s="6"/>
      <c r="U92" s="6"/>
      <c r="V92" s="6"/>
      <c r="W92" s="6"/>
    </row>
    <row r="93" spans="1:23">
      <c r="A93" s="3"/>
      <c r="B93" s="3" t="str">
        <f t="shared" si="11"/>
        <v/>
      </c>
      <c r="F93" s="2" t="e">
        <f>VLOOKUP(TablaMarimba6[[#This Row],[Equipo]],[1]Catalogos!$V$4:$W$55,2,FALSE)</f>
        <v>#N/A</v>
      </c>
      <c r="G93" s="4"/>
      <c r="H93" s="5"/>
      <c r="I93" s="4">
        <f t="shared" si="9"/>
        <v>-900</v>
      </c>
      <c r="J93" s="6">
        <v>28.3</v>
      </c>
      <c r="K93" s="6">
        <f t="shared" si="12"/>
        <v>0</v>
      </c>
      <c r="L93" s="6">
        <f>M92-TablaMarimba6[[#This Row],[Importe]]</f>
        <v>28242.01602000001</v>
      </c>
      <c r="M93" s="6">
        <f>TablaMarimba6[[#This Row],[Saldo inicial(vales)]]</f>
        <v>28242.01602000001</v>
      </c>
      <c r="N93" s="6">
        <f>TablaMarimba6[[#This Row],[Saldo inicial(vales)]]+TablaMarimba6[[#This Row],[Columna1]]</f>
        <v>56484.03204000002</v>
      </c>
      <c r="O93" s="6" t="str">
        <f t="shared" si="8"/>
        <v/>
      </c>
      <c r="P93" s="6"/>
      <c r="S93" s="6"/>
      <c r="T93" s="6"/>
      <c r="U93" s="6"/>
      <c r="V93" s="6"/>
      <c r="W93" s="6"/>
    </row>
    <row r="94" spans="1:23">
      <c r="A94" s="3"/>
      <c r="B94" s="3" t="str">
        <f t="shared" si="11"/>
        <v/>
      </c>
      <c r="F94" s="2" t="e">
        <f>VLOOKUP(TablaMarimba6[[#This Row],[Equipo]],[1]Catalogos!$V$4:$W$55,2,FALSE)</f>
        <v>#N/A</v>
      </c>
      <c r="G94" s="4"/>
      <c r="H94" s="5"/>
      <c r="I94" s="4">
        <f t="shared" si="9"/>
        <v>-900</v>
      </c>
      <c r="J94" s="6">
        <v>28.3</v>
      </c>
      <c r="K94" s="6">
        <f t="shared" si="12"/>
        <v>0</v>
      </c>
      <c r="L94" s="6">
        <f>M93-TablaMarimba6[[#This Row],[Importe]]</f>
        <v>28242.01602000001</v>
      </c>
      <c r="M94" s="6">
        <f>TablaMarimba6[[#This Row],[Saldo inicial(vales)]]</f>
        <v>28242.01602000001</v>
      </c>
      <c r="N94" s="6">
        <f>TablaMarimba6[[#This Row],[Saldo inicial(vales)]]+TablaMarimba6[[#This Row],[Columna1]]</f>
        <v>56484.03204000002</v>
      </c>
      <c r="O94" s="6" t="str">
        <f t="shared" si="8"/>
        <v/>
      </c>
      <c r="P94" s="6"/>
      <c r="S94" s="6"/>
      <c r="T94" s="6"/>
      <c r="U94" s="6"/>
      <c r="V94" s="6"/>
      <c r="W94" s="6"/>
    </row>
    <row r="95" spans="1:23">
      <c r="A95" s="3"/>
      <c r="B95" s="3" t="str">
        <f t="shared" si="11"/>
        <v/>
      </c>
      <c r="F95" s="2" t="e">
        <f>VLOOKUP(TablaMarimba6[[#This Row],[Equipo]],[1]Catalogos!$V$4:$W$55,2,FALSE)</f>
        <v>#N/A</v>
      </c>
      <c r="G95" s="4"/>
      <c r="H95" s="5"/>
      <c r="I95" s="4">
        <f t="shared" si="9"/>
        <v>-900</v>
      </c>
      <c r="J95" s="6">
        <v>28.3</v>
      </c>
      <c r="K95" s="6">
        <f t="shared" si="12"/>
        <v>0</v>
      </c>
      <c r="L95" s="6">
        <f>M94-TablaMarimba6[[#This Row],[Importe]]</f>
        <v>28242.01602000001</v>
      </c>
      <c r="M95" s="6">
        <f>TablaMarimba6[[#This Row],[Saldo inicial(vales)]]</f>
        <v>28242.01602000001</v>
      </c>
      <c r="N95" s="6">
        <f>TablaMarimba6[[#This Row],[Saldo inicial(vales)]]+TablaMarimba6[[#This Row],[Columna1]]</f>
        <v>56484.03204000002</v>
      </c>
      <c r="O95" s="6" t="str">
        <f t="shared" si="8"/>
        <v/>
      </c>
      <c r="P95" s="6"/>
      <c r="S95" s="6"/>
      <c r="T95" s="6"/>
      <c r="U95" s="6"/>
      <c r="V95" s="6"/>
      <c r="W95" s="6"/>
    </row>
    <row r="96" spans="1:23">
      <c r="A96" s="3"/>
      <c r="B96" s="3" t="str">
        <f t="shared" si="11"/>
        <v/>
      </c>
      <c r="F96" s="2" t="e">
        <f>VLOOKUP(TablaMarimba6[[#This Row],[Equipo]],[1]Catalogos!$V$4:$W$55,2,FALSE)</f>
        <v>#N/A</v>
      </c>
      <c r="G96" s="4"/>
      <c r="H96" s="5"/>
      <c r="I96" s="4">
        <f t="shared" si="9"/>
        <v>-900</v>
      </c>
      <c r="J96" s="6">
        <v>28.3</v>
      </c>
      <c r="K96" s="6">
        <f t="shared" si="12"/>
        <v>0</v>
      </c>
      <c r="L96" s="6">
        <f>M95-TablaMarimba6[[#This Row],[Importe]]</f>
        <v>28242.01602000001</v>
      </c>
      <c r="M96" s="6">
        <f>TablaMarimba6[[#This Row],[Saldo inicial(vales)]]</f>
        <v>28242.01602000001</v>
      </c>
      <c r="N96" s="6">
        <f>TablaMarimba6[[#This Row],[Saldo inicial(vales)]]+TablaMarimba6[[#This Row],[Columna1]]</f>
        <v>56484.03204000002</v>
      </c>
      <c r="O96" s="6" t="str">
        <f t="shared" si="8"/>
        <v/>
      </c>
      <c r="P96" s="6"/>
      <c r="S96" s="6"/>
      <c r="T96" s="6"/>
      <c r="U96" s="6"/>
      <c r="V96" s="6"/>
      <c r="W96" s="6"/>
    </row>
    <row r="97" spans="1:23">
      <c r="A97" s="3"/>
      <c r="B97" s="3" t="str">
        <f t="shared" si="11"/>
        <v/>
      </c>
      <c r="F97" s="2" t="e">
        <f>VLOOKUP(TablaMarimba6[[#This Row],[Equipo]],[1]Catalogos!$V$4:$W$55,2,FALSE)</f>
        <v>#N/A</v>
      </c>
      <c r="G97" s="4"/>
      <c r="H97" s="5"/>
      <c r="I97" s="4">
        <f t="shared" si="9"/>
        <v>-900</v>
      </c>
      <c r="J97" s="6">
        <v>28.3</v>
      </c>
      <c r="K97" s="6">
        <f t="shared" si="12"/>
        <v>0</v>
      </c>
      <c r="L97" s="6">
        <f>M96-TablaMarimba6[[#This Row],[Importe]]</f>
        <v>28242.01602000001</v>
      </c>
      <c r="M97" s="6">
        <f>TablaMarimba6[[#This Row],[Saldo inicial(vales)]]</f>
        <v>28242.01602000001</v>
      </c>
      <c r="N97" s="6">
        <f>TablaMarimba6[[#This Row],[Saldo inicial(vales)]]+TablaMarimba6[[#This Row],[Columna1]]</f>
        <v>56484.03204000002</v>
      </c>
      <c r="O97" s="6" t="str">
        <f t="shared" si="8"/>
        <v/>
      </c>
      <c r="P97" s="6"/>
      <c r="S97" s="6"/>
      <c r="T97" s="6"/>
      <c r="U97" s="6"/>
      <c r="V97" s="6"/>
      <c r="W97" s="6"/>
    </row>
    <row r="98" spans="1:23">
      <c r="A98" s="3"/>
      <c r="B98" s="3" t="str">
        <f t="shared" si="11"/>
        <v/>
      </c>
      <c r="F98" s="2" t="e">
        <f>VLOOKUP(TablaMarimba6[[#This Row],[Equipo]],[1]Catalogos!$V$4:$W$55,2,FALSE)</f>
        <v>#N/A</v>
      </c>
      <c r="G98" s="4"/>
      <c r="H98" s="5"/>
      <c r="I98" s="4">
        <f t="shared" si="9"/>
        <v>-900</v>
      </c>
      <c r="J98" s="6">
        <v>28.3</v>
      </c>
      <c r="K98" s="6">
        <f t="shared" si="12"/>
        <v>0</v>
      </c>
      <c r="L98" s="6">
        <f>M97-TablaMarimba6[[#This Row],[Importe]]</f>
        <v>28242.01602000001</v>
      </c>
      <c r="M98" s="6">
        <f>TablaMarimba6[[#This Row],[Saldo inicial(vales)]]</f>
        <v>28242.01602000001</v>
      </c>
      <c r="N98" s="6">
        <f>TablaMarimba6[[#This Row],[Saldo inicial(vales)]]+TablaMarimba6[[#This Row],[Columna1]]</f>
        <v>56484.03204000002</v>
      </c>
      <c r="O98" s="6" t="str">
        <f t="shared" si="8"/>
        <v/>
      </c>
      <c r="P98" s="6"/>
      <c r="S98" s="6"/>
      <c r="T98" s="6"/>
      <c r="U98" s="6"/>
      <c r="V98" s="6"/>
      <c r="W98" s="6"/>
    </row>
    <row r="99" spans="1:23">
      <c r="A99" s="3"/>
      <c r="B99" s="3" t="str">
        <f t="shared" si="11"/>
        <v/>
      </c>
      <c r="F99" s="2" t="e">
        <f>VLOOKUP(TablaMarimba6[[#This Row],[Equipo]],[1]Catalogos!$V$4:$W$55,2,FALSE)</f>
        <v>#N/A</v>
      </c>
      <c r="G99" s="4"/>
      <c r="H99" s="5"/>
      <c r="I99" s="4">
        <f t="shared" si="9"/>
        <v>-900</v>
      </c>
      <c r="J99" s="6">
        <v>28.3</v>
      </c>
      <c r="K99" s="6">
        <f t="shared" si="12"/>
        <v>0</v>
      </c>
      <c r="L99" s="6">
        <f>M98-TablaMarimba6[[#This Row],[Importe]]</f>
        <v>28242.01602000001</v>
      </c>
      <c r="M99" s="6">
        <f>TablaMarimba6[[#This Row],[Saldo inicial(vales)]]</f>
        <v>28242.01602000001</v>
      </c>
      <c r="N99" s="6">
        <f>TablaMarimba6[[#This Row],[Saldo inicial(vales)]]+TablaMarimba6[[#This Row],[Columna1]]</f>
        <v>56484.03204000002</v>
      </c>
      <c r="O99" s="6" t="str">
        <f t="shared" si="8"/>
        <v/>
      </c>
      <c r="P99" s="6"/>
      <c r="S99" s="6"/>
      <c r="T99" s="6"/>
      <c r="U99" s="6"/>
      <c r="V99" s="6"/>
      <c r="W99" s="6"/>
    </row>
    <row r="100" spans="1:23">
      <c r="A100" s="3"/>
      <c r="B100" s="3" t="str">
        <f t="shared" si="11"/>
        <v/>
      </c>
      <c r="F100" s="2" t="e">
        <f>VLOOKUP(TablaMarimba6[[#This Row],[Equipo]],[1]Catalogos!$V$4:$W$55,2,FALSE)</f>
        <v>#N/A</v>
      </c>
      <c r="G100" s="4"/>
      <c r="H100" s="5"/>
      <c r="I100" s="4">
        <f t="shared" si="9"/>
        <v>-900</v>
      </c>
      <c r="J100" s="6">
        <v>28.3</v>
      </c>
      <c r="K100" s="6">
        <f t="shared" si="12"/>
        <v>0</v>
      </c>
      <c r="L100" s="6">
        <f>M99-TablaMarimba6[[#This Row],[Importe]]</f>
        <v>28242.01602000001</v>
      </c>
      <c r="M100" s="6">
        <f>TablaMarimba6[[#This Row],[Saldo inicial(vales)]]</f>
        <v>28242.01602000001</v>
      </c>
      <c r="N100" s="6">
        <f>TablaMarimba6[[#This Row],[Saldo inicial(vales)]]+TablaMarimba6[[#This Row],[Columna1]]</f>
        <v>56484.03204000002</v>
      </c>
      <c r="O100" s="6" t="str">
        <f t="shared" si="8"/>
        <v/>
      </c>
      <c r="P100" s="6"/>
      <c r="S100" s="6"/>
      <c r="T100" s="6"/>
      <c r="U100" s="6"/>
      <c r="V100" s="6"/>
      <c r="W100" s="6"/>
    </row>
    <row r="101" spans="1:23">
      <c r="A101" s="3"/>
      <c r="B101" s="3" t="str">
        <f t="shared" si="11"/>
        <v/>
      </c>
      <c r="F101" s="2" t="e">
        <f>VLOOKUP(TablaMarimba6[[#This Row],[Equipo]],[1]Catalogos!$V$4:$W$55,2,FALSE)</f>
        <v>#N/A</v>
      </c>
      <c r="G101" s="4"/>
      <c r="H101" s="5"/>
      <c r="I101" s="4">
        <f t="shared" si="9"/>
        <v>-900</v>
      </c>
      <c r="J101" s="6">
        <v>28.3</v>
      </c>
      <c r="K101" s="6">
        <f t="shared" si="12"/>
        <v>0</v>
      </c>
      <c r="L101" s="6">
        <f>M100-TablaMarimba6[[#This Row],[Importe]]</f>
        <v>28242.01602000001</v>
      </c>
      <c r="M101" s="6">
        <f>TablaMarimba6[[#This Row],[Saldo inicial(vales)]]</f>
        <v>28242.01602000001</v>
      </c>
      <c r="N101" s="6">
        <f>TablaMarimba6[[#This Row],[Saldo inicial(vales)]]+TablaMarimba6[[#This Row],[Columna1]]</f>
        <v>56484.03204000002</v>
      </c>
      <c r="O101" s="6" t="str">
        <f t="shared" si="8"/>
        <v/>
      </c>
      <c r="P101" s="6"/>
      <c r="S101" s="6"/>
      <c r="T101" s="6"/>
      <c r="U101" s="6"/>
      <c r="V101" s="6"/>
      <c r="W101" s="6"/>
    </row>
    <row r="102" spans="1:23">
      <c r="A102" s="3"/>
      <c r="B102" s="3" t="str">
        <f t="shared" si="11"/>
        <v/>
      </c>
      <c r="F102" s="2" t="e">
        <f>VLOOKUP(TablaMarimba6[[#This Row],[Equipo]],[1]Catalogos!$V$4:$W$55,2,FALSE)</f>
        <v>#N/A</v>
      </c>
      <c r="G102" s="4"/>
      <c r="H102" s="5"/>
      <c r="I102" s="4">
        <f t="shared" si="9"/>
        <v>-900</v>
      </c>
      <c r="J102" s="6">
        <v>28.3</v>
      </c>
      <c r="K102" s="6">
        <f t="shared" si="12"/>
        <v>0</v>
      </c>
      <c r="L102" s="6">
        <f>M101-TablaMarimba6[[#This Row],[Importe]]</f>
        <v>28242.01602000001</v>
      </c>
      <c r="M102" s="6">
        <f>TablaMarimba6[[#This Row],[Saldo inicial(vales)]]</f>
        <v>28242.01602000001</v>
      </c>
      <c r="N102" s="6">
        <f>TablaMarimba6[[#This Row],[Saldo inicial(vales)]]+TablaMarimba6[[#This Row],[Columna1]]</f>
        <v>56484.03204000002</v>
      </c>
      <c r="O102" s="6" t="str">
        <f t="shared" si="8"/>
        <v/>
      </c>
      <c r="P102" s="6"/>
      <c r="S102" s="6"/>
      <c r="T102" s="6"/>
      <c r="U102" s="6"/>
      <c r="V102" s="6"/>
      <c r="W102" s="6"/>
    </row>
    <row r="103" spans="1:23">
      <c r="A103" s="3"/>
      <c r="B103" s="3" t="str">
        <f t="shared" si="11"/>
        <v/>
      </c>
      <c r="F103" s="2" t="e">
        <f>VLOOKUP(TablaMarimba6[[#This Row],[Equipo]],[1]Catalogos!$V$4:$W$55,2,FALSE)</f>
        <v>#N/A</v>
      </c>
      <c r="G103" s="4"/>
      <c r="H103" s="5"/>
      <c r="I103" s="4">
        <f t="shared" si="9"/>
        <v>-900</v>
      </c>
      <c r="J103" s="6">
        <v>28.3</v>
      </c>
      <c r="K103" s="6">
        <f t="shared" si="12"/>
        <v>0</v>
      </c>
      <c r="L103" s="6">
        <f>M102-TablaMarimba6[[#This Row],[Importe]]</f>
        <v>28242.01602000001</v>
      </c>
      <c r="M103" s="6">
        <f>TablaMarimba6[[#This Row],[Saldo inicial(vales)]]</f>
        <v>28242.01602000001</v>
      </c>
      <c r="N103" s="6">
        <f>TablaMarimba6[[#This Row],[Saldo inicial(vales)]]+TablaMarimba6[[#This Row],[Columna1]]</f>
        <v>56484.03204000002</v>
      </c>
      <c r="O103" s="6" t="str">
        <f t="shared" si="8"/>
        <v/>
      </c>
      <c r="P103" s="6"/>
      <c r="S103" s="6"/>
      <c r="T103" s="6"/>
      <c r="U103" s="6"/>
      <c r="V103" s="6"/>
      <c r="W103" s="6"/>
    </row>
    <row r="104" spans="1:23">
      <c r="A104" s="3"/>
      <c r="B104" s="3" t="str">
        <f t="shared" si="11"/>
        <v/>
      </c>
      <c r="F104" s="2" t="e">
        <f>VLOOKUP(TablaMarimba6[[#This Row],[Equipo]],[1]Catalogos!$V$4:$W$55,2,FALSE)</f>
        <v>#N/A</v>
      </c>
      <c r="G104" s="4"/>
      <c r="H104" s="5"/>
      <c r="I104" s="4">
        <f t="shared" si="9"/>
        <v>-900</v>
      </c>
      <c r="J104" s="6">
        <v>28.3</v>
      </c>
      <c r="K104" s="6">
        <f t="shared" si="12"/>
        <v>0</v>
      </c>
      <c r="L104" s="6">
        <f>M103-TablaMarimba6[[#This Row],[Importe]]</f>
        <v>28242.01602000001</v>
      </c>
      <c r="M104" s="6">
        <f>TablaMarimba6[[#This Row],[Saldo inicial(vales)]]</f>
        <v>28242.01602000001</v>
      </c>
      <c r="N104" s="6">
        <f>TablaMarimba6[[#This Row],[Saldo inicial(vales)]]+TablaMarimba6[[#This Row],[Columna1]]</f>
        <v>56484.03204000002</v>
      </c>
      <c r="O104" s="6" t="str">
        <f t="shared" si="8"/>
        <v/>
      </c>
      <c r="P104" s="6"/>
      <c r="S104" s="6"/>
      <c r="T104" s="6"/>
      <c r="U104" s="6"/>
      <c r="V104" s="6"/>
      <c r="W104" s="6"/>
    </row>
    <row r="105" spans="1:23">
      <c r="A105" s="3"/>
      <c r="B105" s="3" t="str">
        <f t="shared" si="11"/>
        <v/>
      </c>
      <c r="F105" s="2" t="e">
        <f>VLOOKUP(TablaMarimba6[[#This Row],[Equipo]],[1]Catalogos!$V$4:$W$55,2,FALSE)</f>
        <v>#N/A</v>
      </c>
      <c r="G105" s="4"/>
      <c r="H105" s="5"/>
      <c r="I105" s="4">
        <f t="shared" si="9"/>
        <v>-900</v>
      </c>
      <c r="J105" s="6">
        <v>28.3</v>
      </c>
      <c r="K105" s="6">
        <f t="shared" si="12"/>
        <v>0</v>
      </c>
      <c r="L105" s="6">
        <f>M104-TablaMarimba6[[#This Row],[Importe]]</f>
        <v>28242.01602000001</v>
      </c>
      <c r="M105" s="6">
        <f>TablaMarimba6[[#This Row],[Saldo inicial(vales)]]</f>
        <v>28242.01602000001</v>
      </c>
      <c r="N105" s="6">
        <f>TablaMarimba6[[#This Row],[Saldo inicial(vales)]]+TablaMarimba6[[#This Row],[Columna1]]</f>
        <v>56484.03204000002</v>
      </c>
      <c r="O105" s="6" t="str">
        <f t="shared" si="8"/>
        <v/>
      </c>
      <c r="P105" s="6"/>
      <c r="S105" s="6"/>
      <c r="T105" s="6"/>
      <c r="U105" s="6"/>
      <c r="V105" s="6"/>
      <c r="W105" s="6"/>
    </row>
    <row r="106" spans="1:23">
      <c r="A106" s="3"/>
      <c r="B106" s="3" t="str">
        <f t="shared" si="11"/>
        <v/>
      </c>
      <c r="F106" s="2" t="e">
        <f>VLOOKUP(TablaMarimba6[[#This Row],[Equipo]],[1]Catalogos!$V$4:$W$55,2,FALSE)</f>
        <v>#N/A</v>
      </c>
      <c r="G106" s="4"/>
      <c r="H106" s="5"/>
      <c r="I106" s="4">
        <f t="shared" si="9"/>
        <v>-900</v>
      </c>
      <c r="J106" s="6">
        <v>28.3</v>
      </c>
      <c r="K106" s="6">
        <f t="shared" si="12"/>
        <v>0</v>
      </c>
      <c r="L106" s="6">
        <f>M105-TablaMarimba6[[#This Row],[Importe]]</f>
        <v>28242.01602000001</v>
      </c>
      <c r="M106" s="6">
        <f>TablaMarimba6[[#This Row],[Saldo inicial(vales)]]</f>
        <v>28242.01602000001</v>
      </c>
      <c r="N106" s="6">
        <f>TablaMarimba6[[#This Row],[Saldo inicial(vales)]]+TablaMarimba6[[#This Row],[Columna1]]</f>
        <v>56484.03204000002</v>
      </c>
      <c r="O106" s="6" t="str">
        <f t="shared" si="8"/>
        <v/>
      </c>
      <c r="P106" s="6"/>
      <c r="S106" s="6"/>
      <c r="T106" s="6"/>
      <c r="U106" s="6"/>
      <c r="V106" s="6"/>
      <c r="W106" s="6"/>
    </row>
    <row r="107" spans="1:23">
      <c r="A107" s="3"/>
      <c r="B107" s="3" t="str">
        <f t="shared" si="11"/>
        <v/>
      </c>
      <c r="F107" s="2" t="e">
        <f>VLOOKUP(TablaMarimba6[[#This Row],[Equipo]],[1]Catalogos!$V$4:$W$55,2,FALSE)</f>
        <v>#N/A</v>
      </c>
      <c r="G107" s="4"/>
      <c r="H107" s="5"/>
      <c r="I107" s="4">
        <f t="shared" si="9"/>
        <v>-900</v>
      </c>
      <c r="J107" s="6">
        <v>28.3</v>
      </c>
      <c r="K107" s="6">
        <f t="shared" si="12"/>
        <v>0</v>
      </c>
      <c r="L107" s="6">
        <f>M106-TablaMarimba6[[#This Row],[Importe]]</f>
        <v>28242.01602000001</v>
      </c>
      <c r="M107" s="6">
        <f>TablaMarimba6[[#This Row],[Saldo inicial(vales)]]</f>
        <v>28242.01602000001</v>
      </c>
      <c r="N107" s="6">
        <f>TablaMarimba6[[#This Row],[Saldo inicial(vales)]]+TablaMarimba6[[#This Row],[Columna1]]</f>
        <v>56484.03204000002</v>
      </c>
      <c r="O107" s="6" t="str">
        <f t="shared" si="8"/>
        <v/>
      </c>
      <c r="P107" s="6"/>
      <c r="S107" s="6"/>
      <c r="T107" s="6"/>
      <c r="U107" s="6"/>
      <c r="V107" s="6"/>
      <c r="W107" s="6"/>
    </row>
    <row r="108" spans="1:23">
      <c r="A108" s="3"/>
      <c r="B108" s="3" t="str">
        <f t="shared" si="11"/>
        <v/>
      </c>
      <c r="F108" s="2" t="e">
        <f>VLOOKUP(TablaMarimba6[[#This Row],[Equipo]],[1]Catalogos!$V$4:$W$55,2,FALSE)</f>
        <v>#N/A</v>
      </c>
      <c r="G108" s="4"/>
      <c r="H108" s="5"/>
      <c r="I108" s="4">
        <f t="shared" si="9"/>
        <v>-900</v>
      </c>
      <c r="J108" s="6">
        <v>28.3</v>
      </c>
      <c r="K108" s="6">
        <f t="shared" si="12"/>
        <v>0</v>
      </c>
      <c r="L108" s="6">
        <f>M107-TablaMarimba6[[#This Row],[Importe]]</f>
        <v>28242.01602000001</v>
      </c>
      <c r="M108" s="6">
        <f>TablaMarimba6[[#This Row],[Saldo inicial(vales)]]</f>
        <v>28242.01602000001</v>
      </c>
      <c r="N108" s="6">
        <f>TablaMarimba6[[#This Row],[Saldo inicial(vales)]]+TablaMarimba6[[#This Row],[Columna1]]</f>
        <v>56484.03204000002</v>
      </c>
      <c r="O108" s="6" t="str">
        <f t="shared" si="8"/>
        <v/>
      </c>
      <c r="P108" s="6"/>
      <c r="S108" s="6"/>
      <c r="T108" s="6"/>
      <c r="U108" s="6"/>
      <c r="V108" s="6"/>
      <c r="W108" s="6"/>
    </row>
    <row r="109" spans="1:23">
      <c r="A109" s="3"/>
      <c r="B109" s="3" t="str">
        <f t="shared" si="11"/>
        <v/>
      </c>
      <c r="F109" s="2" t="e">
        <f>VLOOKUP(TablaMarimba6[[#This Row],[Equipo]],[1]Catalogos!$V$4:$W$55,2,FALSE)</f>
        <v>#N/A</v>
      </c>
      <c r="G109" s="4"/>
      <c r="H109" s="5"/>
      <c r="I109" s="4">
        <f t="shared" si="9"/>
        <v>-900</v>
      </c>
      <c r="J109" s="6">
        <v>28.3</v>
      </c>
      <c r="K109" s="6">
        <f t="shared" si="12"/>
        <v>0</v>
      </c>
      <c r="L109" s="6">
        <f>M108-TablaMarimba6[[#This Row],[Importe]]</f>
        <v>28242.01602000001</v>
      </c>
      <c r="M109" s="6">
        <f>TablaMarimba6[[#This Row],[Saldo inicial(vales)]]</f>
        <v>28242.01602000001</v>
      </c>
      <c r="N109" s="6">
        <f>TablaMarimba6[[#This Row],[Saldo inicial(vales)]]+TablaMarimba6[[#This Row],[Columna1]]</f>
        <v>56484.03204000002</v>
      </c>
      <c r="O109" s="6" t="str">
        <f t="shared" si="8"/>
        <v/>
      </c>
      <c r="P109" s="6"/>
      <c r="S109" s="6"/>
      <c r="T109" s="6"/>
      <c r="U109" s="6"/>
      <c r="V109" s="6"/>
      <c r="W109" s="6"/>
    </row>
    <row r="110" spans="1:23">
      <c r="A110" s="3"/>
      <c r="B110" s="3" t="str">
        <f t="shared" si="11"/>
        <v/>
      </c>
      <c r="F110" s="2" t="e">
        <f>VLOOKUP(TablaMarimba6[[#This Row],[Equipo]],[1]Catalogos!$V$4:$W$55,2,FALSE)</f>
        <v>#N/A</v>
      </c>
      <c r="G110" s="4"/>
      <c r="H110" s="5"/>
      <c r="I110" s="4">
        <f t="shared" si="9"/>
        <v>-900</v>
      </c>
      <c r="J110" s="6">
        <v>28.3</v>
      </c>
      <c r="K110" s="6">
        <f t="shared" si="12"/>
        <v>0</v>
      </c>
      <c r="L110" s="6">
        <f>M109-TablaMarimba6[[#This Row],[Importe]]</f>
        <v>28242.01602000001</v>
      </c>
      <c r="M110" s="6">
        <f>TablaMarimba6[[#This Row],[Saldo inicial(vales)]]</f>
        <v>28242.01602000001</v>
      </c>
      <c r="N110" s="6">
        <f>TablaMarimba6[[#This Row],[Saldo inicial(vales)]]+TablaMarimba6[[#This Row],[Columna1]]</f>
        <v>56484.03204000002</v>
      </c>
      <c r="O110" s="6" t="str">
        <f t="shared" si="8"/>
        <v/>
      </c>
      <c r="P110" s="6"/>
      <c r="S110" s="6"/>
      <c r="T110" s="6"/>
      <c r="U110" s="6"/>
      <c r="V110" s="6"/>
      <c r="W110" s="6"/>
    </row>
    <row r="111" spans="1:23">
      <c r="A111" s="3"/>
      <c r="B111" s="3" t="str">
        <f t="shared" si="11"/>
        <v/>
      </c>
      <c r="F111" s="2" t="e">
        <f>VLOOKUP(TablaMarimba6[[#This Row],[Equipo]],[1]Catalogos!$V$4:$W$55,2,FALSE)</f>
        <v>#N/A</v>
      </c>
      <c r="G111" s="4"/>
      <c r="H111" s="5"/>
      <c r="I111" s="4">
        <f t="shared" si="9"/>
        <v>-900</v>
      </c>
      <c r="J111" s="6">
        <v>28.3</v>
      </c>
      <c r="K111" s="6">
        <f t="shared" si="12"/>
        <v>0</v>
      </c>
      <c r="L111" s="6">
        <f>M110-TablaMarimba6[[#This Row],[Importe]]</f>
        <v>28242.01602000001</v>
      </c>
      <c r="M111" s="6">
        <f>TablaMarimba6[[#This Row],[Saldo inicial(vales)]]</f>
        <v>28242.01602000001</v>
      </c>
      <c r="N111" s="6">
        <f>TablaMarimba6[[#This Row],[Saldo inicial(vales)]]+TablaMarimba6[[#This Row],[Columna1]]</f>
        <v>56484.03204000002</v>
      </c>
      <c r="O111" s="6" t="str">
        <f t="shared" si="8"/>
        <v/>
      </c>
      <c r="P111" s="6"/>
      <c r="S111" s="6"/>
      <c r="T111" s="6"/>
      <c r="U111" s="6"/>
      <c r="V111" s="6"/>
      <c r="W111" s="6"/>
    </row>
    <row r="112" spans="1:23">
      <c r="A112" s="3"/>
      <c r="B112" s="3" t="str">
        <f t="shared" si="11"/>
        <v/>
      </c>
      <c r="F112" s="2" t="e">
        <f>VLOOKUP(TablaMarimba6[[#This Row],[Equipo]],[1]Catalogos!$V$4:$W$55,2,FALSE)</f>
        <v>#N/A</v>
      </c>
      <c r="G112" s="4"/>
      <c r="H112" s="5"/>
      <c r="I112" s="4">
        <f t="shared" si="9"/>
        <v>-900</v>
      </c>
      <c r="J112" s="6">
        <v>28.3</v>
      </c>
      <c r="K112" s="6">
        <f t="shared" si="12"/>
        <v>0</v>
      </c>
      <c r="L112" s="6">
        <f>M111-TablaMarimba6[[#This Row],[Importe]]</f>
        <v>28242.01602000001</v>
      </c>
      <c r="M112" s="6">
        <f>TablaMarimba6[[#This Row],[Saldo inicial(vales)]]</f>
        <v>28242.01602000001</v>
      </c>
      <c r="N112" s="6">
        <f>TablaMarimba6[[#This Row],[Saldo inicial(vales)]]+TablaMarimba6[[#This Row],[Columna1]]</f>
        <v>56484.03204000002</v>
      </c>
      <c r="O112" s="6" t="str">
        <f t="shared" si="8"/>
        <v/>
      </c>
      <c r="P112" s="6"/>
      <c r="S112" s="6"/>
      <c r="T112" s="6"/>
      <c r="U112" s="6"/>
      <c r="V112" s="6"/>
      <c r="W112" s="6"/>
    </row>
    <row r="113" spans="1:23">
      <c r="A113" s="3"/>
      <c r="B113" s="3" t="str">
        <f t="shared" si="11"/>
        <v/>
      </c>
      <c r="F113" s="2" t="e">
        <f>VLOOKUP(TablaMarimba6[[#This Row],[Equipo]],[1]Catalogos!$V$4:$W$55,2,FALSE)</f>
        <v>#N/A</v>
      </c>
      <c r="G113" s="4"/>
      <c r="H113" s="5"/>
      <c r="I113" s="4">
        <f t="shared" si="9"/>
        <v>-900</v>
      </c>
      <c r="J113" s="6">
        <v>28.3</v>
      </c>
      <c r="K113" s="6">
        <f t="shared" si="12"/>
        <v>0</v>
      </c>
      <c r="L113" s="6">
        <f>M112-TablaMarimba6[[#This Row],[Importe]]</f>
        <v>28242.01602000001</v>
      </c>
      <c r="M113" s="6">
        <f>TablaMarimba6[[#This Row],[Saldo inicial(vales)]]</f>
        <v>28242.01602000001</v>
      </c>
      <c r="N113" s="6">
        <f>TablaMarimba6[[#This Row],[Saldo inicial(vales)]]+TablaMarimba6[[#This Row],[Columna1]]</f>
        <v>56484.03204000002</v>
      </c>
      <c r="O113" s="6" t="str">
        <f t="shared" si="8"/>
        <v/>
      </c>
      <c r="P113" s="6"/>
      <c r="S113" s="6"/>
      <c r="T113" s="6"/>
      <c r="U113" s="6"/>
      <c r="V113" s="6"/>
      <c r="W113" s="6"/>
    </row>
    <row r="114" spans="1:23">
      <c r="A114" s="3"/>
      <c r="B114" s="3" t="str">
        <f t="shared" si="11"/>
        <v/>
      </c>
      <c r="F114" s="2" t="e">
        <f>VLOOKUP(TablaMarimba6[[#This Row],[Equipo]],[1]Catalogos!$V$4:$W$55,2,FALSE)</f>
        <v>#N/A</v>
      </c>
      <c r="G114" s="4"/>
      <c r="H114" s="5"/>
      <c r="I114" s="4">
        <f t="shared" si="9"/>
        <v>-900</v>
      </c>
      <c r="J114" s="6">
        <v>28.3</v>
      </c>
      <c r="K114" s="6">
        <f t="shared" si="12"/>
        <v>0</v>
      </c>
      <c r="L114" s="6">
        <f>M113-TablaMarimba6[[#This Row],[Importe]]</f>
        <v>28242.01602000001</v>
      </c>
      <c r="M114" s="6">
        <f>TablaMarimba6[[#This Row],[Saldo inicial(vales)]]</f>
        <v>28242.01602000001</v>
      </c>
      <c r="N114" s="6">
        <f>TablaMarimba6[[#This Row],[Saldo inicial(vales)]]+TablaMarimba6[[#This Row],[Columna1]]</f>
        <v>56484.03204000002</v>
      </c>
      <c r="O114" s="6" t="str">
        <f t="shared" si="8"/>
        <v/>
      </c>
      <c r="P114" s="6"/>
      <c r="S114" s="6"/>
      <c r="T114" s="6"/>
      <c r="U114" s="6"/>
      <c r="V114" s="6"/>
      <c r="W114" s="6"/>
    </row>
    <row r="115" spans="1:23">
      <c r="A115" s="3"/>
      <c r="B115" s="3" t="str">
        <f t="shared" si="11"/>
        <v/>
      </c>
      <c r="F115" s="2" t="e">
        <f>VLOOKUP(TablaMarimba6[[#This Row],[Equipo]],[1]Catalogos!$V$4:$W$55,2,FALSE)</f>
        <v>#N/A</v>
      </c>
      <c r="G115" s="4"/>
      <c r="H115" s="5"/>
      <c r="I115" s="4">
        <f t="shared" si="9"/>
        <v>-900</v>
      </c>
      <c r="J115" s="6">
        <v>28.3</v>
      </c>
      <c r="K115" s="6">
        <f t="shared" si="12"/>
        <v>0</v>
      </c>
      <c r="L115" s="6">
        <f>M114-TablaMarimba6[[#This Row],[Importe]]</f>
        <v>28242.01602000001</v>
      </c>
      <c r="M115" s="6">
        <f>TablaMarimba6[[#This Row],[Saldo inicial(vales)]]</f>
        <v>28242.01602000001</v>
      </c>
      <c r="N115" s="6">
        <f>TablaMarimba6[[#This Row],[Saldo inicial(vales)]]+TablaMarimba6[[#This Row],[Columna1]]</f>
        <v>56484.03204000002</v>
      </c>
      <c r="O115" s="6" t="str">
        <f t="shared" si="8"/>
        <v/>
      </c>
      <c r="P115" s="6"/>
      <c r="S115" s="6"/>
      <c r="T115" s="6"/>
      <c r="U115" s="6"/>
      <c r="V115" s="6"/>
      <c r="W115" s="6"/>
    </row>
    <row r="116" spans="1:23">
      <c r="A116" s="3"/>
      <c r="B116" s="3" t="str">
        <f t="shared" si="11"/>
        <v/>
      </c>
      <c r="F116" s="2" t="e">
        <f>VLOOKUP(TablaMarimba6[[#This Row],[Equipo]],[1]Catalogos!$V$4:$W$55,2,FALSE)</f>
        <v>#N/A</v>
      </c>
      <c r="G116" s="4"/>
      <c r="H116" s="5"/>
      <c r="I116" s="4">
        <f t="shared" si="9"/>
        <v>-900</v>
      </c>
      <c r="J116" s="6">
        <v>28.3</v>
      </c>
      <c r="K116" s="6">
        <f t="shared" si="12"/>
        <v>0</v>
      </c>
      <c r="L116" s="6">
        <f>M115-TablaMarimba6[[#This Row],[Importe]]</f>
        <v>28242.01602000001</v>
      </c>
      <c r="M116" s="6">
        <f>TablaMarimba6[[#This Row],[Saldo inicial(vales)]]</f>
        <v>28242.01602000001</v>
      </c>
      <c r="N116" s="6">
        <f>TablaMarimba6[[#This Row],[Saldo inicial(vales)]]+TablaMarimba6[[#This Row],[Columna1]]</f>
        <v>56484.03204000002</v>
      </c>
      <c r="O116" s="6" t="str">
        <f t="shared" si="8"/>
        <v/>
      </c>
      <c r="P116" s="6"/>
      <c r="S116" s="6"/>
      <c r="T116" s="6"/>
      <c r="U116" s="6"/>
      <c r="V116" s="6"/>
      <c r="W116" s="6"/>
    </row>
    <row r="117" spans="1:23">
      <c r="A117" s="3"/>
      <c r="B117" s="3" t="str">
        <f t="shared" si="11"/>
        <v/>
      </c>
      <c r="F117" s="2" t="e">
        <f>VLOOKUP(TablaMarimba6[[#This Row],[Equipo]],[1]Catalogos!$V$4:$W$55,2,FALSE)</f>
        <v>#N/A</v>
      </c>
      <c r="G117" s="4"/>
      <c r="H117" s="5"/>
      <c r="I117" s="4">
        <f t="shared" si="9"/>
        <v>-900</v>
      </c>
      <c r="J117" s="6">
        <v>28.3</v>
      </c>
      <c r="K117" s="6">
        <f t="shared" si="12"/>
        <v>0</v>
      </c>
      <c r="L117" s="6">
        <f>M116-TablaMarimba6[[#This Row],[Importe]]</f>
        <v>28242.01602000001</v>
      </c>
      <c r="M117" s="6">
        <f>TablaMarimba6[[#This Row],[Saldo inicial(vales)]]</f>
        <v>28242.01602000001</v>
      </c>
      <c r="N117" s="6">
        <f>TablaMarimba6[[#This Row],[Saldo inicial(vales)]]+TablaMarimba6[[#This Row],[Columna1]]</f>
        <v>56484.03204000002</v>
      </c>
      <c r="O117" s="6" t="str">
        <f t="shared" si="8"/>
        <v/>
      </c>
      <c r="P117" s="6"/>
      <c r="S117" s="6"/>
      <c r="T117" s="6"/>
      <c r="U117" s="6"/>
      <c r="V117" s="6"/>
      <c r="W117" s="6"/>
    </row>
    <row r="118" spans="1:23">
      <c r="A118" s="3"/>
      <c r="B118" s="3" t="str">
        <f t="shared" si="11"/>
        <v/>
      </c>
      <c r="F118" s="2" t="e">
        <f>VLOOKUP(TablaMarimba6[[#This Row],[Equipo]],[1]Catalogos!$V$4:$W$55,2,FALSE)</f>
        <v>#N/A</v>
      </c>
      <c r="G118" s="4"/>
      <c r="H118" s="5"/>
      <c r="I118" s="4">
        <f t="shared" si="9"/>
        <v>-900</v>
      </c>
      <c r="J118" s="6">
        <v>28.3</v>
      </c>
      <c r="K118" s="6">
        <f t="shared" si="12"/>
        <v>0</v>
      </c>
      <c r="L118" s="6">
        <f>M117-TablaMarimba6[[#This Row],[Importe]]</f>
        <v>28242.01602000001</v>
      </c>
      <c r="M118" s="6">
        <f>TablaMarimba6[[#This Row],[Saldo inicial(vales)]]</f>
        <v>28242.01602000001</v>
      </c>
      <c r="N118" s="6">
        <f>TablaMarimba6[[#This Row],[Saldo inicial(vales)]]+TablaMarimba6[[#This Row],[Columna1]]</f>
        <v>56484.03204000002</v>
      </c>
      <c r="O118" s="6" t="str">
        <f t="shared" si="8"/>
        <v/>
      </c>
      <c r="P118" s="6"/>
      <c r="S118" s="6"/>
      <c r="T118" s="6"/>
      <c r="U118" s="6"/>
      <c r="V118" s="6"/>
      <c r="W118" s="6"/>
    </row>
    <row r="119" spans="1:23">
      <c r="A119" s="3"/>
      <c r="B119" s="3" t="str">
        <f t="shared" si="11"/>
        <v/>
      </c>
      <c r="F119" s="2" t="e">
        <f>VLOOKUP(TablaMarimba6[[#This Row],[Equipo]],[1]Catalogos!$V$4:$W$55,2,FALSE)</f>
        <v>#N/A</v>
      </c>
      <c r="G119" s="4"/>
      <c r="H119" s="5"/>
      <c r="I119" s="4">
        <f t="shared" si="9"/>
        <v>-900</v>
      </c>
      <c r="J119" s="6">
        <v>28.3</v>
      </c>
      <c r="K119" s="6">
        <f t="shared" si="12"/>
        <v>0</v>
      </c>
      <c r="L119" s="6">
        <f>M118-TablaMarimba6[[#This Row],[Importe]]</f>
        <v>28242.01602000001</v>
      </c>
      <c r="M119" s="6">
        <f>TablaMarimba6[[#This Row],[Saldo inicial(vales)]]</f>
        <v>28242.01602000001</v>
      </c>
      <c r="N119" s="6">
        <f>TablaMarimba6[[#This Row],[Saldo inicial(vales)]]+TablaMarimba6[[#This Row],[Columna1]]</f>
        <v>56484.03204000002</v>
      </c>
      <c r="O119" s="6" t="str">
        <f t="shared" si="8"/>
        <v/>
      </c>
      <c r="P119" s="6"/>
      <c r="S119" s="6"/>
      <c r="T119" s="6"/>
      <c r="U119" s="6"/>
      <c r="V119" s="6"/>
      <c r="W119" s="6"/>
    </row>
    <row r="120" spans="1:23">
      <c r="A120" s="3"/>
      <c r="B120" s="3" t="str">
        <f t="shared" si="11"/>
        <v/>
      </c>
      <c r="F120" s="2" t="e">
        <f>VLOOKUP(TablaMarimba6[[#This Row],[Equipo]],[1]Catalogos!$V$4:$W$55,2,FALSE)</f>
        <v>#N/A</v>
      </c>
      <c r="G120" s="4"/>
      <c r="H120" s="5"/>
      <c r="I120" s="4">
        <f t="shared" si="9"/>
        <v>-900</v>
      </c>
      <c r="J120" s="6">
        <v>28.3</v>
      </c>
      <c r="K120" s="6">
        <f t="shared" si="12"/>
        <v>0</v>
      </c>
      <c r="L120" s="6">
        <f>M119-TablaMarimba6[[#This Row],[Importe]]</f>
        <v>28242.01602000001</v>
      </c>
      <c r="M120" s="6">
        <f>TablaMarimba6[[#This Row],[Saldo inicial(vales)]]</f>
        <v>28242.01602000001</v>
      </c>
      <c r="N120" s="6">
        <f>TablaMarimba6[[#This Row],[Saldo inicial(vales)]]+TablaMarimba6[[#This Row],[Columna1]]</f>
        <v>56484.03204000002</v>
      </c>
      <c r="O120" s="6" t="str">
        <f t="shared" si="8"/>
        <v/>
      </c>
      <c r="P120" s="6"/>
      <c r="S120" s="6"/>
      <c r="T120" s="6"/>
      <c r="U120" s="6"/>
      <c r="V120" s="6"/>
      <c r="W120" s="6"/>
    </row>
    <row r="121" spans="1:23">
      <c r="A121" s="3"/>
      <c r="B121" s="3" t="str">
        <f t="shared" si="11"/>
        <v/>
      </c>
      <c r="F121" s="2" t="e">
        <f>VLOOKUP(TablaMarimba6[[#This Row],[Equipo]],[1]Catalogos!$V$4:$W$55,2,FALSE)</f>
        <v>#N/A</v>
      </c>
      <c r="G121" s="4"/>
      <c r="H121" s="5"/>
      <c r="I121" s="4">
        <f t="shared" si="9"/>
        <v>-900</v>
      </c>
      <c r="J121" s="6">
        <v>28.3</v>
      </c>
      <c r="K121" s="6">
        <f t="shared" si="12"/>
        <v>0</v>
      </c>
      <c r="L121" s="6">
        <f>M120-TablaMarimba6[[#This Row],[Importe]]</f>
        <v>28242.01602000001</v>
      </c>
      <c r="M121" s="6">
        <f>TablaMarimba6[[#This Row],[Saldo inicial(vales)]]</f>
        <v>28242.01602000001</v>
      </c>
      <c r="N121" s="6">
        <f>TablaMarimba6[[#This Row],[Saldo inicial(vales)]]+TablaMarimba6[[#This Row],[Columna1]]</f>
        <v>56484.03204000002</v>
      </c>
      <c r="O121" s="6" t="str">
        <f t="shared" si="8"/>
        <v/>
      </c>
      <c r="P121" s="6"/>
      <c r="S121" s="6"/>
      <c r="T121" s="6"/>
      <c r="U121" s="6"/>
      <c r="V121" s="6"/>
      <c r="W121" s="6"/>
    </row>
    <row r="122" spans="1:23">
      <c r="A122" s="3"/>
      <c r="B122" s="3" t="str">
        <f t="shared" si="11"/>
        <v/>
      </c>
      <c r="F122" s="2" t="e">
        <f>VLOOKUP(TablaMarimba6[[#This Row],[Equipo]],[1]Catalogos!$V$4:$W$55,2,FALSE)</f>
        <v>#N/A</v>
      </c>
      <c r="G122" s="4"/>
      <c r="H122" s="5"/>
      <c r="I122" s="4">
        <f t="shared" si="9"/>
        <v>-900</v>
      </c>
      <c r="J122" s="6">
        <v>28.3</v>
      </c>
      <c r="K122" s="6">
        <f t="shared" si="12"/>
        <v>0</v>
      </c>
      <c r="L122" s="6">
        <f>M121-TablaMarimba6[[#This Row],[Importe]]</f>
        <v>28242.01602000001</v>
      </c>
      <c r="M122" s="6">
        <f>TablaMarimba6[[#This Row],[Saldo inicial(vales)]]</f>
        <v>28242.01602000001</v>
      </c>
      <c r="N122" s="6">
        <f>TablaMarimba6[[#This Row],[Saldo inicial(vales)]]+TablaMarimba6[[#This Row],[Columna1]]</f>
        <v>56484.03204000002</v>
      </c>
      <c r="O122" s="6" t="str">
        <f t="shared" si="8"/>
        <v/>
      </c>
      <c r="P122" s="6"/>
      <c r="S122" s="6"/>
      <c r="T122" s="6"/>
      <c r="U122" s="6"/>
      <c r="V122" s="6"/>
      <c r="W122" s="6"/>
    </row>
    <row r="123" spans="1:23">
      <c r="A123" s="3"/>
      <c r="B123" s="3" t="str">
        <f t="shared" si="11"/>
        <v/>
      </c>
      <c r="F123" s="2" t="e">
        <f>VLOOKUP(TablaMarimba6[[#This Row],[Equipo]],[1]Catalogos!$V$4:$W$55,2,FALSE)</f>
        <v>#N/A</v>
      </c>
      <c r="G123" s="4"/>
      <c r="H123" s="5"/>
      <c r="I123" s="4">
        <f t="shared" si="9"/>
        <v>-900</v>
      </c>
      <c r="J123" s="6">
        <v>28.3</v>
      </c>
      <c r="K123" s="6">
        <f t="shared" si="12"/>
        <v>0</v>
      </c>
      <c r="L123" s="6">
        <f>M122-TablaMarimba6[[#This Row],[Importe]]</f>
        <v>28242.01602000001</v>
      </c>
      <c r="M123" s="6">
        <f>TablaMarimba6[[#This Row],[Saldo inicial(vales)]]</f>
        <v>28242.01602000001</v>
      </c>
      <c r="N123" s="6">
        <f>TablaMarimba6[[#This Row],[Saldo inicial(vales)]]+TablaMarimba6[[#This Row],[Columna1]]</f>
        <v>56484.03204000002</v>
      </c>
      <c r="O123" s="6" t="str">
        <f t="shared" si="8"/>
        <v/>
      </c>
      <c r="P123" s="6"/>
      <c r="S123" s="6"/>
      <c r="T123" s="6"/>
      <c r="U123" s="6"/>
      <c r="V123" s="6"/>
      <c r="W123" s="6"/>
    </row>
    <row r="124" spans="1:23">
      <c r="A124" s="3"/>
      <c r="B124" s="3" t="str">
        <f t="shared" si="11"/>
        <v/>
      </c>
      <c r="F124" s="2" t="e">
        <f>VLOOKUP(TablaMarimba6[[#This Row],[Equipo]],[1]Catalogos!$V$4:$W$55,2,FALSE)</f>
        <v>#N/A</v>
      </c>
      <c r="G124" s="4"/>
      <c r="H124" s="5"/>
      <c r="I124" s="4">
        <f t="shared" si="9"/>
        <v>-900</v>
      </c>
      <c r="J124" s="6">
        <v>28.3</v>
      </c>
      <c r="K124" s="6">
        <f t="shared" si="12"/>
        <v>0</v>
      </c>
      <c r="L124" s="6">
        <f>M123-TablaMarimba6[[#This Row],[Importe]]</f>
        <v>28242.01602000001</v>
      </c>
      <c r="M124" s="6">
        <f>TablaMarimba6[[#This Row],[Saldo inicial(vales)]]</f>
        <v>28242.01602000001</v>
      </c>
      <c r="N124" s="6">
        <f>TablaMarimba6[[#This Row],[Saldo inicial(vales)]]+TablaMarimba6[[#This Row],[Columna1]]</f>
        <v>56484.03204000002</v>
      </c>
      <c r="O124" s="6" t="str">
        <f t="shared" si="8"/>
        <v/>
      </c>
      <c r="P124" s="6"/>
      <c r="S124" s="6"/>
      <c r="T124" s="6"/>
      <c r="U124" s="6"/>
      <c r="V124" s="6"/>
      <c r="W124" s="6"/>
    </row>
    <row r="125" spans="1:23">
      <c r="A125" s="3"/>
      <c r="B125" s="3" t="str">
        <f t="shared" si="11"/>
        <v/>
      </c>
      <c r="F125" s="2" t="e">
        <f>VLOOKUP(TablaMarimba6[[#This Row],[Equipo]],[1]Catalogos!$V$4:$W$55,2,FALSE)</f>
        <v>#N/A</v>
      </c>
      <c r="G125" s="4"/>
      <c r="H125" s="5"/>
      <c r="I125" s="4">
        <f t="shared" si="9"/>
        <v>-900</v>
      </c>
      <c r="J125" s="6">
        <v>28.3</v>
      </c>
      <c r="K125" s="6">
        <f t="shared" si="12"/>
        <v>0</v>
      </c>
      <c r="L125" s="6">
        <f>M124-TablaMarimba6[[#This Row],[Importe]]</f>
        <v>28242.01602000001</v>
      </c>
      <c r="M125" s="6">
        <f>TablaMarimba6[[#This Row],[Saldo inicial(vales)]]</f>
        <v>28242.01602000001</v>
      </c>
      <c r="N125" s="6">
        <f>TablaMarimba6[[#This Row],[Saldo inicial(vales)]]+TablaMarimba6[[#This Row],[Columna1]]</f>
        <v>56484.03204000002</v>
      </c>
      <c r="O125" s="6" t="str">
        <f t="shared" ref="O125:O188" si="13">IF(A125="","", WEEKNUM(A125, 2))</f>
        <v/>
      </c>
      <c r="P125" s="6"/>
      <c r="S125" s="6"/>
      <c r="T125" s="6"/>
      <c r="U125" s="6"/>
      <c r="V125" s="6"/>
      <c r="W125" s="6"/>
    </row>
    <row r="126" spans="1:23">
      <c r="A126" s="3"/>
      <c r="B126" s="3" t="str">
        <f t="shared" si="11"/>
        <v/>
      </c>
      <c r="F126" s="2" t="e">
        <f>VLOOKUP(TablaMarimba6[[#This Row],[Equipo]],[1]Catalogos!$V$4:$W$55,2,FALSE)</f>
        <v>#N/A</v>
      </c>
      <c r="G126" s="4"/>
      <c r="H126" s="5"/>
      <c r="I126" s="4">
        <f t="shared" si="9"/>
        <v>-900</v>
      </c>
      <c r="J126" s="6">
        <v>28.3</v>
      </c>
      <c r="K126" s="6">
        <f t="shared" si="12"/>
        <v>0</v>
      </c>
      <c r="L126" s="6">
        <f>M125-TablaMarimba6[[#This Row],[Importe]]</f>
        <v>28242.01602000001</v>
      </c>
      <c r="M126" s="6">
        <f>TablaMarimba6[[#This Row],[Saldo inicial(vales)]]</f>
        <v>28242.01602000001</v>
      </c>
      <c r="N126" s="6">
        <f>TablaMarimba6[[#This Row],[Saldo inicial(vales)]]+TablaMarimba6[[#This Row],[Columna1]]</f>
        <v>56484.03204000002</v>
      </c>
      <c r="O126" s="6" t="str">
        <f t="shared" si="13"/>
        <v/>
      </c>
      <c r="P126" s="6"/>
      <c r="S126" s="6"/>
      <c r="T126" s="6"/>
      <c r="U126" s="6"/>
      <c r="V126" s="6"/>
      <c r="W126" s="6"/>
    </row>
    <row r="127" spans="1:23">
      <c r="A127" s="3"/>
      <c r="B127" s="3" t="str">
        <f t="shared" si="11"/>
        <v/>
      </c>
      <c r="F127" s="2" t="e">
        <f>VLOOKUP(TablaMarimba6[[#This Row],[Equipo]],[1]Catalogos!$V$4:$W$55,2,FALSE)</f>
        <v>#N/A</v>
      </c>
      <c r="G127" s="4"/>
      <c r="H127" s="5"/>
      <c r="I127" s="4">
        <f t="shared" si="9"/>
        <v>-900</v>
      </c>
      <c r="J127" s="6">
        <v>28.3</v>
      </c>
      <c r="K127" s="6">
        <f t="shared" si="12"/>
        <v>0</v>
      </c>
      <c r="L127" s="6">
        <f>M126-TablaMarimba6[[#This Row],[Importe]]</f>
        <v>28242.01602000001</v>
      </c>
      <c r="M127" s="6">
        <f>TablaMarimba6[[#This Row],[Saldo inicial(vales)]]</f>
        <v>28242.01602000001</v>
      </c>
      <c r="N127" s="6">
        <f>TablaMarimba6[[#This Row],[Saldo inicial(vales)]]+TablaMarimba6[[#This Row],[Columna1]]</f>
        <v>56484.03204000002</v>
      </c>
      <c r="O127" s="6" t="str">
        <f t="shared" si="13"/>
        <v/>
      </c>
      <c r="P127" s="6"/>
      <c r="S127" s="6"/>
      <c r="T127" s="6"/>
      <c r="U127" s="6"/>
      <c r="V127" s="6"/>
      <c r="W127" s="6"/>
    </row>
    <row r="128" spans="1:23">
      <c r="A128" s="3"/>
      <c r="B128" s="3" t="str">
        <f t="shared" si="11"/>
        <v/>
      </c>
      <c r="F128" s="2" t="e">
        <f>VLOOKUP(TablaMarimba6[[#This Row],[Equipo]],[1]Catalogos!$V$4:$W$55,2,FALSE)</f>
        <v>#N/A</v>
      </c>
      <c r="G128" s="4"/>
      <c r="H128" s="5"/>
      <c r="I128" s="4">
        <f t="shared" ref="I128:I191" si="14">IF(ROW()=5,G128-H128,I127+G128-H128)</f>
        <v>-900</v>
      </c>
      <c r="J128" s="6">
        <v>28.3</v>
      </c>
      <c r="K128" s="6">
        <f t="shared" si="12"/>
        <v>0</v>
      </c>
      <c r="L128" s="6">
        <f>M127-TablaMarimba6[[#This Row],[Importe]]</f>
        <v>28242.01602000001</v>
      </c>
      <c r="M128" s="6">
        <f>TablaMarimba6[[#This Row],[Saldo inicial(vales)]]</f>
        <v>28242.01602000001</v>
      </c>
      <c r="N128" s="6">
        <f>TablaMarimba6[[#This Row],[Saldo inicial(vales)]]+TablaMarimba6[[#This Row],[Columna1]]</f>
        <v>56484.03204000002</v>
      </c>
      <c r="O128" s="6" t="str">
        <f t="shared" si="13"/>
        <v/>
      </c>
      <c r="P128" s="6"/>
      <c r="S128" s="6"/>
      <c r="T128" s="6"/>
      <c r="U128" s="6"/>
      <c r="V128" s="6"/>
      <c r="W128" s="6"/>
    </row>
    <row r="129" spans="1:23">
      <c r="A129" s="3"/>
      <c r="B129" s="3" t="str">
        <f t="shared" si="11"/>
        <v/>
      </c>
      <c r="F129" s="2" t="e">
        <f>VLOOKUP(TablaMarimba6[[#This Row],[Equipo]],[1]Catalogos!$V$4:$W$55,2,FALSE)</f>
        <v>#N/A</v>
      </c>
      <c r="G129" s="4"/>
      <c r="H129" s="5"/>
      <c r="I129" s="4">
        <f t="shared" si="14"/>
        <v>-900</v>
      </c>
      <c r="J129" s="6">
        <v>28.3</v>
      </c>
      <c r="K129" s="6">
        <f t="shared" si="12"/>
        <v>0</v>
      </c>
      <c r="L129" s="6">
        <f>M128-TablaMarimba6[[#This Row],[Importe]]</f>
        <v>28242.01602000001</v>
      </c>
      <c r="M129" s="6">
        <f>TablaMarimba6[[#This Row],[Saldo inicial(vales)]]</f>
        <v>28242.01602000001</v>
      </c>
      <c r="N129" s="6">
        <f>TablaMarimba6[[#This Row],[Saldo inicial(vales)]]+TablaMarimba6[[#This Row],[Columna1]]</f>
        <v>56484.03204000002</v>
      </c>
      <c r="O129" s="6" t="str">
        <f t="shared" si="13"/>
        <v/>
      </c>
      <c r="P129" s="6"/>
      <c r="S129" s="6"/>
      <c r="T129" s="6"/>
      <c r="U129" s="6"/>
      <c r="V129" s="6"/>
      <c r="W129" s="6"/>
    </row>
    <row r="130" spans="1:23">
      <c r="A130" s="3"/>
      <c r="B130" s="3" t="str">
        <f t="shared" ref="B130:B193" si="15">IF(A130="","", "Semana "&amp;WEEKNUM(A130,2))</f>
        <v/>
      </c>
      <c r="F130" s="2" t="e">
        <f>VLOOKUP(TablaMarimba6[[#This Row],[Equipo]],[1]Catalogos!$V$4:$W$55,2,FALSE)</f>
        <v>#N/A</v>
      </c>
      <c r="G130" s="4"/>
      <c r="H130" s="5"/>
      <c r="I130" s="4">
        <f t="shared" si="14"/>
        <v>-900</v>
      </c>
      <c r="J130" s="6">
        <v>28.3</v>
      </c>
      <c r="K130" s="6">
        <f t="shared" si="12"/>
        <v>0</v>
      </c>
      <c r="L130" s="6">
        <f>M129-TablaMarimba6[[#This Row],[Importe]]</f>
        <v>28242.01602000001</v>
      </c>
      <c r="M130" s="6">
        <f>TablaMarimba6[[#This Row],[Saldo inicial(vales)]]</f>
        <v>28242.01602000001</v>
      </c>
      <c r="N130" s="6">
        <f>TablaMarimba6[[#This Row],[Saldo inicial(vales)]]+TablaMarimba6[[#This Row],[Columna1]]</f>
        <v>56484.03204000002</v>
      </c>
      <c r="O130" s="6" t="str">
        <f t="shared" si="13"/>
        <v/>
      </c>
      <c r="P130" s="6"/>
      <c r="S130" s="6"/>
      <c r="T130" s="6"/>
      <c r="U130" s="6"/>
      <c r="V130" s="6"/>
      <c r="W130" s="6"/>
    </row>
    <row r="131" spans="1:23">
      <c r="A131" s="3"/>
      <c r="B131" s="3" t="str">
        <f t="shared" si="15"/>
        <v/>
      </c>
      <c r="F131" s="2" t="e">
        <f>VLOOKUP(TablaMarimba6[[#This Row],[Equipo]],[1]Catalogos!$V$4:$W$55,2,FALSE)</f>
        <v>#N/A</v>
      </c>
      <c r="G131" s="4"/>
      <c r="H131" s="5"/>
      <c r="I131" s="4">
        <f t="shared" si="14"/>
        <v>-900</v>
      </c>
      <c r="J131" s="6">
        <v>28.3</v>
      </c>
      <c r="K131" s="6">
        <f t="shared" si="12"/>
        <v>0</v>
      </c>
      <c r="L131" s="6">
        <f>M130-TablaMarimba6[[#This Row],[Importe]]</f>
        <v>28242.01602000001</v>
      </c>
      <c r="M131" s="6">
        <f>TablaMarimba6[[#This Row],[Saldo inicial(vales)]]</f>
        <v>28242.01602000001</v>
      </c>
      <c r="N131" s="6">
        <f>TablaMarimba6[[#This Row],[Saldo inicial(vales)]]+TablaMarimba6[[#This Row],[Columna1]]</f>
        <v>56484.03204000002</v>
      </c>
      <c r="O131" s="6" t="str">
        <f t="shared" si="13"/>
        <v/>
      </c>
      <c r="P131" s="6"/>
      <c r="S131" s="6"/>
      <c r="T131" s="6"/>
      <c r="U131" s="6"/>
      <c r="V131" s="6"/>
      <c r="W131" s="6"/>
    </row>
    <row r="132" spans="1:23">
      <c r="A132" s="3"/>
      <c r="B132" s="3" t="str">
        <f t="shared" si="15"/>
        <v/>
      </c>
      <c r="F132" s="2" t="e">
        <f>VLOOKUP(TablaMarimba6[[#This Row],[Equipo]],[1]Catalogos!$V$4:$W$55,2,FALSE)</f>
        <v>#N/A</v>
      </c>
      <c r="G132" s="4"/>
      <c r="H132" s="5"/>
      <c r="I132" s="4">
        <f t="shared" si="14"/>
        <v>-900</v>
      </c>
      <c r="J132" s="6">
        <v>28.3</v>
      </c>
      <c r="K132" s="6">
        <f t="shared" si="12"/>
        <v>0</v>
      </c>
      <c r="L132" s="6">
        <f>M131-TablaMarimba6[[#This Row],[Importe]]</f>
        <v>28242.01602000001</v>
      </c>
      <c r="M132" s="6">
        <f>TablaMarimba6[[#This Row],[Saldo inicial(vales)]]</f>
        <v>28242.01602000001</v>
      </c>
      <c r="N132" s="6">
        <f>TablaMarimba6[[#This Row],[Saldo inicial(vales)]]+TablaMarimba6[[#This Row],[Columna1]]</f>
        <v>56484.03204000002</v>
      </c>
      <c r="O132" s="6" t="str">
        <f t="shared" si="13"/>
        <v/>
      </c>
      <c r="P132" s="6"/>
      <c r="S132" s="6"/>
      <c r="T132" s="6"/>
      <c r="U132" s="6"/>
      <c r="V132" s="6"/>
      <c r="W132" s="6"/>
    </row>
    <row r="133" spans="1:23">
      <c r="A133" s="3"/>
      <c r="B133" s="3" t="str">
        <f t="shared" si="15"/>
        <v/>
      </c>
      <c r="F133" s="2" t="e">
        <f>VLOOKUP(TablaMarimba6[[#This Row],[Equipo]],[1]Catalogos!$V$4:$W$55,2,FALSE)</f>
        <v>#N/A</v>
      </c>
      <c r="G133" s="4"/>
      <c r="H133" s="5"/>
      <c r="I133" s="4">
        <f t="shared" si="14"/>
        <v>-900</v>
      </c>
      <c r="J133" s="6">
        <v>28.3</v>
      </c>
      <c r="K133" s="6">
        <f t="shared" si="12"/>
        <v>0</v>
      </c>
      <c r="L133" s="6">
        <f>M132-TablaMarimba6[[#This Row],[Importe]]</f>
        <v>28242.01602000001</v>
      </c>
      <c r="M133" s="6">
        <f>TablaMarimba6[[#This Row],[Saldo inicial(vales)]]</f>
        <v>28242.01602000001</v>
      </c>
      <c r="N133" s="6">
        <f>TablaMarimba6[[#This Row],[Saldo inicial(vales)]]+TablaMarimba6[[#This Row],[Columna1]]</f>
        <v>56484.03204000002</v>
      </c>
      <c r="O133" s="6" t="str">
        <f t="shared" si="13"/>
        <v/>
      </c>
      <c r="P133" s="6"/>
      <c r="S133" s="6"/>
      <c r="T133" s="6"/>
      <c r="U133" s="6"/>
      <c r="V133" s="6"/>
      <c r="W133" s="6"/>
    </row>
    <row r="134" spans="1:23">
      <c r="A134" s="3"/>
      <c r="B134" s="3" t="str">
        <f t="shared" si="15"/>
        <v/>
      </c>
      <c r="F134" s="2" t="e">
        <f>VLOOKUP(TablaMarimba6[[#This Row],[Equipo]],[1]Catalogos!$V$4:$W$55,2,FALSE)</f>
        <v>#N/A</v>
      </c>
      <c r="G134" s="4"/>
      <c r="H134" s="5"/>
      <c r="I134" s="4">
        <f t="shared" si="14"/>
        <v>-900</v>
      </c>
      <c r="J134" s="6">
        <v>28.3</v>
      </c>
      <c r="K134" s="6">
        <f t="shared" si="12"/>
        <v>0</v>
      </c>
      <c r="L134" s="6">
        <f>M133-TablaMarimba6[[#This Row],[Importe]]</f>
        <v>28242.01602000001</v>
      </c>
      <c r="M134" s="6">
        <f>TablaMarimba6[[#This Row],[Saldo inicial(vales)]]</f>
        <v>28242.01602000001</v>
      </c>
      <c r="N134" s="6">
        <f>TablaMarimba6[[#This Row],[Saldo inicial(vales)]]+TablaMarimba6[[#This Row],[Columna1]]</f>
        <v>56484.03204000002</v>
      </c>
      <c r="O134" s="6" t="str">
        <f t="shared" si="13"/>
        <v/>
      </c>
      <c r="P134" s="6"/>
      <c r="S134" s="6"/>
      <c r="T134" s="6"/>
      <c r="U134" s="6"/>
      <c r="V134" s="6"/>
      <c r="W134" s="6"/>
    </row>
    <row r="135" spans="1:23">
      <c r="A135" s="3"/>
      <c r="B135" s="3" t="str">
        <f t="shared" si="15"/>
        <v/>
      </c>
      <c r="F135" s="2" t="e">
        <f>VLOOKUP(TablaMarimba6[[#This Row],[Equipo]],[1]Catalogos!$V$4:$W$55,2,FALSE)</f>
        <v>#N/A</v>
      </c>
      <c r="G135" s="4"/>
      <c r="H135" s="5"/>
      <c r="I135" s="4">
        <f t="shared" si="14"/>
        <v>-900</v>
      </c>
      <c r="J135" s="6">
        <v>28.3</v>
      </c>
      <c r="K135" s="6">
        <f t="shared" si="12"/>
        <v>0</v>
      </c>
      <c r="L135" s="6">
        <f>M134-TablaMarimba6[[#This Row],[Importe]]</f>
        <v>28242.01602000001</v>
      </c>
      <c r="M135" s="6">
        <f>TablaMarimba6[[#This Row],[Saldo inicial(vales)]]</f>
        <v>28242.01602000001</v>
      </c>
      <c r="N135" s="6">
        <f>TablaMarimba6[[#This Row],[Saldo inicial(vales)]]+TablaMarimba6[[#This Row],[Columna1]]</f>
        <v>56484.03204000002</v>
      </c>
      <c r="O135" s="6" t="str">
        <f t="shared" si="13"/>
        <v/>
      </c>
      <c r="P135" s="6"/>
      <c r="S135" s="6"/>
      <c r="T135" s="6"/>
      <c r="U135" s="6"/>
      <c r="V135" s="6"/>
      <c r="W135" s="6"/>
    </row>
    <row r="136" spans="1:23">
      <c r="A136" s="3"/>
      <c r="B136" s="3" t="str">
        <f t="shared" si="15"/>
        <v/>
      </c>
      <c r="F136" s="2" t="e">
        <f>VLOOKUP(TablaMarimba6[[#This Row],[Equipo]],[1]Catalogos!$V$4:$W$55,2,FALSE)</f>
        <v>#N/A</v>
      </c>
      <c r="G136" s="4"/>
      <c r="H136" s="5"/>
      <c r="I136" s="4">
        <f t="shared" si="14"/>
        <v>-900</v>
      </c>
      <c r="J136" s="6">
        <v>28.3</v>
      </c>
      <c r="K136" s="6">
        <f t="shared" si="12"/>
        <v>0</v>
      </c>
      <c r="L136" s="6">
        <f>M135-TablaMarimba6[[#This Row],[Importe]]</f>
        <v>28242.01602000001</v>
      </c>
      <c r="M136" s="6">
        <f>TablaMarimba6[[#This Row],[Saldo inicial(vales)]]</f>
        <v>28242.01602000001</v>
      </c>
      <c r="N136" s="6">
        <f>TablaMarimba6[[#This Row],[Saldo inicial(vales)]]+TablaMarimba6[[#This Row],[Columna1]]</f>
        <v>56484.03204000002</v>
      </c>
      <c r="O136" s="6" t="str">
        <f t="shared" si="13"/>
        <v/>
      </c>
      <c r="P136" s="6"/>
      <c r="S136" s="6"/>
      <c r="T136" s="6"/>
      <c r="U136" s="6"/>
      <c r="V136" s="6"/>
      <c r="W136" s="6"/>
    </row>
    <row r="137" spans="1:23">
      <c r="A137" s="3"/>
      <c r="B137" s="3" t="str">
        <f t="shared" si="15"/>
        <v/>
      </c>
      <c r="F137" s="2" t="e">
        <f>VLOOKUP(TablaMarimba6[[#This Row],[Equipo]],[1]Catalogos!$V$4:$W$55,2,FALSE)</f>
        <v>#N/A</v>
      </c>
      <c r="G137" s="4"/>
      <c r="H137" s="5"/>
      <c r="I137" s="4">
        <f t="shared" si="14"/>
        <v>-900</v>
      </c>
      <c r="J137" s="6">
        <v>28.3</v>
      </c>
      <c r="K137" s="6">
        <f t="shared" si="12"/>
        <v>0</v>
      </c>
      <c r="L137" s="6">
        <f>M136-TablaMarimba6[[#This Row],[Importe]]</f>
        <v>28242.01602000001</v>
      </c>
      <c r="M137" s="6">
        <f>TablaMarimba6[[#This Row],[Saldo inicial(vales)]]</f>
        <v>28242.01602000001</v>
      </c>
      <c r="N137" s="6">
        <f>TablaMarimba6[[#This Row],[Saldo inicial(vales)]]+TablaMarimba6[[#This Row],[Columna1]]</f>
        <v>56484.03204000002</v>
      </c>
      <c r="O137" s="6" t="str">
        <f t="shared" si="13"/>
        <v/>
      </c>
      <c r="P137" s="6"/>
      <c r="S137" s="6"/>
      <c r="T137" s="6"/>
      <c r="U137" s="6"/>
      <c r="V137" s="6"/>
      <c r="W137" s="6"/>
    </row>
    <row r="138" spans="1:23">
      <c r="A138" s="3"/>
      <c r="B138" s="3" t="str">
        <f t="shared" si="15"/>
        <v/>
      </c>
      <c r="F138" s="2" t="e">
        <f>VLOOKUP(TablaMarimba6[[#This Row],[Equipo]],[1]Catalogos!$V$4:$W$55,2,FALSE)</f>
        <v>#N/A</v>
      </c>
      <c r="G138" s="4"/>
      <c r="H138" s="5"/>
      <c r="I138" s="4">
        <f t="shared" si="14"/>
        <v>-900</v>
      </c>
      <c r="J138" s="6">
        <v>28.3</v>
      </c>
      <c r="K138" s="6">
        <f t="shared" si="12"/>
        <v>0</v>
      </c>
      <c r="L138" s="6">
        <f>M137-TablaMarimba6[[#This Row],[Importe]]</f>
        <v>28242.01602000001</v>
      </c>
      <c r="M138" s="6">
        <f>TablaMarimba6[[#This Row],[Saldo inicial(vales)]]</f>
        <v>28242.01602000001</v>
      </c>
      <c r="N138" s="6">
        <f>TablaMarimba6[[#This Row],[Saldo inicial(vales)]]+TablaMarimba6[[#This Row],[Columna1]]</f>
        <v>56484.03204000002</v>
      </c>
      <c r="O138" s="6" t="str">
        <f t="shared" si="13"/>
        <v/>
      </c>
      <c r="P138" s="6"/>
      <c r="S138" s="6"/>
      <c r="T138" s="6"/>
      <c r="U138" s="6"/>
      <c r="V138" s="6"/>
      <c r="W138" s="6"/>
    </row>
    <row r="139" spans="1:23">
      <c r="A139" s="3"/>
      <c r="B139" s="3" t="str">
        <f t="shared" si="15"/>
        <v/>
      </c>
      <c r="F139" s="2" t="e">
        <f>VLOOKUP(TablaMarimba6[[#This Row],[Equipo]],[1]Catalogos!$V$4:$W$55,2,FALSE)</f>
        <v>#N/A</v>
      </c>
      <c r="G139" s="4"/>
      <c r="H139" s="5"/>
      <c r="I139" s="4">
        <f t="shared" si="14"/>
        <v>-900</v>
      </c>
      <c r="J139" s="6">
        <v>28.3</v>
      </c>
      <c r="K139" s="6">
        <f t="shared" ref="K139:K202" si="16">IFERROR((G139+H139)*J139,0)</f>
        <v>0</v>
      </c>
      <c r="L139" s="6">
        <f>M138-TablaMarimba6[[#This Row],[Importe]]</f>
        <v>28242.01602000001</v>
      </c>
      <c r="M139" s="6">
        <f>TablaMarimba6[[#This Row],[Saldo inicial(vales)]]</f>
        <v>28242.01602000001</v>
      </c>
      <c r="N139" s="6">
        <f>TablaMarimba6[[#This Row],[Saldo inicial(vales)]]+TablaMarimba6[[#This Row],[Columna1]]</f>
        <v>56484.03204000002</v>
      </c>
      <c r="O139" s="6" t="str">
        <f t="shared" si="13"/>
        <v/>
      </c>
      <c r="P139" s="6"/>
      <c r="S139" s="6"/>
      <c r="T139" s="6"/>
      <c r="U139" s="6"/>
      <c r="V139" s="6"/>
      <c r="W139" s="6"/>
    </row>
    <row r="140" spans="1:23">
      <c r="A140" s="3"/>
      <c r="B140" s="3" t="str">
        <f t="shared" si="15"/>
        <v/>
      </c>
      <c r="F140" s="2" t="e">
        <f>VLOOKUP(TablaMarimba6[[#This Row],[Equipo]],[1]Catalogos!$V$4:$W$55,2,FALSE)</f>
        <v>#N/A</v>
      </c>
      <c r="G140" s="4"/>
      <c r="H140" s="5"/>
      <c r="I140" s="4">
        <f t="shared" si="14"/>
        <v>-900</v>
      </c>
      <c r="J140" s="6">
        <v>28.3</v>
      </c>
      <c r="K140" s="6">
        <f t="shared" si="16"/>
        <v>0</v>
      </c>
      <c r="L140" s="6">
        <f>M139-TablaMarimba6[[#This Row],[Importe]]</f>
        <v>28242.01602000001</v>
      </c>
      <c r="M140" s="6">
        <f>TablaMarimba6[[#This Row],[Saldo inicial(vales)]]</f>
        <v>28242.01602000001</v>
      </c>
      <c r="N140" s="6">
        <f>TablaMarimba6[[#This Row],[Saldo inicial(vales)]]+TablaMarimba6[[#This Row],[Columna1]]</f>
        <v>56484.03204000002</v>
      </c>
      <c r="O140" s="6" t="str">
        <f t="shared" si="13"/>
        <v/>
      </c>
      <c r="P140" s="6"/>
      <c r="S140" s="6"/>
      <c r="T140" s="6"/>
      <c r="U140" s="6"/>
      <c r="V140" s="6"/>
      <c r="W140" s="6"/>
    </row>
    <row r="141" spans="1:23">
      <c r="A141" s="3"/>
      <c r="B141" s="3" t="str">
        <f t="shared" si="15"/>
        <v/>
      </c>
      <c r="F141" s="2" t="e">
        <f>VLOOKUP(TablaMarimba6[[#This Row],[Equipo]],[1]Catalogos!$V$4:$W$55,2,FALSE)</f>
        <v>#N/A</v>
      </c>
      <c r="G141" s="4"/>
      <c r="H141" s="5"/>
      <c r="I141" s="4">
        <f t="shared" si="14"/>
        <v>-900</v>
      </c>
      <c r="J141" s="6">
        <v>28.3</v>
      </c>
      <c r="K141" s="6">
        <f t="shared" si="16"/>
        <v>0</v>
      </c>
      <c r="L141" s="6">
        <f>M140-TablaMarimba6[[#This Row],[Importe]]</f>
        <v>28242.01602000001</v>
      </c>
      <c r="M141" s="6">
        <f>TablaMarimba6[[#This Row],[Saldo inicial(vales)]]</f>
        <v>28242.01602000001</v>
      </c>
      <c r="N141" s="6">
        <f>TablaMarimba6[[#This Row],[Saldo inicial(vales)]]+TablaMarimba6[[#This Row],[Columna1]]</f>
        <v>56484.03204000002</v>
      </c>
      <c r="O141" s="6" t="str">
        <f t="shared" si="13"/>
        <v/>
      </c>
      <c r="P141" s="6"/>
      <c r="S141" s="6"/>
      <c r="T141" s="6"/>
      <c r="U141" s="6"/>
      <c r="V141" s="6"/>
      <c r="W141" s="6"/>
    </row>
    <row r="142" spans="1:23">
      <c r="A142" s="3"/>
      <c r="B142" s="3" t="str">
        <f t="shared" si="15"/>
        <v/>
      </c>
      <c r="F142" s="2" t="e">
        <f>VLOOKUP(TablaMarimba6[[#This Row],[Equipo]],[1]Catalogos!$V$4:$W$55,2,FALSE)</f>
        <v>#N/A</v>
      </c>
      <c r="G142" s="4"/>
      <c r="H142" s="5"/>
      <c r="I142" s="4">
        <f t="shared" si="14"/>
        <v>-900</v>
      </c>
      <c r="J142" s="6">
        <v>28.3</v>
      </c>
      <c r="K142" s="6">
        <f t="shared" si="16"/>
        <v>0</v>
      </c>
      <c r="L142" s="6">
        <f>M141-TablaMarimba6[[#This Row],[Importe]]</f>
        <v>28242.01602000001</v>
      </c>
      <c r="M142" s="6">
        <f>TablaMarimba6[[#This Row],[Saldo inicial(vales)]]</f>
        <v>28242.01602000001</v>
      </c>
      <c r="N142" s="6">
        <f>TablaMarimba6[[#This Row],[Saldo inicial(vales)]]+TablaMarimba6[[#This Row],[Columna1]]</f>
        <v>56484.03204000002</v>
      </c>
      <c r="O142" s="6" t="str">
        <f t="shared" si="13"/>
        <v/>
      </c>
      <c r="P142" s="6"/>
      <c r="S142" s="6"/>
      <c r="T142" s="6"/>
      <c r="U142" s="6"/>
      <c r="V142" s="6"/>
      <c r="W142" s="6"/>
    </row>
    <row r="143" spans="1:23">
      <c r="A143" s="3"/>
      <c r="B143" s="3" t="str">
        <f t="shared" si="15"/>
        <v/>
      </c>
      <c r="F143" s="2" t="e">
        <f>VLOOKUP(TablaMarimba6[[#This Row],[Equipo]],[1]Catalogos!$V$4:$W$55,2,FALSE)</f>
        <v>#N/A</v>
      </c>
      <c r="G143" s="4"/>
      <c r="H143" s="5"/>
      <c r="I143" s="4">
        <f t="shared" si="14"/>
        <v>-900</v>
      </c>
      <c r="J143" s="6">
        <v>28.3</v>
      </c>
      <c r="K143" s="6">
        <f t="shared" si="16"/>
        <v>0</v>
      </c>
      <c r="L143" s="6">
        <f>M142-TablaMarimba6[[#This Row],[Importe]]</f>
        <v>28242.01602000001</v>
      </c>
      <c r="M143" s="6">
        <f>TablaMarimba6[[#This Row],[Saldo inicial(vales)]]</f>
        <v>28242.01602000001</v>
      </c>
      <c r="N143" s="6">
        <f>TablaMarimba6[[#This Row],[Saldo inicial(vales)]]+TablaMarimba6[[#This Row],[Columna1]]</f>
        <v>56484.03204000002</v>
      </c>
      <c r="O143" s="6" t="str">
        <f t="shared" si="13"/>
        <v/>
      </c>
      <c r="P143" s="6"/>
      <c r="S143" s="6"/>
      <c r="T143" s="6"/>
      <c r="U143" s="6"/>
      <c r="V143" s="6"/>
      <c r="W143" s="6"/>
    </row>
    <row r="144" spans="1:23">
      <c r="A144" s="3"/>
      <c r="B144" s="3" t="str">
        <f t="shared" si="15"/>
        <v/>
      </c>
      <c r="F144" s="2" t="e">
        <f>VLOOKUP(TablaMarimba6[[#This Row],[Equipo]],[1]Catalogos!$V$4:$W$55,2,FALSE)</f>
        <v>#N/A</v>
      </c>
      <c r="G144" s="4"/>
      <c r="H144" s="5"/>
      <c r="I144" s="4">
        <f t="shared" si="14"/>
        <v>-900</v>
      </c>
      <c r="J144" s="6">
        <v>28.3</v>
      </c>
      <c r="K144" s="6">
        <f t="shared" si="16"/>
        <v>0</v>
      </c>
      <c r="L144" s="6">
        <f>M143-TablaMarimba6[[#This Row],[Importe]]</f>
        <v>28242.01602000001</v>
      </c>
      <c r="M144" s="6">
        <f>TablaMarimba6[[#This Row],[Saldo inicial(vales)]]</f>
        <v>28242.01602000001</v>
      </c>
      <c r="N144" s="6">
        <f>TablaMarimba6[[#This Row],[Saldo inicial(vales)]]+TablaMarimba6[[#This Row],[Columna1]]</f>
        <v>56484.03204000002</v>
      </c>
      <c r="O144" s="6" t="str">
        <f t="shared" si="13"/>
        <v/>
      </c>
      <c r="P144" s="6"/>
      <c r="S144" s="6"/>
      <c r="T144" s="6"/>
      <c r="U144" s="6"/>
      <c r="V144" s="6"/>
      <c r="W144" s="6"/>
    </row>
    <row r="145" spans="1:23">
      <c r="A145" s="3"/>
      <c r="B145" s="3" t="str">
        <f t="shared" si="15"/>
        <v/>
      </c>
      <c r="F145" s="2" t="e">
        <f>VLOOKUP(TablaMarimba6[[#This Row],[Equipo]],[1]Catalogos!$V$4:$W$55,2,FALSE)</f>
        <v>#N/A</v>
      </c>
      <c r="G145" s="4"/>
      <c r="H145" s="5"/>
      <c r="I145" s="4">
        <f t="shared" si="14"/>
        <v>-900</v>
      </c>
      <c r="J145" s="6">
        <v>28.3</v>
      </c>
      <c r="K145" s="6">
        <f t="shared" si="16"/>
        <v>0</v>
      </c>
      <c r="L145" s="6">
        <f>M144-TablaMarimba6[[#This Row],[Importe]]</f>
        <v>28242.01602000001</v>
      </c>
      <c r="M145" s="6">
        <f>TablaMarimba6[[#This Row],[Saldo inicial(vales)]]</f>
        <v>28242.01602000001</v>
      </c>
      <c r="N145" s="6">
        <f>TablaMarimba6[[#This Row],[Saldo inicial(vales)]]+TablaMarimba6[[#This Row],[Columna1]]</f>
        <v>56484.03204000002</v>
      </c>
      <c r="O145" s="6" t="str">
        <f t="shared" si="13"/>
        <v/>
      </c>
      <c r="P145" s="6"/>
      <c r="S145" s="6"/>
      <c r="T145" s="6"/>
      <c r="U145" s="6"/>
      <c r="V145" s="6"/>
      <c r="W145" s="6"/>
    </row>
    <row r="146" spans="1:23">
      <c r="A146" s="3"/>
      <c r="B146" s="3" t="str">
        <f t="shared" si="15"/>
        <v/>
      </c>
      <c r="F146" s="2" t="e">
        <f>VLOOKUP(TablaMarimba6[[#This Row],[Equipo]],[1]Catalogos!$V$4:$W$55,2,FALSE)</f>
        <v>#N/A</v>
      </c>
      <c r="G146" s="4"/>
      <c r="H146" s="5"/>
      <c r="I146" s="4">
        <f t="shared" si="14"/>
        <v>-900</v>
      </c>
      <c r="J146" s="6">
        <v>28.3</v>
      </c>
      <c r="K146" s="6">
        <f t="shared" si="16"/>
        <v>0</v>
      </c>
      <c r="L146" s="6">
        <f>M145-TablaMarimba6[[#This Row],[Importe]]</f>
        <v>28242.01602000001</v>
      </c>
      <c r="M146" s="6">
        <f>TablaMarimba6[[#This Row],[Saldo inicial(vales)]]</f>
        <v>28242.01602000001</v>
      </c>
      <c r="N146" s="6">
        <f>TablaMarimba6[[#This Row],[Saldo inicial(vales)]]+TablaMarimba6[[#This Row],[Columna1]]</f>
        <v>56484.03204000002</v>
      </c>
      <c r="O146" s="6" t="str">
        <f t="shared" si="13"/>
        <v/>
      </c>
      <c r="P146" s="6"/>
      <c r="S146" s="6"/>
      <c r="T146" s="6"/>
      <c r="U146" s="6"/>
      <c r="V146" s="6"/>
      <c r="W146" s="6"/>
    </row>
    <row r="147" spans="1:23">
      <c r="A147" s="3"/>
      <c r="B147" s="3" t="str">
        <f t="shared" si="15"/>
        <v/>
      </c>
      <c r="F147" s="2" t="e">
        <f>VLOOKUP(TablaMarimba6[[#This Row],[Equipo]],[1]Catalogos!$V$4:$W$55,2,FALSE)</f>
        <v>#N/A</v>
      </c>
      <c r="G147" s="4"/>
      <c r="H147" s="5"/>
      <c r="I147" s="4">
        <f t="shared" si="14"/>
        <v>-900</v>
      </c>
      <c r="J147" s="6">
        <v>28.3</v>
      </c>
      <c r="K147" s="6">
        <f t="shared" si="16"/>
        <v>0</v>
      </c>
      <c r="L147" s="6">
        <f>M146-TablaMarimba6[[#This Row],[Importe]]</f>
        <v>28242.01602000001</v>
      </c>
      <c r="M147" s="6">
        <f>TablaMarimba6[[#This Row],[Saldo inicial(vales)]]</f>
        <v>28242.01602000001</v>
      </c>
      <c r="N147" s="6">
        <f>TablaMarimba6[[#This Row],[Saldo inicial(vales)]]+TablaMarimba6[[#This Row],[Columna1]]</f>
        <v>56484.03204000002</v>
      </c>
      <c r="O147" s="6" t="str">
        <f t="shared" si="13"/>
        <v/>
      </c>
      <c r="P147" s="6"/>
      <c r="S147" s="6"/>
      <c r="T147" s="6"/>
      <c r="U147" s="6"/>
      <c r="V147" s="6"/>
      <c r="W147" s="6"/>
    </row>
    <row r="148" spans="1:23">
      <c r="A148" s="3"/>
      <c r="B148" s="3" t="str">
        <f t="shared" si="15"/>
        <v/>
      </c>
      <c r="F148" s="2" t="e">
        <f>VLOOKUP(TablaMarimba6[[#This Row],[Equipo]],[1]Catalogos!$V$4:$W$55,2,FALSE)</f>
        <v>#N/A</v>
      </c>
      <c r="G148" s="4"/>
      <c r="H148" s="5"/>
      <c r="I148" s="4">
        <f t="shared" si="14"/>
        <v>-900</v>
      </c>
      <c r="J148" s="6">
        <v>28.3</v>
      </c>
      <c r="K148" s="6">
        <f t="shared" si="16"/>
        <v>0</v>
      </c>
      <c r="L148" s="6">
        <f>M147-TablaMarimba6[[#This Row],[Importe]]</f>
        <v>28242.01602000001</v>
      </c>
      <c r="M148" s="6">
        <f>TablaMarimba6[[#This Row],[Saldo inicial(vales)]]</f>
        <v>28242.01602000001</v>
      </c>
      <c r="N148" s="6">
        <f>TablaMarimba6[[#This Row],[Saldo inicial(vales)]]+TablaMarimba6[[#This Row],[Columna1]]</f>
        <v>56484.03204000002</v>
      </c>
      <c r="O148" s="6" t="str">
        <f t="shared" si="13"/>
        <v/>
      </c>
      <c r="P148" s="6"/>
      <c r="S148" s="6"/>
      <c r="T148" s="6"/>
      <c r="U148" s="6"/>
      <c r="V148" s="6"/>
      <c r="W148" s="6"/>
    </row>
    <row r="149" spans="1:23">
      <c r="A149" s="3"/>
      <c r="B149" s="3" t="str">
        <f t="shared" si="15"/>
        <v/>
      </c>
      <c r="F149" s="2" t="e">
        <f>VLOOKUP(TablaMarimba6[[#This Row],[Equipo]],[1]Catalogos!$V$4:$W$55,2,FALSE)</f>
        <v>#N/A</v>
      </c>
      <c r="G149" s="4"/>
      <c r="H149" s="5"/>
      <c r="I149" s="4">
        <f t="shared" si="14"/>
        <v>-900</v>
      </c>
      <c r="J149" s="6">
        <v>28.3</v>
      </c>
      <c r="K149" s="6">
        <f t="shared" si="16"/>
        <v>0</v>
      </c>
      <c r="L149" s="6">
        <f>M148-TablaMarimba6[[#This Row],[Importe]]</f>
        <v>28242.01602000001</v>
      </c>
      <c r="M149" s="6">
        <f>TablaMarimba6[[#This Row],[Saldo inicial(vales)]]</f>
        <v>28242.01602000001</v>
      </c>
      <c r="N149" s="6">
        <f>TablaMarimba6[[#This Row],[Saldo inicial(vales)]]+TablaMarimba6[[#This Row],[Columna1]]</f>
        <v>56484.03204000002</v>
      </c>
      <c r="O149" s="6" t="str">
        <f t="shared" si="13"/>
        <v/>
      </c>
      <c r="P149" s="6"/>
      <c r="S149" s="6"/>
      <c r="T149" s="6"/>
      <c r="U149" s="6"/>
      <c r="V149" s="6"/>
      <c r="W149" s="6"/>
    </row>
    <row r="150" spans="1:23">
      <c r="A150" s="3"/>
      <c r="B150" s="3" t="str">
        <f t="shared" si="15"/>
        <v/>
      </c>
      <c r="F150" s="2" t="e">
        <f>VLOOKUP(TablaMarimba6[[#This Row],[Equipo]],[1]Catalogos!$V$4:$W$55,2,FALSE)</f>
        <v>#N/A</v>
      </c>
      <c r="G150" s="4"/>
      <c r="H150" s="5"/>
      <c r="I150" s="4">
        <f t="shared" si="14"/>
        <v>-900</v>
      </c>
      <c r="J150" s="6">
        <v>28.3</v>
      </c>
      <c r="K150" s="6">
        <f t="shared" si="16"/>
        <v>0</v>
      </c>
      <c r="L150" s="6">
        <f>M149-TablaMarimba6[[#This Row],[Importe]]</f>
        <v>28242.01602000001</v>
      </c>
      <c r="M150" s="6">
        <f>TablaMarimba6[[#This Row],[Saldo inicial(vales)]]</f>
        <v>28242.01602000001</v>
      </c>
      <c r="N150" s="6">
        <f>TablaMarimba6[[#This Row],[Saldo inicial(vales)]]+TablaMarimba6[[#This Row],[Columna1]]</f>
        <v>56484.03204000002</v>
      </c>
      <c r="O150" s="6" t="str">
        <f t="shared" si="13"/>
        <v/>
      </c>
      <c r="P150" s="6"/>
      <c r="S150" s="6"/>
      <c r="T150" s="6"/>
      <c r="U150" s="6"/>
      <c r="V150" s="6"/>
      <c r="W150" s="6"/>
    </row>
    <row r="151" spans="1:23">
      <c r="A151" s="3"/>
      <c r="B151" s="3" t="str">
        <f t="shared" si="15"/>
        <v/>
      </c>
      <c r="F151" s="2" t="e">
        <f>VLOOKUP(TablaMarimba6[[#This Row],[Equipo]],[1]Catalogos!$V$4:$W$55,2,FALSE)</f>
        <v>#N/A</v>
      </c>
      <c r="G151" s="4"/>
      <c r="H151" s="5"/>
      <c r="I151" s="4">
        <f t="shared" si="14"/>
        <v>-900</v>
      </c>
      <c r="J151" s="6">
        <v>28.3</v>
      </c>
      <c r="K151" s="6">
        <f t="shared" si="16"/>
        <v>0</v>
      </c>
      <c r="L151" s="6">
        <f>M150-TablaMarimba6[[#This Row],[Importe]]</f>
        <v>28242.01602000001</v>
      </c>
      <c r="M151" s="6">
        <f>TablaMarimba6[[#This Row],[Saldo inicial(vales)]]</f>
        <v>28242.01602000001</v>
      </c>
      <c r="N151" s="6">
        <f>TablaMarimba6[[#This Row],[Saldo inicial(vales)]]+TablaMarimba6[[#This Row],[Columna1]]</f>
        <v>56484.03204000002</v>
      </c>
      <c r="O151" s="6" t="str">
        <f t="shared" si="13"/>
        <v/>
      </c>
      <c r="P151" s="6"/>
      <c r="S151" s="6"/>
      <c r="T151" s="6"/>
      <c r="U151" s="6"/>
      <c r="V151" s="6"/>
      <c r="W151" s="6"/>
    </row>
    <row r="152" spans="1:23">
      <c r="A152" s="3"/>
      <c r="B152" s="3" t="str">
        <f t="shared" si="15"/>
        <v/>
      </c>
      <c r="F152" s="2" t="e">
        <f>VLOOKUP(TablaMarimba6[[#This Row],[Equipo]],[1]Catalogos!$V$4:$W$55,2,FALSE)</f>
        <v>#N/A</v>
      </c>
      <c r="G152" s="4"/>
      <c r="H152" s="5"/>
      <c r="I152" s="4">
        <f t="shared" si="14"/>
        <v>-900</v>
      </c>
      <c r="J152" s="6">
        <v>28.3</v>
      </c>
      <c r="K152" s="6">
        <f t="shared" si="16"/>
        <v>0</v>
      </c>
      <c r="L152" s="6">
        <f>M151-TablaMarimba6[[#This Row],[Importe]]</f>
        <v>28242.01602000001</v>
      </c>
      <c r="M152" s="6">
        <f>TablaMarimba6[[#This Row],[Saldo inicial(vales)]]</f>
        <v>28242.01602000001</v>
      </c>
      <c r="N152" s="6">
        <f>TablaMarimba6[[#This Row],[Saldo inicial(vales)]]+TablaMarimba6[[#This Row],[Columna1]]</f>
        <v>56484.03204000002</v>
      </c>
      <c r="O152" s="6" t="str">
        <f t="shared" si="13"/>
        <v/>
      </c>
      <c r="P152" s="6"/>
      <c r="S152" s="6"/>
      <c r="T152" s="6"/>
      <c r="U152" s="6"/>
      <c r="V152" s="6"/>
      <c r="W152" s="6"/>
    </row>
    <row r="153" spans="1:23">
      <c r="A153" s="3"/>
      <c r="B153" s="3" t="str">
        <f t="shared" si="15"/>
        <v/>
      </c>
      <c r="F153" s="2" t="e">
        <f>VLOOKUP(TablaMarimba6[[#This Row],[Equipo]],[1]Catalogos!$V$4:$W$55,2,FALSE)</f>
        <v>#N/A</v>
      </c>
      <c r="G153" s="4"/>
      <c r="H153" s="5"/>
      <c r="I153" s="4">
        <f t="shared" si="14"/>
        <v>-900</v>
      </c>
      <c r="J153" s="6">
        <v>28.3</v>
      </c>
      <c r="K153" s="6">
        <f t="shared" si="16"/>
        <v>0</v>
      </c>
      <c r="L153" s="6">
        <f>M152-TablaMarimba6[[#This Row],[Importe]]</f>
        <v>28242.01602000001</v>
      </c>
      <c r="M153" s="6">
        <f>TablaMarimba6[[#This Row],[Saldo inicial(vales)]]</f>
        <v>28242.01602000001</v>
      </c>
      <c r="N153" s="6">
        <f>TablaMarimba6[[#This Row],[Saldo inicial(vales)]]+TablaMarimba6[[#This Row],[Columna1]]</f>
        <v>56484.03204000002</v>
      </c>
      <c r="O153" s="6" t="str">
        <f t="shared" si="13"/>
        <v/>
      </c>
      <c r="P153" s="6"/>
      <c r="S153" s="6"/>
      <c r="T153" s="6"/>
      <c r="U153" s="6"/>
      <c r="V153" s="6"/>
      <c r="W153" s="6"/>
    </row>
    <row r="154" spans="1:23">
      <c r="A154" s="3"/>
      <c r="B154" s="3" t="str">
        <f t="shared" si="15"/>
        <v/>
      </c>
      <c r="F154" s="2" t="e">
        <f>VLOOKUP(TablaMarimba6[[#This Row],[Equipo]],[1]Catalogos!$V$4:$W$55,2,FALSE)</f>
        <v>#N/A</v>
      </c>
      <c r="G154" s="4"/>
      <c r="H154" s="5"/>
      <c r="I154" s="4">
        <f t="shared" si="14"/>
        <v>-900</v>
      </c>
      <c r="J154" s="6">
        <v>28.3</v>
      </c>
      <c r="K154" s="6">
        <f t="shared" si="16"/>
        <v>0</v>
      </c>
      <c r="L154" s="6">
        <f>M153-TablaMarimba6[[#This Row],[Importe]]</f>
        <v>28242.01602000001</v>
      </c>
      <c r="M154" s="6">
        <f>TablaMarimba6[[#This Row],[Saldo inicial(vales)]]</f>
        <v>28242.01602000001</v>
      </c>
      <c r="N154" s="6">
        <f>TablaMarimba6[[#This Row],[Saldo inicial(vales)]]+TablaMarimba6[[#This Row],[Columna1]]</f>
        <v>56484.03204000002</v>
      </c>
      <c r="O154" s="6" t="str">
        <f t="shared" si="13"/>
        <v/>
      </c>
      <c r="P154" s="6"/>
      <c r="S154" s="6"/>
      <c r="T154" s="6"/>
      <c r="U154" s="6"/>
      <c r="V154" s="6"/>
      <c r="W154" s="6"/>
    </row>
    <row r="155" spans="1:23">
      <c r="A155" s="3"/>
      <c r="B155" s="3" t="str">
        <f t="shared" si="15"/>
        <v/>
      </c>
      <c r="F155" s="2" t="e">
        <f>VLOOKUP(TablaMarimba6[[#This Row],[Equipo]],[1]Catalogos!$V$4:$W$55,2,FALSE)</f>
        <v>#N/A</v>
      </c>
      <c r="G155" s="4"/>
      <c r="H155" s="5"/>
      <c r="I155" s="4">
        <f t="shared" si="14"/>
        <v>-900</v>
      </c>
      <c r="J155" s="6">
        <v>28.3</v>
      </c>
      <c r="K155" s="6">
        <f t="shared" si="16"/>
        <v>0</v>
      </c>
      <c r="L155" s="6">
        <f>M154-TablaMarimba6[[#This Row],[Importe]]</f>
        <v>28242.01602000001</v>
      </c>
      <c r="M155" s="6">
        <f>TablaMarimba6[[#This Row],[Saldo inicial(vales)]]</f>
        <v>28242.01602000001</v>
      </c>
      <c r="N155" s="6">
        <f>TablaMarimba6[[#This Row],[Saldo inicial(vales)]]+TablaMarimba6[[#This Row],[Columna1]]</f>
        <v>56484.03204000002</v>
      </c>
      <c r="O155" s="6" t="str">
        <f t="shared" si="13"/>
        <v/>
      </c>
      <c r="P155" s="6"/>
      <c r="S155" s="6"/>
      <c r="T155" s="6"/>
      <c r="U155" s="6"/>
      <c r="V155" s="6"/>
      <c r="W155" s="6"/>
    </row>
    <row r="156" spans="1:23">
      <c r="A156" s="3"/>
      <c r="B156" s="3" t="str">
        <f t="shared" si="15"/>
        <v/>
      </c>
      <c r="F156" s="2" t="e">
        <f>VLOOKUP(TablaMarimba6[[#This Row],[Equipo]],[1]Catalogos!$V$4:$W$55,2,FALSE)</f>
        <v>#N/A</v>
      </c>
      <c r="G156" s="4"/>
      <c r="H156" s="5"/>
      <c r="I156" s="4">
        <f t="shared" si="14"/>
        <v>-900</v>
      </c>
      <c r="J156" s="6">
        <v>28.3</v>
      </c>
      <c r="K156" s="6">
        <f t="shared" si="16"/>
        <v>0</v>
      </c>
      <c r="L156" s="6">
        <f>M155-TablaMarimba6[[#This Row],[Importe]]</f>
        <v>28242.01602000001</v>
      </c>
      <c r="M156" s="6">
        <f>TablaMarimba6[[#This Row],[Saldo inicial(vales)]]</f>
        <v>28242.01602000001</v>
      </c>
      <c r="N156" s="6">
        <f>TablaMarimba6[[#This Row],[Saldo inicial(vales)]]+TablaMarimba6[[#This Row],[Columna1]]</f>
        <v>56484.03204000002</v>
      </c>
      <c r="O156" s="6" t="str">
        <f t="shared" si="13"/>
        <v/>
      </c>
      <c r="P156" s="6"/>
      <c r="S156" s="6"/>
      <c r="T156" s="6"/>
      <c r="U156" s="6"/>
      <c r="V156" s="6"/>
      <c r="W156" s="6"/>
    </row>
    <row r="157" spans="1:23">
      <c r="A157" s="3"/>
      <c r="B157" s="3" t="str">
        <f t="shared" si="15"/>
        <v/>
      </c>
      <c r="F157" s="2" t="e">
        <f>VLOOKUP(TablaMarimba6[[#This Row],[Equipo]],[1]Catalogos!$V$4:$W$55,2,FALSE)</f>
        <v>#N/A</v>
      </c>
      <c r="G157" s="4"/>
      <c r="H157" s="5"/>
      <c r="I157" s="4">
        <f t="shared" si="14"/>
        <v>-900</v>
      </c>
      <c r="J157" s="6">
        <v>28.3</v>
      </c>
      <c r="K157" s="6">
        <f t="shared" si="16"/>
        <v>0</v>
      </c>
      <c r="L157" s="6">
        <f>M156-TablaMarimba6[[#This Row],[Importe]]</f>
        <v>28242.01602000001</v>
      </c>
      <c r="M157" s="6">
        <f>TablaMarimba6[[#This Row],[Saldo inicial(vales)]]</f>
        <v>28242.01602000001</v>
      </c>
      <c r="N157" s="6">
        <f>TablaMarimba6[[#This Row],[Saldo inicial(vales)]]+TablaMarimba6[[#This Row],[Columna1]]</f>
        <v>56484.03204000002</v>
      </c>
      <c r="O157" s="6" t="str">
        <f t="shared" si="13"/>
        <v/>
      </c>
      <c r="P157" s="6"/>
      <c r="S157" s="6"/>
      <c r="T157" s="6"/>
      <c r="U157" s="6"/>
      <c r="V157" s="6"/>
      <c r="W157" s="6"/>
    </row>
    <row r="158" spans="1:23">
      <c r="A158" s="3"/>
      <c r="B158" s="3" t="str">
        <f t="shared" si="15"/>
        <v/>
      </c>
      <c r="F158" s="2" t="e">
        <f>VLOOKUP(TablaMarimba6[[#This Row],[Equipo]],[1]Catalogos!$V$4:$W$55,2,FALSE)</f>
        <v>#N/A</v>
      </c>
      <c r="G158" s="4"/>
      <c r="H158" s="5"/>
      <c r="I158" s="4">
        <f t="shared" si="14"/>
        <v>-900</v>
      </c>
      <c r="J158" s="6">
        <v>28.3</v>
      </c>
      <c r="K158" s="6">
        <f t="shared" si="16"/>
        <v>0</v>
      </c>
      <c r="L158" s="6">
        <f>M157-TablaMarimba6[[#This Row],[Importe]]</f>
        <v>28242.01602000001</v>
      </c>
      <c r="M158" s="6">
        <f>TablaMarimba6[[#This Row],[Saldo inicial(vales)]]</f>
        <v>28242.01602000001</v>
      </c>
      <c r="N158" s="6">
        <f>TablaMarimba6[[#This Row],[Saldo inicial(vales)]]+TablaMarimba6[[#This Row],[Columna1]]</f>
        <v>56484.03204000002</v>
      </c>
      <c r="O158" s="6" t="str">
        <f t="shared" si="13"/>
        <v/>
      </c>
      <c r="P158" s="6"/>
      <c r="S158" s="6"/>
      <c r="T158" s="6"/>
      <c r="U158" s="6"/>
      <c r="V158" s="6"/>
      <c r="W158" s="6"/>
    </row>
    <row r="159" spans="1:23">
      <c r="A159" s="3"/>
      <c r="B159" s="3" t="str">
        <f t="shared" si="15"/>
        <v/>
      </c>
      <c r="F159" s="2" t="e">
        <f>VLOOKUP(TablaMarimba6[[#This Row],[Equipo]],[1]Catalogos!$V$4:$W$55,2,FALSE)</f>
        <v>#N/A</v>
      </c>
      <c r="G159" s="4"/>
      <c r="H159" s="5"/>
      <c r="I159" s="4">
        <f t="shared" si="14"/>
        <v>-900</v>
      </c>
      <c r="J159" s="6">
        <v>28.3</v>
      </c>
      <c r="K159" s="6">
        <f t="shared" si="16"/>
        <v>0</v>
      </c>
      <c r="L159" s="6">
        <f>M158-TablaMarimba6[[#This Row],[Importe]]</f>
        <v>28242.01602000001</v>
      </c>
      <c r="M159" s="6">
        <f>TablaMarimba6[[#This Row],[Saldo inicial(vales)]]</f>
        <v>28242.01602000001</v>
      </c>
      <c r="N159" s="6">
        <f>TablaMarimba6[[#This Row],[Saldo inicial(vales)]]+TablaMarimba6[[#This Row],[Columna1]]</f>
        <v>56484.03204000002</v>
      </c>
      <c r="O159" s="6" t="str">
        <f t="shared" si="13"/>
        <v/>
      </c>
      <c r="P159" s="6"/>
      <c r="S159" s="6"/>
      <c r="T159" s="6"/>
      <c r="U159" s="6"/>
      <c r="V159" s="6"/>
      <c r="W159" s="6"/>
    </row>
    <row r="160" spans="1:23">
      <c r="A160" s="3"/>
      <c r="B160" s="3" t="str">
        <f t="shared" si="15"/>
        <v/>
      </c>
      <c r="F160" s="2" t="e">
        <f>VLOOKUP(TablaMarimba6[[#This Row],[Equipo]],[1]Catalogos!$V$4:$W$55,2,FALSE)</f>
        <v>#N/A</v>
      </c>
      <c r="G160" s="4"/>
      <c r="H160" s="5"/>
      <c r="I160" s="4">
        <f t="shared" si="14"/>
        <v>-900</v>
      </c>
      <c r="J160" s="6">
        <v>28.3</v>
      </c>
      <c r="K160" s="6">
        <f t="shared" si="16"/>
        <v>0</v>
      </c>
      <c r="L160" s="6">
        <f>M159-TablaMarimba6[[#This Row],[Importe]]</f>
        <v>28242.01602000001</v>
      </c>
      <c r="M160" s="6">
        <f>TablaMarimba6[[#This Row],[Saldo inicial(vales)]]</f>
        <v>28242.01602000001</v>
      </c>
      <c r="N160" s="6">
        <f>TablaMarimba6[[#This Row],[Saldo inicial(vales)]]+TablaMarimba6[[#This Row],[Columna1]]</f>
        <v>56484.03204000002</v>
      </c>
      <c r="O160" s="6" t="str">
        <f t="shared" si="13"/>
        <v/>
      </c>
      <c r="P160" s="6"/>
      <c r="S160" s="6"/>
      <c r="T160" s="6"/>
      <c r="U160" s="6"/>
      <c r="V160" s="6"/>
      <c r="W160" s="6"/>
    </row>
    <row r="161" spans="1:23">
      <c r="A161" s="3"/>
      <c r="B161" s="3" t="str">
        <f t="shared" si="15"/>
        <v/>
      </c>
      <c r="F161" s="2" t="e">
        <f>VLOOKUP(TablaMarimba6[[#This Row],[Equipo]],[1]Catalogos!$V$4:$W$55,2,FALSE)</f>
        <v>#N/A</v>
      </c>
      <c r="G161" s="4"/>
      <c r="H161" s="5"/>
      <c r="I161" s="4">
        <f t="shared" si="14"/>
        <v>-900</v>
      </c>
      <c r="J161" s="6">
        <v>28.3</v>
      </c>
      <c r="K161" s="6">
        <f t="shared" si="16"/>
        <v>0</v>
      </c>
      <c r="L161" s="6">
        <f>M160-TablaMarimba6[[#This Row],[Importe]]</f>
        <v>28242.01602000001</v>
      </c>
      <c r="M161" s="6">
        <f>TablaMarimba6[[#This Row],[Saldo inicial(vales)]]</f>
        <v>28242.01602000001</v>
      </c>
      <c r="N161" s="6">
        <f>TablaMarimba6[[#This Row],[Saldo inicial(vales)]]+TablaMarimba6[[#This Row],[Columna1]]</f>
        <v>56484.03204000002</v>
      </c>
      <c r="O161" s="6" t="str">
        <f t="shared" si="13"/>
        <v/>
      </c>
      <c r="P161" s="6"/>
      <c r="S161" s="6"/>
      <c r="T161" s="6"/>
      <c r="U161" s="6"/>
      <c r="V161" s="6"/>
      <c r="W161" s="6"/>
    </row>
    <row r="162" spans="1:23">
      <c r="A162" s="3"/>
      <c r="B162" s="3" t="str">
        <f t="shared" si="15"/>
        <v/>
      </c>
      <c r="F162" s="2" t="e">
        <f>VLOOKUP(TablaMarimba6[[#This Row],[Equipo]],[1]Catalogos!$V$4:$W$55,2,FALSE)</f>
        <v>#N/A</v>
      </c>
      <c r="G162" s="4"/>
      <c r="H162" s="5"/>
      <c r="I162" s="4">
        <f t="shared" si="14"/>
        <v>-900</v>
      </c>
      <c r="J162" s="6">
        <v>28.3</v>
      </c>
      <c r="K162" s="6">
        <f t="shared" si="16"/>
        <v>0</v>
      </c>
      <c r="L162" s="6">
        <f>M161-TablaMarimba6[[#This Row],[Importe]]</f>
        <v>28242.01602000001</v>
      </c>
      <c r="M162" s="6">
        <f>TablaMarimba6[[#This Row],[Saldo inicial(vales)]]</f>
        <v>28242.01602000001</v>
      </c>
      <c r="N162" s="6">
        <f>TablaMarimba6[[#This Row],[Saldo inicial(vales)]]+TablaMarimba6[[#This Row],[Columna1]]</f>
        <v>56484.03204000002</v>
      </c>
      <c r="O162" s="6" t="str">
        <f t="shared" si="13"/>
        <v/>
      </c>
      <c r="P162" s="6"/>
      <c r="S162" s="6"/>
      <c r="T162" s="6"/>
      <c r="U162" s="6"/>
      <c r="V162" s="6"/>
      <c r="W162" s="6"/>
    </row>
    <row r="163" spans="1:23">
      <c r="A163" s="3"/>
      <c r="B163" s="3" t="str">
        <f t="shared" si="15"/>
        <v/>
      </c>
      <c r="F163" s="2" t="e">
        <f>VLOOKUP(TablaMarimba6[[#This Row],[Equipo]],[1]Catalogos!$V$4:$W$55,2,FALSE)</f>
        <v>#N/A</v>
      </c>
      <c r="G163" s="4"/>
      <c r="H163" s="5"/>
      <c r="I163" s="4">
        <f t="shared" si="14"/>
        <v>-900</v>
      </c>
      <c r="J163" s="6">
        <v>28.3</v>
      </c>
      <c r="K163" s="6">
        <f t="shared" si="16"/>
        <v>0</v>
      </c>
      <c r="L163" s="6">
        <f>M162-TablaMarimba6[[#This Row],[Importe]]</f>
        <v>28242.01602000001</v>
      </c>
      <c r="M163" s="6">
        <f>TablaMarimba6[[#This Row],[Saldo inicial(vales)]]</f>
        <v>28242.01602000001</v>
      </c>
      <c r="N163" s="6">
        <f>TablaMarimba6[[#This Row],[Saldo inicial(vales)]]+TablaMarimba6[[#This Row],[Columna1]]</f>
        <v>56484.03204000002</v>
      </c>
      <c r="O163" s="6" t="str">
        <f t="shared" si="13"/>
        <v/>
      </c>
      <c r="P163" s="6"/>
      <c r="S163" s="6"/>
      <c r="T163" s="6"/>
      <c r="U163" s="6"/>
      <c r="V163" s="6"/>
      <c r="W163" s="6"/>
    </row>
    <row r="164" spans="1:23">
      <c r="A164" s="3"/>
      <c r="B164" s="3" t="str">
        <f t="shared" si="15"/>
        <v/>
      </c>
      <c r="F164" s="2" t="e">
        <f>VLOOKUP(TablaMarimba6[[#This Row],[Equipo]],[1]Catalogos!$V$4:$W$55,2,FALSE)</f>
        <v>#N/A</v>
      </c>
      <c r="G164" s="4"/>
      <c r="H164" s="5"/>
      <c r="I164" s="4">
        <f t="shared" si="14"/>
        <v>-900</v>
      </c>
      <c r="J164" s="6">
        <v>28.3</v>
      </c>
      <c r="K164" s="6">
        <f t="shared" si="16"/>
        <v>0</v>
      </c>
      <c r="L164" s="6">
        <f>M163-TablaMarimba6[[#This Row],[Importe]]</f>
        <v>28242.01602000001</v>
      </c>
      <c r="M164" s="6">
        <f>TablaMarimba6[[#This Row],[Saldo inicial(vales)]]</f>
        <v>28242.01602000001</v>
      </c>
      <c r="N164" s="6">
        <f>TablaMarimba6[[#This Row],[Saldo inicial(vales)]]+TablaMarimba6[[#This Row],[Columna1]]</f>
        <v>56484.03204000002</v>
      </c>
      <c r="O164" s="6" t="str">
        <f t="shared" si="13"/>
        <v/>
      </c>
      <c r="P164" s="6"/>
      <c r="S164" s="6"/>
      <c r="T164" s="6"/>
      <c r="U164" s="6"/>
      <c r="V164" s="6"/>
      <c r="W164" s="6"/>
    </row>
    <row r="165" spans="1:23">
      <c r="A165" s="3"/>
      <c r="B165" s="3" t="str">
        <f t="shared" si="15"/>
        <v/>
      </c>
      <c r="F165" s="2" t="e">
        <f>VLOOKUP(TablaMarimba6[[#This Row],[Equipo]],[1]Catalogos!$V$4:$W$55,2,FALSE)</f>
        <v>#N/A</v>
      </c>
      <c r="G165" s="4"/>
      <c r="H165" s="5"/>
      <c r="I165" s="4">
        <f t="shared" si="14"/>
        <v>-900</v>
      </c>
      <c r="J165" s="6">
        <v>28.3</v>
      </c>
      <c r="K165" s="6">
        <f t="shared" si="16"/>
        <v>0</v>
      </c>
      <c r="L165" s="6">
        <f>M164-TablaMarimba6[[#This Row],[Importe]]</f>
        <v>28242.01602000001</v>
      </c>
      <c r="M165" s="6">
        <f>TablaMarimba6[[#This Row],[Saldo inicial(vales)]]</f>
        <v>28242.01602000001</v>
      </c>
      <c r="N165" s="6">
        <f>TablaMarimba6[[#This Row],[Saldo inicial(vales)]]+TablaMarimba6[[#This Row],[Columna1]]</f>
        <v>56484.03204000002</v>
      </c>
      <c r="O165" s="6" t="str">
        <f t="shared" si="13"/>
        <v/>
      </c>
      <c r="P165" s="6"/>
      <c r="S165" s="6"/>
      <c r="T165" s="6"/>
      <c r="U165" s="6"/>
      <c r="V165" s="6"/>
      <c r="W165" s="6"/>
    </row>
    <row r="166" spans="1:23">
      <c r="A166" s="3"/>
      <c r="B166" s="3" t="str">
        <f t="shared" si="15"/>
        <v/>
      </c>
      <c r="F166" s="2" t="e">
        <f>VLOOKUP(TablaMarimba6[[#This Row],[Equipo]],[1]Catalogos!$V$4:$W$55,2,FALSE)</f>
        <v>#N/A</v>
      </c>
      <c r="G166" s="4"/>
      <c r="H166" s="5"/>
      <c r="I166" s="4">
        <f t="shared" si="14"/>
        <v>-900</v>
      </c>
      <c r="J166" s="6">
        <v>28.3</v>
      </c>
      <c r="K166" s="6">
        <f t="shared" si="16"/>
        <v>0</v>
      </c>
      <c r="L166" s="6">
        <f>M165-TablaMarimba6[[#This Row],[Importe]]</f>
        <v>28242.01602000001</v>
      </c>
      <c r="M166" s="6">
        <f>TablaMarimba6[[#This Row],[Saldo inicial(vales)]]</f>
        <v>28242.01602000001</v>
      </c>
      <c r="N166" s="6">
        <f>TablaMarimba6[[#This Row],[Saldo inicial(vales)]]+TablaMarimba6[[#This Row],[Columna1]]</f>
        <v>56484.03204000002</v>
      </c>
      <c r="O166" s="6" t="str">
        <f t="shared" si="13"/>
        <v/>
      </c>
      <c r="P166" s="6"/>
      <c r="S166" s="6"/>
      <c r="T166" s="6"/>
      <c r="U166" s="6"/>
      <c r="V166" s="6"/>
      <c r="W166" s="6"/>
    </row>
    <row r="167" spans="1:23">
      <c r="A167" s="3"/>
      <c r="B167" s="3" t="str">
        <f t="shared" si="15"/>
        <v/>
      </c>
      <c r="F167" s="2" t="e">
        <f>VLOOKUP(TablaMarimba6[[#This Row],[Equipo]],[1]Catalogos!$V$4:$W$55,2,FALSE)</f>
        <v>#N/A</v>
      </c>
      <c r="G167" s="4"/>
      <c r="H167" s="5"/>
      <c r="I167" s="4">
        <f t="shared" si="14"/>
        <v>-900</v>
      </c>
      <c r="J167" s="6">
        <v>28.3</v>
      </c>
      <c r="K167" s="6">
        <f t="shared" si="16"/>
        <v>0</v>
      </c>
      <c r="L167" s="6">
        <f>M166-TablaMarimba6[[#This Row],[Importe]]</f>
        <v>28242.01602000001</v>
      </c>
      <c r="M167" s="6">
        <f>TablaMarimba6[[#This Row],[Saldo inicial(vales)]]</f>
        <v>28242.01602000001</v>
      </c>
      <c r="N167" s="6">
        <f>TablaMarimba6[[#This Row],[Saldo inicial(vales)]]+TablaMarimba6[[#This Row],[Columna1]]</f>
        <v>56484.03204000002</v>
      </c>
      <c r="O167" s="6" t="str">
        <f t="shared" si="13"/>
        <v/>
      </c>
      <c r="P167" s="6"/>
      <c r="S167" s="6"/>
      <c r="T167" s="6"/>
      <c r="U167" s="6"/>
      <c r="V167" s="6"/>
      <c r="W167" s="6"/>
    </row>
    <row r="168" spans="1:23">
      <c r="A168" s="3"/>
      <c r="B168" s="3" t="str">
        <f t="shared" si="15"/>
        <v/>
      </c>
      <c r="F168" s="2" t="e">
        <f>VLOOKUP(TablaMarimba6[[#This Row],[Equipo]],[1]Catalogos!$V$4:$W$55,2,FALSE)</f>
        <v>#N/A</v>
      </c>
      <c r="G168" s="4"/>
      <c r="H168" s="5"/>
      <c r="I168" s="4">
        <f t="shared" si="14"/>
        <v>-900</v>
      </c>
      <c r="J168" s="6">
        <v>28.3</v>
      </c>
      <c r="K168" s="6">
        <f t="shared" si="16"/>
        <v>0</v>
      </c>
      <c r="L168" s="6">
        <f>M167-TablaMarimba6[[#This Row],[Importe]]</f>
        <v>28242.01602000001</v>
      </c>
      <c r="M168" s="6">
        <f>TablaMarimba6[[#This Row],[Saldo inicial(vales)]]</f>
        <v>28242.01602000001</v>
      </c>
      <c r="N168" s="6">
        <f>TablaMarimba6[[#This Row],[Saldo inicial(vales)]]+TablaMarimba6[[#This Row],[Columna1]]</f>
        <v>56484.03204000002</v>
      </c>
      <c r="O168" s="6" t="str">
        <f t="shared" si="13"/>
        <v/>
      </c>
      <c r="P168" s="6"/>
      <c r="S168" s="6"/>
      <c r="T168" s="6"/>
      <c r="U168" s="6"/>
      <c r="V168" s="6"/>
      <c r="W168" s="6"/>
    </row>
    <row r="169" spans="1:23">
      <c r="A169" s="3"/>
      <c r="B169" s="3" t="str">
        <f t="shared" si="15"/>
        <v/>
      </c>
      <c r="F169" s="2" t="e">
        <f>VLOOKUP(TablaMarimba6[[#This Row],[Equipo]],[1]Catalogos!$V$4:$W$55,2,FALSE)</f>
        <v>#N/A</v>
      </c>
      <c r="G169" s="4"/>
      <c r="H169" s="5"/>
      <c r="I169" s="4">
        <f t="shared" si="14"/>
        <v>-900</v>
      </c>
      <c r="J169" s="6">
        <v>28.3</v>
      </c>
      <c r="K169" s="6">
        <f t="shared" si="16"/>
        <v>0</v>
      </c>
      <c r="L169" s="6">
        <f>M168-TablaMarimba6[[#This Row],[Importe]]</f>
        <v>28242.01602000001</v>
      </c>
      <c r="M169" s="6">
        <f>TablaMarimba6[[#This Row],[Saldo inicial(vales)]]</f>
        <v>28242.01602000001</v>
      </c>
      <c r="N169" s="6">
        <f>TablaMarimba6[[#This Row],[Saldo inicial(vales)]]+TablaMarimba6[[#This Row],[Columna1]]</f>
        <v>56484.03204000002</v>
      </c>
      <c r="O169" s="6" t="str">
        <f t="shared" si="13"/>
        <v/>
      </c>
      <c r="P169" s="6"/>
      <c r="S169" s="6"/>
      <c r="T169" s="6"/>
      <c r="U169" s="6"/>
      <c r="V169" s="6"/>
      <c r="W169" s="6"/>
    </row>
    <row r="170" spans="1:23">
      <c r="A170" s="3"/>
      <c r="B170" s="3" t="str">
        <f t="shared" si="15"/>
        <v/>
      </c>
      <c r="F170" s="2" t="e">
        <f>VLOOKUP(TablaMarimba6[[#This Row],[Equipo]],[1]Catalogos!$V$4:$W$55,2,FALSE)</f>
        <v>#N/A</v>
      </c>
      <c r="G170" s="4"/>
      <c r="H170" s="5"/>
      <c r="I170" s="4">
        <f t="shared" si="14"/>
        <v>-900</v>
      </c>
      <c r="J170" s="6">
        <v>28.3</v>
      </c>
      <c r="K170" s="6">
        <f t="shared" si="16"/>
        <v>0</v>
      </c>
      <c r="L170" s="6">
        <f>M169-TablaMarimba6[[#This Row],[Importe]]</f>
        <v>28242.01602000001</v>
      </c>
      <c r="M170" s="6">
        <f>TablaMarimba6[[#This Row],[Saldo inicial(vales)]]</f>
        <v>28242.01602000001</v>
      </c>
      <c r="N170" s="6">
        <f>TablaMarimba6[[#This Row],[Saldo inicial(vales)]]+TablaMarimba6[[#This Row],[Columna1]]</f>
        <v>56484.03204000002</v>
      </c>
      <c r="O170" s="6" t="str">
        <f t="shared" si="13"/>
        <v/>
      </c>
      <c r="P170" s="6"/>
      <c r="S170" s="6"/>
      <c r="T170" s="6"/>
      <c r="U170" s="6"/>
      <c r="V170" s="6"/>
      <c r="W170" s="6"/>
    </row>
    <row r="171" spans="1:23">
      <c r="A171" s="3"/>
      <c r="B171" s="3" t="str">
        <f t="shared" si="15"/>
        <v/>
      </c>
      <c r="F171" s="2" t="e">
        <f>VLOOKUP(TablaMarimba6[[#This Row],[Equipo]],[1]Catalogos!$V$4:$W$55,2,FALSE)</f>
        <v>#N/A</v>
      </c>
      <c r="G171" s="4"/>
      <c r="H171" s="5"/>
      <c r="I171" s="4">
        <f t="shared" si="14"/>
        <v>-900</v>
      </c>
      <c r="J171" s="6">
        <v>28.3</v>
      </c>
      <c r="K171" s="6">
        <f t="shared" si="16"/>
        <v>0</v>
      </c>
      <c r="L171" s="6">
        <f>M170-TablaMarimba6[[#This Row],[Importe]]</f>
        <v>28242.01602000001</v>
      </c>
      <c r="M171" s="6">
        <f>TablaMarimba6[[#This Row],[Saldo inicial(vales)]]</f>
        <v>28242.01602000001</v>
      </c>
      <c r="N171" s="6">
        <f>TablaMarimba6[[#This Row],[Saldo inicial(vales)]]+TablaMarimba6[[#This Row],[Columna1]]</f>
        <v>56484.03204000002</v>
      </c>
      <c r="O171" s="6" t="str">
        <f t="shared" si="13"/>
        <v/>
      </c>
      <c r="P171" s="6"/>
      <c r="S171" s="6"/>
      <c r="T171" s="6"/>
      <c r="U171" s="6"/>
      <c r="V171" s="6"/>
      <c r="W171" s="6"/>
    </row>
    <row r="172" spans="1:23">
      <c r="A172" s="3"/>
      <c r="B172" s="3" t="str">
        <f t="shared" si="15"/>
        <v/>
      </c>
      <c r="F172" s="2" t="e">
        <f>VLOOKUP(TablaMarimba6[[#This Row],[Equipo]],[1]Catalogos!$V$4:$W$55,2,FALSE)</f>
        <v>#N/A</v>
      </c>
      <c r="G172" s="4"/>
      <c r="H172" s="5"/>
      <c r="I172" s="4">
        <f t="shared" si="14"/>
        <v>-900</v>
      </c>
      <c r="J172" s="6">
        <v>28.3</v>
      </c>
      <c r="K172" s="6">
        <f t="shared" si="16"/>
        <v>0</v>
      </c>
      <c r="L172" s="6">
        <f>M171-TablaMarimba6[[#This Row],[Importe]]</f>
        <v>28242.01602000001</v>
      </c>
      <c r="M172" s="6">
        <f>TablaMarimba6[[#This Row],[Saldo inicial(vales)]]</f>
        <v>28242.01602000001</v>
      </c>
      <c r="N172" s="6">
        <f>TablaMarimba6[[#This Row],[Saldo inicial(vales)]]+TablaMarimba6[[#This Row],[Columna1]]</f>
        <v>56484.03204000002</v>
      </c>
      <c r="O172" s="6" t="str">
        <f t="shared" si="13"/>
        <v/>
      </c>
      <c r="P172" s="6"/>
      <c r="S172" s="6"/>
      <c r="T172" s="6"/>
      <c r="U172" s="6"/>
      <c r="V172" s="6"/>
      <c r="W172" s="6"/>
    </row>
    <row r="173" spans="1:23">
      <c r="A173" s="3"/>
      <c r="B173" s="3" t="str">
        <f t="shared" si="15"/>
        <v/>
      </c>
      <c r="F173" s="2" t="e">
        <f>VLOOKUP(TablaMarimba6[[#This Row],[Equipo]],[1]Catalogos!$V$4:$W$55,2,FALSE)</f>
        <v>#N/A</v>
      </c>
      <c r="G173" s="4"/>
      <c r="H173" s="5"/>
      <c r="I173" s="4">
        <f t="shared" si="14"/>
        <v>-900</v>
      </c>
      <c r="J173" s="6">
        <v>28.3</v>
      </c>
      <c r="K173" s="6">
        <f t="shared" si="16"/>
        <v>0</v>
      </c>
      <c r="L173" s="6">
        <f>M172-TablaMarimba6[[#This Row],[Importe]]</f>
        <v>28242.01602000001</v>
      </c>
      <c r="M173" s="6">
        <f>TablaMarimba6[[#This Row],[Saldo inicial(vales)]]</f>
        <v>28242.01602000001</v>
      </c>
      <c r="N173" s="6">
        <f>TablaMarimba6[[#This Row],[Saldo inicial(vales)]]+TablaMarimba6[[#This Row],[Columna1]]</f>
        <v>56484.03204000002</v>
      </c>
      <c r="O173" s="6" t="str">
        <f t="shared" si="13"/>
        <v/>
      </c>
      <c r="P173" s="6"/>
      <c r="S173" s="6"/>
      <c r="T173" s="6"/>
      <c r="U173" s="6"/>
      <c r="V173" s="6"/>
      <c r="W173" s="6"/>
    </row>
    <row r="174" spans="1:23">
      <c r="A174" s="3"/>
      <c r="B174" s="3" t="str">
        <f t="shared" si="15"/>
        <v/>
      </c>
      <c r="F174" s="2" t="e">
        <f>VLOOKUP(TablaMarimba6[[#This Row],[Equipo]],[1]Catalogos!$V$4:$W$55,2,FALSE)</f>
        <v>#N/A</v>
      </c>
      <c r="G174" s="4"/>
      <c r="H174" s="5"/>
      <c r="I174" s="4">
        <f t="shared" si="14"/>
        <v>-900</v>
      </c>
      <c r="J174" s="6">
        <v>28.3</v>
      </c>
      <c r="K174" s="6">
        <f t="shared" si="16"/>
        <v>0</v>
      </c>
      <c r="L174" s="6">
        <f>M173-TablaMarimba6[[#This Row],[Importe]]</f>
        <v>28242.01602000001</v>
      </c>
      <c r="M174" s="6">
        <f>TablaMarimba6[[#This Row],[Saldo inicial(vales)]]</f>
        <v>28242.01602000001</v>
      </c>
      <c r="N174" s="6">
        <f>TablaMarimba6[[#This Row],[Saldo inicial(vales)]]+TablaMarimba6[[#This Row],[Columna1]]</f>
        <v>56484.03204000002</v>
      </c>
      <c r="O174" s="6" t="str">
        <f t="shared" si="13"/>
        <v/>
      </c>
      <c r="P174" s="6"/>
      <c r="S174" s="6"/>
      <c r="T174" s="6"/>
      <c r="U174" s="6"/>
      <c r="V174" s="6"/>
      <c r="W174" s="6"/>
    </row>
    <row r="175" spans="1:23">
      <c r="A175" s="3"/>
      <c r="B175" s="3" t="str">
        <f t="shared" si="15"/>
        <v/>
      </c>
      <c r="F175" s="2" t="e">
        <f>VLOOKUP(TablaMarimba6[[#This Row],[Equipo]],[1]Catalogos!$V$4:$W$55,2,FALSE)</f>
        <v>#N/A</v>
      </c>
      <c r="G175" s="4"/>
      <c r="H175" s="5"/>
      <c r="I175" s="4">
        <f t="shared" si="14"/>
        <v>-900</v>
      </c>
      <c r="J175" s="6">
        <v>28.3</v>
      </c>
      <c r="K175" s="6">
        <f t="shared" si="16"/>
        <v>0</v>
      </c>
      <c r="L175" s="6">
        <f>M174-TablaMarimba6[[#This Row],[Importe]]</f>
        <v>28242.01602000001</v>
      </c>
      <c r="M175" s="6">
        <f>TablaMarimba6[[#This Row],[Saldo inicial(vales)]]</f>
        <v>28242.01602000001</v>
      </c>
      <c r="N175" s="6">
        <f>TablaMarimba6[[#This Row],[Saldo inicial(vales)]]+TablaMarimba6[[#This Row],[Columna1]]</f>
        <v>56484.03204000002</v>
      </c>
      <c r="O175" s="6" t="str">
        <f t="shared" si="13"/>
        <v/>
      </c>
      <c r="P175" s="6"/>
      <c r="S175" s="6"/>
      <c r="T175" s="6"/>
      <c r="U175" s="6"/>
      <c r="V175" s="6"/>
      <c r="W175" s="6"/>
    </row>
    <row r="176" spans="1:23">
      <c r="A176" s="3"/>
      <c r="B176" s="3" t="str">
        <f t="shared" si="15"/>
        <v/>
      </c>
      <c r="F176" s="2" t="e">
        <f>VLOOKUP(TablaMarimba6[[#This Row],[Equipo]],[1]Catalogos!$V$4:$W$55,2,FALSE)</f>
        <v>#N/A</v>
      </c>
      <c r="G176" s="4"/>
      <c r="H176" s="5"/>
      <c r="I176" s="4">
        <f t="shared" si="14"/>
        <v>-900</v>
      </c>
      <c r="J176" s="6">
        <v>28.3</v>
      </c>
      <c r="K176" s="6">
        <f t="shared" si="16"/>
        <v>0</v>
      </c>
      <c r="L176" s="6">
        <f>M175-TablaMarimba6[[#This Row],[Importe]]</f>
        <v>28242.01602000001</v>
      </c>
      <c r="M176" s="6">
        <f>TablaMarimba6[[#This Row],[Saldo inicial(vales)]]</f>
        <v>28242.01602000001</v>
      </c>
      <c r="N176" s="6">
        <f>TablaMarimba6[[#This Row],[Saldo inicial(vales)]]+TablaMarimba6[[#This Row],[Columna1]]</f>
        <v>56484.03204000002</v>
      </c>
      <c r="O176" s="6" t="str">
        <f t="shared" si="13"/>
        <v/>
      </c>
      <c r="P176" s="6"/>
      <c r="S176" s="6"/>
      <c r="T176" s="6"/>
      <c r="U176" s="6"/>
      <c r="V176" s="6"/>
      <c r="W176" s="6"/>
    </row>
    <row r="177" spans="1:23">
      <c r="A177" s="3"/>
      <c r="B177" s="3" t="str">
        <f t="shared" si="15"/>
        <v/>
      </c>
      <c r="F177" s="2" t="e">
        <f>VLOOKUP(TablaMarimba6[[#This Row],[Equipo]],[1]Catalogos!$V$4:$W$55,2,FALSE)</f>
        <v>#N/A</v>
      </c>
      <c r="G177" s="4"/>
      <c r="H177" s="5"/>
      <c r="I177" s="4">
        <f t="shared" si="14"/>
        <v>-900</v>
      </c>
      <c r="J177" s="6">
        <v>28.3</v>
      </c>
      <c r="K177" s="6">
        <f t="shared" si="16"/>
        <v>0</v>
      </c>
      <c r="L177" s="6">
        <f>M176-TablaMarimba6[[#This Row],[Importe]]</f>
        <v>28242.01602000001</v>
      </c>
      <c r="M177" s="6">
        <f>TablaMarimba6[[#This Row],[Saldo inicial(vales)]]</f>
        <v>28242.01602000001</v>
      </c>
      <c r="N177" s="6">
        <f>TablaMarimba6[[#This Row],[Saldo inicial(vales)]]+TablaMarimba6[[#This Row],[Columna1]]</f>
        <v>56484.03204000002</v>
      </c>
      <c r="O177" s="6" t="str">
        <f t="shared" si="13"/>
        <v/>
      </c>
      <c r="P177" s="6"/>
      <c r="S177" s="6"/>
      <c r="T177" s="6"/>
      <c r="U177" s="6"/>
      <c r="V177" s="6"/>
      <c r="W177" s="6"/>
    </row>
    <row r="178" spans="1:23">
      <c r="A178" s="3"/>
      <c r="B178" s="3" t="str">
        <f t="shared" si="15"/>
        <v/>
      </c>
      <c r="F178" s="2" t="e">
        <f>VLOOKUP(TablaMarimba6[[#This Row],[Equipo]],[1]Catalogos!$V$4:$W$55,2,FALSE)</f>
        <v>#N/A</v>
      </c>
      <c r="G178" s="4"/>
      <c r="H178" s="5"/>
      <c r="I178" s="4">
        <f t="shared" si="14"/>
        <v>-900</v>
      </c>
      <c r="J178" s="6">
        <v>28.3</v>
      </c>
      <c r="K178" s="6">
        <f t="shared" si="16"/>
        <v>0</v>
      </c>
      <c r="L178" s="6">
        <f>M177-TablaMarimba6[[#This Row],[Importe]]</f>
        <v>28242.01602000001</v>
      </c>
      <c r="M178" s="6">
        <f>TablaMarimba6[[#This Row],[Saldo inicial(vales)]]</f>
        <v>28242.01602000001</v>
      </c>
      <c r="N178" s="6">
        <f>TablaMarimba6[[#This Row],[Saldo inicial(vales)]]+TablaMarimba6[[#This Row],[Columna1]]</f>
        <v>56484.03204000002</v>
      </c>
      <c r="O178" s="6" t="str">
        <f t="shared" si="13"/>
        <v/>
      </c>
      <c r="P178" s="6"/>
      <c r="S178" s="6"/>
      <c r="T178" s="6"/>
      <c r="U178" s="6"/>
      <c r="V178" s="6"/>
      <c r="W178" s="6"/>
    </row>
    <row r="179" spans="1:23">
      <c r="A179" s="3"/>
      <c r="B179" s="3" t="str">
        <f t="shared" si="15"/>
        <v/>
      </c>
      <c r="F179" s="2" t="e">
        <f>VLOOKUP(TablaMarimba6[[#This Row],[Equipo]],[1]Catalogos!$V$4:$W$55,2,FALSE)</f>
        <v>#N/A</v>
      </c>
      <c r="G179" s="4"/>
      <c r="H179" s="5"/>
      <c r="I179" s="4">
        <f t="shared" si="14"/>
        <v>-900</v>
      </c>
      <c r="J179" s="6">
        <v>28.3</v>
      </c>
      <c r="K179" s="6">
        <f t="shared" si="16"/>
        <v>0</v>
      </c>
      <c r="L179" s="6">
        <f>M178-TablaMarimba6[[#This Row],[Importe]]</f>
        <v>28242.01602000001</v>
      </c>
      <c r="M179" s="6">
        <f>TablaMarimba6[[#This Row],[Saldo inicial(vales)]]</f>
        <v>28242.01602000001</v>
      </c>
      <c r="N179" s="6">
        <f>TablaMarimba6[[#This Row],[Saldo inicial(vales)]]+TablaMarimba6[[#This Row],[Columna1]]</f>
        <v>56484.03204000002</v>
      </c>
      <c r="O179" s="6" t="str">
        <f t="shared" si="13"/>
        <v/>
      </c>
      <c r="P179" s="6"/>
      <c r="S179" s="6"/>
      <c r="T179" s="6"/>
      <c r="U179" s="6"/>
      <c r="V179" s="6"/>
      <c r="W179" s="6"/>
    </row>
    <row r="180" spans="1:23">
      <c r="A180" s="3"/>
      <c r="B180" s="3" t="str">
        <f t="shared" si="15"/>
        <v/>
      </c>
      <c r="F180" s="2" t="e">
        <f>VLOOKUP(TablaMarimba6[[#This Row],[Equipo]],[1]Catalogos!$V$4:$W$55,2,FALSE)</f>
        <v>#N/A</v>
      </c>
      <c r="G180" s="4"/>
      <c r="H180" s="5"/>
      <c r="I180" s="4">
        <f t="shared" si="14"/>
        <v>-900</v>
      </c>
      <c r="J180" s="6">
        <v>28.3</v>
      </c>
      <c r="K180" s="6">
        <f t="shared" si="16"/>
        <v>0</v>
      </c>
      <c r="L180" s="6">
        <f>M179-TablaMarimba6[[#This Row],[Importe]]</f>
        <v>28242.01602000001</v>
      </c>
      <c r="M180" s="6">
        <f>TablaMarimba6[[#This Row],[Saldo inicial(vales)]]</f>
        <v>28242.01602000001</v>
      </c>
      <c r="N180" s="6">
        <f>TablaMarimba6[[#This Row],[Saldo inicial(vales)]]+TablaMarimba6[[#This Row],[Columna1]]</f>
        <v>56484.03204000002</v>
      </c>
      <c r="O180" s="6" t="str">
        <f t="shared" si="13"/>
        <v/>
      </c>
      <c r="P180" s="6"/>
      <c r="S180" s="6"/>
      <c r="T180" s="6"/>
      <c r="U180" s="6"/>
      <c r="V180" s="6"/>
      <c r="W180" s="6"/>
    </row>
    <row r="181" spans="1:23">
      <c r="A181" s="3"/>
      <c r="B181" s="3" t="str">
        <f t="shared" si="15"/>
        <v/>
      </c>
      <c r="F181" s="2" t="e">
        <f>VLOOKUP(TablaMarimba6[[#This Row],[Equipo]],[1]Catalogos!$V$4:$W$55,2,FALSE)</f>
        <v>#N/A</v>
      </c>
      <c r="G181" s="4"/>
      <c r="H181" s="5"/>
      <c r="I181" s="4">
        <f t="shared" si="14"/>
        <v>-900</v>
      </c>
      <c r="J181" s="6">
        <v>28.3</v>
      </c>
      <c r="K181" s="6">
        <f t="shared" si="16"/>
        <v>0</v>
      </c>
      <c r="L181" s="6">
        <f>M180-TablaMarimba6[[#This Row],[Importe]]</f>
        <v>28242.01602000001</v>
      </c>
      <c r="M181" s="6">
        <f>TablaMarimba6[[#This Row],[Saldo inicial(vales)]]</f>
        <v>28242.01602000001</v>
      </c>
      <c r="N181" s="6">
        <f>TablaMarimba6[[#This Row],[Saldo inicial(vales)]]+TablaMarimba6[[#This Row],[Columna1]]</f>
        <v>56484.03204000002</v>
      </c>
      <c r="O181" s="6" t="str">
        <f t="shared" si="13"/>
        <v/>
      </c>
      <c r="P181" s="6"/>
      <c r="S181" s="6"/>
      <c r="T181" s="6"/>
      <c r="U181" s="6"/>
      <c r="V181" s="6"/>
      <c r="W181" s="6"/>
    </row>
    <row r="182" spans="1:23">
      <c r="A182" s="3"/>
      <c r="B182" s="3" t="str">
        <f t="shared" si="15"/>
        <v/>
      </c>
      <c r="F182" s="2" t="e">
        <f>VLOOKUP(TablaMarimba6[[#This Row],[Equipo]],[1]Catalogos!$V$4:$W$55,2,FALSE)</f>
        <v>#N/A</v>
      </c>
      <c r="G182" s="4"/>
      <c r="H182" s="5"/>
      <c r="I182" s="4">
        <f t="shared" si="14"/>
        <v>-900</v>
      </c>
      <c r="J182" s="6">
        <v>28.3</v>
      </c>
      <c r="K182" s="6">
        <f t="shared" si="16"/>
        <v>0</v>
      </c>
      <c r="L182" s="6">
        <f>M181-TablaMarimba6[[#This Row],[Importe]]</f>
        <v>28242.01602000001</v>
      </c>
      <c r="M182" s="6">
        <f>TablaMarimba6[[#This Row],[Saldo inicial(vales)]]</f>
        <v>28242.01602000001</v>
      </c>
      <c r="N182" s="6">
        <f>TablaMarimba6[[#This Row],[Saldo inicial(vales)]]+TablaMarimba6[[#This Row],[Columna1]]</f>
        <v>56484.03204000002</v>
      </c>
      <c r="O182" s="6" t="str">
        <f t="shared" si="13"/>
        <v/>
      </c>
      <c r="P182" s="6"/>
      <c r="S182" s="6"/>
      <c r="T182" s="6"/>
      <c r="U182" s="6"/>
      <c r="V182" s="6"/>
      <c r="W182" s="6"/>
    </row>
    <row r="183" spans="1:23">
      <c r="A183" s="3"/>
      <c r="B183" s="3" t="str">
        <f t="shared" si="15"/>
        <v/>
      </c>
      <c r="F183" s="2" t="e">
        <f>VLOOKUP(TablaMarimba6[[#This Row],[Equipo]],[1]Catalogos!$V$4:$W$55,2,FALSE)</f>
        <v>#N/A</v>
      </c>
      <c r="G183" s="4"/>
      <c r="H183" s="5"/>
      <c r="I183" s="4">
        <f t="shared" si="14"/>
        <v>-900</v>
      </c>
      <c r="J183" s="6">
        <v>28.3</v>
      </c>
      <c r="K183" s="6">
        <f t="shared" si="16"/>
        <v>0</v>
      </c>
      <c r="L183" s="6">
        <f>M182-TablaMarimba6[[#This Row],[Importe]]</f>
        <v>28242.01602000001</v>
      </c>
      <c r="M183" s="6">
        <f>TablaMarimba6[[#This Row],[Saldo inicial(vales)]]</f>
        <v>28242.01602000001</v>
      </c>
      <c r="N183" s="6">
        <f>TablaMarimba6[[#This Row],[Saldo inicial(vales)]]+TablaMarimba6[[#This Row],[Columna1]]</f>
        <v>56484.03204000002</v>
      </c>
      <c r="O183" s="6" t="str">
        <f t="shared" si="13"/>
        <v/>
      </c>
      <c r="P183" s="6"/>
      <c r="S183" s="6"/>
      <c r="T183" s="6"/>
      <c r="U183" s="6"/>
      <c r="V183" s="6"/>
      <c r="W183" s="6"/>
    </row>
    <row r="184" spans="1:23">
      <c r="A184" s="3"/>
      <c r="B184" s="3" t="str">
        <f t="shared" si="15"/>
        <v/>
      </c>
      <c r="F184" s="2" t="e">
        <f>VLOOKUP(TablaMarimba6[[#This Row],[Equipo]],[1]Catalogos!$V$4:$W$55,2,FALSE)</f>
        <v>#N/A</v>
      </c>
      <c r="G184" s="4"/>
      <c r="H184" s="5"/>
      <c r="I184" s="4">
        <f t="shared" si="14"/>
        <v>-900</v>
      </c>
      <c r="J184" s="6">
        <v>28.3</v>
      </c>
      <c r="K184" s="6">
        <f t="shared" si="16"/>
        <v>0</v>
      </c>
      <c r="L184" s="6">
        <f>M183-TablaMarimba6[[#This Row],[Importe]]</f>
        <v>28242.01602000001</v>
      </c>
      <c r="M184" s="6">
        <f>TablaMarimba6[[#This Row],[Saldo inicial(vales)]]</f>
        <v>28242.01602000001</v>
      </c>
      <c r="N184" s="6">
        <f>TablaMarimba6[[#This Row],[Saldo inicial(vales)]]+TablaMarimba6[[#This Row],[Columna1]]</f>
        <v>56484.03204000002</v>
      </c>
      <c r="O184" s="6" t="str">
        <f t="shared" si="13"/>
        <v/>
      </c>
      <c r="P184" s="6"/>
      <c r="S184" s="6"/>
      <c r="T184" s="6"/>
      <c r="U184" s="6"/>
      <c r="V184" s="6"/>
      <c r="W184" s="6"/>
    </row>
    <row r="185" spans="1:23">
      <c r="A185" s="3"/>
      <c r="B185" s="3" t="str">
        <f t="shared" si="15"/>
        <v/>
      </c>
      <c r="F185" s="2" t="e">
        <f>VLOOKUP(TablaMarimba6[[#This Row],[Equipo]],[1]Catalogos!$V$4:$W$55,2,FALSE)</f>
        <v>#N/A</v>
      </c>
      <c r="G185" s="4"/>
      <c r="H185" s="5"/>
      <c r="I185" s="4">
        <f t="shared" si="14"/>
        <v>-900</v>
      </c>
      <c r="J185" s="6">
        <v>28.3</v>
      </c>
      <c r="K185" s="6">
        <f t="shared" si="16"/>
        <v>0</v>
      </c>
      <c r="L185" s="6">
        <f>M184-TablaMarimba6[[#This Row],[Importe]]</f>
        <v>28242.01602000001</v>
      </c>
      <c r="M185" s="6">
        <f>TablaMarimba6[[#This Row],[Saldo inicial(vales)]]</f>
        <v>28242.01602000001</v>
      </c>
      <c r="N185" s="6">
        <f>TablaMarimba6[[#This Row],[Saldo inicial(vales)]]+TablaMarimba6[[#This Row],[Columna1]]</f>
        <v>56484.03204000002</v>
      </c>
      <c r="O185" s="6" t="str">
        <f t="shared" si="13"/>
        <v/>
      </c>
      <c r="P185" s="6"/>
      <c r="S185" s="6"/>
      <c r="T185" s="6"/>
      <c r="U185" s="6"/>
      <c r="V185" s="6"/>
      <c r="W185" s="6"/>
    </row>
    <row r="186" spans="1:23">
      <c r="A186" s="3"/>
      <c r="B186" s="3" t="str">
        <f t="shared" si="15"/>
        <v/>
      </c>
      <c r="F186" s="2" t="e">
        <f>VLOOKUP(TablaMarimba6[[#This Row],[Equipo]],[1]Catalogos!$V$4:$W$55,2,FALSE)</f>
        <v>#N/A</v>
      </c>
      <c r="G186" s="4"/>
      <c r="H186" s="5"/>
      <c r="I186" s="4">
        <f t="shared" si="14"/>
        <v>-900</v>
      </c>
      <c r="J186" s="6">
        <v>28.3</v>
      </c>
      <c r="K186" s="6">
        <f t="shared" si="16"/>
        <v>0</v>
      </c>
      <c r="L186" s="6">
        <f>M185-TablaMarimba6[[#This Row],[Importe]]</f>
        <v>28242.01602000001</v>
      </c>
      <c r="M186" s="6">
        <f>TablaMarimba6[[#This Row],[Saldo inicial(vales)]]</f>
        <v>28242.01602000001</v>
      </c>
      <c r="N186" s="6">
        <f>TablaMarimba6[[#This Row],[Saldo inicial(vales)]]+TablaMarimba6[[#This Row],[Columna1]]</f>
        <v>56484.03204000002</v>
      </c>
      <c r="O186" s="6" t="str">
        <f t="shared" si="13"/>
        <v/>
      </c>
      <c r="P186" s="6"/>
      <c r="S186" s="6"/>
      <c r="T186" s="6"/>
      <c r="U186" s="6"/>
      <c r="V186" s="6"/>
      <c r="W186" s="6"/>
    </row>
    <row r="187" spans="1:23">
      <c r="A187" s="3"/>
      <c r="B187" s="3" t="str">
        <f t="shared" si="15"/>
        <v/>
      </c>
      <c r="F187" s="2" t="e">
        <f>VLOOKUP(TablaMarimba6[[#This Row],[Equipo]],[1]Catalogos!$V$4:$W$55,2,FALSE)</f>
        <v>#N/A</v>
      </c>
      <c r="G187" s="4"/>
      <c r="H187" s="5"/>
      <c r="I187" s="4">
        <f t="shared" si="14"/>
        <v>-900</v>
      </c>
      <c r="J187" s="6">
        <v>28.3</v>
      </c>
      <c r="K187" s="6">
        <f t="shared" si="16"/>
        <v>0</v>
      </c>
      <c r="L187" s="6">
        <f>M186-TablaMarimba6[[#This Row],[Importe]]</f>
        <v>28242.01602000001</v>
      </c>
      <c r="M187" s="6">
        <f>TablaMarimba6[[#This Row],[Saldo inicial(vales)]]</f>
        <v>28242.01602000001</v>
      </c>
      <c r="N187" s="6">
        <f>TablaMarimba6[[#This Row],[Saldo inicial(vales)]]+TablaMarimba6[[#This Row],[Columna1]]</f>
        <v>56484.03204000002</v>
      </c>
      <c r="O187" s="6" t="str">
        <f t="shared" si="13"/>
        <v/>
      </c>
      <c r="P187" s="6"/>
      <c r="S187" s="6"/>
      <c r="T187" s="6"/>
      <c r="U187" s="6"/>
      <c r="V187" s="6"/>
      <c r="W187" s="6"/>
    </row>
    <row r="188" spans="1:23">
      <c r="A188" s="3"/>
      <c r="B188" s="3" t="str">
        <f t="shared" si="15"/>
        <v/>
      </c>
      <c r="F188" s="2" t="e">
        <f>VLOOKUP(TablaMarimba6[[#This Row],[Equipo]],[1]Catalogos!$V$4:$W$55,2,FALSE)</f>
        <v>#N/A</v>
      </c>
      <c r="G188" s="4"/>
      <c r="H188" s="5"/>
      <c r="I188" s="4">
        <f t="shared" si="14"/>
        <v>-900</v>
      </c>
      <c r="J188" s="6">
        <v>28.3</v>
      </c>
      <c r="K188" s="6">
        <f t="shared" si="16"/>
        <v>0</v>
      </c>
      <c r="L188" s="6">
        <f>M187-TablaMarimba6[[#This Row],[Importe]]</f>
        <v>28242.01602000001</v>
      </c>
      <c r="M188" s="6">
        <f>TablaMarimba6[[#This Row],[Saldo inicial(vales)]]</f>
        <v>28242.01602000001</v>
      </c>
      <c r="N188" s="6">
        <f>TablaMarimba6[[#This Row],[Saldo inicial(vales)]]+TablaMarimba6[[#This Row],[Columna1]]</f>
        <v>56484.03204000002</v>
      </c>
      <c r="O188" s="6" t="str">
        <f t="shared" si="13"/>
        <v/>
      </c>
      <c r="P188" s="6"/>
      <c r="S188" s="6"/>
      <c r="T188" s="6"/>
      <c r="U188" s="6"/>
      <c r="V188" s="6"/>
      <c r="W188" s="6"/>
    </row>
    <row r="189" spans="1:23">
      <c r="A189" s="3"/>
      <c r="B189" s="3" t="str">
        <f t="shared" si="15"/>
        <v/>
      </c>
      <c r="F189" s="2" t="e">
        <f>VLOOKUP(TablaMarimba6[[#This Row],[Equipo]],[1]Catalogos!$V$4:$W$55,2,FALSE)</f>
        <v>#N/A</v>
      </c>
      <c r="G189" s="4"/>
      <c r="H189" s="5"/>
      <c r="I189" s="4">
        <f t="shared" si="14"/>
        <v>-900</v>
      </c>
      <c r="J189" s="6">
        <v>28.3</v>
      </c>
      <c r="K189" s="6">
        <f t="shared" si="16"/>
        <v>0</v>
      </c>
      <c r="L189" s="6">
        <f>M188-TablaMarimba6[[#This Row],[Importe]]</f>
        <v>28242.01602000001</v>
      </c>
      <c r="M189" s="6">
        <f>TablaMarimba6[[#This Row],[Saldo inicial(vales)]]</f>
        <v>28242.01602000001</v>
      </c>
      <c r="N189" s="6">
        <f>TablaMarimba6[[#This Row],[Saldo inicial(vales)]]+TablaMarimba6[[#This Row],[Columna1]]</f>
        <v>56484.03204000002</v>
      </c>
      <c r="O189" s="6" t="str">
        <f t="shared" ref="O189:O252" si="17">IF(A189="","", WEEKNUM(A189, 2))</f>
        <v/>
      </c>
      <c r="P189" s="6"/>
      <c r="S189" s="6"/>
      <c r="T189" s="6"/>
      <c r="U189" s="6"/>
      <c r="V189" s="6"/>
      <c r="W189" s="6"/>
    </row>
    <row r="190" spans="1:23">
      <c r="A190" s="3"/>
      <c r="B190" s="3" t="str">
        <f t="shared" si="15"/>
        <v/>
      </c>
      <c r="F190" s="2" t="e">
        <f>VLOOKUP(TablaMarimba6[[#This Row],[Equipo]],[1]Catalogos!$V$4:$W$55,2,FALSE)</f>
        <v>#N/A</v>
      </c>
      <c r="G190" s="4"/>
      <c r="H190" s="5"/>
      <c r="I190" s="4">
        <f t="shared" si="14"/>
        <v>-900</v>
      </c>
      <c r="J190" s="6">
        <v>28.3</v>
      </c>
      <c r="K190" s="6">
        <f t="shared" si="16"/>
        <v>0</v>
      </c>
      <c r="L190" s="6">
        <f>M189-TablaMarimba6[[#This Row],[Importe]]</f>
        <v>28242.01602000001</v>
      </c>
      <c r="M190" s="6">
        <f>TablaMarimba6[[#This Row],[Saldo inicial(vales)]]</f>
        <v>28242.01602000001</v>
      </c>
      <c r="N190" s="6">
        <f>TablaMarimba6[[#This Row],[Saldo inicial(vales)]]+TablaMarimba6[[#This Row],[Columna1]]</f>
        <v>56484.03204000002</v>
      </c>
      <c r="O190" s="6" t="str">
        <f t="shared" si="17"/>
        <v/>
      </c>
      <c r="P190" s="6"/>
      <c r="S190" s="6"/>
      <c r="T190" s="6"/>
      <c r="U190" s="6"/>
      <c r="V190" s="6"/>
      <c r="W190" s="6"/>
    </row>
    <row r="191" spans="1:23">
      <c r="A191" s="3"/>
      <c r="B191" s="3" t="str">
        <f t="shared" si="15"/>
        <v/>
      </c>
      <c r="F191" s="2" t="e">
        <f>VLOOKUP(TablaMarimba6[[#This Row],[Equipo]],[1]Catalogos!$V$4:$W$55,2,FALSE)</f>
        <v>#N/A</v>
      </c>
      <c r="G191" s="4"/>
      <c r="H191" s="5"/>
      <c r="I191" s="4">
        <f t="shared" si="14"/>
        <v>-900</v>
      </c>
      <c r="J191" s="6">
        <v>28.3</v>
      </c>
      <c r="K191" s="6">
        <f t="shared" si="16"/>
        <v>0</v>
      </c>
      <c r="L191" s="6">
        <f>M190-TablaMarimba6[[#This Row],[Importe]]</f>
        <v>28242.01602000001</v>
      </c>
      <c r="M191" s="6">
        <f>TablaMarimba6[[#This Row],[Saldo inicial(vales)]]</f>
        <v>28242.01602000001</v>
      </c>
      <c r="N191" s="6">
        <f>TablaMarimba6[[#This Row],[Saldo inicial(vales)]]+TablaMarimba6[[#This Row],[Columna1]]</f>
        <v>56484.03204000002</v>
      </c>
      <c r="O191" s="6" t="str">
        <f t="shared" si="17"/>
        <v/>
      </c>
      <c r="P191" s="6"/>
      <c r="S191" s="6"/>
      <c r="T191" s="6"/>
      <c r="U191" s="6"/>
      <c r="V191" s="6"/>
      <c r="W191" s="6"/>
    </row>
    <row r="192" spans="1:23">
      <c r="A192" s="3"/>
      <c r="B192" s="3" t="str">
        <f t="shared" si="15"/>
        <v/>
      </c>
      <c r="F192" s="2" t="e">
        <f>VLOOKUP(TablaMarimba6[[#This Row],[Equipo]],[1]Catalogos!$V$4:$W$55,2,FALSE)</f>
        <v>#N/A</v>
      </c>
      <c r="G192" s="4"/>
      <c r="H192" s="5"/>
      <c r="I192" s="4">
        <f t="shared" ref="I192:I205" si="18">IF(ROW()=5,G192-H192,I191+G192-H192)</f>
        <v>-900</v>
      </c>
      <c r="J192" s="6">
        <v>28.3</v>
      </c>
      <c r="K192" s="6">
        <f t="shared" si="16"/>
        <v>0</v>
      </c>
      <c r="L192" s="6">
        <f>M191-TablaMarimba6[[#This Row],[Importe]]</f>
        <v>28242.01602000001</v>
      </c>
      <c r="M192" s="6">
        <f>TablaMarimba6[[#This Row],[Saldo inicial(vales)]]</f>
        <v>28242.01602000001</v>
      </c>
      <c r="N192" s="6">
        <f>TablaMarimba6[[#This Row],[Saldo inicial(vales)]]+TablaMarimba6[[#This Row],[Columna1]]</f>
        <v>56484.03204000002</v>
      </c>
      <c r="O192" s="6" t="str">
        <f t="shared" si="17"/>
        <v/>
      </c>
      <c r="P192" s="6"/>
      <c r="S192" s="6"/>
      <c r="T192" s="6"/>
      <c r="U192" s="6"/>
      <c r="V192" s="6"/>
      <c r="W192" s="6"/>
    </row>
    <row r="193" spans="1:23">
      <c r="A193" s="3"/>
      <c r="B193" s="3" t="str">
        <f t="shared" si="15"/>
        <v/>
      </c>
      <c r="F193" s="2" t="e">
        <f>VLOOKUP(TablaMarimba6[[#This Row],[Equipo]],[1]Catalogos!$V$4:$W$55,2,FALSE)</f>
        <v>#N/A</v>
      </c>
      <c r="G193" s="4"/>
      <c r="H193" s="5"/>
      <c r="I193" s="4">
        <f t="shared" si="18"/>
        <v>-900</v>
      </c>
      <c r="J193" s="6">
        <v>28.3</v>
      </c>
      <c r="K193" s="6">
        <f t="shared" si="16"/>
        <v>0</v>
      </c>
      <c r="L193" s="6">
        <f>M192-TablaMarimba6[[#This Row],[Importe]]</f>
        <v>28242.01602000001</v>
      </c>
      <c r="M193" s="6">
        <f>TablaMarimba6[[#This Row],[Saldo inicial(vales)]]</f>
        <v>28242.01602000001</v>
      </c>
      <c r="N193" s="6">
        <f>TablaMarimba6[[#This Row],[Saldo inicial(vales)]]+TablaMarimba6[[#This Row],[Columna1]]</f>
        <v>56484.03204000002</v>
      </c>
      <c r="O193" s="6" t="str">
        <f t="shared" si="17"/>
        <v/>
      </c>
      <c r="P193" s="6"/>
      <c r="S193" s="6"/>
      <c r="T193" s="6"/>
      <c r="U193" s="6"/>
      <c r="V193" s="6"/>
      <c r="W193" s="6"/>
    </row>
    <row r="194" spans="1:23">
      <c r="A194" s="3"/>
      <c r="B194" s="3" t="str">
        <f t="shared" ref="B194:B257" si="19">IF(A194="","", "Semana "&amp;WEEKNUM(A194,2))</f>
        <v/>
      </c>
      <c r="F194" s="2" t="e">
        <f>VLOOKUP(TablaMarimba6[[#This Row],[Equipo]],[1]Catalogos!$V$4:$W$55,2,FALSE)</f>
        <v>#N/A</v>
      </c>
      <c r="G194" s="4"/>
      <c r="H194" s="5"/>
      <c r="I194" s="4">
        <f t="shared" si="18"/>
        <v>-900</v>
      </c>
      <c r="J194" s="6">
        <v>28.3</v>
      </c>
      <c r="K194" s="6">
        <f t="shared" si="16"/>
        <v>0</v>
      </c>
      <c r="L194" s="6">
        <f>M193-TablaMarimba6[[#This Row],[Importe]]</f>
        <v>28242.01602000001</v>
      </c>
      <c r="M194" s="6">
        <f>TablaMarimba6[[#This Row],[Saldo inicial(vales)]]</f>
        <v>28242.01602000001</v>
      </c>
      <c r="N194" s="6">
        <f>TablaMarimba6[[#This Row],[Saldo inicial(vales)]]+TablaMarimba6[[#This Row],[Columna1]]</f>
        <v>56484.03204000002</v>
      </c>
      <c r="O194" s="6" t="str">
        <f t="shared" si="17"/>
        <v/>
      </c>
      <c r="P194" s="6"/>
      <c r="S194" s="6"/>
      <c r="T194" s="6"/>
      <c r="U194" s="6"/>
      <c r="V194" s="6"/>
      <c r="W194" s="6"/>
    </row>
    <row r="195" spans="1:23">
      <c r="A195" s="3"/>
      <c r="B195" s="3" t="str">
        <f t="shared" si="19"/>
        <v/>
      </c>
      <c r="F195" s="2" t="e">
        <f>VLOOKUP(TablaMarimba6[[#This Row],[Equipo]],[1]Catalogos!$V$4:$W$55,2,FALSE)</f>
        <v>#N/A</v>
      </c>
      <c r="G195" s="4"/>
      <c r="H195" s="5"/>
      <c r="I195" s="4">
        <f t="shared" si="18"/>
        <v>-900</v>
      </c>
      <c r="J195" s="6">
        <v>28.3</v>
      </c>
      <c r="K195" s="6">
        <f t="shared" si="16"/>
        <v>0</v>
      </c>
      <c r="L195" s="6">
        <f>M194-TablaMarimba6[[#This Row],[Importe]]</f>
        <v>28242.01602000001</v>
      </c>
      <c r="M195" s="6">
        <f>TablaMarimba6[[#This Row],[Saldo inicial(vales)]]</f>
        <v>28242.01602000001</v>
      </c>
      <c r="N195" s="6">
        <f>TablaMarimba6[[#This Row],[Saldo inicial(vales)]]+TablaMarimba6[[#This Row],[Columna1]]</f>
        <v>56484.03204000002</v>
      </c>
      <c r="O195" s="6" t="str">
        <f t="shared" si="17"/>
        <v/>
      </c>
      <c r="P195" s="6"/>
      <c r="S195" s="6"/>
      <c r="T195" s="6"/>
      <c r="U195" s="6"/>
      <c r="V195" s="6"/>
      <c r="W195" s="6"/>
    </row>
    <row r="196" spans="1:23">
      <c r="A196" s="3"/>
      <c r="B196" s="3" t="str">
        <f t="shared" si="19"/>
        <v/>
      </c>
      <c r="F196" s="2" t="e">
        <f>VLOOKUP(TablaMarimba6[[#This Row],[Equipo]],[1]Catalogos!$V$4:$W$55,2,FALSE)</f>
        <v>#N/A</v>
      </c>
      <c r="G196" s="4"/>
      <c r="H196" s="5"/>
      <c r="I196" s="4">
        <f t="shared" si="18"/>
        <v>-900</v>
      </c>
      <c r="J196" s="6">
        <v>28.3</v>
      </c>
      <c r="K196" s="6">
        <f t="shared" si="16"/>
        <v>0</v>
      </c>
      <c r="L196" s="6">
        <f>M195-TablaMarimba6[[#This Row],[Importe]]</f>
        <v>28242.01602000001</v>
      </c>
      <c r="M196" s="6">
        <f>TablaMarimba6[[#This Row],[Saldo inicial(vales)]]</f>
        <v>28242.01602000001</v>
      </c>
      <c r="N196" s="6">
        <f>TablaMarimba6[[#This Row],[Saldo inicial(vales)]]+TablaMarimba6[[#This Row],[Columna1]]</f>
        <v>56484.03204000002</v>
      </c>
      <c r="O196" s="6" t="str">
        <f t="shared" si="17"/>
        <v/>
      </c>
      <c r="P196" s="6"/>
      <c r="S196" s="6"/>
      <c r="T196" s="6"/>
      <c r="U196" s="6"/>
      <c r="V196" s="6"/>
      <c r="W196" s="6"/>
    </row>
    <row r="197" spans="1:23">
      <c r="A197" s="3"/>
      <c r="B197" s="3" t="str">
        <f t="shared" si="19"/>
        <v/>
      </c>
      <c r="F197" s="2" t="e">
        <f>VLOOKUP(TablaMarimba6[[#This Row],[Equipo]],[1]Catalogos!$V$4:$W$55,2,FALSE)</f>
        <v>#N/A</v>
      </c>
      <c r="G197" s="4"/>
      <c r="H197" s="5"/>
      <c r="I197" s="4">
        <f t="shared" si="18"/>
        <v>-900</v>
      </c>
      <c r="J197" s="6">
        <v>28.3</v>
      </c>
      <c r="K197" s="6">
        <f t="shared" si="16"/>
        <v>0</v>
      </c>
      <c r="L197" s="6">
        <f>M196-TablaMarimba6[[#This Row],[Importe]]</f>
        <v>28242.01602000001</v>
      </c>
      <c r="M197" s="6">
        <f>TablaMarimba6[[#This Row],[Saldo inicial(vales)]]</f>
        <v>28242.01602000001</v>
      </c>
      <c r="N197" s="6">
        <f>TablaMarimba6[[#This Row],[Saldo inicial(vales)]]+TablaMarimba6[[#This Row],[Columna1]]</f>
        <v>56484.03204000002</v>
      </c>
      <c r="O197" s="6" t="str">
        <f t="shared" si="17"/>
        <v/>
      </c>
      <c r="P197" s="6"/>
      <c r="S197" s="6"/>
      <c r="T197" s="6"/>
      <c r="U197" s="6"/>
      <c r="V197" s="6"/>
      <c r="W197" s="6"/>
    </row>
    <row r="198" spans="1:23">
      <c r="A198" s="3"/>
      <c r="B198" s="3" t="str">
        <f t="shared" si="19"/>
        <v/>
      </c>
      <c r="F198" s="2" t="e">
        <f>VLOOKUP(TablaMarimba6[[#This Row],[Equipo]],[1]Catalogos!$V$4:$W$55,2,FALSE)</f>
        <v>#N/A</v>
      </c>
      <c r="G198" s="4"/>
      <c r="H198" s="5"/>
      <c r="I198" s="4">
        <f t="shared" si="18"/>
        <v>-900</v>
      </c>
      <c r="J198" s="6">
        <v>28.3</v>
      </c>
      <c r="K198" s="6">
        <f t="shared" si="16"/>
        <v>0</v>
      </c>
      <c r="L198" s="6">
        <f>M197-TablaMarimba6[[#This Row],[Importe]]</f>
        <v>28242.01602000001</v>
      </c>
      <c r="M198" s="6">
        <f>TablaMarimba6[[#This Row],[Saldo inicial(vales)]]</f>
        <v>28242.01602000001</v>
      </c>
      <c r="N198" s="6">
        <f>TablaMarimba6[[#This Row],[Saldo inicial(vales)]]+TablaMarimba6[[#This Row],[Columna1]]</f>
        <v>56484.03204000002</v>
      </c>
      <c r="O198" s="6" t="str">
        <f t="shared" si="17"/>
        <v/>
      </c>
      <c r="P198" s="6"/>
      <c r="S198" s="6"/>
      <c r="T198" s="6"/>
      <c r="U198" s="6"/>
      <c r="V198" s="6"/>
      <c r="W198" s="6"/>
    </row>
    <row r="199" spans="1:23">
      <c r="A199" s="3"/>
      <c r="B199" s="3" t="str">
        <f t="shared" si="19"/>
        <v/>
      </c>
      <c r="F199" s="2" t="e">
        <f>VLOOKUP(TablaMarimba6[[#This Row],[Equipo]],[1]Catalogos!$V$4:$W$55,2,FALSE)</f>
        <v>#N/A</v>
      </c>
      <c r="G199" s="4"/>
      <c r="H199" s="5"/>
      <c r="I199" s="4">
        <f t="shared" si="18"/>
        <v>-900</v>
      </c>
      <c r="J199" s="6">
        <v>28.3</v>
      </c>
      <c r="K199" s="6">
        <f t="shared" si="16"/>
        <v>0</v>
      </c>
      <c r="L199" s="6">
        <f>M198-TablaMarimba6[[#This Row],[Importe]]</f>
        <v>28242.01602000001</v>
      </c>
      <c r="M199" s="6">
        <f>TablaMarimba6[[#This Row],[Saldo inicial(vales)]]</f>
        <v>28242.01602000001</v>
      </c>
      <c r="N199" s="6">
        <f>TablaMarimba6[[#This Row],[Saldo inicial(vales)]]+TablaMarimba6[[#This Row],[Columna1]]</f>
        <v>56484.03204000002</v>
      </c>
      <c r="O199" s="6" t="str">
        <f t="shared" si="17"/>
        <v/>
      </c>
      <c r="P199" s="6"/>
      <c r="S199" s="6"/>
      <c r="T199" s="6"/>
      <c r="U199" s="6"/>
      <c r="V199" s="6"/>
      <c r="W199" s="6"/>
    </row>
    <row r="200" spans="1:23">
      <c r="A200" s="3"/>
      <c r="B200" s="3" t="str">
        <f t="shared" si="19"/>
        <v/>
      </c>
      <c r="F200" s="2" t="e">
        <f>VLOOKUP(TablaMarimba6[[#This Row],[Equipo]],[1]Catalogos!$V$4:$W$55,2,FALSE)</f>
        <v>#N/A</v>
      </c>
      <c r="G200" s="4"/>
      <c r="H200" s="5"/>
      <c r="I200" s="4">
        <f t="shared" si="18"/>
        <v>-900</v>
      </c>
      <c r="J200" s="6">
        <v>28.3</v>
      </c>
      <c r="K200" s="6">
        <f t="shared" si="16"/>
        <v>0</v>
      </c>
      <c r="L200" s="6">
        <f>M199-TablaMarimba6[[#This Row],[Importe]]</f>
        <v>28242.01602000001</v>
      </c>
      <c r="M200" s="6">
        <f>TablaMarimba6[[#This Row],[Saldo inicial(vales)]]</f>
        <v>28242.01602000001</v>
      </c>
      <c r="N200" s="6">
        <f>TablaMarimba6[[#This Row],[Saldo inicial(vales)]]+TablaMarimba6[[#This Row],[Columna1]]</f>
        <v>56484.03204000002</v>
      </c>
      <c r="O200" s="6" t="str">
        <f t="shared" si="17"/>
        <v/>
      </c>
      <c r="P200" s="6"/>
      <c r="S200" s="6"/>
      <c r="T200" s="6"/>
      <c r="U200" s="6"/>
      <c r="V200" s="6"/>
      <c r="W200" s="6"/>
    </row>
    <row r="201" spans="1:23">
      <c r="A201" s="3"/>
      <c r="B201" s="3" t="str">
        <f t="shared" si="19"/>
        <v/>
      </c>
      <c r="F201" s="2" t="e">
        <f>VLOOKUP(TablaMarimba6[[#This Row],[Equipo]],[1]Catalogos!$V$4:$W$55,2,FALSE)</f>
        <v>#N/A</v>
      </c>
      <c r="G201" s="4"/>
      <c r="H201" s="5"/>
      <c r="I201" s="4">
        <f t="shared" si="18"/>
        <v>-900</v>
      </c>
      <c r="J201" s="6">
        <v>28.3</v>
      </c>
      <c r="K201" s="6">
        <f t="shared" si="16"/>
        <v>0</v>
      </c>
      <c r="L201" s="6">
        <f>M200-TablaMarimba6[[#This Row],[Importe]]</f>
        <v>28242.01602000001</v>
      </c>
      <c r="M201" s="6">
        <f>TablaMarimba6[[#This Row],[Saldo inicial(vales)]]</f>
        <v>28242.01602000001</v>
      </c>
      <c r="N201" s="6">
        <f>TablaMarimba6[[#This Row],[Saldo inicial(vales)]]+TablaMarimba6[[#This Row],[Columna1]]</f>
        <v>56484.03204000002</v>
      </c>
      <c r="O201" s="6" t="str">
        <f t="shared" si="17"/>
        <v/>
      </c>
      <c r="P201" s="6"/>
      <c r="S201" s="6"/>
      <c r="T201" s="6"/>
      <c r="U201" s="6"/>
      <c r="V201" s="6"/>
      <c r="W201" s="6"/>
    </row>
    <row r="202" spans="1:23">
      <c r="A202" s="3"/>
      <c r="B202" s="3" t="str">
        <f t="shared" si="19"/>
        <v/>
      </c>
      <c r="F202" s="2" t="e">
        <f>VLOOKUP(TablaMarimba6[[#This Row],[Equipo]],[1]Catalogos!$V$4:$W$55,2,FALSE)</f>
        <v>#N/A</v>
      </c>
      <c r="G202" s="4"/>
      <c r="H202" s="5"/>
      <c r="I202" s="4">
        <f t="shared" si="18"/>
        <v>-900</v>
      </c>
      <c r="J202" s="6">
        <v>28.3</v>
      </c>
      <c r="K202" s="6">
        <f t="shared" si="16"/>
        <v>0</v>
      </c>
      <c r="L202" s="6">
        <f>M201-TablaMarimba6[[#This Row],[Importe]]</f>
        <v>28242.01602000001</v>
      </c>
      <c r="M202" s="6">
        <f>TablaMarimba6[[#This Row],[Saldo inicial(vales)]]</f>
        <v>28242.01602000001</v>
      </c>
      <c r="N202" s="6">
        <f>TablaMarimba6[[#This Row],[Saldo inicial(vales)]]+TablaMarimba6[[#This Row],[Columna1]]</f>
        <v>56484.03204000002</v>
      </c>
      <c r="O202" s="6" t="str">
        <f t="shared" si="17"/>
        <v/>
      </c>
      <c r="P202" s="6"/>
      <c r="S202" s="6"/>
      <c r="T202" s="6"/>
      <c r="U202" s="6"/>
      <c r="V202" s="6"/>
      <c r="W202" s="6"/>
    </row>
    <row r="203" spans="1:23">
      <c r="A203" s="3"/>
      <c r="B203" s="3" t="str">
        <f t="shared" si="19"/>
        <v/>
      </c>
      <c r="F203" s="2" t="e">
        <f>VLOOKUP(TablaMarimba6[[#This Row],[Equipo]],[1]Catalogos!$V$4:$W$55,2,FALSE)</f>
        <v>#N/A</v>
      </c>
      <c r="G203" s="4"/>
      <c r="H203" s="5"/>
      <c r="I203" s="4">
        <f t="shared" si="18"/>
        <v>-900</v>
      </c>
      <c r="J203" s="6">
        <v>28.3</v>
      </c>
      <c r="K203" s="6">
        <f t="shared" ref="K203:K205" si="20">IFERROR((G203+H203)*J203,0)</f>
        <v>0</v>
      </c>
      <c r="L203" s="6">
        <f>M202-TablaMarimba6[[#This Row],[Importe]]</f>
        <v>28242.01602000001</v>
      </c>
      <c r="M203" s="6">
        <f>TablaMarimba6[[#This Row],[Saldo inicial(vales)]]</f>
        <v>28242.01602000001</v>
      </c>
      <c r="N203" s="6">
        <f>TablaMarimba6[[#This Row],[Saldo inicial(vales)]]+TablaMarimba6[[#This Row],[Columna1]]</f>
        <v>56484.03204000002</v>
      </c>
      <c r="O203" s="6" t="str">
        <f t="shared" si="17"/>
        <v/>
      </c>
      <c r="P203" s="6"/>
      <c r="S203" s="6"/>
      <c r="T203" s="6"/>
      <c r="U203" s="6"/>
      <c r="V203" s="6"/>
      <c r="W203" s="6"/>
    </row>
    <row r="204" spans="1:23">
      <c r="A204" s="3"/>
      <c r="B204" s="3" t="str">
        <f t="shared" si="19"/>
        <v/>
      </c>
      <c r="F204" s="2" t="e">
        <f>VLOOKUP(TablaMarimba6[[#This Row],[Equipo]],[1]Catalogos!$V$4:$W$55,2,FALSE)</f>
        <v>#N/A</v>
      </c>
      <c r="G204" s="4"/>
      <c r="H204" s="5"/>
      <c r="I204" s="4">
        <f t="shared" si="18"/>
        <v>-900</v>
      </c>
      <c r="J204" s="6">
        <v>28.3</v>
      </c>
      <c r="K204" s="6">
        <f t="shared" si="20"/>
        <v>0</v>
      </c>
      <c r="L204" s="6">
        <f>M203-TablaMarimba6[[#This Row],[Importe]]</f>
        <v>28242.01602000001</v>
      </c>
      <c r="M204" s="6">
        <f>TablaMarimba6[[#This Row],[Saldo inicial(vales)]]</f>
        <v>28242.01602000001</v>
      </c>
      <c r="N204" s="6">
        <f>TablaMarimba6[[#This Row],[Saldo inicial(vales)]]+TablaMarimba6[[#This Row],[Columna1]]</f>
        <v>56484.03204000002</v>
      </c>
      <c r="O204" s="6" t="str">
        <f t="shared" si="17"/>
        <v/>
      </c>
      <c r="P204" s="6"/>
      <c r="S204" s="6"/>
      <c r="T204" s="6"/>
      <c r="U204" s="6"/>
      <c r="V204" s="6"/>
      <c r="W204" s="6"/>
    </row>
    <row r="205" spans="1:23">
      <c r="A205" s="3"/>
      <c r="B205" s="3" t="str">
        <f t="shared" si="19"/>
        <v/>
      </c>
      <c r="F205" s="2" t="e">
        <f>VLOOKUP(TablaMarimba6[[#This Row],[Equipo]],[1]Catalogos!$V$4:$W$55,2,FALSE)</f>
        <v>#N/A</v>
      </c>
      <c r="G205" s="4"/>
      <c r="H205" s="5"/>
      <c r="I205" s="4">
        <f t="shared" si="18"/>
        <v>-900</v>
      </c>
      <c r="J205" s="6">
        <v>28.3</v>
      </c>
      <c r="K205" s="6">
        <f t="shared" si="20"/>
        <v>0</v>
      </c>
      <c r="L205" s="6">
        <f>M204-TablaMarimba6[[#This Row],[Importe]]</f>
        <v>28242.01602000001</v>
      </c>
      <c r="M205" s="6">
        <f>TablaMarimba6[[#This Row],[Saldo inicial(vales)]]</f>
        <v>28242.01602000001</v>
      </c>
      <c r="N205" s="6">
        <f>TablaMarimba6[[#This Row],[Saldo inicial(vales)]]+TablaMarimba6[[#This Row],[Columna1]]</f>
        <v>56484.03204000002</v>
      </c>
      <c r="O205" s="6" t="str">
        <f t="shared" si="17"/>
        <v/>
      </c>
      <c r="P205" s="6"/>
      <c r="S205" s="6"/>
      <c r="T205" s="6"/>
      <c r="U205" s="6"/>
      <c r="V205" s="6"/>
      <c r="W205" s="6"/>
    </row>
    <row r="206" spans="1:23">
      <c r="B206" s="3" t="str">
        <f t="shared" si="19"/>
        <v/>
      </c>
      <c r="F206" s="2" t="e">
        <f>VLOOKUP(TablaMarimba6[[#This Row],[Equipo]],[1]Catalogos!$V$4:$W$55,2,FALSE)</f>
        <v>#N/A</v>
      </c>
      <c r="H206" s="5"/>
      <c r="L206" s="6"/>
      <c r="M206" s="6">
        <f>TablaMarimba6[[#This Row],[Saldo inicial(vales)]]</f>
        <v>0</v>
      </c>
      <c r="N206" s="6">
        <f>TablaMarimba6[[#This Row],[Saldo inicial(vales)]]+TablaMarimba6[[#This Row],[Columna1]]</f>
        <v>0</v>
      </c>
      <c r="O206" s="6" t="str">
        <f t="shared" si="17"/>
        <v/>
      </c>
      <c r="P206" s="6"/>
      <c r="S206" s="6"/>
      <c r="T206" s="6"/>
      <c r="U206" s="6"/>
      <c r="V206" s="6"/>
      <c r="W206" s="6"/>
    </row>
    <row r="207" spans="1:23">
      <c r="B207" s="3" t="str">
        <f t="shared" si="19"/>
        <v/>
      </c>
      <c r="F207" s="2" t="e">
        <f>VLOOKUP(TablaMarimba6[[#This Row],[Equipo]],[1]Catalogos!$V$4:$W$55,2,FALSE)</f>
        <v>#N/A</v>
      </c>
      <c r="H207" s="5"/>
      <c r="L207" s="6"/>
      <c r="M207" s="6">
        <f>TablaMarimba6[[#This Row],[Saldo inicial(vales)]]</f>
        <v>0</v>
      </c>
      <c r="N207" s="6">
        <f>TablaMarimba6[[#This Row],[Saldo inicial(vales)]]+TablaMarimba6[[#This Row],[Columna1]]</f>
        <v>0</v>
      </c>
      <c r="O207" s="6" t="str">
        <f t="shared" si="17"/>
        <v/>
      </c>
      <c r="P207" s="6"/>
      <c r="S207" s="6"/>
      <c r="T207" s="6"/>
      <c r="U207" s="6"/>
      <c r="V207" s="6"/>
      <c r="W207" s="6"/>
    </row>
    <row r="208" spans="1:23">
      <c r="B208" s="3" t="str">
        <f t="shared" si="19"/>
        <v/>
      </c>
      <c r="F208" s="2" t="e">
        <f>VLOOKUP(TablaMarimba6[[#This Row],[Equipo]],[1]Catalogos!$V$4:$W$55,2,FALSE)</f>
        <v>#N/A</v>
      </c>
      <c r="H208" s="5"/>
      <c r="L208" s="6"/>
      <c r="M208" s="6">
        <f>TablaMarimba6[[#This Row],[Saldo inicial(vales)]]</f>
        <v>0</v>
      </c>
      <c r="N208" s="6">
        <f>TablaMarimba6[[#This Row],[Saldo inicial(vales)]]+TablaMarimba6[[#This Row],[Columna1]]</f>
        <v>0</v>
      </c>
      <c r="O208" s="6" t="str">
        <f t="shared" si="17"/>
        <v/>
      </c>
      <c r="P208" s="6"/>
      <c r="S208" s="6"/>
      <c r="T208" s="6"/>
      <c r="U208" s="6"/>
      <c r="V208" s="6"/>
      <c r="W208" s="6"/>
    </row>
    <row r="209" spans="2:23">
      <c r="B209" s="3" t="str">
        <f t="shared" si="19"/>
        <v/>
      </c>
      <c r="F209" s="2" t="e">
        <f>VLOOKUP(TablaMarimba6[[#This Row],[Equipo]],[1]Catalogos!$V$4:$W$55,2,FALSE)</f>
        <v>#N/A</v>
      </c>
      <c r="H209" s="5"/>
      <c r="L209" s="6"/>
      <c r="M209" s="6">
        <f>TablaMarimba6[[#This Row],[Saldo inicial(vales)]]</f>
        <v>0</v>
      </c>
      <c r="N209" s="6">
        <f>TablaMarimba6[[#This Row],[Saldo inicial(vales)]]+TablaMarimba6[[#This Row],[Columna1]]</f>
        <v>0</v>
      </c>
      <c r="O209" s="6" t="str">
        <f t="shared" si="17"/>
        <v/>
      </c>
      <c r="P209" s="6"/>
      <c r="S209" s="6"/>
      <c r="T209" s="6"/>
      <c r="U209" s="6"/>
      <c r="V209" s="6"/>
      <c r="W209" s="6"/>
    </row>
    <row r="210" spans="2:23">
      <c r="B210" s="3" t="str">
        <f t="shared" si="19"/>
        <v/>
      </c>
      <c r="F210" s="2" t="e">
        <f>VLOOKUP(TablaMarimba6[[#This Row],[Equipo]],[1]Catalogos!$V$4:$W$55,2,FALSE)</f>
        <v>#N/A</v>
      </c>
      <c r="H210" s="5"/>
      <c r="L210" s="6"/>
      <c r="M210" s="6">
        <f>TablaMarimba6[[#This Row],[Saldo inicial(vales)]]</f>
        <v>0</v>
      </c>
      <c r="N210" s="6">
        <f>TablaMarimba6[[#This Row],[Saldo inicial(vales)]]+TablaMarimba6[[#This Row],[Columna1]]</f>
        <v>0</v>
      </c>
      <c r="O210" s="6" t="str">
        <f t="shared" si="17"/>
        <v/>
      </c>
      <c r="P210" s="6"/>
      <c r="S210" s="6"/>
      <c r="T210" s="6"/>
      <c r="U210" s="6"/>
      <c r="V210" s="6"/>
      <c r="W210" s="6"/>
    </row>
    <row r="211" spans="2:23">
      <c r="B211" s="3" t="str">
        <f t="shared" si="19"/>
        <v/>
      </c>
      <c r="F211" s="2" t="e">
        <f>VLOOKUP(TablaMarimba6[[#This Row],[Equipo]],[1]Catalogos!$V$4:$W$55,2,FALSE)</f>
        <v>#N/A</v>
      </c>
      <c r="H211" s="5"/>
      <c r="L211" s="6"/>
      <c r="M211" s="6">
        <f>TablaMarimba6[[#This Row],[Saldo inicial(vales)]]</f>
        <v>0</v>
      </c>
      <c r="N211" s="6">
        <f>TablaMarimba6[[#This Row],[Saldo inicial(vales)]]+TablaMarimba6[[#This Row],[Columna1]]</f>
        <v>0</v>
      </c>
      <c r="O211" s="6" t="str">
        <f t="shared" si="17"/>
        <v/>
      </c>
      <c r="P211" s="6"/>
      <c r="S211" s="6"/>
      <c r="T211" s="6"/>
      <c r="U211" s="6"/>
      <c r="V211" s="6"/>
      <c r="W211" s="6"/>
    </row>
    <row r="212" spans="2:23">
      <c r="B212" s="3" t="str">
        <f t="shared" si="19"/>
        <v/>
      </c>
      <c r="F212" s="2" t="e">
        <f>VLOOKUP(TablaMarimba6[[#This Row],[Equipo]],[1]Catalogos!$V$4:$W$55,2,FALSE)</f>
        <v>#N/A</v>
      </c>
      <c r="H212" s="5"/>
      <c r="L212" s="6"/>
      <c r="M212" s="6">
        <f>TablaMarimba6[[#This Row],[Saldo inicial(vales)]]</f>
        <v>0</v>
      </c>
      <c r="N212" s="6">
        <f>TablaMarimba6[[#This Row],[Saldo inicial(vales)]]+TablaMarimba6[[#This Row],[Columna1]]</f>
        <v>0</v>
      </c>
      <c r="O212" s="6" t="str">
        <f t="shared" si="17"/>
        <v/>
      </c>
      <c r="P212" s="6"/>
      <c r="S212" s="6"/>
      <c r="T212" s="6"/>
      <c r="U212" s="6"/>
      <c r="V212" s="6"/>
      <c r="W212" s="6"/>
    </row>
    <row r="213" spans="2:23">
      <c r="B213" s="3" t="str">
        <f t="shared" si="19"/>
        <v/>
      </c>
      <c r="F213" s="2" t="e">
        <f>VLOOKUP(TablaMarimba6[[#This Row],[Equipo]],[1]Catalogos!$V$4:$W$55,2,FALSE)</f>
        <v>#N/A</v>
      </c>
      <c r="H213" s="5"/>
      <c r="L213" s="6"/>
      <c r="M213" s="6">
        <f>TablaMarimba6[[#This Row],[Saldo inicial(vales)]]</f>
        <v>0</v>
      </c>
      <c r="N213" s="6">
        <f>TablaMarimba6[[#This Row],[Saldo inicial(vales)]]+TablaMarimba6[[#This Row],[Columna1]]</f>
        <v>0</v>
      </c>
      <c r="O213" s="6" t="str">
        <f t="shared" si="17"/>
        <v/>
      </c>
      <c r="P213" s="6"/>
      <c r="S213" s="6"/>
      <c r="T213" s="6"/>
      <c r="U213" s="6"/>
      <c r="V213" s="6"/>
      <c r="W213" s="6"/>
    </row>
    <row r="214" spans="2:23">
      <c r="B214" s="3" t="str">
        <f t="shared" si="19"/>
        <v/>
      </c>
      <c r="F214" s="2" t="e">
        <f>VLOOKUP(TablaMarimba6[[#This Row],[Equipo]],[1]Catalogos!$V$4:$W$55,2,FALSE)</f>
        <v>#N/A</v>
      </c>
      <c r="H214" s="5"/>
      <c r="L214" s="6"/>
      <c r="M214" s="6">
        <f>TablaMarimba6[[#This Row],[Saldo inicial(vales)]]</f>
        <v>0</v>
      </c>
      <c r="N214" s="6">
        <f>TablaMarimba6[[#This Row],[Saldo inicial(vales)]]+TablaMarimba6[[#This Row],[Columna1]]</f>
        <v>0</v>
      </c>
      <c r="O214" s="6" t="str">
        <f t="shared" si="17"/>
        <v/>
      </c>
      <c r="P214" s="6"/>
      <c r="S214" s="6"/>
      <c r="T214" s="6"/>
      <c r="U214" s="6"/>
      <c r="V214" s="6"/>
      <c r="W214" s="6"/>
    </row>
    <row r="215" spans="2:23">
      <c r="B215" s="3" t="str">
        <f t="shared" si="19"/>
        <v/>
      </c>
      <c r="F215" s="2" t="e">
        <f>VLOOKUP(TablaMarimba6[[#This Row],[Equipo]],[1]Catalogos!$V$4:$W$55,2,FALSE)</f>
        <v>#N/A</v>
      </c>
      <c r="H215" s="5"/>
      <c r="L215" s="6"/>
      <c r="M215" s="6">
        <f>TablaMarimba6[[#This Row],[Saldo inicial(vales)]]</f>
        <v>0</v>
      </c>
      <c r="N215" s="6">
        <f>TablaMarimba6[[#This Row],[Saldo inicial(vales)]]+TablaMarimba6[[#This Row],[Columna1]]</f>
        <v>0</v>
      </c>
      <c r="O215" s="6" t="str">
        <f t="shared" si="17"/>
        <v/>
      </c>
      <c r="P215" s="6"/>
      <c r="S215" s="6"/>
      <c r="T215" s="6"/>
      <c r="U215" s="6"/>
      <c r="V215" s="6"/>
      <c r="W215" s="6"/>
    </row>
    <row r="216" spans="2:23">
      <c r="B216" s="3" t="str">
        <f t="shared" si="19"/>
        <v/>
      </c>
      <c r="F216" s="2" t="e">
        <f>VLOOKUP(TablaMarimba6[[#This Row],[Equipo]],[1]Catalogos!$V$4:$W$55,2,FALSE)</f>
        <v>#N/A</v>
      </c>
      <c r="H216" s="5"/>
      <c r="L216" s="6"/>
      <c r="M216" s="6">
        <f>TablaMarimba6[[#This Row],[Saldo inicial(vales)]]</f>
        <v>0</v>
      </c>
      <c r="N216" s="6">
        <f>TablaMarimba6[[#This Row],[Saldo inicial(vales)]]+TablaMarimba6[[#This Row],[Columna1]]</f>
        <v>0</v>
      </c>
      <c r="O216" s="6" t="str">
        <f t="shared" si="17"/>
        <v/>
      </c>
      <c r="P216" s="6"/>
      <c r="S216" s="6"/>
      <c r="T216" s="6"/>
      <c r="U216" s="6"/>
      <c r="V216" s="6"/>
      <c r="W216" s="6"/>
    </row>
    <row r="217" spans="2:23">
      <c r="B217" s="3" t="str">
        <f t="shared" si="19"/>
        <v/>
      </c>
      <c r="F217" s="2" t="e">
        <f>VLOOKUP(TablaMarimba6[[#This Row],[Equipo]],[1]Catalogos!$V$4:$W$55,2,FALSE)</f>
        <v>#N/A</v>
      </c>
      <c r="H217" s="5"/>
      <c r="L217" s="6"/>
      <c r="M217" s="6">
        <f>TablaMarimba6[[#This Row],[Saldo inicial(vales)]]</f>
        <v>0</v>
      </c>
      <c r="N217" s="6">
        <f>TablaMarimba6[[#This Row],[Saldo inicial(vales)]]+TablaMarimba6[[#This Row],[Columna1]]</f>
        <v>0</v>
      </c>
      <c r="O217" s="6" t="str">
        <f t="shared" si="17"/>
        <v/>
      </c>
      <c r="P217" s="6"/>
      <c r="S217" s="6"/>
      <c r="T217" s="6"/>
      <c r="U217" s="6"/>
      <c r="V217" s="6"/>
      <c r="W217" s="6"/>
    </row>
    <row r="218" spans="2:23">
      <c r="B218" s="3" t="str">
        <f t="shared" si="19"/>
        <v/>
      </c>
      <c r="F218" s="2" t="e">
        <f>VLOOKUP(TablaMarimba6[[#This Row],[Equipo]],[1]Catalogos!$V$4:$W$55,2,FALSE)</f>
        <v>#N/A</v>
      </c>
      <c r="H218" s="5"/>
      <c r="L218" s="6"/>
      <c r="M218" s="6">
        <f>TablaMarimba6[[#This Row],[Saldo inicial(vales)]]</f>
        <v>0</v>
      </c>
      <c r="N218" s="6">
        <f>TablaMarimba6[[#This Row],[Saldo inicial(vales)]]+TablaMarimba6[[#This Row],[Columna1]]</f>
        <v>0</v>
      </c>
      <c r="O218" s="6" t="str">
        <f t="shared" si="17"/>
        <v/>
      </c>
      <c r="P218" s="6"/>
      <c r="S218" s="6"/>
      <c r="T218" s="6"/>
      <c r="U218" s="6"/>
      <c r="V218" s="6"/>
      <c r="W218" s="6"/>
    </row>
    <row r="219" spans="2:23">
      <c r="B219" s="3" t="str">
        <f t="shared" si="19"/>
        <v/>
      </c>
      <c r="F219" s="2" t="e">
        <f>VLOOKUP(TablaMarimba6[[#This Row],[Equipo]],[1]Catalogos!$V$4:$W$55,2,FALSE)</f>
        <v>#N/A</v>
      </c>
      <c r="H219" s="5"/>
      <c r="L219" s="6"/>
      <c r="M219" s="6">
        <f>TablaMarimba6[[#This Row],[Saldo inicial(vales)]]</f>
        <v>0</v>
      </c>
      <c r="N219" s="6">
        <f>TablaMarimba6[[#This Row],[Saldo inicial(vales)]]+TablaMarimba6[[#This Row],[Columna1]]</f>
        <v>0</v>
      </c>
      <c r="O219" s="6" t="str">
        <f t="shared" si="17"/>
        <v/>
      </c>
      <c r="P219" s="6"/>
      <c r="S219" s="6"/>
      <c r="T219" s="6"/>
      <c r="U219" s="6"/>
      <c r="V219" s="6"/>
      <c r="W219" s="6"/>
    </row>
    <row r="220" spans="2:23">
      <c r="B220" s="3" t="str">
        <f t="shared" si="19"/>
        <v/>
      </c>
      <c r="F220" s="2" t="e">
        <f>VLOOKUP(TablaMarimba6[[#This Row],[Equipo]],[1]Catalogos!$V$4:$W$55,2,FALSE)</f>
        <v>#N/A</v>
      </c>
      <c r="H220" s="5"/>
      <c r="L220" s="6"/>
      <c r="M220" s="6">
        <f>TablaMarimba6[[#This Row],[Saldo inicial(vales)]]</f>
        <v>0</v>
      </c>
      <c r="N220" s="6">
        <f>TablaMarimba6[[#This Row],[Saldo inicial(vales)]]+TablaMarimba6[[#This Row],[Columna1]]</f>
        <v>0</v>
      </c>
      <c r="O220" s="6" t="str">
        <f t="shared" si="17"/>
        <v/>
      </c>
      <c r="P220" s="6"/>
      <c r="S220" s="6"/>
      <c r="T220" s="6"/>
      <c r="U220" s="6"/>
      <c r="V220" s="6"/>
      <c r="W220" s="6"/>
    </row>
    <row r="221" spans="2:23">
      <c r="B221" s="3" t="str">
        <f t="shared" si="19"/>
        <v/>
      </c>
      <c r="F221" s="2" t="e">
        <f>VLOOKUP(TablaMarimba6[[#This Row],[Equipo]],[1]Catalogos!$V$4:$W$55,2,FALSE)</f>
        <v>#N/A</v>
      </c>
      <c r="H221" s="5"/>
      <c r="L221" s="6"/>
      <c r="M221" s="6">
        <f>TablaMarimba6[[#This Row],[Saldo inicial(vales)]]</f>
        <v>0</v>
      </c>
      <c r="N221" s="6">
        <f>TablaMarimba6[[#This Row],[Saldo inicial(vales)]]+TablaMarimba6[[#This Row],[Columna1]]</f>
        <v>0</v>
      </c>
      <c r="O221" s="6" t="str">
        <f t="shared" si="17"/>
        <v/>
      </c>
      <c r="P221" s="6"/>
      <c r="S221" s="6"/>
      <c r="T221" s="6"/>
      <c r="U221" s="6"/>
      <c r="V221" s="6"/>
      <c r="W221" s="6"/>
    </row>
    <row r="222" spans="2:23">
      <c r="B222" s="3" t="str">
        <f t="shared" si="19"/>
        <v/>
      </c>
      <c r="F222" s="2" t="e">
        <f>VLOOKUP(TablaMarimba6[[#This Row],[Equipo]],[1]Catalogos!$V$4:$W$55,2,FALSE)</f>
        <v>#N/A</v>
      </c>
      <c r="H222" s="5"/>
      <c r="L222" s="6"/>
      <c r="M222" s="6">
        <f>TablaMarimba6[[#This Row],[Saldo inicial(vales)]]</f>
        <v>0</v>
      </c>
      <c r="N222" s="6">
        <f>TablaMarimba6[[#This Row],[Saldo inicial(vales)]]+TablaMarimba6[[#This Row],[Columna1]]</f>
        <v>0</v>
      </c>
      <c r="O222" s="6" t="str">
        <f t="shared" si="17"/>
        <v/>
      </c>
      <c r="P222" s="6"/>
      <c r="S222" s="6"/>
      <c r="T222" s="6"/>
      <c r="U222" s="6"/>
      <c r="V222" s="6"/>
      <c r="W222" s="6"/>
    </row>
    <row r="223" spans="2:23">
      <c r="B223" s="3" t="str">
        <f t="shared" si="19"/>
        <v/>
      </c>
      <c r="F223" s="2" t="e">
        <f>VLOOKUP(TablaMarimba6[[#This Row],[Equipo]],[1]Catalogos!$V$4:$W$55,2,FALSE)</f>
        <v>#N/A</v>
      </c>
      <c r="H223" s="5"/>
      <c r="L223" s="6"/>
      <c r="M223" s="6">
        <f>TablaMarimba6[[#This Row],[Saldo inicial(vales)]]</f>
        <v>0</v>
      </c>
      <c r="N223" s="6">
        <f>TablaMarimba6[[#This Row],[Saldo inicial(vales)]]+TablaMarimba6[[#This Row],[Columna1]]</f>
        <v>0</v>
      </c>
      <c r="O223" s="6" t="str">
        <f t="shared" si="17"/>
        <v/>
      </c>
      <c r="P223" s="6"/>
      <c r="S223" s="6"/>
      <c r="T223" s="6"/>
      <c r="U223" s="6"/>
      <c r="V223" s="6"/>
      <c r="W223" s="6"/>
    </row>
    <row r="224" spans="2:23">
      <c r="B224" s="3" t="str">
        <f t="shared" si="19"/>
        <v/>
      </c>
      <c r="F224" s="2" t="e">
        <f>VLOOKUP(TablaMarimba6[[#This Row],[Equipo]],[1]Catalogos!$V$4:$W$55,2,FALSE)</f>
        <v>#N/A</v>
      </c>
      <c r="H224" s="5"/>
      <c r="L224" s="6"/>
      <c r="M224" s="6">
        <f>TablaMarimba6[[#This Row],[Saldo inicial(vales)]]</f>
        <v>0</v>
      </c>
      <c r="N224" s="6">
        <f>TablaMarimba6[[#This Row],[Saldo inicial(vales)]]+TablaMarimba6[[#This Row],[Columna1]]</f>
        <v>0</v>
      </c>
      <c r="O224" s="6" t="str">
        <f t="shared" si="17"/>
        <v/>
      </c>
      <c r="P224" s="6"/>
      <c r="S224" s="6"/>
      <c r="T224" s="6"/>
      <c r="U224" s="6"/>
      <c r="V224" s="6"/>
      <c r="W224" s="6"/>
    </row>
    <row r="225" spans="2:23">
      <c r="B225" s="3" t="str">
        <f t="shared" si="19"/>
        <v/>
      </c>
      <c r="F225" s="2" t="e">
        <f>VLOOKUP(TablaMarimba6[[#This Row],[Equipo]],[1]Catalogos!$V$4:$W$55,2,FALSE)</f>
        <v>#N/A</v>
      </c>
      <c r="H225" s="5"/>
      <c r="L225" s="6"/>
      <c r="M225" s="6">
        <f>TablaMarimba6[[#This Row],[Saldo inicial(vales)]]</f>
        <v>0</v>
      </c>
      <c r="N225" s="6">
        <f>TablaMarimba6[[#This Row],[Saldo inicial(vales)]]+TablaMarimba6[[#This Row],[Columna1]]</f>
        <v>0</v>
      </c>
      <c r="O225" s="6" t="str">
        <f t="shared" si="17"/>
        <v/>
      </c>
      <c r="P225" s="6"/>
      <c r="S225" s="6"/>
      <c r="T225" s="6"/>
      <c r="U225" s="6"/>
      <c r="V225" s="6"/>
      <c r="W225" s="6"/>
    </row>
    <row r="226" spans="2:23">
      <c r="B226" s="3" t="str">
        <f t="shared" si="19"/>
        <v/>
      </c>
      <c r="F226" s="2" t="e">
        <f>VLOOKUP(TablaMarimba6[[#This Row],[Equipo]],[1]Catalogos!$V$4:$W$55,2,FALSE)</f>
        <v>#N/A</v>
      </c>
      <c r="H226" s="5"/>
      <c r="L226" s="6"/>
      <c r="M226" s="6">
        <f>TablaMarimba6[[#This Row],[Saldo inicial(vales)]]</f>
        <v>0</v>
      </c>
      <c r="N226" s="6">
        <f>TablaMarimba6[[#This Row],[Saldo inicial(vales)]]+TablaMarimba6[[#This Row],[Columna1]]</f>
        <v>0</v>
      </c>
      <c r="O226" s="6" t="str">
        <f t="shared" si="17"/>
        <v/>
      </c>
      <c r="P226" s="6"/>
      <c r="S226" s="6"/>
      <c r="T226" s="6"/>
      <c r="U226" s="6"/>
      <c r="V226" s="6"/>
      <c r="W226" s="6"/>
    </row>
    <row r="227" spans="2:23">
      <c r="B227" s="3" t="str">
        <f t="shared" si="19"/>
        <v/>
      </c>
      <c r="F227" s="2" t="e">
        <f>VLOOKUP(TablaMarimba6[[#This Row],[Equipo]],[1]Catalogos!$V$4:$W$55,2,FALSE)</f>
        <v>#N/A</v>
      </c>
      <c r="H227" s="5"/>
      <c r="L227" s="6"/>
      <c r="M227" s="6">
        <f>TablaMarimba6[[#This Row],[Saldo inicial(vales)]]</f>
        <v>0</v>
      </c>
      <c r="N227" s="6">
        <f>TablaMarimba6[[#This Row],[Saldo inicial(vales)]]+TablaMarimba6[[#This Row],[Columna1]]</f>
        <v>0</v>
      </c>
      <c r="O227" s="6" t="str">
        <f t="shared" si="17"/>
        <v/>
      </c>
      <c r="P227" s="6"/>
      <c r="S227" s="6"/>
      <c r="T227" s="6"/>
      <c r="U227" s="6"/>
      <c r="V227" s="6"/>
      <c r="W227" s="6"/>
    </row>
    <row r="228" spans="2:23">
      <c r="B228" s="3" t="str">
        <f t="shared" si="19"/>
        <v/>
      </c>
      <c r="F228" s="2" t="e">
        <f>VLOOKUP(TablaMarimba6[[#This Row],[Equipo]],[1]Catalogos!$V$4:$W$55,2,FALSE)</f>
        <v>#N/A</v>
      </c>
      <c r="H228" s="5"/>
      <c r="L228" s="6"/>
      <c r="M228" s="6">
        <f>TablaMarimba6[[#This Row],[Saldo inicial(vales)]]</f>
        <v>0</v>
      </c>
      <c r="N228" s="6">
        <f>TablaMarimba6[[#This Row],[Saldo inicial(vales)]]+TablaMarimba6[[#This Row],[Columna1]]</f>
        <v>0</v>
      </c>
      <c r="O228" s="6" t="str">
        <f t="shared" si="17"/>
        <v/>
      </c>
      <c r="P228" s="6"/>
      <c r="S228" s="6"/>
      <c r="T228" s="6"/>
      <c r="U228" s="6"/>
      <c r="V228" s="6"/>
      <c r="W228" s="6"/>
    </row>
    <row r="229" spans="2:23">
      <c r="B229" s="3" t="str">
        <f t="shared" si="19"/>
        <v/>
      </c>
      <c r="F229" s="2" t="e">
        <f>VLOOKUP(TablaMarimba6[[#This Row],[Equipo]],[1]Catalogos!$V$4:$W$55,2,FALSE)</f>
        <v>#N/A</v>
      </c>
      <c r="H229" s="5"/>
      <c r="L229" s="6"/>
      <c r="M229" s="6">
        <f>TablaMarimba6[[#This Row],[Saldo inicial(vales)]]</f>
        <v>0</v>
      </c>
      <c r="N229" s="6">
        <f>TablaMarimba6[[#This Row],[Saldo inicial(vales)]]+TablaMarimba6[[#This Row],[Columna1]]</f>
        <v>0</v>
      </c>
      <c r="O229" s="6" t="str">
        <f t="shared" si="17"/>
        <v/>
      </c>
      <c r="P229" s="6"/>
      <c r="S229" s="6"/>
      <c r="T229" s="6"/>
      <c r="U229" s="6"/>
      <c r="V229" s="6"/>
      <c r="W229" s="6"/>
    </row>
    <row r="230" spans="2:23">
      <c r="B230" s="3" t="str">
        <f t="shared" si="19"/>
        <v/>
      </c>
      <c r="F230" s="2" t="e">
        <f>VLOOKUP(TablaMarimba6[[#This Row],[Equipo]],[1]Catalogos!$V$4:$W$55,2,FALSE)</f>
        <v>#N/A</v>
      </c>
      <c r="H230" s="5"/>
      <c r="L230" s="6"/>
      <c r="M230" s="6">
        <f>TablaMarimba6[[#This Row],[Saldo inicial(vales)]]</f>
        <v>0</v>
      </c>
      <c r="N230" s="6">
        <f>TablaMarimba6[[#This Row],[Saldo inicial(vales)]]+TablaMarimba6[[#This Row],[Columna1]]</f>
        <v>0</v>
      </c>
      <c r="O230" s="6" t="str">
        <f t="shared" si="17"/>
        <v/>
      </c>
      <c r="P230" s="6"/>
      <c r="S230" s="6"/>
      <c r="T230" s="6"/>
      <c r="U230" s="6"/>
      <c r="V230" s="6"/>
      <c r="W230" s="6"/>
    </row>
    <row r="231" spans="2:23">
      <c r="B231" s="3" t="str">
        <f t="shared" si="19"/>
        <v/>
      </c>
      <c r="F231" s="2" t="e">
        <f>VLOOKUP(TablaMarimba6[[#This Row],[Equipo]],[1]Catalogos!$V$4:$W$55,2,FALSE)</f>
        <v>#N/A</v>
      </c>
      <c r="H231" s="5"/>
      <c r="L231" s="6"/>
      <c r="M231" s="6">
        <f>TablaMarimba6[[#This Row],[Saldo inicial(vales)]]</f>
        <v>0</v>
      </c>
      <c r="N231" s="6">
        <f>TablaMarimba6[[#This Row],[Saldo inicial(vales)]]+TablaMarimba6[[#This Row],[Columna1]]</f>
        <v>0</v>
      </c>
      <c r="O231" s="6" t="str">
        <f t="shared" si="17"/>
        <v/>
      </c>
      <c r="P231" s="6"/>
      <c r="S231" s="6"/>
      <c r="T231" s="6"/>
      <c r="U231" s="6"/>
      <c r="V231" s="6"/>
      <c r="W231" s="6"/>
    </row>
    <row r="232" spans="2:23">
      <c r="B232" s="3" t="str">
        <f t="shared" si="19"/>
        <v/>
      </c>
      <c r="F232" s="2" t="e">
        <f>VLOOKUP(TablaMarimba6[[#This Row],[Equipo]],[1]Catalogos!$V$4:$W$55,2,FALSE)</f>
        <v>#N/A</v>
      </c>
      <c r="H232" s="5"/>
      <c r="L232" s="6"/>
      <c r="M232" s="6">
        <f>TablaMarimba6[[#This Row],[Saldo inicial(vales)]]</f>
        <v>0</v>
      </c>
      <c r="N232" s="6">
        <f>TablaMarimba6[[#This Row],[Saldo inicial(vales)]]+TablaMarimba6[[#This Row],[Columna1]]</f>
        <v>0</v>
      </c>
      <c r="O232" s="6" t="str">
        <f t="shared" si="17"/>
        <v/>
      </c>
      <c r="P232" s="6"/>
      <c r="S232" s="6"/>
      <c r="T232" s="6"/>
      <c r="U232" s="6"/>
      <c r="V232" s="6"/>
      <c r="W232" s="6"/>
    </row>
    <row r="233" spans="2:23">
      <c r="B233" s="3" t="str">
        <f t="shared" si="19"/>
        <v/>
      </c>
      <c r="F233" s="2" t="e">
        <f>VLOOKUP(TablaMarimba6[[#This Row],[Equipo]],[1]Catalogos!$V$4:$W$55,2,FALSE)</f>
        <v>#N/A</v>
      </c>
      <c r="H233" s="5"/>
      <c r="L233" s="6"/>
      <c r="M233" s="6">
        <f>TablaMarimba6[[#This Row],[Saldo inicial(vales)]]</f>
        <v>0</v>
      </c>
      <c r="N233" s="6">
        <f>TablaMarimba6[[#This Row],[Saldo inicial(vales)]]+TablaMarimba6[[#This Row],[Columna1]]</f>
        <v>0</v>
      </c>
      <c r="O233" s="6" t="str">
        <f t="shared" si="17"/>
        <v/>
      </c>
      <c r="P233" s="6"/>
      <c r="S233" s="6"/>
      <c r="T233" s="6"/>
      <c r="U233" s="6"/>
      <c r="V233" s="6"/>
      <c r="W233" s="6"/>
    </row>
    <row r="234" spans="2:23">
      <c r="B234" s="3" t="str">
        <f t="shared" si="19"/>
        <v/>
      </c>
      <c r="F234" s="2" t="e">
        <f>VLOOKUP(TablaMarimba6[[#This Row],[Equipo]],[1]Catalogos!$V$4:$W$55,2,FALSE)</f>
        <v>#N/A</v>
      </c>
      <c r="H234" s="5"/>
      <c r="L234" s="6"/>
      <c r="M234" s="6">
        <f>TablaMarimba6[[#This Row],[Saldo inicial(vales)]]</f>
        <v>0</v>
      </c>
      <c r="N234" s="6">
        <f>TablaMarimba6[[#This Row],[Saldo inicial(vales)]]+TablaMarimba6[[#This Row],[Columna1]]</f>
        <v>0</v>
      </c>
      <c r="O234" s="6" t="str">
        <f t="shared" si="17"/>
        <v/>
      </c>
      <c r="P234" s="6"/>
      <c r="S234" s="6"/>
      <c r="T234" s="6"/>
      <c r="U234" s="6"/>
      <c r="V234" s="6"/>
      <c r="W234" s="6"/>
    </row>
    <row r="235" spans="2:23">
      <c r="B235" s="3" t="str">
        <f t="shared" si="19"/>
        <v/>
      </c>
      <c r="F235" s="2" t="e">
        <f>VLOOKUP(TablaMarimba6[[#This Row],[Equipo]],[1]Catalogos!$V$4:$W$55,2,FALSE)</f>
        <v>#N/A</v>
      </c>
      <c r="H235" s="5"/>
      <c r="L235" s="6"/>
      <c r="M235" s="6">
        <f>TablaMarimba6[[#This Row],[Saldo inicial(vales)]]</f>
        <v>0</v>
      </c>
      <c r="N235" s="6">
        <f>TablaMarimba6[[#This Row],[Saldo inicial(vales)]]+TablaMarimba6[[#This Row],[Columna1]]</f>
        <v>0</v>
      </c>
      <c r="O235" s="6" t="str">
        <f t="shared" si="17"/>
        <v/>
      </c>
      <c r="P235" s="6"/>
      <c r="S235" s="6"/>
      <c r="T235" s="6"/>
      <c r="U235" s="6"/>
      <c r="V235" s="6"/>
      <c r="W235" s="6"/>
    </row>
    <row r="236" spans="2:23">
      <c r="B236" s="3" t="str">
        <f t="shared" si="19"/>
        <v/>
      </c>
      <c r="F236" s="2" t="e">
        <f>VLOOKUP(TablaMarimba6[[#This Row],[Equipo]],[1]Catalogos!$V$4:$W$55,2,FALSE)</f>
        <v>#N/A</v>
      </c>
      <c r="H236" s="5"/>
      <c r="L236" s="6"/>
      <c r="M236" s="6">
        <f>TablaMarimba6[[#This Row],[Saldo inicial(vales)]]</f>
        <v>0</v>
      </c>
      <c r="N236" s="6">
        <f>TablaMarimba6[[#This Row],[Saldo inicial(vales)]]+TablaMarimba6[[#This Row],[Columna1]]</f>
        <v>0</v>
      </c>
      <c r="O236" s="6" t="str">
        <f t="shared" si="17"/>
        <v/>
      </c>
      <c r="P236" s="6"/>
      <c r="S236" s="6"/>
      <c r="T236" s="6"/>
      <c r="U236" s="6"/>
      <c r="V236" s="6"/>
      <c r="W236" s="6"/>
    </row>
    <row r="237" spans="2:23">
      <c r="B237" s="3" t="str">
        <f t="shared" si="19"/>
        <v/>
      </c>
      <c r="F237" s="2" t="e">
        <f>VLOOKUP(TablaMarimba6[[#This Row],[Equipo]],[1]Catalogos!$V$4:$W$55,2,FALSE)</f>
        <v>#N/A</v>
      </c>
      <c r="H237" s="5"/>
      <c r="L237" s="6"/>
      <c r="M237" s="6">
        <f>TablaMarimba6[[#This Row],[Saldo inicial(vales)]]</f>
        <v>0</v>
      </c>
      <c r="N237" s="6">
        <f>TablaMarimba6[[#This Row],[Saldo inicial(vales)]]+TablaMarimba6[[#This Row],[Columna1]]</f>
        <v>0</v>
      </c>
      <c r="O237" s="6" t="str">
        <f t="shared" si="17"/>
        <v/>
      </c>
      <c r="P237" s="6"/>
      <c r="S237" s="6"/>
      <c r="T237" s="6"/>
      <c r="U237" s="6"/>
      <c r="V237" s="6"/>
      <c r="W237" s="6"/>
    </row>
    <row r="238" spans="2:23">
      <c r="B238" s="3" t="str">
        <f t="shared" si="19"/>
        <v/>
      </c>
      <c r="F238" s="2" t="e">
        <f>VLOOKUP(TablaMarimba6[[#This Row],[Equipo]],[1]Catalogos!$V$4:$W$55,2,FALSE)</f>
        <v>#N/A</v>
      </c>
      <c r="H238" s="5"/>
      <c r="L238" s="6"/>
      <c r="M238" s="6">
        <f>TablaMarimba6[[#This Row],[Saldo inicial(vales)]]</f>
        <v>0</v>
      </c>
      <c r="N238" s="6">
        <f>TablaMarimba6[[#This Row],[Saldo inicial(vales)]]+TablaMarimba6[[#This Row],[Columna1]]</f>
        <v>0</v>
      </c>
      <c r="O238" s="6" t="str">
        <f t="shared" si="17"/>
        <v/>
      </c>
      <c r="P238" s="6"/>
      <c r="S238" s="6"/>
      <c r="T238" s="6"/>
      <c r="U238" s="6"/>
      <c r="V238" s="6"/>
      <c r="W238" s="6"/>
    </row>
    <row r="239" spans="2:23">
      <c r="B239" s="3" t="str">
        <f t="shared" si="19"/>
        <v/>
      </c>
      <c r="F239" s="2" t="e">
        <f>VLOOKUP(TablaMarimba6[[#This Row],[Equipo]],[1]Catalogos!$V$4:$W$55,2,FALSE)</f>
        <v>#N/A</v>
      </c>
      <c r="H239" s="5"/>
      <c r="L239" s="6"/>
      <c r="M239" s="6">
        <f>TablaMarimba6[[#This Row],[Saldo inicial(vales)]]</f>
        <v>0</v>
      </c>
      <c r="N239" s="6">
        <f>TablaMarimba6[[#This Row],[Saldo inicial(vales)]]+TablaMarimba6[[#This Row],[Columna1]]</f>
        <v>0</v>
      </c>
      <c r="O239" s="6" t="str">
        <f t="shared" si="17"/>
        <v/>
      </c>
      <c r="P239" s="6"/>
      <c r="S239" s="6"/>
      <c r="T239" s="6"/>
      <c r="U239" s="6"/>
      <c r="V239" s="6"/>
      <c r="W239" s="6"/>
    </row>
    <row r="240" spans="2:23">
      <c r="B240" s="3" t="str">
        <f t="shared" si="19"/>
        <v/>
      </c>
      <c r="F240" s="2" t="e">
        <f>VLOOKUP(TablaMarimba6[[#This Row],[Equipo]],[1]Catalogos!$V$4:$W$55,2,FALSE)</f>
        <v>#N/A</v>
      </c>
      <c r="H240" s="5"/>
      <c r="L240" s="6"/>
      <c r="M240" s="6">
        <f>TablaMarimba6[[#This Row],[Saldo inicial(vales)]]</f>
        <v>0</v>
      </c>
      <c r="N240" s="6">
        <f>TablaMarimba6[[#This Row],[Saldo inicial(vales)]]+TablaMarimba6[[#This Row],[Columna1]]</f>
        <v>0</v>
      </c>
      <c r="O240" s="6" t="str">
        <f t="shared" si="17"/>
        <v/>
      </c>
      <c r="P240" s="6"/>
      <c r="S240" s="6"/>
      <c r="T240" s="6"/>
      <c r="U240" s="6"/>
      <c r="V240" s="6"/>
      <c r="W240" s="6"/>
    </row>
    <row r="241" spans="2:23">
      <c r="B241" s="3" t="str">
        <f t="shared" si="19"/>
        <v/>
      </c>
      <c r="F241" s="2" t="e">
        <f>VLOOKUP(TablaMarimba6[[#This Row],[Equipo]],[1]Catalogos!$V$4:$W$55,2,FALSE)</f>
        <v>#N/A</v>
      </c>
      <c r="H241" s="5"/>
      <c r="L241" s="6"/>
      <c r="M241" s="6">
        <f>TablaMarimba6[[#This Row],[Saldo inicial(vales)]]</f>
        <v>0</v>
      </c>
      <c r="N241" s="6">
        <f>TablaMarimba6[[#This Row],[Saldo inicial(vales)]]+TablaMarimba6[[#This Row],[Columna1]]</f>
        <v>0</v>
      </c>
      <c r="O241" s="6" t="str">
        <f t="shared" si="17"/>
        <v/>
      </c>
      <c r="P241" s="6"/>
      <c r="S241" s="6"/>
      <c r="T241" s="6"/>
      <c r="U241" s="6"/>
      <c r="V241" s="6"/>
      <c r="W241" s="6"/>
    </row>
    <row r="242" spans="2:23">
      <c r="B242" s="3" t="str">
        <f t="shared" si="19"/>
        <v/>
      </c>
      <c r="F242" s="2" t="e">
        <f>VLOOKUP(TablaMarimba6[[#This Row],[Equipo]],[1]Catalogos!$V$4:$W$55,2,FALSE)</f>
        <v>#N/A</v>
      </c>
      <c r="H242" s="5"/>
      <c r="L242" s="6"/>
      <c r="M242" s="6">
        <f>TablaMarimba6[[#This Row],[Saldo inicial(vales)]]</f>
        <v>0</v>
      </c>
      <c r="N242" s="6">
        <f>TablaMarimba6[[#This Row],[Saldo inicial(vales)]]+TablaMarimba6[[#This Row],[Columna1]]</f>
        <v>0</v>
      </c>
      <c r="O242" s="6" t="str">
        <f t="shared" si="17"/>
        <v/>
      </c>
      <c r="P242" s="6"/>
      <c r="S242" s="6"/>
      <c r="T242" s="6"/>
      <c r="U242" s="6"/>
      <c r="V242" s="6"/>
      <c r="W242" s="6"/>
    </row>
    <row r="243" spans="2:23">
      <c r="B243" s="3" t="str">
        <f t="shared" si="19"/>
        <v/>
      </c>
      <c r="F243" s="2" t="e">
        <f>VLOOKUP(TablaMarimba6[[#This Row],[Equipo]],[1]Catalogos!$V$4:$W$55,2,FALSE)</f>
        <v>#N/A</v>
      </c>
      <c r="H243" s="5"/>
      <c r="L243" s="6"/>
      <c r="M243" s="6">
        <f>TablaMarimba6[[#This Row],[Saldo inicial(vales)]]</f>
        <v>0</v>
      </c>
      <c r="N243" s="6">
        <f>TablaMarimba6[[#This Row],[Saldo inicial(vales)]]+TablaMarimba6[[#This Row],[Columna1]]</f>
        <v>0</v>
      </c>
      <c r="O243" s="6" t="str">
        <f t="shared" si="17"/>
        <v/>
      </c>
      <c r="P243" s="6"/>
      <c r="S243" s="6"/>
      <c r="T243" s="6"/>
      <c r="U243" s="6"/>
      <c r="V243" s="6"/>
      <c r="W243" s="6"/>
    </row>
    <row r="244" spans="2:23">
      <c r="B244" s="3" t="str">
        <f t="shared" si="19"/>
        <v/>
      </c>
      <c r="F244" s="2" t="e">
        <f>VLOOKUP(TablaMarimba6[[#This Row],[Equipo]],[1]Catalogos!$V$4:$W$55,2,FALSE)</f>
        <v>#N/A</v>
      </c>
      <c r="H244" s="5"/>
      <c r="L244" s="6"/>
      <c r="M244" s="6">
        <f>TablaMarimba6[[#This Row],[Saldo inicial(vales)]]</f>
        <v>0</v>
      </c>
      <c r="N244" s="6">
        <f>TablaMarimba6[[#This Row],[Saldo inicial(vales)]]+TablaMarimba6[[#This Row],[Columna1]]</f>
        <v>0</v>
      </c>
      <c r="O244" s="6" t="str">
        <f t="shared" si="17"/>
        <v/>
      </c>
      <c r="P244" s="6"/>
      <c r="S244" s="6"/>
      <c r="T244" s="6"/>
      <c r="U244" s="6"/>
      <c r="V244" s="6"/>
      <c r="W244" s="6"/>
    </row>
    <row r="245" spans="2:23">
      <c r="B245" s="3" t="str">
        <f t="shared" si="19"/>
        <v/>
      </c>
      <c r="F245" s="2" t="e">
        <f>VLOOKUP(TablaMarimba6[[#This Row],[Equipo]],[1]Catalogos!$V$4:$W$55,2,FALSE)</f>
        <v>#N/A</v>
      </c>
      <c r="H245" s="5"/>
      <c r="L245" s="6"/>
      <c r="M245" s="6">
        <f>TablaMarimba6[[#This Row],[Saldo inicial(vales)]]</f>
        <v>0</v>
      </c>
      <c r="N245" s="6">
        <f>TablaMarimba6[[#This Row],[Saldo inicial(vales)]]+TablaMarimba6[[#This Row],[Columna1]]</f>
        <v>0</v>
      </c>
      <c r="O245" s="6" t="str">
        <f t="shared" si="17"/>
        <v/>
      </c>
      <c r="P245" s="6"/>
      <c r="S245" s="6"/>
      <c r="T245" s="6"/>
      <c r="U245" s="6"/>
      <c r="V245" s="6"/>
      <c r="W245" s="6"/>
    </row>
    <row r="246" spans="2:23">
      <c r="B246" s="3" t="str">
        <f t="shared" si="19"/>
        <v/>
      </c>
      <c r="F246" s="2" t="e">
        <f>VLOOKUP(TablaMarimba6[[#This Row],[Equipo]],[1]Catalogos!$V$4:$W$55,2,FALSE)</f>
        <v>#N/A</v>
      </c>
      <c r="H246" s="5"/>
      <c r="L246" s="6"/>
      <c r="M246" s="6">
        <f>TablaMarimba6[[#This Row],[Saldo inicial(vales)]]</f>
        <v>0</v>
      </c>
      <c r="N246" s="6">
        <f>TablaMarimba6[[#This Row],[Saldo inicial(vales)]]+TablaMarimba6[[#This Row],[Columna1]]</f>
        <v>0</v>
      </c>
      <c r="O246" s="6" t="str">
        <f t="shared" si="17"/>
        <v/>
      </c>
      <c r="P246" s="6"/>
      <c r="S246" s="6"/>
      <c r="T246" s="6"/>
      <c r="U246" s="6"/>
      <c r="V246" s="6"/>
      <c r="W246" s="6"/>
    </row>
    <row r="247" spans="2:23">
      <c r="B247" s="3" t="str">
        <f t="shared" si="19"/>
        <v/>
      </c>
      <c r="F247" s="2" t="e">
        <f>VLOOKUP(TablaMarimba6[[#This Row],[Equipo]],[1]Catalogos!$V$4:$W$55,2,FALSE)</f>
        <v>#N/A</v>
      </c>
      <c r="H247" s="5"/>
      <c r="L247" s="6"/>
      <c r="M247" s="6">
        <f>TablaMarimba6[[#This Row],[Saldo inicial(vales)]]</f>
        <v>0</v>
      </c>
      <c r="N247" s="6">
        <f>TablaMarimba6[[#This Row],[Saldo inicial(vales)]]+TablaMarimba6[[#This Row],[Columna1]]</f>
        <v>0</v>
      </c>
      <c r="O247" s="6" t="str">
        <f t="shared" si="17"/>
        <v/>
      </c>
      <c r="P247" s="6"/>
      <c r="S247" s="6"/>
      <c r="T247" s="6"/>
      <c r="U247" s="6"/>
      <c r="V247" s="6"/>
      <c r="W247" s="6"/>
    </row>
    <row r="248" spans="2:23">
      <c r="B248" s="3" t="str">
        <f t="shared" si="19"/>
        <v/>
      </c>
      <c r="F248" s="2" t="e">
        <f>VLOOKUP(TablaMarimba6[[#This Row],[Equipo]],[1]Catalogos!$V$4:$W$55,2,FALSE)</f>
        <v>#N/A</v>
      </c>
      <c r="H248" s="5"/>
      <c r="L248" s="6"/>
      <c r="M248" s="6">
        <f>TablaMarimba6[[#This Row],[Saldo inicial(vales)]]</f>
        <v>0</v>
      </c>
      <c r="N248" s="6">
        <f>TablaMarimba6[[#This Row],[Saldo inicial(vales)]]+TablaMarimba6[[#This Row],[Columna1]]</f>
        <v>0</v>
      </c>
      <c r="O248" s="6" t="str">
        <f t="shared" si="17"/>
        <v/>
      </c>
      <c r="P248" s="6"/>
      <c r="S248" s="6"/>
      <c r="T248" s="6"/>
      <c r="U248" s="6"/>
      <c r="V248" s="6"/>
      <c r="W248" s="6"/>
    </row>
    <row r="249" spans="2:23">
      <c r="B249" s="3" t="str">
        <f t="shared" si="19"/>
        <v/>
      </c>
      <c r="F249" s="2" t="e">
        <f>VLOOKUP(TablaMarimba6[[#This Row],[Equipo]],[1]Catalogos!$V$4:$W$55,2,FALSE)</f>
        <v>#N/A</v>
      </c>
      <c r="H249" s="5"/>
      <c r="L249" s="6"/>
      <c r="M249" s="6">
        <f>TablaMarimba6[[#This Row],[Saldo inicial(vales)]]</f>
        <v>0</v>
      </c>
      <c r="N249" s="6">
        <f>TablaMarimba6[[#This Row],[Saldo inicial(vales)]]+TablaMarimba6[[#This Row],[Columna1]]</f>
        <v>0</v>
      </c>
      <c r="O249" s="6" t="str">
        <f t="shared" si="17"/>
        <v/>
      </c>
      <c r="P249" s="6"/>
      <c r="S249" s="6"/>
      <c r="T249" s="6"/>
      <c r="U249" s="6"/>
      <c r="V249" s="6"/>
      <c r="W249" s="6"/>
    </row>
    <row r="250" spans="2:23">
      <c r="B250" s="3" t="str">
        <f t="shared" si="19"/>
        <v/>
      </c>
      <c r="F250" s="2" t="e">
        <f>VLOOKUP(TablaMarimba6[[#This Row],[Equipo]],[1]Catalogos!$V$4:$W$55,2,FALSE)</f>
        <v>#N/A</v>
      </c>
      <c r="H250" s="5"/>
      <c r="L250" s="6"/>
      <c r="M250" s="6">
        <f>TablaMarimba6[[#This Row],[Saldo inicial(vales)]]</f>
        <v>0</v>
      </c>
      <c r="N250" s="6">
        <f>TablaMarimba6[[#This Row],[Saldo inicial(vales)]]+TablaMarimba6[[#This Row],[Columna1]]</f>
        <v>0</v>
      </c>
      <c r="O250" s="6" t="str">
        <f t="shared" si="17"/>
        <v/>
      </c>
      <c r="P250" s="6"/>
      <c r="S250" s="6"/>
      <c r="T250" s="6"/>
      <c r="U250" s="6"/>
      <c r="V250" s="6"/>
      <c r="W250" s="6"/>
    </row>
    <row r="251" spans="2:23">
      <c r="B251" s="3" t="str">
        <f t="shared" si="19"/>
        <v/>
      </c>
      <c r="F251" s="2" t="e">
        <f>VLOOKUP(TablaMarimba6[[#This Row],[Equipo]],[1]Catalogos!$V$4:$W$55,2,FALSE)</f>
        <v>#N/A</v>
      </c>
      <c r="H251" s="5"/>
      <c r="L251" s="6"/>
      <c r="M251" s="6">
        <f>TablaMarimba6[[#This Row],[Saldo inicial(vales)]]</f>
        <v>0</v>
      </c>
      <c r="N251" s="6">
        <f>TablaMarimba6[[#This Row],[Saldo inicial(vales)]]+TablaMarimba6[[#This Row],[Columna1]]</f>
        <v>0</v>
      </c>
      <c r="O251" s="6" t="str">
        <f t="shared" si="17"/>
        <v/>
      </c>
      <c r="P251" s="6"/>
      <c r="S251" s="6"/>
      <c r="T251" s="6"/>
      <c r="U251" s="6"/>
      <c r="V251" s="6"/>
      <c r="W251" s="6"/>
    </row>
    <row r="252" spans="2:23">
      <c r="B252" s="3" t="str">
        <f t="shared" si="19"/>
        <v/>
      </c>
      <c r="F252" s="2" t="e">
        <f>VLOOKUP(TablaMarimba6[[#This Row],[Equipo]],[1]Catalogos!$V$4:$W$55,2,FALSE)</f>
        <v>#N/A</v>
      </c>
      <c r="H252" s="5"/>
      <c r="L252" s="6"/>
      <c r="M252" s="6">
        <f>TablaMarimba6[[#This Row],[Saldo inicial(vales)]]</f>
        <v>0</v>
      </c>
      <c r="N252" s="6">
        <f>TablaMarimba6[[#This Row],[Saldo inicial(vales)]]+TablaMarimba6[[#This Row],[Columna1]]</f>
        <v>0</v>
      </c>
      <c r="O252" s="6" t="str">
        <f t="shared" si="17"/>
        <v/>
      </c>
      <c r="P252" s="6"/>
      <c r="S252" s="6"/>
      <c r="T252" s="6"/>
      <c r="U252" s="6"/>
      <c r="V252" s="6"/>
      <c r="W252" s="6"/>
    </row>
    <row r="253" spans="2:23">
      <c r="B253" s="3" t="str">
        <f t="shared" si="19"/>
        <v/>
      </c>
      <c r="F253" s="2" t="e">
        <f>VLOOKUP(TablaMarimba6[[#This Row],[Equipo]],[1]Catalogos!$V$4:$W$55,2,FALSE)</f>
        <v>#N/A</v>
      </c>
      <c r="H253" s="5"/>
      <c r="L253" s="6"/>
      <c r="M253" s="6">
        <f>TablaMarimba6[[#This Row],[Saldo inicial(vales)]]</f>
        <v>0</v>
      </c>
      <c r="N253" s="6">
        <f>TablaMarimba6[[#This Row],[Saldo inicial(vales)]]+TablaMarimba6[[#This Row],[Columna1]]</f>
        <v>0</v>
      </c>
      <c r="O253" s="6" t="str">
        <f t="shared" ref="O253:O316" si="21">IF(A253="","", WEEKNUM(A253, 2))</f>
        <v/>
      </c>
      <c r="P253" s="6"/>
      <c r="S253" s="6"/>
      <c r="T253" s="6"/>
      <c r="U253" s="6"/>
      <c r="V253" s="6"/>
      <c r="W253" s="6"/>
    </row>
    <row r="254" spans="2:23">
      <c r="B254" s="3" t="str">
        <f t="shared" si="19"/>
        <v/>
      </c>
      <c r="F254" s="2" t="e">
        <f>VLOOKUP(TablaMarimba6[[#This Row],[Equipo]],[1]Catalogos!$V$4:$W$55,2,FALSE)</f>
        <v>#N/A</v>
      </c>
      <c r="H254" s="5"/>
      <c r="L254" s="6"/>
      <c r="M254" s="6">
        <f>TablaMarimba6[[#This Row],[Saldo inicial(vales)]]</f>
        <v>0</v>
      </c>
      <c r="N254" s="6">
        <f>TablaMarimba6[[#This Row],[Saldo inicial(vales)]]+TablaMarimba6[[#This Row],[Columna1]]</f>
        <v>0</v>
      </c>
      <c r="O254" s="6" t="str">
        <f t="shared" si="21"/>
        <v/>
      </c>
      <c r="P254" s="6"/>
      <c r="S254" s="6"/>
      <c r="T254" s="6"/>
      <c r="U254" s="6"/>
      <c r="V254" s="6"/>
      <c r="W254" s="6"/>
    </row>
    <row r="255" spans="2:23">
      <c r="B255" s="3" t="str">
        <f t="shared" si="19"/>
        <v/>
      </c>
      <c r="F255" s="2" t="e">
        <f>VLOOKUP(TablaMarimba6[[#This Row],[Equipo]],[1]Catalogos!$V$4:$W$55,2,FALSE)</f>
        <v>#N/A</v>
      </c>
      <c r="H255" s="5"/>
      <c r="L255" s="6"/>
      <c r="M255" s="6">
        <f>TablaMarimba6[[#This Row],[Saldo inicial(vales)]]</f>
        <v>0</v>
      </c>
      <c r="N255" s="6">
        <f>TablaMarimba6[[#This Row],[Saldo inicial(vales)]]+TablaMarimba6[[#This Row],[Columna1]]</f>
        <v>0</v>
      </c>
      <c r="O255" s="6" t="str">
        <f t="shared" si="21"/>
        <v/>
      </c>
      <c r="P255" s="6"/>
      <c r="S255" s="6"/>
      <c r="T255" s="6"/>
      <c r="U255" s="6"/>
      <c r="V255" s="6"/>
      <c r="W255" s="6"/>
    </row>
    <row r="256" spans="2:23">
      <c r="B256" s="3" t="str">
        <f t="shared" si="19"/>
        <v/>
      </c>
      <c r="F256" s="2" t="e">
        <f>VLOOKUP(TablaMarimba6[[#This Row],[Equipo]],[1]Catalogos!$V$4:$W$55,2,FALSE)</f>
        <v>#N/A</v>
      </c>
      <c r="H256" s="5"/>
      <c r="L256" s="6"/>
      <c r="M256" s="6">
        <f>TablaMarimba6[[#This Row],[Saldo inicial(vales)]]</f>
        <v>0</v>
      </c>
      <c r="N256" s="6">
        <f>TablaMarimba6[[#This Row],[Saldo inicial(vales)]]+TablaMarimba6[[#This Row],[Columna1]]</f>
        <v>0</v>
      </c>
      <c r="O256" s="6" t="str">
        <f t="shared" si="21"/>
        <v/>
      </c>
      <c r="P256" s="6"/>
      <c r="S256" s="6"/>
      <c r="T256" s="6"/>
      <c r="U256" s="6"/>
      <c r="V256" s="6"/>
      <c r="W256" s="6"/>
    </row>
    <row r="257" spans="2:23">
      <c r="B257" s="3" t="str">
        <f t="shared" si="19"/>
        <v/>
      </c>
      <c r="F257" s="2" t="e">
        <f>VLOOKUP(TablaMarimba6[[#This Row],[Equipo]],[1]Catalogos!$V$4:$W$55,2,FALSE)</f>
        <v>#N/A</v>
      </c>
      <c r="H257" s="5"/>
      <c r="L257" s="6"/>
      <c r="M257" s="6">
        <f>TablaMarimba6[[#This Row],[Saldo inicial(vales)]]</f>
        <v>0</v>
      </c>
      <c r="N257" s="6">
        <f>TablaMarimba6[[#This Row],[Saldo inicial(vales)]]+TablaMarimba6[[#This Row],[Columna1]]</f>
        <v>0</v>
      </c>
      <c r="O257" s="6" t="str">
        <f t="shared" si="21"/>
        <v/>
      </c>
      <c r="P257" s="6"/>
      <c r="S257" s="6"/>
      <c r="T257" s="6"/>
      <c r="U257" s="6"/>
      <c r="V257" s="6"/>
      <c r="W257" s="6"/>
    </row>
    <row r="258" spans="2:23">
      <c r="B258" s="3" t="str">
        <f t="shared" ref="B258:B321" si="22">IF(A258="","", "Semana "&amp;WEEKNUM(A258,2))</f>
        <v/>
      </c>
      <c r="F258" s="2" t="e">
        <f>VLOOKUP(TablaMarimba6[[#This Row],[Equipo]],[1]Catalogos!$V$4:$W$55,2,FALSE)</f>
        <v>#N/A</v>
      </c>
      <c r="H258" s="5"/>
      <c r="L258" s="6"/>
      <c r="M258" s="6">
        <f>TablaMarimba6[[#This Row],[Saldo inicial(vales)]]</f>
        <v>0</v>
      </c>
      <c r="N258" s="6">
        <f>TablaMarimba6[[#This Row],[Saldo inicial(vales)]]+TablaMarimba6[[#This Row],[Columna1]]</f>
        <v>0</v>
      </c>
      <c r="O258" s="6" t="str">
        <f t="shared" si="21"/>
        <v/>
      </c>
      <c r="P258" s="6"/>
      <c r="S258" s="6"/>
      <c r="T258" s="6"/>
      <c r="U258" s="6"/>
      <c r="V258" s="6"/>
      <c r="W258" s="6"/>
    </row>
    <row r="259" spans="2:23">
      <c r="B259" s="3" t="str">
        <f t="shared" si="22"/>
        <v/>
      </c>
      <c r="F259" s="2" t="e">
        <f>VLOOKUP(TablaMarimba6[[#This Row],[Equipo]],[1]Catalogos!$V$4:$W$55,2,FALSE)</f>
        <v>#N/A</v>
      </c>
      <c r="H259" s="5"/>
      <c r="L259" s="6"/>
      <c r="M259" s="6">
        <f>TablaMarimba6[[#This Row],[Saldo inicial(vales)]]</f>
        <v>0</v>
      </c>
      <c r="N259" s="6">
        <f>TablaMarimba6[[#This Row],[Saldo inicial(vales)]]+TablaMarimba6[[#This Row],[Columna1]]</f>
        <v>0</v>
      </c>
      <c r="O259" s="6" t="str">
        <f t="shared" si="21"/>
        <v/>
      </c>
      <c r="P259" s="6"/>
      <c r="S259" s="6"/>
      <c r="T259" s="6"/>
      <c r="U259" s="6"/>
      <c r="V259" s="6"/>
      <c r="W259" s="6"/>
    </row>
    <row r="260" spans="2:23">
      <c r="B260" s="3" t="str">
        <f t="shared" si="22"/>
        <v/>
      </c>
      <c r="F260" s="2" t="e">
        <f>VLOOKUP(TablaMarimba6[[#This Row],[Equipo]],[1]Catalogos!$V$4:$W$55,2,FALSE)</f>
        <v>#N/A</v>
      </c>
      <c r="H260" s="5"/>
      <c r="L260" s="6"/>
      <c r="M260" s="6">
        <f>TablaMarimba6[[#This Row],[Saldo inicial(vales)]]</f>
        <v>0</v>
      </c>
      <c r="N260" s="6">
        <f>TablaMarimba6[[#This Row],[Saldo inicial(vales)]]+TablaMarimba6[[#This Row],[Columna1]]</f>
        <v>0</v>
      </c>
      <c r="O260" s="6" t="str">
        <f t="shared" si="21"/>
        <v/>
      </c>
      <c r="P260" s="6"/>
      <c r="S260" s="6"/>
      <c r="T260" s="6"/>
      <c r="U260" s="6"/>
      <c r="V260" s="6"/>
      <c r="W260" s="6"/>
    </row>
    <row r="261" spans="2:23">
      <c r="B261" s="3" t="str">
        <f t="shared" si="22"/>
        <v/>
      </c>
      <c r="F261" s="2" t="e">
        <f>VLOOKUP(TablaMarimba6[[#This Row],[Equipo]],[1]Catalogos!$V$4:$W$55,2,FALSE)</f>
        <v>#N/A</v>
      </c>
      <c r="H261" s="5"/>
      <c r="L261" s="6"/>
      <c r="M261" s="6">
        <f>TablaMarimba6[[#This Row],[Saldo inicial(vales)]]</f>
        <v>0</v>
      </c>
      <c r="N261" s="6">
        <f>TablaMarimba6[[#This Row],[Saldo inicial(vales)]]+TablaMarimba6[[#This Row],[Columna1]]</f>
        <v>0</v>
      </c>
      <c r="O261" s="6" t="str">
        <f t="shared" si="21"/>
        <v/>
      </c>
      <c r="P261" s="6"/>
      <c r="S261" s="6"/>
      <c r="T261" s="6"/>
      <c r="U261" s="6"/>
      <c r="V261" s="6"/>
      <c r="W261" s="6"/>
    </row>
    <row r="262" spans="2:23">
      <c r="B262" s="3" t="str">
        <f t="shared" si="22"/>
        <v/>
      </c>
      <c r="F262" s="2" t="e">
        <f>VLOOKUP(TablaMarimba6[[#This Row],[Equipo]],[1]Catalogos!$V$4:$W$55,2,FALSE)</f>
        <v>#N/A</v>
      </c>
      <c r="H262" s="5"/>
      <c r="L262" s="6"/>
      <c r="M262" s="6">
        <f>TablaMarimba6[[#This Row],[Saldo inicial(vales)]]</f>
        <v>0</v>
      </c>
      <c r="N262" s="6">
        <f>TablaMarimba6[[#This Row],[Saldo inicial(vales)]]+TablaMarimba6[[#This Row],[Columna1]]</f>
        <v>0</v>
      </c>
      <c r="O262" s="6" t="str">
        <f t="shared" si="21"/>
        <v/>
      </c>
      <c r="P262" s="6"/>
      <c r="S262" s="6"/>
      <c r="T262" s="6"/>
      <c r="U262" s="6"/>
      <c r="V262" s="6"/>
      <c r="W262" s="6"/>
    </row>
    <row r="263" spans="2:23">
      <c r="B263" s="3" t="str">
        <f t="shared" si="22"/>
        <v/>
      </c>
      <c r="F263" s="2" t="e">
        <f>VLOOKUP(TablaMarimba6[[#This Row],[Equipo]],[1]Catalogos!$V$4:$W$55,2,FALSE)</f>
        <v>#N/A</v>
      </c>
      <c r="H263" s="5"/>
      <c r="L263" s="6"/>
      <c r="M263" s="6">
        <f>TablaMarimba6[[#This Row],[Saldo inicial(vales)]]</f>
        <v>0</v>
      </c>
      <c r="N263" s="6">
        <f>TablaMarimba6[[#This Row],[Saldo inicial(vales)]]+TablaMarimba6[[#This Row],[Columna1]]</f>
        <v>0</v>
      </c>
      <c r="O263" s="6" t="str">
        <f t="shared" si="21"/>
        <v/>
      </c>
      <c r="P263" s="6"/>
      <c r="S263" s="6"/>
      <c r="T263" s="6"/>
      <c r="U263" s="6"/>
      <c r="V263" s="6"/>
      <c r="W263" s="6"/>
    </row>
    <row r="264" spans="2:23">
      <c r="B264" s="3" t="str">
        <f t="shared" si="22"/>
        <v/>
      </c>
      <c r="F264" s="2" t="e">
        <f>VLOOKUP(TablaMarimba6[[#This Row],[Equipo]],[1]Catalogos!$V$4:$W$55,2,FALSE)</f>
        <v>#N/A</v>
      </c>
      <c r="H264" s="5"/>
      <c r="L264" s="6"/>
      <c r="M264" s="6">
        <f>TablaMarimba6[[#This Row],[Saldo inicial(vales)]]</f>
        <v>0</v>
      </c>
      <c r="N264" s="6">
        <f>TablaMarimba6[[#This Row],[Saldo inicial(vales)]]+TablaMarimba6[[#This Row],[Columna1]]</f>
        <v>0</v>
      </c>
      <c r="O264" s="6" t="str">
        <f t="shared" si="21"/>
        <v/>
      </c>
      <c r="P264" s="6"/>
      <c r="S264" s="6"/>
      <c r="T264" s="6"/>
      <c r="U264" s="6"/>
      <c r="V264" s="6"/>
      <c r="W264" s="6"/>
    </row>
    <row r="265" spans="2:23">
      <c r="B265" s="3" t="str">
        <f t="shared" si="22"/>
        <v/>
      </c>
      <c r="F265" s="2" t="e">
        <f>VLOOKUP(TablaMarimba6[[#This Row],[Equipo]],[1]Catalogos!$V$4:$W$55,2,FALSE)</f>
        <v>#N/A</v>
      </c>
      <c r="H265" s="5"/>
      <c r="L265" s="6"/>
      <c r="M265" s="6">
        <f>TablaMarimba6[[#This Row],[Saldo inicial(vales)]]</f>
        <v>0</v>
      </c>
      <c r="N265" s="6">
        <f>TablaMarimba6[[#This Row],[Saldo inicial(vales)]]+TablaMarimba6[[#This Row],[Columna1]]</f>
        <v>0</v>
      </c>
      <c r="O265" s="6" t="str">
        <f t="shared" si="21"/>
        <v/>
      </c>
      <c r="P265" s="6"/>
      <c r="S265" s="6"/>
      <c r="T265" s="6"/>
      <c r="U265" s="6"/>
      <c r="V265" s="6"/>
      <c r="W265" s="6"/>
    </row>
    <row r="266" spans="2:23">
      <c r="B266" s="3" t="str">
        <f t="shared" si="22"/>
        <v/>
      </c>
      <c r="F266" s="2" t="e">
        <f>VLOOKUP(TablaMarimba6[[#This Row],[Equipo]],[1]Catalogos!$V$4:$W$55,2,FALSE)</f>
        <v>#N/A</v>
      </c>
      <c r="H266" s="5"/>
      <c r="L266" s="6"/>
      <c r="M266" s="6">
        <f>TablaMarimba6[[#This Row],[Saldo inicial(vales)]]</f>
        <v>0</v>
      </c>
      <c r="N266" s="6">
        <f>TablaMarimba6[[#This Row],[Saldo inicial(vales)]]+TablaMarimba6[[#This Row],[Columna1]]</f>
        <v>0</v>
      </c>
      <c r="O266" s="6" t="str">
        <f t="shared" si="21"/>
        <v/>
      </c>
      <c r="P266" s="6"/>
      <c r="S266" s="6"/>
      <c r="T266" s="6"/>
      <c r="U266" s="6"/>
      <c r="V266" s="6"/>
      <c r="W266" s="6"/>
    </row>
    <row r="267" spans="2:23">
      <c r="B267" s="3" t="str">
        <f t="shared" si="22"/>
        <v/>
      </c>
      <c r="F267" s="2" t="e">
        <f>VLOOKUP(TablaMarimba6[[#This Row],[Equipo]],[1]Catalogos!$V$4:$W$55,2,FALSE)</f>
        <v>#N/A</v>
      </c>
      <c r="H267" s="5"/>
      <c r="L267" s="6"/>
      <c r="M267" s="6">
        <f>TablaMarimba6[[#This Row],[Saldo inicial(vales)]]</f>
        <v>0</v>
      </c>
      <c r="N267" s="6">
        <f>TablaMarimba6[[#This Row],[Saldo inicial(vales)]]+TablaMarimba6[[#This Row],[Columna1]]</f>
        <v>0</v>
      </c>
      <c r="O267" s="6" t="str">
        <f t="shared" si="21"/>
        <v/>
      </c>
      <c r="P267" s="6"/>
      <c r="S267" s="6"/>
      <c r="T267" s="6"/>
      <c r="U267" s="6"/>
      <c r="V267" s="6"/>
      <c r="W267" s="6"/>
    </row>
    <row r="268" spans="2:23">
      <c r="B268" s="3" t="str">
        <f t="shared" si="22"/>
        <v/>
      </c>
      <c r="F268" s="2" t="e">
        <f>VLOOKUP(TablaMarimba6[[#This Row],[Equipo]],[1]Catalogos!$V$4:$W$55,2,FALSE)</f>
        <v>#N/A</v>
      </c>
      <c r="H268" s="5"/>
      <c r="L268" s="6"/>
      <c r="M268" s="6">
        <f>TablaMarimba6[[#This Row],[Saldo inicial(vales)]]</f>
        <v>0</v>
      </c>
      <c r="N268" s="6">
        <f>TablaMarimba6[[#This Row],[Saldo inicial(vales)]]+TablaMarimba6[[#This Row],[Columna1]]</f>
        <v>0</v>
      </c>
      <c r="O268" s="6" t="str">
        <f t="shared" si="21"/>
        <v/>
      </c>
      <c r="P268" s="6"/>
      <c r="S268" s="6"/>
      <c r="T268" s="6"/>
      <c r="U268" s="6"/>
      <c r="V268" s="6"/>
      <c r="W268" s="6"/>
    </row>
    <row r="269" spans="2:23">
      <c r="B269" s="3" t="str">
        <f t="shared" si="22"/>
        <v/>
      </c>
      <c r="F269" s="2" t="e">
        <f>VLOOKUP(TablaMarimba6[[#This Row],[Equipo]],[1]Catalogos!$V$4:$W$55,2,FALSE)</f>
        <v>#N/A</v>
      </c>
      <c r="H269" s="5"/>
      <c r="L269" s="6"/>
      <c r="M269" s="6">
        <f>TablaMarimba6[[#This Row],[Saldo inicial(vales)]]</f>
        <v>0</v>
      </c>
      <c r="N269" s="6">
        <f>TablaMarimba6[[#This Row],[Saldo inicial(vales)]]+TablaMarimba6[[#This Row],[Columna1]]</f>
        <v>0</v>
      </c>
      <c r="O269" s="6" t="str">
        <f t="shared" si="21"/>
        <v/>
      </c>
      <c r="P269" s="6"/>
      <c r="S269" s="6"/>
      <c r="T269" s="6"/>
      <c r="U269" s="6"/>
      <c r="V269" s="6"/>
      <c r="W269" s="6"/>
    </row>
    <row r="270" spans="2:23">
      <c r="B270" s="3" t="str">
        <f t="shared" si="22"/>
        <v/>
      </c>
      <c r="F270" s="2" t="e">
        <f>VLOOKUP(TablaMarimba6[[#This Row],[Equipo]],[1]Catalogos!$V$4:$W$55,2,FALSE)</f>
        <v>#N/A</v>
      </c>
      <c r="H270" s="5"/>
      <c r="L270" s="6"/>
      <c r="M270" s="6">
        <f>TablaMarimba6[[#This Row],[Saldo inicial(vales)]]</f>
        <v>0</v>
      </c>
      <c r="N270" s="6">
        <f>TablaMarimba6[[#This Row],[Saldo inicial(vales)]]+TablaMarimba6[[#This Row],[Columna1]]</f>
        <v>0</v>
      </c>
      <c r="O270" s="6" t="str">
        <f t="shared" si="21"/>
        <v/>
      </c>
      <c r="P270" s="6"/>
      <c r="S270" s="6"/>
      <c r="T270" s="6"/>
      <c r="U270" s="6"/>
      <c r="V270" s="6"/>
      <c r="W270" s="6"/>
    </row>
    <row r="271" spans="2:23">
      <c r="B271" s="3" t="str">
        <f t="shared" si="22"/>
        <v/>
      </c>
      <c r="F271" s="2" t="e">
        <f>VLOOKUP(TablaMarimba6[[#This Row],[Equipo]],[1]Catalogos!$V$4:$W$55,2,FALSE)</f>
        <v>#N/A</v>
      </c>
      <c r="H271" s="5"/>
      <c r="L271" s="6"/>
      <c r="M271" s="6">
        <f>TablaMarimba6[[#This Row],[Saldo inicial(vales)]]</f>
        <v>0</v>
      </c>
      <c r="N271" s="6">
        <f>TablaMarimba6[[#This Row],[Saldo inicial(vales)]]+TablaMarimba6[[#This Row],[Columna1]]</f>
        <v>0</v>
      </c>
      <c r="O271" s="6" t="str">
        <f t="shared" si="21"/>
        <v/>
      </c>
      <c r="P271" s="6"/>
      <c r="S271" s="6"/>
      <c r="T271" s="6"/>
      <c r="U271" s="6"/>
      <c r="V271" s="6"/>
      <c r="W271" s="6"/>
    </row>
    <row r="272" spans="2:23">
      <c r="B272" s="3" t="str">
        <f t="shared" si="22"/>
        <v/>
      </c>
      <c r="F272" s="2" t="e">
        <f>VLOOKUP(TablaMarimba6[[#This Row],[Equipo]],[1]Catalogos!$V$4:$W$55,2,FALSE)</f>
        <v>#N/A</v>
      </c>
      <c r="H272" s="5"/>
      <c r="L272" s="6"/>
      <c r="M272" s="6">
        <f>TablaMarimba6[[#This Row],[Saldo inicial(vales)]]</f>
        <v>0</v>
      </c>
      <c r="N272" s="6">
        <f>TablaMarimba6[[#This Row],[Saldo inicial(vales)]]+TablaMarimba6[[#This Row],[Columna1]]</f>
        <v>0</v>
      </c>
      <c r="O272" s="6" t="str">
        <f t="shared" si="21"/>
        <v/>
      </c>
      <c r="P272" s="6"/>
      <c r="S272" s="6"/>
      <c r="T272" s="6"/>
      <c r="U272" s="6"/>
      <c r="V272" s="6"/>
      <c r="W272" s="6"/>
    </row>
    <row r="273" spans="2:23">
      <c r="B273" s="3" t="str">
        <f t="shared" si="22"/>
        <v/>
      </c>
      <c r="F273" s="2" t="e">
        <f>VLOOKUP(TablaMarimba6[[#This Row],[Equipo]],[1]Catalogos!$V$4:$W$55,2,FALSE)</f>
        <v>#N/A</v>
      </c>
      <c r="H273" s="5"/>
      <c r="L273" s="6"/>
      <c r="M273" s="6">
        <f>TablaMarimba6[[#This Row],[Saldo inicial(vales)]]</f>
        <v>0</v>
      </c>
      <c r="N273" s="6">
        <f>TablaMarimba6[[#This Row],[Saldo inicial(vales)]]+TablaMarimba6[[#This Row],[Columna1]]</f>
        <v>0</v>
      </c>
      <c r="O273" s="6" t="str">
        <f t="shared" si="21"/>
        <v/>
      </c>
      <c r="P273" s="6"/>
      <c r="S273" s="6"/>
      <c r="T273" s="6"/>
      <c r="U273" s="6"/>
      <c r="V273" s="6"/>
      <c r="W273" s="6"/>
    </row>
    <row r="274" spans="2:23">
      <c r="B274" s="3" t="str">
        <f t="shared" si="22"/>
        <v/>
      </c>
      <c r="F274" s="2" t="e">
        <f>VLOOKUP(TablaMarimba6[[#This Row],[Equipo]],[1]Catalogos!$V$4:$W$55,2,FALSE)</f>
        <v>#N/A</v>
      </c>
      <c r="H274" s="5"/>
      <c r="L274" s="6"/>
      <c r="M274" s="6">
        <f>TablaMarimba6[[#This Row],[Saldo inicial(vales)]]</f>
        <v>0</v>
      </c>
      <c r="N274" s="6">
        <f>TablaMarimba6[[#This Row],[Saldo inicial(vales)]]+TablaMarimba6[[#This Row],[Columna1]]</f>
        <v>0</v>
      </c>
      <c r="O274" s="6" t="str">
        <f t="shared" si="21"/>
        <v/>
      </c>
      <c r="P274" s="6"/>
      <c r="S274" s="6"/>
      <c r="T274" s="6"/>
      <c r="U274" s="6"/>
      <c r="V274" s="6"/>
      <c r="W274" s="6"/>
    </row>
    <row r="275" spans="2:23">
      <c r="B275" s="3" t="str">
        <f t="shared" si="22"/>
        <v/>
      </c>
      <c r="F275" s="2" t="e">
        <f>VLOOKUP(TablaMarimba6[[#This Row],[Equipo]],[1]Catalogos!$V$4:$W$55,2,FALSE)</f>
        <v>#N/A</v>
      </c>
      <c r="H275" s="5"/>
      <c r="L275" s="6"/>
      <c r="M275" s="6">
        <f>TablaMarimba6[[#This Row],[Saldo inicial(vales)]]</f>
        <v>0</v>
      </c>
      <c r="N275" s="6">
        <f>TablaMarimba6[[#This Row],[Saldo inicial(vales)]]+TablaMarimba6[[#This Row],[Columna1]]</f>
        <v>0</v>
      </c>
      <c r="O275" s="6" t="str">
        <f t="shared" si="21"/>
        <v/>
      </c>
      <c r="P275" s="6"/>
      <c r="S275" s="6"/>
      <c r="T275" s="6"/>
      <c r="U275" s="6"/>
      <c r="V275" s="6"/>
      <c r="W275" s="6"/>
    </row>
    <row r="276" spans="2:23">
      <c r="B276" s="3" t="str">
        <f t="shared" si="22"/>
        <v/>
      </c>
      <c r="F276" s="2" t="e">
        <f>VLOOKUP(TablaMarimba6[[#This Row],[Equipo]],[1]Catalogos!$V$4:$W$55,2,FALSE)</f>
        <v>#N/A</v>
      </c>
      <c r="H276" s="5"/>
      <c r="L276" s="6"/>
      <c r="M276" s="6">
        <f>TablaMarimba6[[#This Row],[Saldo inicial(vales)]]</f>
        <v>0</v>
      </c>
      <c r="N276" s="6">
        <f>TablaMarimba6[[#This Row],[Saldo inicial(vales)]]+TablaMarimba6[[#This Row],[Columna1]]</f>
        <v>0</v>
      </c>
      <c r="O276" s="6" t="str">
        <f t="shared" si="21"/>
        <v/>
      </c>
      <c r="P276" s="6"/>
      <c r="S276" s="6"/>
      <c r="T276" s="6"/>
      <c r="U276" s="6"/>
      <c r="V276" s="6"/>
      <c r="W276" s="6"/>
    </row>
    <row r="277" spans="2:23">
      <c r="B277" s="3" t="str">
        <f t="shared" si="22"/>
        <v/>
      </c>
      <c r="F277" s="2" t="e">
        <f>VLOOKUP(TablaMarimba6[[#This Row],[Equipo]],[1]Catalogos!$V$4:$W$55,2,FALSE)</f>
        <v>#N/A</v>
      </c>
      <c r="H277" s="5"/>
      <c r="L277" s="6"/>
      <c r="M277" s="6">
        <f>TablaMarimba6[[#This Row],[Saldo inicial(vales)]]</f>
        <v>0</v>
      </c>
      <c r="N277" s="6">
        <f>TablaMarimba6[[#This Row],[Saldo inicial(vales)]]+TablaMarimba6[[#This Row],[Columna1]]</f>
        <v>0</v>
      </c>
      <c r="O277" s="6" t="str">
        <f t="shared" si="21"/>
        <v/>
      </c>
      <c r="P277" s="6"/>
      <c r="S277" s="6"/>
      <c r="T277" s="6"/>
      <c r="U277" s="6"/>
      <c r="V277" s="6"/>
      <c r="W277" s="6"/>
    </row>
    <row r="278" spans="2:23">
      <c r="B278" s="3" t="str">
        <f t="shared" si="22"/>
        <v/>
      </c>
      <c r="F278" s="2" t="e">
        <f>VLOOKUP(TablaMarimba6[[#This Row],[Equipo]],[1]Catalogos!$V$4:$W$55,2,FALSE)</f>
        <v>#N/A</v>
      </c>
      <c r="H278" s="5"/>
      <c r="L278" s="6"/>
      <c r="M278" s="6">
        <f>TablaMarimba6[[#This Row],[Saldo inicial(vales)]]</f>
        <v>0</v>
      </c>
      <c r="N278" s="6">
        <f>TablaMarimba6[[#This Row],[Saldo inicial(vales)]]+TablaMarimba6[[#This Row],[Columna1]]</f>
        <v>0</v>
      </c>
      <c r="O278" s="6" t="str">
        <f t="shared" si="21"/>
        <v/>
      </c>
      <c r="P278" s="6"/>
      <c r="S278" s="6"/>
      <c r="T278" s="6"/>
      <c r="U278" s="6"/>
      <c r="V278" s="6"/>
      <c r="W278" s="6"/>
    </row>
    <row r="279" spans="2:23">
      <c r="B279" s="3" t="str">
        <f t="shared" si="22"/>
        <v/>
      </c>
      <c r="F279" s="2" t="e">
        <f>VLOOKUP(TablaMarimba6[[#This Row],[Equipo]],[1]Catalogos!$V$4:$W$55,2,FALSE)</f>
        <v>#N/A</v>
      </c>
      <c r="H279" s="5"/>
      <c r="L279" s="6"/>
      <c r="M279" s="6">
        <f>TablaMarimba6[[#This Row],[Saldo inicial(vales)]]</f>
        <v>0</v>
      </c>
      <c r="N279" s="6">
        <f>TablaMarimba6[[#This Row],[Saldo inicial(vales)]]+TablaMarimba6[[#This Row],[Columna1]]</f>
        <v>0</v>
      </c>
      <c r="O279" s="6" t="str">
        <f t="shared" si="21"/>
        <v/>
      </c>
      <c r="P279" s="6"/>
      <c r="S279" s="6"/>
      <c r="T279" s="6"/>
      <c r="U279" s="6"/>
      <c r="V279" s="6"/>
      <c r="W279" s="6"/>
    </row>
    <row r="280" spans="2:23">
      <c r="B280" s="3" t="str">
        <f t="shared" si="22"/>
        <v/>
      </c>
      <c r="F280" s="2" t="e">
        <f>VLOOKUP(TablaMarimba6[[#This Row],[Equipo]],[1]Catalogos!$V$4:$W$55,2,FALSE)</f>
        <v>#N/A</v>
      </c>
      <c r="H280" s="5"/>
      <c r="L280" s="6"/>
      <c r="M280" s="6">
        <f>TablaMarimba6[[#This Row],[Saldo inicial(vales)]]</f>
        <v>0</v>
      </c>
      <c r="N280" s="6">
        <f>TablaMarimba6[[#This Row],[Saldo inicial(vales)]]+TablaMarimba6[[#This Row],[Columna1]]</f>
        <v>0</v>
      </c>
      <c r="O280" s="6" t="str">
        <f t="shared" si="21"/>
        <v/>
      </c>
      <c r="P280" s="6"/>
      <c r="S280" s="6"/>
      <c r="T280" s="6"/>
      <c r="U280" s="6"/>
      <c r="V280" s="6"/>
      <c r="W280" s="6"/>
    </row>
    <row r="281" spans="2:23">
      <c r="B281" s="3" t="str">
        <f t="shared" si="22"/>
        <v/>
      </c>
      <c r="F281" s="2" t="e">
        <f>VLOOKUP(TablaMarimba6[[#This Row],[Equipo]],[1]Catalogos!$V$4:$W$55,2,FALSE)</f>
        <v>#N/A</v>
      </c>
      <c r="H281" s="5"/>
      <c r="L281" s="6"/>
      <c r="M281" s="6">
        <f>TablaMarimba6[[#This Row],[Saldo inicial(vales)]]</f>
        <v>0</v>
      </c>
      <c r="N281" s="6">
        <f>TablaMarimba6[[#This Row],[Saldo inicial(vales)]]+TablaMarimba6[[#This Row],[Columna1]]</f>
        <v>0</v>
      </c>
      <c r="O281" s="6" t="str">
        <f t="shared" si="21"/>
        <v/>
      </c>
      <c r="P281" s="6"/>
      <c r="S281" s="6"/>
      <c r="T281" s="6"/>
      <c r="U281" s="6"/>
      <c r="V281" s="6"/>
      <c r="W281" s="6"/>
    </row>
    <row r="282" spans="2:23">
      <c r="B282" s="3" t="str">
        <f t="shared" si="22"/>
        <v/>
      </c>
      <c r="F282" s="2" t="e">
        <f>VLOOKUP(TablaMarimba6[[#This Row],[Equipo]],[1]Catalogos!$V$4:$W$55,2,FALSE)</f>
        <v>#N/A</v>
      </c>
      <c r="H282" s="5"/>
      <c r="L282" s="6"/>
      <c r="M282" s="6">
        <f>TablaMarimba6[[#This Row],[Saldo inicial(vales)]]</f>
        <v>0</v>
      </c>
      <c r="N282" s="6">
        <f>TablaMarimba6[[#This Row],[Saldo inicial(vales)]]+TablaMarimba6[[#This Row],[Columna1]]</f>
        <v>0</v>
      </c>
      <c r="O282" s="6" t="str">
        <f t="shared" si="21"/>
        <v/>
      </c>
      <c r="P282" s="6"/>
      <c r="S282" s="6"/>
      <c r="T282" s="6"/>
      <c r="U282" s="6"/>
      <c r="V282" s="6"/>
      <c r="W282" s="6"/>
    </row>
    <row r="283" spans="2:23">
      <c r="B283" s="3" t="str">
        <f t="shared" si="22"/>
        <v/>
      </c>
      <c r="F283" s="2" t="e">
        <f>VLOOKUP(TablaMarimba6[[#This Row],[Equipo]],[1]Catalogos!$V$4:$W$55,2,FALSE)</f>
        <v>#N/A</v>
      </c>
      <c r="H283" s="5"/>
      <c r="L283" s="6"/>
      <c r="M283" s="6">
        <f>TablaMarimba6[[#This Row],[Saldo inicial(vales)]]</f>
        <v>0</v>
      </c>
      <c r="N283" s="6">
        <f>TablaMarimba6[[#This Row],[Saldo inicial(vales)]]+TablaMarimba6[[#This Row],[Columna1]]</f>
        <v>0</v>
      </c>
      <c r="O283" s="6" t="str">
        <f t="shared" si="21"/>
        <v/>
      </c>
      <c r="P283" s="6"/>
      <c r="S283" s="6"/>
      <c r="T283" s="6"/>
      <c r="U283" s="6"/>
      <c r="V283" s="6"/>
      <c r="W283" s="6"/>
    </row>
    <row r="284" spans="2:23">
      <c r="B284" s="3" t="str">
        <f t="shared" si="22"/>
        <v/>
      </c>
      <c r="F284" s="2" t="e">
        <f>VLOOKUP(TablaMarimba6[[#This Row],[Equipo]],[1]Catalogos!$V$4:$W$55,2,FALSE)</f>
        <v>#N/A</v>
      </c>
      <c r="H284" s="5"/>
      <c r="L284" s="6"/>
      <c r="M284" s="6">
        <f>TablaMarimba6[[#This Row],[Saldo inicial(vales)]]</f>
        <v>0</v>
      </c>
      <c r="N284" s="6">
        <f>TablaMarimba6[[#This Row],[Saldo inicial(vales)]]+TablaMarimba6[[#This Row],[Columna1]]</f>
        <v>0</v>
      </c>
      <c r="O284" s="6" t="str">
        <f t="shared" si="21"/>
        <v/>
      </c>
      <c r="P284" s="6"/>
      <c r="S284" s="6"/>
      <c r="T284" s="6"/>
      <c r="U284" s="6"/>
      <c r="V284" s="6"/>
      <c r="W284" s="6"/>
    </row>
    <row r="285" spans="2:23">
      <c r="B285" s="3" t="str">
        <f t="shared" si="22"/>
        <v/>
      </c>
      <c r="F285" s="2" t="e">
        <f>VLOOKUP(TablaMarimba6[[#This Row],[Equipo]],[1]Catalogos!$V$4:$W$55,2,FALSE)</f>
        <v>#N/A</v>
      </c>
      <c r="H285" s="5"/>
      <c r="L285" s="6"/>
      <c r="M285" s="6">
        <f>TablaMarimba6[[#This Row],[Saldo inicial(vales)]]</f>
        <v>0</v>
      </c>
      <c r="N285" s="6">
        <f>TablaMarimba6[[#This Row],[Saldo inicial(vales)]]+TablaMarimba6[[#This Row],[Columna1]]</f>
        <v>0</v>
      </c>
      <c r="O285" s="6" t="str">
        <f t="shared" si="21"/>
        <v/>
      </c>
      <c r="P285" s="6"/>
      <c r="S285" s="6"/>
      <c r="T285" s="6"/>
      <c r="U285" s="6"/>
      <c r="V285" s="6"/>
      <c r="W285" s="6"/>
    </row>
    <row r="286" spans="2:23">
      <c r="B286" s="3" t="str">
        <f t="shared" si="22"/>
        <v/>
      </c>
      <c r="F286" s="2" t="e">
        <f>VLOOKUP(TablaMarimba6[[#This Row],[Equipo]],[1]Catalogos!$V$4:$W$55,2,FALSE)</f>
        <v>#N/A</v>
      </c>
      <c r="H286" s="5"/>
      <c r="L286" s="6"/>
      <c r="M286" s="6">
        <f>TablaMarimba6[[#This Row],[Saldo inicial(vales)]]</f>
        <v>0</v>
      </c>
      <c r="N286" s="6">
        <f>TablaMarimba6[[#This Row],[Saldo inicial(vales)]]+TablaMarimba6[[#This Row],[Columna1]]</f>
        <v>0</v>
      </c>
      <c r="O286" s="6" t="str">
        <f t="shared" si="21"/>
        <v/>
      </c>
      <c r="P286" s="6"/>
      <c r="S286" s="6"/>
      <c r="T286" s="6"/>
      <c r="U286" s="6"/>
      <c r="V286" s="6"/>
      <c r="W286" s="6"/>
    </row>
    <row r="287" spans="2:23">
      <c r="B287" s="3" t="str">
        <f t="shared" si="22"/>
        <v/>
      </c>
      <c r="F287" s="2" t="e">
        <f>VLOOKUP(TablaMarimba6[[#This Row],[Equipo]],[1]Catalogos!$V$4:$W$55,2,FALSE)</f>
        <v>#N/A</v>
      </c>
      <c r="H287" s="5"/>
      <c r="L287" s="6"/>
      <c r="M287" s="6">
        <f>TablaMarimba6[[#This Row],[Saldo inicial(vales)]]</f>
        <v>0</v>
      </c>
      <c r="N287" s="6">
        <f>TablaMarimba6[[#This Row],[Saldo inicial(vales)]]+TablaMarimba6[[#This Row],[Columna1]]</f>
        <v>0</v>
      </c>
      <c r="O287" s="6" t="str">
        <f t="shared" si="21"/>
        <v/>
      </c>
      <c r="P287" s="6"/>
      <c r="S287" s="6"/>
      <c r="T287" s="6"/>
      <c r="U287" s="6"/>
      <c r="V287" s="6"/>
      <c r="W287" s="6"/>
    </row>
    <row r="288" spans="2:23">
      <c r="B288" s="3" t="str">
        <f t="shared" si="22"/>
        <v/>
      </c>
      <c r="F288" s="2" t="e">
        <f>VLOOKUP(TablaMarimba6[[#This Row],[Equipo]],[1]Catalogos!$V$4:$W$55,2,FALSE)</f>
        <v>#N/A</v>
      </c>
      <c r="H288" s="5"/>
      <c r="L288" s="6"/>
      <c r="M288" s="6">
        <f>TablaMarimba6[[#This Row],[Saldo inicial(vales)]]</f>
        <v>0</v>
      </c>
      <c r="N288" s="6">
        <f>TablaMarimba6[[#This Row],[Saldo inicial(vales)]]+TablaMarimba6[[#This Row],[Columna1]]</f>
        <v>0</v>
      </c>
      <c r="O288" s="6" t="str">
        <f t="shared" si="21"/>
        <v/>
      </c>
      <c r="P288" s="6"/>
      <c r="S288" s="6"/>
      <c r="T288" s="6"/>
      <c r="U288" s="6"/>
      <c r="V288" s="6"/>
      <c r="W288" s="6"/>
    </row>
    <row r="289" spans="2:23">
      <c r="B289" s="3" t="str">
        <f t="shared" si="22"/>
        <v/>
      </c>
      <c r="F289" s="2" t="e">
        <f>VLOOKUP(TablaMarimba6[[#This Row],[Equipo]],[1]Catalogos!$V$4:$W$55,2,FALSE)</f>
        <v>#N/A</v>
      </c>
      <c r="H289" s="5"/>
      <c r="L289" s="6"/>
      <c r="M289" s="6">
        <f>TablaMarimba6[[#This Row],[Saldo inicial(vales)]]</f>
        <v>0</v>
      </c>
      <c r="N289" s="6">
        <f>TablaMarimba6[[#This Row],[Saldo inicial(vales)]]+TablaMarimba6[[#This Row],[Columna1]]</f>
        <v>0</v>
      </c>
      <c r="O289" s="6" t="str">
        <f t="shared" si="21"/>
        <v/>
      </c>
      <c r="P289" s="6"/>
      <c r="S289" s="6"/>
      <c r="T289" s="6"/>
      <c r="U289" s="6"/>
      <c r="V289" s="6"/>
      <c r="W289" s="6"/>
    </row>
    <row r="290" spans="2:23">
      <c r="B290" s="3" t="str">
        <f t="shared" si="22"/>
        <v/>
      </c>
      <c r="F290" s="2" t="e">
        <f>VLOOKUP(TablaMarimba6[[#This Row],[Equipo]],[1]Catalogos!$V$4:$W$55,2,FALSE)</f>
        <v>#N/A</v>
      </c>
      <c r="H290" s="5"/>
      <c r="L290" s="6"/>
      <c r="M290" s="6">
        <f>TablaMarimba6[[#This Row],[Saldo inicial(vales)]]</f>
        <v>0</v>
      </c>
      <c r="N290" s="6">
        <f>TablaMarimba6[[#This Row],[Saldo inicial(vales)]]+TablaMarimba6[[#This Row],[Columna1]]</f>
        <v>0</v>
      </c>
      <c r="O290" s="6" t="str">
        <f t="shared" si="21"/>
        <v/>
      </c>
      <c r="P290" s="6"/>
      <c r="S290" s="6"/>
      <c r="T290" s="6"/>
      <c r="U290" s="6"/>
      <c r="V290" s="6"/>
      <c r="W290" s="6"/>
    </row>
    <row r="291" spans="2:23">
      <c r="B291" s="3" t="str">
        <f t="shared" si="22"/>
        <v/>
      </c>
      <c r="F291" s="2" t="e">
        <f>VLOOKUP(TablaMarimba6[[#This Row],[Equipo]],[1]Catalogos!$V$4:$W$55,2,FALSE)</f>
        <v>#N/A</v>
      </c>
      <c r="H291" s="5"/>
      <c r="L291" s="6"/>
      <c r="M291" s="6">
        <f>TablaMarimba6[[#This Row],[Saldo inicial(vales)]]</f>
        <v>0</v>
      </c>
      <c r="N291" s="6">
        <f>TablaMarimba6[[#This Row],[Saldo inicial(vales)]]+TablaMarimba6[[#This Row],[Columna1]]</f>
        <v>0</v>
      </c>
      <c r="O291" s="6" t="str">
        <f t="shared" si="21"/>
        <v/>
      </c>
      <c r="P291" s="6"/>
      <c r="S291" s="6"/>
      <c r="T291" s="6"/>
      <c r="U291" s="6"/>
      <c r="V291" s="6"/>
      <c r="W291" s="6"/>
    </row>
    <row r="292" spans="2:23">
      <c r="B292" s="3" t="str">
        <f t="shared" si="22"/>
        <v/>
      </c>
      <c r="F292" s="2" t="e">
        <f>VLOOKUP(TablaMarimba6[[#This Row],[Equipo]],[1]Catalogos!$V$4:$W$55,2,FALSE)</f>
        <v>#N/A</v>
      </c>
      <c r="H292" s="5"/>
      <c r="L292" s="6"/>
      <c r="M292" s="6">
        <f>TablaMarimba6[[#This Row],[Saldo inicial(vales)]]</f>
        <v>0</v>
      </c>
      <c r="N292" s="6">
        <f>TablaMarimba6[[#This Row],[Saldo inicial(vales)]]+TablaMarimba6[[#This Row],[Columna1]]</f>
        <v>0</v>
      </c>
      <c r="O292" s="6" t="str">
        <f t="shared" si="21"/>
        <v/>
      </c>
      <c r="P292" s="6"/>
      <c r="S292" s="6"/>
      <c r="T292" s="6"/>
      <c r="U292" s="6"/>
      <c r="V292" s="6"/>
      <c r="W292" s="6"/>
    </row>
    <row r="293" spans="2:23">
      <c r="B293" s="3" t="str">
        <f t="shared" si="22"/>
        <v/>
      </c>
      <c r="F293" s="2" t="e">
        <f>VLOOKUP(TablaMarimba6[[#This Row],[Equipo]],[1]Catalogos!$V$4:$W$55,2,FALSE)</f>
        <v>#N/A</v>
      </c>
      <c r="H293" s="5"/>
      <c r="L293" s="6"/>
      <c r="M293" s="6">
        <f>TablaMarimba6[[#This Row],[Saldo inicial(vales)]]</f>
        <v>0</v>
      </c>
      <c r="N293" s="6">
        <f>TablaMarimba6[[#This Row],[Saldo inicial(vales)]]+TablaMarimba6[[#This Row],[Columna1]]</f>
        <v>0</v>
      </c>
      <c r="O293" s="6" t="str">
        <f t="shared" si="21"/>
        <v/>
      </c>
      <c r="P293" s="6"/>
      <c r="S293" s="6"/>
      <c r="T293" s="6"/>
      <c r="U293" s="6"/>
      <c r="V293" s="6"/>
      <c r="W293" s="6"/>
    </row>
    <row r="294" spans="2:23">
      <c r="B294" s="3" t="str">
        <f t="shared" si="22"/>
        <v/>
      </c>
      <c r="F294" s="2" t="e">
        <f>VLOOKUP(TablaMarimba6[[#This Row],[Equipo]],[1]Catalogos!$V$4:$W$55,2,FALSE)</f>
        <v>#N/A</v>
      </c>
      <c r="H294" s="5"/>
      <c r="L294" s="6"/>
      <c r="M294" s="6">
        <f>TablaMarimba6[[#This Row],[Saldo inicial(vales)]]</f>
        <v>0</v>
      </c>
      <c r="N294" s="6">
        <f>TablaMarimba6[[#This Row],[Saldo inicial(vales)]]+TablaMarimba6[[#This Row],[Columna1]]</f>
        <v>0</v>
      </c>
      <c r="O294" s="6" t="str">
        <f t="shared" si="21"/>
        <v/>
      </c>
      <c r="P294" s="6"/>
      <c r="S294" s="6"/>
      <c r="T294" s="6"/>
      <c r="U294" s="6"/>
      <c r="V294" s="6"/>
      <c r="W294" s="6"/>
    </row>
    <row r="295" spans="2:23">
      <c r="B295" s="3" t="str">
        <f t="shared" si="22"/>
        <v/>
      </c>
      <c r="F295" s="2" t="e">
        <f>VLOOKUP(TablaMarimba6[[#This Row],[Equipo]],[1]Catalogos!$V$4:$W$55,2,FALSE)</f>
        <v>#N/A</v>
      </c>
      <c r="H295" s="5"/>
      <c r="L295" s="6"/>
      <c r="M295" s="6">
        <f>TablaMarimba6[[#This Row],[Saldo inicial(vales)]]</f>
        <v>0</v>
      </c>
      <c r="N295" s="6">
        <f>TablaMarimba6[[#This Row],[Saldo inicial(vales)]]+TablaMarimba6[[#This Row],[Columna1]]</f>
        <v>0</v>
      </c>
      <c r="O295" s="6" t="str">
        <f t="shared" si="21"/>
        <v/>
      </c>
      <c r="P295" s="6"/>
      <c r="S295" s="6"/>
      <c r="T295" s="6"/>
      <c r="U295" s="6"/>
      <c r="V295" s="6"/>
      <c r="W295" s="6"/>
    </row>
    <row r="296" spans="2:23">
      <c r="B296" s="3" t="str">
        <f t="shared" si="22"/>
        <v/>
      </c>
      <c r="F296" s="2" t="e">
        <f>VLOOKUP(TablaMarimba6[[#This Row],[Equipo]],[1]Catalogos!$V$4:$W$55,2,FALSE)</f>
        <v>#N/A</v>
      </c>
      <c r="H296" s="5"/>
      <c r="L296" s="6"/>
      <c r="M296" s="6">
        <f>TablaMarimba6[[#This Row],[Saldo inicial(vales)]]</f>
        <v>0</v>
      </c>
      <c r="N296" s="6">
        <f>TablaMarimba6[[#This Row],[Saldo inicial(vales)]]+TablaMarimba6[[#This Row],[Columna1]]</f>
        <v>0</v>
      </c>
      <c r="O296" s="6" t="str">
        <f t="shared" si="21"/>
        <v/>
      </c>
      <c r="P296" s="6"/>
      <c r="S296" s="6"/>
      <c r="T296" s="6"/>
      <c r="U296" s="6"/>
      <c r="V296" s="6"/>
      <c r="W296" s="6"/>
    </row>
    <row r="297" spans="2:23">
      <c r="B297" s="3" t="str">
        <f t="shared" si="22"/>
        <v/>
      </c>
      <c r="F297" s="2" t="e">
        <f>VLOOKUP(TablaMarimba6[[#This Row],[Equipo]],[1]Catalogos!$V$4:$W$55,2,FALSE)</f>
        <v>#N/A</v>
      </c>
      <c r="H297" s="5"/>
      <c r="L297" s="6"/>
      <c r="M297" s="6">
        <f>TablaMarimba6[[#This Row],[Saldo inicial(vales)]]</f>
        <v>0</v>
      </c>
      <c r="N297" s="6">
        <f>TablaMarimba6[[#This Row],[Saldo inicial(vales)]]+TablaMarimba6[[#This Row],[Columna1]]</f>
        <v>0</v>
      </c>
      <c r="O297" s="6" t="str">
        <f t="shared" si="21"/>
        <v/>
      </c>
      <c r="P297" s="6"/>
      <c r="S297" s="6"/>
      <c r="T297" s="6"/>
      <c r="U297" s="6"/>
      <c r="V297" s="6"/>
      <c r="W297" s="6"/>
    </row>
    <row r="298" spans="2:23">
      <c r="B298" s="3" t="str">
        <f t="shared" si="22"/>
        <v/>
      </c>
      <c r="F298" s="2" t="e">
        <f>VLOOKUP(TablaMarimba6[[#This Row],[Equipo]],[1]Catalogos!$V$4:$W$55,2,FALSE)</f>
        <v>#N/A</v>
      </c>
      <c r="H298" s="5"/>
      <c r="L298" s="6"/>
      <c r="M298" s="6">
        <f>TablaMarimba6[[#This Row],[Saldo inicial(vales)]]</f>
        <v>0</v>
      </c>
      <c r="N298" s="6">
        <f>TablaMarimba6[[#This Row],[Saldo inicial(vales)]]+TablaMarimba6[[#This Row],[Columna1]]</f>
        <v>0</v>
      </c>
      <c r="O298" s="6" t="str">
        <f t="shared" si="21"/>
        <v/>
      </c>
      <c r="P298" s="6"/>
      <c r="S298" s="6"/>
      <c r="T298" s="6"/>
      <c r="U298" s="6"/>
      <c r="V298" s="6"/>
      <c r="W298" s="6"/>
    </row>
    <row r="299" spans="2:23">
      <c r="B299" s="3" t="str">
        <f t="shared" si="22"/>
        <v/>
      </c>
      <c r="F299" s="2" t="e">
        <f>VLOOKUP(TablaMarimba6[[#This Row],[Equipo]],[1]Catalogos!$V$4:$W$55,2,FALSE)</f>
        <v>#N/A</v>
      </c>
      <c r="H299" s="5"/>
      <c r="L299" s="6"/>
      <c r="M299" s="6">
        <f>TablaMarimba6[[#This Row],[Saldo inicial(vales)]]</f>
        <v>0</v>
      </c>
      <c r="N299" s="6">
        <f>TablaMarimba6[[#This Row],[Saldo inicial(vales)]]+TablaMarimba6[[#This Row],[Columna1]]</f>
        <v>0</v>
      </c>
      <c r="O299" s="6" t="str">
        <f t="shared" si="21"/>
        <v/>
      </c>
      <c r="P299" s="6"/>
      <c r="S299" s="6"/>
      <c r="T299" s="6"/>
      <c r="U299" s="6"/>
      <c r="V299" s="6"/>
      <c r="W299" s="6"/>
    </row>
    <row r="300" spans="2:23">
      <c r="B300" s="3" t="str">
        <f t="shared" si="22"/>
        <v/>
      </c>
      <c r="F300" s="2" t="e">
        <f>VLOOKUP(TablaMarimba6[[#This Row],[Equipo]],[1]Catalogos!$V$4:$W$55,2,FALSE)</f>
        <v>#N/A</v>
      </c>
      <c r="H300" s="5"/>
      <c r="L300" s="6"/>
      <c r="M300" s="6">
        <f>TablaMarimba6[[#This Row],[Saldo inicial(vales)]]</f>
        <v>0</v>
      </c>
      <c r="N300" s="6">
        <f>TablaMarimba6[[#This Row],[Saldo inicial(vales)]]+TablaMarimba6[[#This Row],[Columna1]]</f>
        <v>0</v>
      </c>
      <c r="O300" s="6" t="str">
        <f t="shared" si="21"/>
        <v/>
      </c>
      <c r="P300" s="6"/>
      <c r="S300" s="6"/>
      <c r="T300" s="6"/>
      <c r="U300" s="6"/>
      <c r="V300" s="6"/>
      <c r="W300" s="6"/>
    </row>
    <row r="301" spans="2:23">
      <c r="B301" s="3" t="str">
        <f t="shared" si="22"/>
        <v/>
      </c>
      <c r="F301" s="2" t="e">
        <f>VLOOKUP(TablaMarimba6[[#This Row],[Equipo]],[1]Catalogos!$V$4:$W$55,2,FALSE)</f>
        <v>#N/A</v>
      </c>
      <c r="H301" s="5"/>
      <c r="L301" s="6"/>
      <c r="M301" s="6">
        <f>TablaMarimba6[[#This Row],[Saldo inicial(vales)]]</f>
        <v>0</v>
      </c>
      <c r="N301" s="6">
        <f>TablaMarimba6[[#This Row],[Saldo inicial(vales)]]+TablaMarimba6[[#This Row],[Columna1]]</f>
        <v>0</v>
      </c>
      <c r="O301" s="6" t="str">
        <f t="shared" si="21"/>
        <v/>
      </c>
      <c r="P301" s="6"/>
      <c r="S301" s="6"/>
      <c r="T301" s="6"/>
      <c r="U301" s="6"/>
      <c r="V301" s="6"/>
      <c r="W301" s="6"/>
    </row>
    <row r="302" spans="2:23">
      <c r="B302" s="3" t="str">
        <f t="shared" si="22"/>
        <v/>
      </c>
      <c r="F302" s="2" t="e">
        <f>VLOOKUP(TablaMarimba6[[#This Row],[Equipo]],[1]Catalogos!$V$4:$W$55,2,FALSE)</f>
        <v>#N/A</v>
      </c>
      <c r="H302" s="5"/>
      <c r="L302" s="6"/>
      <c r="M302" s="6">
        <f>TablaMarimba6[[#This Row],[Saldo inicial(vales)]]</f>
        <v>0</v>
      </c>
      <c r="N302" s="6">
        <f>TablaMarimba6[[#This Row],[Saldo inicial(vales)]]+TablaMarimba6[[#This Row],[Columna1]]</f>
        <v>0</v>
      </c>
      <c r="O302" s="6" t="str">
        <f t="shared" si="21"/>
        <v/>
      </c>
      <c r="P302" s="6"/>
      <c r="S302" s="6"/>
      <c r="T302" s="6"/>
      <c r="U302" s="6"/>
      <c r="V302" s="6"/>
      <c r="W302" s="6"/>
    </row>
    <row r="303" spans="2:23">
      <c r="B303" s="3" t="str">
        <f t="shared" si="22"/>
        <v/>
      </c>
      <c r="F303" s="2" t="e">
        <f>VLOOKUP(TablaMarimba6[[#This Row],[Equipo]],[1]Catalogos!$V$4:$W$55,2,FALSE)</f>
        <v>#N/A</v>
      </c>
      <c r="H303" s="5"/>
      <c r="L303" s="6"/>
      <c r="M303" s="6">
        <f>TablaMarimba6[[#This Row],[Saldo inicial(vales)]]</f>
        <v>0</v>
      </c>
      <c r="N303" s="6">
        <f>TablaMarimba6[[#This Row],[Saldo inicial(vales)]]+TablaMarimba6[[#This Row],[Columna1]]</f>
        <v>0</v>
      </c>
      <c r="O303" s="6" t="str">
        <f t="shared" si="21"/>
        <v/>
      </c>
      <c r="P303" s="6"/>
      <c r="S303" s="6"/>
      <c r="T303" s="6"/>
      <c r="U303" s="6"/>
      <c r="V303" s="6"/>
      <c r="W303" s="6"/>
    </row>
    <row r="304" spans="2:23">
      <c r="B304" s="3" t="str">
        <f t="shared" si="22"/>
        <v/>
      </c>
      <c r="F304" s="2" t="e">
        <f>VLOOKUP(TablaMarimba6[[#This Row],[Equipo]],[1]Catalogos!$V$4:$W$55,2,FALSE)</f>
        <v>#N/A</v>
      </c>
      <c r="H304" s="5"/>
      <c r="L304" s="6"/>
      <c r="M304" s="6">
        <f>TablaMarimba6[[#This Row],[Saldo inicial(vales)]]</f>
        <v>0</v>
      </c>
      <c r="N304" s="6">
        <f>TablaMarimba6[[#This Row],[Saldo inicial(vales)]]+TablaMarimba6[[#This Row],[Columna1]]</f>
        <v>0</v>
      </c>
      <c r="O304" s="6" t="str">
        <f t="shared" si="21"/>
        <v/>
      </c>
      <c r="P304" s="6"/>
      <c r="S304" s="6"/>
      <c r="T304" s="6"/>
      <c r="U304" s="6"/>
      <c r="V304" s="6"/>
      <c r="W304" s="6"/>
    </row>
    <row r="305" spans="2:23">
      <c r="B305" s="3" t="str">
        <f t="shared" si="22"/>
        <v/>
      </c>
      <c r="F305" s="2" t="e">
        <f>VLOOKUP(TablaMarimba6[[#This Row],[Equipo]],[1]Catalogos!$V$4:$W$55,2,FALSE)</f>
        <v>#N/A</v>
      </c>
      <c r="H305" s="5"/>
      <c r="L305" s="6"/>
      <c r="M305" s="6">
        <f>TablaMarimba6[[#This Row],[Saldo inicial(vales)]]</f>
        <v>0</v>
      </c>
      <c r="N305" s="6">
        <f>TablaMarimba6[[#This Row],[Saldo inicial(vales)]]+TablaMarimba6[[#This Row],[Columna1]]</f>
        <v>0</v>
      </c>
      <c r="O305" s="6" t="str">
        <f t="shared" si="21"/>
        <v/>
      </c>
      <c r="P305" s="6"/>
      <c r="S305" s="6"/>
      <c r="T305" s="6"/>
      <c r="U305" s="6"/>
      <c r="V305" s="6"/>
      <c r="W305" s="6"/>
    </row>
    <row r="306" spans="2:23">
      <c r="B306" s="3" t="str">
        <f t="shared" si="22"/>
        <v/>
      </c>
      <c r="F306" s="2" t="e">
        <f>VLOOKUP(TablaMarimba6[[#This Row],[Equipo]],[1]Catalogos!$V$4:$W$55,2,FALSE)</f>
        <v>#N/A</v>
      </c>
      <c r="H306" s="5"/>
      <c r="L306" s="6"/>
      <c r="M306" s="6">
        <f>TablaMarimba6[[#This Row],[Saldo inicial(vales)]]</f>
        <v>0</v>
      </c>
      <c r="N306" s="6">
        <f>TablaMarimba6[[#This Row],[Saldo inicial(vales)]]+TablaMarimba6[[#This Row],[Columna1]]</f>
        <v>0</v>
      </c>
      <c r="O306" s="6" t="str">
        <f t="shared" si="21"/>
        <v/>
      </c>
      <c r="P306" s="6"/>
      <c r="S306" s="6"/>
      <c r="T306" s="6"/>
      <c r="U306" s="6"/>
      <c r="V306" s="6"/>
      <c r="W306" s="6"/>
    </row>
    <row r="307" spans="2:23">
      <c r="B307" s="3" t="str">
        <f t="shared" si="22"/>
        <v/>
      </c>
      <c r="F307" s="2" t="e">
        <f>VLOOKUP(TablaMarimba6[[#This Row],[Equipo]],[1]Catalogos!$V$4:$W$55,2,FALSE)</f>
        <v>#N/A</v>
      </c>
      <c r="H307" s="5"/>
      <c r="L307" s="6"/>
      <c r="M307" s="6">
        <f>TablaMarimba6[[#This Row],[Saldo inicial(vales)]]</f>
        <v>0</v>
      </c>
      <c r="N307" s="6">
        <f>TablaMarimba6[[#This Row],[Saldo inicial(vales)]]+TablaMarimba6[[#This Row],[Columna1]]</f>
        <v>0</v>
      </c>
      <c r="O307" s="6" t="str">
        <f t="shared" si="21"/>
        <v/>
      </c>
      <c r="P307" s="6"/>
      <c r="S307" s="6"/>
      <c r="T307" s="6"/>
      <c r="U307" s="6"/>
      <c r="V307" s="6"/>
      <c r="W307" s="6"/>
    </row>
    <row r="308" spans="2:23">
      <c r="B308" s="3" t="str">
        <f t="shared" si="22"/>
        <v/>
      </c>
      <c r="F308" s="2" t="e">
        <f>VLOOKUP(TablaMarimba6[[#This Row],[Equipo]],[1]Catalogos!$V$4:$W$55,2,FALSE)</f>
        <v>#N/A</v>
      </c>
      <c r="H308" s="5"/>
      <c r="L308" s="6"/>
      <c r="M308" s="6">
        <f>TablaMarimba6[[#This Row],[Saldo inicial(vales)]]</f>
        <v>0</v>
      </c>
      <c r="N308" s="6">
        <f>TablaMarimba6[[#This Row],[Saldo inicial(vales)]]+TablaMarimba6[[#This Row],[Columna1]]</f>
        <v>0</v>
      </c>
      <c r="O308" s="6" t="str">
        <f t="shared" si="21"/>
        <v/>
      </c>
      <c r="P308" s="6"/>
      <c r="S308" s="6"/>
      <c r="T308" s="6"/>
      <c r="U308" s="6"/>
      <c r="V308" s="6"/>
      <c r="W308" s="6"/>
    </row>
    <row r="309" spans="2:23">
      <c r="B309" s="3" t="str">
        <f t="shared" si="22"/>
        <v/>
      </c>
      <c r="F309" s="2" t="e">
        <f>VLOOKUP(TablaMarimba6[[#This Row],[Equipo]],[1]Catalogos!$V$4:$W$55,2,FALSE)</f>
        <v>#N/A</v>
      </c>
      <c r="H309" s="5"/>
      <c r="L309" s="6"/>
      <c r="M309" s="6">
        <f>TablaMarimba6[[#This Row],[Saldo inicial(vales)]]</f>
        <v>0</v>
      </c>
      <c r="N309" s="6">
        <f>TablaMarimba6[[#This Row],[Saldo inicial(vales)]]+TablaMarimba6[[#This Row],[Columna1]]</f>
        <v>0</v>
      </c>
      <c r="O309" s="6" t="str">
        <f t="shared" si="21"/>
        <v/>
      </c>
      <c r="P309" s="6"/>
      <c r="S309" s="6"/>
      <c r="T309" s="6"/>
      <c r="U309" s="6"/>
      <c r="V309" s="6"/>
      <c r="W309" s="6"/>
    </row>
    <row r="310" spans="2:23">
      <c r="B310" s="3" t="str">
        <f t="shared" si="22"/>
        <v/>
      </c>
      <c r="F310" s="2" t="e">
        <f>VLOOKUP(TablaMarimba6[[#This Row],[Equipo]],[1]Catalogos!$V$4:$W$55,2,FALSE)</f>
        <v>#N/A</v>
      </c>
      <c r="H310" s="5"/>
      <c r="L310" s="6"/>
      <c r="M310" s="6">
        <f>TablaMarimba6[[#This Row],[Saldo inicial(vales)]]</f>
        <v>0</v>
      </c>
      <c r="N310" s="6">
        <f>TablaMarimba6[[#This Row],[Saldo inicial(vales)]]+TablaMarimba6[[#This Row],[Columna1]]</f>
        <v>0</v>
      </c>
      <c r="O310" s="6" t="str">
        <f t="shared" si="21"/>
        <v/>
      </c>
      <c r="P310" s="6"/>
      <c r="S310" s="6"/>
      <c r="T310" s="6"/>
      <c r="U310" s="6"/>
      <c r="V310" s="6"/>
      <c r="W310" s="6"/>
    </row>
    <row r="311" spans="2:23">
      <c r="B311" s="3" t="str">
        <f t="shared" si="22"/>
        <v/>
      </c>
      <c r="F311" s="2" t="e">
        <f>VLOOKUP(TablaMarimba6[[#This Row],[Equipo]],[1]Catalogos!$V$4:$W$55,2,FALSE)</f>
        <v>#N/A</v>
      </c>
      <c r="H311" s="5"/>
      <c r="L311" s="6"/>
      <c r="M311" s="6">
        <f>TablaMarimba6[[#This Row],[Saldo inicial(vales)]]</f>
        <v>0</v>
      </c>
      <c r="N311" s="6">
        <f>TablaMarimba6[[#This Row],[Saldo inicial(vales)]]+TablaMarimba6[[#This Row],[Columna1]]</f>
        <v>0</v>
      </c>
      <c r="O311" s="6" t="str">
        <f t="shared" si="21"/>
        <v/>
      </c>
      <c r="P311" s="6"/>
      <c r="S311" s="6"/>
      <c r="T311" s="6"/>
      <c r="U311" s="6"/>
      <c r="V311" s="6"/>
      <c r="W311" s="6"/>
    </row>
    <row r="312" spans="2:23">
      <c r="B312" s="3" t="str">
        <f t="shared" si="22"/>
        <v/>
      </c>
      <c r="F312" s="2" t="e">
        <f>VLOOKUP(TablaMarimba6[[#This Row],[Equipo]],[1]Catalogos!$V$4:$W$55,2,FALSE)</f>
        <v>#N/A</v>
      </c>
      <c r="H312" s="5"/>
      <c r="L312" s="6"/>
      <c r="M312" s="6">
        <f>TablaMarimba6[[#This Row],[Saldo inicial(vales)]]</f>
        <v>0</v>
      </c>
      <c r="N312" s="6">
        <f>TablaMarimba6[[#This Row],[Saldo inicial(vales)]]+TablaMarimba6[[#This Row],[Columna1]]</f>
        <v>0</v>
      </c>
      <c r="O312" s="6" t="str">
        <f t="shared" si="21"/>
        <v/>
      </c>
      <c r="P312" s="6"/>
      <c r="S312" s="6"/>
      <c r="T312" s="6"/>
      <c r="U312" s="6"/>
      <c r="V312" s="6"/>
      <c r="W312" s="6"/>
    </row>
    <row r="313" spans="2:23">
      <c r="B313" s="3" t="str">
        <f t="shared" si="22"/>
        <v/>
      </c>
      <c r="F313" s="2" t="e">
        <f>VLOOKUP(TablaMarimba6[[#This Row],[Equipo]],[1]Catalogos!$V$4:$W$55,2,FALSE)</f>
        <v>#N/A</v>
      </c>
      <c r="H313" s="5"/>
      <c r="L313" s="6"/>
      <c r="M313" s="6">
        <f>TablaMarimba6[[#This Row],[Saldo inicial(vales)]]</f>
        <v>0</v>
      </c>
      <c r="N313" s="6">
        <f>TablaMarimba6[[#This Row],[Saldo inicial(vales)]]+TablaMarimba6[[#This Row],[Columna1]]</f>
        <v>0</v>
      </c>
      <c r="O313" s="6" t="str">
        <f t="shared" si="21"/>
        <v/>
      </c>
      <c r="P313" s="6"/>
      <c r="S313" s="6"/>
      <c r="T313" s="6"/>
      <c r="U313" s="6"/>
      <c r="V313" s="6"/>
      <c r="W313" s="6"/>
    </row>
    <row r="314" spans="2:23">
      <c r="B314" s="3" t="str">
        <f t="shared" si="22"/>
        <v/>
      </c>
      <c r="F314" s="2" t="e">
        <f>VLOOKUP(TablaMarimba6[[#This Row],[Equipo]],[1]Catalogos!$V$4:$W$55,2,FALSE)</f>
        <v>#N/A</v>
      </c>
      <c r="H314" s="5"/>
      <c r="L314" s="6"/>
      <c r="M314" s="6">
        <f>TablaMarimba6[[#This Row],[Saldo inicial(vales)]]</f>
        <v>0</v>
      </c>
      <c r="N314" s="6">
        <f>TablaMarimba6[[#This Row],[Saldo inicial(vales)]]+TablaMarimba6[[#This Row],[Columna1]]</f>
        <v>0</v>
      </c>
      <c r="O314" s="6" t="str">
        <f t="shared" si="21"/>
        <v/>
      </c>
      <c r="P314" s="6"/>
      <c r="S314" s="6"/>
      <c r="T314" s="6"/>
      <c r="U314" s="6"/>
      <c r="V314" s="6"/>
      <c r="W314" s="6"/>
    </row>
    <row r="315" spans="2:23">
      <c r="B315" s="3" t="str">
        <f t="shared" si="22"/>
        <v/>
      </c>
      <c r="F315" s="2" t="e">
        <f>VLOOKUP(TablaMarimba6[[#This Row],[Equipo]],[1]Catalogos!$V$4:$W$55,2,FALSE)</f>
        <v>#N/A</v>
      </c>
      <c r="H315" s="5"/>
      <c r="L315" s="6"/>
      <c r="M315" s="6">
        <f>TablaMarimba6[[#This Row],[Saldo inicial(vales)]]</f>
        <v>0</v>
      </c>
      <c r="N315" s="6">
        <f>TablaMarimba6[[#This Row],[Saldo inicial(vales)]]+TablaMarimba6[[#This Row],[Columna1]]</f>
        <v>0</v>
      </c>
      <c r="O315" s="6" t="str">
        <f t="shared" si="21"/>
        <v/>
      </c>
      <c r="P315" s="6"/>
      <c r="S315" s="6"/>
      <c r="T315" s="6"/>
      <c r="U315" s="6"/>
      <c r="V315" s="6"/>
      <c r="W315" s="6"/>
    </row>
    <row r="316" spans="2:23">
      <c r="B316" s="3" t="str">
        <f t="shared" si="22"/>
        <v/>
      </c>
      <c r="F316" s="2" t="e">
        <f>VLOOKUP(TablaMarimba6[[#This Row],[Equipo]],[1]Catalogos!$V$4:$W$55,2,FALSE)</f>
        <v>#N/A</v>
      </c>
      <c r="H316" s="5"/>
      <c r="L316" s="6"/>
      <c r="M316" s="6">
        <f>TablaMarimba6[[#This Row],[Saldo inicial(vales)]]</f>
        <v>0</v>
      </c>
      <c r="N316" s="6">
        <f>TablaMarimba6[[#This Row],[Saldo inicial(vales)]]+TablaMarimba6[[#This Row],[Columna1]]</f>
        <v>0</v>
      </c>
      <c r="O316" s="6" t="str">
        <f t="shared" si="21"/>
        <v/>
      </c>
      <c r="P316" s="6"/>
      <c r="S316" s="6"/>
      <c r="T316" s="6"/>
      <c r="U316" s="6"/>
      <c r="V316" s="6"/>
      <c r="W316" s="6"/>
    </row>
    <row r="317" spans="2:23">
      <c r="B317" s="3" t="str">
        <f t="shared" si="22"/>
        <v/>
      </c>
      <c r="F317" s="2" t="e">
        <f>VLOOKUP(TablaMarimba6[[#This Row],[Equipo]],[1]Catalogos!$V$4:$W$55,2,FALSE)</f>
        <v>#N/A</v>
      </c>
      <c r="H317" s="5"/>
      <c r="L317" s="6"/>
      <c r="M317" s="6">
        <f>TablaMarimba6[[#This Row],[Saldo inicial(vales)]]</f>
        <v>0</v>
      </c>
      <c r="N317" s="6">
        <f>TablaMarimba6[[#This Row],[Saldo inicial(vales)]]+TablaMarimba6[[#This Row],[Columna1]]</f>
        <v>0</v>
      </c>
      <c r="O317" s="6" t="str">
        <f t="shared" ref="O317:O380" si="23">IF(A317="","", WEEKNUM(A317, 2))</f>
        <v/>
      </c>
      <c r="P317" s="6"/>
      <c r="S317" s="6"/>
      <c r="T317" s="6"/>
      <c r="U317" s="6"/>
      <c r="V317" s="6"/>
      <c r="W317" s="6"/>
    </row>
    <row r="318" spans="2:23">
      <c r="B318" s="3" t="str">
        <f t="shared" si="22"/>
        <v/>
      </c>
      <c r="F318" s="2" t="e">
        <f>VLOOKUP(TablaMarimba6[[#This Row],[Equipo]],[1]Catalogos!$V$4:$W$55,2,FALSE)</f>
        <v>#N/A</v>
      </c>
      <c r="H318" s="5"/>
      <c r="L318" s="6"/>
      <c r="M318" s="6">
        <f>TablaMarimba6[[#This Row],[Saldo inicial(vales)]]</f>
        <v>0</v>
      </c>
      <c r="N318" s="6">
        <f>TablaMarimba6[[#This Row],[Saldo inicial(vales)]]+TablaMarimba6[[#This Row],[Columna1]]</f>
        <v>0</v>
      </c>
      <c r="O318" s="6" t="str">
        <f t="shared" si="23"/>
        <v/>
      </c>
      <c r="P318" s="6"/>
      <c r="S318" s="6"/>
      <c r="T318" s="6"/>
      <c r="U318" s="6"/>
      <c r="V318" s="6"/>
      <c r="W318" s="6"/>
    </row>
    <row r="319" spans="2:23">
      <c r="B319" s="3" t="str">
        <f t="shared" si="22"/>
        <v/>
      </c>
      <c r="F319" s="2" t="e">
        <f>VLOOKUP(TablaMarimba6[[#This Row],[Equipo]],[1]Catalogos!$V$4:$W$55,2,FALSE)</f>
        <v>#N/A</v>
      </c>
      <c r="H319" s="5"/>
      <c r="L319" s="6"/>
      <c r="M319" s="6">
        <f>TablaMarimba6[[#This Row],[Saldo inicial(vales)]]</f>
        <v>0</v>
      </c>
      <c r="N319" s="6">
        <f>TablaMarimba6[[#This Row],[Saldo inicial(vales)]]+TablaMarimba6[[#This Row],[Columna1]]</f>
        <v>0</v>
      </c>
      <c r="O319" s="6" t="str">
        <f t="shared" si="23"/>
        <v/>
      </c>
      <c r="P319" s="6"/>
      <c r="S319" s="6"/>
      <c r="T319" s="6"/>
      <c r="U319" s="6"/>
      <c r="V319" s="6"/>
      <c r="W319" s="6"/>
    </row>
    <row r="320" spans="2:23">
      <c r="B320" s="3" t="str">
        <f t="shared" si="22"/>
        <v/>
      </c>
      <c r="F320" s="2" t="e">
        <f>VLOOKUP(TablaMarimba6[[#This Row],[Equipo]],[1]Catalogos!$V$4:$W$55,2,FALSE)</f>
        <v>#N/A</v>
      </c>
      <c r="H320" s="5"/>
      <c r="L320" s="6"/>
      <c r="M320" s="6">
        <f>TablaMarimba6[[#This Row],[Saldo inicial(vales)]]</f>
        <v>0</v>
      </c>
      <c r="N320" s="6">
        <f>TablaMarimba6[[#This Row],[Saldo inicial(vales)]]+TablaMarimba6[[#This Row],[Columna1]]</f>
        <v>0</v>
      </c>
      <c r="O320" s="6" t="str">
        <f t="shared" si="23"/>
        <v/>
      </c>
      <c r="P320" s="6"/>
      <c r="S320" s="6"/>
      <c r="T320" s="6"/>
      <c r="U320" s="6"/>
      <c r="V320" s="6"/>
      <c r="W320" s="6"/>
    </row>
    <row r="321" spans="2:23">
      <c r="B321" s="3" t="str">
        <f t="shared" si="22"/>
        <v/>
      </c>
      <c r="F321" s="2" t="e">
        <f>VLOOKUP(TablaMarimba6[[#This Row],[Equipo]],[1]Catalogos!$V$4:$W$55,2,FALSE)</f>
        <v>#N/A</v>
      </c>
      <c r="H321" s="5"/>
      <c r="L321" s="6"/>
      <c r="M321" s="6">
        <f>TablaMarimba6[[#This Row],[Saldo inicial(vales)]]</f>
        <v>0</v>
      </c>
      <c r="N321" s="6">
        <f>TablaMarimba6[[#This Row],[Saldo inicial(vales)]]+TablaMarimba6[[#This Row],[Columna1]]</f>
        <v>0</v>
      </c>
      <c r="O321" s="6" t="str">
        <f t="shared" si="23"/>
        <v/>
      </c>
      <c r="P321" s="6"/>
      <c r="S321" s="6"/>
      <c r="T321" s="6"/>
      <c r="U321" s="6"/>
      <c r="V321" s="6"/>
      <c r="W321" s="6"/>
    </row>
    <row r="322" spans="2:23">
      <c r="B322" s="3" t="str">
        <f t="shared" ref="B322:B385" si="24">IF(A322="","", "Semana "&amp;WEEKNUM(A322,2))</f>
        <v/>
      </c>
      <c r="F322" s="2" t="e">
        <f>VLOOKUP(TablaMarimba6[[#This Row],[Equipo]],[1]Catalogos!$V$4:$W$55,2,FALSE)</f>
        <v>#N/A</v>
      </c>
      <c r="H322" s="5"/>
      <c r="L322" s="6"/>
      <c r="M322" s="6">
        <f>TablaMarimba6[[#This Row],[Saldo inicial(vales)]]</f>
        <v>0</v>
      </c>
      <c r="N322" s="6">
        <f>TablaMarimba6[[#This Row],[Saldo inicial(vales)]]+TablaMarimba6[[#This Row],[Columna1]]</f>
        <v>0</v>
      </c>
      <c r="O322" s="6" t="str">
        <f t="shared" si="23"/>
        <v/>
      </c>
      <c r="P322" s="6"/>
      <c r="S322" s="6"/>
      <c r="T322" s="6"/>
      <c r="U322" s="6"/>
      <c r="V322" s="6"/>
      <c r="W322" s="6"/>
    </row>
    <row r="323" spans="2:23">
      <c r="B323" s="3" t="str">
        <f t="shared" si="24"/>
        <v/>
      </c>
      <c r="F323" s="2" t="e">
        <f>VLOOKUP(TablaMarimba6[[#This Row],[Equipo]],[1]Catalogos!$V$4:$W$55,2,FALSE)</f>
        <v>#N/A</v>
      </c>
      <c r="H323" s="5"/>
      <c r="L323" s="6"/>
      <c r="M323" s="6">
        <f>TablaMarimba6[[#This Row],[Saldo inicial(vales)]]</f>
        <v>0</v>
      </c>
      <c r="N323" s="6">
        <f>TablaMarimba6[[#This Row],[Saldo inicial(vales)]]+TablaMarimba6[[#This Row],[Columna1]]</f>
        <v>0</v>
      </c>
      <c r="O323" s="6" t="str">
        <f t="shared" si="23"/>
        <v/>
      </c>
      <c r="P323" s="6"/>
      <c r="S323" s="6"/>
      <c r="T323" s="6"/>
      <c r="U323" s="6"/>
      <c r="V323" s="6"/>
      <c r="W323" s="6"/>
    </row>
    <row r="324" spans="2:23">
      <c r="B324" s="3" t="str">
        <f t="shared" si="24"/>
        <v/>
      </c>
      <c r="F324" s="2" t="e">
        <f>VLOOKUP(TablaMarimba6[[#This Row],[Equipo]],[1]Catalogos!$V$4:$W$55,2,FALSE)</f>
        <v>#N/A</v>
      </c>
      <c r="H324" s="5"/>
      <c r="L324" s="6"/>
      <c r="M324" s="6">
        <f>TablaMarimba6[[#This Row],[Saldo inicial(vales)]]</f>
        <v>0</v>
      </c>
      <c r="N324" s="6">
        <f>TablaMarimba6[[#This Row],[Saldo inicial(vales)]]+TablaMarimba6[[#This Row],[Columna1]]</f>
        <v>0</v>
      </c>
      <c r="O324" s="6" t="str">
        <f t="shared" si="23"/>
        <v/>
      </c>
      <c r="P324" s="6"/>
      <c r="S324" s="6"/>
      <c r="T324" s="6"/>
      <c r="U324" s="6"/>
      <c r="V324" s="6"/>
      <c r="W324" s="6"/>
    </row>
    <row r="325" spans="2:23">
      <c r="B325" s="3" t="str">
        <f t="shared" si="24"/>
        <v/>
      </c>
      <c r="F325" s="2" t="e">
        <f>VLOOKUP(TablaMarimba6[[#This Row],[Equipo]],[1]Catalogos!$V$4:$W$55,2,FALSE)</f>
        <v>#N/A</v>
      </c>
      <c r="H325" s="5"/>
      <c r="L325" s="6"/>
      <c r="M325" s="6">
        <f>TablaMarimba6[[#This Row],[Saldo inicial(vales)]]</f>
        <v>0</v>
      </c>
      <c r="N325" s="6">
        <f>TablaMarimba6[[#This Row],[Saldo inicial(vales)]]+TablaMarimba6[[#This Row],[Columna1]]</f>
        <v>0</v>
      </c>
      <c r="O325" s="6" t="str">
        <f t="shared" si="23"/>
        <v/>
      </c>
      <c r="P325" s="6"/>
      <c r="S325" s="6"/>
      <c r="T325" s="6"/>
      <c r="U325" s="6"/>
      <c r="V325" s="6"/>
      <c r="W325" s="6"/>
    </row>
    <row r="326" spans="2:23">
      <c r="B326" s="3" t="str">
        <f t="shared" si="24"/>
        <v/>
      </c>
      <c r="F326" s="2" t="e">
        <f>VLOOKUP(TablaMarimba6[[#This Row],[Equipo]],[1]Catalogos!$V$4:$W$55,2,FALSE)</f>
        <v>#N/A</v>
      </c>
      <c r="H326" s="5"/>
      <c r="L326" s="6"/>
      <c r="M326" s="6">
        <f>TablaMarimba6[[#This Row],[Saldo inicial(vales)]]</f>
        <v>0</v>
      </c>
      <c r="N326" s="6">
        <f>TablaMarimba6[[#This Row],[Saldo inicial(vales)]]+TablaMarimba6[[#This Row],[Columna1]]</f>
        <v>0</v>
      </c>
      <c r="O326" s="6" t="str">
        <f t="shared" si="23"/>
        <v/>
      </c>
      <c r="P326" s="6"/>
      <c r="S326" s="6"/>
      <c r="T326" s="6"/>
      <c r="U326" s="6"/>
      <c r="V326" s="6"/>
      <c r="W326" s="6"/>
    </row>
    <row r="327" spans="2:23">
      <c r="B327" s="3" t="str">
        <f t="shared" si="24"/>
        <v/>
      </c>
      <c r="F327" s="2" t="e">
        <f>VLOOKUP(TablaMarimba6[[#This Row],[Equipo]],[1]Catalogos!$V$4:$W$55,2,FALSE)</f>
        <v>#N/A</v>
      </c>
      <c r="H327" s="5"/>
      <c r="L327" s="6"/>
      <c r="M327" s="6">
        <f>TablaMarimba6[[#This Row],[Saldo inicial(vales)]]</f>
        <v>0</v>
      </c>
      <c r="N327" s="6">
        <f>TablaMarimba6[[#This Row],[Saldo inicial(vales)]]+TablaMarimba6[[#This Row],[Columna1]]</f>
        <v>0</v>
      </c>
      <c r="O327" s="6" t="str">
        <f t="shared" si="23"/>
        <v/>
      </c>
      <c r="P327" s="6"/>
      <c r="S327" s="6"/>
      <c r="T327" s="6"/>
      <c r="U327" s="6"/>
      <c r="V327" s="6"/>
      <c r="W327" s="6"/>
    </row>
    <row r="328" spans="2:23">
      <c r="B328" s="3" t="str">
        <f t="shared" si="24"/>
        <v/>
      </c>
      <c r="F328" s="2" t="e">
        <f>VLOOKUP(TablaMarimba6[[#This Row],[Equipo]],[1]Catalogos!$V$4:$W$55,2,FALSE)</f>
        <v>#N/A</v>
      </c>
      <c r="H328" s="5"/>
      <c r="L328" s="6"/>
      <c r="M328" s="6">
        <f>TablaMarimba6[[#This Row],[Saldo inicial(vales)]]</f>
        <v>0</v>
      </c>
      <c r="N328" s="6">
        <f>TablaMarimba6[[#This Row],[Saldo inicial(vales)]]+TablaMarimba6[[#This Row],[Columna1]]</f>
        <v>0</v>
      </c>
      <c r="O328" s="6" t="str">
        <f t="shared" si="23"/>
        <v/>
      </c>
      <c r="P328" s="6"/>
      <c r="S328" s="6"/>
      <c r="T328" s="6"/>
      <c r="U328" s="6"/>
      <c r="V328" s="6"/>
      <c r="W328" s="6"/>
    </row>
    <row r="329" spans="2:23">
      <c r="B329" s="3" t="str">
        <f t="shared" si="24"/>
        <v/>
      </c>
      <c r="F329" s="2" t="e">
        <f>VLOOKUP(TablaMarimba6[[#This Row],[Equipo]],[1]Catalogos!$V$4:$W$55,2,FALSE)</f>
        <v>#N/A</v>
      </c>
      <c r="H329" s="5"/>
      <c r="L329" s="6"/>
      <c r="M329" s="6">
        <f>TablaMarimba6[[#This Row],[Saldo inicial(vales)]]</f>
        <v>0</v>
      </c>
      <c r="N329" s="6">
        <f>TablaMarimba6[[#This Row],[Saldo inicial(vales)]]+TablaMarimba6[[#This Row],[Columna1]]</f>
        <v>0</v>
      </c>
      <c r="O329" s="6" t="str">
        <f t="shared" si="23"/>
        <v/>
      </c>
      <c r="P329" s="6"/>
      <c r="S329" s="6"/>
      <c r="T329" s="6"/>
      <c r="U329" s="6"/>
      <c r="V329" s="6"/>
      <c r="W329" s="6"/>
    </row>
    <row r="330" spans="2:23">
      <c r="B330" s="3" t="str">
        <f t="shared" si="24"/>
        <v/>
      </c>
      <c r="F330" s="2" t="e">
        <f>VLOOKUP(TablaMarimba6[[#This Row],[Equipo]],[1]Catalogos!$V$4:$W$55,2,FALSE)</f>
        <v>#N/A</v>
      </c>
      <c r="H330" s="5"/>
      <c r="L330" s="6"/>
      <c r="M330" s="6">
        <f>TablaMarimba6[[#This Row],[Saldo inicial(vales)]]</f>
        <v>0</v>
      </c>
      <c r="N330" s="6">
        <f>TablaMarimba6[[#This Row],[Saldo inicial(vales)]]+TablaMarimba6[[#This Row],[Columna1]]</f>
        <v>0</v>
      </c>
      <c r="O330" s="6" t="str">
        <f t="shared" si="23"/>
        <v/>
      </c>
      <c r="P330" s="6"/>
      <c r="S330" s="6"/>
      <c r="T330" s="6"/>
      <c r="U330" s="6"/>
      <c r="V330" s="6"/>
      <c r="W330" s="6"/>
    </row>
    <row r="331" spans="2:23">
      <c r="B331" s="3" t="str">
        <f t="shared" si="24"/>
        <v/>
      </c>
      <c r="F331" s="2" t="e">
        <f>VLOOKUP(TablaMarimba6[[#This Row],[Equipo]],[1]Catalogos!$V$4:$W$55,2,FALSE)</f>
        <v>#N/A</v>
      </c>
      <c r="H331" s="5"/>
      <c r="L331" s="6"/>
      <c r="M331" s="6">
        <f>TablaMarimba6[[#This Row],[Saldo inicial(vales)]]</f>
        <v>0</v>
      </c>
      <c r="N331" s="6">
        <f>TablaMarimba6[[#This Row],[Saldo inicial(vales)]]+TablaMarimba6[[#This Row],[Columna1]]</f>
        <v>0</v>
      </c>
      <c r="O331" s="6" t="str">
        <f t="shared" si="23"/>
        <v/>
      </c>
      <c r="P331" s="6"/>
      <c r="S331" s="6"/>
      <c r="T331" s="6"/>
      <c r="U331" s="6"/>
      <c r="V331" s="6"/>
      <c r="W331" s="6"/>
    </row>
    <row r="332" spans="2:23">
      <c r="B332" s="3" t="str">
        <f t="shared" si="24"/>
        <v/>
      </c>
      <c r="F332" s="2" t="e">
        <f>VLOOKUP(TablaMarimba6[[#This Row],[Equipo]],[1]Catalogos!$V$4:$W$55,2,FALSE)</f>
        <v>#N/A</v>
      </c>
      <c r="H332" s="5"/>
      <c r="L332" s="6"/>
      <c r="M332" s="6">
        <f>TablaMarimba6[[#This Row],[Saldo inicial(vales)]]</f>
        <v>0</v>
      </c>
      <c r="N332" s="6">
        <f>TablaMarimba6[[#This Row],[Saldo inicial(vales)]]+TablaMarimba6[[#This Row],[Columna1]]</f>
        <v>0</v>
      </c>
      <c r="O332" s="6" t="str">
        <f t="shared" si="23"/>
        <v/>
      </c>
      <c r="P332" s="6"/>
      <c r="S332" s="6"/>
      <c r="T332" s="6"/>
      <c r="U332" s="6"/>
      <c r="V332" s="6"/>
      <c r="W332" s="6"/>
    </row>
    <row r="333" spans="2:23">
      <c r="B333" s="3" t="str">
        <f t="shared" si="24"/>
        <v/>
      </c>
      <c r="F333" s="2" t="e">
        <f>VLOOKUP(TablaMarimba6[[#This Row],[Equipo]],[1]Catalogos!$V$4:$W$55,2,FALSE)</f>
        <v>#N/A</v>
      </c>
      <c r="H333" s="5"/>
      <c r="L333" s="6"/>
      <c r="M333" s="6">
        <f>TablaMarimba6[[#This Row],[Saldo inicial(vales)]]</f>
        <v>0</v>
      </c>
      <c r="N333" s="6">
        <f>TablaMarimba6[[#This Row],[Saldo inicial(vales)]]+TablaMarimba6[[#This Row],[Columna1]]</f>
        <v>0</v>
      </c>
      <c r="O333" s="6" t="str">
        <f t="shared" si="23"/>
        <v/>
      </c>
      <c r="P333" s="6"/>
      <c r="S333" s="6"/>
      <c r="T333" s="6"/>
      <c r="U333" s="6"/>
      <c r="V333" s="6"/>
      <c r="W333" s="6"/>
    </row>
    <row r="334" spans="2:23">
      <c r="B334" s="3" t="str">
        <f t="shared" si="24"/>
        <v/>
      </c>
      <c r="F334" s="2" t="e">
        <f>VLOOKUP(TablaMarimba6[[#This Row],[Equipo]],[1]Catalogos!$V$4:$W$55,2,FALSE)</f>
        <v>#N/A</v>
      </c>
      <c r="H334" s="5"/>
      <c r="L334" s="6"/>
      <c r="M334" s="6">
        <f>TablaMarimba6[[#This Row],[Saldo inicial(vales)]]</f>
        <v>0</v>
      </c>
      <c r="N334" s="6">
        <f>TablaMarimba6[[#This Row],[Saldo inicial(vales)]]+TablaMarimba6[[#This Row],[Columna1]]</f>
        <v>0</v>
      </c>
      <c r="O334" s="6" t="str">
        <f t="shared" si="23"/>
        <v/>
      </c>
      <c r="P334" s="6"/>
      <c r="S334" s="6"/>
      <c r="T334" s="6"/>
      <c r="U334" s="6"/>
      <c r="V334" s="6"/>
      <c r="W334" s="6"/>
    </row>
    <row r="335" spans="2:23">
      <c r="B335" s="3" t="str">
        <f t="shared" si="24"/>
        <v/>
      </c>
      <c r="F335" s="2" t="e">
        <f>VLOOKUP(TablaMarimba6[[#This Row],[Equipo]],[1]Catalogos!$V$4:$W$55,2,FALSE)</f>
        <v>#N/A</v>
      </c>
      <c r="H335" s="5"/>
      <c r="L335" s="6"/>
      <c r="M335" s="6">
        <f>TablaMarimba6[[#This Row],[Saldo inicial(vales)]]</f>
        <v>0</v>
      </c>
      <c r="N335" s="6">
        <f>TablaMarimba6[[#This Row],[Saldo inicial(vales)]]+TablaMarimba6[[#This Row],[Columna1]]</f>
        <v>0</v>
      </c>
      <c r="O335" s="6" t="str">
        <f t="shared" si="23"/>
        <v/>
      </c>
      <c r="P335" s="6"/>
      <c r="S335" s="6"/>
      <c r="T335" s="6"/>
      <c r="U335" s="6"/>
      <c r="V335" s="6"/>
      <c r="W335" s="6"/>
    </row>
    <row r="336" spans="2:23">
      <c r="B336" s="3" t="str">
        <f t="shared" si="24"/>
        <v/>
      </c>
      <c r="F336" s="2" t="e">
        <f>VLOOKUP(TablaMarimba6[[#This Row],[Equipo]],[1]Catalogos!$V$4:$W$55,2,FALSE)</f>
        <v>#N/A</v>
      </c>
      <c r="H336" s="5"/>
      <c r="L336" s="6"/>
      <c r="M336" s="6">
        <f>TablaMarimba6[[#This Row],[Saldo inicial(vales)]]</f>
        <v>0</v>
      </c>
      <c r="N336" s="6">
        <f>TablaMarimba6[[#This Row],[Saldo inicial(vales)]]+TablaMarimba6[[#This Row],[Columna1]]</f>
        <v>0</v>
      </c>
      <c r="O336" s="6" t="str">
        <f t="shared" si="23"/>
        <v/>
      </c>
      <c r="P336" s="6"/>
      <c r="S336" s="6"/>
      <c r="T336" s="6"/>
      <c r="U336" s="6"/>
      <c r="V336" s="6"/>
      <c r="W336" s="6"/>
    </row>
    <row r="337" spans="2:23">
      <c r="B337" s="3" t="str">
        <f t="shared" si="24"/>
        <v/>
      </c>
      <c r="F337" s="2" t="e">
        <f>VLOOKUP(TablaMarimba6[[#This Row],[Equipo]],[1]Catalogos!$V$4:$W$55,2,FALSE)</f>
        <v>#N/A</v>
      </c>
      <c r="H337" s="5"/>
      <c r="L337" s="6"/>
      <c r="M337" s="6">
        <f>TablaMarimba6[[#This Row],[Saldo inicial(vales)]]</f>
        <v>0</v>
      </c>
      <c r="N337" s="6">
        <f>TablaMarimba6[[#This Row],[Saldo inicial(vales)]]+TablaMarimba6[[#This Row],[Columna1]]</f>
        <v>0</v>
      </c>
      <c r="O337" s="6" t="str">
        <f t="shared" si="23"/>
        <v/>
      </c>
      <c r="P337" s="6"/>
      <c r="S337" s="6"/>
      <c r="T337" s="6"/>
      <c r="U337" s="6"/>
      <c r="V337" s="6"/>
      <c r="W337" s="6"/>
    </row>
    <row r="338" spans="2:23">
      <c r="B338" s="3" t="str">
        <f t="shared" si="24"/>
        <v/>
      </c>
      <c r="F338" s="2" t="e">
        <f>VLOOKUP(TablaMarimba6[[#This Row],[Equipo]],[1]Catalogos!$V$4:$W$55,2,FALSE)</f>
        <v>#N/A</v>
      </c>
      <c r="H338" s="5"/>
      <c r="L338" s="6"/>
      <c r="M338" s="6">
        <f>TablaMarimba6[[#This Row],[Saldo inicial(vales)]]</f>
        <v>0</v>
      </c>
      <c r="N338" s="6">
        <f>TablaMarimba6[[#This Row],[Saldo inicial(vales)]]+TablaMarimba6[[#This Row],[Columna1]]</f>
        <v>0</v>
      </c>
      <c r="O338" s="6" t="str">
        <f t="shared" si="23"/>
        <v/>
      </c>
      <c r="P338" s="6"/>
      <c r="S338" s="6"/>
      <c r="T338" s="6"/>
      <c r="U338" s="6"/>
      <c r="V338" s="6"/>
      <c r="W338" s="6"/>
    </row>
    <row r="339" spans="2:23">
      <c r="B339" s="3" t="str">
        <f t="shared" si="24"/>
        <v/>
      </c>
      <c r="F339" s="2" t="e">
        <f>VLOOKUP(TablaMarimba6[[#This Row],[Equipo]],[1]Catalogos!$V$4:$W$55,2,FALSE)</f>
        <v>#N/A</v>
      </c>
      <c r="H339" s="5"/>
      <c r="L339" s="6"/>
      <c r="M339" s="6">
        <f>TablaMarimba6[[#This Row],[Saldo inicial(vales)]]</f>
        <v>0</v>
      </c>
      <c r="N339" s="6">
        <f>TablaMarimba6[[#This Row],[Saldo inicial(vales)]]+TablaMarimba6[[#This Row],[Columna1]]</f>
        <v>0</v>
      </c>
      <c r="O339" s="6" t="str">
        <f t="shared" si="23"/>
        <v/>
      </c>
      <c r="P339" s="6"/>
      <c r="S339" s="6"/>
      <c r="T339" s="6"/>
      <c r="U339" s="6"/>
      <c r="V339" s="6"/>
      <c r="W339" s="6"/>
    </row>
    <row r="340" spans="2:23">
      <c r="B340" s="3" t="str">
        <f t="shared" si="24"/>
        <v/>
      </c>
      <c r="F340" s="2" t="e">
        <f>VLOOKUP(TablaMarimba6[[#This Row],[Equipo]],[1]Catalogos!$V$4:$W$55,2,FALSE)</f>
        <v>#N/A</v>
      </c>
      <c r="H340" s="5"/>
      <c r="L340" s="6"/>
      <c r="M340" s="6">
        <f>TablaMarimba6[[#This Row],[Saldo inicial(vales)]]</f>
        <v>0</v>
      </c>
      <c r="N340" s="6">
        <f>TablaMarimba6[[#This Row],[Saldo inicial(vales)]]+TablaMarimba6[[#This Row],[Columna1]]</f>
        <v>0</v>
      </c>
      <c r="O340" s="6" t="str">
        <f t="shared" si="23"/>
        <v/>
      </c>
      <c r="P340" s="6"/>
      <c r="S340" s="6"/>
      <c r="T340" s="6"/>
      <c r="U340" s="6"/>
      <c r="V340" s="6"/>
      <c r="W340" s="6"/>
    </row>
    <row r="341" spans="2:23">
      <c r="B341" s="3" t="str">
        <f t="shared" si="24"/>
        <v/>
      </c>
      <c r="F341" s="2" t="e">
        <f>VLOOKUP(TablaMarimba6[[#This Row],[Equipo]],[1]Catalogos!$V$4:$W$55,2,FALSE)</f>
        <v>#N/A</v>
      </c>
      <c r="H341" s="5"/>
      <c r="L341" s="6"/>
      <c r="M341" s="6">
        <f>TablaMarimba6[[#This Row],[Saldo inicial(vales)]]</f>
        <v>0</v>
      </c>
      <c r="N341" s="6">
        <f>TablaMarimba6[[#This Row],[Saldo inicial(vales)]]+TablaMarimba6[[#This Row],[Columna1]]</f>
        <v>0</v>
      </c>
      <c r="O341" s="6" t="str">
        <f t="shared" si="23"/>
        <v/>
      </c>
      <c r="P341" s="6"/>
      <c r="S341" s="6"/>
      <c r="T341" s="6"/>
      <c r="U341" s="6"/>
      <c r="V341" s="6"/>
      <c r="W341" s="6"/>
    </row>
    <row r="342" spans="2:23">
      <c r="B342" s="3" t="str">
        <f t="shared" si="24"/>
        <v/>
      </c>
      <c r="F342" s="2" t="e">
        <f>VLOOKUP(TablaMarimba6[[#This Row],[Equipo]],[1]Catalogos!$V$4:$W$55,2,FALSE)</f>
        <v>#N/A</v>
      </c>
      <c r="H342" s="5"/>
      <c r="L342" s="6"/>
      <c r="M342" s="6">
        <f>TablaMarimba6[[#This Row],[Saldo inicial(vales)]]</f>
        <v>0</v>
      </c>
      <c r="N342" s="6">
        <f>TablaMarimba6[[#This Row],[Saldo inicial(vales)]]+TablaMarimba6[[#This Row],[Columna1]]</f>
        <v>0</v>
      </c>
      <c r="O342" s="6" t="str">
        <f t="shared" si="23"/>
        <v/>
      </c>
      <c r="P342" s="6"/>
      <c r="S342" s="6"/>
      <c r="T342" s="6"/>
      <c r="U342" s="6"/>
      <c r="V342" s="6"/>
      <c r="W342" s="6"/>
    </row>
    <row r="343" spans="2:23">
      <c r="B343" s="3" t="str">
        <f t="shared" si="24"/>
        <v/>
      </c>
      <c r="F343" s="2" t="e">
        <f>VLOOKUP(TablaMarimba6[[#This Row],[Equipo]],[1]Catalogos!$V$4:$W$55,2,FALSE)</f>
        <v>#N/A</v>
      </c>
      <c r="H343" s="5"/>
      <c r="L343" s="6"/>
      <c r="M343" s="6">
        <f>TablaMarimba6[[#This Row],[Saldo inicial(vales)]]</f>
        <v>0</v>
      </c>
      <c r="N343" s="6">
        <f>TablaMarimba6[[#This Row],[Saldo inicial(vales)]]+TablaMarimba6[[#This Row],[Columna1]]</f>
        <v>0</v>
      </c>
      <c r="O343" s="6" t="str">
        <f t="shared" si="23"/>
        <v/>
      </c>
      <c r="P343" s="6"/>
      <c r="S343" s="6"/>
      <c r="T343" s="6"/>
      <c r="U343" s="6"/>
      <c r="V343" s="6"/>
      <c r="W343" s="6"/>
    </row>
    <row r="344" spans="2:23">
      <c r="B344" s="3" t="str">
        <f t="shared" si="24"/>
        <v/>
      </c>
      <c r="F344" s="2" t="e">
        <f>VLOOKUP(TablaMarimba6[[#This Row],[Equipo]],[1]Catalogos!$V$4:$W$55,2,FALSE)</f>
        <v>#N/A</v>
      </c>
      <c r="H344" s="5"/>
      <c r="L344" s="6"/>
      <c r="M344" s="6">
        <f>TablaMarimba6[[#This Row],[Saldo inicial(vales)]]</f>
        <v>0</v>
      </c>
      <c r="N344" s="6">
        <f>TablaMarimba6[[#This Row],[Saldo inicial(vales)]]+TablaMarimba6[[#This Row],[Columna1]]</f>
        <v>0</v>
      </c>
      <c r="O344" s="6" t="str">
        <f t="shared" si="23"/>
        <v/>
      </c>
      <c r="P344" s="6"/>
      <c r="S344" s="6"/>
      <c r="T344" s="6"/>
      <c r="U344" s="6"/>
      <c r="V344" s="6"/>
      <c r="W344" s="6"/>
    </row>
    <row r="345" spans="2:23">
      <c r="B345" s="3" t="str">
        <f t="shared" si="24"/>
        <v/>
      </c>
      <c r="F345" s="2" t="e">
        <f>VLOOKUP(TablaMarimba6[[#This Row],[Equipo]],[1]Catalogos!$V$4:$W$55,2,FALSE)</f>
        <v>#N/A</v>
      </c>
      <c r="H345" s="5"/>
      <c r="L345" s="6"/>
      <c r="M345" s="6">
        <f>TablaMarimba6[[#This Row],[Saldo inicial(vales)]]</f>
        <v>0</v>
      </c>
      <c r="N345" s="6">
        <f>TablaMarimba6[[#This Row],[Saldo inicial(vales)]]+TablaMarimba6[[#This Row],[Columna1]]</f>
        <v>0</v>
      </c>
      <c r="O345" s="6" t="str">
        <f t="shared" si="23"/>
        <v/>
      </c>
      <c r="P345" s="6"/>
      <c r="S345" s="6"/>
      <c r="T345" s="6"/>
      <c r="U345" s="6"/>
      <c r="V345" s="6"/>
      <c r="W345" s="6"/>
    </row>
    <row r="346" spans="2:23">
      <c r="B346" s="3" t="str">
        <f t="shared" si="24"/>
        <v/>
      </c>
      <c r="F346" s="2" t="e">
        <f>VLOOKUP(TablaMarimba6[[#This Row],[Equipo]],[1]Catalogos!$V$4:$W$55,2,FALSE)</f>
        <v>#N/A</v>
      </c>
      <c r="H346" s="5"/>
      <c r="L346" s="6"/>
      <c r="M346" s="6">
        <f>TablaMarimba6[[#This Row],[Saldo inicial(vales)]]</f>
        <v>0</v>
      </c>
      <c r="N346" s="6">
        <f>TablaMarimba6[[#This Row],[Saldo inicial(vales)]]+TablaMarimba6[[#This Row],[Columna1]]</f>
        <v>0</v>
      </c>
      <c r="O346" s="6" t="str">
        <f t="shared" si="23"/>
        <v/>
      </c>
      <c r="P346" s="6"/>
      <c r="S346" s="6"/>
      <c r="T346" s="6"/>
      <c r="U346" s="6"/>
      <c r="V346" s="6"/>
      <c r="W346" s="6"/>
    </row>
    <row r="347" spans="2:23">
      <c r="B347" s="3" t="str">
        <f t="shared" si="24"/>
        <v/>
      </c>
      <c r="F347" s="2" t="e">
        <f>VLOOKUP(TablaMarimba6[[#This Row],[Equipo]],[1]Catalogos!$V$4:$W$55,2,FALSE)</f>
        <v>#N/A</v>
      </c>
      <c r="H347" s="5"/>
      <c r="L347" s="6"/>
      <c r="M347" s="6">
        <f>TablaMarimba6[[#This Row],[Saldo inicial(vales)]]</f>
        <v>0</v>
      </c>
      <c r="N347" s="6">
        <f>TablaMarimba6[[#This Row],[Saldo inicial(vales)]]+TablaMarimba6[[#This Row],[Columna1]]</f>
        <v>0</v>
      </c>
      <c r="O347" s="6" t="str">
        <f t="shared" si="23"/>
        <v/>
      </c>
      <c r="P347" s="6"/>
      <c r="S347" s="6"/>
      <c r="T347" s="6"/>
      <c r="U347" s="6"/>
      <c r="V347" s="6"/>
      <c r="W347" s="6"/>
    </row>
    <row r="348" spans="2:23">
      <c r="B348" s="3" t="str">
        <f t="shared" si="24"/>
        <v/>
      </c>
      <c r="F348" s="2" t="e">
        <f>VLOOKUP(TablaMarimba6[[#This Row],[Equipo]],[1]Catalogos!$V$4:$W$55,2,FALSE)</f>
        <v>#N/A</v>
      </c>
      <c r="H348" s="5"/>
      <c r="L348" s="6"/>
      <c r="M348" s="6">
        <f>TablaMarimba6[[#This Row],[Saldo inicial(vales)]]</f>
        <v>0</v>
      </c>
      <c r="N348" s="6">
        <f>TablaMarimba6[[#This Row],[Saldo inicial(vales)]]+TablaMarimba6[[#This Row],[Columna1]]</f>
        <v>0</v>
      </c>
      <c r="O348" s="6" t="str">
        <f t="shared" si="23"/>
        <v/>
      </c>
      <c r="P348" s="6"/>
      <c r="S348" s="6"/>
      <c r="T348" s="6"/>
      <c r="U348" s="6"/>
      <c r="V348" s="6"/>
      <c r="W348" s="6"/>
    </row>
    <row r="349" spans="2:23">
      <c r="B349" s="3" t="str">
        <f t="shared" si="24"/>
        <v/>
      </c>
      <c r="F349" s="2" t="e">
        <f>VLOOKUP(TablaMarimba6[[#This Row],[Equipo]],[1]Catalogos!$V$4:$W$55,2,FALSE)</f>
        <v>#N/A</v>
      </c>
      <c r="H349" s="5"/>
      <c r="L349" s="6"/>
      <c r="M349" s="6">
        <f>TablaMarimba6[[#This Row],[Saldo inicial(vales)]]</f>
        <v>0</v>
      </c>
      <c r="N349" s="6">
        <f>TablaMarimba6[[#This Row],[Saldo inicial(vales)]]+TablaMarimba6[[#This Row],[Columna1]]</f>
        <v>0</v>
      </c>
      <c r="O349" s="6" t="str">
        <f t="shared" si="23"/>
        <v/>
      </c>
      <c r="P349" s="6"/>
      <c r="S349" s="6"/>
      <c r="T349" s="6"/>
      <c r="U349" s="6"/>
      <c r="V349" s="6"/>
      <c r="W349" s="6"/>
    </row>
    <row r="350" spans="2:23">
      <c r="B350" s="3" t="str">
        <f t="shared" si="24"/>
        <v/>
      </c>
      <c r="F350" s="2" t="e">
        <f>VLOOKUP(TablaMarimba6[[#This Row],[Equipo]],[1]Catalogos!$V$4:$W$55,2,FALSE)</f>
        <v>#N/A</v>
      </c>
      <c r="H350" s="5"/>
      <c r="L350" s="6"/>
      <c r="M350" s="6">
        <f>TablaMarimba6[[#This Row],[Saldo inicial(vales)]]</f>
        <v>0</v>
      </c>
      <c r="N350" s="6">
        <f>TablaMarimba6[[#This Row],[Saldo inicial(vales)]]+TablaMarimba6[[#This Row],[Columna1]]</f>
        <v>0</v>
      </c>
      <c r="O350" s="6" t="str">
        <f t="shared" si="23"/>
        <v/>
      </c>
      <c r="P350" s="6"/>
      <c r="S350" s="6"/>
      <c r="T350" s="6"/>
      <c r="U350" s="6"/>
      <c r="V350" s="6"/>
      <c r="W350" s="6"/>
    </row>
    <row r="351" spans="2:23">
      <c r="B351" s="3" t="str">
        <f t="shared" si="24"/>
        <v/>
      </c>
      <c r="F351" s="2" t="e">
        <f>VLOOKUP(TablaMarimba6[[#This Row],[Equipo]],[1]Catalogos!$V$4:$W$55,2,FALSE)</f>
        <v>#N/A</v>
      </c>
      <c r="H351" s="5"/>
      <c r="L351" s="6"/>
      <c r="M351" s="6">
        <f>TablaMarimba6[[#This Row],[Saldo inicial(vales)]]</f>
        <v>0</v>
      </c>
      <c r="N351" s="6">
        <f>TablaMarimba6[[#This Row],[Saldo inicial(vales)]]+TablaMarimba6[[#This Row],[Columna1]]</f>
        <v>0</v>
      </c>
      <c r="O351" s="6" t="str">
        <f t="shared" si="23"/>
        <v/>
      </c>
      <c r="P351" s="6"/>
      <c r="S351" s="6"/>
      <c r="T351" s="6"/>
      <c r="U351" s="6"/>
      <c r="V351" s="6"/>
      <c r="W351" s="6"/>
    </row>
    <row r="352" spans="2:23">
      <c r="B352" s="3" t="str">
        <f t="shared" si="24"/>
        <v/>
      </c>
      <c r="F352" s="2" t="e">
        <f>VLOOKUP(TablaMarimba6[[#This Row],[Equipo]],[1]Catalogos!$V$4:$W$55,2,FALSE)</f>
        <v>#N/A</v>
      </c>
      <c r="H352" s="5"/>
      <c r="L352" s="6"/>
      <c r="M352" s="6">
        <f>TablaMarimba6[[#This Row],[Saldo inicial(vales)]]</f>
        <v>0</v>
      </c>
      <c r="N352" s="6">
        <f>TablaMarimba6[[#This Row],[Saldo inicial(vales)]]+TablaMarimba6[[#This Row],[Columna1]]</f>
        <v>0</v>
      </c>
      <c r="O352" s="6" t="str">
        <f t="shared" si="23"/>
        <v/>
      </c>
      <c r="P352" s="6"/>
      <c r="S352" s="6"/>
      <c r="T352" s="6"/>
      <c r="U352" s="6"/>
      <c r="V352" s="6"/>
      <c r="W352" s="6"/>
    </row>
    <row r="353" spans="2:23">
      <c r="B353" s="3" t="str">
        <f t="shared" si="24"/>
        <v/>
      </c>
      <c r="F353" s="2" t="e">
        <f>VLOOKUP(TablaMarimba6[[#This Row],[Equipo]],[1]Catalogos!$V$4:$W$55,2,FALSE)</f>
        <v>#N/A</v>
      </c>
      <c r="H353" s="5"/>
      <c r="L353" s="6"/>
      <c r="M353" s="6">
        <f>TablaMarimba6[[#This Row],[Saldo inicial(vales)]]</f>
        <v>0</v>
      </c>
      <c r="N353" s="6">
        <f>TablaMarimba6[[#This Row],[Saldo inicial(vales)]]+TablaMarimba6[[#This Row],[Columna1]]</f>
        <v>0</v>
      </c>
      <c r="O353" s="6" t="str">
        <f t="shared" si="23"/>
        <v/>
      </c>
      <c r="P353" s="6"/>
      <c r="S353" s="6"/>
      <c r="T353" s="6"/>
      <c r="U353" s="6"/>
      <c r="V353" s="6"/>
      <c r="W353" s="6"/>
    </row>
    <row r="354" spans="2:23">
      <c r="B354" s="3" t="str">
        <f t="shared" si="24"/>
        <v/>
      </c>
      <c r="F354" s="2" t="e">
        <f>VLOOKUP(TablaMarimba6[[#This Row],[Equipo]],[1]Catalogos!$V$4:$W$55,2,FALSE)</f>
        <v>#N/A</v>
      </c>
      <c r="H354" s="5"/>
      <c r="L354" s="6"/>
      <c r="M354" s="6">
        <f>TablaMarimba6[[#This Row],[Saldo inicial(vales)]]</f>
        <v>0</v>
      </c>
      <c r="N354" s="6">
        <f>TablaMarimba6[[#This Row],[Saldo inicial(vales)]]+TablaMarimba6[[#This Row],[Columna1]]</f>
        <v>0</v>
      </c>
      <c r="O354" s="6" t="str">
        <f t="shared" si="23"/>
        <v/>
      </c>
      <c r="P354" s="6"/>
      <c r="S354" s="6"/>
      <c r="T354" s="6"/>
      <c r="U354" s="6"/>
      <c r="V354" s="6"/>
      <c r="W354" s="6"/>
    </row>
    <row r="355" spans="2:23">
      <c r="B355" s="3" t="str">
        <f t="shared" si="24"/>
        <v/>
      </c>
      <c r="F355" s="2" t="e">
        <f>VLOOKUP(TablaMarimba6[[#This Row],[Equipo]],[1]Catalogos!$V$4:$W$55,2,FALSE)</f>
        <v>#N/A</v>
      </c>
      <c r="H355" s="5"/>
      <c r="L355" s="6"/>
      <c r="M355" s="6">
        <f>TablaMarimba6[[#This Row],[Saldo inicial(vales)]]</f>
        <v>0</v>
      </c>
      <c r="N355" s="6">
        <f>TablaMarimba6[[#This Row],[Saldo inicial(vales)]]+TablaMarimba6[[#This Row],[Columna1]]</f>
        <v>0</v>
      </c>
      <c r="O355" s="6" t="str">
        <f t="shared" si="23"/>
        <v/>
      </c>
      <c r="P355" s="6"/>
      <c r="S355" s="6"/>
      <c r="T355" s="6"/>
      <c r="U355" s="6"/>
      <c r="V355" s="6"/>
      <c r="W355" s="6"/>
    </row>
    <row r="356" spans="2:23">
      <c r="B356" s="3" t="str">
        <f t="shared" si="24"/>
        <v/>
      </c>
      <c r="F356" s="2" t="e">
        <f>VLOOKUP(TablaMarimba6[[#This Row],[Equipo]],[1]Catalogos!$V$4:$W$55,2,FALSE)</f>
        <v>#N/A</v>
      </c>
      <c r="H356" s="5"/>
      <c r="L356" s="6"/>
      <c r="M356" s="6">
        <f>TablaMarimba6[[#This Row],[Saldo inicial(vales)]]</f>
        <v>0</v>
      </c>
      <c r="N356" s="6">
        <f>TablaMarimba6[[#This Row],[Saldo inicial(vales)]]+TablaMarimba6[[#This Row],[Columna1]]</f>
        <v>0</v>
      </c>
      <c r="O356" s="6" t="str">
        <f t="shared" si="23"/>
        <v/>
      </c>
      <c r="P356" s="6"/>
      <c r="S356" s="6"/>
      <c r="T356" s="6"/>
      <c r="U356" s="6"/>
      <c r="V356" s="6"/>
      <c r="W356" s="6"/>
    </row>
    <row r="357" spans="2:23">
      <c r="B357" s="3" t="str">
        <f t="shared" si="24"/>
        <v/>
      </c>
      <c r="F357" s="2" t="e">
        <f>VLOOKUP(TablaMarimba6[[#This Row],[Equipo]],[1]Catalogos!$V$4:$W$55,2,FALSE)</f>
        <v>#N/A</v>
      </c>
      <c r="H357" s="5"/>
      <c r="L357" s="6"/>
      <c r="M357" s="6">
        <f>TablaMarimba6[[#This Row],[Saldo inicial(vales)]]</f>
        <v>0</v>
      </c>
      <c r="N357" s="6">
        <f>TablaMarimba6[[#This Row],[Saldo inicial(vales)]]+TablaMarimba6[[#This Row],[Columna1]]</f>
        <v>0</v>
      </c>
      <c r="O357" s="6" t="str">
        <f t="shared" si="23"/>
        <v/>
      </c>
      <c r="P357" s="6"/>
      <c r="S357" s="6"/>
      <c r="T357" s="6"/>
      <c r="U357" s="6"/>
      <c r="V357" s="6"/>
      <c r="W357" s="6"/>
    </row>
    <row r="358" spans="2:23">
      <c r="B358" s="3" t="str">
        <f t="shared" si="24"/>
        <v/>
      </c>
      <c r="F358" s="2" t="e">
        <f>VLOOKUP(TablaMarimba6[[#This Row],[Equipo]],[1]Catalogos!$V$4:$W$55,2,FALSE)</f>
        <v>#N/A</v>
      </c>
      <c r="H358" s="5"/>
      <c r="L358" s="6"/>
      <c r="M358" s="6">
        <f>TablaMarimba6[[#This Row],[Saldo inicial(vales)]]</f>
        <v>0</v>
      </c>
      <c r="N358" s="6">
        <f>TablaMarimba6[[#This Row],[Saldo inicial(vales)]]+TablaMarimba6[[#This Row],[Columna1]]</f>
        <v>0</v>
      </c>
      <c r="O358" s="6" t="str">
        <f t="shared" si="23"/>
        <v/>
      </c>
      <c r="P358" s="6"/>
      <c r="S358" s="6"/>
      <c r="T358" s="6"/>
      <c r="U358" s="6"/>
      <c r="V358" s="6"/>
      <c r="W358" s="6"/>
    </row>
    <row r="359" spans="2:23">
      <c r="B359" s="3" t="str">
        <f t="shared" si="24"/>
        <v/>
      </c>
      <c r="F359" s="2" t="e">
        <f>VLOOKUP(TablaMarimba6[[#This Row],[Equipo]],[1]Catalogos!$V$4:$W$55,2,FALSE)</f>
        <v>#N/A</v>
      </c>
      <c r="H359" s="5"/>
      <c r="L359" s="6"/>
      <c r="M359" s="6">
        <f>TablaMarimba6[[#This Row],[Saldo inicial(vales)]]</f>
        <v>0</v>
      </c>
      <c r="N359" s="6">
        <f>TablaMarimba6[[#This Row],[Saldo inicial(vales)]]+TablaMarimba6[[#This Row],[Columna1]]</f>
        <v>0</v>
      </c>
      <c r="O359" s="6" t="str">
        <f t="shared" si="23"/>
        <v/>
      </c>
      <c r="P359" s="6"/>
      <c r="S359" s="6"/>
      <c r="T359" s="6"/>
      <c r="U359" s="6"/>
      <c r="V359" s="6"/>
      <c r="W359" s="6"/>
    </row>
    <row r="360" spans="2:23">
      <c r="B360" s="3" t="str">
        <f t="shared" si="24"/>
        <v/>
      </c>
      <c r="F360" s="2" t="e">
        <f>VLOOKUP(TablaMarimba6[[#This Row],[Equipo]],[1]Catalogos!$V$4:$W$55,2,FALSE)</f>
        <v>#N/A</v>
      </c>
      <c r="H360" s="5"/>
      <c r="L360" s="6"/>
      <c r="M360" s="6">
        <f>TablaMarimba6[[#This Row],[Saldo inicial(vales)]]</f>
        <v>0</v>
      </c>
      <c r="N360" s="6">
        <f>TablaMarimba6[[#This Row],[Saldo inicial(vales)]]+TablaMarimba6[[#This Row],[Columna1]]</f>
        <v>0</v>
      </c>
      <c r="O360" s="6" t="str">
        <f t="shared" si="23"/>
        <v/>
      </c>
      <c r="P360" s="6"/>
      <c r="S360" s="6"/>
      <c r="T360" s="6"/>
      <c r="U360" s="6"/>
      <c r="V360" s="6"/>
      <c r="W360" s="6"/>
    </row>
    <row r="361" spans="2:23">
      <c r="B361" s="3" t="str">
        <f t="shared" si="24"/>
        <v/>
      </c>
      <c r="F361" s="2" t="e">
        <f>VLOOKUP(TablaMarimba6[[#This Row],[Equipo]],[1]Catalogos!$V$4:$W$55,2,FALSE)</f>
        <v>#N/A</v>
      </c>
      <c r="H361" s="5"/>
      <c r="L361" s="6"/>
      <c r="M361" s="6">
        <f>TablaMarimba6[[#This Row],[Saldo inicial(vales)]]</f>
        <v>0</v>
      </c>
      <c r="N361" s="6">
        <f>TablaMarimba6[[#This Row],[Saldo inicial(vales)]]+TablaMarimba6[[#This Row],[Columna1]]</f>
        <v>0</v>
      </c>
      <c r="O361" s="6" t="str">
        <f t="shared" si="23"/>
        <v/>
      </c>
      <c r="P361" s="6"/>
      <c r="S361" s="6"/>
      <c r="T361" s="6"/>
      <c r="U361" s="6"/>
      <c r="V361" s="6"/>
      <c r="W361" s="6"/>
    </row>
    <row r="362" spans="2:23">
      <c r="B362" s="3" t="str">
        <f t="shared" si="24"/>
        <v/>
      </c>
      <c r="F362" s="2" t="e">
        <f>VLOOKUP(TablaMarimba6[[#This Row],[Equipo]],[1]Catalogos!$V$4:$W$55,2,FALSE)</f>
        <v>#N/A</v>
      </c>
      <c r="H362" s="5"/>
      <c r="L362" s="6"/>
      <c r="M362" s="6">
        <f>TablaMarimba6[[#This Row],[Saldo inicial(vales)]]</f>
        <v>0</v>
      </c>
      <c r="N362" s="6">
        <f>TablaMarimba6[[#This Row],[Saldo inicial(vales)]]+TablaMarimba6[[#This Row],[Columna1]]</f>
        <v>0</v>
      </c>
      <c r="O362" s="6" t="str">
        <f t="shared" si="23"/>
        <v/>
      </c>
      <c r="P362" s="6"/>
      <c r="S362" s="6"/>
      <c r="T362" s="6"/>
      <c r="U362" s="6"/>
      <c r="V362" s="6"/>
      <c r="W362" s="6"/>
    </row>
    <row r="363" spans="2:23">
      <c r="B363" s="3" t="str">
        <f t="shared" si="24"/>
        <v/>
      </c>
      <c r="F363" s="2" t="e">
        <f>VLOOKUP(TablaMarimba6[[#This Row],[Equipo]],[1]Catalogos!$V$4:$W$55,2,FALSE)</f>
        <v>#N/A</v>
      </c>
      <c r="H363" s="5"/>
      <c r="L363" s="6"/>
      <c r="M363" s="6">
        <f>TablaMarimba6[[#This Row],[Saldo inicial(vales)]]</f>
        <v>0</v>
      </c>
      <c r="N363" s="6">
        <f>TablaMarimba6[[#This Row],[Saldo inicial(vales)]]+TablaMarimba6[[#This Row],[Columna1]]</f>
        <v>0</v>
      </c>
      <c r="O363" s="6" t="str">
        <f t="shared" si="23"/>
        <v/>
      </c>
      <c r="P363" s="6"/>
      <c r="S363" s="6"/>
      <c r="T363" s="6"/>
      <c r="U363" s="6"/>
      <c r="V363" s="6"/>
      <c r="W363" s="6"/>
    </row>
    <row r="364" spans="2:23">
      <c r="B364" s="3" t="str">
        <f t="shared" si="24"/>
        <v/>
      </c>
      <c r="F364" s="2" t="e">
        <f>VLOOKUP(TablaMarimba6[[#This Row],[Equipo]],[1]Catalogos!$V$4:$W$55,2,FALSE)</f>
        <v>#N/A</v>
      </c>
      <c r="H364" s="5"/>
      <c r="L364" s="6"/>
      <c r="M364" s="6">
        <f>TablaMarimba6[[#This Row],[Saldo inicial(vales)]]</f>
        <v>0</v>
      </c>
      <c r="N364" s="6">
        <f>TablaMarimba6[[#This Row],[Saldo inicial(vales)]]+TablaMarimba6[[#This Row],[Columna1]]</f>
        <v>0</v>
      </c>
      <c r="O364" s="6" t="str">
        <f t="shared" si="23"/>
        <v/>
      </c>
      <c r="P364" s="6"/>
      <c r="S364" s="6"/>
      <c r="T364" s="6"/>
      <c r="U364" s="6"/>
      <c r="V364" s="6"/>
      <c r="W364" s="6"/>
    </row>
    <row r="365" spans="2:23">
      <c r="B365" s="3" t="str">
        <f t="shared" si="24"/>
        <v/>
      </c>
      <c r="F365" s="2" t="e">
        <f>VLOOKUP(TablaMarimba6[[#This Row],[Equipo]],[1]Catalogos!$V$4:$W$55,2,FALSE)</f>
        <v>#N/A</v>
      </c>
      <c r="H365" s="5"/>
      <c r="L365" s="6"/>
      <c r="M365" s="6">
        <f>TablaMarimba6[[#This Row],[Saldo inicial(vales)]]</f>
        <v>0</v>
      </c>
      <c r="N365" s="6">
        <f>TablaMarimba6[[#This Row],[Saldo inicial(vales)]]+TablaMarimba6[[#This Row],[Columna1]]</f>
        <v>0</v>
      </c>
      <c r="O365" s="6" t="str">
        <f t="shared" si="23"/>
        <v/>
      </c>
      <c r="P365" s="6"/>
      <c r="S365" s="6"/>
      <c r="T365" s="6"/>
      <c r="U365" s="6"/>
      <c r="V365" s="6"/>
      <c r="W365" s="6"/>
    </row>
    <row r="366" spans="2:23">
      <c r="B366" s="3" t="str">
        <f t="shared" si="24"/>
        <v/>
      </c>
      <c r="F366" s="2" t="e">
        <f>VLOOKUP(TablaMarimba6[[#This Row],[Equipo]],[1]Catalogos!$V$4:$W$55,2,FALSE)</f>
        <v>#N/A</v>
      </c>
      <c r="H366" s="5"/>
      <c r="L366" s="6"/>
      <c r="M366" s="6">
        <f>TablaMarimba6[[#This Row],[Saldo inicial(vales)]]</f>
        <v>0</v>
      </c>
      <c r="N366" s="6">
        <f>TablaMarimba6[[#This Row],[Saldo inicial(vales)]]+TablaMarimba6[[#This Row],[Columna1]]</f>
        <v>0</v>
      </c>
      <c r="O366" s="6" t="str">
        <f t="shared" si="23"/>
        <v/>
      </c>
      <c r="P366" s="6"/>
      <c r="S366" s="6"/>
      <c r="T366" s="6"/>
      <c r="U366" s="6"/>
      <c r="V366" s="6"/>
      <c r="W366" s="6"/>
    </row>
    <row r="367" spans="2:23">
      <c r="B367" s="3" t="str">
        <f t="shared" si="24"/>
        <v/>
      </c>
      <c r="F367" s="2" t="e">
        <f>VLOOKUP(TablaMarimba6[[#This Row],[Equipo]],[1]Catalogos!$V$4:$W$55,2,FALSE)</f>
        <v>#N/A</v>
      </c>
      <c r="H367" s="5"/>
      <c r="L367" s="6"/>
      <c r="M367" s="6">
        <f>TablaMarimba6[[#This Row],[Saldo inicial(vales)]]</f>
        <v>0</v>
      </c>
      <c r="N367" s="6">
        <f>TablaMarimba6[[#This Row],[Saldo inicial(vales)]]+TablaMarimba6[[#This Row],[Columna1]]</f>
        <v>0</v>
      </c>
      <c r="O367" s="6" t="str">
        <f t="shared" si="23"/>
        <v/>
      </c>
      <c r="P367" s="6"/>
      <c r="S367" s="6"/>
      <c r="T367" s="6"/>
      <c r="U367" s="6"/>
      <c r="V367" s="6"/>
      <c r="W367" s="6"/>
    </row>
    <row r="368" spans="2:23">
      <c r="B368" s="3" t="str">
        <f t="shared" si="24"/>
        <v/>
      </c>
      <c r="F368" s="2" t="e">
        <f>VLOOKUP(TablaMarimba6[[#This Row],[Equipo]],[1]Catalogos!$V$4:$W$55,2,FALSE)</f>
        <v>#N/A</v>
      </c>
      <c r="H368" s="5"/>
      <c r="L368" s="6"/>
      <c r="M368" s="6">
        <f>TablaMarimba6[[#This Row],[Saldo inicial(vales)]]</f>
        <v>0</v>
      </c>
      <c r="N368" s="6">
        <f>TablaMarimba6[[#This Row],[Saldo inicial(vales)]]+TablaMarimba6[[#This Row],[Columna1]]</f>
        <v>0</v>
      </c>
      <c r="O368" s="6" t="str">
        <f t="shared" si="23"/>
        <v/>
      </c>
      <c r="P368" s="6"/>
      <c r="S368" s="6"/>
      <c r="T368" s="6"/>
      <c r="U368" s="6"/>
      <c r="V368" s="6"/>
      <c r="W368" s="6"/>
    </row>
    <row r="369" spans="2:23">
      <c r="B369" s="3" t="str">
        <f t="shared" si="24"/>
        <v/>
      </c>
      <c r="F369" s="2" t="e">
        <f>VLOOKUP(TablaMarimba6[[#This Row],[Equipo]],[1]Catalogos!$V$4:$W$55,2,FALSE)</f>
        <v>#N/A</v>
      </c>
      <c r="H369" s="5"/>
      <c r="L369" s="6"/>
      <c r="M369" s="6">
        <f>TablaMarimba6[[#This Row],[Saldo inicial(vales)]]</f>
        <v>0</v>
      </c>
      <c r="N369" s="6">
        <f>TablaMarimba6[[#This Row],[Saldo inicial(vales)]]+TablaMarimba6[[#This Row],[Columna1]]</f>
        <v>0</v>
      </c>
      <c r="O369" s="6" t="str">
        <f t="shared" si="23"/>
        <v/>
      </c>
      <c r="P369" s="6"/>
      <c r="S369" s="6"/>
      <c r="T369" s="6"/>
      <c r="U369" s="6"/>
      <c r="V369" s="6"/>
      <c r="W369" s="6"/>
    </row>
    <row r="370" spans="2:23">
      <c r="B370" s="3" t="str">
        <f t="shared" si="24"/>
        <v/>
      </c>
      <c r="F370" s="2" t="e">
        <f>VLOOKUP(TablaMarimba6[[#This Row],[Equipo]],[1]Catalogos!$V$4:$W$55,2,FALSE)</f>
        <v>#N/A</v>
      </c>
      <c r="H370" s="5"/>
      <c r="L370" s="6"/>
      <c r="M370" s="6">
        <f>TablaMarimba6[[#This Row],[Saldo inicial(vales)]]</f>
        <v>0</v>
      </c>
      <c r="N370" s="6">
        <f>TablaMarimba6[[#This Row],[Saldo inicial(vales)]]+TablaMarimba6[[#This Row],[Columna1]]</f>
        <v>0</v>
      </c>
      <c r="O370" s="6" t="str">
        <f t="shared" si="23"/>
        <v/>
      </c>
      <c r="P370" s="6"/>
      <c r="S370" s="6"/>
      <c r="T370" s="6"/>
      <c r="U370" s="6"/>
      <c r="V370" s="6"/>
      <c r="W370" s="6"/>
    </row>
    <row r="371" spans="2:23">
      <c r="B371" s="3" t="str">
        <f t="shared" si="24"/>
        <v/>
      </c>
      <c r="F371" s="2" t="e">
        <f>VLOOKUP(TablaMarimba6[[#This Row],[Equipo]],[1]Catalogos!$V$4:$W$55,2,FALSE)</f>
        <v>#N/A</v>
      </c>
      <c r="H371" s="5"/>
      <c r="L371" s="6"/>
      <c r="M371" s="6">
        <f>TablaMarimba6[[#This Row],[Saldo inicial(vales)]]</f>
        <v>0</v>
      </c>
      <c r="N371" s="6">
        <f>TablaMarimba6[[#This Row],[Saldo inicial(vales)]]+TablaMarimba6[[#This Row],[Columna1]]</f>
        <v>0</v>
      </c>
      <c r="O371" s="6" t="str">
        <f t="shared" si="23"/>
        <v/>
      </c>
      <c r="P371" s="6"/>
      <c r="S371" s="6"/>
      <c r="T371" s="6"/>
      <c r="U371" s="6"/>
      <c r="V371" s="6"/>
      <c r="W371" s="6"/>
    </row>
    <row r="372" spans="2:23">
      <c r="B372" s="3" t="str">
        <f t="shared" si="24"/>
        <v/>
      </c>
      <c r="F372" s="2" t="e">
        <f>VLOOKUP(TablaMarimba6[[#This Row],[Equipo]],[1]Catalogos!$V$4:$W$55,2,FALSE)</f>
        <v>#N/A</v>
      </c>
      <c r="H372" s="5"/>
      <c r="L372" s="6"/>
      <c r="M372" s="6">
        <f>TablaMarimba6[[#This Row],[Saldo inicial(vales)]]</f>
        <v>0</v>
      </c>
      <c r="N372" s="6">
        <f>TablaMarimba6[[#This Row],[Saldo inicial(vales)]]+TablaMarimba6[[#This Row],[Columna1]]</f>
        <v>0</v>
      </c>
      <c r="O372" s="6" t="str">
        <f t="shared" si="23"/>
        <v/>
      </c>
      <c r="P372" s="6"/>
      <c r="S372" s="6"/>
      <c r="T372" s="6"/>
      <c r="U372" s="6"/>
      <c r="V372" s="6"/>
      <c r="W372" s="6"/>
    </row>
    <row r="373" spans="2:23">
      <c r="B373" s="3" t="str">
        <f t="shared" si="24"/>
        <v/>
      </c>
      <c r="F373" s="2" t="e">
        <f>VLOOKUP(TablaMarimba6[[#This Row],[Equipo]],[1]Catalogos!$V$4:$W$55,2,FALSE)</f>
        <v>#N/A</v>
      </c>
      <c r="H373" s="5"/>
      <c r="L373" s="6"/>
      <c r="M373" s="6">
        <f>TablaMarimba6[[#This Row],[Saldo inicial(vales)]]</f>
        <v>0</v>
      </c>
      <c r="N373" s="6">
        <f>TablaMarimba6[[#This Row],[Saldo inicial(vales)]]+TablaMarimba6[[#This Row],[Columna1]]</f>
        <v>0</v>
      </c>
      <c r="O373" s="6" t="str">
        <f t="shared" si="23"/>
        <v/>
      </c>
      <c r="P373" s="6"/>
      <c r="S373" s="6"/>
      <c r="T373" s="6"/>
      <c r="U373" s="6"/>
      <c r="V373" s="6"/>
      <c r="W373" s="6"/>
    </row>
    <row r="374" spans="2:23">
      <c r="B374" s="3" t="str">
        <f t="shared" si="24"/>
        <v/>
      </c>
      <c r="F374" s="2" t="e">
        <f>VLOOKUP(TablaMarimba6[[#This Row],[Equipo]],[1]Catalogos!$V$4:$W$55,2,FALSE)</f>
        <v>#N/A</v>
      </c>
      <c r="H374" s="5"/>
      <c r="L374" s="6"/>
      <c r="M374" s="6">
        <f>TablaMarimba6[[#This Row],[Saldo inicial(vales)]]</f>
        <v>0</v>
      </c>
      <c r="N374" s="6">
        <f>TablaMarimba6[[#This Row],[Saldo inicial(vales)]]+TablaMarimba6[[#This Row],[Columna1]]</f>
        <v>0</v>
      </c>
      <c r="O374" s="6" t="str">
        <f t="shared" si="23"/>
        <v/>
      </c>
      <c r="P374" s="6"/>
      <c r="S374" s="6"/>
      <c r="T374" s="6"/>
      <c r="U374" s="6"/>
      <c r="V374" s="6"/>
      <c r="W374" s="6"/>
    </row>
    <row r="375" spans="2:23">
      <c r="B375" s="3" t="str">
        <f t="shared" si="24"/>
        <v/>
      </c>
      <c r="F375" s="2" t="e">
        <f>VLOOKUP(TablaMarimba6[[#This Row],[Equipo]],[1]Catalogos!$V$4:$W$55,2,FALSE)</f>
        <v>#N/A</v>
      </c>
      <c r="H375" s="5"/>
      <c r="L375" s="6"/>
      <c r="M375" s="6">
        <f>TablaMarimba6[[#This Row],[Saldo inicial(vales)]]</f>
        <v>0</v>
      </c>
      <c r="N375" s="6">
        <f>TablaMarimba6[[#This Row],[Saldo inicial(vales)]]+TablaMarimba6[[#This Row],[Columna1]]</f>
        <v>0</v>
      </c>
      <c r="O375" s="6" t="str">
        <f t="shared" si="23"/>
        <v/>
      </c>
      <c r="P375" s="6"/>
      <c r="S375" s="6"/>
      <c r="T375" s="6"/>
      <c r="U375" s="6"/>
      <c r="V375" s="6"/>
      <c r="W375" s="6"/>
    </row>
    <row r="376" spans="2:23">
      <c r="B376" s="3" t="str">
        <f t="shared" si="24"/>
        <v/>
      </c>
      <c r="F376" s="2" t="e">
        <f>VLOOKUP(TablaMarimba6[[#This Row],[Equipo]],[1]Catalogos!$V$4:$W$55,2,FALSE)</f>
        <v>#N/A</v>
      </c>
      <c r="H376" s="5"/>
      <c r="L376" s="6"/>
      <c r="M376" s="6">
        <f>TablaMarimba6[[#This Row],[Saldo inicial(vales)]]</f>
        <v>0</v>
      </c>
      <c r="N376" s="6">
        <f>TablaMarimba6[[#This Row],[Saldo inicial(vales)]]+TablaMarimba6[[#This Row],[Columna1]]</f>
        <v>0</v>
      </c>
      <c r="O376" s="6" t="str">
        <f t="shared" si="23"/>
        <v/>
      </c>
      <c r="P376" s="6"/>
      <c r="S376" s="6"/>
      <c r="T376" s="6"/>
      <c r="U376" s="6"/>
      <c r="V376" s="6"/>
      <c r="W376" s="6"/>
    </row>
    <row r="377" spans="2:23">
      <c r="B377" s="3" t="str">
        <f t="shared" si="24"/>
        <v/>
      </c>
      <c r="F377" s="2" t="e">
        <f>VLOOKUP(TablaMarimba6[[#This Row],[Equipo]],[1]Catalogos!$V$4:$W$55,2,FALSE)</f>
        <v>#N/A</v>
      </c>
      <c r="H377" s="5"/>
      <c r="L377" s="6"/>
      <c r="M377" s="6">
        <f>TablaMarimba6[[#This Row],[Saldo inicial(vales)]]</f>
        <v>0</v>
      </c>
      <c r="N377" s="6">
        <f>TablaMarimba6[[#This Row],[Saldo inicial(vales)]]+TablaMarimba6[[#This Row],[Columna1]]</f>
        <v>0</v>
      </c>
      <c r="O377" s="6" t="str">
        <f t="shared" si="23"/>
        <v/>
      </c>
      <c r="P377" s="6"/>
      <c r="S377" s="6"/>
      <c r="T377" s="6"/>
      <c r="U377" s="6"/>
      <c r="V377" s="6"/>
      <c r="W377" s="6"/>
    </row>
    <row r="378" spans="2:23">
      <c r="B378" s="3" t="str">
        <f t="shared" si="24"/>
        <v/>
      </c>
      <c r="F378" s="2" t="e">
        <f>VLOOKUP(TablaMarimba6[[#This Row],[Equipo]],[1]Catalogos!$V$4:$W$55,2,FALSE)</f>
        <v>#N/A</v>
      </c>
      <c r="H378" s="5"/>
      <c r="L378" s="6"/>
      <c r="M378" s="6">
        <f>TablaMarimba6[[#This Row],[Saldo inicial(vales)]]</f>
        <v>0</v>
      </c>
      <c r="N378" s="6">
        <f>TablaMarimba6[[#This Row],[Saldo inicial(vales)]]+TablaMarimba6[[#This Row],[Columna1]]</f>
        <v>0</v>
      </c>
      <c r="O378" s="6" t="str">
        <f t="shared" si="23"/>
        <v/>
      </c>
      <c r="P378" s="6"/>
      <c r="S378" s="6"/>
      <c r="T378" s="6"/>
      <c r="U378" s="6"/>
      <c r="V378" s="6"/>
      <c r="W378" s="6"/>
    </row>
    <row r="379" spans="2:23">
      <c r="B379" s="3" t="str">
        <f t="shared" si="24"/>
        <v/>
      </c>
      <c r="F379" s="2" t="e">
        <f>VLOOKUP(TablaMarimba6[[#This Row],[Equipo]],[1]Catalogos!$V$4:$W$55,2,FALSE)</f>
        <v>#N/A</v>
      </c>
      <c r="H379" s="5"/>
      <c r="L379" s="6"/>
      <c r="M379" s="6">
        <f>TablaMarimba6[[#This Row],[Saldo inicial(vales)]]</f>
        <v>0</v>
      </c>
      <c r="N379" s="6">
        <f>TablaMarimba6[[#This Row],[Saldo inicial(vales)]]+TablaMarimba6[[#This Row],[Columna1]]</f>
        <v>0</v>
      </c>
      <c r="O379" s="6" t="str">
        <f t="shared" si="23"/>
        <v/>
      </c>
      <c r="P379" s="6"/>
      <c r="S379" s="6"/>
      <c r="T379" s="6"/>
      <c r="U379" s="6"/>
      <c r="V379" s="6"/>
      <c r="W379" s="6"/>
    </row>
    <row r="380" spans="2:23">
      <c r="B380" s="3" t="str">
        <f t="shared" si="24"/>
        <v/>
      </c>
      <c r="F380" s="2" t="e">
        <f>VLOOKUP(TablaMarimba6[[#This Row],[Equipo]],[1]Catalogos!$V$4:$W$55,2,FALSE)</f>
        <v>#N/A</v>
      </c>
      <c r="H380" s="5"/>
      <c r="L380" s="6"/>
      <c r="M380" s="6">
        <f>TablaMarimba6[[#This Row],[Saldo inicial(vales)]]</f>
        <v>0</v>
      </c>
      <c r="N380" s="6">
        <f>TablaMarimba6[[#This Row],[Saldo inicial(vales)]]+TablaMarimba6[[#This Row],[Columna1]]</f>
        <v>0</v>
      </c>
      <c r="O380" s="6" t="str">
        <f t="shared" si="23"/>
        <v/>
      </c>
      <c r="P380" s="6"/>
      <c r="S380" s="6"/>
      <c r="T380" s="6"/>
      <c r="U380" s="6"/>
      <c r="V380" s="6"/>
      <c r="W380" s="6"/>
    </row>
    <row r="381" spans="2:23">
      <c r="B381" s="3" t="str">
        <f t="shared" si="24"/>
        <v/>
      </c>
      <c r="F381" s="2" t="e">
        <f>VLOOKUP(TablaMarimba6[[#This Row],[Equipo]],[1]Catalogos!$V$4:$W$55,2,FALSE)</f>
        <v>#N/A</v>
      </c>
      <c r="H381" s="5"/>
      <c r="L381" s="6"/>
      <c r="M381" s="6">
        <f>TablaMarimba6[[#This Row],[Saldo inicial(vales)]]</f>
        <v>0</v>
      </c>
      <c r="N381" s="6">
        <f>TablaMarimba6[[#This Row],[Saldo inicial(vales)]]+TablaMarimba6[[#This Row],[Columna1]]</f>
        <v>0</v>
      </c>
      <c r="O381" s="6" t="str">
        <f t="shared" ref="O381:O444" si="25">IF(A381="","", WEEKNUM(A381, 2))</f>
        <v/>
      </c>
      <c r="P381" s="6"/>
      <c r="S381" s="6"/>
      <c r="T381" s="6"/>
      <c r="U381" s="6"/>
      <c r="V381" s="6"/>
      <c r="W381" s="6"/>
    </row>
    <row r="382" spans="2:23">
      <c r="B382" s="3" t="str">
        <f t="shared" si="24"/>
        <v/>
      </c>
      <c r="F382" s="2" t="e">
        <f>VLOOKUP(TablaMarimba6[[#This Row],[Equipo]],[1]Catalogos!$V$4:$W$55,2,FALSE)</f>
        <v>#N/A</v>
      </c>
      <c r="H382" s="5"/>
      <c r="L382" s="6"/>
      <c r="M382" s="6">
        <f>TablaMarimba6[[#This Row],[Saldo inicial(vales)]]</f>
        <v>0</v>
      </c>
      <c r="N382" s="6">
        <f>TablaMarimba6[[#This Row],[Saldo inicial(vales)]]+TablaMarimba6[[#This Row],[Columna1]]</f>
        <v>0</v>
      </c>
      <c r="O382" s="6" t="str">
        <f t="shared" si="25"/>
        <v/>
      </c>
      <c r="P382" s="6"/>
      <c r="S382" s="6"/>
      <c r="T382" s="6"/>
      <c r="U382" s="6"/>
      <c r="V382" s="6"/>
      <c r="W382" s="6"/>
    </row>
    <row r="383" spans="2:23">
      <c r="B383" s="3" t="str">
        <f t="shared" si="24"/>
        <v/>
      </c>
      <c r="F383" s="2" t="e">
        <f>VLOOKUP(TablaMarimba6[[#This Row],[Equipo]],[1]Catalogos!$V$4:$W$55,2,FALSE)</f>
        <v>#N/A</v>
      </c>
      <c r="H383" s="5"/>
      <c r="L383" s="6"/>
      <c r="M383" s="6">
        <f>TablaMarimba6[[#This Row],[Saldo inicial(vales)]]</f>
        <v>0</v>
      </c>
      <c r="N383" s="6">
        <f>TablaMarimba6[[#This Row],[Saldo inicial(vales)]]+TablaMarimba6[[#This Row],[Columna1]]</f>
        <v>0</v>
      </c>
      <c r="O383" s="6" t="str">
        <f t="shared" si="25"/>
        <v/>
      </c>
      <c r="P383" s="6"/>
      <c r="S383" s="6"/>
      <c r="T383" s="6"/>
      <c r="U383" s="6"/>
      <c r="V383" s="6"/>
      <c r="W383" s="6"/>
    </row>
    <row r="384" spans="2:23">
      <c r="B384" s="3" t="str">
        <f t="shared" si="24"/>
        <v/>
      </c>
      <c r="F384" s="2" t="e">
        <f>VLOOKUP(TablaMarimba6[[#This Row],[Equipo]],[1]Catalogos!$V$4:$W$55,2,FALSE)</f>
        <v>#N/A</v>
      </c>
      <c r="H384" s="5"/>
      <c r="L384" s="6"/>
      <c r="M384" s="6">
        <f>TablaMarimba6[[#This Row],[Saldo inicial(vales)]]</f>
        <v>0</v>
      </c>
      <c r="N384" s="6">
        <f>TablaMarimba6[[#This Row],[Saldo inicial(vales)]]+TablaMarimba6[[#This Row],[Columna1]]</f>
        <v>0</v>
      </c>
      <c r="O384" s="6" t="str">
        <f t="shared" si="25"/>
        <v/>
      </c>
      <c r="P384" s="6"/>
      <c r="S384" s="6"/>
      <c r="T384" s="6"/>
      <c r="U384" s="6"/>
      <c r="V384" s="6"/>
      <c r="W384" s="6"/>
    </row>
    <row r="385" spans="2:23">
      <c r="B385" s="3" t="str">
        <f t="shared" si="24"/>
        <v/>
      </c>
      <c r="F385" s="2" t="e">
        <f>VLOOKUP(TablaMarimba6[[#This Row],[Equipo]],[1]Catalogos!$V$4:$W$55,2,FALSE)</f>
        <v>#N/A</v>
      </c>
      <c r="H385" s="5"/>
      <c r="L385" s="6"/>
      <c r="M385" s="6">
        <f>TablaMarimba6[[#This Row],[Saldo inicial(vales)]]</f>
        <v>0</v>
      </c>
      <c r="N385" s="6">
        <f>TablaMarimba6[[#This Row],[Saldo inicial(vales)]]+TablaMarimba6[[#This Row],[Columna1]]</f>
        <v>0</v>
      </c>
      <c r="O385" s="6" t="str">
        <f t="shared" si="25"/>
        <v/>
      </c>
      <c r="P385" s="6"/>
      <c r="S385" s="6"/>
      <c r="T385" s="6"/>
      <c r="U385" s="6"/>
      <c r="V385" s="6"/>
      <c r="W385" s="6"/>
    </row>
    <row r="386" spans="2:23">
      <c r="B386" s="3" t="str">
        <f t="shared" ref="B386:B449" si="26">IF(A386="","", "Semana "&amp;WEEKNUM(A386,2))</f>
        <v/>
      </c>
      <c r="F386" s="2" t="e">
        <f>VLOOKUP(TablaMarimba6[[#This Row],[Equipo]],[1]Catalogos!$V$4:$W$55,2,FALSE)</f>
        <v>#N/A</v>
      </c>
      <c r="H386" s="5"/>
      <c r="L386" s="6"/>
      <c r="M386" s="6">
        <f>TablaMarimba6[[#This Row],[Saldo inicial(vales)]]</f>
        <v>0</v>
      </c>
      <c r="N386" s="6">
        <f>TablaMarimba6[[#This Row],[Saldo inicial(vales)]]+TablaMarimba6[[#This Row],[Columna1]]</f>
        <v>0</v>
      </c>
      <c r="O386" s="6" t="str">
        <f t="shared" si="25"/>
        <v/>
      </c>
      <c r="P386" s="6"/>
      <c r="S386" s="6"/>
      <c r="T386" s="6"/>
      <c r="U386" s="6"/>
      <c r="V386" s="6"/>
      <c r="W386" s="6"/>
    </row>
    <row r="387" spans="2:23">
      <c r="B387" s="3" t="str">
        <f t="shared" si="26"/>
        <v/>
      </c>
      <c r="F387" s="2" t="e">
        <f>VLOOKUP(TablaMarimba6[[#This Row],[Equipo]],[1]Catalogos!$V$4:$W$55,2,FALSE)</f>
        <v>#N/A</v>
      </c>
      <c r="H387" s="5"/>
      <c r="L387" s="6"/>
      <c r="M387" s="6">
        <f>TablaMarimba6[[#This Row],[Saldo inicial(vales)]]</f>
        <v>0</v>
      </c>
      <c r="N387" s="6">
        <f>TablaMarimba6[[#This Row],[Saldo inicial(vales)]]+TablaMarimba6[[#This Row],[Columna1]]</f>
        <v>0</v>
      </c>
      <c r="O387" s="6" t="str">
        <f t="shared" si="25"/>
        <v/>
      </c>
      <c r="P387" s="6"/>
      <c r="S387" s="6"/>
      <c r="T387" s="6"/>
      <c r="U387" s="6"/>
      <c r="V387" s="6"/>
      <c r="W387" s="6"/>
    </row>
    <row r="388" spans="2:23">
      <c r="B388" s="3" t="str">
        <f t="shared" si="26"/>
        <v/>
      </c>
      <c r="F388" s="2" t="e">
        <f>VLOOKUP(TablaMarimba6[[#This Row],[Equipo]],[1]Catalogos!$V$4:$W$55,2,FALSE)</f>
        <v>#N/A</v>
      </c>
      <c r="H388" s="5"/>
      <c r="L388" s="6"/>
      <c r="M388" s="6">
        <f>TablaMarimba6[[#This Row],[Saldo inicial(vales)]]</f>
        <v>0</v>
      </c>
      <c r="N388" s="6">
        <f>TablaMarimba6[[#This Row],[Saldo inicial(vales)]]+TablaMarimba6[[#This Row],[Columna1]]</f>
        <v>0</v>
      </c>
      <c r="O388" s="6" t="str">
        <f t="shared" si="25"/>
        <v/>
      </c>
      <c r="P388" s="6"/>
      <c r="S388" s="6"/>
      <c r="T388" s="6"/>
      <c r="U388" s="6"/>
      <c r="V388" s="6"/>
      <c r="W388" s="6"/>
    </row>
    <row r="389" spans="2:23">
      <c r="B389" s="3" t="str">
        <f t="shared" si="26"/>
        <v/>
      </c>
      <c r="F389" s="2" t="e">
        <f>VLOOKUP(TablaMarimba6[[#This Row],[Equipo]],[1]Catalogos!$V$4:$W$55,2,FALSE)</f>
        <v>#N/A</v>
      </c>
      <c r="H389" s="5"/>
      <c r="L389" s="6"/>
      <c r="M389" s="6">
        <f>TablaMarimba6[[#This Row],[Saldo inicial(vales)]]</f>
        <v>0</v>
      </c>
      <c r="N389" s="6">
        <f>TablaMarimba6[[#This Row],[Saldo inicial(vales)]]+TablaMarimba6[[#This Row],[Columna1]]</f>
        <v>0</v>
      </c>
      <c r="O389" s="6" t="str">
        <f t="shared" si="25"/>
        <v/>
      </c>
      <c r="P389" s="6"/>
      <c r="S389" s="6"/>
      <c r="T389" s="6"/>
      <c r="U389" s="6"/>
      <c r="V389" s="6"/>
      <c r="W389" s="6"/>
    </row>
    <row r="390" spans="2:23">
      <c r="B390" s="3" t="str">
        <f t="shared" si="26"/>
        <v/>
      </c>
      <c r="F390" s="2" t="e">
        <f>VLOOKUP(TablaMarimba6[[#This Row],[Equipo]],[1]Catalogos!$V$4:$W$55,2,FALSE)</f>
        <v>#N/A</v>
      </c>
      <c r="H390" s="5"/>
      <c r="L390" s="6"/>
      <c r="M390" s="6">
        <f>TablaMarimba6[[#This Row],[Saldo inicial(vales)]]</f>
        <v>0</v>
      </c>
      <c r="N390" s="6">
        <f>TablaMarimba6[[#This Row],[Saldo inicial(vales)]]+TablaMarimba6[[#This Row],[Columna1]]</f>
        <v>0</v>
      </c>
      <c r="O390" s="6" t="str">
        <f t="shared" si="25"/>
        <v/>
      </c>
      <c r="P390" s="6"/>
      <c r="S390" s="6"/>
      <c r="T390" s="6"/>
      <c r="U390" s="6"/>
      <c r="V390" s="6"/>
      <c r="W390" s="6"/>
    </row>
    <row r="391" spans="2:23">
      <c r="B391" s="3" t="str">
        <f t="shared" si="26"/>
        <v/>
      </c>
      <c r="F391" s="2" t="e">
        <f>VLOOKUP(TablaMarimba6[[#This Row],[Equipo]],[1]Catalogos!$V$4:$W$55,2,FALSE)</f>
        <v>#N/A</v>
      </c>
      <c r="H391" s="5"/>
      <c r="L391" s="6"/>
      <c r="M391" s="6">
        <f>TablaMarimba6[[#This Row],[Saldo inicial(vales)]]</f>
        <v>0</v>
      </c>
      <c r="N391" s="6">
        <f>TablaMarimba6[[#This Row],[Saldo inicial(vales)]]+TablaMarimba6[[#This Row],[Columna1]]</f>
        <v>0</v>
      </c>
      <c r="O391" s="6" t="str">
        <f t="shared" si="25"/>
        <v/>
      </c>
      <c r="P391" s="6"/>
      <c r="S391" s="6"/>
      <c r="T391" s="6"/>
      <c r="U391" s="6"/>
      <c r="V391" s="6"/>
      <c r="W391" s="6"/>
    </row>
    <row r="392" spans="2:23">
      <c r="B392" s="3" t="str">
        <f t="shared" si="26"/>
        <v/>
      </c>
      <c r="F392" s="2" t="e">
        <f>VLOOKUP(TablaMarimba6[[#This Row],[Equipo]],[1]Catalogos!$V$4:$W$55,2,FALSE)</f>
        <v>#N/A</v>
      </c>
      <c r="H392" s="5"/>
      <c r="L392" s="6"/>
      <c r="M392" s="6">
        <f>TablaMarimba6[[#This Row],[Saldo inicial(vales)]]</f>
        <v>0</v>
      </c>
      <c r="N392" s="6">
        <f>TablaMarimba6[[#This Row],[Saldo inicial(vales)]]+TablaMarimba6[[#This Row],[Columna1]]</f>
        <v>0</v>
      </c>
      <c r="O392" s="6" t="str">
        <f t="shared" si="25"/>
        <v/>
      </c>
      <c r="P392" s="6"/>
      <c r="S392" s="6"/>
      <c r="T392" s="6"/>
      <c r="U392" s="6"/>
      <c r="V392" s="6"/>
      <c r="W392" s="6"/>
    </row>
    <row r="393" spans="2:23">
      <c r="B393" s="3" t="str">
        <f t="shared" si="26"/>
        <v/>
      </c>
      <c r="F393" s="2" t="e">
        <f>VLOOKUP(TablaMarimba6[[#This Row],[Equipo]],[1]Catalogos!$V$4:$W$55,2,FALSE)</f>
        <v>#N/A</v>
      </c>
      <c r="H393" s="5"/>
      <c r="L393" s="6"/>
      <c r="M393" s="6">
        <f>TablaMarimba6[[#This Row],[Saldo inicial(vales)]]</f>
        <v>0</v>
      </c>
      <c r="N393" s="6">
        <f>TablaMarimba6[[#This Row],[Saldo inicial(vales)]]+TablaMarimba6[[#This Row],[Columna1]]</f>
        <v>0</v>
      </c>
      <c r="O393" s="6" t="str">
        <f t="shared" si="25"/>
        <v/>
      </c>
      <c r="P393" s="6"/>
      <c r="S393" s="6"/>
      <c r="T393" s="6"/>
      <c r="U393" s="6"/>
      <c r="V393" s="6"/>
      <c r="W393" s="6"/>
    </row>
    <row r="394" spans="2:23">
      <c r="B394" s="3" t="str">
        <f t="shared" si="26"/>
        <v/>
      </c>
      <c r="F394" s="2" t="e">
        <f>VLOOKUP(TablaMarimba6[[#This Row],[Equipo]],[1]Catalogos!$V$4:$W$55,2,FALSE)</f>
        <v>#N/A</v>
      </c>
      <c r="H394" s="5"/>
      <c r="L394" s="6"/>
      <c r="M394" s="6">
        <f>TablaMarimba6[[#This Row],[Saldo inicial(vales)]]</f>
        <v>0</v>
      </c>
      <c r="N394" s="6">
        <f>TablaMarimba6[[#This Row],[Saldo inicial(vales)]]+TablaMarimba6[[#This Row],[Columna1]]</f>
        <v>0</v>
      </c>
      <c r="O394" s="6" t="str">
        <f t="shared" si="25"/>
        <v/>
      </c>
      <c r="P394" s="6"/>
      <c r="S394" s="6"/>
      <c r="T394" s="6"/>
      <c r="U394" s="6"/>
      <c r="V394" s="6"/>
      <c r="W394" s="6"/>
    </row>
    <row r="395" spans="2:23">
      <c r="B395" s="3" t="str">
        <f t="shared" si="26"/>
        <v/>
      </c>
      <c r="F395" s="2" t="e">
        <f>VLOOKUP(TablaMarimba6[[#This Row],[Equipo]],[1]Catalogos!$V$4:$W$55,2,FALSE)</f>
        <v>#N/A</v>
      </c>
      <c r="H395" s="5"/>
      <c r="L395" s="6"/>
      <c r="M395" s="6">
        <f>TablaMarimba6[[#This Row],[Saldo inicial(vales)]]</f>
        <v>0</v>
      </c>
      <c r="N395" s="6">
        <f>TablaMarimba6[[#This Row],[Saldo inicial(vales)]]+TablaMarimba6[[#This Row],[Columna1]]</f>
        <v>0</v>
      </c>
      <c r="O395" s="6" t="str">
        <f t="shared" si="25"/>
        <v/>
      </c>
      <c r="P395" s="6"/>
      <c r="S395" s="6"/>
      <c r="T395" s="6"/>
      <c r="U395" s="6"/>
      <c r="V395" s="6"/>
      <c r="W395" s="6"/>
    </row>
    <row r="396" spans="2:23">
      <c r="B396" s="3" t="str">
        <f t="shared" si="26"/>
        <v/>
      </c>
      <c r="F396" s="2" t="e">
        <f>VLOOKUP(TablaMarimba6[[#This Row],[Equipo]],[1]Catalogos!$V$4:$W$55,2,FALSE)</f>
        <v>#N/A</v>
      </c>
      <c r="H396" s="5"/>
      <c r="L396" s="6"/>
      <c r="M396" s="6">
        <f>TablaMarimba6[[#This Row],[Saldo inicial(vales)]]</f>
        <v>0</v>
      </c>
      <c r="N396" s="6">
        <f>TablaMarimba6[[#This Row],[Saldo inicial(vales)]]+TablaMarimba6[[#This Row],[Columna1]]</f>
        <v>0</v>
      </c>
      <c r="O396" s="6" t="str">
        <f t="shared" si="25"/>
        <v/>
      </c>
      <c r="P396" s="6"/>
      <c r="S396" s="6"/>
      <c r="T396" s="6"/>
      <c r="U396" s="6"/>
      <c r="V396" s="6"/>
      <c r="W396" s="6"/>
    </row>
    <row r="397" spans="2:23">
      <c r="B397" s="3" t="str">
        <f t="shared" si="26"/>
        <v/>
      </c>
      <c r="F397" s="2" t="e">
        <f>VLOOKUP(TablaMarimba6[[#This Row],[Equipo]],[1]Catalogos!$V$4:$W$55,2,FALSE)</f>
        <v>#N/A</v>
      </c>
      <c r="H397" s="5"/>
      <c r="L397" s="6"/>
      <c r="M397" s="6">
        <f>TablaMarimba6[[#This Row],[Saldo inicial(vales)]]</f>
        <v>0</v>
      </c>
      <c r="N397" s="6">
        <f>TablaMarimba6[[#This Row],[Saldo inicial(vales)]]+TablaMarimba6[[#This Row],[Columna1]]</f>
        <v>0</v>
      </c>
      <c r="O397" s="6" t="str">
        <f t="shared" si="25"/>
        <v/>
      </c>
      <c r="P397" s="6"/>
      <c r="S397" s="6"/>
      <c r="T397" s="6"/>
      <c r="U397" s="6"/>
      <c r="V397" s="6"/>
      <c r="W397" s="6"/>
    </row>
    <row r="398" spans="2:23">
      <c r="B398" s="3" t="str">
        <f t="shared" si="26"/>
        <v/>
      </c>
      <c r="F398" s="2" t="e">
        <f>VLOOKUP(TablaMarimba6[[#This Row],[Equipo]],[1]Catalogos!$V$4:$W$55,2,FALSE)</f>
        <v>#N/A</v>
      </c>
      <c r="H398" s="5"/>
      <c r="L398" s="6"/>
      <c r="M398" s="6">
        <f>TablaMarimba6[[#This Row],[Saldo inicial(vales)]]</f>
        <v>0</v>
      </c>
      <c r="N398" s="6">
        <f>TablaMarimba6[[#This Row],[Saldo inicial(vales)]]+TablaMarimba6[[#This Row],[Columna1]]</f>
        <v>0</v>
      </c>
      <c r="O398" s="6" t="str">
        <f t="shared" si="25"/>
        <v/>
      </c>
      <c r="P398" s="6"/>
      <c r="S398" s="6"/>
      <c r="T398" s="6"/>
      <c r="U398" s="6"/>
      <c r="V398" s="6"/>
      <c r="W398" s="6"/>
    </row>
    <row r="399" spans="2:23">
      <c r="B399" s="3" t="str">
        <f t="shared" si="26"/>
        <v/>
      </c>
      <c r="F399" s="2" t="e">
        <f>VLOOKUP(TablaMarimba6[[#This Row],[Equipo]],[1]Catalogos!$V$4:$W$55,2,FALSE)</f>
        <v>#N/A</v>
      </c>
      <c r="H399" s="5"/>
      <c r="L399" s="6"/>
      <c r="M399" s="6">
        <f>TablaMarimba6[[#This Row],[Saldo inicial(vales)]]</f>
        <v>0</v>
      </c>
      <c r="N399" s="6">
        <f>TablaMarimba6[[#This Row],[Saldo inicial(vales)]]+TablaMarimba6[[#This Row],[Columna1]]</f>
        <v>0</v>
      </c>
      <c r="O399" s="6" t="str">
        <f t="shared" si="25"/>
        <v/>
      </c>
      <c r="P399" s="6"/>
      <c r="S399" s="6"/>
      <c r="T399" s="6"/>
      <c r="U399" s="6"/>
      <c r="V399" s="6"/>
      <c r="W399" s="6"/>
    </row>
    <row r="400" spans="2:23">
      <c r="B400" s="3" t="str">
        <f t="shared" si="26"/>
        <v/>
      </c>
      <c r="F400" s="2" t="e">
        <f>VLOOKUP(TablaMarimba6[[#This Row],[Equipo]],[1]Catalogos!$V$4:$W$55,2,FALSE)</f>
        <v>#N/A</v>
      </c>
      <c r="H400" s="5"/>
      <c r="L400" s="6"/>
      <c r="M400" s="6">
        <f>TablaMarimba6[[#This Row],[Saldo inicial(vales)]]</f>
        <v>0</v>
      </c>
      <c r="N400" s="6">
        <f>TablaMarimba6[[#This Row],[Saldo inicial(vales)]]+TablaMarimba6[[#This Row],[Columna1]]</f>
        <v>0</v>
      </c>
      <c r="O400" s="6" t="str">
        <f t="shared" si="25"/>
        <v/>
      </c>
      <c r="P400" s="6"/>
      <c r="S400" s="6"/>
      <c r="T400" s="6"/>
      <c r="U400" s="6"/>
      <c r="V400" s="6"/>
      <c r="W400" s="6"/>
    </row>
    <row r="401" spans="2:23">
      <c r="B401" s="3" t="str">
        <f t="shared" si="26"/>
        <v/>
      </c>
      <c r="F401" s="2" t="e">
        <f>VLOOKUP(TablaMarimba6[[#This Row],[Equipo]],[1]Catalogos!$V$4:$W$55,2,FALSE)</f>
        <v>#N/A</v>
      </c>
      <c r="H401" s="5"/>
      <c r="L401" s="6"/>
      <c r="M401" s="6">
        <f>TablaMarimba6[[#This Row],[Saldo inicial(vales)]]</f>
        <v>0</v>
      </c>
      <c r="N401" s="6">
        <f>TablaMarimba6[[#This Row],[Saldo inicial(vales)]]+TablaMarimba6[[#This Row],[Columna1]]</f>
        <v>0</v>
      </c>
      <c r="O401" s="6" t="str">
        <f t="shared" si="25"/>
        <v/>
      </c>
      <c r="P401" s="6"/>
      <c r="S401" s="6"/>
      <c r="T401" s="6"/>
      <c r="U401" s="6"/>
      <c r="V401" s="6"/>
      <c r="W401" s="6"/>
    </row>
    <row r="402" spans="2:23">
      <c r="B402" s="3" t="str">
        <f t="shared" si="26"/>
        <v/>
      </c>
      <c r="F402" s="2" t="e">
        <f>VLOOKUP(TablaMarimba6[[#This Row],[Equipo]],[1]Catalogos!$V$4:$W$55,2,FALSE)</f>
        <v>#N/A</v>
      </c>
      <c r="H402" s="5"/>
      <c r="L402" s="6"/>
      <c r="M402" s="6">
        <f>TablaMarimba6[[#This Row],[Saldo inicial(vales)]]</f>
        <v>0</v>
      </c>
      <c r="N402" s="6">
        <f>TablaMarimba6[[#This Row],[Saldo inicial(vales)]]+TablaMarimba6[[#This Row],[Columna1]]</f>
        <v>0</v>
      </c>
      <c r="O402" s="6" t="str">
        <f t="shared" si="25"/>
        <v/>
      </c>
      <c r="P402" s="6"/>
      <c r="S402" s="6"/>
      <c r="T402" s="6"/>
      <c r="U402" s="6"/>
      <c r="V402" s="6"/>
      <c r="W402" s="6"/>
    </row>
    <row r="403" spans="2:23">
      <c r="B403" s="3" t="str">
        <f t="shared" si="26"/>
        <v/>
      </c>
      <c r="F403" s="2" t="e">
        <f>VLOOKUP(TablaMarimba6[[#This Row],[Equipo]],[1]Catalogos!$V$4:$W$55,2,FALSE)</f>
        <v>#N/A</v>
      </c>
      <c r="H403" s="5"/>
      <c r="L403" s="6"/>
      <c r="M403" s="6">
        <f>TablaMarimba6[[#This Row],[Saldo inicial(vales)]]</f>
        <v>0</v>
      </c>
      <c r="N403" s="6">
        <f>TablaMarimba6[[#This Row],[Saldo inicial(vales)]]+TablaMarimba6[[#This Row],[Columna1]]</f>
        <v>0</v>
      </c>
      <c r="O403" s="6" t="str">
        <f t="shared" si="25"/>
        <v/>
      </c>
      <c r="P403" s="6"/>
      <c r="S403" s="6"/>
      <c r="T403" s="6"/>
      <c r="U403" s="6"/>
      <c r="V403" s="6"/>
      <c r="W403" s="6"/>
    </row>
    <row r="404" spans="2:23">
      <c r="B404" s="3" t="str">
        <f t="shared" si="26"/>
        <v/>
      </c>
      <c r="F404" s="2" t="e">
        <f>VLOOKUP(TablaMarimba6[[#This Row],[Equipo]],[1]Catalogos!$V$4:$W$55,2,FALSE)</f>
        <v>#N/A</v>
      </c>
      <c r="H404" s="5"/>
      <c r="L404" s="6"/>
      <c r="M404" s="6">
        <f>TablaMarimba6[[#This Row],[Saldo inicial(vales)]]</f>
        <v>0</v>
      </c>
      <c r="N404" s="6">
        <f>TablaMarimba6[[#This Row],[Saldo inicial(vales)]]+TablaMarimba6[[#This Row],[Columna1]]</f>
        <v>0</v>
      </c>
      <c r="O404" s="6" t="str">
        <f t="shared" si="25"/>
        <v/>
      </c>
      <c r="P404" s="6"/>
      <c r="S404" s="6"/>
      <c r="T404" s="6"/>
      <c r="U404" s="6"/>
      <c r="V404" s="6"/>
      <c r="W404" s="6"/>
    </row>
    <row r="405" spans="2:23">
      <c r="B405" s="3" t="str">
        <f t="shared" si="26"/>
        <v/>
      </c>
      <c r="F405" s="2" t="e">
        <f>VLOOKUP(TablaMarimba6[[#This Row],[Equipo]],[1]Catalogos!$V$4:$W$55,2,FALSE)</f>
        <v>#N/A</v>
      </c>
      <c r="H405" s="5"/>
      <c r="L405" s="6"/>
      <c r="M405" s="6">
        <f>TablaMarimba6[[#This Row],[Saldo inicial(vales)]]</f>
        <v>0</v>
      </c>
      <c r="N405" s="6">
        <f>TablaMarimba6[[#This Row],[Saldo inicial(vales)]]+TablaMarimba6[[#This Row],[Columna1]]</f>
        <v>0</v>
      </c>
      <c r="O405" s="6" t="str">
        <f t="shared" si="25"/>
        <v/>
      </c>
      <c r="P405" s="6"/>
      <c r="S405" s="6"/>
      <c r="T405" s="6"/>
      <c r="U405" s="6"/>
      <c r="V405" s="6"/>
      <c r="W405" s="6"/>
    </row>
    <row r="406" spans="2:23">
      <c r="B406" s="3" t="str">
        <f t="shared" si="26"/>
        <v/>
      </c>
      <c r="F406" s="2" t="e">
        <f>VLOOKUP(TablaMarimba6[[#This Row],[Equipo]],[1]Catalogos!$V$4:$W$55,2,FALSE)</f>
        <v>#N/A</v>
      </c>
      <c r="H406" s="5"/>
      <c r="L406" s="6"/>
      <c r="M406" s="6">
        <f>TablaMarimba6[[#This Row],[Saldo inicial(vales)]]</f>
        <v>0</v>
      </c>
      <c r="N406" s="6">
        <f>TablaMarimba6[[#This Row],[Saldo inicial(vales)]]+TablaMarimba6[[#This Row],[Columna1]]</f>
        <v>0</v>
      </c>
      <c r="O406" s="6" t="str">
        <f t="shared" si="25"/>
        <v/>
      </c>
      <c r="P406" s="6"/>
      <c r="S406" s="6"/>
      <c r="T406" s="6"/>
      <c r="U406" s="6"/>
      <c r="V406" s="6"/>
      <c r="W406" s="6"/>
    </row>
    <row r="407" spans="2:23">
      <c r="B407" s="3" t="str">
        <f t="shared" si="26"/>
        <v/>
      </c>
      <c r="F407" s="2" t="e">
        <f>VLOOKUP(TablaMarimba6[[#This Row],[Equipo]],[1]Catalogos!$V$4:$W$55,2,FALSE)</f>
        <v>#N/A</v>
      </c>
      <c r="H407" s="5"/>
      <c r="L407" s="6"/>
      <c r="M407" s="6">
        <f>TablaMarimba6[[#This Row],[Saldo inicial(vales)]]</f>
        <v>0</v>
      </c>
      <c r="N407" s="6">
        <f>TablaMarimba6[[#This Row],[Saldo inicial(vales)]]+TablaMarimba6[[#This Row],[Columna1]]</f>
        <v>0</v>
      </c>
      <c r="O407" s="6" t="str">
        <f t="shared" si="25"/>
        <v/>
      </c>
      <c r="P407" s="6"/>
      <c r="S407" s="6"/>
      <c r="T407" s="6"/>
      <c r="U407" s="6"/>
      <c r="V407" s="6"/>
      <c r="W407" s="6"/>
    </row>
    <row r="408" spans="2:23">
      <c r="B408" s="3" t="str">
        <f t="shared" si="26"/>
        <v/>
      </c>
      <c r="F408" s="2" t="e">
        <f>VLOOKUP(TablaMarimba6[[#This Row],[Equipo]],[1]Catalogos!$V$4:$W$55,2,FALSE)</f>
        <v>#N/A</v>
      </c>
      <c r="H408" s="5"/>
      <c r="L408" s="6"/>
      <c r="M408" s="6">
        <f>TablaMarimba6[[#This Row],[Saldo inicial(vales)]]</f>
        <v>0</v>
      </c>
      <c r="N408" s="6">
        <f>TablaMarimba6[[#This Row],[Saldo inicial(vales)]]+TablaMarimba6[[#This Row],[Columna1]]</f>
        <v>0</v>
      </c>
      <c r="O408" s="6" t="str">
        <f t="shared" si="25"/>
        <v/>
      </c>
      <c r="P408" s="6"/>
      <c r="S408" s="6"/>
      <c r="T408" s="6"/>
      <c r="U408" s="6"/>
      <c r="V408" s="6"/>
      <c r="W408" s="6"/>
    </row>
    <row r="409" spans="2:23">
      <c r="B409" s="3" t="str">
        <f t="shared" si="26"/>
        <v/>
      </c>
      <c r="F409" s="2" t="e">
        <f>VLOOKUP(TablaMarimba6[[#This Row],[Equipo]],[1]Catalogos!$V$4:$W$55,2,FALSE)</f>
        <v>#N/A</v>
      </c>
      <c r="H409" s="5"/>
      <c r="L409" s="6"/>
      <c r="M409" s="6">
        <f>TablaMarimba6[[#This Row],[Saldo inicial(vales)]]</f>
        <v>0</v>
      </c>
      <c r="N409" s="6">
        <f>TablaMarimba6[[#This Row],[Saldo inicial(vales)]]+TablaMarimba6[[#This Row],[Columna1]]</f>
        <v>0</v>
      </c>
      <c r="O409" s="6" t="str">
        <f t="shared" si="25"/>
        <v/>
      </c>
      <c r="P409" s="6"/>
      <c r="S409" s="6"/>
      <c r="T409" s="6"/>
      <c r="U409" s="6"/>
      <c r="V409" s="6"/>
      <c r="W409" s="6"/>
    </row>
    <row r="410" spans="2:23">
      <c r="B410" s="3" t="str">
        <f t="shared" si="26"/>
        <v/>
      </c>
      <c r="F410" s="2" t="e">
        <f>VLOOKUP(TablaMarimba6[[#This Row],[Equipo]],[1]Catalogos!$V$4:$W$55,2,FALSE)</f>
        <v>#N/A</v>
      </c>
      <c r="H410" s="5"/>
      <c r="L410" s="6"/>
      <c r="M410" s="6">
        <f>TablaMarimba6[[#This Row],[Saldo inicial(vales)]]</f>
        <v>0</v>
      </c>
      <c r="N410" s="6">
        <f>TablaMarimba6[[#This Row],[Saldo inicial(vales)]]+TablaMarimba6[[#This Row],[Columna1]]</f>
        <v>0</v>
      </c>
      <c r="O410" s="6" t="str">
        <f t="shared" si="25"/>
        <v/>
      </c>
      <c r="P410" s="6"/>
      <c r="S410" s="6"/>
      <c r="T410" s="6"/>
      <c r="U410" s="6"/>
      <c r="V410" s="6"/>
      <c r="W410" s="6"/>
    </row>
    <row r="411" spans="2:23">
      <c r="B411" s="3" t="str">
        <f t="shared" si="26"/>
        <v/>
      </c>
      <c r="F411" s="2" t="e">
        <f>VLOOKUP(TablaMarimba6[[#This Row],[Equipo]],[1]Catalogos!$V$4:$W$55,2,FALSE)</f>
        <v>#N/A</v>
      </c>
      <c r="H411" s="5"/>
      <c r="L411" s="6"/>
      <c r="M411" s="6">
        <f>TablaMarimba6[[#This Row],[Saldo inicial(vales)]]</f>
        <v>0</v>
      </c>
      <c r="N411" s="6">
        <f>TablaMarimba6[[#This Row],[Saldo inicial(vales)]]+TablaMarimba6[[#This Row],[Columna1]]</f>
        <v>0</v>
      </c>
      <c r="O411" s="6" t="str">
        <f t="shared" si="25"/>
        <v/>
      </c>
      <c r="P411" s="6"/>
      <c r="S411" s="6"/>
      <c r="T411" s="6"/>
      <c r="U411" s="6"/>
      <c r="V411" s="6"/>
      <c r="W411" s="6"/>
    </row>
    <row r="412" spans="2:23">
      <c r="B412" s="3" t="str">
        <f t="shared" si="26"/>
        <v/>
      </c>
      <c r="F412" s="2" t="e">
        <f>VLOOKUP(TablaMarimba6[[#This Row],[Equipo]],[1]Catalogos!$V$4:$W$55,2,FALSE)</f>
        <v>#N/A</v>
      </c>
      <c r="H412" s="5"/>
      <c r="L412" s="6"/>
      <c r="M412" s="6">
        <f>TablaMarimba6[[#This Row],[Saldo inicial(vales)]]</f>
        <v>0</v>
      </c>
      <c r="N412" s="6">
        <f>TablaMarimba6[[#This Row],[Saldo inicial(vales)]]+TablaMarimba6[[#This Row],[Columna1]]</f>
        <v>0</v>
      </c>
      <c r="O412" s="6" t="str">
        <f t="shared" si="25"/>
        <v/>
      </c>
      <c r="P412" s="6"/>
      <c r="S412" s="6"/>
      <c r="T412" s="6"/>
      <c r="U412" s="6"/>
      <c r="V412" s="6"/>
      <c r="W412" s="6"/>
    </row>
    <row r="413" spans="2:23">
      <c r="B413" s="3" t="str">
        <f t="shared" si="26"/>
        <v/>
      </c>
      <c r="F413" s="2" t="e">
        <f>VLOOKUP(TablaMarimba6[[#This Row],[Equipo]],[1]Catalogos!$V$4:$W$55,2,FALSE)</f>
        <v>#N/A</v>
      </c>
      <c r="H413" s="5"/>
      <c r="L413" s="6"/>
      <c r="M413" s="6">
        <f>TablaMarimba6[[#This Row],[Saldo inicial(vales)]]</f>
        <v>0</v>
      </c>
      <c r="N413" s="6">
        <f>TablaMarimba6[[#This Row],[Saldo inicial(vales)]]+TablaMarimba6[[#This Row],[Columna1]]</f>
        <v>0</v>
      </c>
      <c r="O413" s="6" t="str">
        <f t="shared" si="25"/>
        <v/>
      </c>
      <c r="P413" s="6"/>
      <c r="S413" s="6"/>
      <c r="T413" s="6"/>
      <c r="U413" s="6"/>
      <c r="V413" s="6"/>
      <c r="W413" s="6"/>
    </row>
    <row r="414" spans="2:23">
      <c r="B414" s="3" t="str">
        <f t="shared" si="26"/>
        <v/>
      </c>
      <c r="F414" s="2" t="e">
        <f>VLOOKUP(TablaMarimba6[[#This Row],[Equipo]],[1]Catalogos!$V$4:$W$55,2,FALSE)</f>
        <v>#N/A</v>
      </c>
      <c r="H414" s="5"/>
      <c r="L414" s="6"/>
      <c r="M414" s="6">
        <f>TablaMarimba6[[#This Row],[Saldo inicial(vales)]]</f>
        <v>0</v>
      </c>
      <c r="N414" s="6">
        <f>TablaMarimba6[[#This Row],[Saldo inicial(vales)]]+TablaMarimba6[[#This Row],[Columna1]]</f>
        <v>0</v>
      </c>
      <c r="O414" s="6" t="str">
        <f t="shared" si="25"/>
        <v/>
      </c>
      <c r="P414" s="6"/>
      <c r="S414" s="6"/>
      <c r="T414" s="6"/>
      <c r="U414" s="6"/>
      <c r="V414" s="6"/>
      <c r="W414" s="6"/>
    </row>
    <row r="415" spans="2:23">
      <c r="B415" s="3" t="str">
        <f t="shared" si="26"/>
        <v/>
      </c>
      <c r="F415" s="2" t="e">
        <f>VLOOKUP(TablaMarimba6[[#This Row],[Equipo]],[1]Catalogos!$V$4:$W$55,2,FALSE)</f>
        <v>#N/A</v>
      </c>
      <c r="H415" s="5"/>
      <c r="L415" s="6"/>
      <c r="M415" s="6">
        <f>TablaMarimba6[[#This Row],[Saldo inicial(vales)]]</f>
        <v>0</v>
      </c>
      <c r="N415" s="6">
        <f>TablaMarimba6[[#This Row],[Saldo inicial(vales)]]+TablaMarimba6[[#This Row],[Columna1]]</f>
        <v>0</v>
      </c>
      <c r="O415" s="6" t="str">
        <f t="shared" si="25"/>
        <v/>
      </c>
      <c r="P415" s="6"/>
      <c r="S415" s="6"/>
      <c r="T415" s="6"/>
      <c r="U415" s="6"/>
      <c r="V415" s="6"/>
      <c r="W415" s="6"/>
    </row>
    <row r="416" spans="2:23">
      <c r="B416" s="3" t="str">
        <f t="shared" si="26"/>
        <v/>
      </c>
      <c r="F416" s="2" t="e">
        <f>VLOOKUP(TablaMarimba6[[#This Row],[Equipo]],[1]Catalogos!$V$4:$W$55,2,FALSE)</f>
        <v>#N/A</v>
      </c>
      <c r="H416" s="5"/>
      <c r="L416" s="6"/>
      <c r="M416" s="6">
        <f>TablaMarimba6[[#This Row],[Saldo inicial(vales)]]</f>
        <v>0</v>
      </c>
      <c r="N416" s="6">
        <f>TablaMarimba6[[#This Row],[Saldo inicial(vales)]]+TablaMarimba6[[#This Row],[Columna1]]</f>
        <v>0</v>
      </c>
      <c r="O416" s="6" t="str">
        <f t="shared" si="25"/>
        <v/>
      </c>
      <c r="P416" s="6"/>
      <c r="S416" s="6"/>
      <c r="T416" s="6"/>
      <c r="U416" s="6"/>
      <c r="V416" s="6"/>
      <c r="W416" s="6"/>
    </row>
    <row r="417" spans="2:23">
      <c r="B417" s="3" t="str">
        <f t="shared" si="26"/>
        <v/>
      </c>
      <c r="F417" s="2" t="e">
        <f>VLOOKUP(TablaMarimba6[[#This Row],[Equipo]],[1]Catalogos!$V$4:$W$55,2,FALSE)</f>
        <v>#N/A</v>
      </c>
      <c r="H417" s="5"/>
      <c r="L417" s="6"/>
      <c r="M417" s="6">
        <f>TablaMarimba6[[#This Row],[Saldo inicial(vales)]]</f>
        <v>0</v>
      </c>
      <c r="N417" s="6">
        <f>TablaMarimba6[[#This Row],[Saldo inicial(vales)]]+TablaMarimba6[[#This Row],[Columna1]]</f>
        <v>0</v>
      </c>
      <c r="O417" s="6" t="str">
        <f t="shared" si="25"/>
        <v/>
      </c>
      <c r="P417" s="6"/>
      <c r="S417" s="6"/>
      <c r="T417" s="6"/>
      <c r="U417" s="6"/>
      <c r="V417" s="6"/>
      <c r="W417" s="6"/>
    </row>
    <row r="418" spans="2:23">
      <c r="B418" s="3" t="str">
        <f t="shared" si="26"/>
        <v/>
      </c>
      <c r="F418" s="2" t="e">
        <f>VLOOKUP(TablaMarimba6[[#This Row],[Equipo]],[1]Catalogos!$V$4:$W$55,2,FALSE)</f>
        <v>#N/A</v>
      </c>
      <c r="H418" s="5"/>
      <c r="L418" s="6"/>
      <c r="M418" s="6">
        <f>TablaMarimba6[[#This Row],[Saldo inicial(vales)]]</f>
        <v>0</v>
      </c>
      <c r="N418" s="6">
        <f>TablaMarimba6[[#This Row],[Saldo inicial(vales)]]+TablaMarimba6[[#This Row],[Columna1]]</f>
        <v>0</v>
      </c>
      <c r="O418" s="6" t="str">
        <f t="shared" si="25"/>
        <v/>
      </c>
      <c r="P418" s="6"/>
      <c r="S418" s="6"/>
      <c r="T418" s="6"/>
      <c r="U418" s="6"/>
      <c r="V418" s="6"/>
      <c r="W418" s="6"/>
    </row>
    <row r="419" spans="2:23">
      <c r="B419" s="3" t="str">
        <f t="shared" si="26"/>
        <v/>
      </c>
      <c r="F419" s="2" t="e">
        <f>VLOOKUP(TablaMarimba6[[#This Row],[Equipo]],[1]Catalogos!$V$4:$W$55,2,FALSE)</f>
        <v>#N/A</v>
      </c>
      <c r="H419" s="5"/>
      <c r="L419" s="6"/>
      <c r="M419" s="6">
        <f>TablaMarimba6[[#This Row],[Saldo inicial(vales)]]</f>
        <v>0</v>
      </c>
      <c r="N419" s="6">
        <f>TablaMarimba6[[#This Row],[Saldo inicial(vales)]]+TablaMarimba6[[#This Row],[Columna1]]</f>
        <v>0</v>
      </c>
      <c r="O419" s="6" t="str">
        <f t="shared" si="25"/>
        <v/>
      </c>
      <c r="P419" s="6"/>
      <c r="S419" s="6"/>
      <c r="T419" s="6"/>
      <c r="U419" s="6"/>
      <c r="V419" s="6"/>
      <c r="W419" s="6"/>
    </row>
    <row r="420" spans="2:23">
      <c r="B420" s="3" t="str">
        <f t="shared" si="26"/>
        <v/>
      </c>
      <c r="F420" s="2" t="e">
        <f>VLOOKUP(TablaMarimba6[[#This Row],[Equipo]],[1]Catalogos!$V$4:$W$55,2,FALSE)</f>
        <v>#N/A</v>
      </c>
      <c r="H420" s="5"/>
      <c r="L420" s="6"/>
      <c r="M420" s="6">
        <f>TablaMarimba6[[#This Row],[Saldo inicial(vales)]]</f>
        <v>0</v>
      </c>
      <c r="N420" s="6">
        <f>TablaMarimba6[[#This Row],[Saldo inicial(vales)]]+TablaMarimba6[[#This Row],[Columna1]]</f>
        <v>0</v>
      </c>
      <c r="O420" s="6" t="str">
        <f t="shared" si="25"/>
        <v/>
      </c>
      <c r="P420" s="6"/>
      <c r="S420" s="6"/>
      <c r="T420" s="6"/>
      <c r="U420" s="6"/>
      <c r="V420" s="6"/>
      <c r="W420" s="6"/>
    </row>
    <row r="421" spans="2:23">
      <c r="B421" s="3" t="str">
        <f t="shared" si="26"/>
        <v/>
      </c>
      <c r="F421" s="2" t="e">
        <f>VLOOKUP(TablaMarimba6[[#This Row],[Equipo]],[1]Catalogos!$V$4:$W$55,2,FALSE)</f>
        <v>#N/A</v>
      </c>
      <c r="H421" s="5"/>
      <c r="L421" s="6"/>
      <c r="M421" s="6">
        <f>TablaMarimba6[[#This Row],[Saldo inicial(vales)]]</f>
        <v>0</v>
      </c>
      <c r="N421" s="6">
        <f>TablaMarimba6[[#This Row],[Saldo inicial(vales)]]+TablaMarimba6[[#This Row],[Columna1]]</f>
        <v>0</v>
      </c>
      <c r="O421" s="6" t="str">
        <f t="shared" si="25"/>
        <v/>
      </c>
      <c r="P421" s="6"/>
      <c r="S421" s="6"/>
      <c r="T421" s="6"/>
      <c r="U421" s="6"/>
      <c r="V421" s="6"/>
      <c r="W421" s="6"/>
    </row>
    <row r="422" spans="2:23">
      <c r="B422" s="3" t="str">
        <f t="shared" si="26"/>
        <v/>
      </c>
      <c r="F422" s="2" t="e">
        <f>VLOOKUP(TablaMarimba6[[#This Row],[Equipo]],[1]Catalogos!$V$4:$W$55,2,FALSE)</f>
        <v>#N/A</v>
      </c>
      <c r="H422" s="5"/>
      <c r="L422" s="6"/>
      <c r="M422" s="6">
        <f>TablaMarimba6[[#This Row],[Saldo inicial(vales)]]</f>
        <v>0</v>
      </c>
      <c r="N422" s="6">
        <f>TablaMarimba6[[#This Row],[Saldo inicial(vales)]]+TablaMarimba6[[#This Row],[Columna1]]</f>
        <v>0</v>
      </c>
      <c r="O422" s="6" t="str">
        <f t="shared" si="25"/>
        <v/>
      </c>
      <c r="P422" s="6"/>
      <c r="S422" s="6"/>
      <c r="T422" s="6"/>
      <c r="U422" s="6"/>
      <c r="V422" s="6"/>
      <c r="W422" s="6"/>
    </row>
    <row r="423" spans="2:23">
      <c r="B423" s="3" t="str">
        <f t="shared" si="26"/>
        <v/>
      </c>
      <c r="F423" s="2" t="e">
        <f>VLOOKUP(TablaMarimba6[[#This Row],[Equipo]],[1]Catalogos!$V$4:$W$55,2,FALSE)</f>
        <v>#N/A</v>
      </c>
      <c r="H423" s="5"/>
      <c r="L423" s="6"/>
      <c r="M423" s="6">
        <f>TablaMarimba6[[#This Row],[Saldo inicial(vales)]]</f>
        <v>0</v>
      </c>
      <c r="N423" s="6">
        <f>TablaMarimba6[[#This Row],[Saldo inicial(vales)]]+TablaMarimba6[[#This Row],[Columna1]]</f>
        <v>0</v>
      </c>
      <c r="O423" s="6" t="str">
        <f t="shared" si="25"/>
        <v/>
      </c>
      <c r="P423" s="6"/>
      <c r="S423" s="6"/>
      <c r="T423" s="6"/>
      <c r="U423" s="6"/>
      <c r="V423" s="6"/>
      <c r="W423" s="6"/>
    </row>
    <row r="424" spans="2:23">
      <c r="B424" s="3" t="str">
        <f t="shared" si="26"/>
        <v/>
      </c>
      <c r="F424" s="2" t="e">
        <f>VLOOKUP(TablaMarimba6[[#This Row],[Equipo]],[1]Catalogos!$V$4:$W$55,2,FALSE)</f>
        <v>#N/A</v>
      </c>
      <c r="H424" s="5"/>
      <c r="L424" s="6"/>
      <c r="M424" s="6">
        <f>TablaMarimba6[[#This Row],[Saldo inicial(vales)]]</f>
        <v>0</v>
      </c>
      <c r="N424" s="6">
        <f>TablaMarimba6[[#This Row],[Saldo inicial(vales)]]+TablaMarimba6[[#This Row],[Columna1]]</f>
        <v>0</v>
      </c>
      <c r="O424" s="6" t="str">
        <f t="shared" si="25"/>
        <v/>
      </c>
      <c r="P424" s="6"/>
      <c r="S424" s="6"/>
      <c r="T424" s="6"/>
      <c r="U424" s="6"/>
      <c r="V424" s="6"/>
      <c r="W424" s="6"/>
    </row>
    <row r="425" spans="2:23">
      <c r="B425" s="3" t="str">
        <f t="shared" si="26"/>
        <v/>
      </c>
      <c r="F425" s="2" t="e">
        <f>VLOOKUP(TablaMarimba6[[#This Row],[Equipo]],[1]Catalogos!$V$4:$W$55,2,FALSE)</f>
        <v>#N/A</v>
      </c>
      <c r="H425" s="5"/>
      <c r="L425" s="6"/>
      <c r="M425" s="6">
        <f>TablaMarimba6[[#This Row],[Saldo inicial(vales)]]</f>
        <v>0</v>
      </c>
      <c r="N425" s="6">
        <f>TablaMarimba6[[#This Row],[Saldo inicial(vales)]]+TablaMarimba6[[#This Row],[Columna1]]</f>
        <v>0</v>
      </c>
      <c r="O425" s="6" t="str">
        <f t="shared" si="25"/>
        <v/>
      </c>
      <c r="P425" s="6"/>
      <c r="S425" s="6"/>
      <c r="T425" s="6"/>
      <c r="U425" s="6"/>
      <c r="V425" s="6"/>
      <c r="W425" s="6"/>
    </row>
    <row r="426" spans="2:23">
      <c r="B426" s="3" t="str">
        <f t="shared" si="26"/>
        <v/>
      </c>
      <c r="F426" s="2" t="e">
        <f>VLOOKUP(TablaMarimba6[[#This Row],[Equipo]],[1]Catalogos!$V$4:$W$55,2,FALSE)</f>
        <v>#N/A</v>
      </c>
      <c r="H426" s="5"/>
      <c r="L426" s="6"/>
      <c r="M426" s="6">
        <f>TablaMarimba6[[#This Row],[Saldo inicial(vales)]]</f>
        <v>0</v>
      </c>
      <c r="N426" s="6">
        <f>TablaMarimba6[[#This Row],[Saldo inicial(vales)]]+TablaMarimba6[[#This Row],[Columna1]]</f>
        <v>0</v>
      </c>
      <c r="O426" s="6" t="str">
        <f t="shared" si="25"/>
        <v/>
      </c>
      <c r="P426" s="6"/>
      <c r="S426" s="6"/>
      <c r="T426" s="6"/>
      <c r="U426" s="6"/>
      <c r="V426" s="6"/>
      <c r="W426" s="6"/>
    </row>
    <row r="427" spans="2:23">
      <c r="B427" s="3" t="str">
        <f t="shared" si="26"/>
        <v/>
      </c>
      <c r="F427" s="2" t="e">
        <f>VLOOKUP(TablaMarimba6[[#This Row],[Equipo]],[1]Catalogos!$V$4:$W$55,2,FALSE)</f>
        <v>#N/A</v>
      </c>
      <c r="H427" s="5"/>
      <c r="L427" s="6"/>
      <c r="M427" s="6">
        <f>TablaMarimba6[[#This Row],[Saldo inicial(vales)]]</f>
        <v>0</v>
      </c>
      <c r="N427" s="6">
        <f>TablaMarimba6[[#This Row],[Saldo inicial(vales)]]+TablaMarimba6[[#This Row],[Columna1]]</f>
        <v>0</v>
      </c>
      <c r="O427" s="6" t="str">
        <f t="shared" si="25"/>
        <v/>
      </c>
      <c r="P427" s="6"/>
      <c r="S427" s="6"/>
      <c r="T427" s="6"/>
      <c r="U427" s="6"/>
      <c r="V427" s="6"/>
      <c r="W427" s="6"/>
    </row>
    <row r="428" spans="2:23">
      <c r="B428" s="3" t="str">
        <f t="shared" si="26"/>
        <v/>
      </c>
      <c r="F428" s="2" t="e">
        <f>VLOOKUP(TablaMarimba6[[#This Row],[Equipo]],[1]Catalogos!$V$4:$W$55,2,FALSE)</f>
        <v>#N/A</v>
      </c>
      <c r="H428" s="5"/>
      <c r="L428" s="6"/>
      <c r="M428" s="6">
        <f>TablaMarimba6[[#This Row],[Saldo inicial(vales)]]</f>
        <v>0</v>
      </c>
      <c r="N428" s="6">
        <f>TablaMarimba6[[#This Row],[Saldo inicial(vales)]]+TablaMarimba6[[#This Row],[Columna1]]</f>
        <v>0</v>
      </c>
      <c r="O428" s="6" t="str">
        <f t="shared" si="25"/>
        <v/>
      </c>
      <c r="P428" s="6"/>
      <c r="S428" s="6"/>
      <c r="T428" s="6"/>
      <c r="U428" s="6"/>
      <c r="V428" s="6"/>
      <c r="W428" s="6"/>
    </row>
    <row r="429" spans="2:23">
      <c r="B429" s="3" t="str">
        <f t="shared" si="26"/>
        <v/>
      </c>
      <c r="F429" s="2" t="e">
        <f>VLOOKUP(TablaMarimba6[[#This Row],[Equipo]],[1]Catalogos!$V$4:$W$55,2,FALSE)</f>
        <v>#N/A</v>
      </c>
      <c r="H429" s="5"/>
      <c r="L429" s="6"/>
      <c r="M429" s="6">
        <f>TablaMarimba6[[#This Row],[Saldo inicial(vales)]]</f>
        <v>0</v>
      </c>
      <c r="N429" s="6">
        <f>TablaMarimba6[[#This Row],[Saldo inicial(vales)]]+TablaMarimba6[[#This Row],[Columna1]]</f>
        <v>0</v>
      </c>
      <c r="O429" s="6" t="str">
        <f t="shared" si="25"/>
        <v/>
      </c>
      <c r="P429" s="6"/>
      <c r="S429" s="6"/>
      <c r="T429" s="6"/>
      <c r="U429" s="6"/>
      <c r="V429" s="6"/>
      <c r="W429" s="6"/>
    </row>
    <row r="430" spans="2:23">
      <c r="B430" s="3" t="str">
        <f t="shared" si="26"/>
        <v/>
      </c>
      <c r="F430" s="2" t="e">
        <f>VLOOKUP(TablaMarimba6[[#This Row],[Equipo]],[1]Catalogos!$V$4:$W$55,2,FALSE)</f>
        <v>#N/A</v>
      </c>
      <c r="H430" s="5"/>
      <c r="L430" s="6"/>
      <c r="M430" s="6">
        <f>TablaMarimba6[[#This Row],[Saldo inicial(vales)]]</f>
        <v>0</v>
      </c>
      <c r="N430" s="6">
        <f>TablaMarimba6[[#This Row],[Saldo inicial(vales)]]+TablaMarimba6[[#This Row],[Columna1]]</f>
        <v>0</v>
      </c>
      <c r="O430" s="6" t="str">
        <f t="shared" si="25"/>
        <v/>
      </c>
      <c r="P430" s="6"/>
      <c r="S430" s="6"/>
      <c r="T430" s="6"/>
      <c r="U430" s="6"/>
      <c r="V430" s="6"/>
      <c r="W430" s="6"/>
    </row>
    <row r="431" spans="2:23">
      <c r="B431" s="3" t="str">
        <f t="shared" si="26"/>
        <v/>
      </c>
      <c r="F431" s="2" t="e">
        <f>VLOOKUP(TablaMarimba6[[#This Row],[Equipo]],[1]Catalogos!$V$4:$W$55,2,FALSE)</f>
        <v>#N/A</v>
      </c>
      <c r="H431" s="5"/>
      <c r="L431" s="6"/>
      <c r="M431" s="6">
        <f>TablaMarimba6[[#This Row],[Saldo inicial(vales)]]</f>
        <v>0</v>
      </c>
      <c r="N431" s="6">
        <f>TablaMarimba6[[#This Row],[Saldo inicial(vales)]]+TablaMarimba6[[#This Row],[Columna1]]</f>
        <v>0</v>
      </c>
      <c r="O431" s="6" t="str">
        <f t="shared" si="25"/>
        <v/>
      </c>
      <c r="P431" s="6"/>
      <c r="S431" s="6"/>
      <c r="T431" s="6"/>
      <c r="U431" s="6"/>
      <c r="V431" s="6"/>
      <c r="W431" s="6"/>
    </row>
    <row r="432" spans="2:23">
      <c r="B432" s="3" t="str">
        <f t="shared" si="26"/>
        <v/>
      </c>
      <c r="F432" s="2" t="e">
        <f>VLOOKUP(TablaMarimba6[[#This Row],[Equipo]],[1]Catalogos!$V$4:$W$55,2,FALSE)</f>
        <v>#N/A</v>
      </c>
      <c r="H432" s="5"/>
      <c r="L432" s="6"/>
      <c r="M432" s="6">
        <f>TablaMarimba6[[#This Row],[Saldo inicial(vales)]]</f>
        <v>0</v>
      </c>
      <c r="N432" s="6">
        <f>TablaMarimba6[[#This Row],[Saldo inicial(vales)]]+TablaMarimba6[[#This Row],[Columna1]]</f>
        <v>0</v>
      </c>
      <c r="O432" s="6" t="str">
        <f t="shared" si="25"/>
        <v/>
      </c>
      <c r="P432" s="6"/>
      <c r="S432" s="6"/>
      <c r="T432" s="6"/>
      <c r="U432" s="6"/>
      <c r="V432" s="6"/>
      <c r="W432" s="6"/>
    </row>
    <row r="433" spans="2:23">
      <c r="B433" s="3" t="str">
        <f t="shared" si="26"/>
        <v/>
      </c>
      <c r="F433" s="2" t="e">
        <f>VLOOKUP(TablaMarimba6[[#This Row],[Equipo]],[1]Catalogos!$V$4:$W$55,2,FALSE)</f>
        <v>#N/A</v>
      </c>
      <c r="H433" s="5"/>
      <c r="L433" s="6"/>
      <c r="M433" s="6">
        <f>TablaMarimba6[[#This Row],[Saldo inicial(vales)]]</f>
        <v>0</v>
      </c>
      <c r="N433" s="6">
        <f>TablaMarimba6[[#This Row],[Saldo inicial(vales)]]+TablaMarimba6[[#This Row],[Columna1]]</f>
        <v>0</v>
      </c>
      <c r="O433" s="6" t="str">
        <f t="shared" si="25"/>
        <v/>
      </c>
      <c r="P433" s="6"/>
      <c r="S433" s="6"/>
      <c r="T433" s="6"/>
      <c r="U433" s="6"/>
      <c r="V433" s="6"/>
      <c r="W433" s="6"/>
    </row>
    <row r="434" spans="2:23">
      <c r="B434" s="3" t="str">
        <f t="shared" si="26"/>
        <v/>
      </c>
      <c r="F434" s="2" t="e">
        <f>VLOOKUP(TablaMarimba6[[#This Row],[Equipo]],[1]Catalogos!$V$4:$W$55,2,FALSE)</f>
        <v>#N/A</v>
      </c>
      <c r="H434" s="5"/>
      <c r="L434" s="6"/>
      <c r="M434" s="6">
        <f>TablaMarimba6[[#This Row],[Saldo inicial(vales)]]</f>
        <v>0</v>
      </c>
      <c r="N434" s="6">
        <f>TablaMarimba6[[#This Row],[Saldo inicial(vales)]]+TablaMarimba6[[#This Row],[Columna1]]</f>
        <v>0</v>
      </c>
      <c r="O434" s="6" t="str">
        <f t="shared" si="25"/>
        <v/>
      </c>
      <c r="P434" s="6"/>
      <c r="S434" s="6"/>
      <c r="T434" s="6"/>
      <c r="U434" s="6"/>
      <c r="V434" s="6"/>
      <c r="W434" s="6"/>
    </row>
    <row r="435" spans="2:23">
      <c r="B435" s="3" t="str">
        <f t="shared" si="26"/>
        <v/>
      </c>
      <c r="F435" s="2" t="e">
        <f>VLOOKUP(TablaMarimba6[[#This Row],[Equipo]],[1]Catalogos!$V$4:$W$55,2,FALSE)</f>
        <v>#N/A</v>
      </c>
      <c r="H435" s="5"/>
      <c r="L435" s="6"/>
      <c r="M435" s="6">
        <f>TablaMarimba6[[#This Row],[Saldo inicial(vales)]]</f>
        <v>0</v>
      </c>
      <c r="N435" s="6">
        <f>TablaMarimba6[[#This Row],[Saldo inicial(vales)]]+TablaMarimba6[[#This Row],[Columna1]]</f>
        <v>0</v>
      </c>
      <c r="O435" s="6" t="str">
        <f t="shared" si="25"/>
        <v/>
      </c>
      <c r="P435" s="6"/>
      <c r="S435" s="6"/>
      <c r="T435" s="6"/>
      <c r="U435" s="6"/>
      <c r="V435" s="6"/>
      <c r="W435" s="6"/>
    </row>
    <row r="436" spans="2:23">
      <c r="B436" s="3" t="str">
        <f t="shared" si="26"/>
        <v/>
      </c>
      <c r="F436" s="2" t="e">
        <f>VLOOKUP(TablaMarimba6[[#This Row],[Equipo]],[1]Catalogos!$V$4:$W$55,2,FALSE)</f>
        <v>#N/A</v>
      </c>
      <c r="H436" s="5"/>
      <c r="L436" s="6"/>
      <c r="M436" s="6">
        <f>TablaMarimba6[[#This Row],[Saldo inicial(vales)]]</f>
        <v>0</v>
      </c>
      <c r="N436" s="6">
        <f>TablaMarimba6[[#This Row],[Saldo inicial(vales)]]+TablaMarimba6[[#This Row],[Columna1]]</f>
        <v>0</v>
      </c>
      <c r="O436" s="6" t="str">
        <f t="shared" si="25"/>
        <v/>
      </c>
      <c r="P436" s="6"/>
      <c r="S436" s="6"/>
      <c r="T436" s="6"/>
      <c r="U436" s="6"/>
      <c r="V436" s="6"/>
      <c r="W436" s="6"/>
    </row>
    <row r="437" spans="2:23">
      <c r="B437" s="3" t="str">
        <f t="shared" si="26"/>
        <v/>
      </c>
      <c r="F437" s="2" t="e">
        <f>VLOOKUP(TablaMarimba6[[#This Row],[Equipo]],[1]Catalogos!$V$4:$W$55,2,FALSE)</f>
        <v>#N/A</v>
      </c>
      <c r="H437" s="5"/>
      <c r="L437" s="6"/>
      <c r="M437" s="6">
        <f>TablaMarimba6[[#This Row],[Saldo inicial(vales)]]</f>
        <v>0</v>
      </c>
      <c r="N437" s="6">
        <f>TablaMarimba6[[#This Row],[Saldo inicial(vales)]]+TablaMarimba6[[#This Row],[Columna1]]</f>
        <v>0</v>
      </c>
      <c r="O437" s="6" t="str">
        <f t="shared" si="25"/>
        <v/>
      </c>
      <c r="P437" s="6"/>
      <c r="S437" s="6"/>
      <c r="T437" s="6"/>
      <c r="U437" s="6"/>
      <c r="V437" s="6"/>
      <c r="W437" s="6"/>
    </row>
    <row r="438" spans="2:23">
      <c r="B438" s="3" t="str">
        <f t="shared" si="26"/>
        <v/>
      </c>
      <c r="F438" s="2" t="e">
        <f>VLOOKUP(TablaMarimba6[[#This Row],[Equipo]],[1]Catalogos!$V$4:$W$55,2,FALSE)</f>
        <v>#N/A</v>
      </c>
      <c r="H438" s="5"/>
      <c r="L438" s="6"/>
      <c r="M438" s="6">
        <f>TablaMarimba6[[#This Row],[Saldo inicial(vales)]]</f>
        <v>0</v>
      </c>
      <c r="N438" s="6">
        <f>TablaMarimba6[[#This Row],[Saldo inicial(vales)]]+TablaMarimba6[[#This Row],[Columna1]]</f>
        <v>0</v>
      </c>
      <c r="O438" s="6" t="str">
        <f t="shared" si="25"/>
        <v/>
      </c>
      <c r="P438" s="6"/>
      <c r="S438" s="6"/>
      <c r="T438" s="6"/>
      <c r="U438" s="6"/>
      <c r="V438" s="6"/>
      <c r="W438" s="6"/>
    </row>
    <row r="439" spans="2:23">
      <c r="B439" s="3" t="str">
        <f t="shared" si="26"/>
        <v/>
      </c>
      <c r="F439" s="2" t="e">
        <f>VLOOKUP(TablaMarimba6[[#This Row],[Equipo]],[1]Catalogos!$V$4:$W$55,2,FALSE)</f>
        <v>#N/A</v>
      </c>
      <c r="H439" s="5"/>
      <c r="L439" s="6"/>
      <c r="M439" s="6">
        <f>TablaMarimba6[[#This Row],[Saldo inicial(vales)]]</f>
        <v>0</v>
      </c>
      <c r="N439" s="6">
        <f>TablaMarimba6[[#This Row],[Saldo inicial(vales)]]+TablaMarimba6[[#This Row],[Columna1]]</f>
        <v>0</v>
      </c>
      <c r="O439" s="6" t="str">
        <f t="shared" si="25"/>
        <v/>
      </c>
      <c r="P439" s="6"/>
      <c r="S439" s="6"/>
      <c r="T439" s="6"/>
      <c r="U439" s="6"/>
      <c r="V439" s="6"/>
      <c r="W439" s="6"/>
    </row>
    <row r="440" spans="2:23">
      <c r="B440" s="3" t="str">
        <f t="shared" si="26"/>
        <v/>
      </c>
      <c r="F440" s="2" t="e">
        <f>VLOOKUP(TablaMarimba6[[#This Row],[Equipo]],[1]Catalogos!$V$4:$W$55,2,FALSE)</f>
        <v>#N/A</v>
      </c>
      <c r="H440" s="5"/>
      <c r="L440" s="6"/>
      <c r="M440" s="6">
        <f>TablaMarimba6[[#This Row],[Saldo inicial(vales)]]</f>
        <v>0</v>
      </c>
      <c r="N440" s="6">
        <f>TablaMarimba6[[#This Row],[Saldo inicial(vales)]]+TablaMarimba6[[#This Row],[Columna1]]</f>
        <v>0</v>
      </c>
      <c r="O440" s="6" t="str">
        <f t="shared" si="25"/>
        <v/>
      </c>
      <c r="P440" s="6"/>
      <c r="S440" s="6"/>
      <c r="T440" s="6"/>
      <c r="U440" s="6"/>
      <c r="V440" s="6"/>
      <c r="W440" s="6"/>
    </row>
    <row r="441" spans="2:23">
      <c r="B441" s="3" t="str">
        <f t="shared" si="26"/>
        <v/>
      </c>
      <c r="F441" s="2" t="e">
        <f>VLOOKUP(TablaMarimba6[[#This Row],[Equipo]],[1]Catalogos!$V$4:$W$55,2,FALSE)</f>
        <v>#N/A</v>
      </c>
      <c r="H441" s="5"/>
      <c r="L441" s="6"/>
      <c r="M441" s="6">
        <f>TablaMarimba6[[#This Row],[Saldo inicial(vales)]]</f>
        <v>0</v>
      </c>
      <c r="N441" s="6">
        <f>TablaMarimba6[[#This Row],[Saldo inicial(vales)]]+TablaMarimba6[[#This Row],[Columna1]]</f>
        <v>0</v>
      </c>
      <c r="O441" s="6" t="str">
        <f t="shared" si="25"/>
        <v/>
      </c>
      <c r="P441" s="6"/>
      <c r="S441" s="6"/>
      <c r="T441" s="6"/>
      <c r="U441" s="6"/>
      <c r="V441" s="6"/>
      <c r="W441" s="6"/>
    </row>
    <row r="442" spans="2:23">
      <c r="B442" s="3" t="str">
        <f t="shared" si="26"/>
        <v/>
      </c>
      <c r="F442" s="2" t="e">
        <f>VLOOKUP(TablaMarimba6[[#This Row],[Equipo]],[1]Catalogos!$V$4:$W$55,2,FALSE)</f>
        <v>#N/A</v>
      </c>
      <c r="H442" s="5"/>
      <c r="L442" s="6"/>
      <c r="M442" s="6">
        <f>TablaMarimba6[[#This Row],[Saldo inicial(vales)]]</f>
        <v>0</v>
      </c>
      <c r="N442" s="6">
        <f>TablaMarimba6[[#This Row],[Saldo inicial(vales)]]+TablaMarimba6[[#This Row],[Columna1]]</f>
        <v>0</v>
      </c>
      <c r="O442" s="6" t="str">
        <f t="shared" si="25"/>
        <v/>
      </c>
      <c r="P442" s="6"/>
      <c r="S442" s="6"/>
      <c r="T442" s="6"/>
      <c r="U442" s="6"/>
      <c r="V442" s="6"/>
      <c r="W442" s="6"/>
    </row>
    <row r="443" spans="2:23">
      <c r="B443" s="3" t="str">
        <f t="shared" si="26"/>
        <v/>
      </c>
      <c r="F443" s="2" t="e">
        <f>VLOOKUP(TablaMarimba6[[#This Row],[Equipo]],[1]Catalogos!$V$4:$W$55,2,FALSE)</f>
        <v>#N/A</v>
      </c>
      <c r="H443" s="5"/>
      <c r="L443" s="6"/>
      <c r="M443" s="6">
        <f>TablaMarimba6[[#This Row],[Saldo inicial(vales)]]</f>
        <v>0</v>
      </c>
      <c r="N443" s="6">
        <f>TablaMarimba6[[#This Row],[Saldo inicial(vales)]]+TablaMarimba6[[#This Row],[Columna1]]</f>
        <v>0</v>
      </c>
      <c r="O443" s="6" t="str">
        <f t="shared" si="25"/>
        <v/>
      </c>
      <c r="P443" s="6"/>
      <c r="S443" s="6"/>
      <c r="T443" s="6"/>
      <c r="U443" s="6"/>
      <c r="V443" s="6"/>
      <c r="W443" s="6"/>
    </row>
    <row r="444" spans="2:23">
      <c r="B444" s="3" t="str">
        <f t="shared" si="26"/>
        <v/>
      </c>
      <c r="F444" s="2" t="e">
        <f>VLOOKUP(TablaMarimba6[[#This Row],[Equipo]],[1]Catalogos!$V$4:$W$55,2,FALSE)</f>
        <v>#N/A</v>
      </c>
      <c r="H444" s="5"/>
      <c r="L444" s="6"/>
      <c r="M444" s="6">
        <f>TablaMarimba6[[#This Row],[Saldo inicial(vales)]]</f>
        <v>0</v>
      </c>
      <c r="N444" s="6">
        <f>TablaMarimba6[[#This Row],[Saldo inicial(vales)]]+TablaMarimba6[[#This Row],[Columna1]]</f>
        <v>0</v>
      </c>
      <c r="O444" s="6" t="str">
        <f t="shared" si="25"/>
        <v/>
      </c>
      <c r="P444" s="6"/>
      <c r="S444" s="6"/>
      <c r="T444" s="6"/>
      <c r="U444" s="6"/>
      <c r="V444" s="6"/>
      <c r="W444" s="6"/>
    </row>
    <row r="445" spans="2:23">
      <c r="B445" s="3" t="str">
        <f t="shared" si="26"/>
        <v/>
      </c>
      <c r="F445" s="2" t="e">
        <f>VLOOKUP(TablaMarimba6[[#This Row],[Equipo]],[1]Catalogos!$V$4:$W$55,2,FALSE)</f>
        <v>#N/A</v>
      </c>
      <c r="H445" s="5"/>
      <c r="L445" s="6"/>
      <c r="M445" s="6">
        <f>TablaMarimba6[[#This Row],[Saldo inicial(vales)]]</f>
        <v>0</v>
      </c>
      <c r="N445" s="6">
        <f>TablaMarimba6[[#This Row],[Saldo inicial(vales)]]+TablaMarimba6[[#This Row],[Columna1]]</f>
        <v>0</v>
      </c>
      <c r="O445" s="6" t="str">
        <f t="shared" ref="O445:O508" si="27">IF(A445="","", WEEKNUM(A445, 2))</f>
        <v/>
      </c>
      <c r="P445" s="6"/>
      <c r="S445" s="6"/>
      <c r="T445" s="6"/>
      <c r="U445" s="6"/>
      <c r="V445" s="6"/>
      <c r="W445" s="6"/>
    </row>
    <row r="446" spans="2:23">
      <c r="B446" s="3" t="str">
        <f t="shared" si="26"/>
        <v/>
      </c>
      <c r="F446" s="2" t="e">
        <f>VLOOKUP(TablaMarimba6[[#This Row],[Equipo]],[1]Catalogos!$V$4:$W$55,2,FALSE)</f>
        <v>#N/A</v>
      </c>
      <c r="H446" s="5"/>
      <c r="L446" s="6"/>
      <c r="M446" s="6">
        <f>TablaMarimba6[[#This Row],[Saldo inicial(vales)]]</f>
        <v>0</v>
      </c>
      <c r="N446" s="6">
        <f>TablaMarimba6[[#This Row],[Saldo inicial(vales)]]+TablaMarimba6[[#This Row],[Columna1]]</f>
        <v>0</v>
      </c>
      <c r="O446" s="6" t="str">
        <f t="shared" si="27"/>
        <v/>
      </c>
      <c r="P446" s="6"/>
      <c r="S446" s="6"/>
      <c r="T446" s="6"/>
      <c r="U446" s="6"/>
      <c r="V446" s="6"/>
      <c r="W446" s="6"/>
    </row>
    <row r="447" spans="2:23">
      <c r="B447" s="3" t="str">
        <f t="shared" si="26"/>
        <v/>
      </c>
      <c r="F447" s="2" t="e">
        <f>VLOOKUP(TablaMarimba6[[#This Row],[Equipo]],[1]Catalogos!$V$4:$W$55,2,FALSE)</f>
        <v>#N/A</v>
      </c>
      <c r="H447" s="5"/>
      <c r="L447" s="6"/>
      <c r="M447" s="6">
        <f>TablaMarimba6[[#This Row],[Saldo inicial(vales)]]</f>
        <v>0</v>
      </c>
      <c r="N447" s="6">
        <f>TablaMarimba6[[#This Row],[Saldo inicial(vales)]]+TablaMarimba6[[#This Row],[Columna1]]</f>
        <v>0</v>
      </c>
      <c r="O447" s="6" t="str">
        <f t="shared" si="27"/>
        <v/>
      </c>
      <c r="P447" s="6"/>
      <c r="S447" s="6"/>
      <c r="T447" s="6"/>
      <c r="U447" s="6"/>
      <c r="V447" s="6"/>
      <c r="W447" s="6"/>
    </row>
    <row r="448" spans="2:23">
      <c r="B448" s="3" t="str">
        <f t="shared" si="26"/>
        <v/>
      </c>
      <c r="F448" s="2" t="e">
        <f>VLOOKUP(TablaMarimba6[[#This Row],[Equipo]],[1]Catalogos!$V$4:$W$55,2,FALSE)</f>
        <v>#N/A</v>
      </c>
      <c r="H448" s="5"/>
      <c r="L448" s="6"/>
      <c r="M448" s="6">
        <f>TablaMarimba6[[#This Row],[Saldo inicial(vales)]]</f>
        <v>0</v>
      </c>
      <c r="N448" s="6">
        <f>TablaMarimba6[[#This Row],[Saldo inicial(vales)]]+TablaMarimba6[[#This Row],[Columna1]]</f>
        <v>0</v>
      </c>
      <c r="O448" s="6" t="str">
        <f t="shared" si="27"/>
        <v/>
      </c>
      <c r="P448" s="6"/>
      <c r="S448" s="6"/>
      <c r="T448" s="6"/>
      <c r="U448" s="6"/>
      <c r="V448" s="6"/>
      <c r="W448" s="6"/>
    </row>
    <row r="449" spans="2:23">
      <c r="B449" s="3" t="str">
        <f t="shared" si="26"/>
        <v/>
      </c>
      <c r="F449" s="2" t="e">
        <f>VLOOKUP(TablaMarimba6[[#This Row],[Equipo]],[1]Catalogos!$V$4:$W$55,2,FALSE)</f>
        <v>#N/A</v>
      </c>
      <c r="H449" s="5"/>
      <c r="L449" s="6"/>
      <c r="M449" s="6">
        <f>TablaMarimba6[[#This Row],[Saldo inicial(vales)]]</f>
        <v>0</v>
      </c>
      <c r="N449" s="6">
        <f>TablaMarimba6[[#This Row],[Saldo inicial(vales)]]+TablaMarimba6[[#This Row],[Columna1]]</f>
        <v>0</v>
      </c>
      <c r="O449" s="6" t="str">
        <f t="shared" si="27"/>
        <v/>
      </c>
      <c r="P449" s="6"/>
      <c r="S449" s="6"/>
      <c r="T449" s="6"/>
      <c r="U449" s="6"/>
      <c r="V449" s="6"/>
      <c r="W449" s="6"/>
    </row>
    <row r="450" spans="2:23">
      <c r="B450" s="3" t="str">
        <f t="shared" ref="B450:B503" si="28">IF(A450="","", "Semana "&amp;WEEKNUM(A450,2))</f>
        <v/>
      </c>
      <c r="F450" s="2" t="e">
        <f>VLOOKUP(TablaMarimba6[[#This Row],[Equipo]],[1]Catalogos!$V$4:$W$55,2,FALSE)</f>
        <v>#N/A</v>
      </c>
      <c r="H450" s="5"/>
      <c r="L450" s="6"/>
      <c r="M450" s="6">
        <f>TablaMarimba6[[#This Row],[Saldo inicial(vales)]]</f>
        <v>0</v>
      </c>
      <c r="N450" s="6">
        <f>TablaMarimba6[[#This Row],[Saldo inicial(vales)]]+TablaMarimba6[[#This Row],[Columna1]]</f>
        <v>0</v>
      </c>
      <c r="O450" s="6" t="str">
        <f t="shared" si="27"/>
        <v/>
      </c>
      <c r="P450" s="6"/>
      <c r="S450" s="6"/>
      <c r="T450" s="6"/>
      <c r="U450" s="6"/>
      <c r="V450" s="6"/>
      <c r="W450" s="6"/>
    </row>
    <row r="451" spans="2:23">
      <c r="B451" s="3" t="str">
        <f t="shared" si="28"/>
        <v/>
      </c>
      <c r="F451" s="2" t="e">
        <f>VLOOKUP(TablaMarimba6[[#This Row],[Equipo]],[1]Catalogos!$V$4:$W$55,2,FALSE)</f>
        <v>#N/A</v>
      </c>
      <c r="H451" s="5"/>
      <c r="L451" s="6"/>
      <c r="M451" s="6">
        <f>TablaMarimba6[[#This Row],[Saldo inicial(vales)]]</f>
        <v>0</v>
      </c>
      <c r="N451" s="6">
        <f>TablaMarimba6[[#This Row],[Saldo inicial(vales)]]+TablaMarimba6[[#This Row],[Columna1]]</f>
        <v>0</v>
      </c>
      <c r="O451" s="6" t="str">
        <f t="shared" si="27"/>
        <v/>
      </c>
      <c r="P451" s="6"/>
      <c r="S451" s="6"/>
      <c r="T451" s="6"/>
      <c r="U451" s="6"/>
      <c r="V451" s="6"/>
      <c r="W451" s="6"/>
    </row>
    <row r="452" spans="2:23">
      <c r="B452" s="3" t="str">
        <f t="shared" si="28"/>
        <v/>
      </c>
      <c r="F452" s="2" t="e">
        <f>VLOOKUP(TablaMarimba6[[#This Row],[Equipo]],[1]Catalogos!$V$4:$W$55,2,FALSE)</f>
        <v>#N/A</v>
      </c>
      <c r="H452" s="5"/>
      <c r="L452" s="6"/>
      <c r="M452" s="6">
        <f>TablaMarimba6[[#This Row],[Saldo inicial(vales)]]</f>
        <v>0</v>
      </c>
      <c r="N452" s="6">
        <f>TablaMarimba6[[#This Row],[Saldo inicial(vales)]]+TablaMarimba6[[#This Row],[Columna1]]</f>
        <v>0</v>
      </c>
      <c r="O452" s="6" t="str">
        <f t="shared" si="27"/>
        <v/>
      </c>
      <c r="P452" s="6"/>
      <c r="S452" s="6"/>
      <c r="T452" s="6"/>
      <c r="U452" s="6"/>
      <c r="V452" s="6"/>
      <c r="W452" s="6"/>
    </row>
    <row r="453" spans="2:23">
      <c r="B453" s="3" t="str">
        <f t="shared" si="28"/>
        <v/>
      </c>
      <c r="F453" s="2" t="e">
        <f>VLOOKUP(TablaMarimba6[[#This Row],[Equipo]],[1]Catalogos!$V$4:$W$55,2,FALSE)</f>
        <v>#N/A</v>
      </c>
      <c r="H453" s="5"/>
      <c r="L453" s="6"/>
      <c r="M453" s="6">
        <f>TablaMarimba6[[#This Row],[Saldo inicial(vales)]]</f>
        <v>0</v>
      </c>
      <c r="N453" s="6">
        <f>TablaMarimba6[[#This Row],[Saldo inicial(vales)]]+TablaMarimba6[[#This Row],[Columna1]]</f>
        <v>0</v>
      </c>
      <c r="O453" s="6" t="str">
        <f t="shared" si="27"/>
        <v/>
      </c>
      <c r="P453" s="6"/>
      <c r="S453" s="6"/>
      <c r="T453" s="6"/>
      <c r="U453" s="6"/>
      <c r="V453" s="6"/>
      <c r="W453" s="6"/>
    </row>
    <row r="454" spans="2:23">
      <c r="B454" s="3" t="str">
        <f t="shared" si="28"/>
        <v/>
      </c>
      <c r="F454" s="2" t="e">
        <f>VLOOKUP(TablaMarimba6[[#This Row],[Equipo]],[1]Catalogos!$V$4:$W$55,2,FALSE)</f>
        <v>#N/A</v>
      </c>
      <c r="H454" s="5"/>
      <c r="L454" s="6"/>
      <c r="M454" s="6">
        <f>TablaMarimba6[[#This Row],[Saldo inicial(vales)]]</f>
        <v>0</v>
      </c>
      <c r="N454" s="6">
        <f>TablaMarimba6[[#This Row],[Saldo inicial(vales)]]+TablaMarimba6[[#This Row],[Columna1]]</f>
        <v>0</v>
      </c>
      <c r="O454" s="6" t="str">
        <f t="shared" si="27"/>
        <v/>
      </c>
      <c r="P454" s="6"/>
      <c r="S454" s="6"/>
      <c r="T454" s="6"/>
      <c r="U454" s="6"/>
      <c r="V454" s="6"/>
      <c r="W454" s="6"/>
    </row>
    <row r="455" spans="2:23">
      <c r="B455" s="3" t="str">
        <f t="shared" si="28"/>
        <v/>
      </c>
      <c r="F455" s="2" t="e">
        <f>VLOOKUP(TablaMarimba6[[#This Row],[Equipo]],[1]Catalogos!$V$4:$W$55,2,FALSE)</f>
        <v>#N/A</v>
      </c>
      <c r="H455" s="5"/>
      <c r="L455" s="6"/>
      <c r="M455" s="6">
        <f>TablaMarimba6[[#This Row],[Saldo inicial(vales)]]</f>
        <v>0</v>
      </c>
      <c r="N455" s="6">
        <f>TablaMarimba6[[#This Row],[Saldo inicial(vales)]]+TablaMarimba6[[#This Row],[Columna1]]</f>
        <v>0</v>
      </c>
      <c r="O455" s="6" t="str">
        <f t="shared" si="27"/>
        <v/>
      </c>
      <c r="P455" s="6"/>
      <c r="S455" s="6"/>
      <c r="T455" s="6"/>
      <c r="U455" s="6"/>
      <c r="V455" s="6"/>
      <c r="W455" s="6"/>
    </row>
    <row r="456" spans="2:23">
      <c r="B456" s="3" t="str">
        <f t="shared" si="28"/>
        <v/>
      </c>
      <c r="F456" s="2" t="e">
        <f>VLOOKUP(TablaMarimba6[[#This Row],[Equipo]],[1]Catalogos!$V$4:$W$55,2,FALSE)</f>
        <v>#N/A</v>
      </c>
      <c r="H456" s="5"/>
      <c r="L456" s="6"/>
      <c r="M456" s="6">
        <f>TablaMarimba6[[#This Row],[Saldo inicial(vales)]]</f>
        <v>0</v>
      </c>
      <c r="N456" s="6">
        <f>TablaMarimba6[[#This Row],[Saldo inicial(vales)]]+TablaMarimba6[[#This Row],[Columna1]]</f>
        <v>0</v>
      </c>
      <c r="O456" s="6" t="str">
        <f t="shared" si="27"/>
        <v/>
      </c>
      <c r="P456" s="6"/>
      <c r="S456" s="6"/>
      <c r="T456" s="6"/>
      <c r="U456" s="6"/>
      <c r="V456" s="6"/>
      <c r="W456" s="6"/>
    </row>
    <row r="457" spans="2:23">
      <c r="B457" s="3" t="str">
        <f t="shared" si="28"/>
        <v/>
      </c>
      <c r="F457" s="2" t="e">
        <f>VLOOKUP(TablaMarimba6[[#This Row],[Equipo]],[1]Catalogos!$V$4:$W$55,2,FALSE)</f>
        <v>#N/A</v>
      </c>
      <c r="H457" s="5"/>
      <c r="L457" s="6"/>
      <c r="M457" s="6">
        <f>TablaMarimba6[[#This Row],[Saldo inicial(vales)]]</f>
        <v>0</v>
      </c>
      <c r="N457" s="6">
        <f>TablaMarimba6[[#This Row],[Saldo inicial(vales)]]+TablaMarimba6[[#This Row],[Columna1]]</f>
        <v>0</v>
      </c>
      <c r="O457" s="6" t="str">
        <f t="shared" si="27"/>
        <v/>
      </c>
      <c r="P457" s="6"/>
      <c r="S457" s="6"/>
      <c r="T457" s="6"/>
      <c r="U457" s="6"/>
      <c r="V457" s="6"/>
      <c r="W457" s="6"/>
    </row>
    <row r="458" spans="2:23">
      <c r="B458" s="3" t="str">
        <f t="shared" si="28"/>
        <v/>
      </c>
      <c r="F458" s="2" t="e">
        <f>VLOOKUP(TablaMarimba6[[#This Row],[Equipo]],[1]Catalogos!$V$4:$W$55,2,FALSE)</f>
        <v>#N/A</v>
      </c>
      <c r="H458" s="5"/>
      <c r="L458" s="6"/>
      <c r="M458" s="6">
        <f>TablaMarimba6[[#This Row],[Saldo inicial(vales)]]</f>
        <v>0</v>
      </c>
      <c r="N458" s="6">
        <f>TablaMarimba6[[#This Row],[Saldo inicial(vales)]]+TablaMarimba6[[#This Row],[Columna1]]</f>
        <v>0</v>
      </c>
      <c r="O458" s="6" t="str">
        <f t="shared" si="27"/>
        <v/>
      </c>
      <c r="P458" s="6"/>
      <c r="S458" s="6"/>
      <c r="T458" s="6"/>
      <c r="U458" s="6"/>
      <c r="V458" s="6"/>
      <c r="W458" s="6"/>
    </row>
    <row r="459" spans="2:23">
      <c r="B459" s="3" t="str">
        <f t="shared" si="28"/>
        <v/>
      </c>
      <c r="F459" s="2" t="e">
        <f>VLOOKUP(TablaMarimba6[[#This Row],[Equipo]],[1]Catalogos!$V$4:$W$55,2,FALSE)</f>
        <v>#N/A</v>
      </c>
      <c r="H459" s="5"/>
      <c r="L459" s="6"/>
      <c r="M459" s="6">
        <f>TablaMarimba6[[#This Row],[Saldo inicial(vales)]]</f>
        <v>0</v>
      </c>
      <c r="N459" s="6">
        <f>TablaMarimba6[[#This Row],[Saldo inicial(vales)]]+TablaMarimba6[[#This Row],[Columna1]]</f>
        <v>0</v>
      </c>
      <c r="O459" s="6" t="str">
        <f t="shared" si="27"/>
        <v/>
      </c>
      <c r="P459" s="6"/>
      <c r="S459" s="6"/>
      <c r="T459" s="6"/>
      <c r="U459" s="6"/>
      <c r="V459" s="6"/>
      <c r="W459" s="6"/>
    </row>
    <row r="460" spans="2:23">
      <c r="B460" s="3" t="str">
        <f t="shared" si="28"/>
        <v/>
      </c>
      <c r="F460" s="2" t="e">
        <f>VLOOKUP(TablaMarimba6[[#This Row],[Equipo]],[1]Catalogos!$V$4:$W$55,2,FALSE)</f>
        <v>#N/A</v>
      </c>
      <c r="H460" s="5"/>
      <c r="L460" s="6"/>
      <c r="M460" s="6">
        <f>TablaMarimba6[[#This Row],[Saldo inicial(vales)]]</f>
        <v>0</v>
      </c>
      <c r="N460" s="6">
        <f>TablaMarimba6[[#This Row],[Saldo inicial(vales)]]+TablaMarimba6[[#This Row],[Columna1]]</f>
        <v>0</v>
      </c>
      <c r="O460" s="6" t="str">
        <f t="shared" si="27"/>
        <v/>
      </c>
      <c r="P460" s="6"/>
      <c r="S460" s="6"/>
      <c r="T460" s="6"/>
      <c r="U460" s="6"/>
      <c r="V460" s="6"/>
      <c r="W460" s="6"/>
    </row>
    <row r="461" spans="2:23">
      <c r="B461" s="3" t="str">
        <f t="shared" si="28"/>
        <v/>
      </c>
      <c r="F461" s="2" t="e">
        <f>VLOOKUP(TablaMarimba6[[#This Row],[Equipo]],[1]Catalogos!$V$4:$W$55,2,FALSE)</f>
        <v>#N/A</v>
      </c>
      <c r="H461" s="5"/>
      <c r="L461" s="6"/>
      <c r="M461" s="6">
        <f>TablaMarimba6[[#This Row],[Saldo inicial(vales)]]</f>
        <v>0</v>
      </c>
      <c r="N461" s="6">
        <f>TablaMarimba6[[#This Row],[Saldo inicial(vales)]]+TablaMarimba6[[#This Row],[Columna1]]</f>
        <v>0</v>
      </c>
      <c r="O461" s="6" t="str">
        <f t="shared" si="27"/>
        <v/>
      </c>
      <c r="P461" s="6"/>
      <c r="S461" s="6"/>
      <c r="T461" s="6"/>
      <c r="U461" s="6"/>
      <c r="V461" s="6"/>
      <c r="W461" s="6"/>
    </row>
    <row r="462" spans="2:23">
      <c r="B462" s="3" t="str">
        <f t="shared" si="28"/>
        <v/>
      </c>
      <c r="F462" s="2" t="e">
        <f>VLOOKUP(TablaMarimba6[[#This Row],[Equipo]],[1]Catalogos!$V$4:$W$55,2,FALSE)</f>
        <v>#N/A</v>
      </c>
      <c r="H462" s="5"/>
      <c r="L462" s="6"/>
      <c r="M462" s="6">
        <f>TablaMarimba6[[#This Row],[Saldo inicial(vales)]]</f>
        <v>0</v>
      </c>
      <c r="N462" s="6">
        <f>TablaMarimba6[[#This Row],[Saldo inicial(vales)]]+TablaMarimba6[[#This Row],[Columna1]]</f>
        <v>0</v>
      </c>
      <c r="O462" s="6" t="str">
        <f t="shared" si="27"/>
        <v/>
      </c>
      <c r="P462" s="6"/>
      <c r="S462" s="6"/>
      <c r="T462" s="6"/>
      <c r="U462" s="6"/>
      <c r="V462" s="6"/>
      <c r="W462" s="6"/>
    </row>
    <row r="463" spans="2:23">
      <c r="B463" s="3" t="str">
        <f t="shared" si="28"/>
        <v/>
      </c>
      <c r="F463" s="2" t="e">
        <f>VLOOKUP(TablaMarimba6[[#This Row],[Equipo]],[1]Catalogos!$V$4:$W$55,2,FALSE)</f>
        <v>#N/A</v>
      </c>
      <c r="H463" s="5"/>
      <c r="L463" s="6"/>
      <c r="M463" s="6">
        <f>TablaMarimba6[[#This Row],[Saldo inicial(vales)]]</f>
        <v>0</v>
      </c>
      <c r="N463" s="6">
        <f>TablaMarimba6[[#This Row],[Saldo inicial(vales)]]+TablaMarimba6[[#This Row],[Columna1]]</f>
        <v>0</v>
      </c>
      <c r="O463" s="6" t="str">
        <f t="shared" si="27"/>
        <v/>
      </c>
      <c r="P463" s="6"/>
      <c r="S463" s="6"/>
      <c r="T463" s="6"/>
      <c r="U463" s="6"/>
      <c r="V463" s="6"/>
      <c r="W463" s="6"/>
    </row>
    <row r="464" spans="2:23">
      <c r="B464" s="3" t="str">
        <f t="shared" si="28"/>
        <v/>
      </c>
      <c r="F464" s="2" t="e">
        <f>VLOOKUP(TablaMarimba6[[#This Row],[Equipo]],[1]Catalogos!$V$4:$W$55,2,FALSE)</f>
        <v>#N/A</v>
      </c>
      <c r="H464" s="5"/>
      <c r="L464" s="6"/>
      <c r="M464" s="6">
        <f>TablaMarimba6[[#This Row],[Saldo inicial(vales)]]</f>
        <v>0</v>
      </c>
      <c r="N464" s="6">
        <f>TablaMarimba6[[#This Row],[Saldo inicial(vales)]]+TablaMarimba6[[#This Row],[Columna1]]</f>
        <v>0</v>
      </c>
      <c r="O464" s="6" t="str">
        <f t="shared" si="27"/>
        <v/>
      </c>
      <c r="P464" s="6"/>
      <c r="S464" s="6"/>
      <c r="T464" s="6"/>
      <c r="U464" s="6"/>
      <c r="V464" s="6"/>
      <c r="W464" s="6"/>
    </row>
    <row r="465" spans="2:23">
      <c r="B465" s="3" t="str">
        <f t="shared" si="28"/>
        <v/>
      </c>
      <c r="F465" s="2" t="e">
        <f>VLOOKUP(TablaMarimba6[[#This Row],[Equipo]],[1]Catalogos!$V$4:$W$55,2,FALSE)</f>
        <v>#N/A</v>
      </c>
      <c r="H465" s="5"/>
      <c r="L465" s="6"/>
      <c r="M465" s="6">
        <f>TablaMarimba6[[#This Row],[Saldo inicial(vales)]]</f>
        <v>0</v>
      </c>
      <c r="N465" s="6">
        <f>TablaMarimba6[[#This Row],[Saldo inicial(vales)]]+TablaMarimba6[[#This Row],[Columna1]]</f>
        <v>0</v>
      </c>
      <c r="O465" s="6" t="str">
        <f t="shared" si="27"/>
        <v/>
      </c>
      <c r="P465" s="6"/>
      <c r="S465" s="6"/>
      <c r="T465" s="6"/>
      <c r="U465" s="6"/>
      <c r="V465" s="6"/>
      <c r="W465" s="6"/>
    </row>
    <row r="466" spans="2:23">
      <c r="B466" s="3" t="str">
        <f t="shared" si="28"/>
        <v/>
      </c>
      <c r="F466" s="2" t="e">
        <f>VLOOKUP(TablaMarimba6[[#This Row],[Equipo]],[1]Catalogos!$V$4:$W$55,2,FALSE)</f>
        <v>#N/A</v>
      </c>
      <c r="H466" s="5"/>
      <c r="L466" s="6"/>
      <c r="M466" s="6">
        <f>TablaMarimba6[[#This Row],[Saldo inicial(vales)]]</f>
        <v>0</v>
      </c>
      <c r="N466" s="6">
        <f>TablaMarimba6[[#This Row],[Saldo inicial(vales)]]+TablaMarimba6[[#This Row],[Columna1]]</f>
        <v>0</v>
      </c>
      <c r="O466" s="6" t="str">
        <f t="shared" si="27"/>
        <v/>
      </c>
      <c r="P466" s="6"/>
      <c r="S466" s="6"/>
      <c r="T466" s="6"/>
      <c r="U466" s="6"/>
      <c r="V466" s="6"/>
      <c r="W466" s="6"/>
    </row>
    <row r="467" spans="2:23">
      <c r="B467" s="3" t="str">
        <f t="shared" si="28"/>
        <v/>
      </c>
      <c r="F467" s="2" t="e">
        <f>VLOOKUP(TablaMarimba6[[#This Row],[Equipo]],[1]Catalogos!$V$4:$W$55,2,FALSE)</f>
        <v>#N/A</v>
      </c>
      <c r="H467" s="5"/>
      <c r="L467" s="6"/>
      <c r="M467" s="6">
        <f>TablaMarimba6[[#This Row],[Saldo inicial(vales)]]</f>
        <v>0</v>
      </c>
      <c r="N467" s="6">
        <f>TablaMarimba6[[#This Row],[Saldo inicial(vales)]]+TablaMarimba6[[#This Row],[Columna1]]</f>
        <v>0</v>
      </c>
      <c r="O467" s="6" t="str">
        <f t="shared" si="27"/>
        <v/>
      </c>
      <c r="P467" s="6"/>
      <c r="S467" s="6"/>
      <c r="T467" s="6"/>
      <c r="U467" s="6"/>
      <c r="V467" s="6"/>
      <c r="W467" s="6"/>
    </row>
    <row r="468" spans="2:23">
      <c r="B468" s="3" t="str">
        <f t="shared" si="28"/>
        <v/>
      </c>
      <c r="F468" s="2" t="e">
        <f>VLOOKUP(TablaMarimba6[[#This Row],[Equipo]],[1]Catalogos!$V$4:$W$55,2,FALSE)</f>
        <v>#N/A</v>
      </c>
      <c r="H468" s="5"/>
      <c r="L468" s="6"/>
      <c r="M468" s="6">
        <f>TablaMarimba6[[#This Row],[Saldo inicial(vales)]]</f>
        <v>0</v>
      </c>
      <c r="N468" s="6">
        <f>TablaMarimba6[[#This Row],[Saldo inicial(vales)]]+TablaMarimba6[[#This Row],[Columna1]]</f>
        <v>0</v>
      </c>
      <c r="O468" s="6" t="str">
        <f t="shared" si="27"/>
        <v/>
      </c>
      <c r="P468" s="6"/>
      <c r="S468" s="6"/>
      <c r="T468" s="6"/>
      <c r="U468" s="6"/>
      <c r="V468" s="6"/>
      <c r="W468" s="6"/>
    </row>
    <row r="469" spans="2:23">
      <c r="B469" s="3" t="str">
        <f t="shared" si="28"/>
        <v/>
      </c>
      <c r="F469" s="2" t="e">
        <f>VLOOKUP(TablaMarimba6[[#This Row],[Equipo]],[1]Catalogos!$V$4:$W$55,2,FALSE)</f>
        <v>#N/A</v>
      </c>
      <c r="H469" s="5"/>
      <c r="L469" s="6"/>
      <c r="M469" s="6">
        <f>TablaMarimba6[[#This Row],[Saldo inicial(vales)]]</f>
        <v>0</v>
      </c>
      <c r="N469" s="6">
        <f>TablaMarimba6[[#This Row],[Saldo inicial(vales)]]+TablaMarimba6[[#This Row],[Columna1]]</f>
        <v>0</v>
      </c>
      <c r="O469" s="6" t="str">
        <f t="shared" si="27"/>
        <v/>
      </c>
      <c r="P469" s="6"/>
      <c r="S469" s="6"/>
      <c r="T469" s="6"/>
      <c r="U469" s="6"/>
      <c r="V469" s="6"/>
      <c r="W469" s="6"/>
    </row>
    <row r="470" spans="2:23">
      <c r="B470" s="3" t="str">
        <f t="shared" si="28"/>
        <v/>
      </c>
      <c r="F470" s="2" t="e">
        <f>VLOOKUP(TablaMarimba6[[#This Row],[Equipo]],[1]Catalogos!$V$4:$W$55,2,FALSE)</f>
        <v>#N/A</v>
      </c>
      <c r="H470" s="5"/>
      <c r="L470" s="6"/>
      <c r="M470" s="6">
        <f>TablaMarimba6[[#This Row],[Saldo inicial(vales)]]</f>
        <v>0</v>
      </c>
      <c r="N470" s="6">
        <f>TablaMarimba6[[#This Row],[Saldo inicial(vales)]]+TablaMarimba6[[#This Row],[Columna1]]</f>
        <v>0</v>
      </c>
      <c r="O470" s="6" t="str">
        <f t="shared" si="27"/>
        <v/>
      </c>
      <c r="P470" s="6"/>
      <c r="S470" s="6"/>
      <c r="T470" s="6"/>
      <c r="U470" s="6"/>
      <c r="V470" s="6"/>
      <c r="W470" s="6"/>
    </row>
    <row r="471" spans="2:23">
      <c r="B471" s="3" t="str">
        <f t="shared" si="28"/>
        <v/>
      </c>
      <c r="F471" s="2" t="e">
        <f>VLOOKUP(TablaMarimba6[[#This Row],[Equipo]],[1]Catalogos!$V$4:$W$55,2,FALSE)</f>
        <v>#N/A</v>
      </c>
      <c r="H471" s="5"/>
      <c r="L471" s="6"/>
      <c r="M471" s="6">
        <f>TablaMarimba6[[#This Row],[Saldo inicial(vales)]]</f>
        <v>0</v>
      </c>
      <c r="N471" s="6">
        <f>TablaMarimba6[[#This Row],[Saldo inicial(vales)]]+TablaMarimba6[[#This Row],[Columna1]]</f>
        <v>0</v>
      </c>
      <c r="O471" s="6" t="str">
        <f t="shared" si="27"/>
        <v/>
      </c>
      <c r="P471" s="6"/>
      <c r="S471" s="6"/>
      <c r="T471" s="6"/>
      <c r="U471" s="6"/>
      <c r="V471" s="6"/>
      <c r="W471" s="6"/>
    </row>
    <row r="472" spans="2:23">
      <c r="B472" s="3" t="str">
        <f t="shared" si="28"/>
        <v/>
      </c>
      <c r="F472" s="2" t="e">
        <f>VLOOKUP(TablaMarimba6[[#This Row],[Equipo]],[1]Catalogos!$V$4:$W$55,2,FALSE)</f>
        <v>#N/A</v>
      </c>
      <c r="H472" s="5"/>
      <c r="L472" s="6"/>
      <c r="M472" s="6">
        <f>TablaMarimba6[[#This Row],[Saldo inicial(vales)]]</f>
        <v>0</v>
      </c>
      <c r="N472" s="6">
        <f>TablaMarimba6[[#This Row],[Saldo inicial(vales)]]+TablaMarimba6[[#This Row],[Columna1]]</f>
        <v>0</v>
      </c>
      <c r="O472" s="6" t="str">
        <f t="shared" si="27"/>
        <v/>
      </c>
      <c r="P472" s="6"/>
      <c r="S472" s="6"/>
      <c r="T472" s="6"/>
      <c r="U472" s="6"/>
      <c r="V472" s="6"/>
      <c r="W472" s="6"/>
    </row>
    <row r="473" spans="2:23">
      <c r="B473" s="3" t="str">
        <f t="shared" si="28"/>
        <v/>
      </c>
      <c r="F473" s="2" t="e">
        <f>VLOOKUP(TablaMarimba6[[#This Row],[Equipo]],[1]Catalogos!$V$4:$W$55,2,FALSE)</f>
        <v>#N/A</v>
      </c>
      <c r="H473" s="5"/>
      <c r="L473" s="6"/>
      <c r="M473" s="6">
        <f>TablaMarimba6[[#This Row],[Saldo inicial(vales)]]</f>
        <v>0</v>
      </c>
      <c r="N473" s="6">
        <f>TablaMarimba6[[#This Row],[Saldo inicial(vales)]]+TablaMarimba6[[#This Row],[Columna1]]</f>
        <v>0</v>
      </c>
      <c r="O473" s="6" t="str">
        <f t="shared" si="27"/>
        <v/>
      </c>
      <c r="P473" s="6"/>
      <c r="S473" s="6"/>
      <c r="T473" s="6"/>
      <c r="U473" s="6"/>
      <c r="V473" s="6"/>
      <c r="W473" s="6"/>
    </row>
    <row r="474" spans="2:23">
      <c r="B474" s="3" t="str">
        <f t="shared" si="28"/>
        <v/>
      </c>
      <c r="F474" s="2" t="e">
        <f>VLOOKUP(TablaMarimba6[[#This Row],[Equipo]],[1]Catalogos!$V$4:$W$55,2,FALSE)</f>
        <v>#N/A</v>
      </c>
      <c r="H474" s="5"/>
      <c r="L474" s="6"/>
      <c r="M474" s="6">
        <f>TablaMarimba6[[#This Row],[Saldo inicial(vales)]]</f>
        <v>0</v>
      </c>
      <c r="N474" s="6">
        <f>TablaMarimba6[[#This Row],[Saldo inicial(vales)]]+TablaMarimba6[[#This Row],[Columna1]]</f>
        <v>0</v>
      </c>
      <c r="O474" s="6" t="str">
        <f t="shared" si="27"/>
        <v/>
      </c>
      <c r="P474" s="6"/>
      <c r="S474" s="6"/>
      <c r="T474" s="6"/>
      <c r="U474" s="6"/>
      <c r="V474" s="6"/>
      <c r="W474" s="6"/>
    </row>
    <row r="475" spans="2:23">
      <c r="B475" s="3" t="str">
        <f t="shared" si="28"/>
        <v/>
      </c>
      <c r="F475" s="2" t="e">
        <f>VLOOKUP(TablaMarimba6[[#This Row],[Equipo]],[1]Catalogos!$V$4:$W$55,2,FALSE)</f>
        <v>#N/A</v>
      </c>
      <c r="H475" s="5"/>
      <c r="L475" s="6"/>
      <c r="M475" s="6">
        <f>TablaMarimba6[[#This Row],[Saldo inicial(vales)]]</f>
        <v>0</v>
      </c>
      <c r="N475" s="6">
        <f>TablaMarimba6[[#This Row],[Saldo inicial(vales)]]+TablaMarimba6[[#This Row],[Columna1]]</f>
        <v>0</v>
      </c>
      <c r="O475" s="6" t="str">
        <f t="shared" si="27"/>
        <v/>
      </c>
      <c r="P475" s="6"/>
      <c r="S475" s="6"/>
      <c r="T475" s="6"/>
      <c r="U475" s="6"/>
      <c r="V475" s="6"/>
      <c r="W475" s="6"/>
    </row>
    <row r="476" spans="2:23">
      <c r="B476" s="3" t="str">
        <f t="shared" si="28"/>
        <v/>
      </c>
      <c r="F476" s="2" t="e">
        <f>VLOOKUP(TablaMarimba6[[#This Row],[Equipo]],[1]Catalogos!$V$4:$W$55,2,FALSE)</f>
        <v>#N/A</v>
      </c>
      <c r="H476" s="5"/>
      <c r="L476" s="6"/>
      <c r="M476" s="6">
        <f>TablaMarimba6[[#This Row],[Saldo inicial(vales)]]</f>
        <v>0</v>
      </c>
      <c r="N476" s="6">
        <f>TablaMarimba6[[#This Row],[Saldo inicial(vales)]]+TablaMarimba6[[#This Row],[Columna1]]</f>
        <v>0</v>
      </c>
      <c r="O476" s="6" t="str">
        <f t="shared" si="27"/>
        <v/>
      </c>
      <c r="P476" s="6"/>
      <c r="S476" s="6"/>
      <c r="T476" s="6"/>
      <c r="U476" s="6"/>
      <c r="V476" s="6"/>
      <c r="W476" s="6"/>
    </row>
    <row r="477" spans="2:23">
      <c r="B477" s="3" t="str">
        <f t="shared" si="28"/>
        <v/>
      </c>
      <c r="F477" s="2" t="e">
        <f>VLOOKUP(TablaMarimba6[[#This Row],[Equipo]],[1]Catalogos!$V$4:$W$55,2,FALSE)</f>
        <v>#N/A</v>
      </c>
      <c r="H477" s="5"/>
      <c r="L477" s="6"/>
      <c r="M477" s="6">
        <f>TablaMarimba6[[#This Row],[Saldo inicial(vales)]]</f>
        <v>0</v>
      </c>
      <c r="N477" s="6">
        <f>TablaMarimba6[[#This Row],[Saldo inicial(vales)]]+TablaMarimba6[[#This Row],[Columna1]]</f>
        <v>0</v>
      </c>
      <c r="O477" s="6" t="str">
        <f t="shared" si="27"/>
        <v/>
      </c>
      <c r="P477" s="6"/>
      <c r="S477" s="6"/>
      <c r="T477" s="6"/>
      <c r="U477" s="6"/>
      <c r="V477" s="6"/>
      <c r="W477" s="6"/>
    </row>
    <row r="478" spans="2:23">
      <c r="B478" s="3" t="str">
        <f t="shared" si="28"/>
        <v/>
      </c>
      <c r="F478" s="2" t="e">
        <f>VLOOKUP(TablaMarimba6[[#This Row],[Equipo]],[1]Catalogos!$V$4:$W$55,2,FALSE)</f>
        <v>#N/A</v>
      </c>
      <c r="H478" s="5"/>
      <c r="L478" s="6"/>
      <c r="M478" s="6">
        <f>TablaMarimba6[[#This Row],[Saldo inicial(vales)]]</f>
        <v>0</v>
      </c>
      <c r="N478" s="6">
        <f>TablaMarimba6[[#This Row],[Saldo inicial(vales)]]+TablaMarimba6[[#This Row],[Columna1]]</f>
        <v>0</v>
      </c>
      <c r="O478" s="6" t="str">
        <f t="shared" si="27"/>
        <v/>
      </c>
      <c r="P478" s="6"/>
      <c r="S478" s="6"/>
      <c r="T478" s="6"/>
      <c r="U478" s="6"/>
      <c r="V478" s="6"/>
      <c r="W478" s="6"/>
    </row>
    <row r="479" spans="2:23">
      <c r="B479" s="3" t="str">
        <f t="shared" si="28"/>
        <v/>
      </c>
      <c r="F479" s="2" t="e">
        <f>VLOOKUP(TablaMarimba6[[#This Row],[Equipo]],[1]Catalogos!$V$4:$W$55,2,FALSE)</f>
        <v>#N/A</v>
      </c>
      <c r="H479" s="5"/>
      <c r="L479" s="6"/>
      <c r="M479" s="6">
        <f>TablaMarimba6[[#This Row],[Saldo inicial(vales)]]</f>
        <v>0</v>
      </c>
      <c r="N479" s="6">
        <f>TablaMarimba6[[#This Row],[Saldo inicial(vales)]]+TablaMarimba6[[#This Row],[Columna1]]</f>
        <v>0</v>
      </c>
      <c r="O479" s="6" t="str">
        <f t="shared" si="27"/>
        <v/>
      </c>
      <c r="P479" s="6"/>
      <c r="S479" s="6"/>
      <c r="T479" s="6"/>
      <c r="U479" s="6"/>
      <c r="V479" s="6"/>
      <c r="W479" s="6"/>
    </row>
    <row r="480" spans="2:23">
      <c r="B480" s="3" t="str">
        <f t="shared" si="28"/>
        <v/>
      </c>
      <c r="F480" s="2" t="e">
        <f>VLOOKUP(TablaMarimba6[[#This Row],[Equipo]],[1]Catalogos!$V$4:$W$55,2,FALSE)</f>
        <v>#N/A</v>
      </c>
      <c r="H480" s="5"/>
      <c r="L480" s="6"/>
      <c r="M480" s="6">
        <f>TablaMarimba6[[#This Row],[Saldo inicial(vales)]]</f>
        <v>0</v>
      </c>
      <c r="N480" s="6">
        <f>TablaMarimba6[[#This Row],[Saldo inicial(vales)]]+TablaMarimba6[[#This Row],[Columna1]]</f>
        <v>0</v>
      </c>
      <c r="O480" s="6" t="str">
        <f t="shared" si="27"/>
        <v/>
      </c>
      <c r="P480" s="6"/>
      <c r="S480" s="6"/>
      <c r="T480" s="6"/>
      <c r="U480" s="6"/>
      <c r="V480" s="6"/>
      <c r="W480" s="6"/>
    </row>
    <row r="481" spans="2:23">
      <c r="B481" s="3" t="str">
        <f t="shared" si="28"/>
        <v/>
      </c>
      <c r="F481" s="2" t="e">
        <f>VLOOKUP(TablaMarimba6[[#This Row],[Equipo]],[1]Catalogos!$V$4:$W$55,2,FALSE)</f>
        <v>#N/A</v>
      </c>
      <c r="H481" s="5"/>
      <c r="L481" s="6"/>
      <c r="M481" s="6">
        <f>TablaMarimba6[[#This Row],[Saldo inicial(vales)]]</f>
        <v>0</v>
      </c>
      <c r="N481" s="6">
        <f>TablaMarimba6[[#This Row],[Saldo inicial(vales)]]+TablaMarimba6[[#This Row],[Columna1]]</f>
        <v>0</v>
      </c>
      <c r="O481" s="6" t="str">
        <f t="shared" si="27"/>
        <v/>
      </c>
      <c r="P481" s="6"/>
      <c r="S481" s="6"/>
      <c r="T481" s="6"/>
      <c r="U481" s="6"/>
      <c r="V481" s="6"/>
      <c r="W481" s="6"/>
    </row>
    <row r="482" spans="2:23">
      <c r="B482" s="3" t="str">
        <f t="shared" si="28"/>
        <v/>
      </c>
      <c r="F482" s="2" t="e">
        <f>VLOOKUP(TablaMarimba6[[#This Row],[Equipo]],[1]Catalogos!$V$4:$W$55,2,FALSE)</f>
        <v>#N/A</v>
      </c>
      <c r="H482" s="5"/>
      <c r="L482" s="6"/>
      <c r="M482" s="6">
        <f>TablaMarimba6[[#This Row],[Saldo inicial(vales)]]</f>
        <v>0</v>
      </c>
      <c r="N482" s="6">
        <f>TablaMarimba6[[#This Row],[Saldo inicial(vales)]]+TablaMarimba6[[#This Row],[Columna1]]</f>
        <v>0</v>
      </c>
      <c r="O482" s="6" t="str">
        <f t="shared" si="27"/>
        <v/>
      </c>
      <c r="P482" s="6"/>
      <c r="S482" s="6"/>
      <c r="T482" s="6"/>
      <c r="U482" s="6"/>
      <c r="V482" s="6"/>
      <c r="W482" s="6"/>
    </row>
    <row r="483" spans="2:23">
      <c r="B483" s="3" t="str">
        <f t="shared" si="28"/>
        <v/>
      </c>
      <c r="F483" s="2" t="e">
        <f>VLOOKUP(TablaMarimba6[[#This Row],[Equipo]],[1]Catalogos!$V$4:$W$55,2,FALSE)</f>
        <v>#N/A</v>
      </c>
      <c r="H483" s="5"/>
      <c r="L483" s="6"/>
      <c r="M483" s="6">
        <f>TablaMarimba6[[#This Row],[Saldo inicial(vales)]]</f>
        <v>0</v>
      </c>
      <c r="N483" s="6">
        <f>TablaMarimba6[[#This Row],[Saldo inicial(vales)]]+TablaMarimba6[[#This Row],[Columna1]]</f>
        <v>0</v>
      </c>
      <c r="O483" s="6" t="str">
        <f t="shared" si="27"/>
        <v/>
      </c>
      <c r="P483" s="6"/>
      <c r="S483" s="6"/>
      <c r="T483" s="6"/>
      <c r="U483" s="6"/>
      <c r="V483" s="6"/>
      <c r="W483" s="6"/>
    </row>
    <row r="484" spans="2:23">
      <c r="B484" s="3" t="str">
        <f t="shared" si="28"/>
        <v/>
      </c>
      <c r="F484" s="2" t="e">
        <f>VLOOKUP(TablaMarimba6[[#This Row],[Equipo]],[1]Catalogos!$V$4:$W$55,2,FALSE)</f>
        <v>#N/A</v>
      </c>
      <c r="H484" s="5"/>
      <c r="L484" s="6"/>
      <c r="M484" s="6">
        <f>TablaMarimba6[[#This Row],[Saldo inicial(vales)]]</f>
        <v>0</v>
      </c>
      <c r="N484" s="6">
        <f>TablaMarimba6[[#This Row],[Saldo inicial(vales)]]+TablaMarimba6[[#This Row],[Columna1]]</f>
        <v>0</v>
      </c>
      <c r="O484" s="6" t="str">
        <f t="shared" si="27"/>
        <v/>
      </c>
      <c r="P484" s="6"/>
      <c r="S484" s="6"/>
      <c r="T484" s="6"/>
      <c r="U484" s="6"/>
      <c r="V484" s="6"/>
      <c r="W484" s="6"/>
    </row>
    <row r="485" spans="2:23">
      <c r="B485" s="3" t="str">
        <f t="shared" si="28"/>
        <v/>
      </c>
      <c r="F485" s="2" t="e">
        <f>VLOOKUP(TablaMarimba6[[#This Row],[Equipo]],[1]Catalogos!$V$4:$W$55,2,FALSE)</f>
        <v>#N/A</v>
      </c>
      <c r="H485" s="5"/>
      <c r="L485" s="6"/>
      <c r="M485" s="6">
        <f>TablaMarimba6[[#This Row],[Saldo inicial(vales)]]</f>
        <v>0</v>
      </c>
      <c r="N485" s="6">
        <f>TablaMarimba6[[#This Row],[Saldo inicial(vales)]]+TablaMarimba6[[#This Row],[Columna1]]</f>
        <v>0</v>
      </c>
      <c r="O485" s="6" t="str">
        <f t="shared" si="27"/>
        <v/>
      </c>
      <c r="P485" s="6"/>
      <c r="S485" s="6"/>
      <c r="T485" s="6"/>
      <c r="U485" s="6"/>
      <c r="V485" s="6"/>
      <c r="W485" s="6"/>
    </row>
    <row r="486" spans="2:23">
      <c r="B486" s="3" t="str">
        <f t="shared" si="28"/>
        <v/>
      </c>
      <c r="F486" s="2" t="e">
        <f>VLOOKUP(TablaMarimba6[[#This Row],[Equipo]],[1]Catalogos!$V$4:$W$55,2,FALSE)</f>
        <v>#N/A</v>
      </c>
      <c r="H486" s="5"/>
      <c r="L486" s="6"/>
      <c r="M486" s="6">
        <f>TablaMarimba6[[#This Row],[Saldo inicial(vales)]]</f>
        <v>0</v>
      </c>
      <c r="N486" s="6">
        <f>TablaMarimba6[[#This Row],[Saldo inicial(vales)]]+TablaMarimba6[[#This Row],[Columna1]]</f>
        <v>0</v>
      </c>
      <c r="O486" s="6" t="str">
        <f t="shared" si="27"/>
        <v/>
      </c>
      <c r="P486" s="6"/>
      <c r="S486" s="6"/>
      <c r="T486" s="6"/>
      <c r="U486" s="6"/>
      <c r="V486" s="6"/>
      <c r="W486" s="6"/>
    </row>
    <row r="487" spans="2:23">
      <c r="B487" s="3" t="str">
        <f t="shared" si="28"/>
        <v/>
      </c>
      <c r="F487" s="2" t="e">
        <f>VLOOKUP(TablaMarimba6[[#This Row],[Equipo]],[1]Catalogos!$V$4:$W$55,2,FALSE)</f>
        <v>#N/A</v>
      </c>
      <c r="H487" s="5"/>
      <c r="L487" s="6"/>
      <c r="M487" s="6">
        <f>TablaMarimba6[[#This Row],[Saldo inicial(vales)]]</f>
        <v>0</v>
      </c>
      <c r="N487" s="6">
        <f>TablaMarimba6[[#This Row],[Saldo inicial(vales)]]+TablaMarimba6[[#This Row],[Columna1]]</f>
        <v>0</v>
      </c>
      <c r="O487" s="6" t="str">
        <f t="shared" si="27"/>
        <v/>
      </c>
      <c r="P487" s="6"/>
      <c r="S487" s="6"/>
      <c r="T487" s="6"/>
      <c r="U487" s="6"/>
      <c r="V487" s="6"/>
      <c r="W487" s="6"/>
    </row>
    <row r="488" spans="2:23">
      <c r="B488" s="3" t="str">
        <f t="shared" si="28"/>
        <v/>
      </c>
      <c r="F488" s="2" t="e">
        <f>VLOOKUP(TablaMarimba6[[#This Row],[Equipo]],[1]Catalogos!$V$4:$W$55,2,FALSE)</f>
        <v>#N/A</v>
      </c>
      <c r="H488" s="5"/>
      <c r="L488" s="6"/>
      <c r="M488" s="6">
        <f>TablaMarimba6[[#This Row],[Saldo inicial(vales)]]</f>
        <v>0</v>
      </c>
      <c r="N488" s="6">
        <f>TablaMarimba6[[#This Row],[Saldo inicial(vales)]]+TablaMarimba6[[#This Row],[Columna1]]</f>
        <v>0</v>
      </c>
      <c r="O488" s="6" t="str">
        <f t="shared" si="27"/>
        <v/>
      </c>
      <c r="P488" s="6"/>
      <c r="S488" s="6"/>
      <c r="T488" s="6"/>
      <c r="U488" s="6"/>
      <c r="V488" s="6"/>
      <c r="W488" s="6"/>
    </row>
    <row r="489" spans="2:23">
      <c r="B489" s="3" t="str">
        <f t="shared" si="28"/>
        <v/>
      </c>
      <c r="F489" s="2" t="e">
        <f>VLOOKUP(TablaMarimba6[[#This Row],[Equipo]],[1]Catalogos!$V$4:$W$55,2,FALSE)</f>
        <v>#N/A</v>
      </c>
      <c r="H489" s="5"/>
      <c r="L489" s="6"/>
      <c r="M489" s="6">
        <f>TablaMarimba6[[#This Row],[Saldo inicial(vales)]]</f>
        <v>0</v>
      </c>
      <c r="N489" s="6">
        <f>TablaMarimba6[[#This Row],[Saldo inicial(vales)]]+TablaMarimba6[[#This Row],[Columna1]]</f>
        <v>0</v>
      </c>
      <c r="O489" s="6" t="str">
        <f t="shared" si="27"/>
        <v/>
      </c>
      <c r="P489" s="6"/>
      <c r="S489" s="6"/>
      <c r="T489" s="6"/>
      <c r="U489" s="6"/>
      <c r="V489" s="6"/>
      <c r="W489" s="6"/>
    </row>
    <row r="490" spans="2:23">
      <c r="B490" s="3" t="str">
        <f t="shared" si="28"/>
        <v/>
      </c>
      <c r="F490" s="2" t="e">
        <f>VLOOKUP(TablaMarimba6[[#This Row],[Equipo]],[1]Catalogos!$V$4:$W$55,2,FALSE)</f>
        <v>#N/A</v>
      </c>
      <c r="H490" s="5"/>
      <c r="L490" s="6"/>
      <c r="M490" s="6">
        <f>TablaMarimba6[[#This Row],[Saldo inicial(vales)]]</f>
        <v>0</v>
      </c>
      <c r="N490" s="6">
        <f>TablaMarimba6[[#This Row],[Saldo inicial(vales)]]+TablaMarimba6[[#This Row],[Columna1]]</f>
        <v>0</v>
      </c>
      <c r="O490" s="6" t="str">
        <f t="shared" si="27"/>
        <v/>
      </c>
      <c r="P490" s="6"/>
      <c r="S490" s="6"/>
      <c r="T490" s="6"/>
      <c r="U490" s="6"/>
      <c r="V490" s="6"/>
      <c r="W490" s="6"/>
    </row>
    <row r="491" spans="2:23">
      <c r="B491" s="3" t="str">
        <f t="shared" si="28"/>
        <v/>
      </c>
      <c r="F491" s="2" t="e">
        <f>VLOOKUP(TablaMarimba6[[#This Row],[Equipo]],[1]Catalogos!$V$4:$W$55,2,FALSE)</f>
        <v>#N/A</v>
      </c>
      <c r="H491" s="5"/>
      <c r="L491" s="6"/>
      <c r="M491" s="6">
        <f>TablaMarimba6[[#This Row],[Saldo inicial(vales)]]</f>
        <v>0</v>
      </c>
      <c r="N491" s="6">
        <f>TablaMarimba6[[#This Row],[Saldo inicial(vales)]]+TablaMarimba6[[#This Row],[Columna1]]</f>
        <v>0</v>
      </c>
      <c r="O491" s="6" t="str">
        <f t="shared" si="27"/>
        <v/>
      </c>
      <c r="P491" s="6"/>
      <c r="S491" s="6"/>
      <c r="T491" s="6"/>
      <c r="U491" s="6"/>
      <c r="V491" s="6"/>
      <c r="W491" s="6"/>
    </row>
    <row r="492" spans="2:23">
      <c r="B492" s="3" t="str">
        <f t="shared" si="28"/>
        <v/>
      </c>
      <c r="F492" s="2" t="e">
        <f>VLOOKUP(TablaMarimba6[[#This Row],[Equipo]],[1]Catalogos!$V$4:$W$55,2,FALSE)</f>
        <v>#N/A</v>
      </c>
      <c r="H492" s="5"/>
      <c r="L492" s="6"/>
      <c r="M492" s="6">
        <f>TablaMarimba6[[#This Row],[Saldo inicial(vales)]]</f>
        <v>0</v>
      </c>
      <c r="N492" s="6">
        <f>TablaMarimba6[[#This Row],[Saldo inicial(vales)]]+TablaMarimba6[[#This Row],[Columna1]]</f>
        <v>0</v>
      </c>
      <c r="O492" s="6" t="str">
        <f t="shared" si="27"/>
        <v/>
      </c>
      <c r="P492" s="6"/>
      <c r="S492" s="6"/>
      <c r="T492" s="6"/>
      <c r="U492" s="6"/>
      <c r="V492" s="6"/>
      <c r="W492" s="6"/>
    </row>
    <row r="493" spans="2:23">
      <c r="B493" s="3" t="str">
        <f t="shared" si="28"/>
        <v/>
      </c>
      <c r="F493" s="2" t="e">
        <f>VLOOKUP(TablaMarimba6[[#This Row],[Equipo]],[1]Catalogos!$V$4:$W$55,2,FALSE)</f>
        <v>#N/A</v>
      </c>
      <c r="H493" s="5"/>
      <c r="L493" s="6"/>
      <c r="M493" s="6">
        <f>TablaMarimba6[[#This Row],[Saldo inicial(vales)]]</f>
        <v>0</v>
      </c>
      <c r="N493" s="6">
        <f>TablaMarimba6[[#This Row],[Saldo inicial(vales)]]+TablaMarimba6[[#This Row],[Columna1]]</f>
        <v>0</v>
      </c>
      <c r="O493" s="6" t="str">
        <f t="shared" si="27"/>
        <v/>
      </c>
      <c r="P493" s="6"/>
      <c r="S493" s="6"/>
      <c r="T493" s="6"/>
      <c r="U493" s="6"/>
      <c r="V493" s="6"/>
      <c r="W493" s="6"/>
    </row>
    <row r="494" spans="2:23">
      <c r="B494" s="3" t="str">
        <f t="shared" si="28"/>
        <v/>
      </c>
      <c r="F494" s="2" t="e">
        <f>VLOOKUP(TablaMarimba6[[#This Row],[Equipo]],[1]Catalogos!$V$4:$W$55,2,FALSE)</f>
        <v>#N/A</v>
      </c>
      <c r="H494" s="5"/>
      <c r="L494" s="6"/>
      <c r="M494" s="6">
        <f>TablaMarimba6[[#This Row],[Saldo inicial(vales)]]</f>
        <v>0</v>
      </c>
      <c r="N494" s="6">
        <f>TablaMarimba6[[#This Row],[Saldo inicial(vales)]]+TablaMarimba6[[#This Row],[Columna1]]</f>
        <v>0</v>
      </c>
      <c r="O494" s="6" t="str">
        <f t="shared" si="27"/>
        <v/>
      </c>
      <c r="P494" s="6"/>
      <c r="S494" s="6"/>
      <c r="T494" s="6"/>
      <c r="U494" s="6"/>
      <c r="V494" s="6"/>
      <c r="W494" s="6"/>
    </row>
    <row r="495" spans="2:23">
      <c r="B495" s="3" t="str">
        <f t="shared" si="28"/>
        <v/>
      </c>
      <c r="F495" s="2" t="e">
        <f>VLOOKUP(TablaMarimba6[[#This Row],[Equipo]],[1]Catalogos!$V$4:$W$55,2,FALSE)</f>
        <v>#N/A</v>
      </c>
      <c r="H495" s="5"/>
      <c r="L495" s="6"/>
      <c r="M495" s="6">
        <f>TablaMarimba6[[#This Row],[Saldo inicial(vales)]]</f>
        <v>0</v>
      </c>
      <c r="N495" s="6">
        <f>TablaMarimba6[[#This Row],[Saldo inicial(vales)]]+TablaMarimba6[[#This Row],[Columna1]]</f>
        <v>0</v>
      </c>
      <c r="O495" s="6" t="str">
        <f t="shared" si="27"/>
        <v/>
      </c>
      <c r="P495" s="6"/>
      <c r="S495" s="6"/>
      <c r="T495" s="6"/>
      <c r="U495" s="6"/>
      <c r="V495" s="6"/>
      <c r="W495" s="6"/>
    </row>
    <row r="496" spans="2:23">
      <c r="B496" s="3" t="str">
        <f t="shared" si="28"/>
        <v/>
      </c>
      <c r="F496" s="2" t="e">
        <f>VLOOKUP(TablaMarimba6[[#This Row],[Equipo]],[1]Catalogos!$V$4:$W$55,2,FALSE)</f>
        <v>#N/A</v>
      </c>
      <c r="H496" s="5"/>
      <c r="L496" s="6"/>
      <c r="M496" s="6">
        <f>TablaMarimba6[[#This Row],[Saldo inicial(vales)]]</f>
        <v>0</v>
      </c>
      <c r="N496" s="6">
        <f>TablaMarimba6[[#This Row],[Saldo inicial(vales)]]+TablaMarimba6[[#This Row],[Columna1]]</f>
        <v>0</v>
      </c>
      <c r="O496" s="6" t="str">
        <f t="shared" si="27"/>
        <v/>
      </c>
      <c r="P496" s="6"/>
      <c r="S496" s="6"/>
      <c r="T496" s="6"/>
      <c r="U496" s="6"/>
      <c r="V496" s="6"/>
      <c r="W496" s="6"/>
    </row>
    <row r="497" spans="2:23">
      <c r="B497" s="3" t="str">
        <f t="shared" si="28"/>
        <v/>
      </c>
      <c r="F497" s="2" t="e">
        <f>VLOOKUP(TablaMarimba6[[#This Row],[Equipo]],[1]Catalogos!$V$4:$W$55,2,FALSE)</f>
        <v>#N/A</v>
      </c>
      <c r="H497" s="5"/>
      <c r="L497" s="6"/>
      <c r="M497" s="6">
        <f>TablaMarimba6[[#This Row],[Saldo inicial(vales)]]</f>
        <v>0</v>
      </c>
      <c r="N497" s="6">
        <f>TablaMarimba6[[#This Row],[Saldo inicial(vales)]]+TablaMarimba6[[#This Row],[Columna1]]</f>
        <v>0</v>
      </c>
      <c r="O497" s="6" t="str">
        <f t="shared" si="27"/>
        <v/>
      </c>
      <c r="P497" s="6"/>
      <c r="S497" s="6"/>
      <c r="T497" s="6"/>
      <c r="U497" s="6"/>
      <c r="V497" s="6"/>
      <c r="W497" s="6"/>
    </row>
    <row r="498" spans="2:23">
      <c r="B498" s="3" t="str">
        <f t="shared" si="28"/>
        <v/>
      </c>
      <c r="F498" s="2" t="e">
        <f>VLOOKUP(TablaMarimba6[[#This Row],[Equipo]],[1]Catalogos!$V$4:$W$55,2,FALSE)</f>
        <v>#N/A</v>
      </c>
      <c r="H498" s="5"/>
      <c r="L498" s="6"/>
      <c r="M498" s="6">
        <f>TablaMarimba6[[#This Row],[Saldo inicial(vales)]]</f>
        <v>0</v>
      </c>
      <c r="N498" s="6">
        <f>TablaMarimba6[[#This Row],[Saldo inicial(vales)]]+TablaMarimba6[[#This Row],[Columna1]]</f>
        <v>0</v>
      </c>
      <c r="O498" s="6" t="str">
        <f t="shared" si="27"/>
        <v/>
      </c>
      <c r="P498" s="6"/>
      <c r="S498" s="6"/>
      <c r="T498" s="6"/>
      <c r="U498" s="6"/>
      <c r="V498" s="6"/>
      <c r="W498" s="6"/>
    </row>
    <row r="499" spans="2:23">
      <c r="B499" s="3" t="str">
        <f t="shared" si="28"/>
        <v/>
      </c>
      <c r="F499" s="2" t="e">
        <f>VLOOKUP(TablaMarimba6[[#This Row],[Equipo]],[1]Catalogos!$V$4:$W$55,2,FALSE)</f>
        <v>#N/A</v>
      </c>
      <c r="H499" s="5"/>
      <c r="L499" s="6"/>
      <c r="M499" s="6">
        <f>TablaMarimba6[[#This Row],[Saldo inicial(vales)]]</f>
        <v>0</v>
      </c>
      <c r="N499" s="6">
        <f>TablaMarimba6[[#This Row],[Saldo inicial(vales)]]+TablaMarimba6[[#This Row],[Columna1]]</f>
        <v>0</v>
      </c>
      <c r="O499" s="6" t="str">
        <f t="shared" si="27"/>
        <v/>
      </c>
      <c r="P499" s="6"/>
      <c r="S499" s="6"/>
      <c r="T499" s="6"/>
      <c r="U499" s="6"/>
      <c r="V499" s="6"/>
      <c r="W499" s="6"/>
    </row>
    <row r="500" spans="2:23">
      <c r="B500" s="3" t="str">
        <f t="shared" si="28"/>
        <v/>
      </c>
      <c r="F500" s="2" t="e">
        <f>VLOOKUP(TablaMarimba6[[#This Row],[Equipo]],[1]Catalogos!$V$4:$W$55,2,FALSE)</f>
        <v>#N/A</v>
      </c>
      <c r="H500" s="5"/>
      <c r="L500" s="6"/>
      <c r="M500" s="6">
        <f>TablaMarimba6[[#This Row],[Saldo inicial(vales)]]</f>
        <v>0</v>
      </c>
      <c r="N500" s="6">
        <f>TablaMarimba6[[#This Row],[Saldo inicial(vales)]]+TablaMarimba6[[#This Row],[Columna1]]</f>
        <v>0</v>
      </c>
      <c r="O500" s="6" t="str">
        <f t="shared" si="27"/>
        <v/>
      </c>
      <c r="P500" s="6"/>
      <c r="S500" s="6"/>
      <c r="T500" s="6"/>
      <c r="U500" s="6"/>
      <c r="V500" s="6"/>
      <c r="W500" s="6"/>
    </row>
    <row r="501" spans="2:23">
      <c r="B501" s="3" t="str">
        <f t="shared" si="28"/>
        <v/>
      </c>
      <c r="F501" s="2" t="e">
        <f>VLOOKUP(TablaMarimba6[[#This Row],[Equipo]],[1]Catalogos!$V$4:$W$55,2,FALSE)</f>
        <v>#N/A</v>
      </c>
      <c r="H501" s="5"/>
      <c r="L501" s="6"/>
      <c r="M501" s="6">
        <f>TablaMarimba6[[#This Row],[Saldo inicial(vales)]]</f>
        <v>0</v>
      </c>
      <c r="N501" s="6">
        <f>TablaMarimba6[[#This Row],[Saldo inicial(vales)]]+TablaMarimba6[[#This Row],[Columna1]]</f>
        <v>0</v>
      </c>
      <c r="O501" s="6" t="str">
        <f t="shared" si="27"/>
        <v/>
      </c>
      <c r="P501" s="6"/>
      <c r="S501" s="6"/>
      <c r="T501" s="6"/>
      <c r="U501" s="6"/>
      <c r="V501" s="6"/>
      <c r="W501" s="6"/>
    </row>
    <row r="502" spans="2:23">
      <c r="B502" s="3" t="str">
        <f t="shared" si="28"/>
        <v/>
      </c>
      <c r="F502" s="2" t="e">
        <f>VLOOKUP(TablaMarimba6[[#This Row],[Equipo]],[1]Catalogos!$V$4:$W$55,2,FALSE)</f>
        <v>#N/A</v>
      </c>
      <c r="H502" s="5"/>
      <c r="L502" s="6"/>
      <c r="M502" s="6">
        <f>TablaMarimba6[[#This Row],[Saldo inicial(vales)]]</f>
        <v>0</v>
      </c>
      <c r="N502" s="6">
        <f>TablaMarimba6[[#This Row],[Saldo inicial(vales)]]+TablaMarimba6[[#This Row],[Columna1]]</f>
        <v>0</v>
      </c>
      <c r="O502" s="6" t="str">
        <f t="shared" si="27"/>
        <v/>
      </c>
      <c r="P502" s="6"/>
      <c r="S502" s="6"/>
      <c r="T502" s="6"/>
      <c r="U502" s="6"/>
      <c r="V502" s="6"/>
      <c r="W502" s="6"/>
    </row>
    <row r="503" spans="2:23">
      <c r="B503" s="3" t="str">
        <f t="shared" si="28"/>
        <v/>
      </c>
      <c r="F503" s="2" t="e">
        <f>VLOOKUP(TablaMarimba6[[#This Row],[Equipo]],[1]Catalogos!$V$4:$W$55,2,FALSE)</f>
        <v>#N/A</v>
      </c>
      <c r="H503" s="5"/>
      <c r="L503" s="6"/>
      <c r="M503" s="6">
        <f>TablaMarimba6[[#This Row],[Saldo inicial(vales)]]</f>
        <v>0</v>
      </c>
      <c r="N503" s="6">
        <f>TablaMarimba6[[#This Row],[Saldo inicial(vales)]]+TablaMarimba6[[#This Row],[Columna1]]</f>
        <v>0</v>
      </c>
      <c r="O503" s="6" t="str">
        <f t="shared" si="27"/>
        <v/>
      </c>
      <c r="P503" s="6"/>
      <c r="S503" s="6"/>
      <c r="T503" s="6"/>
      <c r="U503" s="6"/>
      <c r="V503" s="6"/>
      <c r="W503" s="6"/>
    </row>
    <row r="504" spans="2:23">
      <c r="O504" s="2" t="str">
        <f t="shared" si="27"/>
        <v/>
      </c>
    </row>
    <row r="505" spans="2:23">
      <c r="O505" s="2" t="str">
        <f t="shared" si="27"/>
        <v/>
      </c>
    </row>
    <row r="506" spans="2:23">
      <c r="O506" s="2" t="str">
        <f t="shared" si="27"/>
        <v/>
      </c>
    </row>
    <row r="507" spans="2:23">
      <c r="O507" s="2" t="str">
        <f t="shared" si="27"/>
        <v/>
      </c>
    </row>
    <row r="508" spans="2:23">
      <c r="O508" s="2" t="str">
        <f t="shared" si="27"/>
        <v/>
      </c>
    </row>
    <row r="509" spans="2:23">
      <c r="O509" s="2" t="str">
        <f t="shared" ref="O509:O572" si="29">IF(A509="","", WEEKNUM(A509, 2))</f>
        <v/>
      </c>
    </row>
    <row r="510" spans="2:23">
      <c r="O510" s="2" t="str">
        <f t="shared" si="29"/>
        <v/>
      </c>
    </row>
    <row r="511" spans="2:23">
      <c r="O511" s="2" t="str">
        <f t="shared" si="29"/>
        <v/>
      </c>
    </row>
    <row r="512" spans="2:23">
      <c r="O512" s="2" t="str">
        <f t="shared" si="29"/>
        <v/>
      </c>
    </row>
    <row r="513" spans="15:15">
      <c r="O513" s="2" t="str">
        <f t="shared" si="29"/>
        <v/>
      </c>
    </row>
    <row r="514" spans="15:15">
      <c r="O514" s="2" t="str">
        <f t="shared" si="29"/>
        <v/>
      </c>
    </row>
    <row r="515" spans="15:15">
      <c r="O515" s="2" t="str">
        <f t="shared" si="29"/>
        <v/>
      </c>
    </row>
    <row r="516" spans="15:15">
      <c r="O516" s="2" t="str">
        <f t="shared" si="29"/>
        <v/>
      </c>
    </row>
    <row r="517" spans="15:15">
      <c r="O517" s="2" t="str">
        <f t="shared" si="29"/>
        <v/>
      </c>
    </row>
    <row r="518" spans="15:15">
      <c r="O518" s="2" t="str">
        <f t="shared" si="29"/>
        <v/>
      </c>
    </row>
    <row r="519" spans="15:15">
      <c r="O519" s="2" t="str">
        <f t="shared" si="29"/>
        <v/>
      </c>
    </row>
    <row r="520" spans="15:15">
      <c r="O520" s="2" t="str">
        <f t="shared" si="29"/>
        <v/>
      </c>
    </row>
    <row r="521" spans="15:15">
      <c r="O521" s="2" t="str">
        <f t="shared" si="29"/>
        <v/>
      </c>
    </row>
    <row r="522" spans="15:15">
      <c r="O522" s="2" t="str">
        <f t="shared" si="29"/>
        <v/>
      </c>
    </row>
    <row r="523" spans="15:15">
      <c r="O523" s="2" t="str">
        <f t="shared" si="29"/>
        <v/>
      </c>
    </row>
    <row r="524" spans="15:15">
      <c r="O524" s="2" t="str">
        <f t="shared" si="29"/>
        <v/>
      </c>
    </row>
    <row r="525" spans="15:15">
      <c r="O525" s="2" t="str">
        <f t="shared" si="29"/>
        <v/>
      </c>
    </row>
    <row r="526" spans="15:15">
      <c r="O526" s="2" t="str">
        <f t="shared" si="29"/>
        <v/>
      </c>
    </row>
    <row r="527" spans="15:15">
      <c r="O527" s="2" t="str">
        <f t="shared" si="29"/>
        <v/>
      </c>
    </row>
    <row r="528" spans="15:15">
      <c r="O528" s="2" t="str">
        <f t="shared" si="29"/>
        <v/>
      </c>
    </row>
    <row r="529" spans="15:15">
      <c r="O529" s="2" t="str">
        <f t="shared" si="29"/>
        <v/>
      </c>
    </row>
    <row r="530" spans="15:15">
      <c r="O530" s="2" t="str">
        <f t="shared" si="29"/>
        <v/>
      </c>
    </row>
    <row r="531" spans="15:15">
      <c r="O531" s="2" t="str">
        <f t="shared" si="29"/>
        <v/>
      </c>
    </row>
    <row r="532" spans="15:15">
      <c r="O532" s="2" t="str">
        <f t="shared" si="29"/>
        <v/>
      </c>
    </row>
    <row r="533" spans="15:15">
      <c r="O533" s="2" t="str">
        <f t="shared" si="29"/>
        <v/>
      </c>
    </row>
    <row r="534" spans="15:15">
      <c r="O534" s="2" t="str">
        <f t="shared" si="29"/>
        <v/>
      </c>
    </row>
    <row r="535" spans="15:15">
      <c r="O535" s="2" t="str">
        <f t="shared" si="29"/>
        <v/>
      </c>
    </row>
    <row r="536" spans="15:15">
      <c r="O536" s="2" t="str">
        <f t="shared" si="29"/>
        <v/>
      </c>
    </row>
    <row r="537" spans="15:15">
      <c r="O537" s="2" t="str">
        <f t="shared" si="29"/>
        <v/>
      </c>
    </row>
    <row r="538" spans="15:15">
      <c r="O538" s="2" t="str">
        <f t="shared" si="29"/>
        <v/>
      </c>
    </row>
    <row r="539" spans="15:15">
      <c r="O539" s="2" t="str">
        <f t="shared" si="29"/>
        <v/>
      </c>
    </row>
    <row r="540" spans="15:15">
      <c r="O540" s="2" t="str">
        <f t="shared" si="29"/>
        <v/>
      </c>
    </row>
    <row r="541" spans="15:15">
      <c r="O541" s="2" t="str">
        <f t="shared" si="29"/>
        <v/>
      </c>
    </row>
    <row r="542" spans="15:15">
      <c r="O542" s="2" t="str">
        <f t="shared" si="29"/>
        <v/>
      </c>
    </row>
    <row r="543" spans="15:15">
      <c r="O543" s="2" t="str">
        <f t="shared" si="29"/>
        <v/>
      </c>
    </row>
    <row r="544" spans="15:15">
      <c r="O544" s="2" t="str">
        <f t="shared" si="29"/>
        <v/>
      </c>
    </row>
    <row r="545" spans="15:15">
      <c r="O545" s="2" t="str">
        <f t="shared" si="29"/>
        <v/>
      </c>
    </row>
    <row r="546" spans="15:15">
      <c r="O546" s="2" t="str">
        <f t="shared" si="29"/>
        <v/>
      </c>
    </row>
    <row r="547" spans="15:15">
      <c r="O547" s="2" t="str">
        <f t="shared" si="29"/>
        <v/>
      </c>
    </row>
    <row r="548" spans="15:15">
      <c r="O548" s="2" t="str">
        <f t="shared" si="29"/>
        <v/>
      </c>
    </row>
    <row r="549" spans="15:15">
      <c r="O549" s="2" t="str">
        <f t="shared" si="29"/>
        <v/>
      </c>
    </row>
    <row r="550" spans="15:15">
      <c r="O550" s="2" t="str">
        <f t="shared" si="29"/>
        <v/>
      </c>
    </row>
    <row r="551" spans="15:15">
      <c r="O551" s="2" t="str">
        <f t="shared" si="29"/>
        <v/>
      </c>
    </row>
    <row r="552" spans="15:15">
      <c r="O552" s="2" t="str">
        <f t="shared" si="29"/>
        <v/>
      </c>
    </row>
    <row r="553" spans="15:15">
      <c r="O553" s="2" t="str">
        <f t="shared" si="29"/>
        <v/>
      </c>
    </row>
    <row r="554" spans="15:15">
      <c r="O554" s="2" t="str">
        <f t="shared" si="29"/>
        <v/>
      </c>
    </row>
    <row r="555" spans="15:15">
      <c r="O555" s="2" t="str">
        <f t="shared" si="29"/>
        <v/>
      </c>
    </row>
    <row r="556" spans="15:15">
      <c r="O556" s="2" t="str">
        <f t="shared" si="29"/>
        <v/>
      </c>
    </row>
    <row r="557" spans="15:15">
      <c r="O557" s="2" t="str">
        <f t="shared" si="29"/>
        <v/>
      </c>
    </row>
    <row r="558" spans="15:15">
      <c r="O558" s="2" t="str">
        <f t="shared" si="29"/>
        <v/>
      </c>
    </row>
    <row r="559" spans="15:15">
      <c r="O559" s="2" t="str">
        <f t="shared" si="29"/>
        <v/>
      </c>
    </row>
    <row r="560" spans="15:15">
      <c r="O560" s="2" t="str">
        <f t="shared" si="29"/>
        <v/>
      </c>
    </row>
    <row r="561" spans="15:15">
      <c r="O561" s="2" t="str">
        <f t="shared" si="29"/>
        <v/>
      </c>
    </row>
    <row r="562" spans="15:15">
      <c r="O562" s="2" t="str">
        <f t="shared" si="29"/>
        <v/>
      </c>
    </row>
    <row r="563" spans="15:15">
      <c r="O563" s="2" t="str">
        <f t="shared" si="29"/>
        <v/>
      </c>
    </row>
    <row r="564" spans="15:15">
      <c r="O564" s="2" t="str">
        <f t="shared" si="29"/>
        <v/>
      </c>
    </row>
    <row r="565" spans="15:15">
      <c r="O565" s="2" t="str">
        <f t="shared" si="29"/>
        <v/>
      </c>
    </row>
    <row r="566" spans="15:15">
      <c r="O566" s="2" t="str">
        <f t="shared" si="29"/>
        <v/>
      </c>
    </row>
    <row r="567" spans="15:15">
      <c r="O567" s="2" t="str">
        <f t="shared" si="29"/>
        <v/>
      </c>
    </row>
    <row r="568" spans="15:15">
      <c r="O568" s="2" t="str">
        <f t="shared" si="29"/>
        <v/>
      </c>
    </row>
    <row r="569" spans="15:15">
      <c r="O569" s="2" t="str">
        <f t="shared" si="29"/>
        <v/>
      </c>
    </row>
    <row r="570" spans="15:15">
      <c r="O570" s="2" t="str">
        <f t="shared" si="29"/>
        <v/>
      </c>
    </row>
    <row r="571" spans="15:15">
      <c r="O571" s="2" t="str">
        <f t="shared" si="29"/>
        <v/>
      </c>
    </row>
    <row r="572" spans="15:15">
      <c r="O572" s="2" t="str">
        <f t="shared" si="29"/>
        <v/>
      </c>
    </row>
    <row r="573" spans="15:15">
      <c r="O573" s="2" t="str">
        <f t="shared" ref="O573:O636" si="30">IF(A573="","", WEEKNUM(A573, 2))</f>
        <v/>
      </c>
    </row>
    <row r="574" spans="15:15">
      <c r="O574" s="2" t="str">
        <f t="shared" si="30"/>
        <v/>
      </c>
    </row>
    <row r="575" spans="15:15">
      <c r="O575" s="2" t="str">
        <f t="shared" si="30"/>
        <v/>
      </c>
    </row>
    <row r="576" spans="15:15">
      <c r="O576" s="2" t="str">
        <f t="shared" si="30"/>
        <v/>
      </c>
    </row>
    <row r="577" spans="15:15">
      <c r="O577" s="2" t="str">
        <f t="shared" si="30"/>
        <v/>
      </c>
    </row>
    <row r="578" spans="15:15">
      <c r="O578" s="2" t="str">
        <f t="shared" si="30"/>
        <v/>
      </c>
    </row>
    <row r="579" spans="15:15">
      <c r="O579" s="2" t="str">
        <f t="shared" si="30"/>
        <v/>
      </c>
    </row>
    <row r="580" spans="15:15">
      <c r="O580" s="2" t="str">
        <f t="shared" si="30"/>
        <v/>
      </c>
    </row>
    <row r="581" spans="15:15">
      <c r="O581" s="2" t="str">
        <f t="shared" si="30"/>
        <v/>
      </c>
    </row>
    <row r="582" spans="15:15">
      <c r="O582" s="2" t="str">
        <f t="shared" si="30"/>
        <v/>
      </c>
    </row>
    <row r="583" spans="15:15">
      <c r="O583" s="2" t="str">
        <f t="shared" si="30"/>
        <v/>
      </c>
    </row>
    <row r="584" spans="15:15">
      <c r="O584" s="2" t="str">
        <f t="shared" si="30"/>
        <v/>
      </c>
    </row>
    <row r="585" spans="15:15">
      <c r="O585" s="2" t="str">
        <f t="shared" si="30"/>
        <v/>
      </c>
    </row>
    <row r="586" spans="15:15">
      <c r="O586" s="2" t="str">
        <f t="shared" si="30"/>
        <v/>
      </c>
    </row>
    <row r="587" spans="15:15">
      <c r="O587" s="2" t="str">
        <f t="shared" si="30"/>
        <v/>
      </c>
    </row>
    <row r="588" spans="15:15">
      <c r="O588" s="2" t="str">
        <f t="shared" si="30"/>
        <v/>
      </c>
    </row>
    <row r="589" spans="15:15">
      <c r="O589" s="2" t="str">
        <f t="shared" si="30"/>
        <v/>
      </c>
    </row>
    <row r="590" spans="15:15">
      <c r="O590" s="2" t="str">
        <f t="shared" si="30"/>
        <v/>
      </c>
    </row>
    <row r="591" spans="15:15">
      <c r="O591" s="2" t="str">
        <f t="shared" si="30"/>
        <v/>
      </c>
    </row>
    <row r="592" spans="15:15">
      <c r="O592" s="2" t="str">
        <f t="shared" si="30"/>
        <v/>
      </c>
    </row>
    <row r="593" spans="15:15">
      <c r="O593" s="2" t="str">
        <f t="shared" si="30"/>
        <v/>
      </c>
    </row>
    <row r="594" spans="15:15">
      <c r="O594" s="2" t="str">
        <f t="shared" si="30"/>
        <v/>
      </c>
    </row>
    <row r="595" spans="15:15">
      <c r="O595" s="2" t="str">
        <f t="shared" si="30"/>
        <v/>
      </c>
    </row>
    <row r="596" spans="15:15">
      <c r="O596" s="2" t="str">
        <f t="shared" si="30"/>
        <v/>
      </c>
    </row>
    <row r="597" spans="15:15">
      <c r="O597" s="2" t="str">
        <f t="shared" si="30"/>
        <v/>
      </c>
    </row>
    <row r="598" spans="15:15">
      <c r="O598" s="2" t="str">
        <f t="shared" si="30"/>
        <v/>
      </c>
    </row>
    <row r="599" spans="15:15">
      <c r="O599" s="2" t="str">
        <f t="shared" si="30"/>
        <v/>
      </c>
    </row>
    <row r="600" spans="15:15">
      <c r="O600" s="2" t="str">
        <f t="shared" si="30"/>
        <v/>
      </c>
    </row>
    <row r="601" spans="15:15">
      <c r="O601" s="2" t="str">
        <f t="shared" si="30"/>
        <v/>
      </c>
    </row>
    <row r="602" spans="15:15">
      <c r="O602" s="2" t="str">
        <f t="shared" si="30"/>
        <v/>
      </c>
    </row>
    <row r="603" spans="15:15">
      <c r="O603" s="2" t="str">
        <f t="shared" si="30"/>
        <v/>
      </c>
    </row>
    <row r="604" spans="15:15">
      <c r="O604" s="2" t="str">
        <f t="shared" si="30"/>
        <v/>
      </c>
    </row>
    <row r="605" spans="15:15">
      <c r="O605" s="2" t="str">
        <f t="shared" si="30"/>
        <v/>
      </c>
    </row>
    <row r="606" spans="15:15">
      <c r="O606" s="2" t="str">
        <f t="shared" si="30"/>
        <v/>
      </c>
    </row>
    <row r="607" spans="15:15">
      <c r="O607" s="2" t="str">
        <f t="shared" si="30"/>
        <v/>
      </c>
    </row>
    <row r="608" spans="15:15">
      <c r="O608" s="2" t="str">
        <f t="shared" si="30"/>
        <v/>
      </c>
    </row>
    <row r="609" spans="15:15">
      <c r="O609" s="2" t="str">
        <f t="shared" si="30"/>
        <v/>
      </c>
    </row>
    <row r="610" spans="15:15">
      <c r="O610" s="2" t="str">
        <f t="shared" si="30"/>
        <v/>
      </c>
    </row>
    <row r="611" spans="15:15">
      <c r="O611" s="2" t="str">
        <f t="shared" si="30"/>
        <v/>
      </c>
    </row>
    <row r="612" spans="15:15">
      <c r="O612" s="2" t="str">
        <f t="shared" si="30"/>
        <v/>
      </c>
    </row>
    <row r="613" spans="15:15">
      <c r="O613" s="2" t="str">
        <f t="shared" si="30"/>
        <v/>
      </c>
    </row>
    <row r="614" spans="15:15">
      <c r="O614" s="2" t="str">
        <f t="shared" si="30"/>
        <v/>
      </c>
    </row>
    <row r="615" spans="15:15">
      <c r="O615" s="2" t="str">
        <f t="shared" si="30"/>
        <v/>
      </c>
    </row>
    <row r="616" spans="15:15">
      <c r="O616" s="2" t="str">
        <f t="shared" si="30"/>
        <v/>
      </c>
    </row>
    <row r="617" spans="15:15">
      <c r="O617" s="2" t="str">
        <f t="shared" si="30"/>
        <v/>
      </c>
    </row>
    <row r="618" spans="15:15">
      <c r="O618" s="2" t="str">
        <f t="shared" si="30"/>
        <v/>
      </c>
    </row>
    <row r="619" spans="15:15">
      <c r="O619" s="2" t="str">
        <f t="shared" si="30"/>
        <v/>
      </c>
    </row>
    <row r="620" spans="15:15">
      <c r="O620" s="2" t="str">
        <f t="shared" si="30"/>
        <v/>
      </c>
    </row>
    <row r="621" spans="15:15">
      <c r="O621" s="2" t="str">
        <f t="shared" si="30"/>
        <v/>
      </c>
    </row>
    <row r="622" spans="15:15">
      <c r="O622" s="2" t="str">
        <f t="shared" si="30"/>
        <v/>
      </c>
    </row>
    <row r="623" spans="15:15">
      <c r="O623" s="2" t="str">
        <f t="shared" si="30"/>
        <v/>
      </c>
    </row>
    <row r="624" spans="15:15">
      <c r="O624" s="2" t="str">
        <f t="shared" si="30"/>
        <v/>
      </c>
    </row>
    <row r="625" spans="15:15">
      <c r="O625" s="2" t="str">
        <f t="shared" si="30"/>
        <v/>
      </c>
    </row>
    <row r="626" spans="15:15">
      <c r="O626" s="2" t="str">
        <f t="shared" si="30"/>
        <v/>
      </c>
    </row>
    <row r="627" spans="15:15">
      <c r="O627" s="2" t="str">
        <f t="shared" si="30"/>
        <v/>
      </c>
    </row>
    <row r="628" spans="15:15">
      <c r="O628" s="2" t="str">
        <f t="shared" si="30"/>
        <v/>
      </c>
    </row>
    <row r="629" spans="15:15">
      <c r="O629" s="2" t="str">
        <f t="shared" si="30"/>
        <v/>
      </c>
    </row>
    <row r="630" spans="15:15">
      <c r="O630" s="2" t="str">
        <f t="shared" si="30"/>
        <v/>
      </c>
    </row>
    <row r="631" spans="15:15">
      <c r="O631" s="2" t="str">
        <f t="shared" si="30"/>
        <v/>
      </c>
    </row>
    <row r="632" spans="15:15">
      <c r="O632" s="2" t="str">
        <f t="shared" si="30"/>
        <v/>
      </c>
    </row>
    <row r="633" spans="15:15">
      <c r="O633" s="2" t="str">
        <f t="shared" si="30"/>
        <v/>
      </c>
    </row>
    <row r="634" spans="15:15">
      <c r="O634" s="2" t="str">
        <f t="shared" si="30"/>
        <v/>
      </c>
    </row>
    <row r="635" spans="15:15">
      <c r="O635" s="2" t="str">
        <f t="shared" si="30"/>
        <v/>
      </c>
    </row>
    <row r="636" spans="15:15">
      <c r="O636" s="2" t="str">
        <f t="shared" si="30"/>
        <v/>
      </c>
    </row>
    <row r="637" spans="15:15">
      <c r="O637" s="2" t="str">
        <f t="shared" ref="O637:O700" si="31">IF(A637="","", WEEKNUM(A637, 2))</f>
        <v/>
      </c>
    </row>
    <row r="638" spans="15:15">
      <c r="O638" s="2" t="str">
        <f t="shared" si="31"/>
        <v/>
      </c>
    </row>
    <row r="639" spans="15:15">
      <c r="O639" s="2" t="str">
        <f t="shared" si="31"/>
        <v/>
      </c>
    </row>
    <row r="640" spans="15:15">
      <c r="O640" s="2" t="str">
        <f t="shared" si="31"/>
        <v/>
      </c>
    </row>
    <row r="641" spans="15:15">
      <c r="O641" s="2" t="str">
        <f t="shared" si="31"/>
        <v/>
      </c>
    </row>
    <row r="642" spans="15:15">
      <c r="O642" s="2" t="str">
        <f t="shared" si="31"/>
        <v/>
      </c>
    </row>
    <row r="643" spans="15:15">
      <c r="O643" s="2" t="str">
        <f t="shared" si="31"/>
        <v/>
      </c>
    </row>
    <row r="644" spans="15:15">
      <c r="O644" s="2" t="str">
        <f t="shared" si="31"/>
        <v/>
      </c>
    </row>
    <row r="645" spans="15:15">
      <c r="O645" s="2" t="str">
        <f t="shared" si="31"/>
        <v/>
      </c>
    </row>
    <row r="646" spans="15:15">
      <c r="O646" s="2" t="str">
        <f t="shared" si="31"/>
        <v/>
      </c>
    </row>
    <row r="647" spans="15:15">
      <c r="O647" s="2" t="str">
        <f t="shared" si="31"/>
        <v/>
      </c>
    </row>
    <row r="648" spans="15:15">
      <c r="O648" s="2" t="str">
        <f t="shared" si="31"/>
        <v/>
      </c>
    </row>
    <row r="649" spans="15:15">
      <c r="O649" s="2" t="str">
        <f t="shared" si="31"/>
        <v/>
      </c>
    </row>
    <row r="650" spans="15:15">
      <c r="O650" s="2" t="str">
        <f t="shared" si="31"/>
        <v/>
      </c>
    </row>
    <row r="651" spans="15:15">
      <c r="O651" s="2" t="str">
        <f t="shared" si="31"/>
        <v/>
      </c>
    </row>
    <row r="652" spans="15:15">
      <c r="O652" s="2" t="str">
        <f t="shared" si="31"/>
        <v/>
      </c>
    </row>
    <row r="653" spans="15:15">
      <c r="O653" s="2" t="str">
        <f t="shared" si="31"/>
        <v/>
      </c>
    </row>
    <row r="654" spans="15:15">
      <c r="O654" s="2" t="str">
        <f t="shared" si="31"/>
        <v/>
      </c>
    </row>
    <row r="655" spans="15:15">
      <c r="O655" s="2" t="str">
        <f t="shared" si="31"/>
        <v/>
      </c>
    </row>
    <row r="656" spans="15:15">
      <c r="O656" s="2" t="str">
        <f t="shared" si="31"/>
        <v/>
      </c>
    </row>
    <row r="657" spans="15:15">
      <c r="O657" s="2" t="str">
        <f t="shared" si="31"/>
        <v/>
      </c>
    </row>
    <row r="658" spans="15:15">
      <c r="O658" s="2" t="str">
        <f t="shared" si="31"/>
        <v/>
      </c>
    </row>
    <row r="659" spans="15:15">
      <c r="O659" s="2" t="str">
        <f t="shared" si="31"/>
        <v/>
      </c>
    </row>
    <row r="660" spans="15:15">
      <c r="O660" s="2" t="str">
        <f t="shared" si="31"/>
        <v/>
      </c>
    </row>
    <row r="661" spans="15:15">
      <c r="O661" s="2" t="str">
        <f t="shared" si="31"/>
        <v/>
      </c>
    </row>
    <row r="662" spans="15:15">
      <c r="O662" s="2" t="str">
        <f t="shared" si="31"/>
        <v/>
      </c>
    </row>
    <row r="663" spans="15:15">
      <c r="O663" s="2" t="str">
        <f t="shared" si="31"/>
        <v/>
      </c>
    </row>
    <row r="664" spans="15:15">
      <c r="O664" s="2" t="str">
        <f t="shared" si="31"/>
        <v/>
      </c>
    </row>
    <row r="665" spans="15:15">
      <c r="O665" s="2" t="str">
        <f t="shared" si="31"/>
        <v/>
      </c>
    </row>
    <row r="666" spans="15:15">
      <c r="O666" s="2" t="str">
        <f t="shared" si="31"/>
        <v/>
      </c>
    </row>
    <row r="667" spans="15:15">
      <c r="O667" s="2" t="str">
        <f t="shared" si="31"/>
        <v/>
      </c>
    </row>
    <row r="668" spans="15:15">
      <c r="O668" s="2" t="str">
        <f t="shared" si="31"/>
        <v/>
      </c>
    </row>
    <row r="669" spans="15:15">
      <c r="O669" s="2" t="str">
        <f t="shared" si="31"/>
        <v/>
      </c>
    </row>
    <row r="670" spans="15:15">
      <c r="O670" s="2" t="str">
        <f t="shared" si="31"/>
        <v/>
      </c>
    </row>
    <row r="671" spans="15:15">
      <c r="O671" s="2" t="str">
        <f t="shared" si="31"/>
        <v/>
      </c>
    </row>
    <row r="672" spans="15:15">
      <c r="O672" s="2" t="str">
        <f t="shared" si="31"/>
        <v/>
      </c>
    </row>
    <row r="673" spans="15:15">
      <c r="O673" s="2" t="str">
        <f t="shared" si="31"/>
        <v/>
      </c>
    </row>
    <row r="674" spans="15:15">
      <c r="O674" s="2" t="str">
        <f t="shared" si="31"/>
        <v/>
      </c>
    </row>
    <row r="675" spans="15:15">
      <c r="O675" s="2" t="str">
        <f t="shared" si="31"/>
        <v/>
      </c>
    </row>
    <row r="676" spans="15:15">
      <c r="O676" s="2" t="str">
        <f t="shared" si="31"/>
        <v/>
      </c>
    </row>
    <row r="677" spans="15:15">
      <c r="O677" s="2" t="str">
        <f t="shared" si="31"/>
        <v/>
      </c>
    </row>
    <row r="678" spans="15:15">
      <c r="O678" s="2" t="str">
        <f t="shared" si="31"/>
        <v/>
      </c>
    </row>
    <row r="679" spans="15:15">
      <c r="O679" s="2" t="str">
        <f t="shared" si="31"/>
        <v/>
      </c>
    </row>
    <row r="680" spans="15:15">
      <c r="O680" s="2" t="str">
        <f t="shared" si="31"/>
        <v/>
      </c>
    </row>
    <row r="681" spans="15:15">
      <c r="O681" s="2" t="str">
        <f t="shared" si="31"/>
        <v/>
      </c>
    </row>
    <row r="682" spans="15:15">
      <c r="O682" s="2" t="str">
        <f t="shared" si="31"/>
        <v/>
      </c>
    </row>
    <row r="683" spans="15:15">
      <c r="O683" s="2" t="str">
        <f t="shared" si="31"/>
        <v/>
      </c>
    </row>
    <row r="684" spans="15:15">
      <c r="O684" s="2" t="str">
        <f t="shared" si="31"/>
        <v/>
      </c>
    </row>
    <row r="685" spans="15:15">
      <c r="O685" s="2" t="str">
        <f t="shared" si="31"/>
        <v/>
      </c>
    </row>
    <row r="686" spans="15:15">
      <c r="O686" s="2" t="str">
        <f t="shared" si="31"/>
        <v/>
      </c>
    </row>
    <row r="687" spans="15:15">
      <c r="O687" s="2" t="str">
        <f t="shared" si="31"/>
        <v/>
      </c>
    </row>
    <row r="688" spans="15:15">
      <c r="O688" s="2" t="str">
        <f t="shared" si="31"/>
        <v/>
      </c>
    </row>
    <row r="689" spans="15:15">
      <c r="O689" s="2" t="str">
        <f t="shared" si="31"/>
        <v/>
      </c>
    </row>
    <row r="690" spans="15:15">
      <c r="O690" s="2" t="str">
        <f t="shared" si="31"/>
        <v/>
      </c>
    </row>
    <row r="691" spans="15:15">
      <c r="O691" s="2" t="str">
        <f t="shared" si="31"/>
        <v/>
      </c>
    </row>
    <row r="692" spans="15:15">
      <c r="O692" s="2" t="str">
        <f t="shared" si="31"/>
        <v/>
      </c>
    </row>
    <row r="693" spans="15:15">
      <c r="O693" s="2" t="str">
        <f t="shared" si="31"/>
        <v/>
      </c>
    </row>
    <row r="694" spans="15:15">
      <c r="O694" s="2" t="str">
        <f t="shared" si="31"/>
        <v/>
      </c>
    </row>
    <row r="695" spans="15:15">
      <c r="O695" s="2" t="str">
        <f t="shared" si="31"/>
        <v/>
      </c>
    </row>
    <row r="696" spans="15:15">
      <c r="O696" s="2" t="str">
        <f t="shared" si="31"/>
        <v/>
      </c>
    </row>
    <row r="697" spans="15:15">
      <c r="O697" s="2" t="str">
        <f t="shared" si="31"/>
        <v/>
      </c>
    </row>
    <row r="698" spans="15:15">
      <c r="O698" s="2" t="str">
        <f t="shared" si="31"/>
        <v/>
      </c>
    </row>
    <row r="699" spans="15:15">
      <c r="O699" s="2" t="str">
        <f t="shared" si="31"/>
        <v/>
      </c>
    </row>
    <row r="700" spans="15:15">
      <c r="O700" s="2" t="str">
        <f t="shared" si="31"/>
        <v/>
      </c>
    </row>
    <row r="701" spans="15:15">
      <c r="O701" s="2" t="str">
        <f t="shared" ref="O701:O764" si="32">IF(A701="","", WEEKNUM(A701, 2))</f>
        <v/>
      </c>
    </row>
    <row r="702" spans="15:15">
      <c r="O702" s="2" t="str">
        <f t="shared" si="32"/>
        <v/>
      </c>
    </row>
    <row r="703" spans="15:15">
      <c r="O703" s="2" t="str">
        <f t="shared" si="32"/>
        <v/>
      </c>
    </row>
    <row r="704" spans="15:15">
      <c r="O704" s="2" t="str">
        <f t="shared" si="32"/>
        <v/>
      </c>
    </row>
    <row r="705" spans="15:15">
      <c r="O705" s="2" t="str">
        <f t="shared" si="32"/>
        <v/>
      </c>
    </row>
    <row r="706" spans="15:15">
      <c r="O706" s="2" t="str">
        <f t="shared" si="32"/>
        <v/>
      </c>
    </row>
    <row r="707" spans="15:15">
      <c r="O707" s="2" t="str">
        <f t="shared" si="32"/>
        <v/>
      </c>
    </row>
    <row r="708" spans="15:15">
      <c r="O708" s="2" t="str">
        <f t="shared" si="32"/>
        <v/>
      </c>
    </row>
    <row r="709" spans="15:15">
      <c r="O709" s="2" t="str">
        <f t="shared" si="32"/>
        <v/>
      </c>
    </row>
    <row r="710" spans="15:15">
      <c r="O710" s="2" t="str">
        <f t="shared" si="32"/>
        <v/>
      </c>
    </row>
    <row r="711" spans="15:15">
      <c r="O711" s="2" t="str">
        <f t="shared" si="32"/>
        <v/>
      </c>
    </row>
    <row r="712" spans="15:15">
      <c r="O712" s="2" t="str">
        <f t="shared" si="32"/>
        <v/>
      </c>
    </row>
    <row r="713" spans="15:15">
      <c r="O713" s="2" t="str">
        <f t="shared" si="32"/>
        <v/>
      </c>
    </row>
    <row r="714" spans="15:15">
      <c r="O714" s="2" t="str">
        <f t="shared" si="32"/>
        <v/>
      </c>
    </row>
    <row r="715" spans="15:15">
      <c r="O715" s="2" t="str">
        <f t="shared" si="32"/>
        <v/>
      </c>
    </row>
    <row r="716" spans="15:15">
      <c r="O716" s="2" t="str">
        <f t="shared" si="32"/>
        <v/>
      </c>
    </row>
    <row r="717" spans="15:15">
      <c r="O717" s="2" t="str">
        <f t="shared" si="32"/>
        <v/>
      </c>
    </row>
    <row r="718" spans="15:15">
      <c r="O718" s="2" t="str">
        <f t="shared" si="32"/>
        <v/>
      </c>
    </row>
    <row r="719" spans="15:15">
      <c r="O719" s="2" t="str">
        <f t="shared" si="32"/>
        <v/>
      </c>
    </row>
    <row r="720" spans="15:15">
      <c r="O720" s="2" t="str">
        <f t="shared" si="32"/>
        <v/>
      </c>
    </row>
    <row r="721" spans="15:15">
      <c r="O721" s="2" t="str">
        <f t="shared" si="32"/>
        <v/>
      </c>
    </row>
    <row r="722" spans="15:15">
      <c r="O722" s="2" t="str">
        <f t="shared" si="32"/>
        <v/>
      </c>
    </row>
    <row r="723" spans="15:15">
      <c r="O723" s="2" t="str">
        <f t="shared" si="32"/>
        <v/>
      </c>
    </row>
    <row r="724" spans="15:15">
      <c r="O724" s="2" t="str">
        <f t="shared" si="32"/>
        <v/>
      </c>
    </row>
    <row r="725" spans="15:15">
      <c r="O725" s="2" t="str">
        <f t="shared" si="32"/>
        <v/>
      </c>
    </row>
    <row r="726" spans="15:15">
      <c r="O726" s="2" t="str">
        <f t="shared" si="32"/>
        <v/>
      </c>
    </row>
    <row r="727" spans="15:15">
      <c r="O727" s="2" t="str">
        <f t="shared" si="32"/>
        <v/>
      </c>
    </row>
    <row r="728" spans="15:15">
      <c r="O728" s="2" t="str">
        <f t="shared" si="32"/>
        <v/>
      </c>
    </row>
    <row r="729" spans="15:15">
      <c r="O729" s="2" t="str">
        <f t="shared" si="32"/>
        <v/>
      </c>
    </row>
    <row r="730" spans="15:15">
      <c r="O730" s="2" t="str">
        <f t="shared" si="32"/>
        <v/>
      </c>
    </row>
    <row r="731" spans="15:15">
      <c r="O731" s="2" t="str">
        <f t="shared" si="32"/>
        <v/>
      </c>
    </row>
    <row r="732" spans="15:15">
      <c r="O732" s="2" t="str">
        <f t="shared" si="32"/>
        <v/>
      </c>
    </row>
    <row r="733" spans="15:15">
      <c r="O733" s="2" t="str">
        <f t="shared" si="32"/>
        <v/>
      </c>
    </row>
    <row r="734" spans="15:15">
      <c r="O734" s="2" t="str">
        <f t="shared" si="32"/>
        <v/>
      </c>
    </row>
    <row r="735" spans="15:15">
      <c r="O735" s="2" t="str">
        <f t="shared" si="32"/>
        <v/>
      </c>
    </row>
    <row r="736" spans="15:15">
      <c r="O736" s="2" t="str">
        <f t="shared" si="32"/>
        <v/>
      </c>
    </row>
    <row r="737" spans="15:15">
      <c r="O737" s="2" t="str">
        <f t="shared" si="32"/>
        <v/>
      </c>
    </row>
    <row r="738" spans="15:15">
      <c r="O738" s="2" t="str">
        <f t="shared" si="32"/>
        <v/>
      </c>
    </row>
    <row r="739" spans="15:15">
      <c r="O739" s="2" t="str">
        <f t="shared" si="32"/>
        <v/>
      </c>
    </row>
    <row r="740" spans="15:15">
      <c r="O740" s="2" t="str">
        <f t="shared" si="32"/>
        <v/>
      </c>
    </row>
    <row r="741" spans="15:15">
      <c r="O741" s="2" t="str">
        <f t="shared" si="32"/>
        <v/>
      </c>
    </row>
    <row r="742" spans="15:15">
      <c r="O742" s="2" t="str">
        <f t="shared" si="32"/>
        <v/>
      </c>
    </row>
    <row r="743" spans="15:15">
      <c r="O743" s="2" t="str">
        <f t="shared" si="32"/>
        <v/>
      </c>
    </row>
    <row r="744" spans="15:15">
      <c r="O744" s="2" t="str">
        <f t="shared" si="32"/>
        <v/>
      </c>
    </row>
    <row r="745" spans="15:15">
      <c r="O745" s="2" t="str">
        <f t="shared" si="32"/>
        <v/>
      </c>
    </row>
    <row r="746" spans="15:15">
      <c r="O746" s="2" t="str">
        <f t="shared" si="32"/>
        <v/>
      </c>
    </row>
    <row r="747" spans="15:15">
      <c r="O747" s="2" t="str">
        <f t="shared" si="32"/>
        <v/>
      </c>
    </row>
    <row r="748" spans="15:15">
      <c r="O748" s="2" t="str">
        <f t="shared" si="32"/>
        <v/>
      </c>
    </row>
    <row r="749" spans="15:15">
      <c r="O749" s="2" t="str">
        <f t="shared" si="32"/>
        <v/>
      </c>
    </row>
    <row r="750" spans="15:15">
      <c r="O750" s="2" t="str">
        <f t="shared" si="32"/>
        <v/>
      </c>
    </row>
    <row r="751" spans="15:15">
      <c r="O751" s="2" t="str">
        <f t="shared" si="32"/>
        <v/>
      </c>
    </row>
    <row r="752" spans="15:15">
      <c r="O752" s="2" t="str">
        <f t="shared" si="32"/>
        <v/>
      </c>
    </row>
    <row r="753" spans="15:15">
      <c r="O753" s="2" t="str">
        <f t="shared" si="32"/>
        <v/>
      </c>
    </row>
    <row r="754" spans="15:15">
      <c r="O754" s="2" t="str">
        <f t="shared" si="32"/>
        <v/>
      </c>
    </row>
    <row r="755" spans="15:15">
      <c r="O755" s="2" t="str">
        <f t="shared" si="32"/>
        <v/>
      </c>
    </row>
    <row r="756" spans="15:15">
      <c r="O756" s="2" t="str">
        <f t="shared" si="32"/>
        <v/>
      </c>
    </row>
    <row r="757" spans="15:15">
      <c r="O757" s="2" t="str">
        <f t="shared" si="32"/>
        <v/>
      </c>
    </row>
    <row r="758" spans="15:15">
      <c r="O758" s="2" t="str">
        <f t="shared" si="32"/>
        <v/>
      </c>
    </row>
    <row r="759" spans="15:15">
      <c r="O759" s="2" t="str">
        <f t="shared" si="32"/>
        <v/>
      </c>
    </row>
    <row r="760" spans="15:15">
      <c r="O760" s="2" t="str">
        <f t="shared" si="32"/>
        <v/>
      </c>
    </row>
    <row r="761" spans="15:15">
      <c r="O761" s="2" t="str">
        <f t="shared" si="32"/>
        <v/>
      </c>
    </row>
    <row r="762" spans="15:15">
      <c r="O762" s="2" t="str">
        <f t="shared" si="32"/>
        <v/>
      </c>
    </row>
    <row r="763" spans="15:15">
      <c r="O763" s="2" t="str">
        <f t="shared" si="32"/>
        <v/>
      </c>
    </row>
    <row r="764" spans="15:15">
      <c r="O764" s="2" t="str">
        <f t="shared" si="32"/>
        <v/>
      </c>
    </row>
    <row r="765" spans="15:15">
      <c r="O765" s="2" t="str">
        <f t="shared" ref="O765:O828" si="33">IF(A765="","", WEEKNUM(A765, 2))</f>
        <v/>
      </c>
    </row>
    <row r="766" spans="15:15">
      <c r="O766" s="2" t="str">
        <f t="shared" si="33"/>
        <v/>
      </c>
    </row>
    <row r="767" spans="15:15">
      <c r="O767" s="2" t="str">
        <f t="shared" si="33"/>
        <v/>
      </c>
    </row>
    <row r="768" spans="15:15">
      <c r="O768" s="2" t="str">
        <f t="shared" si="33"/>
        <v/>
      </c>
    </row>
    <row r="769" spans="15:15">
      <c r="O769" s="2" t="str">
        <f t="shared" si="33"/>
        <v/>
      </c>
    </row>
    <row r="770" spans="15:15">
      <c r="O770" s="2" t="str">
        <f t="shared" si="33"/>
        <v/>
      </c>
    </row>
    <row r="771" spans="15:15">
      <c r="O771" s="2" t="str">
        <f t="shared" si="33"/>
        <v/>
      </c>
    </row>
    <row r="772" spans="15:15">
      <c r="O772" s="2" t="str">
        <f t="shared" si="33"/>
        <v/>
      </c>
    </row>
    <row r="773" spans="15:15">
      <c r="O773" s="2" t="str">
        <f t="shared" si="33"/>
        <v/>
      </c>
    </row>
    <row r="774" spans="15:15">
      <c r="O774" s="2" t="str">
        <f t="shared" si="33"/>
        <v/>
      </c>
    </row>
    <row r="775" spans="15:15">
      <c r="O775" s="2" t="str">
        <f t="shared" si="33"/>
        <v/>
      </c>
    </row>
    <row r="776" spans="15:15">
      <c r="O776" s="2" t="str">
        <f t="shared" si="33"/>
        <v/>
      </c>
    </row>
    <row r="777" spans="15:15">
      <c r="O777" s="2" t="str">
        <f t="shared" si="33"/>
        <v/>
      </c>
    </row>
    <row r="778" spans="15:15">
      <c r="O778" s="2" t="str">
        <f t="shared" si="33"/>
        <v/>
      </c>
    </row>
    <row r="779" spans="15:15">
      <c r="O779" s="2" t="str">
        <f t="shared" si="33"/>
        <v/>
      </c>
    </row>
    <row r="780" spans="15:15">
      <c r="O780" s="2" t="str">
        <f t="shared" si="33"/>
        <v/>
      </c>
    </row>
    <row r="781" spans="15:15">
      <c r="O781" s="2" t="str">
        <f t="shared" si="33"/>
        <v/>
      </c>
    </row>
    <row r="782" spans="15:15">
      <c r="O782" s="2" t="str">
        <f t="shared" si="33"/>
        <v/>
      </c>
    </row>
    <row r="783" spans="15:15">
      <c r="O783" s="2" t="str">
        <f t="shared" si="33"/>
        <v/>
      </c>
    </row>
    <row r="784" spans="15:15">
      <c r="O784" s="2" t="str">
        <f t="shared" si="33"/>
        <v/>
      </c>
    </row>
    <row r="785" spans="15:15">
      <c r="O785" s="2" t="str">
        <f t="shared" si="33"/>
        <v/>
      </c>
    </row>
    <row r="786" spans="15:15">
      <c r="O786" s="2" t="str">
        <f t="shared" si="33"/>
        <v/>
      </c>
    </row>
    <row r="787" spans="15:15">
      <c r="O787" s="2" t="str">
        <f t="shared" si="33"/>
        <v/>
      </c>
    </row>
    <row r="788" spans="15:15">
      <c r="O788" s="2" t="str">
        <f t="shared" si="33"/>
        <v/>
      </c>
    </row>
    <row r="789" spans="15:15">
      <c r="O789" s="2" t="str">
        <f t="shared" si="33"/>
        <v/>
      </c>
    </row>
    <row r="790" spans="15:15">
      <c r="O790" s="2" t="str">
        <f t="shared" si="33"/>
        <v/>
      </c>
    </row>
    <row r="791" spans="15:15">
      <c r="O791" s="2" t="str">
        <f t="shared" si="33"/>
        <v/>
      </c>
    </row>
    <row r="792" spans="15:15">
      <c r="O792" s="2" t="str">
        <f t="shared" si="33"/>
        <v/>
      </c>
    </row>
    <row r="793" spans="15:15">
      <c r="O793" s="2" t="str">
        <f t="shared" si="33"/>
        <v/>
      </c>
    </row>
    <row r="794" spans="15:15">
      <c r="O794" s="2" t="str">
        <f t="shared" si="33"/>
        <v/>
      </c>
    </row>
    <row r="795" spans="15:15">
      <c r="O795" s="2" t="str">
        <f t="shared" si="33"/>
        <v/>
      </c>
    </row>
    <row r="796" spans="15:15">
      <c r="O796" s="2" t="str">
        <f t="shared" si="33"/>
        <v/>
      </c>
    </row>
    <row r="797" spans="15:15">
      <c r="O797" s="2" t="str">
        <f t="shared" si="33"/>
        <v/>
      </c>
    </row>
    <row r="798" spans="15:15">
      <c r="O798" s="2" t="str">
        <f t="shared" si="33"/>
        <v/>
      </c>
    </row>
    <row r="799" spans="15:15">
      <c r="O799" s="2" t="str">
        <f t="shared" si="33"/>
        <v/>
      </c>
    </row>
    <row r="800" spans="15:15">
      <c r="O800" s="2" t="str">
        <f t="shared" si="33"/>
        <v/>
      </c>
    </row>
    <row r="801" spans="15:15">
      <c r="O801" s="2" t="str">
        <f t="shared" si="33"/>
        <v/>
      </c>
    </row>
    <row r="802" spans="15:15">
      <c r="O802" s="2" t="str">
        <f t="shared" si="33"/>
        <v/>
      </c>
    </row>
    <row r="803" spans="15:15">
      <c r="O803" s="2" t="str">
        <f t="shared" si="33"/>
        <v/>
      </c>
    </row>
    <row r="804" spans="15:15">
      <c r="O804" s="2" t="str">
        <f t="shared" si="33"/>
        <v/>
      </c>
    </row>
    <row r="805" spans="15:15">
      <c r="O805" s="2" t="str">
        <f t="shared" si="33"/>
        <v/>
      </c>
    </row>
    <row r="806" spans="15:15">
      <c r="O806" s="2" t="str">
        <f t="shared" si="33"/>
        <v/>
      </c>
    </row>
    <row r="807" spans="15:15">
      <c r="O807" s="2" t="str">
        <f t="shared" si="33"/>
        <v/>
      </c>
    </row>
    <row r="808" spans="15:15">
      <c r="O808" s="2" t="str">
        <f t="shared" si="33"/>
        <v/>
      </c>
    </row>
    <row r="809" spans="15:15">
      <c r="O809" s="2" t="str">
        <f t="shared" si="33"/>
        <v/>
      </c>
    </row>
    <row r="810" spans="15:15">
      <c r="O810" s="2" t="str">
        <f t="shared" si="33"/>
        <v/>
      </c>
    </row>
    <row r="811" spans="15:15">
      <c r="O811" s="2" t="str">
        <f t="shared" si="33"/>
        <v/>
      </c>
    </row>
    <row r="812" spans="15:15">
      <c r="O812" s="2" t="str">
        <f t="shared" si="33"/>
        <v/>
      </c>
    </row>
    <row r="813" spans="15:15">
      <c r="O813" s="2" t="str">
        <f t="shared" si="33"/>
        <v/>
      </c>
    </row>
    <row r="814" spans="15:15">
      <c r="O814" s="2" t="str">
        <f t="shared" si="33"/>
        <v/>
      </c>
    </row>
    <row r="815" spans="15:15">
      <c r="O815" s="2" t="str">
        <f t="shared" si="33"/>
        <v/>
      </c>
    </row>
    <row r="816" spans="15:15">
      <c r="O816" s="2" t="str">
        <f t="shared" si="33"/>
        <v/>
      </c>
    </row>
    <row r="817" spans="15:15">
      <c r="O817" s="2" t="str">
        <f t="shared" si="33"/>
        <v/>
      </c>
    </row>
    <row r="818" spans="15:15">
      <c r="O818" s="2" t="str">
        <f t="shared" si="33"/>
        <v/>
      </c>
    </row>
    <row r="819" spans="15:15">
      <c r="O819" s="2" t="str">
        <f t="shared" si="33"/>
        <v/>
      </c>
    </row>
    <row r="820" spans="15:15">
      <c r="O820" s="2" t="str">
        <f t="shared" si="33"/>
        <v/>
      </c>
    </row>
    <row r="821" spans="15:15">
      <c r="O821" s="2" t="str">
        <f t="shared" si="33"/>
        <v/>
      </c>
    </row>
    <row r="822" spans="15:15">
      <c r="O822" s="2" t="str">
        <f t="shared" si="33"/>
        <v/>
      </c>
    </row>
    <row r="823" spans="15:15">
      <c r="O823" s="2" t="str">
        <f t="shared" si="33"/>
        <v/>
      </c>
    </row>
    <row r="824" spans="15:15">
      <c r="O824" s="2" t="str">
        <f t="shared" si="33"/>
        <v/>
      </c>
    </row>
    <row r="825" spans="15:15">
      <c r="O825" s="2" t="str">
        <f t="shared" si="33"/>
        <v/>
      </c>
    </row>
    <row r="826" spans="15:15">
      <c r="O826" s="2" t="str">
        <f t="shared" si="33"/>
        <v/>
      </c>
    </row>
    <row r="827" spans="15:15">
      <c r="O827" s="2" t="str">
        <f t="shared" si="33"/>
        <v/>
      </c>
    </row>
    <row r="828" spans="15:15">
      <c r="O828" s="2" t="str">
        <f t="shared" si="33"/>
        <v/>
      </c>
    </row>
    <row r="829" spans="15:15">
      <c r="O829" s="2" t="str">
        <f t="shared" ref="O829:O892" si="34">IF(A829="","", WEEKNUM(A829, 2))</f>
        <v/>
      </c>
    </row>
    <row r="830" spans="15:15">
      <c r="O830" s="2" t="str">
        <f t="shared" si="34"/>
        <v/>
      </c>
    </row>
    <row r="831" spans="15:15">
      <c r="O831" s="2" t="str">
        <f t="shared" si="34"/>
        <v/>
      </c>
    </row>
    <row r="832" spans="15:15">
      <c r="O832" s="2" t="str">
        <f t="shared" si="34"/>
        <v/>
      </c>
    </row>
    <row r="833" spans="15:15">
      <c r="O833" s="2" t="str">
        <f t="shared" si="34"/>
        <v/>
      </c>
    </row>
    <row r="834" spans="15:15">
      <c r="O834" s="2" t="str">
        <f t="shared" si="34"/>
        <v/>
      </c>
    </row>
    <row r="835" spans="15:15">
      <c r="O835" s="2" t="str">
        <f t="shared" si="34"/>
        <v/>
      </c>
    </row>
    <row r="836" spans="15:15">
      <c r="O836" s="2" t="str">
        <f t="shared" si="34"/>
        <v/>
      </c>
    </row>
    <row r="837" spans="15:15">
      <c r="O837" s="2" t="str">
        <f t="shared" si="34"/>
        <v/>
      </c>
    </row>
    <row r="838" spans="15:15">
      <c r="O838" s="2" t="str">
        <f t="shared" si="34"/>
        <v/>
      </c>
    </row>
    <row r="839" spans="15:15">
      <c r="O839" s="2" t="str">
        <f t="shared" si="34"/>
        <v/>
      </c>
    </row>
    <row r="840" spans="15:15">
      <c r="O840" s="2" t="str">
        <f t="shared" si="34"/>
        <v/>
      </c>
    </row>
    <row r="841" spans="15:15">
      <c r="O841" s="2" t="str">
        <f t="shared" si="34"/>
        <v/>
      </c>
    </row>
    <row r="842" spans="15:15">
      <c r="O842" s="2" t="str">
        <f t="shared" si="34"/>
        <v/>
      </c>
    </row>
    <row r="843" spans="15:15">
      <c r="O843" s="2" t="str">
        <f t="shared" si="34"/>
        <v/>
      </c>
    </row>
    <row r="844" spans="15:15">
      <c r="O844" s="2" t="str">
        <f t="shared" si="34"/>
        <v/>
      </c>
    </row>
    <row r="845" spans="15:15">
      <c r="O845" s="2" t="str">
        <f t="shared" si="34"/>
        <v/>
      </c>
    </row>
    <row r="846" spans="15:15">
      <c r="O846" s="2" t="str">
        <f t="shared" si="34"/>
        <v/>
      </c>
    </row>
    <row r="847" spans="15:15">
      <c r="O847" s="2" t="str">
        <f t="shared" si="34"/>
        <v/>
      </c>
    </row>
    <row r="848" spans="15:15">
      <c r="O848" s="2" t="str">
        <f t="shared" si="34"/>
        <v/>
      </c>
    </row>
    <row r="849" spans="15:15">
      <c r="O849" s="2" t="str">
        <f t="shared" si="34"/>
        <v/>
      </c>
    </row>
    <row r="850" spans="15:15">
      <c r="O850" s="2" t="str">
        <f t="shared" si="34"/>
        <v/>
      </c>
    </row>
    <row r="851" spans="15:15">
      <c r="O851" s="2" t="str">
        <f t="shared" si="34"/>
        <v/>
      </c>
    </row>
    <row r="852" spans="15:15">
      <c r="O852" s="2" t="str">
        <f t="shared" si="34"/>
        <v/>
      </c>
    </row>
    <row r="853" spans="15:15">
      <c r="O853" s="2" t="str">
        <f t="shared" si="34"/>
        <v/>
      </c>
    </row>
    <row r="854" spans="15:15">
      <c r="O854" s="2" t="str">
        <f t="shared" si="34"/>
        <v/>
      </c>
    </row>
    <row r="855" spans="15:15">
      <c r="O855" s="2" t="str">
        <f t="shared" si="34"/>
        <v/>
      </c>
    </row>
    <row r="856" spans="15:15">
      <c r="O856" s="2" t="str">
        <f t="shared" si="34"/>
        <v/>
      </c>
    </row>
    <row r="857" spans="15:15">
      <c r="O857" s="2" t="str">
        <f t="shared" si="34"/>
        <v/>
      </c>
    </row>
    <row r="858" spans="15:15">
      <c r="O858" s="2" t="str">
        <f t="shared" si="34"/>
        <v/>
      </c>
    </row>
    <row r="859" spans="15:15">
      <c r="O859" s="2" t="str">
        <f t="shared" si="34"/>
        <v/>
      </c>
    </row>
    <row r="860" spans="15:15">
      <c r="O860" s="2" t="str">
        <f t="shared" si="34"/>
        <v/>
      </c>
    </row>
    <row r="861" spans="15:15">
      <c r="O861" s="2" t="str">
        <f t="shared" si="34"/>
        <v/>
      </c>
    </row>
    <row r="862" spans="15:15">
      <c r="O862" s="2" t="str">
        <f t="shared" si="34"/>
        <v/>
      </c>
    </row>
    <row r="863" spans="15:15">
      <c r="O863" s="2" t="str">
        <f t="shared" si="34"/>
        <v/>
      </c>
    </row>
    <row r="864" spans="15:15">
      <c r="O864" s="2" t="str">
        <f t="shared" si="34"/>
        <v/>
      </c>
    </row>
    <row r="865" spans="15:15">
      <c r="O865" s="2" t="str">
        <f t="shared" si="34"/>
        <v/>
      </c>
    </row>
    <row r="866" spans="15:15">
      <c r="O866" s="2" t="str">
        <f t="shared" si="34"/>
        <v/>
      </c>
    </row>
    <row r="867" spans="15:15">
      <c r="O867" s="2" t="str">
        <f t="shared" si="34"/>
        <v/>
      </c>
    </row>
    <row r="868" spans="15:15">
      <c r="O868" s="2" t="str">
        <f t="shared" si="34"/>
        <v/>
      </c>
    </row>
    <row r="869" spans="15:15">
      <c r="O869" s="2" t="str">
        <f t="shared" si="34"/>
        <v/>
      </c>
    </row>
    <row r="870" spans="15:15">
      <c r="O870" s="2" t="str">
        <f t="shared" si="34"/>
        <v/>
      </c>
    </row>
    <row r="871" spans="15:15">
      <c r="O871" s="2" t="str">
        <f t="shared" si="34"/>
        <v/>
      </c>
    </row>
    <row r="872" spans="15:15">
      <c r="O872" s="2" t="str">
        <f t="shared" si="34"/>
        <v/>
      </c>
    </row>
    <row r="873" spans="15:15">
      <c r="O873" s="2" t="str">
        <f t="shared" si="34"/>
        <v/>
      </c>
    </row>
    <row r="874" spans="15:15">
      <c r="O874" s="2" t="str">
        <f t="shared" si="34"/>
        <v/>
      </c>
    </row>
    <row r="875" spans="15:15">
      <c r="O875" s="2" t="str">
        <f t="shared" si="34"/>
        <v/>
      </c>
    </row>
    <row r="876" spans="15:15">
      <c r="O876" s="2" t="str">
        <f t="shared" si="34"/>
        <v/>
      </c>
    </row>
    <row r="877" spans="15:15">
      <c r="O877" s="2" t="str">
        <f t="shared" si="34"/>
        <v/>
      </c>
    </row>
    <row r="878" spans="15:15">
      <c r="O878" s="2" t="str">
        <f t="shared" si="34"/>
        <v/>
      </c>
    </row>
    <row r="879" spans="15:15">
      <c r="O879" s="2" t="str">
        <f t="shared" si="34"/>
        <v/>
      </c>
    </row>
    <row r="880" spans="15:15">
      <c r="O880" s="2" t="str">
        <f t="shared" si="34"/>
        <v/>
      </c>
    </row>
    <row r="881" spans="15:15">
      <c r="O881" s="2" t="str">
        <f t="shared" si="34"/>
        <v/>
      </c>
    </row>
    <row r="882" spans="15:15">
      <c r="O882" s="2" t="str">
        <f t="shared" si="34"/>
        <v/>
      </c>
    </row>
    <row r="883" spans="15:15">
      <c r="O883" s="2" t="str">
        <f t="shared" si="34"/>
        <v/>
      </c>
    </row>
    <row r="884" spans="15:15">
      <c r="O884" s="2" t="str">
        <f t="shared" si="34"/>
        <v/>
      </c>
    </row>
    <row r="885" spans="15:15">
      <c r="O885" s="2" t="str">
        <f t="shared" si="34"/>
        <v/>
      </c>
    </row>
    <row r="886" spans="15:15">
      <c r="O886" s="2" t="str">
        <f t="shared" si="34"/>
        <v/>
      </c>
    </row>
    <row r="887" spans="15:15">
      <c r="O887" s="2" t="str">
        <f t="shared" si="34"/>
        <v/>
      </c>
    </row>
    <row r="888" spans="15:15">
      <c r="O888" s="2" t="str">
        <f t="shared" si="34"/>
        <v/>
      </c>
    </row>
    <row r="889" spans="15:15">
      <c r="O889" s="2" t="str">
        <f t="shared" si="34"/>
        <v/>
      </c>
    </row>
    <row r="890" spans="15:15">
      <c r="O890" s="2" t="str">
        <f t="shared" si="34"/>
        <v/>
      </c>
    </row>
    <row r="891" spans="15:15">
      <c r="O891" s="2" t="str">
        <f t="shared" si="34"/>
        <v/>
      </c>
    </row>
    <row r="892" spans="15:15">
      <c r="O892" s="2" t="str">
        <f t="shared" si="34"/>
        <v/>
      </c>
    </row>
    <row r="893" spans="15:15">
      <c r="O893" s="2" t="str">
        <f t="shared" ref="O893:O956" si="35">IF(A893="","", WEEKNUM(A893, 2))</f>
        <v/>
      </c>
    </row>
    <row r="894" spans="15:15">
      <c r="O894" s="2" t="str">
        <f t="shared" si="35"/>
        <v/>
      </c>
    </row>
    <row r="895" spans="15:15">
      <c r="O895" s="2" t="str">
        <f t="shared" si="35"/>
        <v/>
      </c>
    </row>
    <row r="896" spans="15:15">
      <c r="O896" s="2" t="str">
        <f t="shared" si="35"/>
        <v/>
      </c>
    </row>
    <row r="897" spans="15:15">
      <c r="O897" s="2" t="str">
        <f t="shared" si="35"/>
        <v/>
      </c>
    </row>
    <row r="898" spans="15:15">
      <c r="O898" s="2" t="str">
        <f t="shared" si="35"/>
        <v/>
      </c>
    </row>
    <row r="899" spans="15:15">
      <c r="O899" s="2" t="str">
        <f t="shared" si="35"/>
        <v/>
      </c>
    </row>
    <row r="900" spans="15:15">
      <c r="O900" s="2" t="str">
        <f t="shared" si="35"/>
        <v/>
      </c>
    </row>
    <row r="901" spans="15:15">
      <c r="O901" s="2" t="str">
        <f t="shared" si="35"/>
        <v/>
      </c>
    </row>
    <row r="902" spans="15:15">
      <c r="O902" s="2" t="str">
        <f t="shared" si="35"/>
        <v/>
      </c>
    </row>
    <row r="903" spans="15:15">
      <c r="O903" s="2" t="str">
        <f t="shared" si="35"/>
        <v/>
      </c>
    </row>
    <row r="904" spans="15:15">
      <c r="O904" s="2" t="str">
        <f t="shared" si="35"/>
        <v/>
      </c>
    </row>
    <row r="905" spans="15:15">
      <c r="O905" s="2" t="str">
        <f t="shared" si="35"/>
        <v/>
      </c>
    </row>
    <row r="906" spans="15:15">
      <c r="O906" s="2" t="str">
        <f t="shared" si="35"/>
        <v/>
      </c>
    </row>
    <row r="907" spans="15:15">
      <c r="O907" s="2" t="str">
        <f t="shared" si="35"/>
        <v/>
      </c>
    </row>
    <row r="908" spans="15:15">
      <c r="O908" s="2" t="str">
        <f t="shared" si="35"/>
        <v/>
      </c>
    </row>
    <row r="909" spans="15:15">
      <c r="O909" s="2" t="str">
        <f t="shared" si="35"/>
        <v/>
      </c>
    </row>
    <row r="910" spans="15:15">
      <c r="O910" s="2" t="str">
        <f t="shared" si="35"/>
        <v/>
      </c>
    </row>
    <row r="911" spans="15:15">
      <c r="O911" s="2" t="str">
        <f t="shared" si="35"/>
        <v/>
      </c>
    </row>
    <row r="912" spans="15:15">
      <c r="O912" s="2" t="str">
        <f t="shared" si="35"/>
        <v/>
      </c>
    </row>
    <row r="913" spans="15:15">
      <c r="O913" s="2" t="str">
        <f t="shared" si="35"/>
        <v/>
      </c>
    </row>
    <row r="914" spans="15:15">
      <c r="O914" s="2" t="str">
        <f t="shared" si="35"/>
        <v/>
      </c>
    </row>
    <row r="915" spans="15:15">
      <c r="O915" s="2" t="str">
        <f t="shared" si="35"/>
        <v/>
      </c>
    </row>
    <row r="916" spans="15:15">
      <c r="O916" s="2" t="str">
        <f t="shared" si="35"/>
        <v/>
      </c>
    </row>
    <row r="917" spans="15:15">
      <c r="O917" s="2" t="str">
        <f t="shared" si="35"/>
        <v/>
      </c>
    </row>
    <row r="918" spans="15:15">
      <c r="O918" s="2" t="str">
        <f t="shared" si="35"/>
        <v/>
      </c>
    </row>
    <row r="919" spans="15:15">
      <c r="O919" s="2" t="str">
        <f t="shared" si="35"/>
        <v/>
      </c>
    </row>
    <row r="920" spans="15:15">
      <c r="O920" s="2" t="str">
        <f t="shared" si="35"/>
        <v/>
      </c>
    </row>
    <row r="921" spans="15:15">
      <c r="O921" s="2" t="str">
        <f t="shared" si="35"/>
        <v/>
      </c>
    </row>
    <row r="922" spans="15:15">
      <c r="O922" s="2" t="str">
        <f t="shared" si="35"/>
        <v/>
      </c>
    </row>
    <row r="923" spans="15:15">
      <c r="O923" s="2" t="str">
        <f t="shared" si="35"/>
        <v/>
      </c>
    </row>
    <row r="924" spans="15:15">
      <c r="O924" s="2" t="str">
        <f t="shared" si="35"/>
        <v/>
      </c>
    </row>
    <row r="925" spans="15:15">
      <c r="O925" s="2" t="str">
        <f t="shared" si="35"/>
        <v/>
      </c>
    </row>
    <row r="926" spans="15:15">
      <c r="O926" s="2" t="str">
        <f t="shared" si="35"/>
        <v/>
      </c>
    </row>
    <row r="927" spans="15:15">
      <c r="O927" s="2" t="str">
        <f t="shared" si="35"/>
        <v/>
      </c>
    </row>
    <row r="928" spans="15:15">
      <c r="O928" s="2" t="str">
        <f t="shared" si="35"/>
        <v/>
      </c>
    </row>
    <row r="929" spans="15:15">
      <c r="O929" s="2" t="str">
        <f t="shared" si="35"/>
        <v/>
      </c>
    </row>
    <row r="930" spans="15:15">
      <c r="O930" s="2" t="str">
        <f t="shared" si="35"/>
        <v/>
      </c>
    </row>
    <row r="931" spans="15:15">
      <c r="O931" s="2" t="str">
        <f t="shared" si="35"/>
        <v/>
      </c>
    </row>
    <row r="932" spans="15:15">
      <c r="O932" s="2" t="str">
        <f t="shared" si="35"/>
        <v/>
      </c>
    </row>
    <row r="933" spans="15:15">
      <c r="O933" s="2" t="str">
        <f t="shared" si="35"/>
        <v/>
      </c>
    </row>
    <row r="934" spans="15:15">
      <c r="O934" s="2" t="str">
        <f t="shared" si="35"/>
        <v/>
      </c>
    </row>
    <row r="935" spans="15:15">
      <c r="O935" s="2" t="str">
        <f t="shared" si="35"/>
        <v/>
      </c>
    </row>
    <row r="936" spans="15:15">
      <c r="O936" s="2" t="str">
        <f t="shared" si="35"/>
        <v/>
      </c>
    </row>
    <row r="937" spans="15:15">
      <c r="O937" s="2" t="str">
        <f t="shared" si="35"/>
        <v/>
      </c>
    </row>
    <row r="938" spans="15:15">
      <c r="O938" s="2" t="str">
        <f t="shared" si="35"/>
        <v/>
      </c>
    </row>
    <row r="939" spans="15:15">
      <c r="O939" s="2" t="str">
        <f t="shared" si="35"/>
        <v/>
      </c>
    </row>
    <row r="940" spans="15:15">
      <c r="O940" s="2" t="str">
        <f t="shared" si="35"/>
        <v/>
      </c>
    </row>
    <row r="941" spans="15:15">
      <c r="O941" s="2" t="str">
        <f t="shared" si="35"/>
        <v/>
      </c>
    </row>
    <row r="942" spans="15:15">
      <c r="O942" s="2" t="str">
        <f t="shared" si="35"/>
        <v/>
      </c>
    </row>
    <row r="943" spans="15:15">
      <c r="O943" s="2" t="str">
        <f t="shared" si="35"/>
        <v/>
      </c>
    </row>
    <row r="944" spans="15:15">
      <c r="O944" s="2" t="str">
        <f t="shared" si="35"/>
        <v/>
      </c>
    </row>
    <row r="945" spans="15:15">
      <c r="O945" s="2" t="str">
        <f t="shared" si="35"/>
        <v/>
      </c>
    </row>
    <row r="946" spans="15:15">
      <c r="O946" s="2" t="str">
        <f t="shared" si="35"/>
        <v/>
      </c>
    </row>
    <row r="947" spans="15:15">
      <c r="O947" s="2" t="str">
        <f t="shared" si="35"/>
        <v/>
      </c>
    </row>
    <row r="948" spans="15:15">
      <c r="O948" s="2" t="str">
        <f t="shared" si="35"/>
        <v/>
      </c>
    </row>
    <row r="949" spans="15:15">
      <c r="O949" s="2" t="str">
        <f t="shared" si="35"/>
        <v/>
      </c>
    </row>
    <row r="950" spans="15:15">
      <c r="O950" s="2" t="str">
        <f t="shared" si="35"/>
        <v/>
      </c>
    </row>
    <row r="951" spans="15:15">
      <c r="O951" s="2" t="str">
        <f t="shared" si="35"/>
        <v/>
      </c>
    </row>
    <row r="952" spans="15:15">
      <c r="O952" s="2" t="str">
        <f t="shared" si="35"/>
        <v/>
      </c>
    </row>
    <row r="953" spans="15:15">
      <c r="O953" s="2" t="str">
        <f t="shared" si="35"/>
        <v/>
      </c>
    </row>
    <row r="954" spans="15:15">
      <c r="O954" s="2" t="str">
        <f t="shared" si="35"/>
        <v/>
      </c>
    </row>
    <row r="955" spans="15:15">
      <c r="O955" s="2" t="str">
        <f t="shared" si="35"/>
        <v/>
      </c>
    </row>
    <row r="956" spans="15:15">
      <c r="O956" s="2" t="str">
        <f t="shared" si="35"/>
        <v/>
      </c>
    </row>
    <row r="957" spans="15:15">
      <c r="O957" s="2" t="str">
        <f t="shared" ref="O957:O1020" si="36">IF(A957="","", WEEKNUM(A957, 2))</f>
        <v/>
      </c>
    </row>
    <row r="958" spans="15:15">
      <c r="O958" s="2" t="str">
        <f t="shared" si="36"/>
        <v/>
      </c>
    </row>
    <row r="959" spans="15:15">
      <c r="O959" s="2" t="str">
        <f t="shared" si="36"/>
        <v/>
      </c>
    </row>
    <row r="960" spans="15:15">
      <c r="O960" s="2" t="str">
        <f t="shared" si="36"/>
        <v/>
      </c>
    </row>
    <row r="961" spans="15:15">
      <c r="O961" s="2" t="str">
        <f t="shared" si="36"/>
        <v/>
      </c>
    </row>
    <row r="962" spans="15:15">
      <c r="O962" s="2" t="str">
        <f t="shared" si="36"/>
        <v/>
      </c>
    </row>
    <row r="963" spans="15:15">
      <c r="O963" s="2" t="str">
        <f t="shared" si="36"/>
        <v/>
      </c>
    </row>
    <row r="964" spans="15:15">
      <c r="O964" s="2" t="str">
        <f t="shared" si="36"/>
        <v/>
      </c>
    </row>
    <row r="965" spans="15:15">
      <c r="O965" s="2" t="str">
        <f t="shared" si="36"/>
        <v/>
      </c>
    </row>
    <row r="966" spans="15:15">
      <c r="O966" s="2" t="str">
        <f t="shared" si="36"/>
        <v/>
      </c>
    </row>
    <row r="967" spans="15:15">
      <c r="O967" s="2" t="str">
        <f t="shared" si="36"/>
        <v/>
      </c>
    </row>
    <row r="968" spans="15:15">
      <c r="O968" s="2" t="str">
        <f t="shared" si="36"/>
        <v/>
      </c>
    </row>
    <row r="969" spans="15:15">
      <c r="O969" s="2" t="str">
        <f t="shared" si="36"/>
        <v/>
      </c>
    </row>
    <row r="970" spans="15:15">
      <c r="O970" s="2" t="str">
        <f t="shared" si="36"/>
        <v/>
      </c>
    </row>
    <row r="971" spans="15:15">
      <c r="O971" s="2" t="str">
        <f t="shared" si="36"/>
        <v/>
      </c>
    </row>
    <row r="972" spans="15:15">
      <c r="O972" s="2" t="str">
        <f t="shared" si="36"/>
        <v/>
      </c>
    </row>
    <row r="973" spans="15:15">
      <c r="O973" s="2" t="str">
        <f t="shared" si="36"/>
        <v/>
      </c>
    </row>
    <row r="974" spans="15:15">
      <c r="O974" s="2" t="str">
        <f t="shared" si="36"/>
        <v/>
      </c>
    </row>
    <row r="975" spans="15:15">
      <c r="O975" s="2" t="str">
        <f t="shared" si="36"/>
        <v/>
      </c>
    </row>
    <row r="976" spans="15:15">
      <c r="O976" s="2" t="str">
        <f t="shared" si="36"/>
        <v/>
      </c>
    </row>
    <row r="977" spans="15:15">
      <c r="O977" s="2" t="str">
        <f t="shared" si="36"/>
        <v/>
      </c>
    </row>
    <row r="978" spans="15:15">
      <c r="O978" s="2" t="str">
        <f t="shared" si="36"/>
        <v/>
      </c>
    </row>
    <row r="979" spans="15:15">
      <c r="O979" s="2" t="str">
        <f t="shared" si="36"/>
        <v/>
      </c>
    </row>
    <row r="980" spans="15:15">
      <c r="O980" s="2" t="str">
        <f t="shared" si="36"/>
        <v/>
      </c>
    </row>
    <row r="981" spans="15:15">
      <c r="O981" s="2" t="str">
        <f t="shared" si="36"/>
        <v/>
      </c>
    </row>
    <row r="982" spans="15:15">
      <c r="O982" s="2" t="str">
        <f t="shared" si="36"/>
        <v/>
      </c>
    </row>
    <row r="983" spans="15:15">
      <c r="O983" s="2" t="str">
        <f t="shared" si="36"/>
        <v/>
      </c>
    </row>
    <row r="984" spans="15:15">
      <c r="O984" s="2" t="str">
        <f t="shared" si="36"/>
        <v/>
      </c>
    </row>
    <row r="985" spans="15:15">
      <c r="O985" s="2" t="str">
        <f t="shared" si="36"/>
        <v/>
      </c>
    </row>
    <row r="986" spans="15:15">
      <c r="O986" s="2" t="str">
        <f t="shared" si="36"/>
        <v/>
      </c>
    </row>
    <row r="987" spans="15:15">
      <c r="O987" s="2" t="str">
        <f t="shared" si="36"/>
        <v/>
      </c>
    </row>
    <row r="988" spans="15:15">
      <c r="O988" s="2" t="str">
        <f t="shared" si="36"/>
        <v/>
      </c>
    </row>
    <row r="989" spans="15:15">
      <c r="O989" s="2" t="str">
        <f t="shared" si="36"/>
        <v/>
      </c>
    </row>
    <row r="990" spans="15:15">
      <c r="O990" s="2" t="str">
        <f t="shared" si="36"/>
        <v/>
      </c>
    </row>
    <row r="991" spans="15:15">
      <c r="O991" s="2" t="str">
        <f t="shared" si="36"/>
        <v/>
      </c>
    </row>
    <row r="992" spans="15:15">
      <c r="O992" s="2" t="str">
        <f t="shared" si="36"/>
        <v/>
      </c>
    </row>
    <row r="993" spans="15:15">
      <c r="O993" s="2" t="str">
        <f t="shared" si="36"/>
        <v/>
      </c>
    </row>
    <row r="994" spans="15:15">
      <c r="O994" s="2" t="str">
        <f t="shared" si="36"/>
        <v/>
      </c>
    </row>
    <row r="995" spans="15:15">
      <c r="O995" s="2" t="str">
        <f t="shared" si="36"/>
        <v/>
      </c>
    </row>
    <row r="996" spans="15:15">
      <c r="O996" s="2" t="str">
        <f t="shared" si="36"/>
        <v/>
      </c>
    </row>
    <row r="997" spans="15:15">
      <c r="O997" s="2" t="str">
        <f t="shared" si="36"/>
        <v/>
      </c>
    </row>
    <row r="998" spans="15:15">
      <c r="O998" s="2" t="str">
        <f t="shared" si="36"/>
        <v/>
      </c>
    </row>
    <row r="999" spans="15:15">
      <c r="O999" s="2" t="str">
        <f t="shared" si="36"/>
        <v/>
      </c>
    </row>
    <row r="1000" spans="15:15">
      <c r="O1000" s="2" t="str">
        <f t="shared" si="36"/>
        <v/>
      </c>
    </row>
    <row r="1001" spans="15:15">
      <c r="O1001" s="2" t="str">
        <f t="shared" si="36"/>
        <v/>
      </c>
    </row>
    <row r="1002" spans="15:15">
      <c r="O1002" s="2" t="str">
        <f t="shared" si="36"/>
        <v/>
      </c>
    </row>
    <row r="1003" spans="15:15">
      <c r="O1003" s="2" t="str">
        <f t="shared" si="36"/>
        <v/>
      </c>
    </row>
    <row r="1004" spans="15:15">
      <c r="O1004" s="2" t="str">
        <f t="shared" si="36"/>
        <v/>
      </c>
    </row>
    <row r="1005" spans="15:15">
      <c r="O1005" s="2" t="str">
        <f t="shared" si="36"/>
        <v/>
      </c>
    </row>
    <row r="1006" spans="15:15">
      <c r="O1006" s="2" t="str">
        <f t="shared" si="36"/>
        <v/>
      </c>
    </row>
    <row r="1007" spans="15:15">
      <c r="O1007" s="2" t="str">
        <f t="shared" si="36"/>
        <v/>
      </c>
    </row>
    <row r="1008" spans="15:15">
      <c r="O1008" s="2" t="str">
        <f t="shared" si="36"/>
        <v/>
      </c>
    </row>
    <row r="1009" spans="15:15">
      <c r="O1009" s="2" t="str">
        <f t="shared" si="36"/>
        <v/>
      </c>
    </row>
    <row r="1010" spans="15:15">
      <c r="O1010" s="2" t="str">
        <f t="shared" si="36"/>
        <v/>
      </c>
    </row>
    <row r="1011" spans="15:15">
      <c r="O1011" s="2" t="str">
        <f t="shared" si="36"/>
        <v/>
      </c>
    </row>
    <row r="1012" spans="15:15">
      <c r="O1012" s="2" t="str">
        <f t="shared" si="36"/>
        <v/>
      </c>
    </row>
    <row r="1013" spans="15:15">
      <c r="O1013" s="2" t="str">
        <f t="shared" si="36"/>
        <v/>
      </c>
    </row>
    <row r="1014" spans="15:15">
      <c r="O1014" s="2" t="str">
        <f t="shared" si="36"/>
        <v/>
      </c>
    </row>
    <row r="1015" spans="15:15">
      <c r="O1015" s="2" t="str">
        <f t="shared" si="36"/>
        <v/>
      </c>
    </row>
    <row r="1016" spans="15:15">
      <c r="O1016" s="2" t="str">
        <f t="shared" si="36"/>
        <v/>
      </c>
    </row>
    <row r="1017" spans="15:15">
      <c r="O1017" s="2" t="str">
        <f t="shared" si="36"/>
        <v/>
      </c>
    </row>
    <row r="1018" spans="15:15">
      <c r="O1018" s="2" t="str">
        <f t="shared" si="36"/>
        <v/>
      </c>
    </row>
    <row r="1019" spans="15:15">
      <c r="O1019" s="2" t="str">
        <f t="shared" si="36"/>
        <v/>
      </c>
    </row>
    <row r="1020" spans="15:15">
      <c r="O1020" s="2" t="str">
        <f t="shared" si="36"/>
        <v/>
      </c>
    </row>
    <row r="1021" spans="15:15">
      <c r="O1021" s="2" t="str">
        <f t="shared" ref="O1021:O1084" si="37">IF(A1021="","", WEEKNUM(A1021, 2))</f>
        <v/>
      </c>
    </row>
    <row r="1022" spans="15:15">
      <c r="O1022" s="2" t="str">
        <f t="shared" si="37"/>
        <v/>
      </c>
    </row>
    <row r="1023" spans="15:15">
      <c r="O1023" s="2" t="str">
        <f t="shared" si="37"/>
        <v/>
      </c>
    </row>
    <row r="1024" spans="15:15">
      <c r="O1024" s="2" t="str">
        <f t="shared" si="37"/>
        <v/>
      </c>
    </row>
    <row r="1025" spans="15:15">
      <c r="O1025" s="2" t="str">
        <f t="shared" si="37"/>
        <v/>
      </c>
    </row>
    <row r="1026" spans="15:15">
      <c r="O1026" s="2" t="str">
        <f t="shared" si="37"/>
        <v/>
      </c>
    </row>
    <row r="1027" spans="15:15">
      <c r="O1027" s="2" t="str">
        <f t="shared" si="37"/>
        <v/>
      </c>
    </row>
    <row r="1028" spans="15:15">
      <c r="O1028" s="2" t="str">
        <f t="shared" si="37"/>
        <v/>
      </c>
    </row>
    <row r="1029" spans="15:15">
      <c r="O1029" s="2" t="str">
        <f t="shared" si="37"/>
        <v/>
      </c>
    </row>
    <row r="1030" spans="15:15">
      <c r="O1030" s="2" t="str">
        <f t="shared" si="37"/>
        <v/>
      </c>
    </row>
    <row r="1031" spans="15:15">
      <c r="O1031" s="2" t="str">
        <f t="shared" si="37"/>
        <v/>
      </c>
    </row>
    <row r="1032" spans="15:15">
      <c r="O1032" s="2" t="str">
        <f t="shared" si="37"/>
        <v/>
      </c>
    </row>
    <row r="1033" spans="15:15">
      <c r="O1033" s="2" t="str">
        <f t="shared" si="37"/>
        <v/>
      </c>
    </row>
    <row r="1034" spans="15:15">
      <c r="O1034" s="2" t="str">
        <f t="shared" si="37"/>
        <v/>
      </c>
    </row>
    <row r="1035" spans="15:15">
      <c r="O1035" s="2" t="str">
        <f t="shared" si="37"/>
        <v/>
      </c>
    </row>
    <row r="1036" spans="15:15">
      <c r="O1036" s="2" t="str">
        <f t="shared" si="37"/>
        <v/>
      </c>
    </row>
    <row r="1037" spans="15:15">
      <c r="O1037" s="2" t="str">
        <f t="shared" si="37"/>
        <v/>
      </c>
    </row>
    <row r="1038" spans="15:15">
      <c r="O1038" s="2" t="str">
        <f t="shared" si="37"/>
        <v/>
      </c>
    </row>
    <row r="1039" spans="15:15">
      <c r="O1039" s="2" t="str">
        <f t="shared" si="37"/>
        <v/>
      </c>
    </row>
    <row r="1040" spans="15:15">
      <c r="O1040" s="2" t="str">
        <f t="shared" si="37"/>
        <v/>
      </c>
    </row>
    <row r="1041" spans="15:15">
      <c r="O1041" s="2" t="str">
        <f t="shared" si="37"/>
        <v/>
      </c>
    </row>
    <row r="1042" spans="15:15">
      <c r="O1042" s="2" t="str">
        <f t="shared" si="37"/>
        <v/>
      </c>
    </row>
    <row r="1043" spans="15:15">
      <c r="O1043" s="2" t="str">
        <f t="shared" si="37"/>
        <v/>
      </c>
    </row>
    <row r="1044" spans="15:15">
      <c r="O1044" s="2" t="str">
        <f t="shared" si="37"/>
        <v/>
      </c>
    </row>
    <row r="1045" spans="15:15">
      <c r="O1045" s="2" t="str">
        <f t="shared" si="37"/>
        <v/>
      </c>
    </row>
    <row r="1046" spans="15:15">
      <c r="O1046" s="2" t="str">
        <f t="shared" si="37"/>
        <v/>
      </c>
    </row>
    <row r="1047" spans="15:15">
      <c r="O1047" s="2" t="str">
        <f t="shared" si="37"/>
        <v/>
      </c>
    </row>
    <row r="1048" spans="15:15">
      <c r="O1048" s="2" t="str">
        <f t="shared" si="37"/>
        <v/>
      </c>
    </row>
    <row r="1049" spans="15:15">
      <c r="O1049" s="2" t="str">
        <f t="shared" si="37"/>
        <v/>
      </c>
    </row>
    <row r="1050" spans="15:15">
      <c r="O1050" s="2" t="str">
        <f t="shared" si="37"/>
        <v/>
      </c>
    </row>
    <row r="1051" spans="15:15">
      <c r="O1051" s="2" t="str">
        <f t="shared" si="37"/>
        <v/>
      </c>
    </row>
    <row r="1052" spans="15:15">
      <c r="O1052" s="2" t="str">
        <f t="shared" si="37"/>
        <v/>
      </c>
    </row>
    <row r="1053" spans="15:15">
      <c r="O1053" s="2" t="str">
        <f t="shared" si="37"/>
        <v/>
      </c>
    </row>
    <row r="1054" spans="15:15">
      <c r="O1054" s="2" t="str">
        <f t="shared" si="37"/>
        <v/>
      </c>
    </row>
    <row r="1055" spans="15:15">
      <c r="O1055" s="2" t="str">
        <f t="shared" si="37"/>
        <v/>
      </c>
    </row>
    <row r="1056" spans="15:15">
      <c r="O1056" s="2" t="str">
        <f t="shared" si="37"/>
        <v/>
      </c>
    </row>
    <row r="1057" spans="15:15">
      <c r="O1057" s="2" t="str">
        <f t="shared" si="37"/>
        <v/>
      </c>
    </row>
    <row r="1058" spans="15:15">
      <c r="O1058" s="2" t="str">
        <f t="shared" si="37"/>
        <v/>
      </c>
    </row>
    <row r="1059" spans="15:15">
      <c r="O1059" s="2" t="str">
        <f t="shared" si="37"/>
        <v/>
      </c>
    </row>
    <row r="1060" spans="15:15">
      <c r="O1060" s="2" t="str">
        <f t="shared" si="37"/>
        <v/>
      </c>
    </row>
    <row r="1061" spans="15:15">
      <c r="O1061" s="2" t="str">
        <f t="shared" si="37"/>
        <v/>
      </c>
    </row>
    <row r="1062" spans="15:15">
      <c r="O1062" s="2" t="str">
        <f t="shared" si="37"/>
        <v/>
      </c>
    </row>
    <row r="1063" spans="15:15">
      <c r="O1063" s="2" t="str">
        <f t="shared" si="37"/>
        <v/>
      </c>
    </row>
    <row r="1064" spans="15:15">
      <c r="O1064" s="2" t="str">
        <f t="shared" si="37"/>
        <v/>
      </c>
    </row>
    <row r="1065" spans="15:15">
      <c r="O1065" s="2" t="str">
        <f t="shared" si="37"/>
        <v/>
      </c>
    </row>
    <row r="1066" spans="15:15">
      <c r="O1066" s="2" t="str">
        <f t="shared" si="37"/>
        <v/>
      </c>
    </row>
    <row r="1067" spans="15:15">
      <c r="O1067" s="2" t="str">
        <f t="shared" si="37"/>
        <v/>
      </c>
    </row>
    <row r="1068" spans="15:15">
      <c r="O1068" s="2" t="str">
        <f t="shared" si="37"/>
        <v/>
      </c>
    </row>
    <row r="1069" spans="15:15">
      <c r="O1069" s="2" t="str">
        <f t="shared" si="37"/>
        <v/>
      </c>
    </row>
    <row r="1070" spans="15:15">
      <c r="O1070" s="2" t="str">
        <f t="shared" si="37"/>
        <v/>
      </c>
    </row>
    <row r="1071" spans="15:15">
      <c r="O1071" s="2" t="str">
        <f t="shared" si="37"/>
        <v/>
      </c>
    </row>
    <row r="1072" spans="15:15">
      <c r="O1072" s="2" t="str">
        <f t="shared" si="37"/>
        <v/>
      </c>
    </row>
    <row r="1073" spans="15:15">
      <c r="O1073" s="2" t="str">
        <f t="shared" si="37"/>
        <v/>
      </c>
    </row>
    <row r="1074" spans="15:15">
      <c r="O1074" s="2" t="str">
        <f t="shared" si="37"/>
        <v/>
      </c>
    </row>
    <row r="1075" spans="15:15">
      <c r="O1075" s="2" t="str">
        <f t="shared" si="37"/>
        <v/>
      </c>
    </row>
    <row r="1076" spans="15:15">
      <c r="O1076" s="2" t="str">
        <f t="shared" si="37"/>
        <v/>
      </c>
    </row>
    <row r="1077" spans="15:15">
      <c r="O1077" s="2" t="str">
        <f t="shared" si="37"/>
        <v/>
      </c>
    </row>
    <row r="1078" spans="15:15">
      <c r="O1078" s="2" t="str">
        <f t="shared" si="37"/>
        <v/>
      </c>
    </row>
    <row r="1079" spans="15:15">
      <c r="O1079" s="2" t="str">
        <f t="shared" si="37"/>
        <v/>
      </c>
    </row>
    <row r="1080" spans="15:15">
      <c r="O1080" s="2" t="str">
        <f t="shared" si="37"/>
        <v/>
      </c>
    </row>
    <row r="1081" spans="15:15">
      <c r="O1081" s="2" t="str">
        <f t="shared" si="37"/>
        <v/>
      </c>
    </row>
    <row r="1082" spans="15:15">
      <c r="O1082" s="2" t="str">
        <f t="shared" si="37"/>
        <v/>
      </c>
    </row>
    <row r="1083" spans="15:15">
      <c r="O1083" s="2" t="str">
        <f t="shared" si="37"/>
        <v/>
      </c>
    </row>
    <row r="1084" spans="15:15">
      <c r="O1084" s="2" t="str">
        <f t="shared" si="37"/>
        <v/>
      </c>
    </row>
    <row r="1085" spans="15:15">
      <c r="O1085" s="2" t="str">
        <f t="shared" ref="O1085:O1148" si="38">IF(A1085="","", WEEKNUM(A1085, 2))</f>
        <v/>
      </c>
    </row>
    <row r="1086" spans="15:15">
      <c r="O1086" s="2" t="str">
        <f t="shared" si="38"/>
        <v/>
      </c>
    </row>
    <row r="1087" spans="15:15">
      <c r="O1087" s="2" t="str">
        <f t="shared" si="38"/>
        <v/>
      </c>
    </row>
    <row r="1088" spans="15:15">
      <c r="O1088" s="2" t="str">
        <f t="shared" si="38"/>
        <v/>
      </c>
    </row>
    <row r="1089" spans="15:15">
      <c r="O1089" s="2" t="str">
        <f t="shared" si="38"/>
        <v/>
      </c>
    </row>
    <row r="1090" spans="15:15">
      <c r="O1090" s="2" t="str">
        <f t="shared" si="38"/>
        <v/>
      </c>
    </row>
    <row r="1091" spans="15:15">
      <c r="O1091" s="2" t="str">
        <f t="shared" si="38"/>
        <v/>
      </c>
    </row>
    <row r="1092" spans="15:15">
      <c r="O1092" s="2" t="str">
        <f t="shared" si="38"/>
        <v/>
      </c>
    </row>
    <row r="1093" spans="15:15">
      <c r="O1093" s="2" t="str">
        <f t="shared" si="38"/>
        <v/>
      </c>
    </row>
    <row r="1094" spans="15:15">
      <c r="O1094" s="2" t="str">
        <f t="shared" si="38"/>
        <v/>
      </c>
    </row>
    <row r="1095" spans="15:15">
      <c r="O1095" s="2" t="str">
        <f t="shared" si="38"/>
        <v/>
      </c>
    </row>
    <row r="1096" spans="15:15">
      <c r="O1096" s="2" t="str">
        <f t="shared" si="38"/>
        <v/>
      </c>
    </row>
    <row r="1097" spans="15:15">
      <c r="O1097" s="2" t="str">
        <f t="shared" si="38"/>
        <v/>
      </c>
    </row>
    <row r="1098" spans="15:15">
      <c r="O1098" s="2" t="str">
        <f t="shared" si="38"/>
        <v/>
      </c>
    </row>
    <row r="1099" spans="15:15">
      <c r="O1099" s="2" t="str">
        <f t="shared" si="38"/>
        <v/>
      </c>
    </row>
    <row r="1100" spans="15:15">
      <c r="O1100" s="2" t="str">
        <f t="shared" si="38"/>
        <v/>
      </c>
    </row>
    <row r="1101" spans="15:15">
      <c r="O1101" s="2" t="str">
        <f t="shared" si="38"/>
        <v/>
      </c>
    </row>
    <row r="1102" spans="15:15">
      <c r="O1102" s="2" t="str">
        <f t="shared" si="38"/>
        <v/>
      </c>
    </row>
    <row r="1103" spans="15:15">
      <c r="O1103" s="2" t="str">
        <f t="shared" si="38"/>
        <v/>
      </c>
    </row>
    <row r="1104" spans="15:15">
      <c r="O1104" s="2" t="str">
        <f t="shared" si="38"/>
        <v/>
      </c>
    </row>
    <row r="1105" spans="15:15">
      <c r="O1105" s="2" t="str">
        <f t="shared" si="38"/>
        <v/>
      </c>
    </row>
    <row r="1106" spans="15:15">
      <c r="O1106" s="2" t="str">
        <f t="shared" si="38"/>
        <v/>
      </c>
    </row>
    <row r="1107" spans="15:15">
      <c r="O1107" s="2" t="str">
        <f t="shared" si="38"/>
        <v/>
      </c>
    </row>
    <row r="1108" spans="15:15">
      <c r="O1108" s="2" t="str">
        <f t="shared" si="38"/>
        <v/>
      </c>
    </row>
    <row r="1109" spans="15:15">
      <c r="O1109" s="2" t="str">
        <f t="shared" si="38"/>
        <v/>
      </c>
    </row>
    <row r="1110" spans="15:15">
      <c r="O1110" s="2" t="str">
        <f t="shared" si="38"/>
        <v/>
      </c>
    </row>
    <row r="1111" spans="15:15">
      <c r="O1111" s="2" t="str">
        <f t="shared" si="38"/>
        <v/>
      </c>
    </row>
    <row r="1112" spans="15:15">
      <c r="O1112" s="2" t="str">
        <f t="shared" si="38"/>
        <v/>
      </c>
    </row>
    <row r="1113" spans="15:15">
      <c r="O1113" s="2" t="str">
        <f t="shared" si="38"/>
        <v/>
      </c>
    </row>
    <row r="1114" spans="15:15">
      <c r="O1114" s="2" t="str">
        <f t="shared" si="38"/>
        <v/>
      </c>
    </row>
    <row r="1115" spans="15:15">
      <c r="O1115" s="2" t="str">
        <f t="shared" si="38"/>
        <v/>
      </c>
    </row>
    <row r="1116" spans="15:15">
      <c r="O1116" s="2" t="str">
        <f t="shared" si="38"/>
        <v/>
      </c>
    </row>
    <row r="1117" spans="15:15">
      <c r="O1117" s="2" t="str">
        <f t="shared" si="38"/>
        <v/>
      </c>
    </row>
    <row r="1118" spans="15:15">
      <c r="O1118" s="2" t="str">
        <f t="shared" si="38"/>
        <v/>
      </c>
    </row>
    <row r="1119" spans="15:15">
      <c r="O1119" s="2" t="str">
        <f t="shared" si="38"/>
        <v/>
      </c>
    </row>
    <row r="1120" spans="15:15">
      <c r="O1120" s="2" t="str">
        <f t="shared" si="38"/>
        <v/>
      </c>
    </row>
    <row r="1121" spans="15:15">
      <c r="O1121" s="2" t="str">
        <f t="shared" si="38"/>
        <v/>
      </c>
    </row>
    <row r="1122" spans="15:15">
      <c r="O1122" s="2" t="str">
        <f t="shared" si="38"/>
        <v/>
      </c>
    </row>
    <row r="1123" spans="15:15">
      <c r="O1123" s="2" t="str">
        <f t="shared" si="38"/>
        <v/>
      </c>
    </row>
    <row r="1124" spans="15:15">
      <c r="O1124" s="2" t="str">
        <f t="shared" si="38"/>
        <v/>
      </c>
    </row>
    <row r="1125" spans="15:15">
      <c r="O1125" s="2" t="str">
        <f t="shared" si="38"/>
        <v/>
      </c>
    </row>
    <row r="1126" spans="15:15">
      <c r="O1126" s="2" t="str">
        <f t="shared" si="38"/>
        <v/>
      </c>
    </row>
    <row r="1127" spans="15:15">
      <c r="O1127" s="2" t="str">
        <f t="shared" si="38"/>
        <v/>
      </c>
    </row>
    <row r="1128" spans="15:15">
      <c r="O1128" s="2" t="str">
        <f t="shared" si="38"/>
        <v/>
      </c>
    </row>
    <row r="1129" spans="15:15">
      <c r="O1129" s="2" t="str">
        <f t="shared" si="38"/>
        <v/>
      </c>
    </row>
    <row r="1130" spans="15:15">
      <c r="O1130" s="2" t="str">
        <f t="shared" si="38"/>
        <v/>
      </c>
    </row>
    <row r="1131" spans="15:15">
      <c r="O1131" s="2" t="str">
        <f t="shared" si="38"/>
        <v/>
      </c>
    </row>
    <row r="1132" spans="15:15">
      <c r="O1132" s="2" t="str">
        <f t="shared" si="38"/>
        <v/>
      </c>
    </row>
    <row r="1133" spans="15:15">
      <c r="O1133" s="2" t="str">
        <f t="shared" si="38"/>
        <v/>
      </c>
    </row>
    <row r="1134" spans="15:15">
      <c r="O1134" s="2" t="str">
        <f t="shared" si="38"/>
        <v/>
      </c>
    </row>
    <row r="1135" spans="15:15">
      <c r="O1135" s="2" t="str">
        <f t="shared" si="38"/>
        <v/>
      </c>
    </row>
    <row r="1136" spans="15:15">
      <c r="O1136" s="2" t="str">
        <f t="shared" si="38"/>
        <v/>
      </c>
    </row>
    <row r="1137" spans="15:15">
      <c r="O1137" s="2" t="str">
        <f t="shared" si="38"/>
        <v/>
      </c>
    </row>
    <row r="1138" spans="15:15">
      <c r="O1138" s="2" t="str">
        <f t="shared" si="38"/>
        <v/>
      </c>
    </row>
    <row r="1139" spans="15:15">
      <c r="O1139" s="2" t="str">
        <f t="shared" si="38"/>
        <v/>
      </c>
    </row>
    <row r="1140" spans="15:15">
      <c r="O1140" s="2" t="str">
        <f t="shared" si="38"/>
        <v/>
      </c>
    </row>
    <row r="1141" spans="15:15">
      <c r="O1141" s="2" t="str">
        <f t="shared" si="38"/>
        <v/>
      </c>
    </row>
    <row r="1142" spans="15:15">
      <c r="O1142" s="2" t="str">
        <f t="shared" si="38"/>
        <v/>
      </c>
    </row>
    <row r="1143" spans="15:15">
      <c r="O1143" s="2" t="str">
        <f t="shared" si="38"/>
        <v/>
      </c>
    </row>
    <row r="1144" spans="15:15">
      <c r="O1144" s="2" t="str">
        <f t="shared" si="38"/>
        <v/>
      </c>
    </row>
    <row r="1145" spans="15:15">
      <c r="O1145" s="2" t="str">
        <f t="shared" si="38"/>
        <v/>
      </c>
    </row>
    <row r="1146" spans="15:15">
      <c r="O1146" s="2" t="str">
        <f t="shared" si="38"/>
        <v/>
      </c>
    </row>
    <row r="1147" spans="15:15">
      <c r="O1147" s="2" t="str">
        <f t="shared" si="38"/>
        <v/>
      </c>
    </row>
    <row r="1148" spans="15:15">
      <c r="O1148" s="2" t="str">
        <f t="shared" si="38"/>
        <v/>
      </c>
    </row>
    <row r="1149" spans="15:15">
      <c r="O1149" s="2" t="str">
        <f t="shared" ref="O1149:O1212" si="39">IF(A1149="","", WEEKNUM(A1149, 2))</f>
        <v/>
      </c>
    </row>
    <row r="1150" spans="15:15">
      <c r="O1150" s="2" t="str">
        <f t="shared" si="39"/>
        <v/>
      </c>
    </row>
    <row r="1151" spans="15:15">
      <c r="O1151" s="2" t="str">
        <f t="shared" si="39"/>
        <v/>
      </c>
    </row>
    <row r="1152" spans="15:15">
      <c r="O1152" s="2" t="str">
        <f t="shared" si="39"/>
        <v/>
      </c>
    </row>
    <row r="1153" spans="15:15">
      <c r="O1153" s="2" t="str">
        <f t="shared" si="39"/>
        <v/>
      </c>
    </row>
    <row r="1154" spans="15:15">
      <c r="O1154" s="2" t="str">
        <f t="shared" si="39"/>
        <v/>
      </c>
    </row>
    <row r="1155" spans="15:15">
      <c r="O1155" s="2" t="str">
        <f t="shared" si="39"/>
        <v/>
      </c>
    </row>
    <row r="1156" spans="15:15">
      <c r="O1156" s="2" t="str">
        <f t="shared" si="39"/>
        <v/>
      </c>
    </row>
    <row r="1157" spans="15:15">
      <c r="O1157" s="2" t="str">
        <f t="shared" si="39"/>
        <v/>
      </c>
    </row>
    <row r="1158" spans="15:15">
      <c r="O1158" s="2" t="str">
        <f t="shared" si="39"/>
        <v/>
      </c>
    </row>
    <row r="1159" spans="15:15">
      <c r="O1159" s="2" t="str">
        <f t="shared" si="39"/>
        <v/>
      </c>
    </row>
    <row r="1160" spans="15:15">
      <c r="O1160" s="2" t="str">
        <f t="shared" si="39"/>
        <v/>
      </c>
    </row>
    <row r="1161" spans="15:15">
      <c r="O1161" s="2" t="str">
        <f t="shared" si="39"/>
        <v/>
      </c>
    </row>
    <row r="1162" spans="15:15">
      <c r="O1162" s="2" t="str">
        <f t="shared" si="39"/>
        <v/>
      </c>
    </row>
    <row r="1163" spans="15:15">
      <c r="O1163" s="2" t="str">
        <f t="shared" si="39"/>
        <v/>
      </c>
    </row>
    <row r="1164" spans="15:15">
      <c r="O1164" s="2" t="str">
        <f t="shared" si="39"/>
        <v/>
      </c>
    </row>
    <row r="1165" spans="15:15">
      <c r="O1165" s="2" t="str">
        <f t="shared" si="39"/>
        <v/>
      </c>
    </row>
    <row r="1166" spans="15:15">
      <c r="O1166" s="2" t="str">
        <f t="shared" si="39"/>
        <v/>
      </c>
    </row>
    <row r="1167" spans="15:15">
      <c r="O1167" s="2" t="str">
        <f t="shared" si="39"/>
        <v/>
      </c>
    </row>
    <row r="1168" spans="15:15">
      <c r="O1168" s="2" t="str">
        <f t="shared" si="39"/>
        <v/>
      </c>
    </row>
    <row r="1169" spans="15:15">
      <c r="O1169" s="2" t="str">
        <f t="shared" si="39"/>
        <v/>
      </c>
    </row>
    <row r="1170" spans="15:15">
      <c r="O1170" s="2" t="str">
        <f t="shared" si="39"/>
        <v/>
      </c>
    </row>
    <row r="1171" spans="15:15">
      <c r="O1171" s="2" t="str">
        <f t="shared" si="39"/>
        <v/>
      </c>
    </row>
    <row r="1172" spans="15:15">
      <c r="O1172" s="2" t="str">
        <f t="shared" si="39"/>
        <v/>
      </c>
    </row>
    <row r="1173" spans="15:15">
      <c r="O1173" s="2" t="str">
        <f t="shared" si="39"/>
        <v/>
      </c>
    </row>
    <row r="1174" spans="15:15">
      <c r="O1174" s="2" t="str">
        <f t="shared" si="39"/>
        <v/>
      </c>
    </row>
    <row r="1175" spans="15:15">
      <c r="O1175" s="2" t="str">
        <f t="shared" si="39"/>
        <v/>
      </c>
    </row>
    <row r="1176" spans="15:15">
      <c r="O1176" s="2" t="str">
        <f t="shared" si="39"/>
        <v/>
      </c>
    </row>
    <row r="1177" spans="15:15">
      <c r="O1177" s="2" t="str">
        <f t="shared" si="39"/>
        <v/>
      </c>
    </row>
    <row r="1178" spans="15:15">
      <c r="O1178" s="2" t="str">
        <f t="shared" si="39"/>
        <v/>
      </c>
    </row>
    <row r="1179" spans="15:15">
      <c r="O1179" s="2" t="str">
        <f t="shared" si="39"/>
        <v/>
      </c>
    </row>
    <row r="1180" spans="15:15">
      <c r="O1180" s="2" t="str">
        <f t="shared" si="39"/>
        <v/>
      </c>
    </row>
    <row r="1181" spans="15:15">
      <c r="O1181" s="2" t="str">
        <f t="shared" si="39"/>
        <v/>
      </c>
    </row>
    <row r="1182" spans="15:15">
      <c r="O1182" s="2" t="str">
        <f t="shared" si="39"/>
        <v/>
      </c>
    </row>
    <row r="1183" spans="15:15">
      <c r="O1183" s="2" t="str">
        <f t="shared" si="39"/>
        <v/>
      </c>
    </row>
    <row r="1184" spans="15:15">
      <c r="O1184" s="2" t="str">
        <f t="shared" si="39"/>
        <v/>
      </c>
    </row>
    <row r="1185" spans="15:15">
      <c r="O1185" s="2" t="str">
        <f t="shared" si="39"/>
        <v/>
      </c>
    </row>
    <row r="1186" spans="15:15">
      <c r="O1186" s="2" t="str">
        <f t="shared" si="39"/>
        <v/>
      </c>
    </row>
    <row r="1187" spans="15:15">
      <c r="O1187" s="2" t="str">
        <f t="shared" si="39"/>
        <v/>
      </c>
    </row>
    <row r="1188" spans="15:15">
      <c r="O1188" s="2" t="str">
        <f t="shared" si="39"/>
        <v/>
      </c>
    </row>
    <row r="1189" spans="15:15">
      <c r="O1189" s="2" t="str">
        <f t="shared" si="39"/>
        <v/>
      </c>
    </row>
    <row r="1190" spans="15:15">
      <c r="O1190" s="2" t="str">
        <f t="shared" si="39"/>
        <v/>
      </c>
    </row>
    <row r="1191" spans="15:15">
      <c r="O1191" s="2" t="str">
        <f t="shared" si="39"/>
        <v/>
      </c>
    </row>
    <row r="1192" spans="15:15">
      <c r="O1192" s="2" t="str">
        <f t="shared" si="39"/>
        <v/>
      </c>
    </row>
    <row r="1193" spans="15:15">
      <c r="O1193" s="2" t="str">
        <f t="shared" si="39"/>
        <v/>
      </c>
    </row>
    <row r="1194" spans="15:15">
      <c r="O1194" s="2" t="str">
        <f t="shared" si="39"/>
        <v/>
      </c>
    </row>
    <row r="1195" spans="15:15">
      <c r="O1195" s="2" t="str">
        <f t="shared" si="39"/>
        <v/>
      </c>
    </row>
    <row r="1196" spans="15:15">
      <c r="O1196" s="2" t="str">
        <f t="shared" si="39"/>
        <v/>
      </c>
    </row>
    <row r="1197" spans="15:15">
      <c r="O1197" s="2" t="str">
        <f t="shared" si="39"/>
        <v/>
      </c>
    </row>
    <row r="1198" spans="15:15">
      <c r="O1198" s="2" t="str">
        <f t="shared" si="39"/>
        <v/>
      </c>
    </row>
    <row r="1199" spans="15:15">
      <c r="O1199" s="2" t="str">
        <f t="shared" si="39"/>
        <v/>
      </c>
    </row>
    <row r="1200" spans="15:15">
      <c r="O1200" s="2" t="str">
        <f t="shared" si="39"/>
        <v/>
      </c>
    </row>
    <row r="1201" spans="15:15">
      <c r="O1201" s="2" t="str">
        <f t="shared" si="39"/>
        <v/>
      </c>
    </row>
    <row r="1202" spans="15:15">
      <c r="O1202" s="2" t="str">
        <f t="shared" si="39"/>
        <v/>
      </c>
    </row>
    <row r="1203" spans="15:15">
      <c r="O1203" s="2" t="str">
        <f t="shared" si="39"/>
        <v/>
      </c>
    </row>
    <row r="1204" spans="15:15">
      <c r="O1204" s="2" t="str">
        <f t="shared" si="39"/>
        <v/>
      </c>
    </row>
    <row r="1205" spans="15:15">
      <c r="O1205" s="2" t="str">
        <f t="shared" si="39"/>
        <v/>
      </c>
    </row>
    <row r="1206" spans="15:15">
      <c r="O1206" s="2" t="str">
        <f t="shared" si="39"/>
        <v/>
      </c>
    </row>
    <row r="1207" spans="15:15">
      <c r="O1207" s="2" t="str">
        <f t="shared" si="39"/>
        <v/>
      </c>
    </row>
    <row r="1208" spans="15:15">
      <c r="O1208" s="2" t="str">
        <f t="shared" si="39"/>
        <v/>
      </c>
    </row>
    <row r="1209" spans="15:15">
      <c r="O1209" s="2" t="str">
        <f t="shared" si="39"/>
        <v/>
      </c>
    </row>
    <row r="1210" spans="15:15">
      <c r="O1210" s="2" t="str">
        <f t="shared" si="39"/>
        <v/>
      </c>
    </row>
    <row r="1211" spans="15:15">
      <c r="O1211" s="2" t="str">
        <f t="shared" si="39"/>
        <v/>
      </c>
    </row>
    <row r="1212" spans="15:15">
      <c r="O1212" s="2" t="str">
        <f t="shared" si="39"/>
        <v/>
      </c>
    </row>
    <row r="1213" spans="15:15">
      <c r="O1213" s="2" t="str">
        <f t="shared" ref="O1213:O1276" si="40">IF(A1213="","", WEEKNUM(A1213, 2))</f>
        <v/>
      </c>
    </row>
    <row r="1214" spans="15:15">
      <c r="O1214" s="2" t="str">
        <f t="shared" si="40"/>
        <v/>
      </c>
    </row>
    <row r="1215" spans="15:15">
      <c r="O1215" s="2" t="str">
        <f t="shared" si="40"/>
        <v/>
      </c>
    </row>
    <row r="1216" spans="15:15">
      <c r="O1216" s="2" t="str">
        <f t="shared" si="40"/>
        <v/>
      </c>
    </row>
    <row r="1217" spans="15:15">
      <c r="O1217" s="2" t="str">
        <f t="shared" si="40"/>
        <v/>
      </c>
    </row>
    <row r="1218" spans="15:15">
      <c r="O1218" s="2" t="str">
        <f t="shared" si="40"/>
        <v/>
      </c>
    </row>
    <row r="1219" spans="15:15">
      <c r="O1219" s="2" t="str">
        <f t="shared" si="40"/>
        <v/>
      </c>
    </row>
    <row r="1220" spans="15:15">
      <c r="O1220" s="2" t="str">
        <f t="shared" si="40"/>
        <v/>
      </c>
    </row>
    <row r="1221" spans="15:15">
      <c r="O1221" s="2" t="str">
        <f t="shared" si="40"/>
        <v/>
      </c>
    </row>
    <row r="1222" spans="15:15">
      <c r="O1222" s="2" t="str">
        <f t="shared" si="40"/>
        <v/>
      </c>
    </row>
    <row r="1223" spans="15:15">
      <c r="O1223" s="2" t="str">
        <f t="shared" si="40"/>
        <v/>
      </c>
    </row>
    <row r="1224" spans="15:15">
      <c r="O1224" s="2" t="str">
        <f t="shared" si="40"/>
        <v/>
      </c>
    </row>
    <row r="1225" spans="15:15">
      <c r="O1225" s="2" t="str">
        <f t="shared" si="40"/>
        <v/>
      </c>
    </row>
    <row r="1226" spans="15:15">
      <c r="O1226" s="2" t="str">
        <f t="shared" si="40"/>
        <v/>
      </c>
    </row>
    <row r="1227" spans="15:15">
      <c r="O1227" s="2" t="str">
        <f t="shared" si="40"/>
        <v/>
      </c>
    </row>
    <row r="1228" spans="15:15">
      <c r="O1228" s="2" t="str">
        <f t="shared" si="40"/>
        <v/>
      </c>
    </row>
    <row r="1229" spans="15:15">
      <c r="O1229" s="2" t="str">
        <f t="shared" si="40"/>
        <v/>
      </c>
    </row>
    <row r="1230" spans="15:15">
      <c r="O1230" s="2" t="str">
        <f t="shared" si="40"/>
        <v/>
      </c>
    </row>
    <row r="1231" spans="15:15">
      <c r="O1231" s="2" t="str">
        <f t="shared" si="40"/>
        <v/>
      </c>
    </row>
    <row r="1232" spans="15:15">
      <c r="O1232" s="2" t="str">
        <f t="shared" si="40"/>
        <v/>
      </c>
    </row>
    <row r="1233" spans="15:15">
      <c r="O1233" s="2" t="str">
        <f t="shared" si="40"/>
        <v/>
      </c>
    </row>
    <row r="1234" spans="15:15">
      <c r="O1234" s="2" t="str">
        <f t="shared" si="40"/>
        <v/>
      </c>
    </row>
    <row r="1235" spans="15:15">
      <c r="O1235" s="2" t="str">
        <f t="shared" si="40"/>
        <v/>
      </c>
    </row>
    <row r="1236" spans="15:15">
      <c r="O1236" s="2" t="str">
        <f t="shared" si="40"/>
        <v/>
      </c>
    </row>
    <row r="1237" spans="15:15">
      <c r="O1237" s="2" t="str">
        <f t="shared" si="40"/>
        <v/>
      </c>
    </row>
    <row r="1238" spans="15:15">
      <c r="O1238" s="2" t="str">
        <f t="shared" si="40"/>
        <v/>
      </c>
    </row>
    <row r="1239" spans="15:15">
      <c r="O1239" s="2" t="str">
        <f t="shared" si="40"/>
        <v/>
      </c>
    </row>
    <row r="1240" spans="15:15">
      <c r="O1240" s="2" t="str">
        <f t="shared" si="40"/>
        <v/>
      </c>
    </row>
    <row r="1241" spans="15:15">
      <c r="O1241" s="2" t="str">
        <f t="shared" si="40"/>
        <v/>
      </c>
    </row>
    <row r="1242" spans="15:15">
      <c r="O1242" s="2" t="str">
        <f t="shared" si="40"/>
        <v/>
      </c>
    </row>
    <row r="1243" spans="15:15">
      <c r="O1243" s="2" t="str">
        <f t="shared" si="40"/>
        <v/>
      </c>
    </row>
    <row r="1244" spans="15:15">
      <c r="O1244" s="2" t="str">
        <f t="shared" si="40"/>
        <v/>
      </c>
    </row>
    <row r="1245" spans="15:15">
      <c r="O1245" s="2" t="str">
        <f t="shared" si="40"/>
        <v/>
      </c>
    </row>
    <row r="1246" spans="15:15">
      <c r="O1246" s="2" t="str">
        <f t="shared" si="40"/>
        <v/>
      </c>
    </row>
    <row r="1247" spans="15:15">
      <c r="O1247" s="2" t="str">
        <f t="shared" si="40"/>
        <v/>
      </c>
    </row>
    <row r="1248" spans="15:15">
      <c r="O1248" s="2" t="str">
        <f t="shared" si="40"/>
        <v/>
      </c>
    </row>
    <row r="1249" spans="15:15">
      <c r="O1249" s="2" t="str">
        <f t="shared" si="40"/>
        <v/>
      </c>
    </row>
    <row r="1250" spans="15:15">
      <c r="O1250" s="2" t="str">
        <f t="shared" si="40"/>
        <v/>
      </c>
    </row>
    <row r="1251" spans="15:15">
      <c r="O1251" s="2" t="str">
        <f t="shared" si="40"/>
        <v/>
      </c>
    </row>
    <row r="1252" spans="15:15">
      <c r="O1252" s="2" t="str">
        <f t="shared" si="40"/>
        <v/>
      </c>
    </row>
    <row r="1253" spans="15:15">
      <c r="O1253" s="2" t="str">
        <f t="shared" si="40"/>
        <v/>
      </c>
    </row>
    <row r="1254" spans="15:15">
      <c r="O1254" s="2" t="str">
        <f t="shared" si="40"/>
        <v/>
      </c>
    </row>
    <row r="1255" spans="15:15">
      <c r="O1255" s="2" t="str">
        <f t="shared" si="40"/>
        <v/>
      </c>
    </row>
    <row r="1256" spans="15:15">
      <c r="O1256" s="2" t="str">
        <f t="shared" si="40"/>
        <v/>
      </c>
    </row>
    <row r="1257" spans="15:15">
      <c r="O1257" s="2" t="str">
        <f t="shared" si="40"/>
        <v/>
      </c>
    </row>
    <row r="1258" spans="15:15">
      <c r="O1258" s="2" t="str">
        <f t="shared" si="40"/>
        <v/>
      </c>
    </row>
    <row r="1259" spans="15:15">
      <c r="O1259" s="2" t="str">
        <f t="shared" si="40"/>
        <v/>
      </c>
    </row>
    <row r="1260" spans="15:15">
      <c r="O1260" s="2" t="str">
        <f t="shared" si="40"/>
        <v/>
      </c>
    </row>
    <row r="1261" spans="15:15">
      <c r="O1261" s="2" t="str">
        <f t="shared" si="40"/>
        <v/>
      </c>
    </row>
    <row r="1262" spans="15:15">
      <c r="O1262" s="2" t="str">
        <f t="shared" si="40"/>
        <v/>
      </c>
    </row>
    <row r="1263" spans="15:15">
      <c r="O1263" s="2" t="str">
        <f t="shared" si="40"/>
        <v/>
      </c>
    </row>
    <row r="1264" spans="15:15">
      <c r="O1264" s="2" t="str">
        <f t="shared" si="40"/>
        <v/>
      </c>
    </row>
    <row r="1265" spans="15:15">
      <c r="O1265" s="2" t="str">
        <f t="shared" si="40"/>
        <v/>
      </c>
    </row>
    <row r="1266" spans="15:15">
      <c r="O1266" s="2" t="str">
        <f t="shared" si="40"/>
        <v/>
      </c>
    </row>
    <row r="1267" spans="15:15">
      <c r="O1267" s="2" t="str">
        <f t="shared" si="40"/>
        <v/>
      </c>
    </row>
    <row r="1268" spans="15:15">
      <c r="O1268" s="2" t="str">
        <f t="shared" si="40"/>
        <v/>
      </c>
    </row>
    <row r="1269" spans="15:15">
      <c r="O1269" s="2" t="str">
        <f t="shared" si="40"/>
        <v/>
      </c>
    </row>
    <row r="1270" spans="15:15">
      <c r="O1270" s="2" t="str">
        <f t="shared" si="40"/>
        <v/>
      </c>
    </row>
    <row r="1271" spans="15:15">
      <c r="O1271" s="2" t="str">
        <f t="shared" si="40"/>
        <v/>
      </c>
    </row>
    <row r="1272" spans="15:15">
      <c r="O1272" s="2" t="str">
        <f t="shared" si="40"/>
        <v/>
      </c>
    </row>
    <row r="1273" spans="15:15">
      <c r="O1273" s="2" t="str">
        <f t="shared" si="40"/>
        <v/>
      </c>
    </row>
    <row r="1274" spans="15:15">
      <c r="O1274" s="2" t="str">
        <f t="shared" si="40"/>
        <v/>
      </c>
    </row>
    <row r="1275" spans="15:15">
      <c r="O1275" s="2" t="str">
        <f t="shared" si="40"/>
        <v/>
      </c>
    </row>
    <row r="1276" spans="15:15">
      <c r="O1276" s="2" t="str">
        <f t="shared" si="40"/>
        <v/>
      </c>
    </row>
    <row r="1277" spans="15:15">
      <c r="O1277" s="2" t="str">
        <f t="shared" ref="O1277:O1340" si="41">IF(A1277="","", WEEKNUM(A1277, 2))</f>
        <v/>
      </c>
    </row>
    <row r="1278" spans="15:15">
      <c r="O1278" s="2" t="str">
        <f t="shared" si="41"/>
        <v/>
      </c>
    </row>
    <row r="1279" spans="15:15">
      <c r="O1279" s="2" t="str">
        <f t="shared" si="41"/>
        <v/>
      </c>
    </row>
    <row r="1280" spans="15:15">
      <c r="O1280" s="2" t="str">
        <f t="shared" si="41"/>
        <v/>
      </c>
    </row>
    <row r="1281" spans="15:15">
      <c r="O1281" s="2" t="str">
        <f t="shared" si="41"/>
        <v/>
      </c>
    </row>
    <row r="1282" spans="15:15">
      <c r="O1282" s="2" t="str">
        <f t="shared" si="41"/>
        <v/>
      </c>
    </row>
    <row r="1283" spans="15:15">
      <c r="O1283" s="2" t="str">
        <f t="shared" si="41"/>
        <v/>
      </c>
    </row>
    <row r="1284" spans="15:15">
      <c r="O1284" s="2" t="str">
        <f t="shared" si="41"/>
        <v/>
      </c>
    </row>
    <row r="1285" spans="15:15">
      <c r="O1285" s="2" t="str">
        <f t="shared" si="41"/>
        <v/>
      </c>
    </row>
    <row r="1286" spans="15:15">
      <c r="O1286" s="2" t="str">
        <f t="shared" si="41"/>
        <v/>
      </c>
    </row>
    <row r="1287" spans="15:15">
      <c r="O1287" s="2" t="str">
        <f t="shared" si="41"/>
        <v/>
      </c>
    </row>
    <row r="1288" spans="15:15">
      <c r="O1288" s="2" t="str">
        <f t="shared" si="41"/>
        <v/>
      </c>
    </row>
    <row r="1289" spans="15:15">
      <c r="O1289" s="2" t="str">
        <f t="shared" si="41"/>
        <v/>
      </c>
    </row>
    <row r="1290" spans="15:15">
      <c r="O1290" s="2" t="str">
        <f t="shared" si="41"/>
        <v/>
      </c>
    </row>
    <row r="1291" spans="15:15">
      <c r="O1291" s="2" t="str">
        <f t="shared" si="41"/>
        <v/>
      </c>
    </row>
    <row r="1292" spans="15:15">
      <c r="O1292" s="2" t="str">
        <f t="shared" si="41"/>
        <v/>
      </c>
    </row>
    <row r="1293" spans="15:15">
      <c r="O1293" s="2" t="str">
        <f t="shared" si="41"/>
        <v/>
      </c>
    </row>
    <row r="1294" spans="15:15">
      <c r="O1294" s="2" t="str">
        <f t="shared" si="41"/>
        <v/>
      </c>
    </row>
    <row r="1295" spans="15:15">
      <c r="O1295" s="2" t="str">
        <f t="shared" si="41"/>
        <v/>
      </c>
    </row>
    <row r="1296" spans="15:15">
      <c r="O1296" s="2" t="str">
        <f t="shared" si="41"/>
        <v/>
      </c>
    </row>
    <row r="1297" spans="15:15">
      <c r="O1297" s="2" t="str">
        <f t="shared" si="41"/>
        <v/>
      </c>
    </row>
    <row r="1298" spans="15:15">
      <c r="O1298" s="2" t="str">
        <f t="shared" si="41"/>
        <v/>
      </c>
    </row>
    <row r="1299" spans="15:15">
      <c r="O1299" s="2" t="str">
        <f t="shared" si="41"/>
        <v/>
      </c>
    </row>
    <row r="1300" spans="15:15">
      <c r="O1300" s="2" t="str">
        <f t="shared" si="41"/>
        <v/>
      </c>
    </row>
    <row r="1301" spans="15:15">
      <c r="O1301" s="2" t="str">
        <f t="shared" si="41"/>
        <v/>
      </c>
    </row>
    <row r="1302" spans="15:15">
      <c r="O1302" s="2" t="str">
        <f t="shared" si="41"/>
        <v/>
      </c>
    </row>
    <row r="1303" spans="15:15">
      <c r="O1303" s="2" t="str">
        <f t="shared" si="41"/>
        <v/>
      </c>
    </row>
    <row r="1304" spans="15:15">
      <c r="O1304" s="2" t="str">
        <f t="shared" si="41"/>
        <v/>
      </c>
    </row>
    <row r="1305" spans="15:15">
      <c r="O1305" s="2" t="str">
        <f t="shared" si="41"/>
        <v/>
      </c>
    </row>
    <row r="1306" spans="15:15">
      <c r="O1306" s="2" t="str">
        <f t="shared" si="41"/>
        <v/>
      </c>
    </row>
    <row r="1307" spans="15:15">
      <c r="O1307" s="2" t="str">
        <f t="shared" si="41"/>
        <v/>
      </c>
    </row>
    <row r="1308" spans="15:15">
      <c r="O1308" s="2" t="str">
        <f t="shared" si="41"/>
        <v/>
      </c>
    </row>
    <row r="1309" spans="15:15">
      <c r="O1309" s="2" t="str">
        <f t="shared" si="41"/>
        <v/>
      </c>
    </row>
    <row r="1310" spans="15:15">
      <c r="O1310" s="2" t="str">
        <f t="shared" si="41"/>
        <v/>
      </c>
    </row>
    <row r="1311" spans="15:15">
      <c r="O1311" s="2" t="str">
        <f t="shared" si="41"/>
        <v/>
      </c>
    </row>
    <row r="1312" spans="15:15">
      <c r="O1312" s="2" t="str">
        <f t="shared" si="41"/>
        <v/>
      </c>
    </row>
    <row r="1313" spans="15:15">
      <c r="O1313" s="2" t="str">
        <f t="shared" si="41"/>
        <v/>
      </c>
    </row>
    <row r="1314" spans="15:15">
      <c r="O1314" s="2" t="str">
        <f t="shared" si="41"/>
        <v/>
      </c>
    </row>
    <row r="1315" spans="15:15">
      <c r="O1315" s="2" t="str">
        <f t="shared" si="41"/>
        <v/>
      </c>
    </row>
    <row r="1316" spans="15:15">
      <c r="O1316" s="2" t="str">
        <f t="shared" si="41"/>
        <v/>
      </c>
    </row>
    <row r="1317" spans="15:15">
      <c r="O1317" s="2" t="str">
        <f t="shared" si="41"/>
        <v/>
      </c>
    </row>
    <row r="1318" spans="15:15">
      <c r="O1318" s="2" t="str">
        <f t="shared" si="41"/>
        <v/>
      </c>
    </row>
    <row r="1319" spans="15:15">
      <c r="O1319" s="2" t="str">
        <f t="shared" si="41"/>
        <v/>
      </c>
    </row>
    <row r="1320" spans="15:15">
      <c r="O1320" s="2" t="str">
        <f t="shared" si="41"/>
        <v/>
      </c>
    </row>
    <row r="1321" spans="15:15">
      <c r="O1321" s="2" t="str">
        <f t="shared" si="41"/>
        <v/>
      </c>
    </row>
    <row r="1322" spans="15:15">
      <c r="O1322" s="2" t="str">
        <f t="shared" si="41"/>
        <v/>
      </c>
    </row>
    <row r="1323" spans="15:15">
      <c r="O1323" s="2" t="str">
        <f t="shared" si="41"/>
        <v/>
      </c>
    </row>
    <row r="1324" spans="15:15">
      <c r="O1324" s="2" t="str">
        <f t="shared" si="41"/>
        <v/>
      </c>
    </row>
    <row r="1325" spans="15:15">
      <c r="O1325" s="2" t="str">
        <f t="shared" si="41"/>
        <v/>
      </c>
    </row>
    <row r="1326" spans="15:15">
      <c r="O1326" s="2" t="str">
        <f t="shared" si="41"/>
        <v/>
      </c>
    </row>
    <row r="1327" spans="15:15">
      <c r="O1327" s="2" t="str">
        <f t="shared" si="41"/>
        <v/>
      </c>
    </row>
    <row r="1328" spans="15:15">
      <c r="O1328" s="2" t="str">
        <f t="shared" si="41"/>
        <v/>
      </c>
    </row>
    <row r="1329" spans="15:15">
      <c r="O1329" s="2" t="str">
        <f t="shared" si="41"/>
        <v/>
      </c>
    </row>
    <row r="1330" spans="15:15">
      <c r="O1330" s="2" t="str">
        <f t="shared" si="41"/>
        <v/>
      </c>
    </row>
    <row r="1331" spans="15:15">
      <c r="O1331" s="2" t="str">
        <f t="shared" si="41"/>
        <v/>
      </c>
    </row>
    <row r="1332" spans="15:15">
      <c r="O1332" s="2" t="str">
        <f t="shared" si="41"/>
        <v/>
      </c>
    </row>
    <row r="1333" spans="15:15">
      <c r="O1333" s="2" t="str">
        <f t="shared" si="41"/>
        <v/>
      </c>
    </row>
    <row r="1334" spans="15:15">
      <c r="O1334" s="2" t="str">
        <f t="shared" si="41"/>
        <v/>
      </c>
    </row>
    <row r="1335" spans="15:15">
      <c r="O1335" s="2" t="str">
        <f t="shared" si="41"/>
        <v/>
      </c>
    </row>
    <row r="1336" spans="15:15">
      <c r="O1336" s="2" t="str">
        <f t="shared" si="41"/>
        <v/>
      </c>
    </row>
    <row r="1337" spans="15:15">
      <c r="O1337" s="2" t="str">
        <f t="shared" si="41"/>
        <v/>
      </c>
    </row>
    <row r="1338" spans="15:15">
      <c r="O1338" s="2" t="str">
        <f t="shared" si="41"/>
        <v/>
      </c>
    </row>
    <row r="1339" spans="15:15">
      <c r="O1339" s="2" t="str">
        <f t="shared" si="41"/>
        <v/>
      </c>
    </row>
    <row r="1340" spans="15:15">
      <c r="O1340" s="2" t="str">
        <f t="shared" si="41"/>
        <v/>
      </c>
    </row>
    <row r="1341" spans="15:15">
      <c r="O1341" s="2" t="str">
        <f t="shared" ref="O1341:O1404" si="42">IF(A1341="","", WEEKNUM(A1341, 2))</f>
        <v/>
      </c>
    </row>
    <row r="1342" spans="15:15">
      <c r="O1342" s="2" t="str">
        <f t="shared" si="42"/>
        <v/>
      </c>
    </row>
    <row r="1343" spans="15:15">
      <c r="O1343" s="2" t="str">
        <f t="shared" si="42"/>
        <v/>
      </c>
    </row>
    <row r="1344" spans="15:15">
      <c r="O1344" s="2" t="str">
        <f t="shared" si="42"/>
        <v/>
      </c>
    </row>
    <row r="1345" spans="15:15">
      <c r="O1345" s="2" t="str">
        <f t="shared" si="42"/>
        <v/>
      </c>
    </row>
    <row r="1346" spans="15:15">
      <c r="O1346" s="2" t="str">
        <f t="shared" si="42"/>
        <v/>
      </c>
    </row>
    <row r="1347" spans="15:15">
      <c r="O1347" s="2" t="str">
        <f t="shared" si="42"/>
        <v/>
      </c>
    </row>
    <row r="1348" spans="15:15">
      <c r="O1348" s="2" t="str">
        <f t="shared" si="42"/>
        <v/>
      </c>
    </row>
    <row r="1349" spans="15:15">
      <c r="O1349" s="2" t="str">
        <f t="shared" si="42"/>
        <v/>
      </c>
    </row>
    <row r="1350" spans="15:15">
      <c r="O1350" s="2" t="str">
        <f t="shared" si="42"/>
        <v/>
      </c>
    </row>
    <row r="1351" spans="15:15">
      <c r="O1351" s="2" t="str">
        <f t="shared" si="42"/>
        <v/>
      </c>
    </row>
    <row r="1352" spans="15:15">
      <c r="O1352" s="2" t="str">
        <f t="shared" si="42"/>
        <v/>
      </c>
    </row>
    <row r="1353" spans="15:15">
      <c r="O1353" s="2" t="str">
        <f t="shared" si="42"/>
        <v/>
      </c>
    </row>
    <row r="1354" spans="15:15">
      <c r="O1354" s="2" t="str">
        <f t="shared" si="42"/>
        <v/>
      </c>
    </row>
    <row r="1355" spans="15:15">
      <c r="O1355" s="2" t="str">
        <f t="shared" si="42"/>
        <v/>
      </c>
    </row>
    <row r="1356" spans="15:15">
      <c r="O1356" s="2" t="str">
        <f t="shared" si="42"/>
        <v/>
      </c>
    </row>
    <row r="1357" spans="15:15">
      <c r="O1357" s="2" t="str">
        <f t="shared" si="42"/>
        <v/>
      </c>
    </row>
    <row r="1358" spans="15:15">
      <c r="O1358" s="2" t="str">
        <f t="shared" si="42"/>
        <v/>
      </c>
    </row>
    <row r="1359" spans="15:15">
      <c r="O1359" s="2" t="str">
        <f t="shared" si="42"/>
        <v/>
      </c>
    </row>
    <row r="1360" spans="15:15">
      <c r="O1360" s="2" t="str">
        <f t="shared" si="42"/>
        <v/>
      </c>
    </row>
    <row r="1361" spans="15:15">
      <c r="O1361" s="2" t="str">
        <f t="shared" si="42"/>
        <v/>
      </c>
    </row>
    <row r="1362" spans="15:15">
      <c r="O1362" s="2" t="str">
        <f t="shared" si="42"/>
        <v/>
      </c>
    </row>
    <row r="1363" spans="15:15">
      <c r="O1363" s="2" t="str">
        <f t="shared" si="42"/>
        <v/>
      </c>
    </row>
    <row r="1364" spans="15:15">
      <c r="O1364" s="2" t="str">
        <f t="shared" si="42"/>
        <v/>
      </c>
    </row>
    <row r="1365" spans="15:15">
      <c r="O1365" s="2" t="str">
        <f t="shared" si="42"/>
        <v/>
      </c>
    </row>
    <row r="1366" spans="15:15">
      <c r="O1366" s="2" t="str">
        <f t="shared" si="42"/>
        <v/>
      </c>
    </row>
    <row r="1367" spans="15:15">
      <c r="O1367" s="2" t="str">
        <f t="shared" si="42"/>
        <v/>
      </c>
    </row>
    <row r="1368" spans="15:15">
      <c r="O1368" s="2" t="str">
        <f t="shared" si="42"/>
        <v/>
      </c>
    </row>
    <row r="1369" spans="15:15">
      <c r="O1369" s="2" t="str">
        <f t="shared" si="42"/>
        <v/>
      </c>
    </row>
    <row r="1370" spans="15:15">
      <c r="O1370" s="2" t="str">
        <f t="shared" si="42"/>
        <v/>
      </c>
    </row>
    <row r="1371" spans="15:15">
      <c r="O1371" s="2" t="str">
        <f t="shared" si="42"/>
        <v/>
      </c>
    </row>
    <row r="1372" spans="15:15">
      <c r="O1372" s="2" t="str">
        <f t="shared" si="42"/>
        <v/>
      </c>
    </row>
    <row r="1373" spans="15:15">
      <c r="O1373" s="2" t="str">
        <f t="shared" si="42"/>
        <v/>
      </c>
    </row>
    <row r="1374" spans="15:15">
      <c r="O1374" s="2" t="str">
        <f t="shared" si="42"/>
        <v/>
      </c>
    </row>
    <row r="1375" spans="15:15">
      <c r="O1375" s="2" t="str">
        <f t="shared" si="42"/>
        <v/>
      </c>
    </row>
    <row r="1376" spans="15:15">
      <c r="O1376" s="2" t="str">
        <f t="shared" si="42"/>
        <v/>
      </c>
    </row>
    <row r="1377" spans="15:15">
      <c r="O1377" s="2" t="str">
        <f t="shared" si="42"/>
        <v/>
      </c>
    </row>
    <row r="1378" spans="15:15">
      <c r="O1378" s="2" t="str">
        <f t="shared" si="42"/>
        <v/>
      </c>
    </row>
    <row r="1379" spans="15:15">
      <c r="O1379" s="2" t="str">
        <f t="shared" si="42"/>
        <v/>
      </c>
    </row>
    <row r="1380" spans="15:15">
      <c r="O1380" s="2" t="str">
        <f t="shared" si="42"/>
        <v/>
      </c>
    </row>
    <row r="1381" spans="15:15">
      <c r="O1381" s="2" t="str">
        <f t="shared" si="42"/>
        <v/>
      </c>
    </row>
    <row r="1382" spans="15:15">
      <c r="O1382" s="2" t="str">
        <f t="shared" si="42"/>
        <v/>
      </c>
    </row>
    <row r="1383" spans="15:15">
      <c r="O1383" s="2" t="str">
        <f t="shared" si="42"/>
        <v/>
      </c>
    </row>
    <row r="1384" spans="15:15">
      <c r="O1384" s="2" t="str">
        <f t="shared" si="42"/>
        <v/>
      </c>
    </row>
    <row r="1385" spans="15:15">
      <c r="O1385" s="2" t="str">
        <f t="shared" si="42"/>
        <v/>
      </c>
    </row>
    <row r="1386" spans="15:15">
      <c r="O1386" s="2" t="str">
        <f t="shared" si="42"/>
        <v/>
      </c>
    </row>
    <row r="1387" spans="15:15">
      <c r="O1387" s="2" t="str">
        <f t="shared" si="42"/>
        <v/>
      </c>
    </row>
    <row r="1388" spans="15:15">
      <c r="O1388" s="2" t="str">
        <f t="shared" si="42"/>
        <v/>
      </c>
    </row>
    <row r="1389" spans="15:15">
      <c r="O1389" s="2" t="str">
        <f t="shared" si="42"/>
        <v/>
      </c>
    </row>
    <row r="1390" spans="15:15">
      <c r="O1390" s="2" t="str">
        <f t="shared" si="42"/>
        <v/>
      </c>
    </row>
    <row r="1391" spans="15:15">
      <c r="O1391" s="2" t="str">
        <f t="shared" si="42"/>
        <v/>
      </c>
    </row>
    <row r="1392" spans="15:15">
      <c r="O1392" s="2" t="str">
        <f t="shared" si="42"/>
        <v/>
      </c>
    </row>
    <row r="1393" spans="15:15">
      <c r="O1393" s="2" t="str">
        <f t="shared" si="42"/>
        <v/>
      </c>
    </row>
    <row r="1394" spans="15:15">
      <c r="O1394" s="2" t="str">
        <f t="shared" si="42"/>
        <v/>
      </c>
    </row>
    <row r="1395" spans="15:15">
      <c r="O1395" s="2" t="str">
        <f t="shared" si="42"/>
        <v/>
      </c>
    </row>
    <row r="1396" spans="15:15">
      <c r="O1396" s="2" t="str">
        <f t="shared" si="42"/>
        <v/>
      </c>
    </row>
    <row r="1397" spans="15:15">
      <c r="O1397" s="2" t="str">
        <f t="shared" si="42"/>
        <v/>
      </c>
    </row>
    <row r="1398" spans="15:15">
      <c r="O1398" s="2" t="str">
        <f t="shared" si="42"/>
        <v/>
      </c>
    </row>
    <row r="1399" spans="15:15">
      <c r="O1399" s="2" t="str">
        <f t="shared" si="42"/>
        <v/>
      </c>
    </row>
    <row r="1400" spans="15:15">
      <c r="O1400" s="2" t="str">
        <f t="shared" si="42"/>
        <v/>
      </c>
    </row>
    <row r="1401" spans="15:15">
      <c r="O1401" s="2" t="str">
        <f t="shared" si="42"/>
        <v/>
      </c>
    </row>
    <row r="1402" spans="15:15">
      <c r="O1402" s="2" t="str">
        <f t="shared" si="42"/>
        <v/>
      </c>
    </row>
    <row r="1403" spans="15:15">
      <c r="O1403" s="2" t="str">
        <f t="shared" si="42"/>
        <v/>
      </c>
    </row>
    <row r="1404" spans="15:15">
      <c r="O1404" s="2" t="str">
        <f t="shared" si="42"/>
        <v/>
      </c>
    </row>
    <row r="1405" spans="15:15">
      <c r="O1405" s="2" t="str">
        <f t="shared" ref="O1405:O1468" si="43">IF(A1405="","", WEEKNUM(A1405, 2))</f>
        <v/>
      </c>
    </row>
    <row r="1406" spans="15:15">
      <c r="O1406" s="2" t="str">
        <f t="shared" si="43"/>
        <v/>
      </c>
    </row>
    <row r="1407" spans="15:15">
      <c r="O1407" s="2" t="str">
        <f t="shared" si="43"/>
        <v/>
      </c>
    </row>
    <row r="1408" spans="15:15">
      <c r="O1408" s="2" t="str">
        <f t="shared" si="43"/>
        <v/>
      </c>
    </row>
    <row r="1409" spans="15:15">
      <c r="O1409" s="2" t="str">
        <f t="shared" si="43"/>
        <v/>
      </c>
    </row>
    <row r="1410" spans="15:15">
      <c r="O1410" s="2" t="str">
        <f t="shared" si="43"/>
        <v/>
      </c>
    </row>
    <row r="1411" spans="15:15">
      <c r="O1411" s="2" t="str">
        <f t="shared" si="43"/>
        <v/>
      </c>
    </row>
    <row r="1412" spans="15:15">
      <c r="O1412" s="2" t="str">
        <f t="shared" si="43"/>
        <v/>
      </c>
    </row>
    <row r="1413" spans="15:15">
      <c r="O1413" s="2" t="str">
        <f t="shared" si="43"/>
        <v/>
      </c>
    </row>
    <row r="1414" spans="15:15">
      <c r="O1414" s="2" t="str">
        <f t="shared" si="43"/>
        <v/>
      </c>
    </row>
    <row r="1415" spans="15:15">
      <c r="O1415" s="2" t="str">
        <f t="shared" si="43"/>
        <v/>
      </c>
    </row>
    <row r="1416" spans="15:15">
      <c r="O1416" s="2" t="str">
        <f t="shared" si="43"/>
        <v/>
      </c>
    </row>
    <row r="1417" spans="15:15">
      <c r="O1417" s="2" t="str">
        <f t="shared" si="43"/>
        <v/>
      </c>
    </row>
    <row r="1418" spans="15:15">
      <c r="O1418" s="2" t="str">
        <f t="shared" si="43"/>
        <v/>
      </c>
    </row>
    <row r="1419" spans="15:15">
      <c r="O1419" s="2" t="str">
        <f t="shared" si="43"/>
        <v/>
      </c>
    </row>
    <row r="1420" spans="15:15">
      <c r="O1420" s="2" t="str">
        <f t="shared" si="43"/>
        <v/>
      </c>
    </row>
    <row r="1421" spans="15:15">
      <c r="O1421" s="2" t="str">
        <f t="shared" si="43"/>
        <v/>
      </c>
    </row>
    <row r="1422" spans="15:15">
      <c r="O1422" s="2" t="str">
        <f t="shared" si="43"/>
        <v/>
      </c>
    </row>
    <row r="1423" spans="15:15">
      <c r="O1423" s="2" t="str">
        <f t="shared" si="43"/>
        <v/>
      </c>
    </row>
    <row r="1424" spans="15:15">
      <c r="O1424" s="2" t="str">
        <f t="shared" si="43"/>
        <v/>
      </c>
    </row>
    <row r="1425" spans="15:15">
      <c r="O1425" s="2" t="str">
        <f t="shared" si="43"/>
        <v/>
      </c>
    </row>
    <row r="1426" spans="15:15">
      <c r="O1426" s="2" t="str">
        <f t="shared" si="43"/>
        <v/>
      </c>
    </row>
    <row r="1427" spans="15:15">
      <c r="O1427" s="2" t="str">
        <f t="shared" si="43"/>
        <v/>
      </c>
    </row>
    <row r="1428" spans="15:15">
      <c r="O1428" s="2" t="str">
        <f t="shared" si="43"/>
        <v/>
      </c>
    </row>
    <row r="1429" spans="15:15">
      <c r="O1429" s="2" t="str">
        <f t="shared" si="43"/>
        <v/>
      </c>
    </row>
    <row r="1430" spans="15:15">
      <c r="O1430" s="2" t="str">
        <f t="shared" si="43"/>
        <v/>
      </c>
    </row>
    <row r="1431" spans="15:15">
      <c r="O1431" s="2" t="str">
        <f t="shared" si="43"/>
        <v/>
      </c>
    </row>
    <row r="1432" spans="15:15">
      <c r="O1432" s="2" t="str">
        <f t="shared" si="43"/>
        <v/>
      </c>
    </row>
    <row r="1433" spans="15:15">
      <c r="O1433" s="2" t="str">
        <f t="shared" si="43"/>
        <v/>
      </c>
    </row>
    <row r="1434" spans="15:15">
      <c r="O1434" s="2" t="str">
        <f t="shared" si="43"/>
        <v/>
      </c>
    </row>
    <row r="1435" spans="15:15">
      <c r="O1435" s="2" t="str">
        <f t="shared" si="43"/>
        <v/>
      </c>
    </row>
    <row r="1436" spans="15:15">
      <c r="O1436" s="2" t="str">
        <f t="shared" si="43"/>
        <v/>
      </c>
    </row>
    <row r="1437" spans="15:15">
      <c r="O1437" s="2" t="str">
        <f t="shared" si="43"/>
        <v/>
      </c>
    </row>
    <row r="1438" spans="15:15">
      <c r="O1438" s="2" t="str">
        <f t="shared" si="43"/>
        <v/>
      </c>
    </row>
    <row r="1439" spans="15:15">
      <c r="O1439" s="2" t="str">
        <f t="shared" si="43"/>
        <v/>
      </c>
    </row>
    <row r="1440" spans="15:15">
      <c r="O1440" s="2" t="str">
        <f t="shared" si="43"/>
        <v/>
      </c>
    </row>
    <row r="1441" spans="15:15">
      <c r="O1441" s="2" t="str">
        <f t="shared" si="43"/>
        <v/>
      </c>
    </row>
    <row r="1442" spans="15:15">
      <c r="O1442" s="2" t="str">
        <f t="shared" si="43"/>
        <v/>
      </c>
    </row>
    <row r="1443" spans="15:15">
      <c r="O1443" s="2" t="str">
        <f t="shared" si="43"/>
        <v/>
      </c>
    </row>
    <row r="1444" spans="15:15">
      <c r="O1444" s="2" t="str">
        <f t="shared" si="43"/>
        <v/>
      </c>
    </row>
    <row r="1445" spans="15:15">
      <c r="O1445" s="2" t="str">
        <f t="shared" si="43"/>
        <v/>
      </c>
    </row>
    <row r="1446" spans="15:15">
      <c r="O1446" s="2" t="str">
        <f t="shared" si="43"/>
        <v/>
      </c>
    </row>
    <row r="1447" spans="15:15">
      <c r="O1447" s="2" t="str">
        <f t="shared" si="43"/>
        <v/>
      </c>
    </row>
    <row r="1448" spans="15:15">
      <c r="O1448" s="2" t="str">
        <f t="shared" si="43"/>
        <v/>
      </c>
    </row>
    <row r="1449" spans="15:15">
      <c r="O1449" s="2" t="str">
        <f t="shared" si="43"/>
        <v/>
      </c>
    </row>
    <row r="1450" spans="15:15">
      <c r="O1450" s="2" t="str">
        <f t="shared" si="43"/>
        <v/>
      </c>
    </row>
    <row r="1451" spans="15:15">
      <c r="O1451" s="2" t="str">
        <f t="shared" si="43"/>
        <v/>
      </c>
    </row>
    <row r="1452" spans="15:15">
      <c r="O1452" s="2" t="str">
        <f t="shared" si="43"/>
        <v/>
      </c>
    </row>
    <row r="1453" spans="15:15">
      <c r="O1453" s="2" t="str">
        <f t="shared" si="43"/>
        <v/>
      </c>
    </row>
    <row r="1454" spans="15:15">
      <c r="O1454" s="2" t="str">
        <f t="shared" si="43"/>
        <v/>
      </c>
    </row>
    <row r="1455" spans="15:15">
      <c r="O1455" s="2" t="str">
        <f t="shared" si="43"/>
        <v/>
      </c>
    </row>
    <row r="1456" spans="15:15">
      <c r="O1456" s="2" t="str">
        <f t="shared" si="43"/>
        <v/>
      </c>
    </row>
    <row r="1457" spans="15:15">
      <c r="O1457" s="2" t="str">
        <f t="shared" si="43"/>
        <v/>
      </c>
    </row>
    <row r="1458" spans="15:15">
      <c r="O1458" s="2" t="str">
        <f t="shared" si="43"/>
        <v/>
      </c>
    </row>
    <row r="1459" spans="15:15">
      <c r="O1459" s="2" t="str">
        <f t="shared" si="43"/>
        <v/>
      </c>
    </row>
    <row r="1460" spans="15:15">
      <c r="O1460" s="2" t="str">
        <f t="shared" si="43"/>
        <v/>
      </c>
    </row>
    <row r="1461" spans="15:15">
      <c r="O1461" s="2" t="str">
        <f t="shared" si="43"/>
        <v/>
      </c>
    </row>
    <row r="1462" spans="15:15">
      <c r="O1462" s="2" t="str">
        <f t="shared" si="43"/>
        <v/>
      </c>
    </row>
    <row r="1463" spans="15:15">
      <c r="O1463" s="2" t="str">
        <f t="shared" si="43"/>
        <v/>
      </c>
    </row>
    <row r="1464" spans="15:15">
      <c r="O1464" s="2" t="str">
        <f t="shared" si="43"/>
        <v/>
      </c>
    </row>
    <row r="1465" spans="15:15">
      <c r="O1465" s="2" t="str">
        <f t="shared" si="43"/>
        <v/>
      </c>
    </row>
    <row r="1466" spans="15:15">
      <c r="O1466" s="2" t="str">
        <f t="shared" si="43"/>
        <v/>
      </c>
    </row>
    <row r="1467" spans="15:15">
      <c r="O1467" s="2" t="str">
        <f t="shared" si="43"/>
        <v/>
      </c>
    </row>
    <row r="1468" spans="15:15">
      <c r="O1468" s="2" t="str">
        <f t="shared" si="43"/>
        <v/>
      </c>
    </row>
    <row r="1469" spans="15:15">
      <c r="O1469" s="2" t="str">
        <f t="shared" ref="O1469:O1532" si="44">IF(A1469="","", WEEKNUM(A1469, 2))</f>
        <v/>
      </c>
    </row>
    <row r="1470" spans="15:15">
      <c r="O1470" s="2" t="str">
        <f t="shared" si="44"/>
        <v/>
      </c>
    </row>
    <row r="1471" spans="15:15">
      <c r="O1471" s="2" t="str">
        <f t="shared" si="44"/>
        <v/>
      </c>
    </row>
    <row r="1472" spans="15:15">
      <c r="O1472" s="2" t="str">
        <f t="shared" si="44"/>
        <v/>
      </c>
    </row>
    <row r="1473" spans="15:15">
      <c r="O1473" s="2" t="str">
        <f t="shared" si="44"/>
        <v/>
      </c>
    </row>
    <row r="1474" spans="15:15">
      <c r="O1474" s="2" t="str">
        <f t="shared" si="44"/>
        <v/>
      </c>
    </row>
    <row r="1475" spans="15:15">
      <c r="O1475" s="2" t="str">
        <f t="shared" si="44"/>
        <v/>
      </c>
    </row>
    <row r="1476" spans="15:15">
      <c r="O1476" s="2" t="str">
        <f t="shared" si="44"/>
        <v/>
      </c>
    </row>
    <row r="1477" spans="15:15">
      <c r="O1477" s="2" t="str">
        <f t="shared" si="44"/>
        <v/>
      </c>
    </row>
    <row r="1478" spans="15:15">
      <c r="O1478" s="2" t="str">
        <f t="shared" si="44"/>
        <v/>
      </c>
    </row>
    <row r="1479" spans="15:15">
      <c r="O1479" s="2" t="str">
        <f t="shared" si="44"/>
        <v/>
      </c>
    </row>
    <row r="1480" spans="15:15">
      <c r="O1480" s="2" t="str">
        <f t="shared" si="44"/>
        <v/>
      </c>
    </row>
    <row r="1481" spans="15:15">
      <c r="O1481" s="2" t="str">
        <f t="shared" si="44"/>
        <v/>
      </c>
    </row>
    <row r="1482" spans="15:15">
      <c r="O1482" s="2" t="str">
        <f t="shared" si="44"/>
        <v/>
      </c>
    </row>
    <row r="1483" spans="15:15">
      <c r="O1483" s="2" t="str">
        <f t="shared" si="44"/>
        <v/>
      </c>
    </row>
    <row r="1484" spans="15:15">
      <c r="O1484" s="2" t="str">
        <f t="shared" si="44"/>
        <v/>
      </c>
    </row>
    <row r="1485" spans="15:15">
      <c r="O1485" s="2" t="str">
        <f t="shared" si="44"/>
        <v/>
      </c>
    </row>
    <row r="1486" spans="15:15">
      <c r="O1486" s="2" t="str">
        <f t="shared" si="44"/>
        <v/>
      </c>
    </row>
    <row r="1487" spans="15:15">
      <c r="O1487" s="2" t="str">
        <f t="shared" si="44"/>
        <v/>
      </c>
    </row>
    <row r="1488" spans="15:15">
      <c r="O1488" s="2" t="str">
        <f t="shared" si="44"/>
        <v/>
      </c>
    </row>
    <row r="1489" spans="15:15">
      <c r="O1489" s="2" t="str">
        <f t="shared" si="44"/>
        <v/>
      </c>
    </row>
    <row r="1490" spans="15:15">
      <c r="O1490" s="2" t="str">
        <f t="shared" si="44"/>
        <v/>
      </c>
    </row>
    <row r="1491" spans="15:15">
      <c r="O1491" s="2" t="str">
        <f t="shared" si="44"/>
        <v/>
      </c>
    </row>
    <row r="1492" spans="15:15">
      <c r="O1492" s="2" t="str">
        <f t="shared" si="44"/>
        <v/>
      </c>
    </row>
    <row r="1493" spans="15:15">
      <c r="O1493" s="2" t="str">
        <f t="shared" si="44"/>
        <v/>
      </c>
    </row>
    <row r="1494" spans="15:15">
      <c r="O1494" s="2" t="str">
        <f t="shared" si="44"/>
        <v/>
      </c>
    </row>
    <row r="1495" spans="15:15">
      <c r="O1495" s="2" t="str">
        <f t="shared" si="44"/>
        <v/>
      </c>
    </row>
    <row r="1496" spans="15:15">
      <c r="O1496" s="2" t="str">
        <f t="shared" si="44"/>
        <v/>
      </c>
    </row>
    <row r="1497" spans="15:15">
      <c r="O1497" s="2" t="str">
        <f t="shared" si="44"/>
        <v/>
      </c>
    </row>
    <row r="1498" spans="15:15">
      <c r="O1498" s="2" t="str">
        <f t="shared" si="44"/>
        <v/>
      </c>
    </row>
    <row r="1499" spans="15:15">
      <c r="O1499" s="2" t="str">
        <f t="shared" si="44"/>
        <v/>
      </c>
    </row>
    <row r="1500" spans="15:15">
      <c r="O1500" s="2" t="str">
        <f t="shared" si="44"/>
        <v/>
      </c>
    </row>
    <row r="1501" spans="15:15">
      <c r="O1501" s="2" t="str">
        <f t="shared" si="44"/>
        <v/>
      </c>
    </row>
    <row r="1502" spans="15:15">
      <c r="O1502" s="2" t="str">
        <f t="shared" si="44"/>
        <v/>
      </c>
    </row>
    <row r="1503" spans="15:15">
      <c r="O1503" s="2" t="str">
        <f t="shared" si="44"/>
        <v/>
      </c>
    </row>
    <row r="1504" spans="15:15">
      <c r="O1504" s="2" t="str">
        <f t="shared" si="44"/>
        <v/>
      </c>
    </row>
    <row r="1505" spans="15:15">
      <c r="O1505" s="2" t="str">
        <f t="shared" si="44"/>
        <v/>
      </c>
    </row>
    <row r="1506" spans="15:15">
      <c r="O1506" s="2" t="str">
        <f t="shared" si="44"/>
        <v/>
      </c>
    </row>
    <row r="1507" spans="15:15">
      <c r="O1507" s="2" t="str">
        <f t="shared" si="44"/>
        <v/>
      </c>
    </row>
    <row r="1508" spans="15:15">
      <c r="O1508" s="2" t="str">
        <f t="shared" si="44"/>
        <v/>
      </c>
    </row>
    <row r="1509" spans="15:15">
      <c r="O1509" s="2" t="str">
        <f t="shared" si="44"/>
        <v/>
      </c>
    </row>
    <row r="1510" spans="15:15">
      <c r="O1510" s="2" t="str">
        <f t="shared" si="44"/>
        <v/>
      </c>
    </row>
    <row r="1511" spans="15:15">
      <c r="O1511" s="2" t="str">
        <f t="shared" si="44"/>
        <v/>
      </c>
    </row>
    <row r="1512" spans="15:15">
      <c r="O1512" s="2" t="str">
        <f t="shared" si="44"/>
        <v/>
      </c>
    </row>
    <row r="1513" spans="15:15">
      <c r="O1513" s="2" t="str">
        <f t="shared" si="44"/>
        <v/>
      </c>
    </row>
    <row r="1514" spans="15:15">
      <c r="O1514" s="2" t="str">
        <f t="shared" si="44"/>
        <v/>
      </c>
    </row>
    <row r="1515" spans="15:15">
      <c r="O1515" s="2" t="str">
        <f t="shared" si="44"/>
        <v/>
      </c>
    </row>
    <row r="1516" spans="15:15">
      <c r="O1516" s="2" t="str">
        <f t="shared" si="44"/>
        <v/>
      </c>
    </row>
    <row r="1517" spans="15:15">
      <c r="O1517" s="2" t="str">
        <f t="shared" si="44"/>
        <v/>
      </c>
    </row>
    <row r="1518" spans="15:15">
      <c r="O1518" s="2" t="str">
        <f t="shared" si="44"/>
        <v/>
      </c>
    </row>
    <row r="1519" spans="15:15">
      <c r="O1519" s="2" t="str">
        <f t="shared" si="44"/>
        <v/>
      </c>
    </row>
    <row r="1520" spans="15:15">
      <c r="O1520" s="2" t="str">
        <f t="shared" si="44"/>
        <v/>
      </c>
    </row>
    <row r="1521" spans="15:15">
      <c r="O1521" s="2" t="str">
        <f t="shared" si="44"/>
        <v/>
      </c>
    </row>
    <row r="1522" spans="15:15">
      <c r="O1522" s="2" t="str">
        <f t="shared" si="44"/>
        <v/>
      </c>
    </row>
    <row r="1523" spans="15:15">
      <c r="O1523" s="2" t="str">
        <f t="shared" si="44"/>
        <v/>
      </c>
    </row>
    <row r="1524" spans="15:15">
      <c r="O1524" s="2" t="str">
        <f t="shared" si="44"/>
        <v/>
      </c>
    </row>
    <row r="1525" spans="15:15">
      <c r="O1525" s="2" t="str">
        <f t="shared" si="44"/>
        <v/>
      </c>
    </row>
    <row r="1526" spans="15:15">
      <c r="O1526" s="2" t="str">
        <f t="shared" si="44"/>
        <v/>
      </c>
    </row>
    <row r="1527" spans="15:15">
      <c r="O1527" s="2" t="str">
        <f t="shared" si="44"/>
        <v/>
      </c>
    </row>
    <row r="1528" spans="15:15">
      <c r="O1528" s="2" t="str">
        <f t="shared" si="44"/>
        <v/>
      </c>
    </row>
    <row r="1529" spans="15:15">
      <c r="O1529" s="2" t="str">
        <f t="shared" si="44"/>
        <v/>
      </c>
    </row>
    <row r="1530" spans="15:15">
      <c r="O1530" s="2" t="str">
        <f t="shared" si="44"/>
        <v/>
      </c>
    </row>
    <row r="1531" spans="15:15">
      <c r="O1531" s="2" t="str">
        <f t="shared" si="44"/>
        <v/>
      </c>
    </row>
    <row r="1532" spans="15:15">
      <c r="O1532" s="2" t="str">
        <f t="shared" si="44"/>
        <v/>
      </c>
    </row>
    <row r="1533" spans="15:15">
      <c r="O1533" s="2" t="str">
        <f t="shared" ref="O1533:O1596" si="45">IF(A1533="","", WEEKNUM(A1533, 2))</f>
        <v/>
      </c>
    </row>
    <row r="1534" spans="15:15">
      <c r="O1534" s="2" t="str">
        <f t="shared" si="45"/>
        <v/>
      </c>
    </row>
    <row r="1535" spans="15:15">
      <c r="O1535" s="2" t="str">
        <f t="shared" si="45"/>
        <v/>
      </c>
    </row>
    <row r="1536" spans="15:15">
      <c r="O1536" s="2" t="str">
        <f t="shared" si="45"/>
        <v/>
      </c>
    </row>
    <row r="1537" spans="15:15">
      <c r="O1537" s="2" t="str">
        <f t="shared" si="45"/>
        <v/>
      </c>
    </row>
    <row r="1538" spans="15:15">
      <c r="O1538" s="2" t="str">
        <f t="shared" si="45"/>
        <v/>
      </c>
    </row>
    <row r="1539" spans="15:15">
      <c r="O1539" s="2" t="str">
        <f t="shared" si="45"/>
        <v/>
      </c>
    </row>
    <row r="1540" spans="15:15">
      <c r="O1540" s="2" t="str">
        <f t="shared" si="45"/>
        <v/>
      </c>
    </row>
    <row r="1541" spans="15:15">
      <c r="O1541" s="2" t="str">
        <f t="shared" si="45"/>
        <v/>
      </c>
    </row>
    <row r="1542" spans="15:15">
      <c r="O1542" s="2" t="str">
        <f t="shared" si="45"/>
        <v/>
      </c>
    </row>
    <row r="1543" spans="15:15">
      <c r="O1543" s="2" t="str">
        <f t="shared" si="45"/>
        <v/>
      </c>
    </row>
    <row r="1544" spans="15:15">
      <c r="O1544" s="2" t="str">
        <f t="shared" si="45"/>
        <v/>
      </c>
    </row>
    <row r="1545" spans="15:15">
      <c r="O1545" s="2" t="str">
        <f t="shared" si="45"/>
        <v/>
      </c>
    </row>
    <row r="1546" spans="15:15">
      <c r="O1546" s="2" t="str">
        <f t="shared" si="45"/>
        <v/>
      </c>
    </row>
    <row r="1547" spans="15:15">
      <c r="O1547" s="2" t="str">
        <f t="shared" si="45"/>
        <v/>
      </c>
    </row>
    <row r="1548" spans="15:15">
      <c r="O1548" s="2" t="str">
        <f t="shared" si="45"/>
        <v/>
      </c>
    </row>
    <row r="1549" spans="15:15">
      <c r="O1549" s="2" t="str">
        <f t="shared" si="45"/>
        <v/>
      </c>
    </row>
    <row r="1550" spans="15:15">
      <c r="O1550" s="2" t="str">
        <f t="shared" si="45"/>
        <v/>
      </c>
    </row>
    <row r="1551" spans="15:15">
      <c r="O1551" s="2" t="str">
        <f t="shared" si="45"/>
        <v/>
      </c>
    </row>
    <row r="1552" spans="15:15">
      <c r="O1552" s="2" t="str">
        <f t="shared" si="45"/>
        <v/>
      </c>
    </row>
    <row r="1553" spans="15:15">
      <c r="O1553" s="2" t="str">
        <f t="shared" si="45"/>
        <v/>
      </c>
    </row>
    <row r="1554" spans="15:15">
      <c r="O1554" s="2" t="str">
        <f t="shared" si="45"/>
        <v/>
      </c>
    </row>
    <row r="1555" spans="15:15">
      <c r="O1555" s="2" t="str">
        <f t="shared" si="45"/>
        <v/>
      </c>
    </row>
    <row r="1556" spans="15:15">
      <c r="O1556" s="2" t="str">
        <f t="shared" si="45"/>
        <v/>
      </c>
    </row>
    <row r="1557" spans="15:15">
      <c r="O1557" s="2" t="str">
        <f t="shared" si="45"/>
        <v/>
      </c>
    </row>
    <row r="1558" spans="15:15">
      <c r="O1558" s="2" t="str">
        <f t="shared" si="45"/>
        <v/>
      </c>
    </row>
    <row r="1559" spans="15:15">
      <c r="O1559" s="2" t="str">
        <f t="shared" si="45"/>
        <v/>
      </c>
    </row>
    <row r="1560" spans="15:15">
      <c r="O1560" s="2" t="str">
        <f t="shared" si="45"/>
        <v/>
      </c>
    </row>
    <row r="1561" spans="15:15">
      <c r="O1561" s="2" t="str">
        <f t="shared" si="45"/>
        <v/>
      </c>
    </row>
    <row r="1562" spans="15:15">
      <c r="O1562" s="2" t="str">
        <f t="shared" si="45"/>
        <v/>
      </c>
    </row>
    <row r="1563" spans="15:15">
      <c r="O1563" s="2" t="str">
        <f t="shared" si="45"/>
        <v/>
      </c>
    </row>
    <row r="1564" spans="15:15">
      <c r="O1564" s="2" t="str">
        <f t="shared" si="45"/>
        <v/>
      </c>
    </row>
    <row r="1565" spans="15:15">
      <c r="O1565" s="2" t="str">
        <f t="shared" si="45"/>
        <v/>
      </c>
    </row>
    <row r="1566" spans="15:15">
      <c r="O1566" s="2" t="str">
        <f t="shared" si="45"/>
        <v/>
      </c>
    </row>
    <row r="1567" spans="15:15">
      <c r="O1567" s="2" t="str">
        <f t="shared" si="45"/>
        <v/>
      </c>
    </row>
    <row r="1568" spans="15:15">
      <c r="O1568" s="2" t="str">
        <f t="shared" si="45"/>
        <v/>
      </c>
    </row>
    <row r="1569" spans="15:15">
      <c r="O1569" s="2" t="str">
        <f t="shared" si="45"/>
        <v/>
      </c>
    </row>
    <row r="1570" spans="15:15">
      <c r="O1570" s="2" t="str">
        <f t="shared" si="45"/>
        <v/>
      </c>
    </row>
    <row r="1571" spans="15:15">
      <c r="O1571" s="2" t="str">
        <f t="shared" si="45"/>
        <v/>
      </c>
    </row>
    <row r="1572" spans="15:15">
      <c r="O1572" s="2" t="str">
        <f t="shared" si="45"/>
        <v/>
      </c>
    </row>
    <row r="1573" spans="15:15">
      <c r="O1573" s="2" t="str">
        <f t="shared" si="45"/>
        <v/>
      </c>
    </row>
    <row r="1574" spans="15:15">
      <c r="O1574" s="2" t="str">
        <f t="shared" si="45"/>
        <v/>
      </c>
    </row>
    <row r="1575" spans="15:15">
      <c r="O1575" s="2" t="str">
        <f t="shared" si="45"/>
        <v/>
      </c>
    </row>
    <row r="1576" spans="15:15">
      <c r="O1576" s="2" t="str">
        <f t="shared" si="45"/>
        <v/>
      </c>
    </row>
    <row r="1577" spans="15:15">
      <c r="O1577" s="2" t="str">
        <f t="shared" si="45"/>
        <v/>
      </c>
    </row>
    <row r="1578" spans="15:15">
      <c r="O1578" s="2" t="str">
        <f t="shared" si="45"/>
        <v/>
      </c>
    </row>
    <row r="1579" spans="15:15">
      <c r="O1579" s="2" t="str">
        <f t="shared" si="45"/>
        <v/>
      </c>
    </row>
    <row r="1580" spans="15:15">
      <c r="O1580" s="2" t="str">
        <f t="shared" si="45"/>
        <v/>
      </c>
    </row>
    <row r="1581" spans="15:15">
      <c r="O1581" s="2" t="str">
        <f t="shared" si="45"/>
        <v/>
      </c>
    </row>
    <row r="1582" spans="15:15">
      <c r="O1582" s="2" t="str">
        <f t="shared" si="45"/>
        <v/>
      </c>
    </row>
    <row r="1583" spans="15:15">
      <c r="O1583" s="2" t="str">
        <f t="shared" si="45"/>
        <v/>
      </c>
    </row>
    <row r="1584" spans="15:15">
      <c r="O1584" s="2" t="str">
        <f t="shared" si="45"/>
        <v/>
      </c>
    </row>
    <row r="1585" spans="15:15">
      <c r="O1585" s="2" t="str">
        <f t="shared" si="45"/>
        <v/>
      </c>
    </row>
    <row r="1586" spans="15:15">
      <c r="O1586" s="2" t="str">
        <f t="shared" si="45"/>
        <v/>
      </c>
    </row>
    <row r="1587" spans="15:15">
      <c r="O1587" s="2" t="str">
        <f t="shared" si="45"/>
        <v/>
      </c>
    </row>
    <row r="1588" spans="15:15">
      <c r="O1588" s="2" t="str">
        <f t="shared" si="45"/>
        <v/>
      </c>
    </row>
    <row r="1589" spans="15:15">
      <c r="O1589" s="2" t="str">
        <f t="shared" si="45"/>
        <v/>
      </c>
    </row>
    <row r="1590" spans="15:15">
      <c r="O1590" s="2" t="str">
        <f t="shared" si="45"/>
        <v/>
      </c>
    </row>
    <row r="1591" spans="15:15">
      <c r="O1591" s="2" t="str">
        <f t="shared" si="45"/>
        <v/>
      </c>
    </row>
    <row r="1592" spans="15:15">
      <c r="O1592" s="2" t="str">
        <f t="shared" si="45"/>
        <v/>
      </c>
    </row>
    <row r="1593" spans="15:15">
      <c r="O1593" s="2" t="str">
        <f t="shared" si="45"/>
        <v/>
      </c>
    </row>
    <row r="1594" spans="15:15">
      <c r="O1594" s="2" t="str">
        <f t="shared" si="45"/>
        <v/>
      </c>
    </row>
    <row r="1595" spans="15:15">
      <c r="O1595" s="2" t="str">
        <f t="shared" si="45"/>
        <v/>
      </c>
    </row>
    <row r="1596" spans="15:15">
      <c r="O1596" s="2" t="str">
        <f t="shared" si="45"/>
        <v/>
      </c>
    </row>
    <row r="1597" spans="15:15">
      <c r="O1597" s="2" t="str">
        <f t="shared" ref="O1597:O1660" si="46">IF(A1597="","", WEEKNUM(A1597, 2))</f>
        <v/>
      </c>
    </row>
    <row r="1598" spans="15:15">
      <c r="O1598" s="2" t="str">
        <f t="shared" si="46"/>
        <v/>
      </c>
    </row>
    <row r="1599" spans="15:15">
      <c r="O1599" s="2" t="str">
        <f t="shared" si="46"/>
        <v/>
      </c>
    </row>
    <row r="1600" spans="15:15">
      <c r="O1600" s="2" t="str">
        <f t="shared" si="46"/>
        <v/>
      </c>
    </row>
    <row r="1601" spans="15:15">
      <c r="O1601" s="2" t="str">
        <f t="shared" si="46"/>
        <v/>
      </c>
    </row>
    <row r="1602" spans="15:15">
      <c r="O1602" s="2" t="str">
        <f t="shared" si="46"/>
        <v/>
      </c>
    </row>
    <row r="1603" spans="15:15">
      <c r="O1603" s="2" t="str">
        <f t="shared" si="46"/>
        <v/>
      </c>
    </row>
    <row r="1604" spans="15:15">
      <c r="O1604" s="2" t="str">
        <f t="shared" si="46"/>
        <v/>
      </c>
    </row>
    <row r="1605" spans="15:15">
      <c r="O1605" s="2" t="str">
        <f t="shared" si="46"/>
        <v/>
      </c>
    </row>
    <row r="1606" spans="15:15">
      <c r="O1606" s="2" t="str">
        <f t="shared" si="46"/>
        <v/>
      </c>
    </row>
    <row r="1607" spans="15:15">
      <c r="O1607" s="2" t="str">
        <f t="shared" si="46"/>
        <v/>
      </c>
    </row>
    <row r="1608" spans="15:15">
      <c r="O1608" s="2" t="str">
        <f t="shared" si="46"/>
        <v/>
      </c>
    </row>
    <row r="1609" spans="15:15">
      <c r="O1609" s="2" t="str">
        <f t="shared" si="46"/>
        <v/>
      </c>
    </row>
    <row r="1610" spans="15:15">
      <c r="O1610" s="2" t="str">
        <f t="shared" si="46"/>
        <v/>
      </c>
    </row>
    <row r="1611" spans="15:15">
      <c r="O1611" s="2" t="str">
        <f t="shared" si="46"/>
        <v/>
      </c>
    </row>
    <row r="1612" spans="15:15">
      <c r="O1612" s="2" t="str">
        <f t="shared" si="46"/>
        <v/>
      </c>
    </row>
    <row r="1613" spans="15:15">
      <c r="O1613" s="2" t="str">
        <f t="shared" si="46"/>
        <v/>
      </c>
    </row>
    <row r="1614" spans="15:15">
      <c r="O1614" s="2" t="str">
        <f t="shared" si="46"/>
        <v/>
      </c>
    </row>
    <row r="1615" spans="15:15">
      <c r="O1615" s="2" t="str">
        <f t="shared" si="46"/>
        <v/>
      </c>
    </row>
    <row r="1616" spans="15:15">
      <c r="O1616" s="2" t="str">
        <f t="shared" si="46"/>
        <v/>
      </c>
    </row>
    <row r="1617" spans="15:15">
      <c r="O1617" s="2" t="str">
        <f t="shared" si="46"/>
        <v/>
      </c>
    </row>
    <row r="1618" spans="15:15">
      <c r="O1618" s="2" t="str">
        <f t="shared" si="46"/>
        <v/>
      </c>
    </row>
    <row r="1619" spans="15:15">
      <c r="O1619" s="2" t="str">
        <f t="shared" si="46"/>
        <v/>
      </c>
    </row>
    <row r="1620" spans="15:15">
      <c r="O1620" s="2" t="str">
        <f t="shared" si="46"/>
        <v/>
      </c>
    </row>
    <row r="1621" spans="15:15">
      <c r="O1621" s="2" t="str">
        <f t="shared" si="46"/>
        <v/>
      </c>
    </row>
    <row r="1622" spans="15:15">
      <c r="O1622" s="2" t="str">
        <f t="shared" si="46"/>
        <v/>
      </c>
    </row>
    <row r="1623" spans="15:15">
      <c r="O1623" s="2" t="str">
        <f t="shared" si="46"/>
        <v/>
      </c>
    </row>
    <row r="1624" spans="15:15">
      <c r="O1624" s="2" t="str">
        <f t="shared" si="46"/>
        <v/>
      </c>
    </row>
    <row r="1625" spans="15:15">
      <c r="O1625" s="2" t="str">
        <f t="shared" si="46"/>
        <v/>
      </c>
    </row>
    <row r="1626" spans="15:15">
      <c r="O1626" s="2" t="str">
        <f t="shared" si="46"/>
        <v/>
      </c>
    </row>
    <row r="1627" spans="15:15">
      <c r="O1627" s="2" t="str">
        <f t="shared" si="46"/>
        <v/>
      </c>
    </row>
    <row r="1628" spans="15:15">
      <c r="O1628" s="2" t="str">
        <f t="shared" si="46"/>
        <v/>
      </c>
    </row>
    <row r="1629" spans="15:15">
      <c r="O1629" s="2" t="str">
        <f t="shared" si="46"/>
        <v/>
      </c>
    </row>
    <row r="1630" spans="15:15">
      <c r="O1630" s="2" t="str">
        <f t="shared" si="46"/>
        <v/>
      </c>
    </row>
    <row r="1631" spans="15:15">
      <c r="O1631" s="2" t="str">
        <f t="shared" si="46"/>
        <v/>
      </c>
    </row>
    <row r="1632" spans="15:15">
      <c r="O1632" s="2" t="str">
        <f t="shared" si="46"/>
        <v/>
      </c>
    </row>
    <row r="1633" spans="15:15">
      <c r="O1633" s="2" t="str">
        <f t="shared" si="46"/>
        <v/>
      </c>
    </row>
    <row r="1634" spans="15:15">
      <c r="O1634" s="2" t="str">
        <f t="shared" si="46"/>
        <v/>
      </c>
    </row>
    <row r="1635" spans="15:15">
      <c r="O1635" s="2" t="str">
        <f t="shared" si="46"/>
        <v/>
      </c>
    </row>
    <row r="1636" spans="15:15">
      <c r="O1636" s="2" t="str">
        <f t="shared" si="46"/>
        <v/>
      </c>
    </row>
    <row r="1637" spans="15:15">
      <c r="O1637" s="2" t="str">
        <f t="shared" si="46"/>
        <v/>
      </c>
    </row>
    <row r="1638" spans="15:15">
      <c r="O1638" s="2" t="str">
        <f t="shared" si="46"/>
        <v/>
      </c>
    </row>
    <row r="1639" spans="15:15">
      <c r="O1639" s="2" t="str">
        <f t="shared" si="46"/>
        <v/>
      </c>
    </row>
    <row r="1640" spans="15:15">
      <c r="O1640" s="2" t="str">
        <f t="shared" si="46"/>
        <v/>
      </c>
    </row>
    <row r="1641" spans="15:15">
      <c r="O1641" s="2" t="str">
        <f t="shared" si="46"/>
        <v/>
      </c>
    </row>
    <row r="1642" spans="15:15">
      <c r="O1642" s="2" t="str">
        <f t="shared" si="46"/>
        <v/>
      </c>
    </row>
    <row r="1643" spans="15:15">
      <c r="O1643" s="2" t="str">
        <f t="shared" si="46"/>
        <v/>
      </c>
    </row>
    <row r="1644" spans="15:15">
      <c r="O1644" s="2" t="str">
        <f t="shared" si="46"/>
        <v/>
      </c>
    </row>
    <row r="1645" spans="15:15">
      <c r="O1645" s="2" t="str">
        <f t="shared" si="46"/>
        <v/>
      </c>
    </row>
    <row r="1646" spans="15:15">
      <c r="O1646" s="2" t="str">
        <f t="shared" si="46"/>
        <v/>
      </c>
    </row>
    <row r="1647" spans="15:15">
      <c r="O1647" s="2" t="str">
        <f t="shared" si="46"/>
        <v/>
      </c>
    </row>
    <row r="1648" spans="15:15">
      <c r="O1648" s="2" t="str">
        <f t="shared" si="46"/>
        <v/>
      </c>
    </row>
    <row r="1649" spans="15:15">
      <c r="O1649" s="2" t="str">
        <f t="shared" si="46"/>
        <v/>
      </c>
    </row>
    <row r="1650" spans="15:15">
      <c r="O1650" s="2" t="str">
        <f t="shared" si="46"/>
        <v/>
      </c>
    </row>
    <row r="1651" spans="15:15">
      <c r="O1651" s="2" t="str">
        <f t="shared" si="46"/>
        <v/>
      </c>
    </row>
    <row r="1652" spans="15:15">
      <c r="O1652" s="2" t="str">
        <f t="shared" si="46"/>
        <v/>
      </c>
    </row>
    <row r="1653" spans="15:15">
      <c r="O1653" s="2" t="str">
        <f t="shared" si="46"/>
        <v/>
      </c>
    </row>
    <row r="1654" spans="15:15">
      <c r="O1654" s="2" t="str">
        <f t="shared" si="46"/>
        <v/>
      </c>
    </row>
    <row r="1655" spans="15:15">
      <c r="O1655" s="2" t="str">
        <f t="shared" si="46"/>
        <v/>
      </c>
    </row>
    <row r="1656" spans="15:15">
      <c r="O1656" s="2" t="str">
        <f t="shared" si="46"/>
        <v/>
      </c>
    </row>
    <row r="1657" spans="15:15">
      <c r="O1657" s="2" t="str">
        <f t="shared" si="46"/>
        <v/>
      </c>
    </row>
    <row r="1658" spans="15:15">
      <c r="O1658" s="2" t="str">
        <f t="shared" si="46"/>
        <v/>
      </c>
    </row>
    <row r="1659" spans="15:15">
      <c r="O1659" s="2" t="str">
        <f t="shared" si="46"/>
        <v/>
      </c>
    </row>
    <row r="1660" spans="15:15">
      <c r="O1660" s="2" t="str">
        <f t="shared" si="46"/>
        <v/>
      </c>
    </row>
    <row r="1661" spans="15:15">
      <c r="O1661" s="2" t="str">
        <f t="shared" ref="O1661:O1724" si="47">IF(A1661="","", WEEKNUM(A1661, 2))</f>
        <v/>
      </c>
    </row>
    <row r="1662" spans="15:15">
      <c r="O1662" s="2" t="str">
        <f t="shared" si="47"/>
        <v/>
      </c>
    </row>
    <row r="1663" spans="15:15">
      <c r="O1663" s="2" t="str">
        <f t="shared" si="47"/>
        <v/>
      </c>
    </row>
    <row r="1664" spans="15:15">
      <c r="O1664" s="2" t="str">
        <f t="shared" si="47"/>
        <v/>
      </c>
    </row>
    <row r="1665" spans="15:15">
      <c r="O1665" s="2" t="str">
        <f t="shared" si="47"/>
        <v/>
      </c>
    </row>
    <row r="1666" spans="15:15">
      <c r="O1666" s="2" t="str">
        <f t="shared" si="47"/>
        <v/>
      </c>
    </row>
    <row r="1667" spans="15:15">
      <c r="O1667" s="2" t="str">
        <f t="shared" si="47"/>
        <v/>
      </c>
    </row>
    <row r="1668" spans="15:15">
      <c r="O1668" s="2" t="str">
        <f t="shared" si="47"/>
        <v/>
      </c>
    </row>
    <row r="1669" spans="15:15">
      <c r="O1669" s="2" t="str">
        <f t="shared" si="47"/>
        <v/>
      </c>
    </row>
    <row r="1670" spans="15:15">
      <c r="O1670" s="2" t="str">
        <f t="shared" si="47"/>
        <v/>
      </c>
    </row>
    <row r="1671" spans="15:15">
      <c r="O1671" s="2" t="str">
        <f t="shared" si="47"/>
        <v/>
      </c>
    </row>
    <row r="1672" spans="15:15">
      <c r="O1672" s="2" t="str">
        <f t="shared" si="47"/>
        <v/>
      </c>
    </row>
    <row r="1673" spans="15:15">
      <c r="O1673" s="2" t="str">
        <f t="shared" si="47"/>
        <v/>
      </c>
    </row>
    <row r="1674" spans="15:15">
      <c r="O1674" s="2" t="str">
        <f t="shared" si="47"/>
        <v/>
      </c>
    </row>
    <row r="1675" spans="15:15">
      <c r="O1675" s="2" t="str">
        <f t="shared" si="47"/>
        <v/>
      </c>
    </row>
    <row r="1676" spans="15:15">
      <c r="O1676" s="2" t="str">
        <f t="shared" si="47"/>
        <v/>
      </c>
    </row>
    <row r="1677" spans="15:15">
      <c r="O1677" s="2" t="str">
        <f t="shared" si="47"/>
        <v/>
      </c>
    </row>
    <row r="1678" spans="15:15">
      <c r="O1678" s="2" t="str">
        <f t="shared" si="47"/>
        <v/>
      </c>
    </row>
    <row r="1679" spans="15:15">
      <c r="O1679" s="2" t="str">
        <f t="shared" si="47"/>
        <v/>
      </c>
    </row>
    <row r="1680" spans="15:15">
      <c r="O1680" s="2" t="str">
        <f t="shared" si="47"/>
        <v/>
      </c>
    </row>
    <row r="1681" spans="15:15">
      <c r="O1681" s="2" t="str">
        <f t="shared" si="47"/>
        <v/>
      </c>
    </row>
    <row r="1682" spans="15:15">
      <c r="O1682" s="2" t="str">
        <f t="shared" si="47"/>
        <v/>
      </c>
    </row>
    <row r="1683" spans="15:15">
      <c r="O1683" s="2" t="str">
        <f t="shared" si="47"/>
        <v/>
      </c>
    </row>
    <row r="1684" spans="15:15">
      <c r="O1684" s="2" t="str">
        <f t="shared" si="47"/>
        <v/>
      </c>
    </row>
    <row r="1685" spans="15:15">
      <c r="O1685" s="2" t="str">
        <f t="shared" si="47"/>
        <v/>
      </c>
    </row>
    <row r="1686" spans="15:15">
      <c r="O1686" s="2" t="str">
        <f t="shared" si="47"/>
        <v/>
      </c>
    </row>
    <row r="1687" spans="15:15">
      <c r="O1687" s="2" t="str">
        <f t="shared" si="47"/>
        <v/>
      </c>
    </row>
    <row r="1688" spans="15:15">
      <c r="O1688" s="2" t="str">
        <f t="shared" si="47"/>
        <v/>
      </c>
    </row>
    <row r="1689" spans="15:15">
      <c r="O1689" s="2" t="str">
        <f t="shared" si="47"/>
        <v/>
      </c>
    </row>
    <row r="1690" spans="15:15">
      <c r="O1690" s="2" t="str">
        <f t="shared" si="47"/>
        <v/>
      </c>
    </row>
    <row r="1691" spans="15:15">
      <c r="O1691" s="2" t="str">
        <f t="shared" si="47"/>
        <v/>
      </c>
    </row>
    <row r="1692" spans="15:15">
      <c r="O1692" s="2" t="str">
        <f t="shared" si="47"/>
        <v/>
      </c>
    </row>
    <row r="1693" spans="15:15">
      <c r="O1693" s="2" t="str">
        <f t="shared" si="47"/>
        <v/>
      </c>
    </row>
    <row r="1694" spans="15:15">
      <c r="O1694" s="2" t="str">
        <f t="shared" si="47"/>
        <v/>
      </c>
    </row>
    <row r="1695" spans="15:15">
      <c r="O1695" s="2" t="str">
        <f t="shared" si="47"/>
        <v/>
      </c>
    </row>
    <row r="1696" spans="15:15">
      <c r="O1696" s="2" t="str">
        <f t="shared" si="47"/>
        <v/>
      </c>
    </row>
    <row r="1697" spans="15:15">
      <c r="O1697" s="2" t="str">
        <f t="shared" si="47"/>
        <v/>
      </c>
    </row>
    <row r="1698" spans="15:15">
      <c r="O1698" s="2" t="str">
        <f t="shared" si="47"/>
        <v/>
      </c>
    </row>
    <row r="1699" spans="15:15">
      <c r="O1699" s="2" t="str">
        <f t="shared" si="47"/>
        <v/>
      </c>
    </row>
    <row r="1700" spans="15:15">
      <c r="O1700" s="2" t="str">
        <f t="shared" si="47"/>
        <v/>
      </c>
    </row>
    <row r="1701" spans="15:15">
      <c r="O1701" s="2" t="str">
        <f t="shared" si="47"/>
        <v/>
      </c>
    </row>
    <row r="1702" spans="15:15">
      <c r="O1702" s="2" t="str">
        <f t="shared" si="47"/>
        <v/>
      </c>
    </row>
    <row r="1703" spans="15:15">
      <c r="O1703" s="2" t="str">
        <f t="shared" si="47"/>
        <v/>
      </c>
    </row>
    <row r="1704" spans="15:15">
      <c r="O1704" s="2" t="str">
        <f t="shared" si="47"/>
        <v/>
      </c>
    </row>
    <row r="1705" spans="15:15">
      <c r="O1705" s="2" t="str">
        <f t="shared" si="47"/>
        <v/>
      </c>
    </row>
    <row r="1706" spans="15:15">
      <c r="O1706" s="2" t="str">
        <f t="shared" si="47"/>
        <v/>
      </c>
    </row>
    <row r="1707" spans="15:15">
      <c r="O1707" s="2" t="str">
        <f t="shared" si="47"/>
        <v/>
      </c>
    </row>
    <row r="1708" spans="15:15">
      <c r="O1708" s="2" t="str">
        <f t="shared" si="47"/>
        <v/>
      </c>
    </row>
    <row r="1709" spans="15:15">
      <c r="O1709" s="2" t="str">
        <f t="shared" si="47"/>
        <v/>
      </c>
    </row>
    <row r="1710" spans="15:15">
      <c r="O1710" s="2" t="str">
        <f t="shared" si="47"/>
        <v/>
      </c>
    </row>
    <row r="1711" spans="15:15">
      <c r="O1711" s="2" t="str">
        <f t="shared" si="47"/>
        <v/>
      </c>
    </row>
    <row r="1712" spans="15:15">
      <c r="O1712" s="2" t="str">
        <f t="shared" si="47"/>
        <v/>
      </c>
    </row>
    <row r="1713" spans="15:15">
      <c r="O1713" s="2" t="str">
        <f t="shared" si="47"/>
        <v/>
      </c>
    </row>
    <row r="1714" spans="15:15">
      <c r="O1714" s="2" t="str">
        <f t="shared" si="47"/>
        <v/>
      </c>
    </row>
    <row r="1715" spans="15:15">
      <c r="O1715" s="2" t="str">
        <f t="shared" si="47"/>
        <v/>
      </c>
    </row>
    <row r="1716" spans="15:15">
      <c r="O1716" s="2" t="str">
        <f t="shared" si="47"/>
        <v/>
      </c>
    </row>
    <row r="1717" spans="15:15">
      <c r="O1717" s="2" t="str">
        <f t="shared" si="47"/>
        <v/>
      </c>
    </row>
    <row r="1718" spans="15:15">
      <c r="O1718" s="2" t="str">
        <f t="shared" si="47"/>
        <v/>
      </c>
    </row>
    <row r="1719" spans="15:15">
      <c r="O1719" s="2" t="str">
        <f t="shared" si="47"/>
        <v/>
      </c>
    </row>
    <row r="1720" spans="15:15">
      <c r="O1720" s="2" t="str">
        <f t="shared" si="47"/>
        <v/>
      </c>
    </row>
    <row r="1721" spans="15:15">
      <c r="O1721" s="2" t="str">
        <f t="shared" si="47"/>
        <v/>
      </c>
    </row>
    <row r="1722" spans="15:15">
      <c r="O1722" s="2" t="str">
        <f t="shared" si="47"/>
        <v/>
      </c>
    </row>
    <row r="1723" spans="15:15">
      <c r="O1723" s="2" t="str">
        <f t="shared" si="47"/>
        <v/>
      </c>
    </row>
    <row r="1724" spans="15:15">
      <c r="O1724" s="2" t="str">
        <f t="shared" si="47"/>
        <v/>
      </c>
    </row>
    <row r="1725" spans="15:15">
      <c r="O1725" s="2" t="str">
        <f t="shared" ref="O1725:O1788" si="48">IF(A1725="","", WEEKNUM(A1725, 2))</f>
        <v/>
      </c>
    </row>
    <row r="1726" spans="15:15">
      <c r="O1726" s="2" t="str">
        <f t="shared" si="48"/>
        <v/>
      </c>
    </row>
    <row r="1727" spans="15:15">
      <c r="O1727" s="2" t="str">
        <f t="shared" si="48"/>
        <v/>
      </c>
    </row>
    <row r="1728" spans="15:15">
      <c r="O1728" s="2" t="str">
        <f t="shared" si="48"/>
        <v/>
      </c>
    </row>
    <row r="1729" spans="15:15">
      <c r="O1729" s="2" t="str">
        <f t="shared" si="48"/>
        <v/>
      </c>
    </row>
    <row r="1730" spans="15:15">
      <c r="O1730" s="2" t="str">
        <f t="shared" si="48"/>
        <v/>
      </c>
    </row>
    <row r="1731" spans="15:15">
      <c r="O1731" s="2" t="str">
        <f t="shared" si="48"/>
        <v/>
      </c>
    </row>
    <row r="1732" spans="15:15">
      <c r="O1732" s="2" t="str">
        <f t="shared" si="48"/>
        <v/>
      </c>
    </row>
    <row r="1733" spans="15:15">
      <c r="O1733" s="2" t="str">
        <f t="shared" si="48"/>
        <v/>
      </c>
    </row>
    <row r="1734" spans="15:15">
      <c r="O1734" s="2" t="str">
        <f t="shared" si="48"/>
        <v/>
      </c>
    </row>
    <row r="1735" spans="15:15">
      <c r="O1735" s="2" t="str">
        <f t="shared" si="48"/>
        <v/>
      </c>
    </row>
    <row r="1736" spans="15:15">
      <c r="O1736" s="2" t="str">
        <f t="shared" si="48"/>
        <v/>
      </c>
    </row>
    <row r="1737" spans="15:15">
      <c r="O1737" s="2" t="str">
        <f t="shared" si="48"/>
        <v/>
      </c>
    </row>
    <row r="1738" spans="15:15">
      <c r="O1738" s="2" t="str">
        <f t="shared" si="48"/>
        <v/>
      </c>
    </row>
    <row r="1739" spans="15:15">
      <c r="O1739" s="2" t="str">
        <f t="shared" si="48"/>
        <v/>
      </c>
    </row>
    <row r="1740" spans="15:15">
      <c r="O1740" s="2" t="str">
        <f t="shared" si="48"/>
        <v/>
      </c>
    </row>
    <row r="1741" spans="15:15">
      <c r="O1741" s="2" t="str">
        <f t="shared" si="48"/>
        <v/>
      </c>
    </row>
    <row r="1742" spans="15:15">
      <c r="O1742" s="2" t="str">
        <f t="shared" si="48"/>
        <v/>
      </c>
    </row>
    <row r="1743" spans="15:15">
      <c r="O1743" s="2" t="str">
        <f t="shared" si="48"/>
        <v/>
      </c>
    </row>
    <row r="1744" spans="15:15">
      <c r="O1744" s="2" t="str">
        <f t="shared" si="48"/>
        <v/>
      </c>
    </row>
    <row r="1745" spans="15:15">
      <c r="O1745" s="2" t="str">
        <f t="shared" si="48"/>
        <v/>
      </c>
    </row>
    <row r="1746" spans="15:15">
      <c r="O1746" s="2" t="str">
        <f t="shared" si="48"/>
        <v/>
      </c>
    </row>
    <row r="1747" spans="15:15">
      <c r="O1747" s="2" t="str">
        <f t="shared" si="48"/>
        <v/>
      </c>
    </row>
    <row r="1748" spans="15:15">
      <c r="O1748" s="2" t="str">
        <f t="shared" si="48"/>
        <v/>
      </c>
    </row>
    <row r="1749" spans="15:15">
      <c r="O1749" s="2" t="str">
        <f t="shared" si="48"/>
        <v/>
      </c>
    </row>
    <row r="1750" spans="15:15">
      <c r="O1750" s="2" t="str">
        <f t="shared" si="48"/>
        <v/>
      </c>
    </row>
    <row r="1751" spans="15:15">
      <c r="O1751" s="2" t="str">
        <f t="shared" si="48"/>
        <v/>
      </c>
    </row>
    <row r="1752" spans="15:15">
      <c r="O1752" s="2" t="str">
        <f t="shared" si="48"/>
        <v/>
      </c>
    </row>
    <row r="1753" spans="15:15">
      <c r="O1753" s="2" t="str">
        <f t="shared" si="48"/>
        <v/>
      </c>
    </row>
    <row r="1754" spans="15:15">
      <c r="O1754" s="2" t="str">
        <f t="shared" si="48"/>
        <v/>
      </c>
    </row>
    <row r="1755" spans="15:15">
      <c r="O1755" s="2" t="str">
        <f t="shared" si="48"/>
        <v/>
      </c>
    </row>
    <row r="1756" spans="15:15">
      <c r="O1756" s="2" t="str">
        <f t="shared" si="48"/>
        <v/>
      </c>
    </row>
    <row r="1757" spans="15:15">
      <c r="O1757" s="2" t="str">
        <f t="shared" si="48"/>
        <v/>
      </c>
    </row>
    <row r="1758" spans="15:15">
      <c r="O1758" s="2" t="str">
        <f t="shared" si="48"/>
        <v/>
      </c>
    </row>
    <row r="1759" spans="15:15">
      <c r="O1759" s="2" t="str">
        <f t="shared" si="48"/>
        <v/>
      </c>
    </row>
    <row r="1760" spans="15:15">
      <c r="O1760" s="2" t="str">
        <f t="shared" si="48"/>
        <v/>
      </c>
    </row>
    <row r="1761" spans="15:15">
      <c r="O1761" s="2" t="str">
        <f t="shared" si="48"/>
        <v/>
      </c>
    </row>
    <row r="1762" spans="15:15">
      <c r="O1762" s="2" t="str">
        <f t="shared" si="48"/>
        <v/>
      </c>
    </row>
    <row r="1763" spans="15:15">
      <c r="O1763" s="2" t="str">
        <f t="shared" si="48"/>
        <v/>
      </c>
    </row>
    <row r="1764" spans="15:15">
      <c r="O1764" s="2" t="str">
        <f t="shared" si="48"/>
        <v/>
      </c>
    </row>
    <row r="1765" spans="15:15">
      <c r="O1765" s="2" t="str">
        <f t="shared" si="48"/>
        <v/>
      </c>
    </row>
    <row r="1766" spans="15:15">
      <c r="O1766" s="2" t="str">
        <f t="shared" si="48"/>
        <v/>
      </c>
    </row>
    <row r="1767" spans="15:15">
      <c r="O1767" s="2" t="str">
        <f t="shared" si="48"/>
        <v/>
      </c>
    </row>
    <row r="1768" spans="15:15">
      <c r="O1768" s="2" t="str">
        <f t="shared" si="48"/>
        <v/>
      </c>
    </row>
    <row r="1769" spans="15:15">
      <c r="O1769" s="2" t="str">
        <f t="shared" si="48"/>
        <v/>
      </c>
    </row>
    <row r="1770" spans="15:15">
      <c r="O1770" s="2" t="str">
        <f t="shared" si="48"/>
        <v/>
      </c>
    </row>
    <row r="1771" spans="15:15">
      <c r="O1771" s="2" t="str">
        <f t="shared" si="48"/>
        <v/>
      </c>
    </row>
    <row r="1772" spans="15:15">
      <c r="O1772" s="2" t="str">
        <f t="shared" si="48"/>
        <v/>
      </c>
    </row>
    <row r="1773" spans="15:15">
      <c r="O1773" s="2" t="str">
        <f t="shared" si="48"/>
        <v/>
      </c>
    </row>
    <row r="1774" spans="15:15">
      <c r="O1774" s="2" t="str">
        <f t="shared" si="48"/>
        <v/>
      </c>
    </row>
    <row r="1775" spans="15:15">
      <c r="O1775" s="2" t="str">
        <f t="shared" si="48"/>
        <v/>
      </c>
    </row>
    <row r="1776" spans="15:15">
      <c r="O1776" s="2" t="str">
        <f t="shared" si="48"/>
        <v/>
      </c>
    </row>
    <row r="1777" spans="15:15">
      <c r="O1777" s="2" t="str">
        <f t="shared" si="48"/>
        <v/>
      </c>
    </row>
    <row r="1778" spans="15:15">
      <c r="O1778" s="2" t="str">
        <f t="shared" si="48"/>
        <v/>
      </c>
    </row>
    <row r="1779" spans="15:15">
      <c r="O1779" s="2" t="str">
        <f t="shared" si="48"/>
        <v/>
      </c>
    </row>
    <row r="1780" spans="15:15">
      <c r="O1780" s="2" t="str">
        <f t="shared" si="48"/>
        <v/>
      </c>
    </row>
    <row r="1781" spans="15:15">
      <c r="O1781" s="2" t="str">
        <f t="shared" si="48"/>
        <v/>
      </c>
    </row>
    <row r="1782" spans="15:15">
      <c r="O1782" s="2" t="str">
        <f t="shared" si="48"/>
        <v/>
      </c>
    </row>
    <row r="1783" spans="15:15">
      <c r="O1783" s="2" t="str">
        <f t="shared" si="48"/>
        <v/>
      </c>
    </row>
    <row r="1784" spans="15:15">
      <c r="O1784" s="2" t="str">
        <f t="shared" si="48"/>
        <v/>
      </c>
    </row>
    <row r="1785" spans="15:15">
      <c r="O1785" s="2" t="str">
        <f t="shared" si="48"/>
        <v/>
      </c>
    </row>
    <row r="1786" spans="15:15">
      <c r="O1786" s="2" t="str">
        <f t="shared" si="48"/>
        <v/>
      </c>
    </row>
    <row r="1787" spans="15:15">
      <c r="O1787" s="2" t="str">
        <f t="shared" si="48"/>
        <v/>
      </c>
    </row>
    <row r="1788" spans="15:15">
      <c r="O1788" s="2" t="str">
        <f t="shared" si="48"/>
        <v/>
      </c>
    </row>
    <row r="1789" spans="15:15">
      <c r="O1789" s="2" t="str">
        <f t="shared" ref="O1789:O1852" si="49">IF(A1789="","", WEEKNUM(A1789, 2))</f>
        <v/>
      </c>
    </row>
    <row r="1790" spans="15:15">
      <c r="O1790" s="2" t="str">
        <f t="shared" si="49"/>
        <v/>
      </c>
    </row>
    <row r="1791" spans="15:15">
      <c r="O1791" s="2" t="str">
        <f t="shared" si="49"/>
        <v/>
      </c>
    </row>
    <row r="1792" spans="15:15">
      <c r="O1792" s="2" t="str">
        <f t="shared" si="49"/>
        <v/>
      </c>
    </row>
    <row r="1793" spans="15:15">
      <c r="O1793" s="2" t="str">
        <f t="shared" si="49"/>
        <v/>
      </c>
    </row>
    <row r="1794" spans="15:15">
      <c r="O1794" s="2" t="str">
        <f t="shared" si="49"/>
        <v/>
      </c>
    </row>
    <row r="1795" spans="15:15">
      <c r="O1795" s="2" t="str">
        <f t="shared" si="49"/>
        <v/>
      </c>
    </row>
    <row r="1796" spans="15:15">
      <c r="O1796" s="2" t="str">
        <f t="shared" si="49"/>
        <v/>
      </c>
    </row>
    <row r="1797" spans="15:15">
      <c r="O1797" s="2" t="str">
        <f t="shared" si="49"/>
        <v/>
      </c>
    </row>
    <row r="1798" spans="15:15">
      <c r="O1798" s="2" t="str">
        <f t="shared" si="49"/>
        <v/>
      </c>
    </row>
    <row r="1799" spans="15:15">
      <c r="O1799" s="2" t="str">
        <f t="shared" si="49"/>
        <v/>
      </c>
    </row>
    <row r="1800" spans="15:15">
      <c r="O1800" s="2" t="str">
        <f t="shared" si="49"/>
        <v/>
      </c>
    </row>
    <row r="1801" spans="15:15">
      <c r="O1801" s="2" t="str">
        <f t="shared" si="49"/>
        <v/>
      </c>
    </row>
    <row r="1802" spans="15:15">
      <c r="O1802" s="2" t="str">
        <f t="shared" si="49"/>
        <v/>
      </c>
    </row>
    <row r="1803" spans="15:15">
      <c r="O1803" s="2" t="str">
        <f t="shared" si="49"/>
        <v/>
      </c>
    </row>
    <row r="1804" spans="15:15">
      <c r="O1804" s="2" t="str">
        <f t="shared" si="49"/>
        <v/>
      </c>
    </row>
    <row r="1805" spans="15:15">
      <c r="O1805" s="2" t="str">
        <f t="shared" si="49"/>
        <v/>
      </c>
    </row>
    <row r="1806" spans="15:15">
      <c r="O1806" s="2" t="str">
        <f t="shared" si="49"/>
        <v/>
      </c>
    </row>
    <row r="1807" spans="15:15">
      <c r="O1807" s="2" t="str">
        <f t="shared" si="49"/>
        <v/>
      </c>
    </row>
    <row r="1808" spans="15:15">
      <c r="O1808" s="2" t="str">
        <f t="shared" si="49"/>
        <v/>
      </c>
    </row>
    <row r="1809" spans="15:15">
      <c r="O1809" s="2" t="str">
        <f t="shared" si="49"/>
        <v/>
      </c>
    </row>
    <row r="1810" spans="15:15">
      <c r="O1810" s="2" t="str">
        <f t="shared" si="49"/>
        <v/>
      </c>
    </row>
    <row r="1811" spans="15:15">
      <c r="O1811" s="2" t="str">
        <f t="shared" si="49"/>
        <v/>
      </c>
    </row>
    <row r="1812" spans="15:15">
      <c r="O1812" s="2" t="str">
        <f t="shared" si="49"/>
        <v/>
      </c>
    </row>
    <row r="1813" spans="15:15">
      <c r="O1813" s="2" t="str">
        <f t="shared" si="49"/>
        <v/>
      </c>
    </row>
    <row r="1814" spans="15:15">
      <c r="O1814" s="2" t="str">
        <f t="shared" si="49"/>
        <v/>
      </c>
    </row>
    <row r="1815" spans="15:15">
      <c r="O1815" s="2" t="str">
        <f t="shared" si="49"/>
        <v/>
      </c>
    </row>
    <row r="1816" spans="15:15">
      <c r="O1816" s="2" t="str">
        <f t="shared" si="49"/>
        <v/>
      </c>
    </row>
    <row r="1817" spans="15:15">
      <c r="O1817" s="2" t="str">
        <f t="shared" si="49"/>
        <v/>
      </c>
    </row>
    <row r="1818" spans="15:15">
      <c r="O1818" s="2" t="str">
        <f t="shared" si="49"/>
        <v/>
      </c>
    </row>
    <row r="1819" spans="15:15">
      <c r="O1819" s="2" t="str">
        <f t="shared" si="49"/>
        <v/>
      </c>
    </row>
    <row r="1820" spans="15:15">
      <c r="O1820" s="2" t="str">
        <f t="shared" si="49"/>
        <v/>
      </c>
    </row>
    <row r="1821" spans="15:15">
      <c r="O1821" s="2" t="str">
        <f t="shared" si="49"/>
        <v/>
      </c>
    </row>
    <row r="1822" spans="15:15">
      <c r="O1822" s="2" t="str">
        <f t="shared" si="49"/>
        <v/>
      </c>
    </row>
    <row r="1823" spans="15:15">
      <c r="O1823" s="2" t="str">
        <f t="shared" si="49"/>
        <v/>
      </c>
    </row>
    <row r="1824" spans="15:15">
      <c r="O1824" s="2" t="str">
        <f t="shared" si="49"/>
        <v/>
      </c>
    </row>
    <row r="1825" spans="15:15">
      <c r="O1825" s="2" t="str">
        <f t="shared" si="49"/>
        <v/>
      </c>
    </row>
    <row r="1826" spans="15:15">
      <c r="O1826" s="2" t="str">
        <f t="shared" si="49"/>
        <v/>
      </c>
    </row>
    <row r="1827" spans="15:15">
      <c r="O1827" s="2" t="str">
        <f t="shared" si="49"/>
        <v/>
      </c>
    </row>
    <row r="1828" spans="15:15">
      <c r="O1828" s="2" t="str">
        <f t="shared" si="49"/>
        <v/>
      </c>
    </row>
    <row r="1829" spans="15:15">
      <c r="O1829" s="2" t="str">
        <f t="shared" si="49"/>
        <v/>
      </c>
    </row>
    <row r="1830" spans="15:15">
      <c r="O1830" s="2" t="str">
        <f t="shared" si="49"/>
        <v/>
      </c>
    </row>
    <row r="1831" spans="15:15">
      <c r="O1831" s="2" t="str">
        <f t="shared" si="49"/>
        <v/>
      </c>
    </row>
    <row r="1832" spans="15:15">
      <c r="O1832" s="2" t="str">
        <f t="shared" si="49"/>
        <v/>
      </c>
    </row>
    <row r="1833" spans="15:15">
      <c r="O1833" s="2" t="str">
        <f t="shared" si="49"/>
        <v/>
      </c>
    </row>
    <row r="1834" spans="15:15">
      <c r="O1834" s="2" t="str">
        <f t="shared" si="49"/>
        <v/>
      </c>
    </row>
    <row r="1835" spans="15:15">
      <c r="O1835" s="2" t="str">
        <f t="shared" si="49"/>
        <v/>
      </c>
    </row>
    <row r="1836" spans="15:15">
      <c r="O1836" s="2" t="str">
        <f t="shared" si="49"/>
        <v/>
      </c>
    </row>
    <row r="1837" spans="15:15">
      <c r="O1837" s="2" t="str">
        <f t="shared" si="49"/>
        <v/>
      </c>
    </row>
    <row r="1838" spans="15:15">
      <c r="O1838" s="2" t="str">
        <f t="shared" si="49"/>
        <v/>
      </c>
    </row>
    <row r="1839" spans="15:15">
      <c r="O1839" s="2" t="str">
        <f t="shared" si="49"/>
        <v/>
      </c>
    </row>
    <row r="1840" spans="15:15">
      <c r="O1840" s="2" t="str">
        <f t="shared" si="49"/>
        <v/>
      </c>
    </row>
    <row r="1841" spans="15:15">
      <c r="O1841" s="2" t="str">
        <f t="shared" si="49"/>
        <v/>
      </c>
    </row>
    <row r="1842" spans="15:15">
      <c r="O1842" s="2" t="str">
        <f t="shared" si="49"/>
        <v/>
      </c>
    </row>
    <row r="1843" spans="15:15">
      <c r="O1843" s="2" t="str">
        <f t="shared" si="49"/>
        <v/>
      </c>
    </row>
    <row r="1844" spans="15:15">
      <c r="O1844" s="2" t="str">
        <f t="shared" si="49"/>
        <v/>
      </c>
    </row>
    <row r="1845" spans="15:15">
      <c r="O1845" s="2" t="str">
        <f t="shared" si="49"/>
        <v/>
      </c>
    </row>
    <row r="1846" spans="15:15">
      <c r="O1846" s="2" t="str">
        <f t="shared" si="49"/>
        <v/>
      </c>
    </row>
    <row r="1847" spans="15:15">
      <c r="O1847" s="2" t="str">
        <f t="shared" si="49"/>
        <v/>
      </c>
    </row>
    <row r="1848" spans="15:15">
      <c r="O1848" s="2" t="str">
        <f t="shared" si="49"/>
        <v/>
      </c>
    </row>
    <row r="1849" spans="15:15">
      <c r="O1849" s="2" t="str">
        <f t="shared" si="49"/>
        <v/>
      </c>
    </row>
    <row r="1850" spans="15:15">
      <c r="O1850" s="2" t="str">
        <f t="shared" si="49"/>
        <v/>
      </c>
    </row>
    <row r="1851" spans="15:15">
      <c r="O1851" s="2" t="str">
        <f t="shared" si="49"/>
        <v/>
      </c>
    </row>
    <row r="1852" spans="15:15">
      <c r="O1852" s="2" t="str">
        <f t="shared" si="49"/>
        <v/>
      </c>
    </row>
    <row r="1853" spans="15:15">
      <c r="O1853" s="2" t="str">
        <f t="shared" ref="O1853:O1916" si="50">IF(A1853="","", WEEKNUM(A1853, 2))</f>
        <v/>
      </c>
    </row>
    <row r="1854" spans="15:15">
      <c r="O1854" s="2" t="str">
        <f t="shared" si="50"/>
        <v/>
      </c>
    </row>
    <row r="1855" spans="15:15">
      <c r="O1855" s="2" t="str">
        <f t="shared" si="50"/>
        <v/>
      </c>
    </row>
    <row r="1856" spans="15:15">
      <c r="O1856" s="2" t="str">
        <f t="shared" si="50"/>
        <v/>
      </c>
    </row>
    <row r="1857" spans="15:15">
      <c r="O1857" s="2" t="str">
        <f t="shared" si="50"/>
        <v/>
      </c>
    </row>
    <row r="1858" spans="15:15">
      <c r="O1858" s="2" t="str">
        <f t="shared" si="50"/>
        <v/>
      </c>
    </row>
    <row r="1859" spans="15:15">
      <c r="O1859" s="2" t="str">
        <f t="shared" si="50"/>
        <v/>
      </c>
    </row>
    <row r="1860" spans="15:15">
      <c r="O1860" s="2" t="str">
        <f t="shared" si="50"/>
        <v/>
      </c>
    </row>
    <row r="1861" spans="15:15">
      <c r="O1861" s="2" t="str">
        <f t="shared" si="50"/>
        <v/>
      </c>
    </row>
    <row r="1862" spans="15:15">
      <c r="O1862" s="2" t="str">
        <f t="shared" si="50"/>
        <v/>
      </c>
    </row>
    <row r="1863" spans="15:15">
      <c r="O1863" s="2" t="str">
        <f t="shared" si="50"/>
        <v/>
      </c>
    </row>
    <row r="1864" spans="15:15">
      <c r="O1864" s="2" t="str">
        <f t="shared" si="50"/>
        <v/>
      </c>
    </row>
    <row r="1865" spans="15:15">
      <c r="O1865" s="2" t="str">
        <f t="shared" si="50"/>
        <v/>
      </c>
    </row>
    <row r="1866" spans="15:15">
      <c r="O1866" s="2" t="str">
        <f t="shared" si="50"/>
        <v/>
      </c>
    </row>
    <row r="1867" spans="15:15">
      <c r="O1867" s="2" t="str">
        <f t="shared" si="50"/>
        <v/>
      </c>
    </row>
    <row r="1868" spans="15:15">
      <c r="O1868" s="2" t="str">
        <f t="shared" si="50"/>
        <v/>
      </c>
    </row>
    <row r="1869" spans="15:15">
      <c r="O1869" s="2" t="str">
        <f t="shared" si="50"/>
        <v/>
      </c>
    </row>
    <row r="1870" spans="15:15">
      <c r="O1870" s="2" t="str">
        <f t="shared" si="50"/>
        <v/>
      </c>
    </row>
    <row r="1871" spans="15:15">
      <c r="O1871" s="2" t="str">
        <f t="shared" si="50"/>
        <v/>
      </c>
    </row>
    <row r="1872" spans="15:15">
      <c r="O1872" s="2" t="str">
        <f t="shared" si="50"/>
        <v/>
      </c>
    </row>
    <row r="1873" spans="15:15">
      <c r="O1873" s="2" t="str">
        <f t="shared" si="50"/>
        <v/>
      </c>
    </row>
    <row r="1874" spans="15:15">
      <c r="O1874" s="2" t="str">
        <f t="shared" si="50"/>
        <v/>
      </c>
    </row>
    <row r="1875" spans="15:15">
      <c r="O1875" s="2" t="str">
        <f t="shared" si="50"/>
        <v/>
      </c>
    </row>
    <row r="1876" spans="15:15">
      <c r="O1876" s="2" t="str">
        <f t="shared" si="50"/>
        <v/>
      </c>
    </row>
    <row r="1877" spans="15:15">
      <c r="O1877" s="2" t="str">
        <f t="shared" si="50"/>
        <v/>
      </c>
    </row>
    <row r="1878" spans="15:15">
      <c r="O1878" s="2" t="str">
        <f t="shared" si="50"/>
        <v/>
      </c>
    </row>
    <row r="1879" spans="15:15">
      <c r="O1879" s="2" t="str">
        <f t="shared" si="50"/>
        <v/>
      </c>
    </row>
    <row r="1880" spans="15:15">
      <c r="O1880" s="2" t="str">
        <f t="shared" si="50"/>
        <v/>
      </c>
    </row>
    <row r="1881" spans="15:15">
      <c r="O1881" s="2" t="str">
        <f t="shared" si="50"/>
        <v/>
      </c>
    </row>
    <row r="1882" spans="15:15">
      <c r="O1882" s="2" t="str">
        <f t="shared" si="50"/>
        <v/>
      </c>
    </row>
    <row r="1883" spans="15:15">
      <c r="O1883" s="2" t="str">
        <f t="shared" si="50"/>
        <v/>
      </c>
    </row>
    <row r="1884" spans="15:15">
      <c r="O1884" s="2" t="str">
        <f t="shared" si="50"/>
        <v/>
      </c>
    </row>
    <row r="1885" spans="15:15">
      <c r="O1885" s="2" t="str">
        <f t="shared" si="50"/>
        <v/>
      </c>
    </row>
    <row r="1886" spans="15:15">
      <c r="O1886" s="2" t="str">
        <f t="shared" si="50"/>
        <v/>
      </c>
    </row>
    <row r="1887" spans="15:15">
      <c r="O1887" s="2" t="str">
        <f t="shared" si="50"/>
        <v/>
      </c>
    </row>
    <row r="1888" spans="15:15">
      <c r="O1888" s="2" t="str">
        <f t="shared" si="50"/>
        <v/>
      </c>
    </row>
    <row r="1889" spans="15:15">
      <c r="O1889" s="2" t="str">
        <f t="shared" si="50"/>
        <v/>
      </c>
    </row>
    <row r="1890" spans="15:15">
      <c r="O1890" s="2" t="str">
        <f t="shared" si="50"/>
        <v/>
      </c>
    </row>
    <row r="1891" spans="15:15">
      <c r="O1891" s="2" t="str">
        <f t="shared" si="50"/>
        <v/>
      </c>
    </row>
    <row r="1892" spans="15:15">
      <c r="O1892" s="2" t="str">
        <f t="shared" si="50"/>
        <v/>
      </c>
    </row>
    <row r="1893" spans="15:15">
      <c r="O1893" s="2" t="str">
        <f t="shared" si="50"/>
        <v/>
      </c>
    </row>
    <row r="1894" spans="15:15">
      <c r="O1894" s="2" t="str">
        <f t="shared" si="50"/>
        <v/>
      </c>
    </row>
    <row r="1895" spans="15:15">
      <c r="O1895" s="2" t="str">
        <f t="shared" si="50"/>
        <v/>
      </c>
    </row>
    <row r="1896" spans="15:15">
      <c r="O1896" s="2" t="str">
        <f t="shared" si="50"/>
        <v/>
      </c>
    </row>
    <row r="1897" spans="15:15">
      <c r="O1897" s="2" t="str">
        <f t="shared" si="50"/>
        <v/>
      </c>
    </row>
    <row r="1898" spans="15:15">
      <c r="O1898" s="2" t="str">
        <f t="shared" si="50"/>
        <v/>
      </c>
    </row>
    <row r="1899" spans="15:15">
      <c r="O1899" s="2" t="str">
        <f t="shared" si="50"/>
        <v/>
      </c>
    </row>
    <row r="1900" spans="15:15">
      <c r="O1900" s="2" t="str">
        <f t="shared" si="50"/>
        <v/>
      </c>
    </row>
    <row r="1901" spans="15:15">
      <c r="O1901" s="2" t="str">
        <f t="shared" si="50"/>
        <v/>
      </c>
    </row>
    <row r="1902" spans="15:15">
      <c r="O1902" s="2" t="str">
        <f t="shared" si="50"/>
        <v/>
      </c>
    </row>
    <row r="1903" spans="15:15">
      <c r="O1903" s="2" t="str">
        <f t="shared" si="50"/>
        <v/>
      </c>
    </row>
    <row r="1904" spans="15:15">
      <c r="O1904" s="2" t="str">
        <f t="shared" si="50"/>
        <v/>
      </c>
    </row>
    <row r="1905" spans="15:15">
      <c r="O1905" s="2" t="str">
        <f t="shared" si="50"/>
        <v/>
      </c>
    </row>
    <row r="1906" spans="15:15">
      <c r="O1906" s="2" t="str">
        <f t="shared" si="50"/>
        <v/>
      </c>
    </row>
    <row r="1907" spans="15:15">
      <c r="O1907" s="2" t="str">
        <f t="shared" si="50"/>
        <v/>
      </c>
    </row>
    <row r="1908" spans="15:15">
      <c r="O1908" s="2" t="str">
        <f t="shared" si="50"/>
        <v/>
      </c>
    </row>
    <row r="1909" spans="15:15">
      <c r="O1909" s="2" t="str">
        <f t="shared" si="50"/>
        <v/>
      </c>
    </row>
    <row r="1910" spans="15:15">
      <c r="O1910" s="2" t="str">
        <f t="shared" si="50"/>
        <v/>
      </c>
    </row>
    <row r="1911" spans="15:15">
      <c r="O1911" s="2" t="str">
        <f t="shared" si="50"/>
        <v/>
      </c>
    </row>
    <row r="1912" spans="15:15">
      <c r="O1912" s="2" t="str">
        <f t="shared" si="50"/>
        <v/>
      </c>
    </row>
    <row r="1913" spans="15:15">
      <c r="O1913" s="2" t="str">
        <f t="shared" si="50"/>
        <v/>
      </c>
    </row>
    <row r="1914" spans="15:15">
      <c r="O1914" s="2" t="str">
        <f t="shared" si="50"/>
        <v/>
      </c>
    </row>
    <row r="1915" spans="15:15">
      <c r="O1915" s="2" t="str">
        <f t="shared" si="50"/>
        <v/>
      </c>
    </row>
    <row r="1916" spans="15:15">
      <c r="O1916" s="2" t="str">
        <f t="shared" si="50"/>
        <v/>
      </c>
    </row>
    <row r="1917" spans="15:15">
      <c r="O1917" s="2" t="str">
        <f t="shared" ref="O1917:O1980" si="51">IF(A1917="","", WEEKNUM(A1917, 2))</f>
        <v/>
      </c>
    </row>
    <row r="1918" spans="15:15">
      <c r="O1918" s="2" t="str">
        <f t="shared" si="51"/>
        <v/>
      </c>
    </row>
    <row r="1919" spans="15:15">
      <c r="O1919" s="2" t="str">
        <f t="shared" si="51"/>
        <v/>
      </c>
    </row>
    <row r="1920" spans="15:15">
      <c r="O1920" s="2" t="str">
        <f t="shared" si="51"/>
        <v/>
      </c>
    </row>
    <row r="1921" spans="15:15">
      <c r="O1921" s="2" t="str">
        <f t="shared" si="51"/>
        <v/>
      </c>
    </row>
    <row r="1922" spans="15:15">
      <c r="O1922" s="2" t="str">
        <f t="shared" si="51"/>
        <v/>
      </c>
    </row>
    <row r="1923" spans="15:15">
      <c r="O1923" s="2" t="str">
        <f t="shared" si="51"/>
        <v/>
      </c>
    </row>
    <row r="1924" spans="15:15">
      <c r="O1924" s="2" t="str">
        <f t="shared" si="51"/>
        <v/>
      </c>
    </row>
    <row r="1925" spans="15:15">
      <c r="O1925" s="2" t="str">
        <f t="shared" si="51"/>
        <v/>
      </c>
    </row>
    <row r="1926" spans="15:15">
      <c r="O1926" s="2" t="str">
        <f t="shared" si="51"/>
        <v/>
      </c>
    </row>
    <row r="1927" spans="15:15">
      <c r="O1927" s="2" t="str">
        <f t="shared" si="51"/>
        <v/>
      </c>
    </row>
    <row r="1928" spans="15:15">
      <c r="O1928" s="2" t="str">
        <f t="shared" si="51"/>
        <v/>
      </c>
    </row>
    <row r="1929" spans="15:15">
      <c r="O1929" s="2" t="str">
        <f t="shared" si="51"/>
        <v/>
      </c>
    </row>
    <row r="1930" spans="15:15">
      <c r="O1930" s="2" t="str">
        <f t="shared" si="51"/>
        <v/>
      </c>
    </row>
    <row r="1931" spans="15:15">
      <c r="O1931" s="2" t="str">
        <f t="shared" si="51"/>
        <v/>
      </c>
    </row>
    <row r="1932" spans="15:15">
      <c r="O1932" s="2" t="str">
        <f t="shared" si="51"/>
        <v/>
      </c>
    </row>
    <row r="1933" spans="15:15">
      <c r="O1933" s="2" t="str">
        <f t="shared" si="51"/>
        <v/>
      </c>
    </row>
    <row r="1934" spans="15:15">
      <c r="O1934" s="2" t="str">
        <f t="shared" si="51"/>
        <v/>
      </c>
    </row>
    <row r="1935" spans="15:15">
      <c r="O1935" s="2" t="str">
        <f t="shared" si="51"/>
        <v/>
      </c>
    </row>
    <row r="1936" spans="15:15">
      <c r="O1936" s="2" t="str">
        <f t="shared" si="51"/>
        <v/>
      </c>
    </row>
    <row r="1937" spans="15:15">
      <c r="O1937" s="2" t="str">
        <f t="shared" si="51"/>
        <v/>
      </c>
    </row>
    <row r="1938" spans="15:15">
      <c r="O1938" s="2" t="str">
        <f t="shared" si="51"/>
        <v/>
      </c>
    </row>
    <row r="1939" spans="15:15">
      <c r="O1939" s="2" t="str">
        <f t="shared" si="51"/>
        <v/>
      </c>
    </row>
    <row r="1940" spans="15:15">
      <c r="O1940" s="2" t="str">
        <f t="shared" si="51"/>
        <v/>
      </c>
    </row>
    <row r="1941" spans="15:15">
      <c r="O1941" s="2" t="str">
        <f t="shared" si="51"/>
        <v/>
      </c>
    </row>
    <row r="1942" spans="15:15">
      <c r="O1942" s="2" t="str">
        <f t="shared" si="51"/>
        <v/>
      </c>
    </row>
    <row r="1943" spans="15:15">
      <c r="O1943" s="2" t="str">
        <f t="shared" si="51"/>
        <v/>
      </c>
    </row>
    <row r="1944" spans="15:15">
      <c r="O1944" s="2" t="str">
        <f t="shared" si="51"/>
        <v/>
      </c>
    </row>
    <row r="1945" spans="15:15">
      <c r="O1945" s="2" t="str">
        <f t="shared" si="51"/>
        <v/>
      </c>
    </row>
    <row r="1946" spans="15:15">
      <c r="O1946" s="2" t="str">
        <f t="shared" si="51"/>
        <v/>
      </c>
    </row>
    <row r="1947" spans="15:15">
      <c r="O1947" s="2" t="str">
        <f t="shared" si="51"/>
        <v/>
      </c>
    </row>
    <row r="1948" spans="15:15">
      <c r="O1948" s="2" t="str">
        <f t="shared" si="51"/>
        <v/>
      </c>
    </row>
    <row r="1949" spans="15:15">
      <c r="O1949" s="2" t="str">
        <f t="shared" si="51"/>
        <v/>
      </c>
    </row>
    <row r="1950" spans="15:15">
      <c r="O1950" s="2" t="str">
        <f t="shared" si="51"/>
        <v/>
      </c>
    </row>
    <row r="1951" spans="15:15">
      <c r="O1951" s="2" t="str">
        <f t="shared" si="51"/>
        <v/>
      </c>
    </row>
    <row r="1952" spans="15:15">
      <c r="O1952" s="2" t="str">
        <f t="shared" si="51"/>
        <v/>
      </c>
    </row>
    <row r="1953" spans="15:15">
      <c r="O1953" s="2" t="str">
        <f t="shared" si="51"/>
        <v/>
      </c>
    </row>
    <row r="1954" spans="15:15">
      <c r="O1954" s="2" t="str">
        <f t="shared" si="51"/>
        <v/>
      </c>
    </row>
    <row r="1955" spans="15:15">
      <c r="O1955" s="2" t="str">
        <f t="shared" si="51"/>
        <v/>
      </c>
    </row>
    <row r="1956" spans="15:15">
      <c r="O1956" s="2" t="str">
        <f t="shared" si="51"/>
        <v/>
      </c>
    </row>
    <row r="1957" spans="15:15">
      <c r="O1957" s="2" t="str">
        <f t="shared" si="51"/>
        <v/>
      </c>
    </row>
    <row r="1958" spans="15:15">
      <c r="O1958" s="2" t="str">
        <f t="shared" si="51"/>
        <v/>
      </c>
    </row>
    <row r="1959" spans="15:15">
      <c r="O1959" s="2" t="str">
        <f t="shared" si="51"/>
        <v/>
      </c>
    </row>
    <row r="1960" spans="15:15">
      <c r="O1960" s="2" t="str">
        <f t="shared" si="51"/>
        <v/>
      </c>
    </row>
    <row r="1961" spans="15:15">
      <c r="O1961" s="2" t="str">
        <f t="shared" si="51"/>
        <v/>
      </c>
    </row>
    <row r="1962" spans="15:15">
      <c r="O1962" s="2" t="str">
        <f t="shared" si="51"/>
        <v/>
      </c>
    </row>
    <row r="1963" spans="15:15">
      <c r="O1963" s="2" t="str">
        <f t="shared" si="51"/>
        <v/>
      </c>
    </row>
    <row r="1964" spans="15:15">
      <c r="O1964" s="2" t="str">
        <f t="shared" si="51"/>
        <v/>
      </c>
    </row>
    <row r="1965" spans="15:15">
      <c r="O1965" s="2" t="str">
        <f t="shared" si="51"/>
        <v/>
      </c>
    </row>
    <row r="1966" spans="15:15">
      <c r="O1966" s="2" t="str">
        <f t="shared" si="51"/>
        <v/>
      </c>
    </row>
    <row r="1967" spans="15:15">
      <c r="O1967" s="2" t="str">
        <f t="shared" si="51"/>
        <v/>
      </c>
    </row>
    <row r="1968" spans="15:15">
      <c r="O1968" s="2" t="str">
        <f t="shared" si="51"/>
        <v/>
      </c>
    </row>
    <row r="1969" spans="15:15">
      <c r="O1969" s="2" t="str">
        <f t="shared" si="51"/>
        <v/>
      </c>
    </row>
    <row r="1970" spans="15:15">
      <c r="O1970" s="2" t="str">
        <f t="shared" si="51"/>
        <v/>
      </c>
    </row>
    <row r="1971" spans="15:15">
      <c r="O1971" s="2" t="str">
        <f t="shared" si="51"/>
        <v/>
      </c>
    </row>
    <row r="1972" spans="15:15">
      <c r="O1972" s="2" t="str">
        <f t="shared" si="51"/>
        <v/>
      </c>
    </row>
    <row r="1973" spans="15:15">
      <c r="O1973" s="2" t="str">
        <f t="shared" si="51"/>
        <v/>
      </c>
    </row>
    <row r="1974" spans="15:15">
      <c r="O1974" s="2" t="str">
        <f t="shared" si="51"/>
        <v/>
      </c>
    </row>
    <row r="1975" spans="15:15">
      <c r="O1975" s="2" t="str">
        <f t="shared" si="51"/>
        <v/>
      </c>
    </row>
    <row r="1976" spans="15:15">
      <c r="O1976" s="2" t="str">
        <f t="shared" si="51"/>
        <v/>
      </c>
    </row>
    <row r="1977" spans="15:15">
      <c r="O1977" s="2" t="str">
        <f t="shared" si="51"/>
        <v/>
      </c>
    </row>
    <row r="1978" spans="15:15">
      <c r="O1978" s="2" t="str">
        <f t="shared" si="51"/>
        <v/>
      </c>
    </row>
    <row r="1979" spans="15:15">
      <c r="O1979" s="2" t="str">
        <f t="shared" si="51"/>
        <v/>
      </c>
    </row>
    <row r="1980" spans="15:15">
      <c r="O1980" s="2" t="str">
        <f t="shared" si="51"/>
        <v/>
      </c>
    </row>
    <row r="1981" spans="15:15">
      <c r="O1981" s="2" t="str">
        <f t="shared" ref="O1981:O1999" si="52">IF(A1981="","", WEEKNUM(A1981, 2))</f>
        <v/>
      </c>
    </row>
    <row r="1982" spans="15:15">
      <c r="O1982" s="2" t="str">
        <f t="shared" si="52"/>
        <v/>
      </c>
    </row>
    <row r="1983" spans="15:15">
      <c r="O1983" s="2" t="str">
        <f t="shared" si="52"/>
        <v/>
      </c>
    </row>
    <row r="1984" spans="15:15">
      <c r="O1984" s="2" t="str">
        <f t="shared" si="52"/>
        <v/>
      </c>
    </row>
    <row r="1985" spans="15:15">
      <c r="O1985" s="2" t="str">
        <f t="shared" si="52"/>
        <v/>
      </c>
    </row>
    <row r="1986" spans="15:15">
      <c r="O1986" s="2" t="str">
        <f t="shared" si="52"/>
        <v/>
      </c>
    </row>
    <row r="1987" spans="15:15">
      <c r="O1987" s="2" t="str">
        <f t="shared" si="52"/>
        <v/>
      </c>
    </row>
    <row r="1988" spans="15:15">
      <c r="O1988" s="2" t="str">
        <f t="shared" si="52"/>
        <v/>
      </c>
    </row>
    <row r="1989" spans="15:15">
      <c r="O1989" s="2" t="str">
        <f t="shared" si="52"/>
        <v/>
      </c>
    </row>
    <row r="1990" spans="15:15">
      <c r="O1990" s="2" t="str">
        <f t="shared" si="52"/>
        <v/>
      </c>
    </row>
    <row r="1991" spans="15:15">
      <c r="O1991" s="2" t="str">
        <f t="shared" si="52"/>
        <v/>
      </c>
    </row>
    <row r="1992" spans="15:15">
      <c r="O1992" s="2" t="str">
        <f t="shared" si="52"/>
        <v/>
      </c>
    </row>
    <row r="1993" spans="15:15">
      <c r="O1993" s="2" t="str">
        <f t="shared" si="52"/>
        <v/>
      </c>
    </row>
    <row r="1994" spans="15:15">
      <c r="O1994" s="2" t="str">
        <f t="shared" si="52"/>
        <v/>
      </c>
    </row>
    <row r="1995" spans="15:15">
      <c r="O1995" s="2" t="str">
        <f t="shared" si="52"/>
        <v/>
      </c>
    </row>
    <row r="1996" spans="15:15">
      <c r="O1996" s="2" t="str">
        <f t="shared" si="52"/>
        <v/>
      </c>
    </row>
    <row r="1997" spans="15:15">
      <c r="O1997" s="2" t="str">
        <f t="shared" si="52"/>
        <v/>
      </c>
    </row>
    <row r="1998" spans="15:15">
      <c r="O1998" s="2" t="str">
        <f t="shared" si="52"/>
        <v/>
      </c>
    </row>
    <row r="1999" spans="15:15">
      <c r="O1999" s="2" t="str">
        <f t="shared" si="52"/>
        <v/>
      </c>
    </row>
  </sheetData>
  <dataValidations count="1">
    <dataValidation sqref="F2:F43 F47:F503" xr:uid="{610F1D94-E801-4222-B96F-1062D4C15A16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D855-BBDA-402D-AF5A-1346DB5A7BDF}">
  <dimension ref="A1"/>
  <sheetViews>
    <sheetView tabSelected="1" workbookViewId="0">
      <selection activeCell="H25" sqref="H25"/>
    </sheetView>
  </sheetViews>
  <sheetFormatPr baseColWidth="10"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BD_JALISCO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TRUJANO 03</dc:creator>
  <cp:lastModifiedBy>GRUPO TRUJANO 03</cp:lastModifiedBy>
  <dcterms:created xsi:type="dcterms:W3CDTF">2026-07-11T02:23:45Z</dcterms:created>
  <dcterms:modified xsi:type="dcterms:W3CDTF">2026-07-11T02:25:34Z</dcterms:modified>
</cp:coreProperties>
</file>